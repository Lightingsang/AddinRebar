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2F6C9495-06E6-45A4-8E7B-F63DE95406EC}" xr6:coauthVersionLast="47" xr6:coauthVersionMax="47" xr10:uidLastSave="{00000000-0000-0000-0000-000000000000}"/>
  <bookViews>
    <workbookView xWindow="-120" yWindow="-120" windowWidth="29040" windowHeight="15720" firstSheet="1" activeTab="2" xr2:uid="{00000000-000D-0000-FFFF-FFFF00000000}"/>
  </bookViews>
  <sheets>
    <sheet name="Pic" sheetId="8" state="veryHidden" r:id="rId1"/>
    <sheet name="Data" sheetId="7" r:id="rId2"/>
    <sheet name="Cal" sheetId="6" r:id="rId3"/>
  </sheets>
  <functionGroups builtInGroupCount="19"/>
  <definedNames>
    <definedName name="_xlnm._FilterDatabase" localSheetId="2" hidden="1">Cal!#REF!</definedName>
    <definedName name="_xleta.ABS" hidden="1" xlm="1">#NAME?</definedName>
    <definedName name="_xleta.IF" hidden="1" xlm="1">#NAME?</definedName>
    <definedName name="_xleta.LEN" hidden="1" xlm="1">#NAME?</definedName>
    <definedName name="_xleta.MAX" hidden="1" xlm="1">#NAME?</definedName>
    <definedName name="_xleta.MIN" hidden="1" xlm="1">#NAME?</definedName>
    <definedName name="_xleta.N" hidden="1" xlm="1">#NAME?</definedName>
    <definedName name="_xleta.SINGLE" hidden="1" xlm="1">#NAME?</definedName>
    <definedName name="ExternalData_3" localSheetId="1" hidden="1">Data!$DB$1:$DV$568</definedName>
    <definedName name="PicRefer">INDEX(Pic!$B$1:$B$5,Pic!$B$6)</definedName>
    <definedName name="_xlnm.Print_Area" localSheetId="2">Cal!$B$11:$N$32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G23" i="6" l="1"/>
  <c r="CF23" i="6"/>
  <c r="CD23" i="6"/>
  <c r="CE23" i="6" s="1"/>
  <c r="E27" i="6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L36" i="6"/>
  <c r="G36" i="6"/>
  <c r="B6" i="8"/>
  <c r="C2" i="8" s="1"/>
  <c r="O81" i="6"/>
  <c r="O80" i="6"/>
  <c r="N83" i="6"/>
  <c r="M83" i="6"/>
  <c r="L83" i="6"/>
  <c r="K83" i="6"/>
  <c r="Q83" i="6"/>
  <c r="Q85" i="6"/>
  <c r="Q84" i="6"/>
  <c r="Q82" i="6"/>
  <c r="BN23" i="6" a="1"/>
  <c r="L56" i="6" a="1"/>
  <c r="BN23" i="6" l="1"/>
  <c r="L56" i="6"/>
  <c r="N86" i="6"/>
  <c r="N31" i="6" s="1"/>
  <c r="DC17" i="6"/>
  <c r="DC16" i="6"/>
  <c r="DB15" i="6"/>
  <c r="FZ11" i="6"/>
  <c r="AC17" i="6"/>
  <c r="AC16" i="6"/>
  <c r="AB15" i="6"/>
  <c r="AM23" i="6"/>
  <c r="AJ23" i="6"/>
  <c r="AN23" i="6"/>
  <c r="AK23" i="6"/>
  <c r="AL23" i="6"/>
  <c r="AQ23" i="6"/>
  <c r="AO23" i="6"/>
  <c r="BW23" i="6" s="1"/>
  <c r="AI23" i="6"/>
  <c r="AP23" i="6"/>
  <c r="BS23" i="6" l="1"/>
  <c r="GZ11" i="6"/>
  <c r="CZ11" i="6"/>
  <c r="BU23" i="6"/>
  <c r="BV23" i="6"/>
  <c r="BE23" i="6" l="1"/>
  <c r="BH23" i="6"/>
  <c r="BB23" i="6" l="1"/>
  <c r="AZ23" i="6"/>
  <c r="BF23" i="6" l="1"/>
  <c r="D68" i="6"/>
  <c r="D63" i="6"/>
  <c r="EA4" i="7" l="1"/>
  <c r="EA5" i="7" s="1"/>
  <c r="EA6" i="7" s="1"/>
  <c r="EA7" i="7" s="1"/>
  <c r="EA8" i="7" s="1"/>
  <c r="EA9" i="7" s="1"/>
  <c r="EA10" i="7" s="1"/>
  <c r="EA11" i="7" s="1"/>
  <c r="EA12" i="7" s="1"/>
  <c r="EA13" i="7" s="1"/>
  <c r="EA14" i="7" s="1"/>
  <c r="EA15" i="7" s="1"/>
  <c r="EA16" i="7" s="1"/>
  <c r="EA17" i="7" s="1"/>
  <c r="EA18" i="7" s="1"/>
  <c r="EA19" i="7" s="1"/>
  <c r="EA20" i="7" s="1"/>
  <c r="EA21" i="7" s="1"/>
  <c r="EA22" i="7" s="1"/>
  <c r="EA23" i="7" s="1"/>
  <c r="ED2" i="7"/>
  <c r="EE2" i="7" s="1"/>
  <c r="EF2" i="7" s="1"/>
  <c r="EG2" i="7" s="1"/>
  <c r="EH2" i="7" s="1"/>
  <c r="EI2" i="7" s="1"/>
  <c r="EJ2" i="7" s="1"/>
  <c r="EK2" i="7" s="1"/>
  <c r="EL2" i="7" s="1"/>
  <c r="EM2" i="7" s="1"/>
  <c r="EN2" i="7" s="1"/>
  <c r="EO2" i="7" s="1"/>
  <c r="EP2" i="7" s="1"/>
  <c r="EQ2" i="7" s="1"/>
  <c r="ER2" i="7" s="1"/>
  <c r="ES2" i="7" s="1"/>
  <c r="ET2" i="7" s="1"/>
  <c r="EU2" i="7" s="1"/>
  <c r="EV2" i="7" s="1"/>
  <c r="EW2" i="7" s="1"/>
  <c r="EX2" i="7" s="1"/>
  <c r="EY2" i="7" s="1"/>
  <c r="K11" i="6" l="1"/>
  <c r="M31" i="6"/>
  <c r="L31" i="6"/>
  <c r="F19" i="6"/>
  <c r="G27" i="6" l="1"/>
  <c r="I27" i="6"/>
  <c r="H27" i="6"/>
  <c r="L27" i="6"/>
  <c r="D55" i="6"/>
  <c r="M27" i="6"/>
  <c r="M86" i="6" s="1"/>
  <c r="N27" i="6"/>
  <c r="L86" i="6" s="1"/>
  <c r="H57" i="6" a="1"/>
  <c r="F57" i="6" a="1"/>
  <c r="BC23" i="6" l="1"/>
  <c r="CS23" i="6" s="1"/>
  <c r="F57" i="6"/>
  <c r="G43" i="6" s="1"/>
  <c r="H57" i="6"/>
  <c r="I43" i="6" s="1"/>
  <c r="J27" i="6"/>
  <c r="G34" i="6"/>
  <c r="K27" i="6"/>
  <c r="L34" i="6"/>
  <c r="L68" i="6" l="1"/>
  <c r="M68" i="6" s="1"/>
  <c r="C27" i="6"/>
  <c r="B27" i="6"/>
  <c r="CI19" i="7"/>
  <c r="CF19" i="7"/>
  <c r="CH19" i="7" s="1"/>
  <c r="CI18" i="7"/>
  <c r="CH18" i="7"/>
  <c r="CG18" i="7"/>
  <c r="CF18" i="7"/>
  <c r="CI17" i="7"/>
  <c r="CF17" i="7"/>
  <c r="CH17" i="7" s="1"/>
  <c r="CI16" i="7"/>
  <c r="CF16" i="7"/>
  <c r="CG16" i="7" s="1"/>
  <c r="CI15" i="7"/>
  <c r="CF15" i="7"/>
  <c r="CG15" i="7" s="1"/>
  <c r="BQ15" i="7"/>
  <c r="X15" i="7"/>
  <c r="CF14" i="7"/>
  <c r="CH14" i="7" s="1"/>
  <c r="BQ14" i="7"/>
  <c r="X14" i="7"/>
  <c r="CF13" i="7"/>
  <c r="CG13" i="7" s="1"/>
  <c r="BQ13" i="7"/>
  <c r="X13" i="7"/>
  <c r="CF12" i="7"/>
  <c r="CH12" i="7" s="1"/>
  <c r="BQ12" i="7"/>
  <c r="X12" i="7"/>
  <c r="CF11" i="7"/>
  <c r="CH11" i="7" s="1"/>
  <c r="BQ11" i="7"/>
  <c r="X11" i="7"/>
  <c r="CF10" i="7"/>
  <c r="CH10" i="7" s="1"/>
  <c r="BQ10" i="7"/>
  <c r="X10" i="7"/>
  <c r="CI9" i="7"/>
  <c r="CF9" i="7"/>
  <c r="CH9" i="7" s="1"/>
  <c r="BQ9" i="7"/>
  <c r="X9" i="7"/>
  <c r="CI8" i="7"/>
  <c r="CF8" i="7"/>
  <c r="CH8" i="7" s="1"/>
  <c r="BQ8" i="7"/>
  <c r="X8" i="7"/>
  <c r="CI7" i="7"/>
  <c r="CF7" i="7"/>
  <c r="CG7" i="7" s="1"/>
  <c r="BQ7" i="7"/>
  <c r="X7" i="7"/>
  <c r="CI6" i="7"/>
  <c r="CF6" i="7"/>
  <c r="CH6" i="7" s="1"/>
  <c r="BQ6" i="7"/>
  <c r="X6" i="7"/>
  <c r="CI5" i="7"/>
  <c r="CF5" i="7"/>
  <c r="CG5" i="7" s="1"/>
  <c r="CI4" i="7"/>
  <c r="CF4" i="7"/>
  <c r="CG4" i="7" s="1"/>
  <c r="CH7" i="7" l="1"/>
  <c r="DE14" i="6"/>
  <c r="AE14" i="6"/>
  <c r="DE15" i="6"/>
  <c r="AE15" i="6"/>
  <c r="AE17" i="6" s="1"/>
  <c r="CG11" i="7"/>
  <c r="CH5" i="7"/>
  <c r="CH15" i="7"/>
  <c r="CG9" i="7"/>
  <c r="CG12" i="7"/>
  <c r="CH4" i="7"/>
  <c r="CG19" i="7"/>
  <c r="CH16" i="7"/>
  <c r="CG10" i="7"/>
  <c r="CG8" i="7"/>
  <c r="CH13" i="7"/>
  <c r="CG6" i="7"/>
  <c r="CG14" i="7"/>
  <c r="CG17" i="7"/>
  <c r="AE16" i="6" l="1"/>
  <c r="CE14" i="6" s="1"/>
  <c r="DE17" i="6"/>
  <c r="FE15" i="6" s="1"/>
  <c r="DE16" i="6"/>
  <c r="CE15" i="6"/>
  <c r="CE16" i="6"/>
  <c r="I22" i="6"/>
  <c r="F22" i="6" s="1"/>
  <c r="I75" i="6" s="1"/>
  <c r="I21" i="6"/>
  <c r="FE16" i="6" l="1"/>
  <c r="FE14" i="6"/>
  <c r="F21" i="6"/>
  <c r="G75" i="6" l="1"/>
  <c r="L75" i="6" s="1"/>
  <c r="D27" i="6"/>
  <c r="CP23" i="6" l="1"/>
  <c r="CJ23" i="6"/>
  <c r="BQ23" i="6"/>
  <c r="BR23" i="6" s="1"/>
  <c r="BT23" i="6" s="1"/>
  <c r="BG23" i="6"/>
  <c r="BD23" i="6"/>
  <c r="L65" i="6"/>
  <c r="L72" i="6"/>
  <c r="L35" i="6"/>
  <c r="G35" i="6"/>
  <c r="L47" i="6"/>
  <c r="E39" i="6"/>
  <c r="K39" i="6" s="1"/>
  <c r="BI23" i="6"/>
  <c r="BJ23" i="6"/>
  <c r="F55" i="6" a="1"/>
  <c r="J55" i="6" a="1"/>
  <c r="BL23" i="6"/>
  <c r="CA23" i="6" l="1"/>
  <c r="L51" i="6"/>
  <c r="CM23" i="6"/>
  <c r="BY23" i="6"/>
  <c r="BP23" i="6"/>
  <c r="CH23" i="6"/>
  <c r="BO23" i="6"/>
  <c r="CN23" i="6"/>
  <c r="BZ23" i="6"/>
  <c r="BK23" i="6"/>
  <c r="BM23" i="6"/>
  <c r="BX23" i="6"/>
  <c r="L48" i="6"/>
  <c r="L50" i="6"/>
  <c r="L49" i="6"/>
  <c r="F55" i="6"/>
  <c r="H55" i="6" s="1"/>
  <c r="J55" i="6"/>
  <c r="L55" i="6" s="1"/>
  <c r="J56" i="6"/>
  <c r="L57" i="6" s="1"/>
  <c r="H63" i="6"/>
  <c r="L63" i="6" s="1"/>
  <c r="H68" i="6"/>
  <c r="I68" i="6" s="1"/>
  <c r="F56" i="6"/>
  <c r="F39" i="6"/>
  <c r="H56" i="6" a="1"/>
  <c r="CI23" i="6" l="1"/>
  <c r="CK23" i="6" s="1"/>
  <c r="CL23" i="6" s="1"/>
  <c r="L64" i="6"/>
  <c r="L66" i="6" s="1"/>
  <c r="N66" i="6" s="1"/>
  <c r="H56" i="6"/>
  <c r="CO23" i="6"/>
  <c r="CQ23" i="6" s="1"/>
  <c r="L60" i="6"/>
  <c r="N60" i="6" s="1"/>
  <c r="J57" i="6"/>
  <c r="CB23" i="6"/>
  <c r="CC23" i="6" s="1"/>
  <c r="L52" i="6"/>
  <c r="N52" i="6" s="1"/>
  <c r="L70" i="6"/>
  <c r="L69" i="6"/>
  <c r="L58" i="6" l="1"/>
  <c r="N58" i="6" s="1"/>
  <c r="CR23" i="6"/>
  <c r="CT23" i="6"/>
  <c r="CU23" i="6" s="1"/>
  <c r="CV23" i="6" s="1"/>
  <c r="L71" i="6"/>
  <c r="L73" i="6" s="1"/>
  <c r="N73" i="6" s="1"/>
  <c r="G76" i="6"/>
  <c r="I76" i="6" s="1"/>
  <c r="L76" i="6" s="1"/>
  <c r="L77" i="6" s="1"/>
  <c r="N77" i="6" s="1"/>
  <c r="Z11" i="6"/>
  <c r="CW23" i="6" l="1"/>
  <c r="CX2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Z1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CZ1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FZ1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GZ11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F21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Có thể nhập trực tiếp giá trị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2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Có thể nhập trực tiếp giá trị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0" authorId="0" shapeId="0" xr:uid="{00000000-0006-0000-0200-000007000000}">
      <text>
        <r>
          <rPr>
            <sz val="9"/>
            <color indexed="81"/>
            <rFont val="Tahoma"/>
            <family val="2"/>
          </rPr>
          <t xml:space="preserve">Toàn
- Sơ đồ 1: Khớp - Khớp
- Sơ đồ 2: Ngàm - Ngàm
- Sơ đồ 3: Ngàm - Khớp
- Sơ đồ 4: Công xôn
- PTHH: Giá trị tính từ phần mềm khác
Thông thường sơ đồ Ngàm - Ngàm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TEEL_BOX (3)" description="Connection to the 'STEEL_BOX (3)' query in the workbook." type="5" refreshedVersion="8" background="1" saveData="1">
    <dbPr connection="Provider=Microsoft.Mashup.OleDb.1;Data Source=$Workbook$;Location=&quot;STEEL_BOX (3)&quot;;Extended Properties=&quot;&quot;" command="SELECT * FROM [STEEL_BOX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<sst xmlns="http://schemas.openxmlformats.org/spreadsheetml/2006/main" count="2590" uniqueCount="1006">
  <si>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</si>
  <si>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</si>
  <si>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</si>
  <si>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</si>
  <si>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</si>
  <si>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</si>
  <si>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</si>
  <si>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</si>
  <si>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</si>
  <si>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</si>
  <si>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</si>
  <si>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</si>
  <si>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</si>
  <si>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</si>
  <si>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</si>
  <si>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</si>
  <si>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</si>
  <si>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</si>
  <si>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</si>
  <si>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</si>
  <si>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</si>
  <si>
    <t>Mác Thép</t>
  </si>
  <si>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m</t>
    </r>
  </si>
  <si>
    <t>1. Kích Thước</t>
  </si>
  <si>
    <t>A</t>
  </si>
  <si>
    <t>Đặc Trưng Hình Học</t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</si>
  <si>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</si>
  <si>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3</t>
    </r>
  </si>
  <si>
    <t>B. QUY TRÌNH TÍNH TOÁN</t>
  </si>
  <si>
    <t>Ứng suất pháp giới hạn</t>
  </si>
  <si>
    <t>Hệ số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</si>
  <si>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</si>
  <si>
    <t>Vị trí</t>
  </si>
  <si>
    <t>(kNm)</t>
  </si>
  <si>
    <t>(kN)</t>
  </si>
  <si>
    <t>N</t>
  </si>
  <si>
    <t>T</t>
  </si>
  <si>
    <t>2. Vật Liệu - Đặc Trưng Hình Học</t>
  </si>
  <si>
    <t>3. Nội Lực</t>
  </si>
  <si>
    <t>MPa</t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</si>
  <si>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</si>
  <si>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</si>
  <si>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</si>
  <si>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(m)</t>
  </si>
  <si>
    <t>Phần tử</t>
  </si>
  <si>
    <t>Tổ hợp</t>
  </si>
  <si>
    <t>Q235</t>
  </si>
  <si>
    <t>Q345</t>
  </si>
  <si>
    <t>A572 gr.50</t>
  </si>
  <si>
    <t>A36</t>
  </si>
  <si>
    <t>1_ULS2</t>
  </si>
  <si>
    <r>
      <t>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 f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</si>
  <si>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t>B =</t>
  </si>
  <si>
    <r>
      <t>c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=</t>
    </r>
  </si>
  <si>
    <r>
      <t>c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=</t>
    </r>
  </si>
  <si>
    <t>Tỉ số ứng suất pháp của cấu kiện khi có tác dụng của N</t>
  </si>
  <si>
    <r>
      <t xml:space="preserve"> </t>
    </r>
    <r>
      <rPr>
        <sz val="10"/>
        <color theme="1"/>
        <rFont val="Calibri"/>
        <family val="2"/>
      </rPr>
      <t>[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Symbol"/>
        <family val="1"/>
        <charset val="2"/>
      </rPr>
      <t>N</t>
    </r>
    <r>
      <rPr>
        <sz val="10"/>
        <color theme="1"/>
        <rFont val="Calibri"/>
        <family val="2"/>
      </rPr>
      <t>] =</t>
    </r>
  </si>
  <si>
    <r>
      <t xml:space="preserve"> </t>
    </r>
    <r>
      <rPr>
        <sz val="10"/>
        <color theme="1"/>
        <rFont val="Calibri"/>
        <family val="2"/>
      </rPr>
      <t>[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</rPr>
      <t>] =</t>
    </r>
  </si>
  <si>
    <r>
      <t xml:space="preserve"> </t>
    </r>
    <r>
      <rPr>
        <sz val="10"/>
        <color theme="1"/>
        <rFont val="Calibri"/>
        <family val="2"/>
      </rPr>
      <t>[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</rPr>
      <t>] =</t>
    </r>
  </si>
  <si>
    <t>Tổng tỉ số ứng suất</t>
  </si>
  <si>
    <t>Chiều dài tính toán</t>
  </si>
  <si>
    <t>L =</t>
  </si>
  <si>
    <t>Loại Liên Kết</t>
  </si>
  <si>
    <t>Liên kết 2 đầu khớp</t>
  </si>
  <si>
    <t>Liên kết 1 đầu ngàm 1 đầu khớp</t>
  </si>
  <si>
    <t>Liên kết 2 đầu ngàm</t>
  </si>
  <si>
    <t>Liên kết 1 đầu ngàm 1 đầu tự do</t>
  </si>
  <si>
    <t>Khung Nhiều tầng nhiều nhịp</t>
  </si>
  <si>
    <t>Khung 1 nhịp nhiều tầng</t>
  </si>
  <si>
    <r>
      <rPr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</si>
  <si>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</si>
  <si>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Tỉ số ứng suất của cấu kiện khi có tác dụng của M</t>
    </r>
    <r>
      <rPr>
        <vertAlign val="subscript"/>
        <sz val="10"/>
        <color theme="1"/>
        <rFont val="Calibri"/>
        <family val="2"/>
        <scheme val="minor"/>
      </rPr>
      <t>x</t>
    </r>
  </si>
  <si>
    <r>
      <t>Tỉ số ứng suất của cấu kiện khi có tác dụng của M</t>
    </r>
    <r>
      <rPr>
        <vertAlign val="subscript"/>
        <sz val="10"/>
        <color theme="1"/>
        <rFont val="Calibri"/>
        <family val="2"/>
        <scheme val="minor"/>
      </rPr>
      <t>y</t>
    </r>
  </si>
  <si>
    <r>
      <t>e</t>
    </r>
    <r>
      <rPr>
        <vertAlign val="subscript"/>
        <sz val="10"/>
        <color theme="1"/>
        <rFont val="Calibri"/>
        <family val="2"/>
        <scheme val="minor"/>
      </rPr>
      <t>x</t>
    </r>
  </si>
  <si>
    <r>
      <t>e</t>
    </r>
    <r>
      <rPr>
        <vertAlign val="subscript"/>
        <sz val="10"/>
        <color theme="1"/>
        <rFont val="Calibri"/>
        <family val="2"/>
        <scheme val="minor"/>
      </rPr>
      <t>y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</si>
  <si>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</si>
  <si>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=</t>
    </r>
  </si>
  <si>
    <r>
      <t>(b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) / [b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]=</t>
    </r>
  </si>
  <si>
    <t>Tỉ số huy động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</si>
  <si>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</si>
  <si>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</si>
  <si>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</si>
  <si>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</si>
  <si>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</si>
  <si>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</si>
  <si>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</si>
  <si>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</si>
  <si>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THIẾT KẾ CỘT THÉP HỘP THEO TCVN 5575 - 2024</t>
  </si>
  <si>
    <t>Bảng C.4 Cường độ tiêu chuẩn
 của thép làm bu lông</t>
  </si>
  <si>
    <t>Bảng C.6 Diện tích tiết diện bu lông</t>
  </si>
  <si>
    <t>Bảng C5: Cường độ ép mặt</t>
  </si>
  <si>
    <t>Bảng C1: Que hàn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</si>
  <si>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</si>
  <si>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</si>
  <si>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</si>
  <si>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</si>
  <si>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fu</t>
  </si>
  <si>
    <t>B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</si>
  <si>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</si>
  <si>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</si>
  <si>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</si>
  <si>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NÉN</t>
  </si>
  <si>
    <t>KÉO</t>
  </si>
  <si>
    <t>Loại thép</t>
  </si>
  <si>
    <t>fy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</si>
  <si>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</si>
  <si>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</si>
  <si>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</si>
  <si>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</si>
  <si>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</si>
  <si>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</si>
  <si>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</si>
  <si>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</si>
  <si>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</si>
  <si>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</si>
  <si>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D</t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</si>
  <si>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</si>
  <si>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</si>
  <si>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</si>
  <si>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z</t>
  </si>
  <si>
    <t>E43</t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</si>
  <si>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</si>
  <si>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</si>
  <si>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</si>
  <si>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</si>
  <si>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Tên</t>
  </si>
  <si>
    <t>fck</t>
  </si>
  <si>
    <t>E51</t>
  </si>
  <si>
    <t>CI</t>
  </si>
  <si>
    <t>N42</t>
  </si>
  <si>
    <t>M150</t>
  </si>
  <si>
    <t>B10</t>
  </si>
  <si>
    <t>CII</t>
  </si>
  <si>
    <t>N46</t>
  </si>
  <si>
    <t>M200</t>
  </si>
  <si>
    <t>B15</t>
  </si>
  <si>
    <t>C12/15</t>
  </si>
  <si>
    <t>CIII</t>
  </si>
  <si>
    <t>N50</t>
  </si>
  <si>
    <t>M250</t>
  </si>
  <si>
    <t>B20</t>
  </si>
  <si>
    <t>C16/20</t>
  </si>
  <si>
    <t>AI</t>
  </si>
  <si>
    <t>M350</t>
  </si>
  <si>
    <t>B25</t>
  </si>
  <si>
    <t>C20/25</t>
  </si>
  <si>
    <t>AII</t>
  </si>
  <si>
    <t>M400</t>
  </si>
  <si>
    <t>B30</t>
  </si>
  <si>
    <t>C25/30</t>
  </si>
  <si>
    <t>AIII</t>
  </si>
  <si>
    <t>M450</t>
  </si>
  <si>
    <t>B35</t>
  </si>
  <si>
    <t>C28/35</t>
  </si>
  <si>
    <t>CB240-T</t>
  </si>
  <si>
    <t>M500</t>
  </si>
  <si>
    <t>B40</t>
  </si>
  <si>
    <t>C32/40</t>
  </si>
  <si>
    <t>CB300-T</t>
  </si>
  <si>
    <t>M600</t>
  </si>
  <si>
    <t>B45</t>
  </si>
  <si>
    <t>C35/45</t>
  </si>
  <si>
    <t>CB300-V</t>
  </si>
  <si>
    <t>M700</t>
  </si>
  <si>
    <t>B50</t>
  </si>
  <si>
    <t>C40/50</t>
  </si>
  <si>
    <t>CB400-V</t>
  </si>
  <si>
    <t>B55</t>
  </si>
  <si>
    <t>C45/55</t>
  </si>
  <si>
    <t>CB500-V</t>
  </si>
  <si>
    <t>M800</t>
  </si>
  <si>
    <t>B60</t>
  </si>
  <si>
    <t>C50/60</t>
  </si>
  <si>
    <t>SR235</t>
  </si>
  <si>
    <t>SR295</t>
  </si>
  <si>
    <t>SD295</t>
  </si>
  <si>
    <t>SD390</t>
  </si>
  <si>
    <t>SD490</t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</si>
  <si>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</si>
  <si>
    <t>1. Tính toán về bền (Mục 9.1.1)</t>
  </si>
  <si>
    <t>®</t>
  </si>
  <si>
    <t>n=</t>
  </si>
  <si>
    <t>LABEL</t>
  </si>
  <si>
    <t>EDI_STD</t>
  </si>
  <si>
    <t>DESIGNATION</t>
  </si>
  <si>
    <t>HT</t>
  </si>
  <si>
    <t>TF</t>
  </si>
  <si>
    <t>TW</t>
  </si>
  <si>
    <t>I33</t>
  </si>
  <si>
    <t>Z33</t>
  </si>
  <si>
    <t>AS3</t>
  </si>
  <si>
    <t>I22</t>
  </si>
  <si>
    <t>Z22</t>
  </si>
  <si>
    <t>AS2</t>
  </si>
  <si>
    <t>S33POS</t>
  </si>
  <si>
    <t>S33NEG</t>
  </si>
  <si>
    <t>S22POS</t>
  </si>
  <si>
    <t>S22NEG</t>
  </si>
  <si>
    <t>R33</t>
  </si>
  <si>
    <t>R22</t>
  </si>
  <si>
    <t>J</t>
  </si>
  <si>
    <t>RHS26X13X1.6</t>
  </si>
  <si>
    <t>RHS26X13X1.8</t>
  </si>
  <si>
    <t>RHS26X13X2</t>
  </si>
  <si>
    <t>RHS30X20X1.6</t>
  </si>
  <si>
    <t>RHS30X20X1.8</t>
  </si>
  <si>
    <t>RHS30X20X2</t>
  </si>
  <si>
    <t>RHS30X20X2.2</t>
  </si>
  <si>
    <t>RHS30X20X2.5</t>
  </si>
  <si>
    <t>RHS40X10X1.6</t>
  </si>
  <si>
    <t>RHS40X10X1.8</t>
  </si>
  <si>
    <t>RHS40X10X2</t>
  </si>
  <si>
    <t>RHS40X20X1.6</t>
  </si>
  <si>
    <t>RHS40X20X1.8</t>
  </si>
  <si>
    <t>RHS40X20X2</t>
  </si>
  <si>
    <t>RHS40X20X2.2</t>
  </si>
  <si>
    <t>RHS40X20X2.5</t>
  </si>
  <si>
    <t>RHS40X25X1.6</t>
  </si>
  <si>
    <t>RHS40X25X1.8</t>
  </si>
  <si>
    <t>RHS40X25X2</t>
  </si>
  <si>
    <t>RHS40X25X2.2</t>
  </si>
  <si>
    <t>RHS40X25X2.5</t>
  </si>
  <si>
    <t>RHS40X25X2.9</t>
  </si>
  <si>
    <t>RHS50X25X1.6</t>
  </si>
  <si>
    <t>RHS50X25X2</t>
  </si>
  <si>
    <t>RHS50X25X2.2</t>
  </si>
  <si>
    <t>RHS50X25X2.5</t>
  </si>
  <si>
    <t>RHS50X25X2.9</t>
  </si>
  <si>
    <t>RHS50X25X3.2</t>
  </si>
  <si>
    <t>RHS50X30X1.6</t>
  </si>
  <si>
    <t>RHS50X30X2</t>
  </si>
  <si>
    <t>RHS50X30X2.2</t>
  </si>
  <si>
    <t>RHS50X30X2.5</t>
  </si>
  <si>
    <t>RHS50X30X2.9</t>
  </si>
  <si>
    <t>RHS50X30X3.2</t>
  </si>
  <si>
    <t>RHS50X30X3.6</t>
  </si>
  <si>
    <t>RHS50X30X4</t>
  </si>
  <si>
    <t>RHS50X30X4.5</t>
  </si>
  <si>
    <t>RHS50X30X5</t>
  </si>
  <si>
    <t>RHS50X30X6</t>
  </si>
  <si>
    <t>RHS50X30X8</t>
  </si>
  <si>
    <t>RHS66X33X1.6</t>
  </si>
  <si>
    <t>RHS66X33X2</t>
  </si>
  <si>
    <t>RHS66X33X2.2</t>
  </si>
  <si>
    <t>RHS66X33X2.5</t>
  </si>
  <si>
    <t>RHS66X33X2.9</t>
  </si>
  <si>
    <t>RHS66X33X3.2</t>
  </si>
  <si>
    <t>RHS60X40X1.6</t>
  </si>
  <si>
    <t>RHS60X40X2</t>
  </si>
  <si>
    <t>RHS60X40X2.2</t>
  </si>
  <si>
    <t>RHS60X40X2.5</t>
  </si>
  <si>
    <t>RHS60X40X2.9</t>
  </si>
  <si>
    <t>RHS60X40X3.2</t>
  </si>
  <si>
    <t>RHS60X40X3.6</t>
  </si>
  <si>
    <t>RHS60X40X4</t>
  </si>
  <si>
    <t>RHS60X40X4.5</t>
  </si>
  <si>
    <t>RHS60X40X5</t>
  </si>
  <si>
    <t>RHS60X40X6</t>
  </si>
  <si>
    <t>RHS75X25X1.6</t>
  </si>
  <si>
    <t>RHS75X25X2</t>
  </si>
  <si>
    <t>RHS75X25X2.5</t>
  </si>
  <si>
    <t>RHS75X25X2.9</t>
  </si>
  <si>
    <t>RHS75X25X3.2</t>
  </si>
  <si>
    <t>RHS70X30X3</t>
  </si>
  <si>
    <t>RHS70X30X3.2</t>
  </si>
  <si>
    <t>RHS70X30X3.6</t>
  </si>
  <si>
    <t>RHS70X30X4</t>
  </si>
  <si>
    <t>RHS70X30X4.5</t>
  </si>
  <si>
    <t>RHS70X30X5</t>
  </si>
  <si>
    <t>RHS70X30X5.4</t>
  </si>
  <si>
    <t>RHS70X30X6</t>
  </si>
  <si>
    <t>RHS70X30X8</t>
  </si>
  <si>
    <t>RHS70X50X3</t>
  </si>
  <si>
    <t>RHS70X50X3.2</t>
  </si>
  <si>
    <t>RHS70X50X3.6</t>
  </si>
  <si>
    <t>RHS70X50X4</t>
  </si>
  <si>
    <t>RHS70X50X5</t>
  </si>
  <si>
    <t>RHS70X50X5.4</t>
  </si>
  <si>
    <t>RHS70X50X6</t>
  </si>
  <si>
    <t>RHS70X50X8</t>
  </si>
  <si>
    <t>RHS75X25X2.2</t>
  </si>
  <si>
    <t>RHS75X25X2.6</t>
  </si>
  <si>
    <t>RHS75X50X1.6</t>
  </si>
  <si>
    <t>RHS75X50X2</t>
  </si>
  <si>
    <t>RHS75X50X2.2</t>
  </si>
  <si>
    <t>RHS75X50X2.5</t>
  </si>
  <si>
    <t>RHS75X50X2.9</t>
  </si>
  <si>
    <t>RHS75X50X3.2</t>
  </si>
  <si>
    <t>RHS75X50X3.6</t>
  </si>
  <si>
    <t>RHS75X50X4</t>
  </si>
  <si>
    <t>RHS80X40X1.6</t>
  </si>
  <si>
    <t>RHS80X40X1.8</t>
  </si>
  <si>
    <t>RHS80X40X2</t>
  </si>
  <si>
    <t>RHS80X40X2.2</t>
  </si>
  <si>
    <t>RHS80X40X2.5</t>
  </si>
  <si>
    <t>RHS80X40X2.9</t>
  </si>
  <si>
    <t>RHS80X40X3.2</t>
  </si>
  <si>
    <t>RHS80X40X3.6</t>
  </si>
  <si>
    <t>RHS80X40X4</t>
  </si>
  <si>
    <t>RHS80X40X5</t>
  </si>
  <si>
    <t>RHS96X48X1.6</t>
  </si>
  <si>
    <t>RHS96X48X2</t>
  </si>
  <si>
    <t>RHS96X48X2.2</t>
  </si>
  <si>
    <t>RHS96X48X2.5</t>
  </si>
  <si>
    <t>RHS96X48X2.9</t>
  </si>
  <si>
    <t>RHS96X48X3.2</t>
  </si>
  <si>
    <t>RHS96X48X3.6</t>
  </si>
  <si>
    <t>RHS96X48X4</t>
  </si>
  <si>
    <t>RHS96X48X4.5</t>
  </si>
  <si>
    <t>RHS96X48X5</t>
  </si>
  <si>
    <t>RHS100X50X1.6</t>
  </si>
  <si>
    <t>RHS100X50X2</t>
  </si>
  <si>
    <t>RHS100X50X2.2</t>
  </si>
  <si>
    <t>RHS100X50X2.5</t>
  </si>
  <si>
    <t>RHS100X50X2.9</t>
  </si>
  <si>
    <t>RHS100X50X3.2</t>
  </si>
  <si>
    <t>RHS100X50X3.6</t>
  </si>
  <si>
    <t>RHS100X50X4</t>
  </si>
  <si>
    <t>RHS100X50X5</t>
  </si>
  <si>
    <t>RHS100X50X5.4</t>
  </si>
  <si>
    <t>RHS100X50X6</t>
  </si>
  <si>
    <t>RHS100X50X8</t>
  </si>
  <si>
    <t>RHS120X60X1.6</t>
  </si>
  <si>
    <t>RHS120X60X2</t>
  </si>
  <si>
    <t>RHS120X60X2.2</t>
  </si>
  <si>
    <t>RHS120X60X2.5</t>
  </si>
  <si>
    <t>RHS120X60X2.9</t>
  </si>
  <si>
    <t>RHS120X60X3.2</t>
  </si>
  <si>
    <t>RHS120X60X3.6</t>
  </si>
  <si>
    <t>RHS120X60X4</t>
  </si>
  <si>
    <t>RHS120X60X4.5</t>
  </si>
  <si>
    <t>RHS120X60X5</t>
  </si>
  <si>
    <t>RHS120X60X6</t>
  </si>
  <si>
    <t>RHS150X25X1.6</t>
  </si>
  <si>
    <t>RHS150X25X2</t>
  </si>
  <si>
    <t>RHS150X25X2.2</t>
  </si>
  <si>
    <t>RHS150X25X2.6</t>
  </si>
  <si>
    <t>RHS150X30X1.6</t>
  </si>
  <si>
    <t>RHS150X30X1.8</t>
  </si>
  <si>
    <t>RHS150X30X2</t>
  </si>
  <si>
    <t>RHS150X30X2.5</t>
  </si>
  <si>
    <t>RHS150X30X2.9</t>
  </si>
  <si>
    <t>RHS150X50X1.6</t>
  </si>
  <si>
    <t>RHS150X50X2</t>
  </si>
  <si>
    <t>RHS150X50X2.2</t>
  </si>
  <si>
    <t>RHS150X50X2.5</t>
  </si>
  <si>
    <t>RHS150X50X2.8</t>
  </si>
  <si>
    <t>RHS150X50X3.2</t>
  </si>
  <si>
    <t>RHS150X50X3.6</t>
  </si>
  <si>
    <t>RHS150X50X4</t>
  </si>
  <si>
    <t>RHS150X50X4.5</t>
  </si>
  <si>
    <t>RHS150X50X5</t>
  </si>
  <si>
    <t>RHS150X75X2.5</t>
  </si>
  <si>
    <t>RHS150X75X2.9</t>
  </si>
  <si>
    <t>RHS150X75X3.2</t>
  </si>
  <si>
    <t>RHS150X75X3.6</t>
  </si>
  <si>
    <t>RHS150X75X4</t>
  </si>
  <si>
    <t>RHS150X75X5</t>
  </si>
  <si>
    <t>RHS150X75X6</t>
  </si>
  <si>
    <t>RHS150X100X2.9</t>
  </si>
  <si>
    <t>RHS150X100X3.2</t>
  </si>
  <si>
    <t>RHS150X100X3.6</t>
  </si>
  <si>
    <t>RHS150X100X4</t>
  </si>
  <si>
    <t>RHS150X100X5</t>
  </si>
  <si>
    <t>RHS150X100X6</t>
  </si>
  <si>
    <t>RHS150X100X8</t>
  </si>
  <si>
    <t>RHS200X100X2.9</t>
  </si>
  <si>
    <t>RHS200X100X3.2</t>
  </si>
  <si>
    <t>RHS200X100X3.6</t>
  </si>
  <si>
    <t>RHS200X100X4</t>
  </si>
  <si>
    <t>RHS200X100X5</t>
  </si>
  <si>
    <t>RHS200X100X6</t>
  </si>
  <si>
    <t>RHS200X100X8</t>
  </si>
  <si>
    <t>RHS240X120X4</t>
  </si>
  <si>
    <t>RHS240X120X5</t>
  </si>
  <si>
    <t>RHS240X120X5.4</t>
  </si>
  <si>
    <t>RHS240X120X6</t>
  </si>
  <si>
    <t>RHS240X120X8</t>
  </si>
  <si>
    <t>RHS250X100X4</t>
  </si>
  <si>
    <t>RHS250X100X5</t>
  </si>
  <si>
    <t>RHS250X100X5.4</t>
  </si>
  <si>
    <t>RHS250X100X6</t>
  </si>
  <si>
    <t>RHS250X100X8</t>
  </si>
  <si>
    <t>RHS250X150X4</t>
  </si>
  <si>
    <t>RHS250X150X5</t>
  </si>
  <si>
    <t>RHS250X150X5.4</t>
  </si>
  <si>
    <t>RHS250X150X6</t>
  </si>
  <si>
    <t>RHS250X150X8</t>
  </si>
  <si>
    <t>RHS250X150X10</t>
  </si>
  <si>
    <t>RHS280X100X4</t>
  </si>
  <si>
    <t>RHS280X100X5</t>
  </si>
  <si>
    <t>RHS280X100X5.4</t>
  </si>
  <si>
    <t>RHS280X100X6</t>
  </si>
  <si>
    <t>RHS280X100X8</t>
  </si>
  <si>
    <t>RHS300X150X4</t>
  </si>
  <si>
    <t>RHS300X150X5</t>
  </si>
  <si>
    <t>RHS300X150X5.4</t>
  </si>
  <si>
    <t>RHS300X150X6</t>
  </si>
  <si>
    <t>RHS300X150X8</t>
  </si>
  <si>
    <t>RHS300X150X10</t>
  </si>
  <si>
    <t>RHS300X200X4</t>
  </si>
  <si>
    <t>RHS300X200X5</t>
  </si>
  <si>
    <t>RHS300X200X5.4</t>
  </si>
  <si>
    <t>RHS300X200X6</t>
  </si>
  <si>
    <t>RHS300X200X8</t>
  </si>
  <si>
    <t>RHS300X200X10</t>
  </si>
  <si>
    <t>RHS300X200X12</t>
  </si>
  <si>
    <t>RHS300X200X14</t>
  </si>
  <si>
    <t>RHS350X250X5</t>
  </si>
  <si>
    <t>RHS350X250X5.4</t>
  </si>
  <si>
    <t>RHS350X250X6</t>
  </si>
  <si>
    <t>RHS350X250X8</t>
  </si>
  <si>
    <t>RHS350X250X10</t>
  </si>
  <si>
    <t>RHS350X250X12</t>
  </si>
  <si>
    <t>RHS350X250X14</t>
  </si>
  <si>
    <t>RHS400X200X5</t>
  </si>
  <si>
    <t>RHS400X200X6</t>
  </si>
  <si>
    <t>RHS400X200X8</t>
  </si>
  <si>
    <t>RHS400X200X10</t>
  </si>
  <si>
    <t>RHS400X200X12</t>
  </si>
  <si>
    <t>RHS400X200X14</t>
  </si>
  <si>
    <t>RHS400X300X6</t>
  </si>
  <si>
    <t>RHS400X300X8</t>
  </si>
  <si>
    <t>RHS400X300X10</t>
  </si>
  <si>
    <t>RHS400X300X12</t>
  </si>
  <si>
    <t>RHS400X300X14</t>
  </si>
  <si>
    <t>RHS400X300X16</t>
  </si>
  <si>
    <t>RHS400X300X18</t>
  </si>
  <si>
    <t>RHS400X300X20</t>
  </si>
  <si>
    <t>RHS500X200X6</t>
  </si>
  <si>
    <t>RHS500X200X8</t>
  </si>
  <si>
    <t>RHS500X200X10</t>
  </si>
  <si>
    <t>RHS500X200X12</t>
  </si>
  <si>
    <t>RHS500X200X14</t>
  </si>
  <si>
    <t>RHS500X200X16</t>
  </si>
  <si>
    <t>RHS500X300X8</t>
  </si>
  <si>
    <t>RHS500X300X10</t>
  </si>
  <si>
    <t>RHS500X300X12</t>
  </si>
  <si>
    <t>RHS500X300X14</t>
  </si>
  <si>
    <t>RHS500X300X16</t>
  </si>
  <si>
    <t>RHS500X300X18</t>
  </si>
  <si>
    <t>RHS500X300X20</t>
  </si>
  <si>
    <t>RHS600X200X6</t>
  </si>
  <si>
    <t>RHS600X200X8</t>
  </si>
  <si>
    <t>RHS600X200X10</t>
  </si>
  <si>
    <t>RHS600X200X12</t>
  </si>
  <si>
    <t>RHS600X200X14</t>
  </si>
  <si>
    <t>RHS600X200X16</t>
  </si>
  <si>
    <t>RHS600X300X8</t>
  </si>
  <si>
    <t>RHS600X300X10</t>
  </si>
  <si>
    <t>RHS600X300X12</t>
  </si>
  <si>
    <t>RHS600X300X14</t>
  </si>
  <si>
    <t>RHS600X300X16</t>
  </si>
  <si>
    <t>RHS600X300X18</t>
  </si>
  <si>
    <t>RHS600X300X20</t>
  </si>
  <si>
    <t>RHS600X400X8</t>
  </si>
  <si>
    <t>RHS600X400X10</t>
  </si>
  <si>
    <t>RHS600X400X12</t>
  </si>
  <si>
    <t>RHS600X400X14</t>
  </si>
  <si>
    <t>RHS600X400X16</t>
  </si>
  <si>
    <t>RHS600X400X18</t>
  </si>
  <si>
    <t>RHS600X400X20</t>
  </si>
  <si>
    <t>SHS12X12X1.6</t>
  </si>
  <si>
    <t>SHS12X12X1.8</t>
  </si>
  <si>
    <t>SHS12X12X2</t>
  </si>
  <si>
    <t>SHS15X15X1.6</t>
  </si>
  <si>
    <t>SHS15X15X1.8</t>
  </si>
  <si>
    <t>SHS15X15X2</t>
  </si>
  <si>
    <t>SHS15X15X2.2</t>
  </si>
  <si>
    <t>SHS20X20X1.6</t>
  </si>
  <si>
    <t>SHS20X20X1.8</t>
  </si>
  <si>
    <t>SHS20X20X2</t>
  </si>
  <si>
    <t>SHS20X20X2.2</t>
  </si>
  <si>
    <t>SHS20X20X2.6</t>
  </si>
  <si>
    <t>SHS25X25X1.6</t>
  </si>
  <si>
    <t>SHS25X25X1.8</t>
  </si>
  <si>
    <t>SHS25X25X2</t>
  </si>
  <si>
    <t>SHS25X25X2.2</t>
  </si>
  <si>
    <t>SHS25X25X2.6</t>
  </si>
  <si>
    <t>SHS25X25X2.9</t>
  </si>
  <si>
    <t>SHS30X30X1.6</t>
  </si>
  <si>
    <t>SHS30X30X1.8</t>
  </si>
  <si>
    <t>SHS30X30X2</t>
  </si>
  <si>
    <t>SHS30X30X2.2</t>
  </si>
  <si>
    <t>SHS30X30X2.6</t>
  </si>
  <si>
    <t>SHS30X30X2.9</t>
  </si>
  <si>
    <t>SHS30X30X3.2</t>
  </si>
  <si>
    <t>SHS30X30X3.6</t>
  </si>
  <si>
    <t>SHS30X30X4</t>
  </si>
  <si>
    <t>SHS30X30X4.5</t>
  </si>
  <si>
    <t>SHS30X30X5</t>
  </si>
  <si>
    <t>SHS30X30X5.4</t>
  </si>
  <si>
    <t>SHS30X30X6</t>
  </si>
  <si>
    <t>SHS32X32X1.6</t>
  </si>
  <si>
    <t>SHS32X32X1.8</t>
  </si>
  <si>
    <t>SHS32X32X2</t>
  </si>
  <si>
    <t>SHS32X32X2.2</t>
  </si>
  <si>
    <t>SHS32X32X2.6</t>
  </si>
  <si>
    <t>SHS32X32X2.9</t>
  </si>
  <si>
    <t>SHS32X32X3.2</t>
  </si>
  <si>
    <t>SHS38X38X1.6</t>
  </si>
  <si>
    <t>SHS38X38X2</t>
  </si>
  <si>
    <t>SHS38X38X2.2</t>
  </si>
  <si>
    <t>SHS38X38X2.6</t>
  </si>
  <si>
    <t>SHS38X38X2.9</t>
  </si>
  <si>
    <t>SHS38X38X3.2</t>
  </si>
  <si>
    <t>SHS38X38X3.6</t>
  </si>
  <si>
    <t>SHS40X40X1.6</t>
  </si>
  <si>
    <t>SHS40X40X2</t>
  </si>
  <si>
    <t>SHS40X40X2.2</t>
  </si>
  <si>
    <t>SHS40X40X2.6</t>
  </si>
  <si>
    <t>SHS40X40X2.9</t>
  </si>
  <si>
    <t>SHS40X40X3.2</t>
  </si>
  <si>
    <t>SHS40X40X3.6</t>
  </si>
  <si>
    <t>SHS40X40X4</t>
  </si>
  <si>
    <t>SHS40X40X4.5</t>
  </si>
  <si>
    <t>SHS40X40X5</t>
  </si>
  <si>
    <t>SHS40X40X5.4</t>
  </si>
  <si>
    <t>SHS40X40X6</t>
  </si>
  <si>
    <t>SHS40X40X8</t>
  </si>
  <si>
    <t>SHS45X45X1.6</t>
  </si>
  <si>
    <t>SHS45X45X2</t>
  </si>
  <si>
    <t>SHS45X45X2.2</t>
  </si>
  <si>
    <t>SHS45X45X2.5</t>
  </si>
  <si>
    <t>SHS45X45X2.8</t>
  </si>
  <si>
    <t>SHS45X45X3.2</t>
  </si>
  <si>
    <t>SHS45X45X3.6</t>
  </si>
  <si>
    <t>SHS45X45X4</t>
  </si>
  <si>
    <t>SHS50X50X1.6</t>
  </si>
  <si>
    <t>SHS50X50X1.8</t>
  </si>
  <si>
    <t>SHS50X50X2</t>
  </si>
  <si>
    <t>SHS50X50X2.2</t>
  </si>
  <si>
    <t>SHS50X50X2.6</t>
  </si>
  <si>
    <t>SHS50X50X2.9</t>
  </si>
  <si>
    <t>SHS50X50X3.2</t>
  </si>
  <si>
    <t>SHS50X50X3.6</t>
  </si>
  <si>
    <t>SHS50X50X4</t>
  </si>
  <si>
    <t>SHS50X50X4.5</t>
  </si>
  <si>
    <t>SHS50X50X5</t>
  </si>
  <si>
    <t>SHS50X50X5.4</t>
  </si>
  <si>
    <t>SHS50X50X6</t>
  </si>
  <si>
    <t>SHS50X50X8</t>
  </si>
  <si>
    <t>SHS60X60X2</t>
  </si>
  <si>
    <t>SHS60X60X2.2</t>
  </si>
  <si>
    <t>SHS60X60X2.6</t>
  </si>
  <si>
    <t>SHS60X60X2.9</t>
  </si>
  <si>
    <t>SHS60X60X3.2</t>
  </si>
  <si>
    <t>SHS60X60X3.6</t>
  </si>
  <si>
    <t>SHS60X60X4</t>
  </si>
  <si>
    <t>SHS60X60X4.5</t>
  </si>
  <si>
    <t>SHS60X60X5</t>
  </si>
  <si>
    <t>SHS60X60X5.4</t>
  </si>
  <si>
    <t>SHS60X60X6</t>
  </si>
  <si>
    <t>SHS60X60X8</t>
  </si>
  <si>
    <t>SHS72X72X2</t>
  </si>
  <si>
    <t>SHS72X72X2.2</t>
  </si>
  <si>
    <t>SHS72X72X2.6</t>
  </si>
  <si>
    <t>SHS72X72X2.9</t>
  </si>
  <si>
    <t>SHS72X72X3.2</t>
  </si>
  <si>
    <t>SHS72X72X3.6</t>
  </si>
  <si>
    <t>SHS72X72X4</t>
  </si>
  <si>
    <t>SHS72X72X4.5</t>
  </si>
  <si>
    <t>SHS72X72X5</t>
  </si>
  <si>
    <t>SHS72X72X5.4</t>
  </si>
  <si>
    <t>SHS72X72X6</t>
  </si>
  <si>
    <t>SHS72X72X8</t>
  </si>
  <si>
    <t>SHS75X75X2.6</t>
  </si>
  <si>
    <t>SHS75X75X2.9</t>
  </si>
  <si>
    <t>SHS75X75X3.2</t>
  </si>
  <si>
    <t>SHS75X75X3.6</t>
  </si>
  <si>
    <t>SHS75X75X4</t>
  </si>
  <si>
    <t>SHS75X75X4.5</t>
  </si>
  <si>
    <t>SHS75X75X5</t>
  </si>
  <si>
    <t>SHS75X75X5.4</t>
  </si>
  <si>
    <t>SHS75X75X6</t>
  </si>
  <si>
    <t>SHS80X80X2</t>
  </si>
  <si>
    <t>SHS80X80X2.2</t>
  </si>
  <si>
    <t>SHS80X80X2.6</t>
  </si>
  <si>
    <t>SHS80X80X2.9</t>
  </si>
  <si>
    <t>SHS80X80X3.2</t>
  </si>
  <si>
    <t>SHS80X80X3.6</t>
  </si>
  <si>
    <t>SHS80X80X4</t>
  </si>
  <si>
    <t>SHS80X80X4.5</t>
  </si>
  <si>
    <t>SHS80X80X5</t>
  </si>
  <si>
    <t>SHS80X80X5.4</t>
  </si>
  <si>
    <t>SHS80X80X6</t>
  </si>
  <si>
    <t>SHS91.5X91.5X2</t>
  </si>
  <si>
    <t>SHS91.5X91.5X2.2</t>
  </si>
  <si>
    <t>SHS91.5X91.5X2.6</t>
  </si>
  <si>
    <t>SHS91.5X91.5X2.9</t>
  </si>
  <si>
    <t>SHS91.5X91.5X3.2</t>
  </si>
  <si>
    <t>SHS91.5X91.5X3.6</t>
  </si>
  <si>
    <t>SHS91.5X91.5X4</t>
  </si>
  <si>
    <t>SHS91.5X91.5X4.5</t>
  </si>
  <si>
    <t>SHS91.5X91.5X5</t>
  </si>
  <si>
    <t>SHS91.5X91.5X5.4</t>
  </si>
  <si>
    <t>SHS91.5X91.5X6</t>
  </si>
  <si>
    <t>SHS100X100X2</t>
  </si>
  <si>
    <t>SHS100X100X2.2</t>
  </si>
  <si>
    <t>SHS100X100X2.6</t>
  </si>
  <si>
    <t>SHS100X100X2.9</t>
  </si>
  <si>
    <t>SHS100X100X3.2</t>
  </si>
  <si>
    <t>SHS100X100X3.6</t>
  </si>
  <si>
    <t>SHS100X100X4</t>
  </si>
  <si>
    <t>SHS100X100X4.5</t>
  </si>
  <si>
    <t>SHS100X100X5</t>
  </si>
  <si>
    <t>SHS100X100X5.4</t>
  </si>
  <si>
    <t>SHS100X100X6</t>
  </si>
  <si>
    <t>SHS100X100X7</t>
  </si>
  <si>
    <t>SHS100X100X8</t>
  </si>
  <si>
    <t>SHS110X110X2.6</t>
  </si>
  <si>
    <t>SHS110X110X2.9</t>
  </si>
  <si>
    <t>SHS110X110X3.2</t>
  </si>
  <si>
    <t>SHS110X110X3.6</t>
  </si>
  <si>
    <t>SHS110X110X4</t>
  </si>
  <si>
    <t>SHS110X110X4.5</t>
  </si>
  <si>
    <t>SHS110X110X5</t>
  </si>
  <si>
    <t>SHS110X110X5.4</t>
  </si>
  <si>
    <t>SHS110X110X6</t>
  </si>
  <si>
    <t>SHS110X110X7</t>
  </si>
  <si>
    <t>SHS110X110X8</t>
  </si>
  <si>
    <t>SHS120X120X2.6</t>
  </si>
  <si>
    <t>SHS120X120X2.9</t>
  </si>
  <si>
    <t>SHS120X120X3.2</t>
  </si>
  <si>
    <t>SHS120X120X3.6</t>
  </si>
  <si>
    <t>SHS120X120X4</t>
  </si>
  <si>
    <t>SHS120X120X4.5</t>
  </si>
  <si>
    <t>SHS120X120X5</t>
  </si>
  <si>
    <t>SHS120X120X5.4</t>
  </si>
  <si>
    <t>SHS120X120X6</t>
  </si>
  <si>
    <t>SHS120X120X7</t>
  </si>
  <si>
    <t>SHS120X120X8</t>
  </si>
  <si>
    <t>SHS125X125X2.6</t>
  </si>
  <si>
    <t>SHS125X125X2.9</t>
  </si>
  <si>
    <t>SHS125X125X3.2</t>
  </si>
  <si>
    <t>SHS125X125X3.6</t>
  </si>
  <si>
    <t>SHS125X125X4</t>
  </si>
  <si>
    <t>SHS125X125X4.5</t>
  </si>
  <si>
    <t>SHS125X125X5</t>
  </si>
  <si>
    <t>SHS125X125X5.4</t>
  </si>
  <si>
    <t>SHS125X125X6</t>
  </si>
  <si>
    <t>SHS125X125X7</t>
  </si>
  <si>
    <t>SHS125X125X8</t>
  </si>
  <si>
    <t>SHS140X140X2.9</t>
  </si>
  <si>
    <t>SHS140X140X3.2</t>
  </si>
  <si>
    <t>SHS140X140X3.6</t>
  </si>
  <si>
    <t>SHS140X140X4</t>
  </si>
  <si>
    <t>SHS140X140X4.5</t>
  </si>
  <si>
    <t>SHS140X140X5</t>
  </si>
  <si>
    <t>SHS140X140X5.4</t>
  </si>
  <si>
    <t>SHS140X140X6</t>
  </si>
  <si>
    <t>SHS140X140X7</t>
  </si>
  <si>
    <t>SHS140X140X8</t>
  </si>
  <si>
    <t>SHS150X150X2.9</t>
  </si>
  <si>
    <t>SHS150X150X3.2</t>
  </si>
  <si>
    <t>SHS150X150X3.6</t>
  </si>
  <si>
    <t>SHS150X150X4</t>
  </si>
  <si>
    <t>SHS150X150X4.5</t>
  </si>
  <si>
    <t>SHS150X150X5</t>
  </si>
  <si>
    <t>SHS150X150X5.4</t>
  </si>
  <si>
    <t>SHS150X150X6</t>
  </si>
  <si>
    <t>SHS150X150X8</t>
  </si>
  <si>
    <t>SHS150X150X10</t>
  </si>
  <si>
    <t>SHS175X175X4</t>
  </si>
  <si>
    <t>SHS175X175X4.5</t>
  </si>
  <si>
    <t>SHS175X175X5</t>
  </si>
  <si>
    <t>SHS175X175X5.4</t>
  </si>
  <si>
    <t>SHS175X175X6</t>
  </si>
  <si>
    <t>SHS175X175X8</t>
  </si>
  <si>
    <t>SHS175X175X10</t>
  </si>
  <si>
    <t>SHS180X180X4</t>
  </si>
  <si>
    <t>SHS180X180X4.5</t>
  </si>
  <si>
    <t>SHS180X180X5</t>
  </si>
  <si>
    <t>SHS180X180X5.4</t>
  </si>
  <si>
    <t>SHS180X180X6</t>
  </si>
  <si>
    <t>SHS180X180X8</t>
  </si>
  <si>
    <t>SHS180X180X10</t>
  </si>
  <si>
    <t>SHS200X200X4</t>
  </si>
  <si>
    <t>SHS200X200X4.5</t>
  </si>
  <si>
    <t>SHS200X200X5</t>
  </si>
  <si>
    <t>SHS200X200X5.4</t>
  </si>
  <si>
    <t>SHS200X200X6</t>
  </si>
  <si>
    <t>SHS200X200X8</t>
  </si>
  <si>
    <t>SHS200X200X10</t>
  </si>
  <si>
    <t>SHS200X200X12</t>
  </si>
  <si>
    <t>SHS200X200X14</t>
  </si>
  <si>
    <t>SHS220X220X4.5</t>
  </si>
  <si>
    <t>SHS220X220X5</t>
  </si>
  <si>
    <t>SHS220X220X5.4</t>
  </si>
  <si>
    <t>SHS220X220X6</t>
  </si>
  <si>
    <t>SHS220X220X8</t>
  </si>
  <si>
    <t>SHS220X220X10</t>
  </si>
  <si>
    <t>SHS220X220X12</t>
  </si>
  <si>
    <t>SHS220X220X14</t>
  </si>
  <si>
    <t>SHS225X225X4.5</t>
  </si>
  <si>
    <t>SHS225X225X5</t>
  </si>
  <si>
    <t>SHS225X225X5.4</t>
  </si>
  <si>
    <t>SHS225X225X6</t>
  </si>
  <si>
    <t>SHS225X225X8</t>
  </si>
  <si>
    <t>SHS225X225X10</t>
  </si>
  <si>
    <t>SHS225X225X12</t>
  </si>
  <si>
    <t>SHS225X225X14</t>
  </si>
  <si>
    <t>SHS250X250X5</t>
  </si>
  <si>
    <t>SHS250X250X6</t>
  </si>
  <si>
    <t>SHS250X250X8</t>
  </si>
  <si>
    <t>SHS250X250X10</t>
  </si>
  <si>
    <t>SHS250X250X12</t>
  </si>
  <si>
    <t>SHS250X250X14</t>
  </si>
  <si>
    <t>SHS275X275X5</t>
  </si>
  <si>
    <t>SHS275X275X6</t>
  </si>
  <si>
    <t>SHS275X275X8</t>
  </si>
  <si>
    <t>SHS275X275X10</t>
  </si>
  <si>
    <t>SHS275X275X12</t>
  </si>
  <si>
    <t>SHS275X275X14</t>
  </si>
  <si>
    <t>SHS300X300X6</t>
  </si>
  <si>
    <t>SHS300X300X8</t>
  </si>
  <si>
    <t>SHS300X300X10</t>
  </si>
  <si>
    <t>SHS300X300X12</t>
  </si>
  <si>
    <t>SHS300X300X14</t>
  </si>
  <si>
    <t>SHS300X300X16</t>
  </si>
  <si>
    <t>SHS300X300X18</t>
  </si>
  <si>
    <t>SHS300X300X20</t>
  </si>
  <si>
    <t>SHS325X325X6</t>
  </si>
  <si>
    <t>SHS325X325X8</t>
  </si>
  <si>
    <t>SHS325X325X10</t>
  </si>
  <si>
    <t>SHS325X325X12</t>
  </si>
  <si>
    <t>SHS325X325X14</t>
  </si>
  <si>
    <t>SHS325X325X16</t>
  </si>
  <si>
    <t>SHS325X325X18</t>
  </si>
  <si>
    <t>SHS325X325X20</t>
  </si>
  <si>
    <t>SHS350X350X6</t>
  </si>
  <si>
    <t>SHS350X350X8</t>
  </si>
  <si>
    <t>SHS350X350X10</t>
  </si>
  <si>
    <t>SHS350X350X12</t>
  </si>
  <si>
    <t>SHS350X350X14</t>
  </si>
  <si>
    <t>SHS350X350X16</t>
  </si>
  <si>
    <t>SHS350X350X18</t>
  </si>
  <si>
    <t>SHS350X350X20</t>
  </si>
  <si>
    <t>SHS375X375X8</t>
  </si>
  <si>
    <t>SHS375X375X10</t>
  </si>
  <si>
    <t>SHS375X375X12</t>
  </si>
  <si>
    <t>SHS375X375X14</t>
  </si>
  <si>
    <t>SHS375X375X16</t>
  </si>
  <si>
    <t>SHS375X375X18</t>
  </si>
  <si>
    <t>SHS375X375X20</t>
  </si>
  <si>
    <t>SHS400X400X8</t>
  </si>
  <si>
    <t>SHS400X400X10</t>
  </si>
  <si>
    <t>SHS400X400X12</t>
  </si>
  <si>
    <t>SHS400X400X14</t>
  </si>
  <si>
    <t>SHS400X400X16</t>
  </si>
  <si>
    <t>SHS400X400X18</t>
  </si>
  <si>
    <t>SHS400X400X20</t>
  </si>
  <si>
    <t>SHS450X450X10</t>
  </si>
  <si>
    <t>SHS450X450X12</t>
  </si>
  <si>
    <t>SHS450X450X14</t>
  </si>
  <si>
    <t>SHS450X450X16</t>
  </si>
  <si>
    <t>SHS450X450X18</t>
  </si>
  <si>
    <t>SHS450X450X20</t>
  </si>
  <si>
    <t>SHS500X500X10</t>
  </si>
  <si>
    <t>SHS500X500X12</t>
  </si>
  <si>
    <t>SHS500X500X14</t>
  </si>
  <si>
    <t>SHS500X500X16</t>
  </si>
  <si>
    <t>SHS500X500X18</t>
  </si>
  <si>
    <t>SHS500X500X20</t>
  </si>
  <si>
    <t>Chiều dày bản bụng</t>
  </si>
  <si>
    <t>Chiều dày bản cánh</t>
  </si>
  <si>
    <t>Bề rộng tiết diện</t>
  </si>
  <si>
    <t>Chiều cao tiết diện</t>
  </si>
  <si>
    <r>
      <t>H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</si>
  <si>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</si>
  <si>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</si>
  <si>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Chiều cao bụng</t>
  </si>
  <si>
    <r>
      <t>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</si>
  <si>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Chiều dài hình học cột</t>
  </si>
  <si>
    <r>
      <t>L</t>
    </r>
    <r>
      <rPr>
        <vertAlign val="subscript"/>
        <sz val="10"/>
        <color theme="1"/>
        <rFont val="Calibri"/>
        <family val="2"/>
        <scheme val="minor"/>
      </rPr>
      <t>x,tt</t>
    </r>
    <r>
      <rPr>
        <sz val="10"/>
        <color theme="1"/>
        <rFont val="Calibri"/>
        <family val="2"/>
        <scheme val="minor"/>
      </rPr>
      <t xml:space="preserve"> =</t>
    </r>
  </si>
  <si>
    <r>
      <t>L</t>
    </r>
    <r>
      <rPr>
        <vertAlign val="subscript"/>
        <sz val="10"/>
        <color theme="1"/>
        <rFont val="Calibri"/>
        <family val="2"/>
        <scheme val="minor"/>
      </rPr>
      <t>y,tt</t>
    </r>
    <r>
      <rPr>
        <sz val="10"/>
        <color theme="1"/>
        <rFont val="Calibri"/>
        <family val="2"/>
        <scheme val="minor"/>
      </rPr>
      <t xml:space="preserve"> =</t>
    </r>
  </si>
  <si>
    <t>m</t>
  </si>
  <si>
    <r>
      <t>S</t>
    </r>
    <r>
      <rPr>
        <vertAlign val="subscript"/>
        <sz val="10"/>
        <color theme="1"/>
        <rFont val="Calibri"/>
        <family val="2"/>
        <scheme val="minor"/>
      </rPr>
      <t>x</t>
    </r>
  </si>
  <si>
    <r>
      <t>I</t>
    </r>
    <r>
      <rPr>
        <vertAlign val="subscript"/>
        <sz val="10"/>
        <color theme="1"/>
        <rFont val="Symbol"/>
        <family val="1"/>
        <charset val="2"/>
      </rPr>
      <t>w</t>
    </r>
    <r>
      <rPr>
        <vertAlign val="subscript"/>
        <sz val="10"/>
        <color theme="1"/>
        <rFont val="Calibri"/>
        <family val="2"/>
        <scheme val="minor"/>
      </rPr>
      <t>n</t>
    </r>
  </si>
  <si>
    <t>w</t>
  </si>
  <si>
    <r>
      <t>cm</t>
    </r>
    <r>
      <rPr>
        <vertAlign val="superscript"/>
        <sz val="10"/>
        <color theme="1"/>
        <rFont val="Calibri"/>
        <family val="2"/>
        <scheme val="minor"/>
      </rPr>
      <t>6</t>
    </r>
  </si>
  <si>
    <r>
      <t>(kNm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</t>
    </r>
  </si>
  <si>
    <t>Bán kính quán tính</t>
  </si>
  <si>
    <t>Độ lệch tâm tương đối</t>
  </si>
  <si>
    <r>
      <t>λ̅ufc = λ̅</t>
    </r>
    <r>
      <rPr>
        <vertAlign val="subscript"/>
        <sz val="10"/>
        <color theme="1"/>
        <rFont val="Calibri"/>
        <family val="2"/>
        <scheme val="minor"/>
      </rPr>
      <t>uw</t>
    </r>
    <r>
      <rPr>
        <sz val="10"/>
        <color theme="1"/>
        <rFont val="Calibri"/>
        <family val="2"/>
        <scheme val="minor"/>
      </rPr>
      <t>=</t>
    </r>
  </si>
  <si>
    <t>(Mục 7.3.9)</t>
  </si>
  <si>
    <t>Độ mảnh quy ước giới hạn (Bảng 24, Loại tiết diện 2)</t>
  </si>
  <si>
    <r>
      <t>b</t>
    </r>
    <r>
      <rPr>
        <vertAlign val="subscript"/>
        <sz val="10"/>
        <color theme="1"/>
        <rFont val="Calibri"/>
        <family val="2"/>
        <scheme val="minor"/>
      </rPr>
      <t>ef,1</t>
    </r>
    <r>
      <rPr>
        <sz val="10"/>
        <color theme="1"/>
        <rFont val="Calibri"/>
        <family val="2"/>
        <scheme val="minor"/>
      </rPr>
      <t xml:space="preserve"> =</t>
    </r>
  </si>
  <si>
    <t>Độ mảnh quy ước của bản cánh</t>
  </si>
  <si>
    <r>
      <rPr>
        <sz val="10"/>
        <color theme="1"/>
        <rFont val="Tahoma"/>
        <family val="2"/>
      </rPr>
      <t>I</t>
    </r>
    <r>
      <rPr>
        <vertAlign val="subscript"/>
        <sz val="10"/>
        <color theme="1"/>
        <rFont val="Calibri"/>
        <family val="2"/>
        <scheme val="minor"/>
      </rPr>
      <t>x</t>
    </r>
  </si>
  <si>
    <r>
      <rPr>
        <sz val="10"/>
        <color theme="1"/>
        <rFont val="Tahoma"/>
        <family val="2"/>
      </rPr>
      <t>I</t>
    </r>
    <r>
      <rPr>
        <vertAlign val="subscript"/>
        <sz val="10"/>
        <color theme="1"/>
        <rFont val="Calibri"/>
        <family val="2"/>
        <scheme val="minor"/>
      </rPr>
      <t>y</t>
    </r>
  </si>
  <si>
    <r>
      <t>W</t>
    </r>
    <r>
      <rPr>
        <vertAlign val="subscript"/>
        <sz val="10"/>
        <color theme="1"/>
        <rFont val="Calibri"/>
        <family val="2"/>
        <scheme val="minor"/>
      </rPr>
      <t>x</t>
    </r>
  </si>
  <si>
    <r>
      <t>W</t>
    </r>
    <r>
      <rPr>
        <vertAlign val="subscript"/>
        <sz val="10"/>
        <color theme="1"/>
        <rFont val="Calibri"/>
        <family val="2"/>
        <scheme val="minor"/>
      </rPr>
      <t>y</t>
    </r>
  </si>
  <si>
    <t>Mx</t>
  </si>
  <si>
    <t>My</t>
  </si>
  <si>
    <t>Vx</t>
  </si>
  <si>
    <t>Vy</t>
  </si>
  <si>
    <r>
      <t>i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 (I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/A)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 xml:space="preserve"> 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</si>
  <si>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=(L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/i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).(f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</si>
  <si>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A/(NW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)=</t>
    </r>
  </si>
  <si>
    <r>
      <t>i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 (I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/A)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 xml:space="preserve"> 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</si>
  <si>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=(L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/i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).(f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</si>
  <si>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=M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A/(NW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</si>
  <si>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uf,1</t>
    </r>
    <r>
      <rPr>
        <sz val="10"/>
        <color theme="1"/>
        <rFont val="Calibri"/>
        <family val="2"/>
        <scheme val="minor"/>
      </rPr>
      <t>=λ̅</t>
    </r>
    <r>
      <rPr>
        <vertAlign val="subscript"/>
        <sz val="10"/>
        <color theme="1"/>
        <rFont val="Calibri"/>
        <family val="2"/>
        <scheme val="minor"/>
      </rPr>
      <t xml:space="preserve">ufc </t>
    </r>
    <r>
      <rPr>
        <sz val="10"/>
        <color theme="1"/>
        <rFont val="Calibri"/>
        <family val="2"/>
        <scheme val="minor"/>
      </rPr>
      <t>- 0.01(5.3+1.3λ̅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)m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</si>
  <si>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f,1</t>
    </r>
    <r>
      <rPr>
        <sz val="10"/>
        <color theme="1"/>
        <rFont val="Calibri"/>
        <family val="2"/>
        <scheme val="minor"/>
      </rPr>
      <t>=(b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)(f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>=</t>
    </r>
  </si>
  <si>
    <t>Độ mảnh quy ước giới hạn của bản bụng</t>
  </si>
  <si>
    <r>
      <t>λ̅</t>
    </r>
    <r>
      <rPr>
        <vertAlign val="subscript"/>
        <sz val="10"/>
        <color theme="1"/>
        <rFont val="Calibri"/>
        <family val="2"/>
        <scheme val="minor"/>
      </rPr>
      <t>uwc</t>
    </r>
    <r>
      <rPr>
        <sz val="10"/>
        <color theme="1"/>
        <rFont val="Calibri"/>
        <family val="2"/>
        <scheme val="minor"/>
      </rPr>
      <t>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</si>
  <si>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uwe</t>
    </r>
    <r>
      <rPr>
        <sz val="10"/>
        <color theme="1"/>
        <rFont val="Calibri"/>
        <family val="2"/>
        <scheme val="minor"/>
      </rPr>
      <t>=</t>
    </r>
  </si>
  <si>
    <r>
      <t xml:space="preserve">Độ mảnh quy ước giới hạn của bản bụng (trường hợp mx </t>
    </r>
    <r>
      <rPr>
        <sz val="10"/>
        <color theme="1"/>
        <rFont val="Symbol"/>
        <family val="1"/>
        <charset val="2"/>
      </rPr>
      <t xml:space="preserve"> ³ </t>
    </r>
    <r>
      <rPr>
        <sz val="10"/>
        <color theme="1"/>
        <rFont val="Calibri"/>
        <family val="2"/>
        <scheme val="minor"/>
      </rPr>
      <t>1) - Bảng 23, Loại tiết diện 1</t>
    </r>
  </si>
  <si>
    <t>Độ mảnh quy ước giới hạn của bản bụng (trường hợp mx = 0) - Bảng 7</t>
  </si>
  <si>
    <r>
      <t>λ̅</t>
    </r>
    <r>
      <rPr>
        <vertAlign val="subscript"/>
        <sz val="10"/>
        <color theme="1"/>
        <rFont val="Calibri"/>
        <family val="2"/>
        <scheme val="minor"/>
      </rPr>
      <t>uw</t>
    </r>
    <r>
      <rPr>
        <sz val="10"/>
        <color theme="1"/>
        <rFont val="Calibri"/>
        <family val="2"/>
        <scheme val="minor"/>
      </rPr>
      <t>=</t>
    </r>
  </si>
  <si>
    <t>Độ mảnh quy ước của bản bụng</t>
  </si>
  <si>
    <r>
      <t>λ̅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=(h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/E)=</t>
    </r>
  </si>
  <si>
    <r>
      <t>h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</si>
  <si>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</si>
  <si>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Bảng D10</t>
  </si>
  <si>
    <r>
      <t xml:space="preserve">Hệ số </t>
    </r>
    <r>
      <rPr>
        <b/>
        <sz val="11"/>
        <color theme="1"/>
        <rFont val="Arial"/>
        <family val="2"/>
      </rPr>
      <t>φ</t>
    </r>
    <r>
      <rPr>
        <b/>
        <sz val="11"/>
        <color theme="1"/>
        <rFont val="Calibri"/>
        <family val="2"/>
      </rPr>
      <t>e để kiểm tra ổn định của cấu kiện tiết diện đặc, chịu nén lệch tâm (nén uốn), mặt phẳng tác dụng của moment trùng với mặt phẳng đối xứng</t>
    </r>
  </si>
  <si>
    <r>
      <t>m</t>
    </r>
    <r>
      <rPr>
        <vertAlign val="subscript"/>
        <sz val="10"/>
        <color theme="1"/>
        <rFont val="Calibri"/>
        <family val="2"/>
        <scheme val="minor"/>
      </rPr>
      <t>ef,x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</si>
  <si>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e,x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</si>
  <si>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ef,y</t>
    </r>
    <r>
      <rPr>
        <sz val="10"/>
        <color theme="1"/>
        <rFont val="Calibri"/>
        <family val="2"/>
        <scheme val="minor"/>
      </rPr>
      <t xml:space="preserve"> 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</si>
  <si>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</si>
  <si>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e,y</t>
    </r>
    <r>
      <rPr>
        <sz val="10"/>
        <color theme="1"/>
        <rFont val="Calibri"/>
        <family val="2"/>
        <scheme val="minor"/>
      </rPr>
      <t xml:space="preserve"> =</t>
    </r>
  </si>
  <si>
    <t>Bảng D.3:</t>
  </si>
  <si>
    <r>
      <t>c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</si>
  <si>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c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</si>
  <si>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</si>
  <si>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</si>
  <si>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Tỷ số huy động cấu kiện khi có N, Mx</t>
  </si>
  <si>
    <t>(Áp dụng CT.119)</t>
  </si>
  <si>
    <t>Tỷ số huy động cấu kiện khi có N, My</t>
  </si>
  <si>
    <t>[N;Mx] =</t>
  </si>
  <si>
    <t>[N;My] =</t>
  </si>
  <si>
    <t>(Áp dụng CT.120)</t>
  </si>
  <si>
    <t>3. Độ mảnh của cấu kiện (Mục 10.4)</t>
  </si>
  <si>
    <t>Độ mảnh lớn nhất cấu kiện</t>
  </si>
  <si>
    <t>Độ mảnh giới hạn của cấu kiện</t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</si>
  <si>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</si>
  <si>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</si>
  <si>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t>[</t>
    </r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>]=180-60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</si>
  <si>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</si>
  <si>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2. Tính toán về ổn định (Mục 9.2)</t>
  </si>
  <si>
    <t>2.1. Ổn định tổng thể trong mặt phẳng uốn (Mục 9.2.10)</t>
  </si>
  <si>
    <t>2.2 Ổn định cục bộ bản cánh (Mục 9.4.7)</t>
  </si>
  <si>
    <t>2.3 Ổn định cục bộ bản bụng (Mục 9.4.2)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</si>
  <si>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</rPr>
      <t xml:space="preserve"> 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</si>
  <si>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</rPr>
      <t xml:space="preserve"> 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</si>
  <si>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</rPr>
      <t xml:space="preserve"> 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</si>
  <si>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</rPr>
      <t>]</t>
    </r>
    <r>
      <rPr>
        <sz val="10"/>
        <color theme="1"/>
        <rFont val="Calibri"/>
        <family val="2"/>
        <scheme val="minor"/>
      </rPr>
      <t>=</t>
    </r>
  </si>
  <si>
    <t>Độ mảnh quy ước</t>
  </si>
  <si>
    <t>G</t>
  </si>
  <si>
    <r>
      <t>I</t>
    </r>
    <r>
      <rPr>
        <vertAlign val="subscript"/>
        <sz val="10"/>
        <color theme="1"/>
        <rFont val="Symbol"/>
        <family val="1"/>
        <charset val="2"/>
      </rPr>
      <t>w</t>
    </r>
  </si>
  <si>
    <t>k</t>
  </si>
  <si>
    <t>L</t>
  </si>
  <si>
    <r>
      <t>m</t>
    </r>
    <r>
      <rPr>
        <vertAlign val="superscript"/>
        <sz val="10"/>
        <color theme="1"/>
        <rFont val="Calibri"/>
        <family val="2"/>
        <scheme val="minor"/>
      </rPr>
      <t>2</t>
    </r>
  </si>
  <si>
    <t>1/m</t>
  </si>
  <si>
    <t>kNm</t>
  </si>
  <si>
    <t>Hệ số ảnh hưởng của hình dạng</t>
  </si>
  <si>
    <t>Bảng D.2:</t>
  </si>
  <si>
    <r>
      <rPr>
        <sz val="10"/>
        <color theme="1"/>
        <rFont val="Symbol"/>
        <family val="1"/>
        <charset val="2"/>
      </rPr>
      <t>h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</si>
  <si>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h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</si>
  <si>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Tính toán theo công thức</t>
  </si>
  <si>
    <t>Tỷ số huy động  ứng suất pháp của cấu kiện khi có tác dụng của B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</si>
  <si>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Symbol"/>
        <family val="1"/>
        <charset val="2"/>
      </rPr>
      <t>B</t>
    </r>
    <r>
      <rPr>
        <sz val="10"/>
        <color theme="1"/>
        <rFont val="Symbol"/>
        <family val="1"/>
        <charset val="2"/>
      </rPr>
      <t>/[s</t>
    </r>
    <r>
      <rPr>
        <vertAlign val="subscript"/>
        <sz val="10"/>
        <color theme="1"/>
        <rFont val="Symbol"/>
        <family val="1"/>
        <charset val="2"/>
      </rPr>
      <t>B</t>
    </r>
    <r>
      <rPr>
        <sz val="10"/>
        <color theme="1"/>
        <rFont val="Symbol"/>
        <family val="1"/>
        <charset val="2"/>
      </rPr>
      <t xml:space="preserve">] </t>
    </r>
    <r>
      <rPr>
        <sz val="10"/>
        <color theme="1"/>
        <rFont val="Calibri"/>
        <family val="2"/>
      </rPr>
      <t>=</t>
    </r>
  </si>
  <si>
    <t>A. THÔNG SỐ THIẾT KẾ</t>
  </si>
  <si>
    <t>Mác thép</t>
  </si>
  <si>
    <t>E=</t>
  </si>
  <si>
    <t>Ứng suất pháp tới hạn</t>
  </si>
  <si>
    <r>
      <t>[</t>
    </r>
    <r>
      <rPr>
        <sz val="10"/>
        <rFont val="Symbol"/>
        <family val="1"/>
        <charset val="2"/>
      </rPr>
      <t>s</t>
    </r>
    <r>
      <rPr>
        <sz val="10"/>
        <rFont val="Calibri"/>
        <family val="2"/>
      </rPr>
      <t>]=f</t>
    </r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</rPr>
      <t>c</t>
    </r>
    <r>
      <rPr>
        <sz val="10"/>
        <rFont val="Calibri"/>
        <family val="2"/>
      </rPr>
      <t>=</t>
    </r>
  </si>
  <si>
    <r>
      <t>f</t>
    </r>
    <r>
      <rPr>
        <vertAlign val="subscript"/>
        <sz val="10"/>
        <rFont val="Calibri"/>
        <family val="2"/>
        <scheme val="minor"/>
      </rPr>
      <t>y</t>
    </r>
    <r>
      <rPr>
        <sz val="10"/>
        <rFont val="Calibri"/>
        <family val="2"/>
        <scheme val="minor"/>
      </rPr>
      <t>=</t>
    </r>
  </si>
  <si>
    <t>Ứng suất tiếp tới hạn</t>
  </si>
  <si>
    <r>
      <t>[</t>
    </r>
    <r>
      <rPr>
        <sz val="10"/>
        <rFont val="Symbol"/>
        <family val="1"/>
        <charset val="2"/>
      </rPr>
      <t>t</t>
    </r>
    <r>
      <rPr>
        <sz val="10"/>
        <rFont val="Calibri"/>
        <family val="2"/>
      </rPr>
      <t>]=</t>
    </r>
    <r>
      <rPr>
        <sz val="10"/>
        <rFont val="Calibri"/>
        <family val="2"/>
        <scheme val="minor"/>
      </rPr>
      <t>f</t>
    </r>
    <r>
      <rPr>
        <vertAlign val="subscript"/>
        <sz val="10"/>
        <rFont val="Calibri"/>
        <family val="2"/>
        <scheme val="minor"/>
      </rPr>
      <t>v</t>
    </r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</rPr>
      <t>c</t>
    </r>
    <r>
      <rPr>
        <sz val="10"/>
        <rFont val="Calibri"/>
        <family val="2"/>
      </rPr>
      <t>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</si>
  <si>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  <scheme val="minor"/>
      </rPr>
      <t>c</t>
    </r>
    <r>
      <rPr>
        <sz val="10"/>
        <rFont val="Calibri"/>
        <family val="2"/>
        <scheme val="minor"/>
      </rPr>
      <t>=</t>
    </r>
  </si>
  <si>
    <t>f=</t>
  </si>
  <si>
    <t>Ứng suất tương đương</t>
  </si>
  <si>
    <r>
      <t>[</t>
    </r>
    <r>
      <rPr>
        <sz val="10"/>
        <rFont val="Symbol"/>
        <family val="1"/>
        <charset val="2"/>
      </rPr>
      <t>s</t>
    </r>
    <r>
      <rPr>
        <vertAlign val="subscript"/>
        <sz val="10"/>
        <rFont val="Calibri"/>
        <family val="2"/>
        <scheme val="minor"/>
      </rPr>
      <t>td</t>
    </r>
    <r>
      <rPr>
        <sz val="10"/>
        <rFont val="Calibri"/>
        <family val="2"/>
      </rPr>
      <t>]=1.15f</t>
    </r>
    <r>
      <rPr>
        <vertAlign val="subscript"/>
        <sz val="10"/>
        <rFont val="Calibri"/>
        <family val="2"/>
      </rPr>
      <t>yd</t>
    </r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</rPr>
      <t>c</t>
    </r>
    <r>
      <rPr>
        <sz val="10"/>
        <rFont val="Calibri"/>
        <family val="2"/>
      </rPr>
      <t>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</si>
  <si>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  <scheme val="minor"/>
      </rPr>
      <t>m</t>
    </r>
    <r>
      <rPr>
        <sz val="10"/>
        <rFont val="Calibri"/>
        <family val="2"/>
        <scheme val="minor"/>
      </rPr>
      <t>=</t>
    </r>
  </si>
  <si>
    <r>
      <t>f</t>
    </r>
    <r>
      <rPr>
        <vertAlign val="subscript"/>
        <sz val="10"/>
        <rFont val="Calibri"/>
        <family val="2"/>
        <scheme val="minor"/>
      </rPr>
      <t>v</t>
    </r>
    <r>
      <rPr>
        <sz val="10"/>
        <rFont val="Calibri"/>
        <family val="2"/>
        <scheme val="minor"/>
      </rPr>
      <t>=</t>
    </r>
  </si>
  <si>
    <t>B. TÍNH TOÁN</t>
  </si>
  <si>
    <t>Thông Số</t>
  </si>
  <si>
    <t>(mm)</t>
  </si>
  <si>
    <t>kN</t>
  </si>
  <si>
    <t>tw</t>
  </si>
  <si>
    <t>tf</t>
  </si>
  <si>
    <t>H</t>
  </si>
  <si>
    <r>
      <t>L</t>
    </r>
    <r>
      <rPr>
        <vertAlign val="subscript"/>
        <sz val="10"/>
        <color rgb="FF0070C0"/>
        <rFont val="Calibri"/>
        <family val="2"/>
        <scheme val="minor"/>
      </rPr>
      <t>x,tt</t>
    </r>
  </si>
  <si>
    <r>
      <t>L</t>
    </r>
    <r>
      <rPr>
        <vertAlign val="subscript"/>
        <sz val="10"/>
        <color rgb="FF0070C0"/>
        <rFont val="Calibri"/>
        <family val="2"/>
        <scheme val="minor"/>
      </rPr>
      <t>y,tt</t>
    </r>
  </si>
  <si>
    <r>
      <t>I</t>
    </r>
    <r>
      <rPr>
        <vertAlign val="subscript"/>
        <sz val="10"/>
        <color rgb="FF0070C0"/>
        <rFont val="Symbol"/>
        <family val="1"/>
        <charset val="2"/>
      </rPr>
      <t>w</t>
    </r>
    <r>
      <rPr>
        <vertAlign val="subscript"/>
        <sz val="10"/>
        <color rgb="FF0070C0"/>
        <rFont val="Calibri"/>
        <family val="2"/>
        <scheme val="minor"/>
      </rPr>
      <t>n</t>
    </r>
  </si>
  <si>
    <r>
      <t>cm</t>
    </r>
    <r>
      <rPr>
        <vertAlign val="superscript"/>
        <sz val="10"/>
        <color rgb="FF0070C0"/>
        <rFont val="Calibri"/>
        <family val="2"/>
        <scheme val="minor"/>
      </rPr>
      <t>6</t>
    </r>
  </si>
  <si>
    <r>
      <t>cm</t>
    </r>
    <r>
      <rPr>
        <vertAlign val="superscript"/>
        <sz val="10"/>
        <color rgb="FF0070C0"/>
        <rFont val="Calibri"/>
        <family val="2"/>
        <scheme val="minor"/>
      </rPr>
      <t>2</t>
    </r>
  </si>
  <si>
    <t>n</t>
  </si>
  <si>
    <r>
      <t>Hệ số N/(A</t>
    </r>
    <r>
      <rPr>
        <vertAlign val="subscript"/>
        <sz val="10"/>
        <color theme="1"/>
        <rFont val="Calibri"/>
        <family val="2"/>
        <scheme val="minor"/>
      </rPr>
      <t>n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) =</t>
    </r>
  </si>
  <si>
    <t>CT</t>
  </si>
  <si>
    <t>D/C</t>
  </si>
  <si>
    <t>Tính toán về bền</t>
  </si>
  <si>
    <t>Kiểm tra</t>
  </si>
  <si>
    <t>Ổn định tổng thể</t>
  </si>
  <si>
    <r>
      <rPr>
        <sz val="10"/>
        <color rgb="FF0070C0"/>
        <rFont val="Symbol"/>
        <family val="1"/>
        <charset val="2"/>
      </rPr>
      <t>j</t>
    </r>
    <r>
      <rPr>
        <vertAlign val="subscript"/>
        <sz val="10"/>
        <color rgb="FF0070C0"/>
        <rFont val="Calibri"/>
        <family val="2"/>
        <scheme val="minor"/>
      </rPr>
      <t>e,x</t>
    </r>
  </si>
  <si>
    <r>
      <t>[N;M</t>
    </r>
    <r>
      <rPr>
        <vertAlign val="subscript"/>
        <sz val="10"/>
        <color rgb="FF0070C0"/>
        <rFont val="Calibri"/>
        <family val="2"/>
        <scheme val="minor"/>
      </rPr>
      <t>x</t>
    </r>
    <r>
      <rPr>
        <sz val="10"/>
        <color rgb="FF0070C0"/>
        <rFont val="Calibri"/>
        <family val="2"/>
        <scheme val="minor"/>
      </rPr>
      <t>]
(119)</t>
    </r>
  </si>
  <si>
    <r>
      <t>[N;M</t>
    </r>
    <r>
      <rPr>
        <vertAlign val="subscript"/>
        <sz val="10"/>
        <color rgb="FF0070C0"/>
        <rFont val="Calibri"/>
        <family val="2"/>
        <scheme val="minor"/>
      </rPr>
      <t>y</t>
    </r>
    <r>
      <rPr>
        <sz val="10"/>
        <color rgb="FF0070C0"/>
        <rFont val="Calibri"/>
        <family val="2"/>
        <scheme val="minor"/>
      </rPr>
      <t>]
(120)</t>
    </r>
  </si>
  <si>
    <r>
      <t>λ̅</t>
    </r>
    <r>
      <rPr>
        <vertAlign val="subscript"/>
        <sz val="10"/>
        <color rgb="FF0070C0"/>
        <rFont val="Calibri"/>
        <family val="2"/>
        <scheme val="minor"/>
      </rPr>
      <t>uwc</t>
    </r>
  </si>
  <si>
    <r>
      <t>I</t>
    </r>
    <r>
      <rPr>
        <vertAlign val="subscript"/>
        <sz val="10"/>
        <color rgb="FF0070C0"/>
        <rFont val="Calibri"/>
        <family val="2"/>
        <scheme val="minor"/>
      </rPr>
      <t>x</t>
    </r>
  </si>
  <si>
    <r>
      <t>I</t>
    </r>
    <r>
      <rPr>
        <vertAlign val="subscript"/>
        <sz val="10"/>
        <color rgb="FF0070C0"/>
        <rFont val="Calibri"/>
        <family val="2"/>
        <scheme val="minor"/>
      </rPr>
      <t>y</t>
    </r>
  </si>
  <si>
    <r>
      <t>W</t>
    </r>
    <r>
      <rPr>
        <vertAlign val="subscript"/>
        <sz val="10"/>
        <color rgb="FF0070C0"/>
        <rFont val="Calibri"/>
        <family val="2"/>
        <scheme val="minor"/>
      </rPr>
      <t>x</t>
    </r>
  </si>
  <si>
    <r>
      <t>W</t>
    </r>
    <r>
      <rPr>
        <vertAlign val="subscript"/>
        <sz val="10"/>
        <color rgb="FF0070C0"/>
        <rFont val="Calibri"/>
        <family val="2"/>
        <scheme val="minor"/>
      </rPr>
      <t>y</t>
    </r>
  </si>
  <si>
    <r>
      <t>S</t>
    </r>
    <r>
      <rPr>
        <vertAlign val="subscript"/>
        <sz val="10"/>
        <color rgb="FF0070C0"/>
        <rFont val="Calibri"/>
        <family val="2"/>
        <scheme val="minor"/>
      </rPr>
      <t>x</t>
    </r>
  </si>
  <si>
    <r>
      <t>V</t>
    </r>
    <r>
      <rPr>
        <vertAlign val="subscript"/>
        <sz val="10"/>
        <color rgb="FF0070C0"/>
        <rFont val="Calibri"/>
        <family val="2"/>
        <scheme val="minor"/>
      </rPr>
      <t>x</t>
    </r>
  </si>
  <si>
    <r>
      <t>V</t>
    </r>
    <r>
      <rPr>
        <vertAlign val="subscript"/>
        <sz val="10"/>
        <color rgb="FF0070C0"/>
        <rFont val="Calibri"/>
        <family val="2"/>
        <scheme val="minor"/>
      </rPr>
      <t>y</t>
    </r>
  </si>
  <si>
    <r>
      <t>M</t>
    </r>
    <r>
      <rPr>
        <vertAlign val="subscript"/>
        <sz val="10"/>
        <color rgb="FF0070C0"/>
        <rFont val="Calibri"/>
        <family val="2"/>
        <scheme val="minor"/>
      </rPr>
      <t>x</t>
    </r>
  </si>
  <si>
    <r>
      <t>M</t>
    </r>
    <r>
      <rPr>
        <vertAlign val="subscript"/>
        <sz val="10"/>
        <color rgb="FF0070C0"/>
        <rFont val="Calibri"/>
        <family val="2"/>
        <scheme val="minor"/>
      </rPr>
      <t>y</t>
    </r>
  </si>
  <si>
    <r>
      <rPr>
        <sz val="10"/>
        <color rgb="FF0070C0"/>
        <rFont val="Symbol"/>
        <family val="1"/>
        <charset val="2"/>
      </rPr>
      <t>m</t>
    </r>
    <r>
      <rPr>
        <vertAlign val="subscript"/>
        <sz val="10"/>
        <color rgb="FF0070C0"/>
        <rFont val="Calibri"/>
        <family val="2"/>
        <scheme val="minor"/>
      </rPr>
      <t>x</t>
    </r>
  </si>
  <si>
    <r>
      <rPr>
        <sz val="10"/>
        <color rgb="FF0070C0"/>
        <rFont val="Symbol"/>
        <family val="1"/>
        <charset val="2"/>
      </rPr>
      <t>m</t>
    </r>
    <r>
      <rPr>
        <vertAlign val="subscript"/>
        <sz val="10"/>
        <color rgb="FF0070C0"/>
        <rFont val="Calibri"/>
        <family val="2"/>
        <scheme val="minor"/>
      </rPr>
      <t>y</t>
    </r>
  </si>
  <si>
    <r>
      <t>i</t>
    </r>
    <r>
      <rPr>
        <vertAlign val="subscript"/>
        <sz val="10"/>
        <color rgb="FF0070C0"/>
        <rFont val="Calibri"/>
        <family val="2"/>
        <scheme val="minor"/>
      </rPr>
      <t>x</t>
    </r>
  </si>
  <si>
    <r>
      <t>λ̅</t>
    </r>
    <r>
      <rPr>
        <vertAlign val="subscript"/>
        <sz val="10"/>
        <color rgb="FF0070C0"/>
        <rFont val="Calibri"/>
        <family val="2"/>
        <scheme val="minor"/>
      </rPr>
      <t>x</t>
    </r>
  </si>
  <si>
    <r>
      <t>m</t>
    </r>
    <r>
      <rPr>
        <vertAlign val="subscript"/>
        <sz val="10"/>
        <color rgb="FF0070C0"/>
        <rFont val="Calibri"/>
        <family val="2"/>
        <scheme val="minor"/>
      </rPr>
      <t>x</t>
    </r>
  </si>
  <si>
    <r>
      <t>i</t>
    </r>
    <r>
      <rPr>
        <vertAlign val="subscript"/>
        <sz val="10"/>
        <color rgb="FF0070C0"/>
        <rFont val="Calibri"/>
        <family val="2"/>
        <scheme val="minor"/>
      </rPr>
      <t>y</t>
    </r>
  </si>
  <si>
    <r>
      <t>λ̅</t>
    </r>
    <r>
      <rPr>
        <vertAlign val="subscript"/>
        <sz val="10"/>
        <color rgb="FF0070C0"/>
        <rFont val="Calibri"/>
        <family val="2"/>
        <scheme val="minor"/>
      </rPr>
      <t>y</t>
    </r>
  </si>
  <si>
    <r>
      <t>m</t>
    </r>
    <r>
      <rPr>
        <vertAlign val="subscript"/>
        <sz val="10"/>
        <color rgb="FF0070C0"/>
        <rFont val="Calibri"/>
        <family val="2"/>
        <scheme val="minor"/>
      </rPr>
      <t>y</t>
    </r>
  </si>
  <si>
    <r>
      <rPr>
        <sz val="10"/>
        <color rgb="FF0070C0"/>
        <rFont val="Symbol"/>
        <family val="1"/>
        <charset val="2"/>
      </rPr>
      <t>h</t>
    </r>
    <r>
      <rPr>
        <vertAlign val="subscript"/>
        <sz val="10"/>
        <color rgb="FF0070C0"/>
        <rFont val="Calibri"/>
        <family val="2"/>
        <scheme val="minor"/>
      </rPr>
      <t>x</t>
    </r>
  </si>
  <si>
    <r>
      <t>m</t>
    </r>
    <r>
      <rPr>
        <vertAlign val="subscript"/>
        <sz val="10"/>
        <color rgb="FF0070C0"/>
        <rFont val="Calibri"/>
        <family val="2"/>
        <scheme val="minor"/>
      </rPr>
      <t>ef,x</t>
    </r>
  </si>
  <si>
    <r>
      <rPr>
        <sz val="10"/>
        <color rgb="FF0070C0"/>
        <rFont val="Symbol"/>
        <family val="1"/>
        <charset val="2"/>
      </rPr>
      <t>h</t>
    </r>
    <r>
      <rPr>
        <vertAlign val="subscript"/>
        <sz val="10"/>
        <color rgb="FF0070C0"/>
        <rFont val="Calibri"/>
        <family val="2"/>
        <scheme val="minor"/>
      </rPr>
      <t>y</t>
    </r>
  </si>
  <si>
    <r>
      <t>m</t>
    </r>
    <r>
      <rPr>
        <vertAlign val="subscript"/>
        <sz val="10"/>
        <color rgb="FF0070C0"/>
        <rFont val="Calibri"/>
        <family val="2"/>
        <scheme val="minor"/>
      </rPr>
      <t>ef,y</t>
    </r>
  </si>
  <si>
    <r>
      <rPr>
        <sz val="10"/>
        <color rgb="FF0070C0"/>
        <rFont val="Symbol"/>
        <family val="1"/>
        <charset val="2"/>
      </rPr>
      <t>j</t>
    </r>
    <r>
      <rPr>
        <vertAlign val="subscript"/>
        <sz val="10"/>
        <color rgb="FF0070C0"/>
        <rFont val="Calibri"/>
        <family val="2"/>
        <scheme val="minor"/>
      </rPr>
      <t>e,y</t>
    </r>
  </si>
  <si>
    <r>
      <rPr>
        <sz val="10"/>
        <color rgb="FF0070C0"/>
        <rFont val="Symbol"/>
        <family val="1"/>
        <charset val="2"/>
      </rPr>
      <t>d</t>
    </r>
    <r>
      <rPr>
        <vertAlign val="subscript"/>
        <sz val="10"/>
        <color rgb="FF0070C0"/>
        <rFont val="Calibri"/>
        <family val="2"/>
        <scheme val="minor"/>
      </rPr>
      <t>x</t>
    </r>
  </si>
  <si>
    <r>
      <rPr>
        <sz val="10"/>
        <color rgb="FF0070C0"/>
        <rFont val="Symbol"/>
        <family val="1"/>
        <charset val="2"/>
      </rPr>
      <t>d</t>
    </r>
    <r>
      <rPr>
        <vertAlign val="subscript"/>
        <sz val="10"/>
        <color rgb="FF0070C0"/>
        <rFont val="Calibri"/>
        <family val="2"/>
        <scheme val="minor"/>
      </rPr>
      <t>y</t>
    </r>
  </si>
  <si>
    <r>
      <t>N
(A</t>
    </r>
    <r>
      <rPr>
        <vertAlign val="subscript"/>
        <sz val="10"/>
        <color rgb="FF0070C0"/>
        <rFont val="Calibri"/>
        <family val="2"/>
        <scheme val="minor"/>
      </rPr>
      <t>n</t>
    </r>
    <r>
      <rPr>
        <sz val="10"/>
        <color rgb="FF0070C0"/>
        <rFont val="Calibri"/>
        <family val="2"/>
        <scheme val="minor"/>
      </rPr>
      <t>f</t>
    </r>
    <r>
      <rPr>
        <vertAlign val="subscript"/>
        <sz val="10"/>
        <color rgb="FF0070C0"/>
        <rFont val="Calibri"/>
        <family val="2"/>
        <scheme val="minor"/>
      </rPr>
      <t>yd</t>
    </r>
    <r>
      <rPr>
        <sz val="10"/>
        <color rgb="FF0070C0"/>
        <rFont val="Calibri"/>
        <family val="2"/>
        <scheme val="minor"/>
      </rPr>
      <t>)</t>
    </r>
  </si>
  <si>
    <r>
      <t>A</t>
    </r>
    <r>
      <rPr>
        <vertAlign val="subscript"/>
        <sz val="10"/>
        <color rgb="FF0070C0"/>
        <rFont val="Calibri"/>
        <family val="2"/>
        <scheme val="minor"/>
      </rPr>
      <t xml:space="preserve">f
</t>
    </r>
    <r>
      <rPr>
        <sz val="10"/>
        <color rgb="FF0070C0"/>
        <rFont val="Calibri"/>
        <family val="2"/>
        <scheme val="minor"/>
      </rPr>
      <t>A</t>
    </r>
    <r>
      <rPr>
        <vertAlign val="subscript"/>
        <sz val="10"/>
        <color rgb="FF0070C0"/>
        <rFont val="Calibri"/>
        <family val="2"/>
        <scheme val="minor"/>
      </rPr>
      <t>w</t>
    </r>
  </si>
  <si>
    <r>
      <t>c</t>
    </r>
    <r>
      <rPr>
        <vertAlign val="subscript"/>
        <sz val="10"/>
        <color rgb="FF0070C0"/>
        <rFont val="Calibri"/>
        <family val="2"/>
        <scheme val="minor"/>
      </rPr>
      <t>x</t>
    </r>
  </si>
  <si>
    <r>
      <t>c</t>
    </r>
    <r>
      <rPr>
        <vertAlign val="subscript"/>
        <sz val="10"/>
        <color rgb="FF0070C0"/>
        <rFont val="Calibri"/>
        <family val="2"/>
        <scheme val="minor"/>
      </rPr>
      <t>y</t>
    </r>
  </si>
  <si>
    <r>
      <t>B
kNm</t>
    </r>
    <r>
      <rPr>
        <vertAlign val="superscript"/>
        <sz val="10"/>
        <color rgb="FF0070C0"/>
        <rFont val="Calibri"/>
        <family val="2"/>
        <scheme val="minor"/>
      </rPr>
      <t>2</t>
    </r>
  </si>
  <si>
    <r>
      <t xml:space="preserve"> </t>
    </r>
    <r>
      <rPr>
        <sz val="10"/>
        <color rgb="FF0070C0"/>
        <rFont val="Calibri"/>
        <family val="2"/>
      </rPr>
      <t>[</t>
    </r>
    <r>
      <rPr>
        <sz val="10"/>
        <color rgb="FF0070C0"/>
        <rFont val="Symbol"/>
        <family val="1"/>
        <charset val="2"/>
      </rPr>
      <t>s</t>
    </r>
    <r>
      <rPr>
        <vertAlign val="subscript"/>
        <sz val="10"/>
        <color rgb="FF0070C0"/>
        <rFont val="Symbol"/>
        <family val="1"/>
        <charset val="2"/>
      </rPr>
      <t>N</t>
    </r>
    <r>
      <rPr>
        <sz val="10"/>
        <color rgb="FF0070C0"/>
        <rFont val="Calibri"/>
        <family val="2"/>
      </rPr>
      <t>]</t>
    </r>
  </si>
  <si>
    <r>
      <t xml:space="preserve"> </t>
    </r>
    <r>
      <rPr>
        <sz val="10"/>
        <color rgb="FF0070C0"/>
        <rFont val="Calibri"/>
        <family val="2"/>
      </rPr>
      <t>[</t>
    </r>
    <r>
      <rPr>
        <sz val="10"/>
        <color rgb="FF0070C0"/>
        <rFont val="Symbol"/>
        <family val="1"/>
        <charset val="2"/>
      </rPr>
      <t>s</t>
    </r>
    <r>
      <rPr>
        <vertAlign val="subscript"/>
        <sz val="10"/>
        <color rgb="FF0070C0"/>
        <rFont val="Calibri"/>
        <family val="2"/>
        <scheme val="minor"/>
      </rPr>
      <t>X</t>
    </r>
    <r>
      <rPr>
        <sz val="10"/>
        <color rgb="FF0070C0"/>
        <rFont val="Calibri"/>
        <family val="2"/>
      </rPr>
      <t>]</t>
    </r>
  </si>
  <si>
    <r>
      <t xml:space="preserve"> </t>
    </r>
    <r>
      <rPr>
        <sz val="10"/>
        <color rgb="FF0070C0"/>
        <rFont val="Calibri"/>
        <family val="2"/>
      </rPr>
      <t>[</t>
    </r>
    <r>
      <rPr>
        <sz val="10"/>
        <color rgb="FF0070C0"/>
        <rFont val="Symbol"/>
        <family val="1"/>
        <charset val="2"/>
      </rPr>
      <t>s</t>
    </r>
    <r>
      <rPr>
        <vertAlign val="subscript"/>
        <sz val="10"/>
        <color rgb="FF0070C0"/>
        <rFont val="Calibri"/>
        <family val="2"/>
        <scheme val="minor"/>
      </rPr>
      <t>Y</t>
    </r>
    <r>
      <rPr>
        <sz val="10"/>
        <color rgb="FF0070C0"/>
        <rFont val="Calibri"/>
        <family val="2"/>
      </rPr>
      <t>]</t>
    </r>
  </si>
  <si>
    <r>
      <t xml:space="preserve"> </t>
    </r>
    <r>
      <rPr>
        <sz val="10"/>
        <color rgb="FF0070C0"/>
        <rFont val="Calibri"/>
        <family val="2"/>
      </rPr>
      <t>[</t>
    </r>
    <r>
      <rPr>
        <sz val="10"/>
        <color rgb="FF0070C0"/>
        <rFont val="Symbol"/>
        <family val="1"/>
        <charset val="2"/>
      </rPr>
      <t>s</t>
    </r>
    <r>
      <rPr>
        <vertAlign val="subscript"/>
        <sz val="10"/>
        <color rgb="FF0070C0"/>
        <rFont val="Symbol"/>
        <family val="1"/>
        <charset val="2"/>
      </rPr>
      <t>B</t>
    </r>
    <r>
      <rPr>
        <sz val="10"/>
        <color rgb="FF0070C0"/>
        <rFont val="Calibri"/>
        <family val="2"/>
      </rPr>
      <t>]</t>
    </r>
  </si>
  <si>
    <r>
      <t>cm</t>
    </r>
    <r>
      <rPr>
        <vertAlign val="superscript"/>
        <sz val="10"/>
        <color rgb="FF0070C0"/>
        <rFont val="Calibri"/>
        <family val="2"/>
        <scheme val="minor"/>
      </rPr>
      <t>4</t>
    </r>
  </si>
  <si>
    <r>
      <t>cm</t>
    </r>
    <r>
      <rPr>
        <vertAlign val="superscript"/>
        <sz val="10"/>
        <color rgb="FF0070C0"/>
        <rFont val="Calibri"/>
        <family val="2"/>
        <scheme val="minor"/>
      </rPr>
      <t>3</t>
    </r>
  </si>
  <si>
    <r>
      <t>λ̅</t>
    </r>
    <r>
      <rPr>
        <vertAlign val="subscript"/>
        <sz val="10"/>
        <color rgb="FF0070C0"/>
        <rFont val="Calibri"/>
        <family val="2"/>
        <scheme val="minor"/>
      </rPr>
      <t>uwe</t>
    </r>
  </si>
  <si>
    <t>λ̅uw</t>
  </si>
  <si>
    <t>λ̅w</t>
  </si>
  <si>
    <r>
      <t>λ̅</t>
    </r>
    <r>
      <rPr>
        <vertAlign val="subscript"/>
        <sz val="10"/>
        <color rgb="FF0070C0"/>
        <rFont val="Calibri"/>
        <family val="2"/>
        <scheme val="minor"/>
      </rPr>
      <t>ufc</t>
    </r>
  </si>
  <si>
    <r>
      <t>λ̅</t>
    </r>
    <r>
      <rPr>
        <vertAlign val="subscript"/>
        <sz val="10"/>
        <color rgb="FF0070C0"/>
        <rFont val="Calibri"/>
        <family val="2"/>
        <scheme val="minor"/>
      </rPr>
      <t>uf,1</t>
    </r>
  </si>
  <si>
    <r>
      <t>λ̅</t>
    </r>
    <r>
      <rPr>
        <vertAlign val="subscript"/>
        <sz val="10"/>
        <color rgb="FF0070C0"/>
        <rFont val="Calibri"/>
        <family val="2"/>
        <scheme val="minor"/>
      </rPr>
      <t>f,1</t>
    </r>
  </si>
  <si>
    <t>Kiểm tra độ mảnh</t>
  </si>
  <si>
    <r>
      <rPr>
        <sz val="10"/>
        <color rgb="FF0070C0"/>
        <rFont val="Symbol"/>
        <family val="1"/>
        <charset val="2"/>
      </rPr>
      <t>l</t>
    </r>
    <r>
      <rPr>
        <vertAlign val="subscript"/>
        <sz val="10"/>
        <color rgb="FF0070C0"/>
        <rFont val="Calibri"/>
        <family val="2"/>
        <scheme val="minor"/>
      </rPr>
      <t>max</t>
    </r>
  </si>
  <si>
    <r>
      <rPr>
        <sz val="10"/>
        <color rgb="FF0070C0"/>
        <rFont val="Symbol"/>
        <family val="1"/>
        <charset val="2"/>
      </rPr>
      <t>j</t>
    </r>
    <r>
      <rPr>
        <vertAlign val="subscript"/>
        <sz val="10"/>
        <color rgb="FF0070C0"/>
        <rFont val="Calibri"/>
        <family val="2"/>
        <scheme val="minor"/>
      </rPr>
      <t>e</t>
    </r>
  </si>
  <si>
    <t>a</t>
  </si>
  <si>
    <t>[l]</t>
  </si>
  <si>
    <t>(Theo TCVN 5575-2024)</t>
  </si>
  <si>
    <t>Kiểm tra ổn định
bản cánh</t>
  </si>
  <si>
    <t>Kiểm tra ổn định 
bản bụng</t>
  </si>
  <si>
    <t>58</t>
  </si>
  <si>
    <t>1_ULSV2(1.2D+1.3L+1.3Lr)</t>
  </si>
  <si>
    <t>BẢNG TỔNG HỢP CHI TIẾT  - THUYẾT MINH CẤU KIỆN HỘP CHỊU NÉN LỆCH TÂM</t>
  </si>
  <si>
    <t>Box 100x250x8</t>
  </si>
  <si>
    <t>61</t>
  </si>
  <si>
    <t>90</t>
  </si>
  <si>
    <t>91</t>
  </si>
  <si>
    <t>93</t>
  </si>
  <si>
    <t>95</t>
  </si>
  <si>
    <t>96</t>
  </si>
  <si>
    <t>97</t>
  </si>
  <si>
    <t>98</t>
  </si>
  <si>
    <t>100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</si>
  <si>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</si>
  <si>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</si>
  <si>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</si>
  <si>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</si>
  <si>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</si>
  <si>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</si>
  <si>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</si>
  <si>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</si>
  <si>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</si>
  <si>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</si>
  <si>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</si>
  <si>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</si>
  <si>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</si>
  <si>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</si>
  <si>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30</t>
  </si>
  <si>
    <t>OK</t>
  </si>
  <si>
    <t>-</t>
  </si>
  <si>
    <t>Phụ lục tính toán Bi moment (Tài liệu [2], [3], [4], [5])</t>
  </si>
  <si>
    <t>Giải tích - Sơ đồ 1</t>
  </si>
  <si>
    <t>K-K</t>
  </si>
  <si>
    <t>Khớp - Khớp</t>
  </si>
  <si>
    <t>Giải tích - Sơ đồ 2</t>
  </si>
  <si>
    <t>N-N</t>
  </si>
  <si>
    <t>Ngàm - Ngàm</t>
  </si>
  <si>
    <t>Giải tích - Sơ đồ 3</t>
  </si>
  <si>
    <t>N-K</t>
  </si>
  <si>
    <t>Ngàm - Khớp</t>
  </si>
  <si>
    <t>m6</t>
  </si>
  <si>
    <t>kNm2</t>
  </si>
  <si>
    <t>Giải tích - Sơ đồ 4</t>
  </si>
  <si>
    <t>Cantilever</t>
  </si>
  <si>
    <t>Công xôn</t>
  </si>
  <si>
    <t>PTHH</t>
  </si>
  <si>
    <t>Tài liệu tham khảo:</t>
  </si>
  <si>
    <t>1. TCVN 5575:2024 Thiết kế kết cấu thép</t>
  </si>
  <si>
    <t>2. Ví dụ tính toán kết cấu thép (Tái bản, sữa chữa, bổ sung theo TCVN 5575:2024)_ThS. Hoàng Văn Quang (Chủ biên) và cộng sự</t>
  </si>
  <si>
    <t>3. Một số vấn đề khi thiết kế kết cấu tạo hình nguội theo EN 1993-1-3_PGS.TS Nguyễn Hồng Sơn</t>
  </si>
  <si>
    <t>4. Tính toán xoắn kiềm chế thanh thành mỏng tiết diện hở_Vũ Lệ Quyên</t>
  </si>
  <si>
    <t>5. Tài liệu tập huấn hội thảo thiết kế kết cấu thép TCVN 5575_PGS.TS Nguyễn Hồng Sơn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</si>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</sst>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_(* #,##0_);_(* \(#,##0\);_(* &quot;-&quot;??_);_(@_)"/>
    <numFmt numFmtId="167" formatCode="0.0E+00"/>
    <numFmt numFmtId="168" formatCode="0.0000000"/>
  </numFmts>
  <fonts count="70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0"/>
      <color rgb="FF7030A0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b/>
      <sz val="10"/>
      <color rgb="FF0070C0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FF"/>
      <name val="Calibri"/>
      <family val="2"/>
    </font>
    <font>
      <b/>
      <sz val="11"/>
      <color rgb="FFFA7D00"/>
      <name val="Calibri"/>
      <family val="2"/>
      <scheme val="minor"/>
    </font>
    <font>
      <vertAlign val="subscript"/>
      <sz val="10"/>
      <color theme="1"/>
      <name val="Symbol"/>
      <family val="1"/>
      <charset val="2"/>
    </font>
    <font>
      <b/>
      <sz val="10"/>
      <color rgb="FFFA7D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vertAlign val="subscript"/>
      <sz val="10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sz val="10"/>
      <name val="Arial"/>
      <family val="2"/>
    </font>
    <font>
      <b/>
      <sz val="10"/>
      <color rgb="FF0070C0"/>
      <name val="Arial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0"/>
      <color rgb="FF0000CC"/>
      <name val="Calibri"/>
      <family val="2"/>
      <scheme val="minor"/>
    </font>
    <font>
      <sz val="10"/>
      <name val="Symbol"/>
      <family val="1"/>
      <charset val="2"/>
    </font>
    <font>
      <sz val="10"/>
      <name val="Calibri"/>
      <family val="2"/>
    </font>
    <font>
      <vertAlign val="subscript"/>
      <sz val="10"/>
      <name val="Calibri"/>
      <family val="2"/>
    </font>
    <font>
      <sz val="10"/>
      <name val="Calibri"/>
      <family val="1"/>
      <charset val="2"/>
      <scheme val="minor"/>
    </font>
    <font>
      <vertAlign val="subscript"/>
      <sz val="10"/>
      <color rgb="FF0070C0"/>
      <name val="Calibri"/>
      <family val="2"/>
      <scheme val="minor"/>
    </font>
    <font>
      <vertAlign val="subscript"/>
      <sz val="10"/>
      <color rgb="FF0070C0"/>
      <name val="Symbol"/>
      <family val="1"/>
      <charset val="2"/>
    </font>
    <font>
      <vertAlign val="superscript"/>
      <sz val="10"/>
      <color rgb="FF0070C0"/>
      <name val="Calibri"/>
      <family val="2"/>
      <scheme val="minor"/>
    </font>
    <font>
      <sz val="10"/>
      <color rgb="FF0070C0"/>
      <name val="Calibri"/>
      <family val="1"/>
      <charset val="2"/>
      <scheme val="minor"/>
    </font>
    <font>
      <sz val="10"/>
      <color rgb="FF0070C0"/>
      <name val="Symbol"/>
      <family val="1"/>
      <charset val="2"/>
    </font>
    <font>
      <sz val="10"/>
      <color rgb="FF0070C0"/>
      <name val="Calibri"/>
      <family val="2"/>
    </font>
    <font>
      <b/>
      <sz val="13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rgb="FF0000CC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</fills>
  <borders count="3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9">
    <xf numFmtId="0" fontId="0" fillId="0" borderId="0"/>
    <xf numFmtId="0" fontId="20" fillId="0" borderId="0"/>
    <xf numFmtId="0" fontId="28" fillId="7" borderId="24" applyNumberFormat="0" applyAlignment="0" applyProtection="0"/>
    <xf numFmtId="0" fontId="34" fillId="0" borderId="0"/>
    <xf numFmtId="0" fontId="38" fillId="0" borderId="0"/>
    <xf numFmtId="0" fontId="42" fillId="0" borderId="0"/>
    <xf numFmtId="164" fontId="34" fillId="0" borderId="0" applyFont="0" applyFill="0" applyBorder="0" applyAlignment="0" applyProtection="0"/>
    <xf numFmtId="0" fontId="42" fillId="0" borderId="0"/>
    <xf numFmtId="0" fontId="66" fillId="11" borderId="0" applyNumberFormat="0" applyBorder="0" applyAlignment="0" applyProtection="0"/>
  </cellStyleXfs>
  <cellXfs count="286">
    <xf numFmtId="0" fontId="0" fillId="0" borderId="0" xfId="0"/>
    <xf numFmtId="0" fontId="1" fillId="0" borderId="0" xfId="0" applyFont="1"/>
    <xf numFmtId="0" fontId="4" fillId="0" borderId="0" xfId="0" applyFont="1"/>
    <xf numFmtId="0" fontId="14" fillId="0" borderId="0" xfId="0" applyFont="1"/>
    <xf numFmtId="0" fontId="1" fillId="2" borderId="0" xfId="0" applyFont="1" applyFill="1"/>
    <xf numFmtId="0" fontId="1" fillId="2" borderId="10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vertical="top"/>
    </xf>
    <xf numFmtId="0" fontId="2" fillId="2" borderId="17" xfId="0" applyFont="1" applyFill="1" applyBorder="1" applyAlignment="1">
      <alignment horizontal="left" indent="1"/>
    </xf>
    <xf numFmtId="0" fontId="1" fillId="2" borderId="17" xfId="0" applyFont="1" applyFill="1" applyBorder="1" applyAlignment="1">
      <alignment horizontal="left" vertical="top" indent="2"/>
    </xf>
    <xf numFmtId="0" fontId="1" fillId="2" borderId="16" xfId="0" applyFont="1" applyFill="1" applyBorder="1"/>
    <xf numFmtId="0" fontId="1" fillId="2" borderId="17" xfId="0" applyFont="1" applyFill="1" applyBorder="1"/>
    <xf numFmtId="0" fontId="1" fillId="2" borderId="5" xfId="0" applyFont="1" applyFill="1" applyBorder="1"/>
    <xf numFmtId="0" fontId="1" fillId="2" borderId="1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 vertical="top"/>
    </xf>
    <xf numFmtId="1" fontId="1" fillId="2" borderId="13" xfId="0" applyNumberFormat="1" applyFont="1" applyFill="1" applyBorder="1" applyAlignment="1">
      <alignment horizontal="center" vertical="center"/>
    </xf>
    <xf numFmtId="0" fontId="18" fillId="5" borderId="10" xfId="0" applyFont="1" applyFill="1" applyBorder="1" applyAlignment="1">
      <alignment horizontal="center"/>
    </xf>
    <xf numFmtId="0" fontId="12" fillId="2" borderId="16" xfId="0" applyFont="1" applyFill="1" applyBorder="1" applyAlignment="1">
      <alignment horizontal="center" vertical="center"/>
    </xf>
    <xf numFmtId="164" fontId="10" fillId="2" borderId="13" xfId="0" applyNumberFormat="1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" fillId="2" borderId="6" xfId="0" applyFont="1" applyFill="1" applyBorder="1"/>
    <xf numFmtId="0" fontId="1" fillId="6" borderId="0" xfId="0" applyFont="1" applyFill="1"/>
    <xf numFmtId="2" fontId="15" fillId="2" borderId="13" xfId="0" applyNumberFormat="1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31" fillId="2" borderId="17" xfId="0" applyFont="1" applyFill="1" applyBorder="1" applyAlignment="1">
      <alignment horizontal="left" indent="1"/>
    </xf>
    <xf numFmtId="0" fontId="13" fillId="2" borderId="5" xfId="0" applyFont="1" applyFill="1" applyBorder="1" applyAlignment="1">
      <alignment horizontal="right" vertical="center"/>
    </xf>
    <xf numFmtId="0" fontId="1" fillId="2" borderId="5" xfId="0" applyFont="1" applyFill="1" applyBorder="1" applyAlignment="1">
      <alignment horizontal="right" vertical="center"/>
    </xf>
    <xf numFmtId="0" fontId="25" fillId="6" borderId="0" xfId="0" applyFont="1" applyFill="1" applyAlignment="1">
      <alignment horizontal="center" vertical="center"/>
    </xf>
    <xf numFmtId="0" fontId="24" fillId="6" borderId="0" xfId="0" applyFont="1" applyFill="1" applyAlignment="1">
      <alignment vertical="center"/>
    </xf>
    <xf numFmtId="0" fontId="1" fillId="0" borderId="13" xfId="0" applyFont="1" applyBorder="1"/>
    <xf numFmtId="0" fontId="33" fillId="2" borderId="13" xfId="0" applyFont="1" applyFill="1" applyBorder="1" applyAlignment="1">
      <alignment horizontal="center" vertical="center"/>
    </xf>
    <xf numFmtId="0" fontId="23" fillId="2" borderId="17" xfId="0" applyFont="1" applyFill="1" applyBorder="1" applyAlignment="1">
      <alignment horizontal="left" indent="1"/>
    </xf>
    <xf numFmtId="0" fontId="2" fillId="0" borderId="13" xfId="0" applyFont="1" applyBorder="1" applyAlignment="1">
      <alignment horizontal="center"/>
    </xf>
    <xf numFmtId="0" fontId="1" fillId="0" borderId="18" xfId="0" applyFont="1" applyBorder="1"/>
    <xf numFmtId="0" fontId="1" fillId="0" borderId="25" xfId="0" applyFont="1" applyBorder="1"/>
    <xf numFmtId="0" fontId="1" fillId="0" borderId="19" xfId="0" applyFont="1" applyBorder="1" applyAlignment="1">
      <alignment horizontal="right"/>
    </xf>
    <xf numFmtId="164" fontId="1" fillId="0" borderId="13" xfId="0" applyNumberFormat="1" applyFont="1" applyBorder="1" applyAlignment="1">
      <alignment horizontal="center"/>
    </xf>
    <xf numFmtId="0" fontId="1" fillId="0" borderId="25" xfId="0" applyFont="1" applyBorder="1" applyAlignment="1">
      <alignment horizontal="right"/>
    </xf>
    <xf numFmtId="0" fontId="1" fillId="2" borderId="0" xfId="0" applyFont="1" applyFill="1" applyAlignment="1">
      <alignment horizontal="center"/>
    </xf>
    <xf numFmtId="0" fontId="1" fillId="2" borderId="17" xfId="0" applyFont="1" applyFill="1" applyBorder="1" applyAlignment="1">
      <alignment horizontal="left" indent="2"/>
    </xf>
    <xf numFmtId="0" fontId="4" fillId="2" borderId="17" xfId="0" applyFont="1" applyFill="1" applyBorder="1" applyAlignment="1">
      <alignment horizontal="left" indent="1"/>
    </xf>
    <xf numFmtId="0" fontId="18" fillId="5" borderId="0" xfId="0" applyFont="1" applyFill="1" applyAlignment="1">
      <alignment horizontal="center"/>
    </xf>
    <xf numFmtId="0" fontId="18" fillId="5" borderId="0" xfId="0" applyFont="1" applyFill="1" applyAlignment="1">
      <alignment horizontal="center" wrapText="1"/>
    </xf>
    <xf numFmtId="0" fontId="18" fillId="5" borderId="0" xfId="0" applyFont="1" applyFill="1" applyAlignment="1">
      <alignment horizontal="center" vertical="center" wrapText="1"/>
    </xf>
    <xf numFmtId="0" fontId="35" fillId="5" borderId="13" xfId="3" applyFont="1" applyFill="1" applyBorder="1" applyAlignment="1">
      <alignment horizontal="center" vertical="center" wrapText="1"/>
    </xf>
    <xf numFmtId="0" fontId="39" fillId="8" borderId="13" xfId="4" applyFont="1" applyFill="1" applyBorder="1" applyAlignment="1">
      <alignment horizontal="center" vertical="center"/>
    </xf>
    <xf numFmtId="0" fontId="40" fillId="8" borderId="13" xfId="0" applyFont="1" applyFill="1" applyBorder="1" applyAlignment="1">
      <alignment horizontal="center" vertical="center"/>
    </xf>
    <xf numFmtId="0" fontId="40" fillId="8" borderId="13" xfId="0" applyFont="1" applyFill="1" applyBorder="1" applyAlignment="1">
      <alignment vertical="center"/>
    </xf>
    <xf numFmtId="0" fontId="39" fillId="8" borderId="18" xfId="5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46" fillId="2" borderId="13" xfId="0" applyFont="1" applyFill="1" applyBorder="1" applyAlignment="1">
      <alignment horizontal="center" vertical="center"/>
    </xf>
    <xf numFmtId="0" fontId="46" fillId="2" borderId="0" xfId="0" applyFont="1" applyFill="1" applyAlignment="1">
      <alignment horizontal="center" vertical="center"/>
    </xf>
    <xf numFmtId="0" fontId="35" fillId="5" borderId="13" xfId="3" applyFont="1" applyFill="1" applyBorder="1" applyAlignment="1">
      <alignment vertical="center"/>
    </xf>
    <xf numFmtId="0" fontId="39" fillId="8" borderId="18" xfId="4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/>
    </xf>
    <xf numFmtId="0" fontId="47" fillId="2" borderId="13" xfId="4" applyFont="1" applyFill="1" applyBorder="1" applyAlignment="1">
      <alignment horizontal="left" vertical="center"/>
    </xf>
    <xf numFmtId="0" fontId="47" fillId="2" borderId="13" xfId="4" applyFont="1" applyFill="1" applyBorder="1" applyAlignment="1">
      <alignment horizontal="center" vertical="center"/>
    </xf>
    <xf numFmtId="0" fontId="47" fillId="2" borderId="18" xfId="4" applyFont="1" applyFill="1" applyBorder="1" applyAlignment="1">
      <alignment horizontal="left" vertical="center"/>
    </xf>
    <xf numFmtId="0" fontId="48" fillId="2" borderId="13" xfId="3" applyFont="1" applyFill="1" applyBorder="1" applyAlignment="1" applyProtection="1">
      <alignment horizontal="center" vertical="center"/>
      <protection hidden="1"/>
    </xf>
    <xf numFmtId="0" fontId="0" fillId="2" borderId="13" xfId="0" applyFill="1" applyBorder="1" applyAlignment="1">
      <alignment horizontal="center" vertical="center"/>
    </xf>
    <xf numFmtId="166" fontId="47" fillId="2" borderId="13" xfId="6" applyNumberFormat="1" applyFont="1" applyFill="1" applyBorder="1" applyAlignment="1" applyProtection="1">
      <alignment horizontal="center" vertical="center"/>
      <protection hidden="1"/>
    </xf>
    <xf numFmtId="164" fontId="47" fillId="2" borderId="13" xfId="3" applyNumberFormat="1" applyFont="1" applyFill="1" applyBorder="1" applyAlignment="1" applyProtection="1">
      <alignment horizontal="center" vertical="center"/>
      <protection hidden="1"/>
    </xf>
    <xf numFmtId="2" fontId="47" fillId="2" borderId="13" xfId="3" applyNumberFormat="1" applyFont="1" applyFill="1" applyBorder="1" applyAlignment="1" applyProtection="1">
      <alignment horizontal="center" vertical="center"/>
      <protection hidden="1"/>
    </xf>
    <xf numFmtId="0" fontId="1" fillId="2" borderId="13" xfId="0" applyFont="1" applyFill="1" applyBorder="1"/>
    <xf numFmtId="0" fontId="47" fillId="2" borderId="18" xfId="5" applyFont="1" applyFill="1" applyBorder="1" applyAlignment="1">
      <alignment horizontal="left" vertical="center"/>
    </xf>
    <xf numFmtId="0" fontId="47" fillId="2" borderId="18" xfId="7" applyFont="1" applyFill="1" applyBorder="1" applyAlignment="1">
      <alignment horizontal="left" vertical="center"/>
    </xf>
    <xf numFmtId="1" fontId="47" fillId="2" borderId="13" xfId="5" applyNumberFormat="1" applyFont="1" applyFill="1" applyBorder="1" applyAlignment="1">
      <alignment vertical="center"/>
    </xf>
    <xf numFmtId="1" fontId="47" fillId="2" borderId="13" xfId="5" applyNumberFormat="1" applyFont="1" applyFill="1" applyBorder="1" applyAlignment="1">
      <alignment horizontal="center" vertical="center"/>
    </xf>
    <xf numFmtId="0" fontId="47" fillId="2" borderId="13" xfId="5" applyFont="1" applyFill="1" applyBorder="1" applyAlignment="1">
      <alignment vertical="center"/>
    </xf>
    <xf numFmtId="0" fontId="47" fillId="2" borderId="18" xfId="5" applyFont="1" applyFill="1" applyBorder="1" applyAlignment="1">
      <alignment vertical="center"/>
    </xf>
    <xf numFmtId="0" fontId="47" fillId="2" borderId="13" xfId="5" applyFont="1" applyFill="1" applyBorder="1" applyAlignment="1">
      <alignment horizontal="center" vertical="center"/>
    </xf>
    <xf numFmtId="1" fontId="10" fillId="2" borderId="13" xfId="0" applyNumberFormat="1" applyFont="1" applyFill="1" applyBorder="1" applyAlignment="1">
      <alignment horizontal="center" vertical="center"/>
    </xf>
    <xf numFmtId="0" fontId="0" fillId="9" borderId="0" xfId="0" applyFill="1"/>
    <xf numFmtId="0" fontId="1" fillId="10" borderId="0" xfId="0" applyFont="1" applyFill="1"/>
    <xf numFmtId="165" fontId="10" fillId="2" borderId="13" xfId="0" applyNumberFormat="1" applyFont="1" applyFill="1" applyBorder="1" applyAlignment="1">
      <alignment horizontal="center" vertical="center"/>
    </xf>
    <xf numFmtId="0" fontId="51" fillId="0" borderId="0" xfId="0" applyFont="1"/>
    <xf numFmtId="0" fontId="50" fillId="0" borderId="0" xfId="0" applyFont="1"/>
    <xf numFmtId="2" fontId="0" fillId="0" borderId="13" xfId="0" applyNumberFormat="1" applyBorder="1" applyAlignment="1">
      <alignment horizontal="center" vertical="center"/>
    </xf>
    <xf numFmtId="2" fontId="50" fillId="0" borderId="13" xfId="0" applyNumberFormat="1" applyFont="1" applyBorder="1" applyAlignment="1">
      <alignment horizontal="center" vertical="center"/>
    </xf>
    <xf numFmtId="1" fontId="50" fillId="0" borderId="13" xfId="0" applyNumberFormat="1" applyFon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1" fillId="2" borderId="17" xfId="0" applyFont="1" applyFill="1" applyBorder="1" applyAlignment="1">
      <alignment horizontal="left" vertical="center" indent="1"/>
    </xf>
    <xf numFmtId="0" fontId="12" fillId="2" borderId="0" xfId="0" applyFont="1" applyFill="1" applyAlignment="1">
      <alignment horizontal="center" vertical="center"/>
    </xf>
    <xf numFmtId="0" fontId="31" fillId="2" borderId="4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center"/>
    </xf>
    <xf numFmtId="0" fontId="12" fillId="2" borderId="5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5" fillId="2" borderId="0" xfId="0" applyFont="1" applyFill="1" applyAlignment="1">
      <alignment vertical="top"/>
    </xf>
    <xf numFmtId="0" fontId="15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vertical="top"/>
    </xf>
    <xf numFmtId="0" fontId="10" fillId="2" borderId="0" xfId="0" applyFont="1" applyFill="1" applyAlignment="1">
      <alignment vertical="top"/>
    </xf>
    <xf numFmtId="0" fontId="5" fillId="2" borderId="0" xfId="0" applyFont="1" applyFill="1" applyAlignment="1">
      <alignment horizontal="right"/>
    </xf>
    <xf numFmtId="0" fontId="1" fillId="2" borderId="17" xfId="0" applyFont="1" applyFill="1" applyBorder="1" applyAlignment="1">
      <alignment horizontal="left" indent="1"/>
    </xf>
    <xf numFmtId="0" fontId="1" fillId="2" borderId="0" xfId="0" applyFont="1" applyFill="1" applyAlignment="1">
      <alignment horizontal="right" vertical="center"/>
    </xf>
    <xf numFmtId="1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right"/>
    </xf>
    <xf numFmtId="2" fontId="1" fillId="2" borderId="0" xfId="0" applyNumberFormat="1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right"/>
    </xf>
    <xf numFmtId="0" fontId="6" fillId="2" borderId="0" xfId="0" applyFont="1" applyFill="1"/>
    <xf numFmtId="0" fontId="1" fillId="2" borderId="0" xfId="0" applyFont="1" applyFill="1" applyAlignment="1">
      <alignment horizontal="left" indent="1"/>
    </xf>
    <xf numFmtId="0" fontId="1" fillId="2" borderId="16" xfId="0" applyFont="1" applyFill="1" applyBorder="1" applyAlignment="1">
      <alignment horizontal="left"/>
    </xf>
    <xf numFmtId="2" fontId="1" fillId="2" borderId="16" xfId="0" applyNumberFormat="1" applyFont="1" applyFill="1" applyBorder="1" applyAlignment="1">
      <alignment horizontal="left"/>
    </xf>
    <xf numFmtId="164" fontId="1" fillId="2" borderId="0" xfId="0" applyNumberFormat="1" applyFont="1" applyFill="1" applyAlignment="1">
      <alignment horizontal="center" vertical="center"/>
    </xf>
    <xf numFmtId="2" fontId="30" fillId="7" borderId="24" xfId="2" applyNumberFormat="1" applyFont="1" applyAlignment="1">
      <alignment horizontal="center" vertical="center"/>
    </xf>
    <xf numFmtId="0" fontId="13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/>
    </xf>
    <xf numFmtId="165" fontId="1" fillId="2" borderId="0" xfId="0" applyNumberFormat="1" applyFont="1" applyFill="1"/>
    <xf numFmtId="0" fontId="8" fillId="2" borderId="0" xfId="0" applyFont="1" applyFill="1" applyAlignment="1">
      <alignment horizontal="right"/>
    </xf>
    <xf numFmtId="164" fontId="1" fillId="2" borderId="0" xfId="0" applyNumberFormat="1" applyFont="1" applyFill="1" applyAlignment="1">
      <alignment horizontal="right" vertical="top"/>
    </xf>
    <xf numFmtId="2" fontId="1" fillId="2" borderId="0" xfId="0" applyNumberFormat="1" applyFont="1" applyFill="1" applyAlignment="1">
      <alignment horizontal="right" vertical="center"/>
    </xf>
    <xf numFmtId="2" fontId="30" fillId="7" borderId="24" xfId="2" applyNumberFormat="1" applyFont="1"/>
    <xf numFmtId="0" fontId="12" fillId="2" borderId="0" xfId="0" applyFont="1" applyFill="1" applyAlignment="1">
      <alignment horizontal="left" vertical="center"/>
    </xf>
    <xf numFmtId="11" fontId="1" fillId="2" borderId="13" xfId="0" applyNumberFormat="1" applyFont="1" applyFill="1" applyBorder="1" applyAlignment="1">
      <alignment horizontal="center" vertical="center"/>
    </xf>
    <xf numFmtId="167" fontId="1" fillId="2" borderId="13" xfId="0" applyNumberFormat="1" applyFont="1" applyFill="1" applyBorder="1" applyAlignment="1">
      <alignment horizontal="center" vertical="center"/>
    </xf>
    <xf numFmtId="2" fontId="1" fillId="2" borderId="13" xfId="0" applyNumberFormat="1" applyFont="1" applyFill="1" applyBorder="1" applyAlignment="1">
      <alignment horizontal="center" vertical="center"/>
    </xf>
    <xf numFmtId="165" fontId="1" fillId="2" borderId="13" xfId="0" applyNumberFormat="1" applyFont="1" applyFill="1" applyBorder="1" applyAlignment="1">
      <alignment horizontal="center" vertical="center"/>
    </xf>
    <xf numFmtId="164" fontId="1" fillId="2" borderId="13" xfId="0" applyNumberFormat="1" applyFont="1" applyFill="1" applyBorder="1" applyAlignment="1">
      <alignment horizontal="center" vertical="center"/>
    </xf>
    <xf numFmtId="2" fontId="1" fillId="0" borderId="0" xfId="0" applyNumberFormat="1" applyFont="1"/>
    <xf numFmtId="165" fontId="10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right" vertical="top"/>
    </xf>
    <xf numFmtId="2" fontId="10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/>
    <xf numFmtId="0" fontId="15" fillId="2" borderId="0" xfId="0" applyFont="1" applyFill="1" applyAlignment="1">
      <alignment horizontal="center" vertical="center"/>
    </xf>
    <xf numFmtId="164" fontId="10" fillId="2" borderId="0" xfId="0" applyNumberFormat="1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indent="1"/>
    </xf>
    <xf numFmtId="0" fontId="10" fillId="2" borderId="5" xfId="0" applyFont="1" applyFill="1" applyBorder="1" applyAlignment="1">
      <alignment horizontal="center" vertical="center"/>
    </xf>
    <xf numFmtId="164" fontId="10" fillId="2" borderId="5" xfId="0" applyNumberFormat="1" applyFont="1" applyFill="1" applyBorder="1" applyAlignment="1">
      <alignment horizontal="center" vertical="center"/>
    </xf>
    <xf numFmtId="2" fontId="10" fillId="2" borderId="5" xfId="0" applyNumberFormat="1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2" fontId="10" fillId="2" borderId="13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horizontal="right" vertical="top"/>
    </xf>
    <xf numFmtId="164" fontId="10" fillId="2" borderId="0" xfId="0" applyNumberFormat="1" applyFont="1" applyFill="1" applyAlignment="1">
      <alignment horizontal="right" vertical="center"/>
    </xf>
    <xf numFmtId="164" fontId="15" fillId="2" borderId="13" xfId="0" applyNumberFormat="1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1" fontId="15" fillId="2" borderId="13" xfId="0" applyNumberFormat="1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63" fillId="4" borderId="13" xfId="0" applyFont="1" applyFill="1" applyBorder="1" applyAlignment="1">
      <alignment horizontal="center" vertical="center"/>
    </xf>
    <xf numFmtId="2" fontId="5" fillId="4" borderId="13" xfId="0" applyNumberFormat="1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1" fontId="10" fillId="2" borderId="0" xfId="0" applyNumberFormat="1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15" fillId="2" borderId="22" xfId="0" applyNumberFormat="1" applyFont="1" applyFill="1" applyBorder="1" applyAlignment="1">
      <alignment horizontal="center" vertical="center"/>
    </xf>
    <xf numFmtId="164" fontId="15" fillId="2" borderId="5" xfId="0" applyNumberFormat="1" applyFont="1" applyFill="1" applyBorder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2" fontId="15" fillId="2" borderId="0" xfId="0" applyNumberFormat="1" applyFont="1" applyFill="1" applyAlignment="1">
      <alignment horizontal="center" vertical="center"/>
    </xf>
    <xf numFmtId="164" fontId="15" fillId="2" borderId="0" xfId="0" applyNumberFormat="1" applyFont="1" applyFill="1" applyAlignment="1">
      <alignment horizontal="center" vertical="center"/>
    </xf>
    <xf numFmtId="0" fontId="58" fillId="2" borderId="0" xfId="0" applyFont="1" applyFill="1" applyAlignment="1">
      <alignment horizontal="center" vertical="center"/>
    </xf>
    <xf numFmtId="0" fontId="54" fillId="2" borderId="5" xfId="0" applyFont="1" applyFill="1" applyBorder="1" applyAlignment="1">
      <alignment horizontal="center" vertical="center"/>
    </xf>
    <xf numFmtId="2" fontId="15" fillId="2" borderId="5" xfId="0" applyNumberFormat="1" applyFont="1" applyFill="1" applyBorder="1" applyAlignment="1">
      <alignment horizontal="center" vertical="center"/>
    </xf>
    <xf numFmtId="2" fontId="15" fillId="2" borderId="22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vertical="center"/>
    </xf>
    <xf numFmtId="164" fontId="15" fillId="2" borderId="13" xfId="0" applyNumberFormat="1" applyFont="1" applyFill="1" applyBorder="1" applyAlignment="1">
      <alignment horizontal="left"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5" xfId="0" applyFont="1" applyFill="1" applyBorder="1" applyAlignment="1">
      <alignment horizontal="center" vertical="center"/>
    </xf>
    <xf numFmtId="2" fontId="5" fillId="4" borderId="2" xfId="0" applyNumberFormat="1" applyFont="1" applyFill="1" applyBorder="1" applyAlignment="1">
      <alignment horizontal="center" vertical="center"/>
    </xf>
    <xf numFmtId="2" fontId="5" fillId="4" borderId="5" xfId="0" applyNumberFormat="1" applyFont="1" applyFill="1" applyBorder="1" applyAlignment="1">
      <alignment horizontal="center" vertical="center"/>
    </xf>
    <xf numFmtId="2" fontId="15" fillId="2" borderId="0" xfId="0" applyNumberFormat="1" applyFont="1" applyFill="1" applyAlignment="1">
      <alignment horizontal="left" vertical="center"/>
    </xf>
    <xf numFmtId="0" fontId="15" fillId="2" borderId="0" xfId="0" applyFont="1" applyFill="1" applyAlignment="1">
      <alignment horizontal="left" vertical="center"/>
    </xf>
    <xf numFmtId="0" fontId="15" fillId="2" borderId="5" xfId="0" applyFont="1" applyFill="1" applyBorder="1" applyAlignment="1">
      <alignment horizontal="left" vertical="center"/>
    </xf>
    <xf numFmtId="0" fontId="15" fillId="2" borderId="13" xfId="0" applyFont="1" applyFill="1" applyBorder="1" applyAlignment="1">
      <alignment horizontal="left" vertical="center"/>
    </xf>
    <xf numFmtId="0" fontId="15" fillId="2" borderId="13" xfId="0" applyFont="1" applyFill="1" applyBorder="1"/>
    <xf numFmtId="0" fontId="31" fillId="2" borderId="17" xfId="0" applyFont="1" applyFill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 indent="1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6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 indent="1"/>
    </xf>
    <xf numFmtId="0" fontId="1" fillId="2" borderId="5" xfId="0" applyFont="1" applyFill="1" applyBorder="1" applyAlignment="1">
      <alignment horizontal="left" vertical="center" indent="1"/>
    </xf>
    <xf numFmtId="1" fontId="1" fillId="2" borderId="5" xfId="0" applyNumberFormat="1" applyFont="1" applyFill="1" applyBorder="1" applyAlignment="1">
      <alignment horizontal="center" vertical="center"/>
    </xf>
    <xf numFmtId="165" fontId="1" fillId="2" borderId="5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/>
    <xf numFmtId="0" fontId="0" fillId="0" borderId="13" xfId="0" applyBorder="1" applyAlignment="1">
      <alignment horizontal="center" vertical="center"/>
    </xf>
    <xf numFmtId="0" fontId="18" fillId="5" borderId="12" xfId="0" applyFont="1" applyFill="1" applyBorder="1" applyAlignment="1">
      <alignment horizontal="center" vertical="center"/>
    </xf>
    <xf numFmtId="0" fontId="18" fillId="5" borderId="9" xfId="0" applyFont="1" applyFill="1" applyBorder="1" applyAlignment="1">
      <alignment horizontal="center" vertical="center"/>
    </xf>
    <xf numFmtId="0" fontId="68" fillId="5" borderId="10" xfId="0" applyFont="1" applyFill="1" applyBorder="1" applyAlignment="1">
      <alignment horizontal="center"/>
    </xf>
    <xf numFmtId="0" fontId="18" fillId="5" borderId="30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65" fillId="3" borderId="1" xfId="0" applyFont="1" applyFill="1" applyBorder="1" applyAlignment="1">
      <alignment horizontal="center"/>
    </xf>
    <xf numFmtId="0" fontId="65" fillId="3" borderId="2" xfId="0" applyFont="1" applyFill="1" applyBorder="1" applyAlignment="1">
      <alignment horizontal="center"/>
    </xf>
    <xf numFmtId="0" fontId="18" fillId="3" borderId="4" xfId="0" applyFont="1" applyFill="1" applyBorder="1" applyAlignment="1">
      <alignment horizontal="center"/>
    </xf>
    <xf numFmtId="0" fontId="18" fillId="3" borderId="5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horizontal="center" vertical="center" wrapText="1"/>
    </xf>
    <xf numFmtId="0" fontId="5" fillId="4" borderId="5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 wrapText="1"/>
    </xf>
    <xf numFmtId="0" fontId="5" fillId="4" borderId="22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 wrapText="1"/>
    </xf>
    <xf numFmtId="0" fontId="62" fillId="4" borderId="22" xfId="0" applyFont="1" applyFill="1" applyBorder="1" applyAlignment="1">
      <alignment horizontal="center" vertical="center"/>
    </xf>
    <xf numFmtId="0" fontId="62" fillId="4" borderId="23" xfId="0" applyFont="1" applyFill="1" applyBorder="1" applyAlignment="1">
      <alignment horizontal="center" vertical="center"/>
    </xf>
    <xf numFmtId="2" fontId="62" fillId="4" borderId="22" xfId="0" applyNumberFormat="1" applyFont="1" applyFill="1" applyBorder="1" applyAlignment="1">
      <alignment horizontal="center" vertical="center"/>
    </xf>
    <xf numFmtId="2" fontId="62" fillId="4" borderId="23" xfId="0" applyNumberFormat="1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 wrapText="1"/>
    </xf>
    <xf numFmtId="0" fontId="62" fillId="4" borderId="1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11" fontId="1" fillId="0" borderId="0" xfId="0" applyNumberFormat="1" applyFont="1" applyAlignment="1">
      <alignment horizontal="center"/>
    </xf>
    <xf numFmtId="0" fontId="62" fillId="4" borderId="22" xfId="0" applyFont="1" applyFill="1" applyBorder="1" applyAlignment="1">
      <alignment horizontal="center" vertical="center" wrapText="1"/>
    </xf>
    <xf numFmtId="0" fontId="5" fillId="4" borderId="13" xfId="0" applyFont="1" applyFill="1" applyBorder="1" applyAlignment="1">
      <alignment horizontal="center" vertical="top"/>
    </xf>
    <xf numFmtId="0" fontId="62" fillId="4" borderId="1" xfId="0" applyFont="1" applyFill="1" applyBorder="1" applyAlignment="1">
      <alignment horizontal="center" vertical="center"/>
    </xf>
    <xf numFmtId="0" fontId="62" fillId="4" borderId="4" xfId="0" applyFont="1" applyFill="1" applyBorder="1" applyAlignment="1">
      <alignment horizontal="center" vertical="center"/>
    </xf>
    <xf numFmtId="1" fontId="1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63" fillId="4" borderId="13" xfId="0" applyFont="1" applyFill="1" applyBorder="1" applyAlignment="1">
      <alignment horizontal="center" vertical="center"/>
    </xf>
    <xf numFmtId="0" fontId="63" fillId="4" borderId="1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15" fillId="2" borderId="18" xfId="0" applyFont="1" applyFill="1" applyBorder="1" applyAlignment="1">
      <alignment horizontal="center" vertical="center"/>
    </xf>
    <xf numFmtId="0" fontId="15" fillId="2" borderId="25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0" fontId="17" fillId="4" borderId="3" xfId="0" applyFont="1" applyFill="1" applyBorder="1" applyAlignment="1">
      <alignment horizontal="center" vertical="center"/>
    </xf>
    <xf numFmtId="0" fontId="17" fillId="4" borderId="8" xfId="0" applyFont="1" applyFill="1" applyBorder="1" applyAlignment="1">
      <alignment horizontal="center" vertical="center"/>
    </xf>
    <xf numFmtId="0" fontId="17" fillId="4" borderId="15" xfId="0" applyFont="1" applyFill="1" applyBorder="1" applyAlignment="1">
      <alignment horizontal="center" vertical="center"/>
    </xf>
    <xf numFmtId="0" fontId="22" fillId="4" borderId="20" xfId="0" applyFont="1" applyFill="1" applyBorder="1" applyAlignment="1">
      <alignment horizontal="left" vertical="center"/>
    </xf>
    <xf numFmtId="0" fontId="22" fillId="4" borderId="21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8" fillId="2" borderId="13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2" borderId="13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6" fillId="3" borderId="18" xfId="0" applyFont="1" applyFill="1" applyBorder="1" applyAlignment="1">
      <alignment horizontal="center" vertical="center"/>
    </xf>
    <xf numFmtId="0" fontId="16" fillId="3" borderId="25" xfId="0" applyFont="1" applyFill="1" applyBorder="1" applyAlignment="1">
      <alignment horizontal="center" vertical="center"/>
    </xf>
    <xf numFmtId="0" fontId="67" fillId="4" borderId="25" xfId="0" applyFont="1" applyFill="1" applyBorder="1" applyAlignment="1">
      <alignment horizontal="center" vertical="center"/>
    </xf>
    <xf numFmtId="0" fontId="67" fillId="4" borderId="19" xfId="0" applyFont="1" applyFill="1" applyBorder="1" applyAlignment="1">
      <alignment horizontal="center" vertical="center"/>
    </xf>
    <xf numFmtId="0" fontId="66" fillId="11" borderId="18" xfId="8" applyBorder="1" applyAlignment="1">
      <alignment horizontal="center" vertical="center"/>
    </xf>
    <xf numFmtId="0" fontId="66" fillId="11" borderId="25" xfId="8" applyBorder="1" applyAlignment="1">
      <alignment horizontal="center" vertical="center"/>
    </xf>
    <xf numFmtId="0" fontId="66" fillId="11" borderId="19" xfId="8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66" fillId="11" borderId="4" xfId="8" applyBorder="1" applyAlignment="1">
      <alignment horizontal="center" vertical="center"/>
    </xf>
    <xf numFmtId="0" fontId="66" fillId="11" borderId="5" xfId="8" applyBorder="1" applyAlignment="1">
      <alignment horizontal="center" vertical="center"/>
    </xf>
    <xf numFmtId="0" fontId="66" fillId="11" borderId="6" xfId="8" applyBorder="1" applyAlignment="1">
      <alignment horizontal="center" vertical="center"/>
    </xf>
    <xf numFmtId="0" fontId="35" fillId="5" borderId="13" xfId="3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wrapText="1"/>
    </xf>
    <xf numFmtId="0" fontId="18" fillId="5" borderId="26" xfId="0" applyFont="1" applyFill="1" applyBorder="1" applyAlignment="1">
      <alignment horizontal="center" wrapText="1"/>
    </xf>
    <xf numFmtId="0" fontId="18" fillId="5" borderId="7" xfId="0" applyFont="1" applyFill="1" applyBorder="1" applyAlignment="1">
      <alignment horizontal="center" wrapText="1"/>
    </xf>
    <xf numFmtId="0" fontId="18" fillId="5" borderId="0" xfId="0" applyFont="1" applyFill="1" applyAlignment="1">
      <alignment horizontal="center" wrapText="1"/>
    </xf>
    <xf numFmtId="0" fontId="18" fillId="5" borderId="0" xfId="0" applyFont="1" applyFill="1" applyAlignment="1">
      <alignment horizontal="center" vertical="center" wrapText="1"/>
    </xf>
    <xf numFmtId="0" fontId="18" fillId="5" borderId="5" xfId="0" applyFont="1" applyFill="1" applyBorder="1" applyAlignment="1">
      <alignment horizontal="center" vertical="center" wrapText="1"/>
    </xf>
    <xf numFmtId="0" fontId="18" fillId="5" borderId="27" xfId="0" applyFont="1" applyFill="1" applyBorder="1" applyAlignment="1">
      <alignment horizontal="center"/>
    </xf>
    <xf numFmtId="0" fontId="18" fillId="5" borderId="28" xfId="0" applyFont="1" applyFill="1" applyBorder="1" applyAlignment="1">
      <alignment horizontal="center"/>
    </xf>
    <xf numFmtId="0" fontId="18" fillId="5" borderId="29" xfId="0" applyFont="1" applyFill="1" applyBorder="1" applyAlignment="1">
      <alignment horizontal="center"/>
    </xf>
    <xf numFmtId="0" fontId="35" fillId="5" borderId="13" xfId="3" applyFont="1" applyFill="1" applyBorder="1" applyAlignment="1">
      <alignment horizontal="center" vertical="center"/>
    </xf>
    <xf numFmtId="0" fontId="35" fillId="5" borderId="4" xfId="3" applyFont="1" applyFill="1" applyBorder="1" applyAlignment="1">
      <alignment horizontal="center" vertical="center" wrapText="1"/>
    </xf>
    <xf numFmtId="0" fontId="35" fillId="5" borderId="5" xfId="3" applyFont="1" applyFill="1" applyBorder="1" applyAlignment="1">
      <alignment horizontal="center" vertical="center" wrapText="1"/>
    </xf>
    <xf numFmtId="0" fontId="39" fillId="8" borderId="13" xfId="4" applyFont="1" applyFill="1" applyBorder="1" applyAlignment="1">
      <alignment horizontal="center" vertical="center"/>
    </xf>
    <xf numFmtId="0" fontId="35" fillId="5" borderId="22" xfId="3" applyFont="1" applyFill="1" applyBorder="1" applyAlignment="1">
      <alignment horizontal="center" vertical="center"/>
    </xf>
    <xf numFmtId="0" fontId="35" fillId="5" borderId="23" xfId="3" applyFont="1" applyFill="1" applyBorder="1" applyAlignment="1">
      <alignment horizontal="center" vertical="center"/>
    </xf>
  </cellXfs>
  <cellStyles count="9">
    <cellStyle name="Calculation" xfId="2" builtinId="22"/>
    <cellStyle name="Comma 2" xfId="6" xr:uid="{00000000-0005-0000-0000-000001000000}"/>
    <cellStyle name="Good" xfId="8" builtinId="26"/>
    <cellStyle name="Normal" xfId="0" builtinId="0"/>
    <cellStyle name="Normal 2" xfId="5" xr:uid="{00000000-0005-0000-0000-000004000000}"/>
    <cellStyle name="Normal 2 2" xfId="7" xr:uid="{00000000-0005-0000-0000-000005000000}"/>
    <cellStyle name="Normal 5" xfId="3" xr:uid="{00000000-0005-0000-0000-000006000000}"/>
    <cellStyle name="Normal 6" xfId="1" xr:uid="{00000000-0005-0000-0000-000007000000}"/>
    <cellStyle name="Normal_Sheet3" xfId="4" xr:uid="{00000000-0005-0000-0000-000008000000}"/>
  </cellStyles>
  <dxfs count="32">
    <dxf>
      <numFmt numFmtId="0" formatCode="General"/>
    </dxf>
    <dxf>
      <numFmt numFmtId="0" formatCode="General"/>
    </dxf>
    <dxf>
      <numFmt numFmtId="0" formatCode="General"/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1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266270</xdr:colOff>
      <xdr:row>0</xdr:row>
      <xdr:rowOff>207247</xdr:rowOff>
    </xdr:from>
    <xdr:ext cx="2279855" cy="6578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7029020" y="207247"/>
              <a:ext cx="2279855" cy="657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d>
                    <m:dPr>
                      <m:begChr m:val="["/>
                      <m:endChr m:val="]"/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𝑐h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  <m:d>
                                <m:dPr>
                                  <m:begChr m:val="["/>
                                  <m:endChr m:val="]"/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f>
                                    <m:fPr>
                                      <m:ctrlP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fPr>
                                    <m:num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𝐿</m:t>
                                      </m:r>
                                    </m:num>
                                    <m:den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den>
                                  </m:f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−</m:t>
                                  </m:r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𝑧</m:t>
                                  </m:r>
                                </m:e>
                              </m:d>
                            </m:e>
                          </m:d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𝑐h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𝑘𝐿</m:t>
                                  </m:r>
                                </m:num>
                                <m:den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den>
                              </m:f>
                            </m:e>
                          </m:d>
                        </m:den>
                      </m:f>
                    </m:e>
                  </m:d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7029020" y="207247"/>
              <a:ext cx="2279855" cy="657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−𝑚/𝑘^2  [1−𝑐ℎ(𝑘[𝐿/2−𝑧])/𝑐ℎ(𝑘𝐿/2) ]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369093</xdr:colOff>
      <xdr:row>0</xdr:row>
      <xdr:rowOff>78581</xdr:rowOff>
    </xdr:from>
    <xdr:to>
      <xdr:col>1</xdr:col>
      <xdr:colOff>3994261</xdr:colOff>
      <xdr:row>0</xdr:row>
      <xdr:rowOff>906065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8693" y="78581"/>
          <a:ext cx="3625168" cy="827484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5</xdr:col>
      <xdr:colOff>190501</xdr:colOff>
      <xdr:row>1</xdr:row>
      <xdr:rowOff>166687</xdr:rowOff>
    </xdr:from>
    <xdr:ext cx="2560188" cy="6630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6953251" y="1128712"/>
              <a:ext cx="2560188" cy="6630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d>
                    <m:dPr>
                      <m:begChr m:val="["/>
                      <m:endChr m:val="]"/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𝑘𝐿</m:t>
                          </m:r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den>
                      </m:f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𝑐h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  <m:d>
                                <m:dPr>
                                  <m:begChr m:val="["/>
                                  <m:endChr m:val="]"/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𝑧</m:t>
                                  </m:r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−</m:t>
                                  </m:r>
                                  <m:f>
                                    <m:fPr>
                                      <m:ctrlP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fPr>
                                    <m:num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𝐿</m:t>
                                      </m:r>
                                    </m:num>
                                    <m:den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den>
                                  </m:f>
                                </m:e>
                              </m:d>
                            </m:e>
                          </m:d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𝑠h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𝑘𝐿</m:t>
                                  </m:r>
                                </m:num>
                                <m:den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den>
                              </m:f>
                            </m:e>
                          </m:d>
                        </m:den>
                      </m:f>
                    </m:e>
                  </m:d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6953251" y="1128712"/>
              <a:ext cx="2560188" cy="6630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−𝑚/𝑘^2  [1−𝑘𝐿/2  𝑐ℎ(𝑘[𝑧−𝐿/2])/𝑠ℎ(𝑘𝐿/2) ]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380999</xdr:colOff>
      <xdr:row>1</xdr:row>
      <xdr:rowOff>107596</xdr:rowOff>
    </xdr:from>
    <xdr:to>
      <xdr:col>1</xdr:col>
      <xdr:colOff>3962646</xdr:colOff>
      <xdr:row>1</xdr:row>
      <xdr:rowOff>869157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0599" y="1069621"/>
          <a:ext cx="3581647" cy="761561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5</xdr:col>
      <xdr:colOff>244079</xdr:colOff>
      <xdr:row>2</xdr:row>
      <xdr:rowOff>321467</xdr:rowOff>
    </xdr:from>
    <xdr:ext cx="7042546" cy="4675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7006829" y="2245517"/>
              <a:ext cx="7042546" cy="4675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d>
                    <m:dPr>
                      <m:begChr m:val="["/>
                      <m:endChr m:val="]"/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𝑐h</m:t>
                      </m:r>
                      <m:d>
                        <m:d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𝑧</m:t>
                              </m:r>
                            </m:e>
                          </m:d>
                        </m:e>
                      </m:d>
                      <m:r>
                        <a:rPr lang="en-US" sz="18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𝑠h</m:t>
                      </m:r>
                      <m:d>
                        <m:d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𝑧</m:t>
                              </m:r>
                            </m:e>
                          </m:d>
                        </m:e>
                      </m:d>
                      <m:r>
                        <a:rPr lang="en-US" sz="18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×</m:t>
                      </m:r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1+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𝑘𝐿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.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𝑠h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𝑘𝐿</m:t>
                              </m:r>
                            </m:e>
                          </m:d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𝑐h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𝑘𝐿</m:t>
                              </m:r>
                            </m:e>
                          </m:d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sSup>
                            <m:sSup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p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  <m:sSup>
                            <m:sSup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𝐿</m:t>
                              </m:r>
                            </m:e>
                            <m:sup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/2</m:t>
                          </m:r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𝑘𝐿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.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𝑐h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𝑘𝐿</m:t>
                              </m:r>
                            </m:e>
                          </m:d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𝑠h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𝑘𝐿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den>
                      </m:f>
                    </m:e>
                  </m:d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7006829" y="2245517"/>
              <a:ext cx="7042546" cy="4675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𝑚/𝑘^2  [1−𝑐ℎ(𝑘[𝐿−𝑧])+𝑠ℎ(𝑘[𝐿−𝑧])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×(1+𝑘𝐿.𝑠ℎ(𝑘𝐿)−𝑐ℎ(𝑘𝐿)−𝑘^2 𝐿^2/2)/(𝑘𝐿.𝑐ℎ(𝑘𝐿)−𝑠ℎ(𝑘𝐿))]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380999</xdr:colOff>
      <xdr:row>2</xdr:row>
      <xdr:rowOff>66674</xdr:rowOff>
    </xdr:from>
    <xdr:to>
      <xdr:col>1</xdr:col>
      <xdr:colOff>3886200</xdr:colOff>
      <xdr:row>2</xdr:row>
      <xdr:rowOff>915739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340" t="6121" b="1"/>
        <a:stretch/>
      </xdr:blipFill>
      <xdr:spPr>
        <a:xfrm>
          <a:off x="990599" y="1990724"/>
          <a:ext cx="3505201" cy="849065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5</xdr:col>
      <xdr:colOff>0</xdr:colOff>
      <xdr:row>3</xdr:row>
      <xdr:rowOff>0</xdr:rowOff>
    </xdr:from>
    <xdr:ext cx="4970859" cy="40633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762750" y="2886075"/>
              <a:ext cx="4970859" cy="4063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𝑐h</m:t>
                      </m:r>
                      <m:d>
                        <m:d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𝑘𝐿</m:t>
                          </m:r>
                        </m:e>
                      </m:d>
                    </m:den>
                  </m:f>
                  <m:r>
                    <a:rPr lang="en-US" sz="1800" b="0" i="1">
                      <a:latin typeface="Cambria Math" panose="02040503050406030204" pitchFamily="18" charset="0"/>
                    </a:rPr>
                    <m:t>𝑘𝐿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.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𝑐h</m:t>
                  </m:r>
                  <m:d>
                    <m:d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𝑘</m:t>
                      </m:r>
                      <m:d>
                        <m:dPr>
                          <m:begChr m:val="["/>
                          <m:endChr m:val="]"/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𝑧</m:t>
                          </m:r>
                        </m:e>
                      </m:d>
                    </m:e>
                  </m:d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𝑠h</m:t>
                  </m:r>
                  <m:d>
                    <m:d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𝑘𝐿</m:t>
                      </m:r>
                    </m:e>
                  </m:d>
                  <m:r>
                    <a:rPr lang="en-US" sz="1800" b="0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𝑐h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𝑘𝑧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6762750" y="2886075"/>
              <a:ext cx="4970859" cy="4063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−𝑚/(𝑘^2 𝑐ℎ(𝑘𝐿) ) 𝑘𝐿.𝑐ℎ(𝑘[𝐿−𝑧])−𝑠ℎ(𝑘𝐿)+𝑐ℎ(𝑘𝑧)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380999</xdr:colOff>
      <xdr:row>3</xdr:row>
      <xdr:rowOff>83343</xdr:rowOff>
    </xdr:from>
    <xdr:to>
      <xdr:col>1</xdr:col>
      <xdr:colOff>3751501</xdr:colOff>
      <xdr:row>3</xdr:row>
      <xdr:rowOff>924884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90599" y="2969418"/>
          <a:ext cx="3370502" cy="841541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twoCellAnchor editAs="oneCell">
    <xdr:from>
      <xdr:col>1</xdr:col>
      <xdr:colOff>657225</xdr:colOff>
      <xdr:row>4</xdr:row>
      <xdr:rowOff>95250</xdr:rowOff>
    </xdr:from>
    <xdr:to>
      <xdr:col>1</xdr:col>
      <xdr:colOff>3028654</xdr:colOff>
      <xdr:row>4</xdr:row>
      <xdr:rowOff>914298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66825" y="3943350"/>
          <a:ext cx="2371429" cy="819048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10</xdr:col>
      <xdr:colOff>322502</xdr:colOff>
      <xdr:row>4</xdr:row>
      <xdr:rowOff>841541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62750" y="3848100"/>
          <a:ext cx="3370502" cy="841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54891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80FDC6-4365-42A0-99EC-C5186A53A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7828" cy="82096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2954A291-C9CF-400E-A611-F8CB4C85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6739" cy="83076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0</xdr:rowOff>
        </xdr:from>
        <xdr:to>
          <xdr:col>3</xdr:col>
          <xdr:colOff>247650</xdr:colOff>
          <xdr:row>9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Hide bảng chi tiết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0</xdr:row>
          <xdr:rowOff>0</xdr:rowOff>
        </xdr:from>
        <xdr:to>
          <xdr:col>6</xdr:col>
          <xdr:colOff>390525</xdr:colOff>
          <xdr:row>9</xdr:row>
          <xdr:rowOff>285750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Unhide bảng chi tiết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30552</xdr:colOff>
      <xdr:row>12</xdr:row>
      <xdr:rowOff>80253</xdr:rowOff>
    </xdr:from>
    <xdr:to>
      <xdr:col>10</xdr:col>
      <xdr:colOff>406225</xdr:colOff>
      <xdr:row>19</xdr:row>
      <xdr:rowOff>152194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9673" y="875098"/>
          <a:ext cx="1467172" cy="1372596"/>
        </a:xfrm>
        <a:prstGeom prst="rect">
          <a:avLst/>
        </a:prstGeom>
      </xdr:spPr>
    </xdr:pic>
    <xdr:clientData/>
  </xdr:twoCellAnchor>
  <xdr:oneCellAnchor>
    <xdr:from>
      <xdr:col>1</xdr:col>
      <xdr:colOff>260937</xdr:colOff>
      <xdr:row>43</xdr:row>
      <xdr:rowOff>6569</xdr:rowOff>
    </xdr:from>
    <xdr:ext cx="3427285" cy="3689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366040" y="6555828"/>
              <a:ext cx="3427285" cy="3689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±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𝑛𝑥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𝑦</m:t>
                    </m:r>
                    <m:r>
                      <a:rPr lang="en-US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±</m:t>
                    </m:r>
                    <m:f>
                      <m:f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𝑛𝑦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±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𝐵</m:t>
                        </m:r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𝜔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𝑛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𝜔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 (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𝐶𝑇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.105)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101C8512-4A02-41FA-B285-A18E20DEF9AA}"/>
                </a:ext>
              </a:extLst>
            </xdr:cNvPr>
            <xdr:cNvSpPr txBox="1"/>
          </xdr:nvSpPr>
          <xdr:spPr>
            <a:xfrm>
              <a:off x="366040" y="6555828"/>
              <a:ext cx="3427285" cy="3689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𝑁/(𝐴_𝑛 𝑓_𝑦𝑑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𝛾_𝑐 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±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𝑀_𝑥/(𝐼_𝑛𝑥 𝑓_𝑦𝑑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𝛾_𝑐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±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𝑀_𝑦/(𝐼_𝑛𝑦 𝑓_𝑦𝑑 𝛾_𝑐 ) 𝑥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±𝐵/𝐼_𝜔𝑛  𝜔≤1 (𝐶𝑇.105)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128463</xdr:colOff>
      <xdr:row>39</xdr:row>
      <xdr:rowOff>34737</xdr:rowOff>
    </xdr:from>
    <xdr:ext cx="4804264" cy="403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233566" y="5907392"/>
              <a:ext cx="4804264" cy="403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𝑁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US" sz="11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𝐴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sub>
                                </m:s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𝑓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𝑦𝑑</m:t>
                                    </m:r>
                                  </m:sub>
                                </m:s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𝑐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𝑛𝑥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𝑚𝑖𝑛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𝑛𝑦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𝑚𝑖𝑛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𝜔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𝑛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,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𝑚𝑖𝑛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 (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𝐶𝑇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.104)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2A646000-70E3-4721-88D3-F761B4DDCCCF}"/>
                </a:ext>
              </a:extLst>
            </xdr:cNvPr>
            <xdr:cNvSpPr txBox="1"/>
          </xdr:nvSpPr>
          <xdr:spPr>
            <a:xfrm>
              <a:off x="233566" y="5907392"/>
              <a:ext cx="4804264" cy="403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𝑁/(𝐴_𝑛 𝑓_𝑦𝑑 𝑦_𝑐 ))^𝑛</a:t>
              </a:r>
              <a:r>
                <a:rPr lang="en-US" sz="1100" b="0" i="0">
                  <a:latin typeface="Cambria Math" panose="02040503050406030204" pitchFamily="18" charset="0"/>
                </a:rPr>
                <a:t>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𝑀_𝑥/(𝑐_𝑥 𝑊_(𝑛𝑥,𝑚𝑖𝑛) 𝑓_𝑦𝑑 𝑦_𝑐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+𝑀_𝑦/(𝑐_𝑦 𝑊_(𝑛𝑦,𝑚𝑖𝑛) 𝑓_𝑦𝑑 𝑦_𝑐 )+𝐵/(𝑊_(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𝜔𝑛,𝑚𝑖𝑛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𝑓_𝑦𝑑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𝛾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≤1 (𝐶𝑇.104)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</xdr:col>
      <xdr:colOff>243043</xdr:colOff>
      <xdr:row>56</xdr:row>
      <xdr:rowOff>29594</xdr:rowOff>
    </xdr:from>
    <xdr:to>
      <xdr:col>4</xdr:col>
      <xdr:colOff>266225</xdr:colOff>
      <xdr:row>60</xdr:row>
      <xdr:rowOff>60228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5620" y="8653382"/>
          <a:ext cx="1693720" cy="7030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249115</xdr:colOff>
          <xdr:row>80</xdr:row>
          <xdr:rowOff>66650</xdr:rowOff>
        </xdr:from>
        <xdr:to>
          <xdr:col>9</xdr:col>
          <xdr:colOff>249377</xdr:colOff>
          <xdr:row>85</xdr:row>
          <xdr:rowOff>135296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Refer" spid="_x0000_s2135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54218" y="12659357"/>
              <a:ext cx="4324350" cy="962025"/>
            </a:xfrm>
            <a:prstGeom prst="rect">
              <a:avLst/>
            </a:prstGeom>
            <a:ln>
              <a:solidFill>
                <a:schemeClr val="bg1"/>
              </a:solidFill>
            </a:ln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00000000-0016-0000-0100-000000000000}" autoFormatId="16" applyNumberFormats="0" applyBorderFormats="0" applyFontFormats="0" applyPatternFormats="0" applyAlignmentFormats="0" applyWidthHeightFormats="0">
  <queryTableRefresh nextId="22">
    <queryTableFields count="21">
      <queryTableField id="1" name="LABEL" tableColumnId="1"/>
      <queryTableField id="2" name="EDI_STD" tableColumnId="2"/>
      <queryTableField id="3" name="DESIGNATION" tableColumnId="3"/>
      <queryTableField id="4" name="HT" tableColumnId="4"/>
      <queryTableField id="5" name="B" tableColumnId="5"/>
      <queryTableField id="6" name="TF" tableColumnId="6"/>
      <queryTableField id="7" name="TW" tableColumnId="7"/>
      <queryTableField id="8" name="A" tableColumnId="8"/>
      <queryTableField id="9" name="AS2" tableColumnId="9"/>
      <queryTableField id="10" name="AS3" tableColumnId="10"/>
      <queryTableField id="11" name="I33" tableColumnId="11"/>
      <queryTableField id="12" name="I22" tableColumnId="12"/>
      <queryTableField id="13" name="S33POS" tableColumnId="13"/>
      <queryTableField id="14" name="S33NEG" tableColumnId="14"/>
      <queryTableField id="15" name="S22POS" tableColumnId="15"/>
      <queryTableField id="16" name="S22NEG" tableColumnId="16"/>
      <queryTableField id="17" name="R33" tableColumnId="17"/>
      <queryTableField id="18" name="R22" tableColumnId="18"/>
      <queryTableField id="19" name="Z33" tableColumnId="19"/>
      <queryTableField id="20" name="Z22" tableColumnId="20"/>
      <queryTableField id="21" name="J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TEEL_BOX__3" displayName="STEEL_BOX__3" ref="DB1:DV568" tableType="queryTable" totalsRowShown="0">
  <autoFilter ref="DB1:DV568" xr:uid="{00000000-0009-0000-0100-000003000000}"/>
  <tableColumns count="21">
    <tableColumn id="1" xr3:uid="{00000000-0010-0000-0000-000001000000}" uniqueName="1" name="LABEL" queryTableFieldId="1" dataDxfId="2"/>
    <tableColumn id="2" xr3:uid="{00000000-0010-0000-0000-000002000000}" uniqueName="2" name="EDI_STD" queryTableFieldId="2" dataDxfId="1"/>
    <tableColumn id="3" xr3:uid="{00000000-0010-0000-0000-000003000000}" uniqueName="3" name="DESIGNATION" queryTableFieldId="3" dataDxfId="0"/>
    <tableColumn id="4" xr3:uid="{00000000-0010-0000-0000-000004000000}" uniqueName="4" name="HT" queryTableFieldId="4"/>
    <tableColumn id="5" xr3:uid="{00000000-0010-0000-0000-000005000000}" uniqueName="5" name="B" queryTableFieldId="5"/>
    <tableColumn id="6" xr3:uid="{00000000-0010-0000-0000-000006000000}" uniqueName="6" name="TF" queryTableFieldId="6"/>
    <tableColumn id="7" xr3:uid="{00000000-0010-0000-0000-000007000000}" uniqueName="7" name="TW" queryTableFieldId="7"/>
    <tableColumn id="8" xr3:uid="{00000000-0010-0000-0000-000008000000}" uniqueName="8" name="A" queryTableFieldId="8"/>
    <tableColumn id="9" xr3:uid="{00000000-0010-0000-0000-000009000000}" uniqueName="9" name="AS2" queryTableFieldId="9"/>
    <tableColumn id="10" xr3:uid="{00000000-0010-0000-0000-00000A000000}" uniqueName="10" name="AS3" queryTableFieldId="10"/>
    <tableColumn id="11" xr3:uid="{00000000-0010-0000-0000-00000B000000}" uniqueName="11" name="I33" queryTableFieldId="11"/>
    <tableColumn id="12" xr3:uid="{00000000-0010-0000-0000-00000C000000}" uniqueName="12" name="I22" queryTableFieldId="12"/>
    <tableColumn id="13" xr3:uid="{00000000-0010-0000-0000-00000D000000}" uniqueName="13" name="S33POS" queryTableFieldId="13"/>
    <tableColumn id="14" xr3:uid="{00000000-0010-0000-0000-00000E000000}" uniqueName="14" name="S33NEG" queryTableFieldId="14"/>
    <tableColumn id="15" xr3:uid="{00000000-0010-0000-0000-00000F000000}" uniqueName="15" name="S22POS" queryTableFieldId="15"/>
    <tableColumn id="16" xr3:uid="{00000000-0010-0000-0000-000010000000}" uniqueName="16" name="S22NEG" queryTableFieldId="16"/>
    <tableColumn id="17" xr3:uid="{00000000-0010-0000-0000-000011000000}" uniqueName="17" name="R33" queryTableFieldId="17"/>
    <tableColumn id="18" xr3:uid="{00000000-0010-0000-0000-000012000000}" uniqueName="18" name="R22" queryTableFieldId="18"/>
    <tableColumn id="19" xr3:uid="{00000000-0010-0000-0000-000013000000}" uniqueName="19" name="Z33" queryTableFieldId="19"/>
    <tableColumn id="20" xr3:uid="{00000000-0010-0000-0000-000014000000}" uniqueName="20" name="Z22" queryTableFieldId="20"/>
    <tableColumn id="21" xr3:uid="{00000000-0010-0000-0000-000015000000}" uniqueName="21" name="J" queryTableFieldId="2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6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6"/>
  <sheetViews>
    <sheetView showGridLines="0" zoomScaleNormal="100" workbookViewId="0">
      <selection activeCell="C2" sqref="C2"/>
    </sheetView>
  </sheetViews>
  <sheetFormatPr defaultRowHeight="15"/>
  <cols>
    <col min="2" max="2" width="64.85546875" customWidth="1"/>
  </cols>
  <sheetData>
    <row r="1" spans="1:3" ht="75.75" customHeight="1">
      <c r="A1" s="184">
        <v>1</v>
      </c>
      <c r="B1" s="185"/>
    </row>
    <row r="2" spans="1:3" ht="75.75" customHeight="1">
      <c r="A2" s="184">
        <v>2</v>
      </c>
      <c r="B2" s="185"/>
      <c r="C2">
        <f>INDEX(Pic!$B$1:$B$5,Pic!$B$6)</f>
        <v>0</v>
      </c>
    </row>
    <row r="3" spans="1:3" ht="75.75" customHeight="1">
      <c r="A3" s="184">
        <v>3</v>
      </c>
      <c r="B3" s="185"/>
    </row>
    <row r="4" spans="1:3" ht="75.75" customHeight="1">
      <c r="A4" s="184">
        <v>4</v>
      </c>
      <c r="B4" s="185"/>
    </row>
    <row r="5" spans="1:3" ht="81.75" customHeight="1">
      <c r="A5" s="184">
        <v>5</v>
      </c>
      <c r="B5" s="185"/>
    </row>
    <row r="6" spans="1:3">
      <c r="B6" s="186">
        <f>MATCH(Cal!$K$80,Cal!$O$82:$O$86,0)</f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70C0"/>
  </sheetPr>
  <dimension ref="A1:FB568"/>
  <sheetViews>
    <sheetView showGridLines="0" zoomScale="130" zoomScaleNormal="130" zoomScaleSheetLayoutView="100" workbookViewId="0">
      <selection activeCell="L15" sqref="L15"/>
    </sheetView>
  </sheetViews>
  <sheetFormatPr defaultColWidth="7.28515625" defaultRowHeight="15"/>
  <cols>
    <col min="1" max="1" width="9.85546875" style="1" customWidth="1"/>
    <col min="2" max="4" width="7.28515625" style="1"/>
    <col min="5" max="5" width="7.28515625" style="1" customWidth="1"/>
    <col min="6" max="9" width="7.28515625" style="1" hidden="1" customWidth="1"/>
    <col min="10" max="10" width="3.28515625" style="25" customWidth="1"/>
    <col min="11" max="15" width="7.28515625" style="1"/>
    <col min="16" max="20" width="0" style="1" hidden="1" customWidth="1"/>
    <col min="21" max="21" width="3.28515625" style="25" customWidth="1"/>
    <col min="22" max="26" width="7.28515625" style="1"/>
    <col min="27" max="41" width="0" style="1" hidden="1" customWidth="1"/>
    <col min="42" max="46" width="7.28515625" style="1" hidden="1" customWidth="1"/>
    <col min="47" max="47" width="3.28515625" style="25" customWidth="1"/>
    <col min="48" max="50" width="7.28515625" style="1"/>
    <col min="51" max="51" width="3.28515625" style="25" customWidth="1"/>
    <col min="52" max="54" width="7.28515625" style="1"/>
    <col min="55" max="59" width="0" style="1" hidden="1" customWidth="1"/>
    <col min="60" max="60" width="3.28515625" style="25" customWidth="1"/>
    <col min="61" max="62" width="7.28515625" style="1"/>
    <col min="63" max="63" width="7.85546875" style="1" bestFit="1" customWidth="1"/>
    <col min="64" max="69" width="7.28515625" style="1"/>
    <col min="70" max="79" width="0" style="1" hidden="1" customWidth="1"/>
    <col min="80" max="80" width="3.28515625" style="25" customWidth="1"/>
    <col min="81" max="81" width="9.5703125" style="73" bestFit="1" customWidth="1"/>
    <col min="82" max="83" width="9.5703125" style="75" customWidth="1"/>
    <col min="84" max="85" width="5" style="73" bestFit="1" customWidth="1"/>
    <col min="86" max="86" width="5" style="73" customWidth="1"/>
    <col min="87" max="87" width="5" style="73" bestFit="1" customWidth="1"/>
    <col min="88" max="88" width="7" style="74" bestFit="1" customWidth="1"/>
    <col min="89" max="103" width="0" style="1" hidden="1" customWidth="1"/>
    <col min="104" max="104" width="3.28515625" style="25" customWidth="1"/>
    <col min="105" max="105" width="7.28515625" style="1"/>
    <col min="106" max="107" width="16.42578125" bestFit="1" customWidth="1"/>
    <col min="108" max="108" width="5" customWidth="1"/>
    <col min="109" max="109" width="5.5703125" bestFit="1" customWidth="1"/>
    <col min="110" max="110" width="5" bestFit="1" customWidth="1"/>
    <col min="111" max="111" width="5.28515625" bestFit="1" customWidth="1"/>
    <col min="112" max="112" width="6.28515625" bestFit="1" customWidth="1"/>
    <col min="113" max="113" width="7" bestFit="1" customWidth="1"/>
    <col min="114" max="115" width="6.5703125" bestFit="1" customWidth="1"/>
    <col min="116" max="117" width="10" bestFit="1" customWidth="1"/>
    <col min="118" max="118" width="9.85546875" bestFit="1" customWidth="1"/>
    <col min="119" max="119" width="10.140625" bestFit="1" customWidth="1"/>
    <col min="120" max="120" width="9.85546875" bestFit="1" customWidth="1"/>
    <col min="121" max="121" width="10.140625" bestFit="1" customWidth="1"/>
    <col min="122" max="123" width="6.42578125" bestFit="1" customWidth="1"/>
    <col min="124" max="125" width="8" bestFit="1" customWidth="1"/>
    <col min="126" max="126" width="12" bestFit="1" customWidth="1"/>
    <col min="127" max="129" width="0" style="1" hidden="1" customWidth="1"/>
    <col min="130" max="130" width="3.28515625" style="25" customWidth="1"/>
    <col min="131" max="16384" width="7.28515625" style="1"/>
  </cols>
  <sheetData>
    <row r="1" spans="1:158" ht="14.25" customHeight="1">
      <c r="A1" s="187" t="s">
        <v>2</v>
      </c>
      <c r="B1" s="17" t="s">
        <v>18</v>
      </c>
      <c r="C1" s="17" t="s">
        <v>41</v>
      </c>
      <c r="D1" s="17" t="s">
        <v>42</v>
      </c>
      <c r="E1" s="189" t="s">
        <v>1001</v>
      </c>
      <c r="F1" s="45"/>
      <c r="G1" s="45"/>
      <c r="H1" s="45"/>
      <c r="I1" s="45"/>
      <c r="K1" s="271" t="s">
        <v>88</v>
      </c>
      <c r="L1" s="272"/>
      <c r="M1" s="272"/>
      <c r="N1" s="272"/>
      <c r="O1" s="272"/>
      <c r="P1" s="46"/>
      <c r="Q1" s="46"/>
      <c r="R1" s="46"/>
      <c r="S1" s="46"/>
      <c r="T1" s="46"/>
      <c r="V1" s="275" t="s">
        <v>89</v>
      </c>
      <c r="W1" s="275"/>
      <c r="X1" s="275"/>
      <c r="Y1" s="275"/>
      <c r="Z1" s="275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V1" s="277" t="s">
        <v>90</v>
      </c>
      <c r="AW1" s="278"/>
      <c r="AX1" s="279"/>
      <c r="AZ1" s="277" t="s">
        <v>91</v>
      </c>
      <c r="BA1" s="278"/>
      <c r="BB1" s="279"/>
      <c r="BI1" s="270" t="s">
        <v>92</v>
      </c>
      <c r="BJ1" s="270"/>
      <c r="BK1" s="280" t="s">
        <v>93</v>
      </c>
      <c r="BL1" s="270" t="s">
        <v>94</v>
      </c>
      <c r="BM1" s="270"/>
      <c r="BN1" s="270"/>
      <c r="BO1" s="270"/>
      <c r="BP1" s="280" t="s">
        <v>95</v>
      </c>
      <c r="BQ1" s="280"/>
      <c r="CC1" s="281" t="s">
        <v>94</v>
      </c>
      <c r="CD1" s="282"/>
      <c r="CE1" s="282"/>
      <c r="CF1" s="282"/>
      <c r="CG1" s="282"/>
      <c r="CH1" s="282"/>
      <c r="CI1" s="282"/>
      <c r="CJ1" s="282"/>
      <c r="DB1" t="s">
        <v>182</v>
      </c>
      <c r="DC1" t="s">
        <v>183</v>
      </c>
      <c r="DD1" t="s">
        <v>184</v>
      </c>
      <c r="DE1" t="s">
        <v>185</v>
      </c>
      <c r="DF1" t="s">
        <v>97</v>
      </c>
      <c r="DG1" t="s">
        <v>186</v>
      </c>
      <c r="DH1" t="s">
        <v>187</v>
      </c>
      <c r="DI1" t="s">
        <v>24</v>
      </c>
      <c r="DJ1" t="s">
        <v>193</v>
      </c>
      <c r="DK1" t="s">
        <v>190</v>
      </c>
      <c r="DL1" t="s">
        <v>188</v>
      </c>
      <c r="DM1" t="s">
        <v>191</v>
      </c>
      <c r="DN1" t="s">
        <v>194</v>
      </c>
      <c r="DO1" t="s">
        <v>195</v>
      </c>
      <c r="DP1" t="s">
        <v>196</v>
      </c>
      <c r="DQ1" t="s">
        <v>197</v>
      </c>
      <c r="DR1" t="s">
        <v>198</v>
      </c>
      <c r="DS1" t="s">
        <v>199</v>
      </c>
      <c r="DT1" t="s">
        <v>189</v>
      </c>
      <c r="DU1" t="s">
        <v>192</v>
      </c>
      <c r="DV1" t="s">
        <v>200</v>
      </c>
      <c r="EA1" s="80" t="s">
        <v>815</v>
      </c>
      <c r="EB1" s="81" t="s">
        <v>816</v>
      </c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</row>
    <row r="2" spans="1:158">
      <c r="A2" s="188"/>
      <c r="B2" s="17" t="s">
        <v>19</v>
      </c>
      <c r="C2" s="17" t="s">
        <v>19</v>
      </c>
      <c r="D2" s="17" t="s">
        <v>19</v>
      </c>
      <c r="E2" s="190"/>
      <c r="F2" s="45"/>
      <c r="G2" s="45"/>
      <c r="H2" s="45"/>
      <c r="I2" s="45"/>
      <c r="K2" s="273"/>
      <c r="L2" s="274"/>
      <c r="M2" s="274"/>
      <c r="N2" s="274"/>
      <c r="O2" s="274"/>
      <c r="P2" s="46"/>
      <c r="Q2" s="46"/>
      <c r="R2" s="46"/>
      <c r="S2" s="46"/>
      <c r="T2" s="46"/>
      <c r="V2" s="276"/>
      <c r="W2" s="276"/>
      <c r="X2" s="276"/>
      <c r="Y2" s="276"/>
      <c r="Z2" s="276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V2" s="17" t="s">
        <v>96</v>
      </c>
      <c r="AW2" s="17" t="s">
        <v>24</v>
      </c>
      <c r="AX2" s="17" t="s">
        <v>97</v>
      </c>
      <c r="AZ2" s="17" t="s">
        <v>98</v>
      </c>
      <c r="BA2" s="17" t="s">
        <v>99</v>
      </c>
      <c r="BB2" s="17" t="s">
        <v>100</v>
      </c>
      <c r="BI2" s="270"/>
      <c r="BJ2" s="270"/>
      <c r="BK2" s="280"/>
      <c r="BL2" s="270" t="s">
        <v>101</v>
      </c>
      <c r="BM2" s="270"/>
      <c r="BN2" s="270" t="s">
        <v>102</v>
      </c>
      <c r="BO2" s="270"/>
      <c r="BP2" s="280"/>
      <c r="BQ2" s="280"/>
      <c r="CC2" s="283" t="s">
        <v>103</v>
      </c>
      <c r="CD2" s="50" t="s">
        <v>104</v>
      </c>
      <c r="CE2" s="50" t="s">
        <v>96</v>
      </c>
      <c r="CF2" s="51" t="s">
        <v>105</v>
      </c>
      <c r="CG2" s="51" t="s">
        <v>106</v>
      </c>
      <c r="CH2" s="51" t="s">
        <v>107</v>
      </c>
      <c r="CI2" s="51" t="s">
        <v>108</v>
      </c>
      <c r="CJ2" s="52" t="s">
        <v>109</v>
      </c>
      <c r="DB2" t="s">
        <v>201</v>
      </c>
      <c r="DC2" t="s">
        <v>201</v>
      </c>
      <c r="DD2" t="s">
        <v>97</v>
      </c>
      <c r="DE2">
        <v>2.6</v>
      </c>
      <c r="DF2">
        <v>1.3</v>
      </c>
      <c r="DG2">
        <v>0.16</v>
      </c>
      <c r="DH2">
        <v>0.16</v>
      </c>
      <c r="DI2">
        <v>1.08</v>
      </c>
      <c r="DJ2">
        <v>0.83199999999999996</v>
      </c>
      <c r="DK2">
        <v>0.41599999999999998</v>
      </c>
      <c r="DL2">
        <v>0.83</v>
      </c>
      <c r="DM2">
        <v>0.27</v>
      </c>
      <c r="DN2">
        <v>0.64</v>
      </c>
      <c r="DO2">
        <v>0.64</v>
      </c>
      <c r="DP2">
        <v>0.42</v>
      </c>
      <c r="DQ2">
        <v>0.42</v>
      </c>
      <c r="DR2">
        <v>0.88</v>
      </c>
      <c r="DS2">
        <v>0.5</v>
      </c>
      <c r="DT2">
        <v>0.84</v>
      </c>
      <c r="DU2">
        <v>0.51</v>
      </c>
      <c r="DV2">
        <v>0.63176610559832302</v>
      </c>
      <c r="EA2" s="82"/>
      <c r="EB2" s="83">
        <v>0.1</v>
      </c>
      <c r="EC2" s="83">
        <v>0.25</v>
      </c>
      <c r="ED2" s="83">
        <f>EC2+0.25</f>
        <v>0.5</v>
      </c>
      <c r="EE2" s="83">
        <f t="shared" ref="EE2:EJ2" si="0">ED2+0.25</f>
        <v>0.75</v>
      </c>
      <c r="EF2" s="83">
        <f t="shared" si="0"/>
        <v>1</v>
      </c>
      <c r="EG2" s="83">
        <f t="shared" si="0"/>
        <v>1.25</v>
      </c>
      <c r="EH2" s="83">
        <f t="shared" si="0"/>
        <v>1.5</v>
      </c>
      <c r="EI2" s="83">
        <f>EH2+0.25</f>
        <v>1.75</v>
      </c>
      <c r="EJ2" s="83">
        <f t="shared" si="0"/>
        <v>2</v>
      </c>
      <c r="EK2" s="83">
        <f t="shared" ref="EK2:ET2" si="1">EJ2+0.5</f>
        <v>2.5</v>
      </c>
      <c r="EL2" s="83">
        <f t="shared" si="1"/>
        <v>3</v>
      </c>
      <c r="EM2" s="83">
        <f t="shared" si="1"/>
        <v>3.5</v>
      </c>
      <c r="EN2" s="83">
        <f t="shared" si="1"/>
        <v>4</v>
      </c>
      <c r="EO2" s="83">
        <f t="shared" si="1"/>
        <v>4.5</v>
      </c>
      <c r="EP2" s="83">
        <f t="shared" si="1"/>
        <v>5</v>
      </c>
      <c r="EQ2" s="83">
        <f t="shared" si="1"/>
        <v>5.5</v>
      </c>
      <c r="ER2" s="83">
        <f t="shared" si="1"/>
        <v>6</v>
      </c>
      <c r="ES2" s="83">
        <f t="shared" si="1"/>
        <v>6.5</v>
      </c>
      <c r="ET2" s="83">
        <f t="shared" si="1"/>
        <v>7</v>
      </c>
      <c r="EU2" s="83">
        <f>ET2+1</f>
        <v>8</v>
      </c>
      <c r="EV2" s="83">
        <f t="shared" ref="EV2:EW2" si="2">EU2+1</f>
        <v>9</v>
      </c>
      <c r="EW2" s="83">
        <f t="shared" si="2"/>
        <v>10</v>
      </c>
      <c r="EX2" s="83">
        <f>EW2+2</f>
        <v>12</v>
      </c>
      <c r="EY2" s="83">
        <f t="shared" ref="EY2" si="3">EX2+2</f>
        <v>14</v>
      </c>
      <c r="EZ2" s="83">
        <v>17</v>
      </c>
      <c r="FA2" s="83">
        <v>20</v>
      </c>
      <c r="FB2" s="84">
        <v>1000</v>
      </c>
    </row>
    <row r="3" spans="1:158" ht="15.75">
      <c r="A3" s="21" t="s">
        <v>46</v>
      </c>
      <c r="B3" s="5">
        <f>2.06*10^5</f>
        <v>206000</v>
      </c>
      <c r="C3" s="5">
        <v>235</v>
      </c>
      <c r="D3" s="191">
        <v>370</v>
      </c>
      <c r="E3" s="14">
        <v>1.1000000000000001</v>
      </c>
      <c r="F3" s="42"/>
      <c r="G3" s="42"/>
      <c r="H3" s="42"/>
      <c r="I3" s="42"/>
      <c r="K3" s="20" t="s">
        <v>110</v>
      </c>
      <c r="L3" s="20" t="s">
        <v>111</v>
      </c>
      <c r="M3" s="20" t="s">
        <v>112</v>
      </c>
      <c r="N3" s="20" t="s">
        <v>113</v>
      </c>
      <c r="O3" s="20" t="s">
        <v>114</v>
      </c>
      <c r="P3" s="53"/>
      <c r="Q3" s="53"/>
      <c r="R3" s="53"/>
      <c r="S3" s="53"/>
      <c r="T3" s="53"/>
      <c r="V3" s="54" t="s">
        <v>115</v>
      </c>
      <c r="W3" s="54" t="s">
        <v>116</v>
      </c>
      <c r="X3" s="54" t="s">
        <v>117</v>
      </c>
      <c r="Y3" s="54" t="s">
        <v>118</v>
      </c>
      <c r="Z3" s="55" t="s">
        <v>119</v>
      </c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V3" s="6">
        <v>360</v>
      </c>
      <c r="AW3" s="6">
        <v>560</v>
      </c>
      <c r="AX3" s="6">
        <v>475</v>
      </c>
      <c r="AZ3" s="6" t="s">
        <v>120</v>
      </c>
      <c r="BA3" s="6">
        <v>430</v>
      </c>
      <c r="BB3" s="6">
        <v>180</v>
      </c>
      <c r="BI3" s="270"/>
      <c r="BJ3" s="270"/>
      <c r="BK3" s="280"/>
      <c r="BL3" s="48" t="s">
        <v>121</v>
      </c>
      <c r="BM3" s="48" t="s">
        <v>122</v>
      </c>
      <c r="BN3" s="48" t="s">
        <v>123</v>
      </c>
      <c r="BO3" s="48" t="s">
        <v>124</v>
      </c>
      <c r="BP3" s="284" t="s">
        <v>125</v>
      </c>
      <c r="BQ3" s="57" t="s">
        <v>126</v>
      </c>
      <c r="CC3" s="283"/>
      <c r="CD3" s="49" t="s">
        <v>39</v>
      </c>
      <c r="CE3" s="49" t="s">
        <v>39</v>
      </c>
      <c r="CF3" s="49" t="s">
        <v>39</v>
      </c>
      <c r="CG3" s="49" t="s">
        <v>39</v>
      </c>
      <c r="CH3" s="49" t="s">
        <v>39</v>
      </c>
      <c r="CI3" s="49" t="s">
        <v>39</v>
      </c>
      <c r="CJ3" s="58" t="s">
        <v>39</v>
      </c>
      <c r="DB3" t="s">
        <v>202</v>
      </c>
      <c r="DC3" t="s">
        <v>202</v>
      </c>
      <c r="DD3" t="s">
        <v>97</v>
      </c>
      <c r="DE3">
        <v>2.6</v>
      </c>
      <c r="DF3">
        <v>1.3</v>
      </c>
      <c r="DG3">
        <v>0.18</v>
      </c>
      <c r="DH3">
        <v>0.18</v>
      </c>
      <c r="DI3">
        <v>1.19</v>
      </c>
      <c r="DJ3">
        <v>0.93600000000000005</v>
      </c>
      <c r="DK3">
        <v>0.46800000000000003</v>
      </c>
      <c r="DL3">
        <v>0.89</v>
      </c>
      <c r="DM3">
        <v>0.28999999999999998</v>
      </c>
      <c r="DN3">
        <v>0.69</v>
      </c>
      <c r="DO3">
        <v>0.69</v>
      </c>
      <c r="DP3">
        <v>0.45</v>
      </c>
      <c r="DQ3">
        <v>0.45</v>
      </c>
      <c r="DR3">
        <v>0.86</v>
      </c>
      <c r="DS3">
        <v>0.49</v>
      </c>
      <c r="DT3">
        <v>0.91</v>
      </c>
      <c r="DU3">
        <v>0.55000000000000004</v>
      </c>
      <c r="DV3">
        <v>0.64365680999400399</v>
      </c>
      <c r="EA3" s="83">
        <v>0.5</v>
      </c>
      <c r="EB3" s="85">
        <v>0.96699999999999997</v>
      </c>
      <c r="EC3" s="85">
        <v>0.92200000000000004</v>
      </c>
      <c r="ED3" s="85">
        <v>0.85</v>
      </c>
      <c r="EE3" s="85">
        <v>0.78200000000000003</v>
      </c>
      <c r="EF3" s="85">
        <v>0.72199999999999998</v>
      </c>
      <c r="EG3" s="85">
        <v>0.66900000000000004</v>
      </c>
      <c r="EH3" s="85">
        <v>0.62</v>
      </c>
      <c r="EI3" s="85">
        <v>0.57699999999999996</v>
      </c>
      <c r="EJ3" s="85">
        <v>0.53800000000000003</v>
      </c>
      <c r="EK3" s="85">
        <v>0.46899999999999997</v>
      </c>
      <c r="EL3" s="85">
        <v>0.41699999999999998</v>
      </c>
      <c r="EM3" s="85">
        <v>0.37</v>
      </c>
      <c r="EN3" s="85">
        <v>0.33700000000000002</v>
      </c>
      <c r="EO3" s="85">
        <v>0.307</v>
      </c>
      <c r="EP3" s="85">
        <v>0.28000000000000003</v>
      </c>
      <c r="EQ3" s="85">
        <v>0.26</v>
      </c>
      <c r="ER3" s="85">
        <v>0.23699999999999999</v>
      </c>
      <c r="ES3" s="85">
        <v>0.222</v>
      </c>
      <c r="ET3" s="85">
        <v>0.21</v>
      </c>
      <c r="EU3" s="85">
        <v>0.183</v>
      </c>
      <c r="EV3" s="85">
        <v>0.16400000000000001</v>
      </c>
      <c r="EW3" s="85">
        <v>0.15</v>
      </c>
      <c r="EX3" s="85">
        <v>0.125</v>
      </c>
      <c r="EY3" s="85">
        <v>0.106</v>
      </c>
      <c r="EZ3" s="85">
        <v>0.09</v>
      </c>
      <c r="FA3" s="85">
        <v>7.6999999999999999E-2</v>
      </c>
      <c r="FB3" s="85">
        <v>7.6999999999999999E-2</v>
      </c>
    </row>
    <row r="4" spans="1:158">
      <c r="A4" s="21" t="s">
        <v>47</v>
      </c>
      <c r="B4" s="5">
        <f t="shared" ref="B4:B33" si="4">2.06*10^5</f>
        <v>206000</v>
      </c>
      <c r="C4" s="5">
        <v>345</v>
      </c>
      <c r="D4" s="191">
        <v>510</v>
      </c>
      <c r="E4" s="14">
        <v>1.1000000000000001</v>
      </c>
      <c r="F4" s="42"/>
      <c r="G4" s="42"/>
      <c r="H4" s="42"/>
      <c r="I4" s="42"/>
      <c r="K4" s="20">
        <v>5.6</v>
      </c>
      <c r="L4" s="20">
        <v>500</v>
      </c>
      <c r="M4" s="20">
        <v>300</v>
      </c>
      <c r="N4" s="20">
        <v>210</v>
      </c>
      <c r="O4" s="20">
        <v>225</v>
      </c>
      <c r="P4" s="53"/>
      <c r="Q4" s="53"/>
      <c r="R4" s="53"/>
      <c r="S4" s="53"/>
      <c r="T4" s="53"/>
      <c r="V4" s="59">
        <v>10</v>
      </c>
      <c r="W4" s="6">
        <v>1.5</v>
      </c>
      <c r="X4" s="16">
        <v>78.5</v>
      </c>
      <c r="Y4" s="6">
        <v>57.1</v>
      </c>
      <c r="Z4" s="6">
        <v>1</v>
      </c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V4" s="6">
        <v>370</v>
      </c>
      <c r="AW4" s="6">
        <v>580</v>
      </c>
      <c r="AX4" s="6">
        <v>485</v>
      </c>
      <c r="AZ4" s="6" t="s">
        <v>127</v>
      </c>
      <c r="BA4" s="6">
        <v>510</v>
      </c>
      <c r="BB4" s="6">
        <v>225</v>
      </c>
      <c r="BI4" s="270"/>
      <c r="BJ4" s="270"/>
      <c r="BK4" s="48" t="s">
        <v>39</v>
      </c>
      <c r="BL4" s="48" t="s">
        <v>39</v>
      </c>
      <c r="BM4" s="48" t="s">
        <v>39</v>
      </c>
      <c r="BN4" s="48" t="s">
        <v>39</v>
      </c>
      <c r="BO4" s="48" t="s">
        <v>39</v>
      </c>
      <c r="BP4" s="285"/>
      <c r="BQ4" s="48" t="s">
        <v>39</v>
      </c>
      <c r="CC4" s="60" t="s">
        <v>128</v>
      </c>
      <c r="CD4" s="61">
        <v>235</v>
      </c>
      <c r="CE4" s="61">
        <v>373</v>
      </c>
      <c r="CF4" s="60">
        <f>CD4</f>
        <v>235</v>
      </c>
      <c r="CG4" s="60">
        <f>CF4/1.15</f>
        <v>204.34782608695653</v>
      </c>
      <c r="CH4" s="60">
        <f>CF4</f>
        <v>235</v>
      </c>
      <c r="CI4" s="60">
        <f>0.7*CD4</f>
        <v>164.5</v>
      </c>
      <c r="CJ4" s="62">
        <v>200000</v>
      </c>
      <c r="DB4" t="s">
        <v>203</v>
      </c>
      <c r="DC4" t="s">
        <v>203</v>
      </c>
      <c r="DD4" t="s">
        <v>97</v>
      </c>
      <c r="DE4">
        <v>2.6</v>
      </c>
      <c r="DF4">
        <v>1.3</v>
      </c>
      <c r="DG4">
        <v>0.2</v>
      </c>
      <c r="DH4">
        <v>0.2</v>
      </c>
      <c r="DI4">
        <v>1.3</v>
      </c>
      <c r="DJ4">
        <v>1.04</v>
      </c>
      <c r="DK4">
        <v>0.52</v>
      </c>
      <c r="DL4">
        <v>0.94</v>
      </c>
      <c r="DM4">
        <v>0.3</v>
      </c>
      <c r="DN4">
        <v>0.73</v>
      </c>
      <c r="DO4">
        <v>0.73</v>
      </c>
      <c r="DP4">
        <v>0.47</v>
      </c>
      <c r="DQ4">
        <v>0.47</v>
      </c>
      <c r="DR4">
        <v>0.85</v>
      </c>
      <c r="DS4">
        <v>0.48</v>
      </c>
      <c r="DT4">
        <v>0.98</v>
      </c>
      <c r="DU4">
        <v>0.59</v>
      </c>
      <c r="DV4">
        <v>0.63644219114346501</v>
      </c>
      <c r="EA4" s="83">
        <f>EA3+0.5</f>
        <v>1</v>
      </c>
      <c r="EB4" s="85">
        <v>0.92500000000000004</v>
      </c>
      <c r="EC4" s="85">
        <v>0.85399999999999998</v>
      </c>
      <c r="ED4" s="85">
        <v>0.77800000000000002</v>
      </c>
      <c r="EE4" s="85">
        <v>0.71099999999999997</v>
      </c>
      <c r="EF4" s="85">
        <v>0.65300000000000002</v>
      </c>
      <c r="EG4" s="85">
        <v>0.6</v>
      </c>
      <c r="EH4" s="85">
        <v>0.56299999999999994</v>
      </c>
      <c r="EI4" s="85">
        <v>0.52</v>
      </c>
      <c r="EJ4" s="85">
        <v>0.48399999999999999</v>
      </c>
      <c r="EK4" s="85">
        <v>0.42699999999999999</v>
      </c>
      <c r="EL4" s="85">
        <v>0.38200000000000001</v>
      </c>
      <c r="EM4" s="85">
        <v>0.34100000000000003</v>
      </c>
      <c r="EN4" s="85">
        <v>0.307</v>
      </c>
      <c r="EO4" s="85">
        <v>0.28299999999999997</v>
      </c>
      <c r="EP4" s="85">
        <v>0.25900000000000001</v>
      </c>
      <c r="EQ4" s="85">
        <v>0.24</v>
      </c>
      <c r="ER4" s="85">
        <v>0.22500000000000001</v>
      </c>
      <c r="ES4" s="85">
        <v>0.20899999999999999</v>
      </c>
      <c r="ET4" s="85">
        <v>0.19600000000000001</v>
      </c>
      <c r="EU4" s="85">
        <v>0.17499999999999999</v>
      </c>
      <c r="EV4" s="85">
        <v>0.157</v>
      </c>
      <c r="EW4" s="85">
        <v>0.14199999999999999</v>
      </c>
      <c r="EX4" s="85">
        <v>0.121</v>
      </c>
      <c r="EY4" s="85">
        <v>0.10299999999999999</v>
      </c>
      <c r="EZ4" s="85">
        <v>8.5999999999999993E-2</v>
      </c>
      <c r="FA4" s="85">
        <v>7.3999999999999996E-2</v>
      </c>
      <c r="FB4" s="85">
        <v>7.3999999999999996E-2</v>
      </c>
    </row>
    <row r="5" spans="1:158">
      <c r="A5" s="21" t="s">
        <v>1002</v>
      </c>
      <c r="B5" s="5">
        <f t="shared" si="4"/>
        <v>206000</v>
      </c>
      <c r="C5" s="5">
        <v>355</v>
      </c>
      <c r="D5" s="191">
        <v>510</v>
      </c>
      <c r="E5" s="14">
        <v>1.1000000000000001</v>
      </c>
      <c r="F5" s="42"/>
      <c r="G5" s="42"/>
      <c r="H5" s="42"/>
      <c r="I5" s="42"/>
      <c r="K5" s="20">
        <v>5.8</v>
      </c>
      <c r="L5" s="20">
        <v>500</v>
      </c>
      <c r="M5" s="20">
        <v>400</v>
      </c>
      <c r="N5" s="20">
        <v>210</v>
      </c>
      <c r="O5" s="20">
        <v>210</v>
      </c>
      <c r="P5" s="53"/>
      <c r="Q5" s="53"/>
      <c r="R5" s="53"/>
      <c r="S5" s="53"/>
      <c r="T5" s="53"/>
      <c r="V5" s="59">
        <v>12</v>
      </c>
      <c r="W5" s="6">
        <v>1.5</v>
      </c>
      <c r="X5" s="16">
        <v>113</v>
      </c>
      <c r="Y5" s="6">
        <v>84.2</v>
      </c>
      <c r="Z5" s="6">
        <v>1</v>
      </c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V5" s="6">
        <v>380</v>
      </c>
      <c r="AW5" s="6">
        <v>590</v>
      </c>
      <c r="AX5" s="6">
        <v>500</v>
      </c>
      <c r="AZ5" s="6" t="s">
        <v>129</v>
      </c>
      <c r="BA5" s="6">
        <v>410</v>
      </c>
      <c r="BB5" s="6">
        <v>180</v>
      </c>
      <c r="BI5" s="63" t="s">
        <v>130</v>
      </c>
      <c r="BJ5" s="64" t="s">
        <v>131</v>
      </c>
      <c r="BK5" s="65">
        <v>19000</v>
      </c>
      <c r="BL5" s="66">
        <v>7.5</v>
      </c>
      <c r="BM5" s="66">
        <v>6</v>
      </c>
      <c r="BN5" s="67">
        <v>0.85</v>
      </c>
      <c r="BO5" s="67">
        <v>0.56000000000000005</v>
      </c>
      <c r="BP5" s="68"/>
      <c r="BQ5" s="68"/>
      <c r="CC5" s="60" t="s">
        <v>132</v>
      </c>
      <c r="CD5" s="61">
        <v>295</v>
      </c>
      <c r="CE5" s="61">
        <v>490</v>
      </c>
      <c r="CF5" s="60">
        <f t="shared" ref="CF5:CF19" si="5">CD5</f>
        <v>295</v>
      </c>
      <c r="CG5" s="60">
        <f t="shared" ref="CG5:CG19" si="6">CF5/1.15</f>
        <v>256.52173913043481</v>
      </c>
      <c r="CH5" s="60">
        <f t="shared" ref="CH5:CH19" si="7">CF5</f>
        <v>295</v>
      </c>
      <c r="CI5" s="60">
        <f t="shared" ref="CI5:CI19" si="8">0.7*CD5</f>
        <v>206.5</v>
      </c>
      <c r="CJ5" s="62">
        <v>200000</v>
      </c>
      <c r="DB5" t="s">
        <v>204</v>
      </c>
      <c r="DC5" t="s">
        <v>204</v>
      </c>
      <c r="DD5" t="s">
        <v>97</v>
      </c>
      <c r="DE5">
        <v>3</v>
      </c>
      <c r="DF5">
        <v>2</v>
      </c>
      <c r="DG5">
        <v>0.16</v>
      </c>
      <c r="DH5">
        <v>0.16</v>
      </c>
      <c r="DI5">
        <v>1.43</v>
      </c>
      <c r="DJ5">
        <v>0.96</v>
      </c>
      <c r="DK5">
        <v>0.64</v>
      </c>
      <c r="DL5">
        <v>1.66</v>
      </c>
      <c r="DM5">
        <v>0.88</v>
      </c>
      <c r="DN5">
        <v>1.1100000000000001</v>
      </c>
      <c r="DO5">
        <v>1.1100000000000001</v>
      </c>
      <c r="DP5">
        <v>0.88</v>
      </c>
      <c r="DQ5">
        <v>0.88</v>
      </c>
      <c r="DR5">
        <v>1.08</v>
      </c>
      <c r="DS5">
        <v>0.78</v>
      </c>
      <c r="DT5">
        <v>1.39</v>
      </c>
      <c r="DU5">
        <v>1.05</v>
      </c>
      <c r="DV5">
        <v>1.8516496105340701</v>
      </c>
      <c r="EA5" s="83">
        <f t="shared" ref="EA5:EA16" si="9">EA4+0.5</f>
        <v>1.5</v>
      </c>
      <c r="EB5" s="85">
        <v>0.875</v>
      </c>
      <c r="EC5" s="85">
        <v>0.80400000000000005</v>
      </c>
      <c r="ED5" s="85">
        <v>0.71599999999999997</v>
      </c>
      <c r="EE5" s="85">
        <v>0.64700000000000002</v>
      </c>
      <c r="EF5" s="85">
        <v>0.59299999999999997</v>
      </c>
      <c r="EG5" s="85">
        <v>0.54800000000000004</v>
      </c>
      <c r="EH5" s="85">
        <v>0.50700000000000001</v>
      </c>
      <c r="EI5" s="85">
        <v>0.47</v>
      </c>
      <c r="EJ5" s="85">
        <v>0.439</v>
      </c>
      <c r="EK5" s="85">
        <v>0.38800000000000001</v>
      </c>
      <c r="EL5" s="85">
        <v>0.34699999999999998</v>
      </c>
      <c r="EM5" s="85">
        <v>0.312</v>
      </c>
      <c r="EN5" s="85">
        <v>0.28299999999999997</v>
      </c>
      <c r="EO5" s="85">
        <v>0.26200000000000001</v>
      </c>
      <c r="EP5" s="85">
        <v>0.24</v>
      </c>
      <c r="EQ5" s="85">
        <v>0.223</v>
      </c>
      <c r="ER5" s="85">
        <v>0.20699999999999999</v>
      </c>
      <c r="ES5" s="85">
        <v>0.19500000000000001</v>
      </c>
      <c r="ET5" s="85">
        <v>0.182</v>
      </c>
      <c r="EU5" s="85">
        <v>0.16300000000000001</v>
      </c>
      <c r="EV5" s="85">
        <v>0.14799999999999999</v>
      </c>
      <c r="EW5" s="85">
        <v>0.13400000000000001</v>
      </c>
      <c r="EX5" s="85">
        <v>0.114</v>
      </c>
      <c r="EY5" s="85">
        <v>9.9000000000000005E-2</v>
      </c>
      <c r="EZ5" s="85">
        <v>8.2000000000000003E-2</v>
      </c>
      <c r="FA5" s="85">
        <v>7.0000000000000007E-2</v>
      </c>
      <c r="FB5" s="85">
        <v>7.0000000000000007E-2</v>
      </c>
    </row>
    <row r="6" spans="1:158">
      <c r="A6" s="21" t="s">
        <v>49</v>
      </c>
      <c r="B6" s="5">
        <f t="shared" si="4"/>
        <v>206000</v>
      </c>
      <c r="C6" s="5">
        <v>250</v>
      </c>
      <c r="D6" s="191">
        <v>400</v>
      </c>
      <c r="E6" s="14">
        <v>1.1000000000000001</v>
      </c>
      <c r="F6" s="42"/>
      <c r="G6" s="42"/>
      <c r="H6" s="42"/>
      <c r="I6" s="42"/>
      <c r="K6" s="20">
        <v>8.8000000000000007</v>
      </c>
      <c r="L6" s="20">
        <v>830</v>
      </c>
      <c r="M6" s="20">
        <v>660</v>
      </c>
      <c r="N6" s="20">
        <v>332</v>
      </c>
      <c r="O6" s="20">
        <v>448</v>
      </c>
      <c r="P6" s="53"/>
      <c r="Q6" s="53"/>
      <c r="R6" s="53"/>
      <c r="S6" s="53"/>
      <c r="T6" s="53"/>
      <c r="V6" s="59">
        <v>16</v>
      </c>
      <c r="W6" s="6">
        <v>2</v>
      </c>
      <c r="X6" s="16">
        <f t="shared" ref="X6:X15" si="10">PI()*V6^2/4</f>
        <v>201.06192982974676</v>
      </c>
      <c r="Y6" s="6">
        <v>157</v>
      </c>
      <c r="Z6" s="6">
        <v>1</v>
      </c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V6" s="6">
        <v>390</v>
      </c>
      <c r="AW6" s="6">
        <v>610</v>
      </c>
      <c r="AX6" s="6">
        <v>515</v>
      </c>
      <c r="AZ6" s="6" t="s">
        <v>133</v>
      </c>
      <c r="BA6" s="6">
        <v>450</v>
      </c>
      <c r="BB6" s="6">
        <v>200</v>
      </c>
      <c r="BI6" s="63" t="s">
        <v>134</v>
      </c>
      <c r="BJ6" s="64" t="s">
        <v>135</v>
      </c>
      <c r="BK6" s="65">
        <v>24000</v>
      </c>
      <c r="BL6" s="66">
        <v>11</v>
      </c>
      <c r="BM6" s="66">
        <v>8.5</v>
      </c>
      <c r="BN6" s="67">
        <v>1.1000000000000001</v>
      </c>
      <c r="BO6" s="67">
        <v>0.75</v>
      </c>
      <c r="BP6" s="68" t="s">
        <v>136</v>
      </c>
      <c r="BQ6" s="68">
        <f>VALUE(MID(BP6,2,2))</f>
        <v>12</v>
      </c>
      <c r="CC6" s="60" t="s">
        <v>137</v>
      </c>
      <c r="CD6" s="61">
        <v>390</v>
      </c>
      <c r="CE6" s="61">
        <v>590</v>
      </c>
      <c r="CF6" s="60">
        <f t="shared" si="5"/>
        <v>390</v>
      </c>
      <c r="CG6" s="60">
        <f t="shared" si="6"/>
        <v>339.13043478260875</v>
      </c>
      <c r="CH6" s="60">
        <f t="shared" si="7"/>
        <v>390</v>
      </c>
      <c r="CI6" s="60">
        <f t="shared" si="8"/>
        <v>273</v>
      </c>
      <c r="CJ6" s="62">
        <v>200000</v>
      </c>
      <c r="DB6" t="s">
        <v>205</v>
      </c>
      <c r="DC6" t="s">
        <v>205</v>
      </c>
      <c r="DD6" t="s">
        <v>97</v>
      </c>
      <c r="DE6">
        <v>3</v>
      </c>
      <c r="DF6">
        <v>2</v>
      </c>
      <c r="DG6">
        <v>0.18</v>
      </c>
      <c r="DH6">
        <v>0.18</v>
      </c>
      <c r="DI6">
        <v>1.59</v>
      </c>
      <c r="DJ6">
        <v>1.08</v>
      </c>
      <c r="DK6">
        <v>0.72</v>
      </c>
      <c r="DL6">
        <v>1.81</v>
      </c>
      <c r="DM6">
        <v>0.95</v>
      </c>
      <c r="DN6">
        <v>1.21</v>
      </c>
      <c r="DO6">
        <v>1.21</v>
      </c>
      <c r="DP6">
        <v>0.95</v>
      </c>
      <c r="DQ6">
        <v>0.95</v>
      </c>
      <c r="DR6">
        <v>1.07</v>
      </c>
      <c r="DS6">
        <v>0.77</v>
      </c>
      <c r="DT6">
        <v>1.52</v>
      </c>
      <c r="DU6">
        <v>1.1399999999999999</v>
      </c>
      <c r="DV6">
        <v>1.98230293365025</v>
      </c>
      <c r="EA6" s="83">
        <f t="shared" si="9"/>
        <v>2</v>
      </c>
      <c r="EB6" s="85">
        <v>0.81299999999999994</v>
      </c>
      <c r="EC6" s="85">
        <v>0.74199999999999999</v>
      </c>
      <c r="ED6" s="85">
        <v>0.65300000000000002</v>
      </c>
      <c r="EE6" s="85">
        <v>0.58699999999999997</v>
      </c>
      <c r="EF6" s="85">
        <v>0.53600000000000003</v>
      </c>
      <c r="EG6" s="85">
        <v>0.496</v>
      </c>
      <c r="EH6" s="85">
        <v>0.45700000000000002</v>
      </c>
      <c r="EI6" s="85">
        <v>0.42499999999999999</v>
      </c>
      <c r="EJ6" s="85">
        <v>0.39700000000000002</v>
      </c>
      <c r="EK6" s="85">
        <v>0.35199999999999998</v>
      </c>
      <c r="EL6" s="85">
        <v>0.315</v>
      </c>
      <c r="EM6" s="85">
        <v>0.28599999999999998</v>
      </c>
      <c r="EN6" s="85">
        <v>0.26</v>
      </c>
      <c r="EO6" s="85">
        <v>0.24</v>
      </c>
      <c r="EP6" s="85">
        <v>0.222</v>
      </c>
      <c r="EQ6" s="85">
        <v>0.20599999999999999</v>
      </c>
      <c r="ER6" s="85">
        <v>0.193</v>
      </c>
      <c r="ES6" s="85">
        <v>0.182</v>
      </c>
      <c r="ET6" s="85">
        <v>0.17</v>
      </c>
      <c r="EU6" s="85">
        <v>0.153</v>
      </c>
      <c r="EV6" s="85">
        <v>0.13800000000000001</v>
      </c>
      <c r="EW6" s="85">
        <v>0.125</v>
      </c>
      <c r="EX6" s="85">
        <v>0.107</v>
      </c>
      <c r="EY6" s="85">
        <v>9.4E-2</v>
      </c>
      <c r="EZ6" s="85">
        <v>7.9000000000000001E-2</v>
      </c>
      <c r="FA6" s="85">
        <v>6.7000000000000004E-2</v>
      </c>
      <c r="FB6" s="85">
        <v>6.7000000000000004E-2</v>
      </c>
    </row>
    <row r="7" spans="1:158">
      <c r="A7" s="21" t="s">
        <v>48</v>
      </c>
      <c r="B7" s="5">
        <f t="shared" si="4"/>
        <v>206000</v>
      </c>
      <c r="C7" s="5">
        <v>345</v>
      </c>
      <c r="D7" s="191">
        <v>450</v>
      </c>
      <c r="E7" s="14">
        <v>1.1000000000000001</v>
      </c>
      <c r="F7" s="42"/>
      <c r="G7" s="42"/>
      <c r="H7" s="42"/>
      <c r="I7" s="42"/>
      <c r="K7" s="20">
        <v>10.9</v>
      </c>
      <c r="L7" s="20">
        <v>1040</v>
      </c>
      <c r="M7" s="20">
        <v>940</v>
      </c>
      <c r="N7" s="20">
        <v>416</v>
      </c>
      <c r="O7" s="20">
        <v>728</v>
      </c>
      <c r="P7" s="53"/>
      <c r="Q7" s="53"/>
      <c r="R7" s="53"/>
      <c r="S7" s="53"/>
      <c r="T7" s="53"/>
      <c r="V7" s="59">
        <v>18</v>
      </c>
      <c r="W7" s="6">
        <v>2.5</v>
      </c>
      <c r="X7" s="16">
        <f t="shared" si="10"/>
        <v>254.46900494077323</v>
      </c>
      <c r="Y7" s="6">
        <v>192</v>
      </c>
      <c r="Z7" s="6">
        <v>1.05</v>
      </c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V7" s="6">
        <v>430</v>
      </c>
      <c r="AW7" s="6">
        <v>670</v>
      </c>
      <c r="AX7" s="6">
        <v>565</v>
      </c>
      <c r="AZ7" s="6" t="s">
        <v>138</v>
      </c>
      <c r="BA7" s="6">
        <v>490</v>
      </c>
      <c r="BB7" s="6">
        <v>215</v>
      </c>
      <c r="BI7" s="63" t="s">
        <v>139</v>
      </c>
      <c r="BJ7" s="64" t="s">
        <v>140</v>
      </c>
      <c r="BK7" s="65">
        <v>27500</v>
      </c>
      <c r="BL7" s="66">
        <v>15</v>
      </c>
      <c r="BM7" s="66">
        <v>11.5</v>
      </c>
      <c r="BN7" s="67">
        <v>1.35</v>
      </c>
      <c r="BO7" s="67">
        <v>0.9</v>
      </c>
      <c r="BP7" s="68" t="s">
        <v>141</v>
      </c>
      <c r="BQ7" s="68">
        <f t="shared" ref="BQ7:BQ15" si="11">VALUE(MID(BP7,2,2))</f>
        <v>16</v>
      </c>
      <c r="CC7" s="60" t="s">
        <v>142</v>
      </c>
      <c r="CD7" s="61">
        <v>235</v>
      </c>
      <c r="CE7" s="61">
        <v>373</v>
      </c>
      <c r="CF7" s="60">
        <f t="shared" si="5"/>
        <v>235</v>
      </c>
      <c r="CG7" s="60">
        <f t="shared" si="6"/>
        <v>204.34782608695653</v>
      </c>
      <c r="CH7" s="60">
        <f t="shared" si="7"/>
        <v>235</v>
      </c>
      <c r="CI7" s="60">
        <f t="shared" si="8"/>
        <v>164.5</v>
      </c>
      <c r="CJ7" s="69">
        <v>200000</v>
      </c>
      <c r="DB7" t="s">
        <v>206</v>
      </c>
      <c r="DC7" t="s">
        <v>206</v>
      </c>
      <c r="DD7" t="s">
        <v>97</v>
      </c>
      <c r="DE7">
        <v>3</v>
      </c>
      <c r="DF7">
        <v>2</v>
      </c>
      <c r="DG7">
        <v>0.2</v>
      </c>
      <c r="DH7">
        <v>0.2</v>
      </c>
      <c r="DI7">
        <v>1.74</v>
      </c>
      <c r="DJ7">
        <v>1.2</v>
      </c>
      <c r="DK7">
        <v>0.8</v>
      </c>
      <c r="DL7">
        <v>1.94</v>
      </c>
      <c r="DM7">
        <v>1.02</v>
      </c>
      <c r="DN7">
        <v>1.3</v>
      </c>
      <c r="DO7">
        <v>1.3</v>
      </c>
      <c r="DP7">
        <v>1.02</v>
      </c>
      <c r="DQ7">
        <v>1.02</v>
      </c>
      <c r="DR7">
        <v>1.06</v>
      </c>
      <c r="DS7">
        <v>0.77</v>
      </c>
      <c r="DT7">
        <v>1.65</v>
      </c>
      <c r="DU7">
        <v>1.24</v>
      </c>
      <c r="DV7">
        <v>2.0821280493824399</v>
      </c>
      <c r="EA7" s="83">
        <f t="shared" si="9"/>
        <v>2.5</v>
      </c>
      <c r="EB7" s="85">
        <v>0.74199999999999999</v>
      </c>
      <c r="EC7" s="85">
        <v>0.67200000000000004</v>
      </c>
      <c r="ED7" s="85">
        <v>0.58699999999999997</v>
      </c>
      <c r="EE7" s="85">
        <v>0.52600000000000002</v>
      </c>
      <c r="EF7" s="85">
        <v>0.48</v>
      </c>
      <c r="EG7" s="85">
        <v>0.442</v>
      </c>
      <c r="EH7" s="85">
        <v>0.41</v>
      </c>
      <c r="EI7" s="85">
        <v>0.38300000000000001</v>
      </c>
      <c r="EJ7" s="85">
        <v>0.35699999999999998</v>
      </c>
      <c r="EK7" s="85">
        <v>0.317</v>
      </c>
      <c r="EL7" s="85">
        <v>0.28699999999999998</v>
      </c>
      <c r="EM7" s="85">
        <v>0.26200000000000001</v>
      </c>
      <c r="EN7" s="85">
        <v>0.23799999999999999</v>
      </c>
      <c r="EO7" s="85">
        <v>0.22</v>
      </c>
      <c r="EP7" s="85">
        <v>0.20399999999999999</v>
      </c>
      <c r="EQ7" s="85">
        <v>0.19</v>
      </c>
      <c r="ER7" s="85">
        <v>0.17799999999999999</v>
      </c>
      <c r="ES7" s="85">
        <v>0.16800000000000001</v>
      </c>
      <c r="ET7" s="85">
        <v>0.158</v>
      </c>
      <c r="EU7" s="85">
        <v>0.14399999999999999</v>
      </c>
      <c r="EV7" s="85">
        <v>0.13</v>
      </c>
      <c r="EW7" s="85">
        <v>0.11799999999999999</v>
      </c>
      <c r="EX7" s="85">
        <v>0.10100000000000001</v>
      </c>
      <c r="EY7" s="85">
        <v>0.09</v>
      </c>
      <c r="EZ7" s="85">
        <v>7.5999999999999998E-2</v>
      </c>
      <c r="FA7" s="85">
        <v>6.5000000000000002E-2</v>
      </c>
      <c r="FB7" s="85">
        <v>6.5000000000000002E-2</v>
      </c>
    </row>
    <row r="8" spans="1:158">
      <c r="A8" s="21" t="s">
        <v>4</v>
      </c>
      <c r="B8" s="5">
        <f t="shared" si="4"/>
        <v>206000</v>
      </c>
      <c r="C8" s="5">
        <v>235</v>
      </c>
      <c r="D8" s="191">
        <v>360</v>
      </c>
      <c r="E8" s="14">
        <v>1.05</v>
      </c>
      <c r="F8" s="42"/>
      <c r="G8" s="42"/>
      <c r="H8" s="42"/>
      <c r="I8" s="42"/>
      <c r="K8" s="20">
        <v>12.9</v>
      </c>
      <c r="L8" s="20">
        <v>1220</v>
      </c>
      <c r="M8" s="20">
        <v>1100</v>
      </c>
      <c r="N8" s="20">
        <v>427</v>
      </c>
      <c r="O8" s="20">
        <v>854</v>
      </c>
      <c r="P8" s="53"/>
      <c r="Q8" s="53"/>
      <c r="R8" s="53"/>
      <c r="S8" s="53"/>
      <c r="T8" s="53"/>
      <c r="V8" s="59">
        <v>20</v>
      </c>
      <c r="W8" s="6">
        <v>2.5</v>
      </c>
      <c r="X8" s="16">
        <f t="shared" si="10"/>
        <v>314.15926535897933</v>
      </c>
      <c r="Y8" s="6">
        <v>245</v>
      </c>
      <c r="Z8" s="6">
        <v>1.1000000000000001</v>
      </c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V8" s="6">
        <v>440</v>
      </c>
      <c r="AW8" s="6">
        <v>685</v>
      </c>
      <c r="AX8" s="6">
        <v>580</v>
      </c>
      <c r="BI8" s="63" t="s">
        <v>143</v>
      </c>
      <c r="BJ8" s="64" t="s">
        <v>144</v>
      </c>
      <c r="BK8" s="65">
        <v>30000</v>
      </c>
      <c r="BL8" s="66">
        <v>18.5</v>
      </c>
      <c r="BM8" s="66">
        <v>14.5</v>
      </c>
      <c r="BN8" s="67">
        <v>1.55</v>
      </c>
      <c r="BO8" s="67">
        <v>1.05</v>
      </c>
      <c r="BP8" s="68" t="s">
        <v>145</v>
      </c>
      <c r="BQ8" s="68">
        <f t="shared" si="11"/>
        <v>20</v>
      </c>
      <c r="CC8" s="60" t="s">
        <v>146</v>
      </c>
      <c r="CD8" s="61">
        <v>295</v>
      </c>
      <c r="CE8" s="61">
        <v>490</v>
      </c>
      <c r="CF8" s="60">
        <f t="shared" si="5"/>
        <v>295</v>
      </c>
      <c r="CG8" s="60">
        <f t="shared" si="6"/>
        <v>256.52173913043481</v>
      </c>
      <c r="CH8" s="60">
        <f t="shared" si="7"/>
        <v>295</v>
      </c>
      <c r="CI8" s="60">
        <f t="shared" si="8"/>
        <v>206.5</v>
      </c>
      <c r="CJ8" s="69">
        <v>200000</v>
      </c>
      <c r="DB8" t="s">
        <v>207</v>
      </c>
      <c r="DC8" t="s">
        <v>207</v>
      </c>
      <c r="DD8" t="s">
        <v>97</v>
      </c>
      <c r="DE8">
        <v>3</v>
      </c>
      <c r="DF8">
        <v>2</v>
      </c>
      <c r="DG8">
        <v>0.22</v>
      </c>
      <c r="DH8">
        <v>0.22</v>
      </c>
      <c r="DI8">
        <v>1.88</v>
      </c>
      <c r="DJ8">
        <v>1.32</v>
      </c>
      <c r="DK8">
        <v>0.88</v>
      </c>
      <c r="DL8">
        <v>2.0499999999999998</v>
      </c>
      <c r="DM8">
        <v>1.08</v>
      </c>
      <c r="DN8">
        <v>1.37</v>
      </c>
      <c r="DO8">
        <v>1.37</v>
      </c>
      <c r="DP8">
        <v>1.08</v>
      </c>
      <c r="DQ8">
        <v>1.08</v>
      </c>
      <c r="DR8">
        <v>1.04</v>
      </c>
      <c r="DS8">
        <v>0.76</v>
      </c>
      <c r="DT8">
        <v>1.76</v>
      </c>
      <c r="DU8">
        <v>1.32</v>
      </c>
      <c r="DV8">
        <v>2.1491343702664101</v>
      </c>
      <c r="EA8" s="83">
        <f t="shared" si="9"/>
        <v>3</v>
      </c>
      <c r="EB8" s="85">
        <v>0.66700000000000004</v>
      </c>
      <c r="EC8" s="85">
        <v>0.59699999999999998</v>
      </c>
      <c r="ED8" s="85">
        <v>0.52</v>
      </c>
      <c r="EE8" s="85">
        <v>0.46500000000000002</v>
      </c>
      <c r="EF8" s="85">
        <v>0.42499999999999999</v>
      </c>
      <c r="EG8" s="85">
        <v>0.39500000000000002</v>
      </c>
      <c r="EH8" s="85">
        <v>0.36499999999999999</v>
      </c>
      <c r="EI8" s="85">
        <v>0.34200000000000003</v>
      </c>
      <c r="EJ8" s="85">
        <v>0.32</v>
      </c>
      <c r="EK8" s="85">
        <v>0.28699999999999998</v>
      </c>
      <c r="EL8" s="85">
        <v>0.26</v>
      </c>
      <c r="EM8" s="85">
        <v>0.23799999999999999</v>
      </c>
      <c r="EN8" s="85">
        <v>0.217</v>
      </c>
      <c r="EO8" s="85">
        <v>0.20200000000000001</v>
      </c>
      <c r="EP8" s="85">
        <v>0.187</v>
      </c>
      <c r="EQ8" s="85">
        <v>0.17499999999999999</v>
      </c>
      <c r="ER8" s="85">
        <v>0.16600000000000001</v>
      </c>
      <c r="ES8" s="85">
        <v>0.156</v>
      </c>
      <c r="ET8" s="85">
        <v>0.14699999999999999</v>
      </c>
      <c r="EU8" s="85">
        <v>0.13500000000000001</v>
      </c>
      <c r="EV8" s="85">
        <v>0.123</v>
      </c>
      <c r="EW8" s="85">
        <v>0.112</v>
      </c>
      <c r="EX8" s="85">
        <v>9.7000000000000003E-2</v>
      </c>
      <c r="EY8" s="85">
        <v>8.5999999999999993E-2</v>
      </c>
      <c r="EZ8" s="85">
        <v>7.2999999999999995E-2</v>
      </c>
      <c r="FA8" s="85">
        <v>6.3E-2</v>
      </c>
      <c r="FB8" s="85">
        <v>6.3E-2</v>
      </c>
    </row>
    <row r="9" spans="1:158">
      <c r="A9" s="21" t="s">
        <v>3</v>
      </c>
      <c r="B9" s="5">
        <f t="shared" si="4"/>
        <v>206000</v>
      </c>
      <c r="C9" s="5">
        <v>225</v>
      </c>
      <c r="D9" s="191">
        <v>360</v>
      </c>
      <c r="E9" s="14">
        <v>1.05</v>
      </c>
      <c r="F9" s="42"/>
      <c r="G9" s="42"/>
      <c r="H9" s="42"/>
      <c r="I9" s="42"/>
      <c r="V9" s="59">
        <v>22</v>
      </c>
      <c r="W9" s="6">
        <v>2.5</v>
      </c>
      <c r="X9" s="16">
        <f t="shared" si="10"/>
        <v>380.13271108436498</v>
      </c>
      <c r="Y9" s="6">
        <v>303</v>
      </c>
      <c r="Z9" s="6">
        <v>1.1000000000000001</v>
      </c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V9" s="6">
        <v>450</v>
      </c>
      <c r="AW9" s="6">
        <v>700</v>
      </c>
      <c r="AX9" s="6">
        <v>595</v>
      </c>
      <c r="BI9" s="63" t="s">
        <v>147</v>
      </c>
      <c r="BJ9" s="64" t="s">
        <v>148</v>
      </c>
      <c r="BK9" s="65">
        <v>32500</v>
      </c>
      <c r="BL9" s="66">
        <v>22</v>
      </c>
      <c r="BM9" s="66">
        <v>17</v>
      </c>
      <c r="BN9" s="67">
        <v>1.75</v>
      </c>
      <c r="BO9" s="67">
        <v>1.1499999999999999</v>
      </c>
      <c r="BP9" s="68" t="s">
        <v>149</v>
      </c>
      <c r="BQ9" s="68">
        <f t="shared" si="11"/>
        <v>25</v>
      </c>
      <c r="CC9" s="60" t="s">
        <v>150</v>
      </c>
      <c r="CD9" s="61">
        <v>390</v>
      </c>
      <c r="CE9" s="61">
        <v>590</v>
      </c>
      <c r="CF9" s="60">
        <f t="shared" si="5"/>
        <v>390</v>
      </c>
      <c r="CG9" s="60">
        <f t="shared" si="6"/>
        <v>339.13043478260875</v>
      </c>
      <c r="CH9" s="60">
        <f t="shared" si="7"/>
        <v>390</v>
      </c>
      <c r="CI9" s="60">
        <f t="shared" si="8"/>
        <v>273</v>
      </c>
      <c r="CJ9" s="69">
        <v>200000</v>
      </c>
      <c r="DB9" t="s">
        <v>208</v>
      </c>
      <c r="DC9" t="s">
        <v>208</v>
      </c>
      <c r="DD9" t="s">
        <v>97</v>
      </c>
      <c r="DE9">
        <v>3</v>
      </c>
      <c r="DF9">
        <v>2</v>
      </c>
      <c r="DG9">
        <v>0.25</v>
      </c>
      <c r="DH9">
        <v>0.25</v>
      </c>
      <c r="DI9">
        <v>2.09</v>
      </c>
      <c r="DJ9">
        <v>1.5</v>
      </c>
      <c r="DK9">
        <v>1</v>
      </c>
      <c r="DL9">
        <v>2.21</v>
      </c>
      <c r="DM9">
        <v>1.1499999999999999</v>
      </c>
      <c r="DN9">
        <v>1.48</v>
      </c>
      <c r="DO9">
        <v>1.48</v>
      </c>
      <c r="DP9">
        <v>1.1499999999999999</v>
      </c>
      <c r="DQ9">
        <v>1.1499999999999999</v>
      </c>
      <c r="DR9">
        <v>1.03</v>
      </c>
      <c r="DS9">
        <v>0.74</v>
      </c>
      <c r="DT9">
        <v>1.92</v>
      </c>
      <c r="DU9">
        <v>1.44</v>
      </c>
      <c r="DV9">
        <v>2.18463803689398</v>
      </c>
      <c r="EA9" s="83">
        <f t="shared" si="9"/>
        <v>3.5</v>
      </c>
      <c r="EB9" s="85">
        <v>0.58699999999999997</v>
      </c>
      <c r="EC9" s="85">
        <v>0.52200000000000002</v>
      </c>
      <c r="ED9" s="85">
        <v>0.45500000000000002</v>
      </c>
      <c r="EE9" s="85">
        <v>0.40799999999999997</v>
      </c>
      <c r="EF9" s="85">
        <v>0.375</v>
      </c>
      <c r="EG9" s="85">
        <v>0.35</v>
      </c>
      <c r="EH9" s="85">
        <v>0.32500000000000001</v>
      </c>
      <c r="EI9" s="85">
        <v>0.30299999999999999</v>
      </c>
      <c r="EJ9" s="85">
        <v>0.28699999999999998</v>
      </c>
      <c r="EK9" s="85">
        <v>0.25800000000000001</v>
      </c>
      <c r="EL9" s="85">
        <v>0.23300000000000001</v>
      </c>
      <c r="EM9" s="85">
        <v>0.216</v>
      </c>
      <c r="EN9" s="85">
        <v>0.19800000000000001</v>
      </c>
      <c r="EO9" s="85">
        <v>0.183</v>
      </c>
      <c r="EP9" s="85">
        <v>0.17199999999999999</v>
      </c>
      <c r="EQ9" s="85">
        <v>0.16200000000000001</v>
      </c>
      <c r="ER9" s="85">
        <v>0.153</v>
      </c>
      <c r="ES9" s="85">
        <v>0.14499999999999999</v>
      </c>
      <c r="ET9" s="85">
        <v>0.13700000000000001</v>
      </c>
      <c r="EU9" s="85">
        <v>0.125</v>
      </c>
      <c r="EV9" s="85">
        <v>0.115</v>
      </c>
      <c r="EW9" s="85">
        <v>0.106</v>
      </c>
      <c r="EX9" s="85">
        <v>9.1999999999999998E-2</v>
      </c>
      <c r="EY9" s="85">
        <v>8.2000000000000003E-2</v>
      </c>
      <c r="EZ9" s="85">
        <v>6.9000000000000006E-2</v>
      </c>
      <c r="FA9" s="85">
        <v>0.06</v>
      </c>
      <c r="FB9" s="85">
        <v>0.06</v>
      </c>
    </row>
    <row r="10" spans="1:158">
      <c r="A10" s="21" t="s">
        <v>5</v>
      </c>
      <c r="B10" s="5">
        <f t="shared" si="4"/>
        <v>206000</v>
      </c>
      <c r="C10" s="5">
        <v>215</v>
      </c>
      <c r="D10" s="191">
        <v>360</v>
      </c>
      <c r="E10" s="14">
        <v>1.05</v>
      </c>
      <c r="F10" s="42"/>
      <c r="G10" s="42"/>
      <c r="H10" s="42"/>
      <c r="I10" s="42"/>
      <c r="V10" s="59">
        <v>24</v>
      </c>
      <c r="W10" s="6">
        <v>3</v>
      </c>
      <c r="X10" s="16">
        <f t="shared" si="10"/>
        <v>452.38934211693021</v>
      </c>
      <c r="Y10" s="6">
        <v>353</v>
      </c>
      <c r="Z10" s="6">
        <v>1.1000000000000001</v>
      </c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V10" s="6">
        <v>460</v>
      </c>
      <c r="AW10" s="6">
        <v>720</v>
      </c>
      <c r="AX10" s="6">
        <v>605</v>
      </c>
      <c r="BI10" s="63" t="s">
        <v>151</v>
      </c>
      <c r="BJ10" s="64" t="s">
        <v>152</v>
      </c>
      <c r="BK10" s="65">
        <v>34500</v>
      </c>
      <c r="BL10" s="66">
        <v>25.5</v>
      </c>
      <c r="BM10" s="66">
        <v>19.5</v>
      </c>
      <c r="BN10" s="67">
        <v>1.95</v>
      </c>
      <c r="BO10" s="67">
        <v>1.3</v>
      </c>
      <c r="BP10" s="68" t="s">
        <v>153</v>
      </c>
      <c r="BQ10" s="68">
        <f t="shared" si="11"/>
        <v>28</v>
      </c>
      <c r="CC10" s="60" t="s">
        <v>154</v>
      </c>
      <c r="CD10" s="61">
        <v>240</v>
      </c>
      <c r="CE10" s="61">
        <v>380</v>
      </c>
      <c r="CF10" s="60">
        <f t="shared" si="5"/>
        <v>240</v>
      </c>
      <c r="CG10" s="60">
        <f>CF10/1.15</f>
        <v>208.69565217391306</v>
      </c>
      <c r="CH10" s="60">
        <f t="shared" si="7"/>
        <v>240</v>
      </c>
      <c r="CI10" s="60">
        <v>170</v>
      </c>
      <c r="CJ10" s="62">
        <v>200000</v>
      </c>
      <c r="DB10" t="s">
        <v>209</v>
      </c>
      <c r="DC10" t="s">
        <v>209</v>
      </c>
      <c r="DD10" t="s">
        <v>97</v>
      </c>
      <c r="DE10">
        <v>4</v>
      </c>
      <c r="DF10">
        <v>1</v>
      </c>
      <c r="DG10">
        <v>0.16</v>
      </c>
      <c r="DH10">
        <v>0.16</v>
      </c>
      <c r="DI10">
        <v>1.43</v>
      </c>
      <c r="DJ10">
        <v>1.28</v>
      </c>
      <c r="DK10">
        <v>0.32</v>
      </c>
      <c r="DL10">
        <v>2.25</v>
      </c>
      <c r="DM10">
        <v>0.22</v>
      </c>
      <c r="DN10">
        <v>1.1299999999999999</v>
      </c>
      <c r="DO10">
        <v>1.1299999999999999</v>
      </c>
      <c r="DP10">
        <v>0.44</v>
      </c>
      <c r="DQ10">
        <v>0.44</v>
      </c>
      <c r="DR10">
        <v>1.25</v>
      </c>
      <c r="DS10">
        <v>0.39</v>
      </c>
      <c r="DT10">
        <v>1.57</v>
      </c>
      <c r="DU10">
        <v>0.54</v>
      </c>
      <c r="DV10">
        <v>0.65117215883351798</v>
      </c>
      <c r="EA10" s="83">
        <f t="shared" si="9"/>
        <v>4</v>
      </c>
      <c r="EB10" s="85">
        <v>0.505</v>
      </c>
      <c r="EC10" s="85">
        <v>0.44700000000000001</v>
      </c>
      <c r="ED10" s="85">
        <v>0.39400000000000002</v>
      </c>
      <c r="EE10" s="85">
        <v>0.35599999999999998</v>
      </c>
      <c r="EF10" s="85">
        <v>0.33</v>
      </c>
      <c r="EG10" s="85">
        <v>0.309</v>
      </c>
      <c r="EH10" s="85">
        <v>0.28899999999999998</v>
      </c>
      <c r="EI10" s="85">
        <v>0.27</v>
      </c>
      <c r="EJ10" s="85">
        <v>0.25600000000000001</v>
      </c>
      <c r="EK10" s="85">
        <v>0.23200000000000001</v>
      </c>
      <c r="EL10" s="85">
        <v>0.21199999999999999</v>
      </c>
      <c r="EM10" s="85">
        <v>0.19700000000000001</v>
      </c>
      <c r="EN10" s="85">
        <v>0.18099999999999999</v>
      </c>
      <c r="EO10" s="85">
        <v>0.16800000000000001</v>
      </c>
      <c r="EP10" s="85">
        <v>0.158</v>
      </c>
      <c r="EQ10" s="85">
        <v>0.14899999999999999</v>
      </c>
      <c r="ER10" s="85">
        <v>0.14000000000000001</v>
      </c>
      <c r="ES10" s="85">
        <v>0.13500000000000001</v>
      </c>
      <c r="ET10" s="85">
        <v>0.127</v>
      </c>
      <c r="EU10" s="85">
        <v>0.11799999999999999</v>
      </c>
      <c r="EV10" s="85">
        <v>0.108</v>
      </c>
      <c r="EW10" s="85">
        <v>9.8000000000000004E-2</v>
      </c>
      <c r="EX10" s="85">
        <v>8.7999999999999995E-2</v>
      </c>
      <c r="EY10" s="85">
        <v>7.8E-2</v>
      </c>
      <c r="EZ10" s="85">
        <v>6.6000000000000003E-2</v>
      </c>
      <c r="FA10" s="85">
        <v>5.7000000000000002E-2</v>
      </c>
      <c r="FB10" s="85">
        <v>5.7000000000000002E-2</v>
      </c>
    </row>
    <row r="11" spans="1:158">
      <c r="A11" s="21" t="s">
        <v>6</v>
      </c>
      <c r="B11" s="5">
        <f t="shared" si="4"/>
        <v>206000</v>
      </c>
      <c r="C11" s="5">
        <v>215</v>
      </c>
      <c r="D11" s="191">
        <v>360</v>
      </c>
      <c r="E11" s="14">
        <v>1.05</v>
      </c>
      <c r="F11" s="42"/>
      <c r="G11" s="42"/>
      <c r="H11" s="42"/>
      <c r="I11" s="42"/>
      <c r="V11" s="59">
        <v>27</v>
      </c>
      <c r="W11" s="6">
        <v>3</v>
      </c>
      <c r="X11" s="16">
        <f t="shared" si="10"/>
        <v>572.55526111673976</v>
      </c>
      <c r="Y11" s="6">
        <v>459</v>
      </c>
      <c r="Z11" s="6">
        <v>1.2</v>
      </c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V11" s="6">
        <v>470</v>
      </c>
      <c r="AW11" s="6">
        <v>735</v>
      </c>
      <c r="AX11" s="6">
        <v>620</v>
      </c>
      <c r="BI11" s="63" t="s">
        <v>155</v>
      </c>
      <c r="BJ11" s="64" t="s">
        <v>156</v>
      </c>
      <c r="BK11" s="65">
        <v>36000</v>
      </c>
      <c r="BL11" s="66">
        <v>29</v>
      </c>
      <c r="BM11" s="66">
        <v>22</v>
      </c>
      <c r="BN11" s="67">
        <v>2.1</v>
      </c>
      <c r="BO11" s="67">
        <v>1.4</v>
      </c>
      <c r="BP11" s="68" t="s">
        <v>157</v>
      </c>
      <c r="BQ11" s="68">
        <f t="shared" si="11"/>
        <v>32</v>
      </c>
      <c r="CC11" s="60" t="s">
        <v>158</v>
      </c>
      <c r="CD11" s="61">
        <v>300</v>
      </c>
      <c r="CE11" s="61">
        <v>440</v>
      </c>
      <c r="CF11" s="60">
        <f t="shared" si="5"/>
        <v>300</v>
      </c>
      <c r="CG11" s="60">
        <f t="shared" ref="CG11:CG14" si="12">CF11/1.15</f>
        <v>260.86956521739131</v>
      </c>
      <c r="CH11" s="60">
        <f t="shared" si="7"/>
        <v>300</v>
      </c>
      <c r="CI11" s="60">
        <v>210</v>
      </c>
      <c r="CJ11" s="62">
        <v>200000</v>
      </c>
      <c r="DB11" t="s">
        <v>210</v>
      </c>
      <c r="DC11" t="s">
        <v>210</v>
      </c>
      <c r="DD11" t="s">
        <v>97</v>
      </c>
      <c r="DE11">
        <v>4</v>
      </c>
      <c r="DF11">
        <v>1</v>
      </c>
      <c r="DG11">
        <v>0.18</v>
      </c>
      <c r="DH11">
        <v>0.18</v>
      </c>
      <c r="DI11">
        <v>1.59</v>
      </c>
      <c r="DJ11">
        <v>1.44</v>
      </c>
      <c r="DK11">
        <v>0.36</v>
      </c>
      <c r="DL11">
        <v>2.44</v>
      </c>
      <c r="DM11">
        <v>0.24</v>
      </c>
      <c r="DN11">
        <v>1.22</v>
      </c>
      <c r="DO11">
        <v>1.22</v>
      </c>
      <c r="DP11">
        <v>0.48</v>
      </c>
      <c r="DQ11">
        <v>0.48</v>
      </c>
      <c r="DR11">
        <v>1.24</v>
      </c>
      <c r="DS11">
        <v>0.39</v>
      </c>
      <c r="DT11">
        <v>1.72</v>
      </c>
      <c r="DU11">
        <v>0.59</v>
      </c>
      <c r="DV11">
        <v>0.66208197309896</v>
      </c>
      <c r="EA11" s="83">
        <f t="shared" si="9"/>
        <v>4.5</v>
      </c>
      <c r="EB11" s="85">
        <v>0.41799999999999998</v>
      </c>
      <c r="EC11" s="85">
        <v>0.38200000000000001</v>
      </c>
      <c r="ED11" s="85">
        <v>0.34200000000000003</v>
      </c>
      <c r="EE11" s="85">
        <v>0.31</v>
      </c>
      <c r="EF11" s="85">
        <v>0.28799999999999998</v>
      </c>
      <c r="EG11" s="85">
        <v>0.27200000000000002</v>
      </c>
      <c r="EH11" s="85">
        <v>0.25700000000000001</v>
      </c>
      <c r="EI11" s="85">
        <v>0.24199999999999999</v>
      </c>
      <c r="EJ11" s="85">
        <v>0.22900000000000001</v>
      </c>
      <c r="EK11" s="85">
        <v>0.20799999999999999</v>
      </c>
      <c r="EL11" s="85">
        <v>0.192</v>
      </c>
      <c r="EM11" s="85">
        <v>0.17799999999999999</v>
      </c>
      <c r="EN11" s="85">
        <v>0.16500000000000001</v>
      </c>
      <c r="EO11" s="85">
        <v>0.155</v>
      </c>
      <c r="EP11" s="85">
        <v>0.14599999999999999</v>
      </c>
      <c r="EQ11" s="85">
        <v>0.13700000000000001</v>
      </c>
      <c r="ER11" s="85">
        <v>0.13</v>
      </c>
      <c r="ES11" s="85">
        <v>0.125</v>
      </c>
      <c r="ET11" s="85">
        <v>0.11799999999999999</v>
      </c>
      <c r="EU11" s="85">
        <v>0.11</v>
      </c>
      <c r="EV11" s="85">
        <v>0.10100000000000001</v>
      </c>
      <c r="EW11" s="85">
        <v>9.2999999999999999E-2</v>
      </c>
      <c r="EX11" s="85">
        <v>8.3000000000000004E-2</v>
      </c>
      <c r="EY11" s="85">
        <v>7.4999999999999997E-2</v>
      </c>
      <c r="EZ11" s="85">
        <v>6.4000000000000001E-2</v>
      </c>
      <c r="FA11" s="85">
        <v>5.5E-2</v>
      </c>
      <c r="FB11" s="85">
        <v>5.5E-2</v>
      </c>
    </row>
    <row r="12" spans="1:158">
      <c r="A12" s="21" t="s">
        <v>7</v>
      </c>
      <c r="B12" s="5">
        <f t="shared" si="4"/>
        <v>206000</v>
      </c>
      <c r="C12" s="5">
        <v>215</v>
      </c>
      <c r="D12" s="191">
        <v>360</v>
      </c>
      <c r="E12" s="14">
        <v>1.05</v>
      </c>
      <c r="F12" s="42"/>
      <c r="G12" s="42"/>
      <c r="H12" s="42"/>
      <c r="I12" s="42"/>
      <c r="V12" s="59">
        <v>30</v>
      </c>
      <c r="W12" s="6">
        <v>3.5</v>
      </c>
      <c r="X12" s="16">
        <f t="shared" si="10"/>
        <v>706.85834705770344</v>
      </c>
      <c r="Y12" s="6">
        <v>561</v>
      </c>
      <c r="Z12" s="6">
        <v>1.3</v>
      </c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V12" s="6">
        <v>480</v>
      </c>
      <c r="AW12" s="6">
        <v>750</v>
      </c>
      <c r="AX12" s="6">
        <v>630</v>
      </c>
      <c r="BI12" s="63" t="s">
        <v>159</v>
      </c>
      <c r="BJ12" s="64" t="s">
        <v>160</v>
      </c>
      <c r="BK12" s="65">
        <v>37000</v>
      </c>
      <c r="BL12" s="66">
        <v>32</v>
      </c>
      <c r="BM12" s="66">
        <v>25</v>
      </c>
      <c r="BN12" s="67">
        <v>2.25</v>
      </c>
      <c r="BO12" s="67">
        <v>1.5</v>
      </c>
      <c r="BP12" s="68" t="s">
        <v>161</v>
      </c>
      <c r="BQ12" s="68">
        <f t="shared" si="11"/>
        <v>35</v>
      </c>
      <c r="CC12" s="60" t="s">
        <v>162</v>
      </c>
      <c r="CD12" s="61">
        <v>300</v>
      </c>
      <c r="CE12" s="61">
        <v>450</v>
      </c>
      <c r="CF12" s="60">
        <f t="shared" si="5"/>
        <v>300</v>
      </c>
      <c r="CG12" s="60">
        <f t="shared" si="12"/>
        <v>260.86956521739131</v>
      </c>
      <c r="CH12" s="60">
        <f t="shared" si="7"/>
        <v>300</v>
      </c>
      <c r="CI12" s="60">
        <v>210</v>
      </c>
      <c r="CJ12" s="62">
        <v>200000</v>
      </c>
      <c r="DB12" t="s">
        <v>211</v>
      </c>
      <c r="DC12" t="s">
        <v>211</v>
      </c>
      <c r="DD12" t="s">
        <v>97</v>
      </c>
      <c r="DE12">
        <v>4</v>
      </c>
      <c r="DF12">
        <v>1</v>
      </c>
      <c r="DG12">
        <v>0.2</v>
      </c>
      <c r="DH12">
        <v>0.2</v>
      </c>
      <c r="DI12">
        <v>1.74</v>
      </c>
      <c r="DJ12">
        <v>1.6</v>
      </c>
      <c r="DK12">
        <v>0.4</v>
      </c>
      <c r="DL12">
        <v>2.6</v>
      </c>
      <c r="DM12">
        <v>0.25</v>
      </c>
      <c r="DN12">
        <v>1.3</v>
      </c>
      <c r="DO12">
        <v>1.3</v>
      </c>
      <c r="DP12">
        <v>0.5</v>
      </c>
      <c r="DQ12">
        <v>0.5</v>
      </c>
      <c r="DR12">
        <v>1.22</v>
      </c>
      <c r="DS12">
        <v>0.38</v>
      </c>
      <c r="DT12">
        <v>1.85</v>
      </c>
      <c r="DU12">
        <v>0.63</v>
      </c>
      <c r="DV12">
        <v>0.65493672520878998</v>
      </c>
      <c r="EA12" s="83">
        <f t="shared" si="9"/>
        <v>5</v>
      </c>
      <c r="EB12" s="85">
        <v>0.35399999999999998</v>
      </c>
      <c r="EC12" s="85">
        <v>0.32600000000000001</v>
      </c>
      <c r="ED12" s="85">
        <v>0.29499999999999998</v>
      </c>
      <c r="EE12" s="85">
        <v>0.27300000000000002</v>
      </c>
      <c r="EF12" s="85">
        <v>0.253</v>
      </c>
      <c r="EG12" s="85">
        <v>0.23899999999999999</v>
      </c>
      <c r="EH12" s="85">
        <v>0.22500000000000001</v>
      </c>
      <c r="EI12" s="85">
        <v>0.215</v>
      </c>
      <c r="EJ12" s="85">
        <v>0.20499999999999999</v>
      </c>
      <c r="EK12" s="85">
        <v>0.188</v>
      </c>
      <c r="EL12" s="85">
        <v>0.17499999999999999</v>
      </c>
      <c r="EM12" s="85">
        <v>0.16200000000000001</v>
      </c>
      <c r="EN12" s="85">
        <v>0.15</v>
      </c>
      <c r="EO12" s="85">
        <v>0.14299999999999999</v>
      </c>
      <c r="EP12" s="85">
        <v>0.13500000000000001</v>
      </c>
      <c r="EQ12" s="85">
        <v>0.126</v>
      </c>
      <c r="ER12" s="85">
        <v>0.12</v>
      </c>
      <c r="ES12" s="85">
        <v>0.11700000000000001</v>
      </c>
      <c r="ET12" s="85">
        <v>0.111</v>
      </c>
      <c r="EU12" s="85">
        <v>0.10299999999999999</v>
      </c>
      <c r="EV12" s="85">
        <v>9.5000000000000001E-2</v>
      </c>
      <c r="EW12" s="85">
        <v>8.7999999999999995E-2</v>
      </c>
      <c r="EX12" s="85">
        <v>7.9000000000000001E-2</v>
      </c>
      <c r="EY12" s="85">
        <v>7.1999999999999995E-2</v>
      </c>
      <c r="EZ12" s="85">
        <v>6.2E-2</v>
      </c>
      <c r="FA12" s="85">
        <v>5.2999999999999999E-2</v>
      </c>
      <c r="FB12" s="85">
        <v>5.2999999999999999E-2</v>
      </c>
    </row>
    <row r="13" spans="1:158">
      <c r="A13" s="21" t="s">
        <v>8</v>
      </c>
      <c r="B13" s="5">
        <f t="shared" si="4"/>
        <v>206000</v>
      </c>
      <c r="C13" s="5">
        <v>275</v>
      </c>
      <c r="D13" s="191">
        <v>410</v>
      </c>
      <c r="E13" s="14">
        <v>1.05</v>
      </c>
      <c r="F13" s="42"/>
      <c r="G13" s="42"/>
      <c r="H13" s="42"/>
      <c r="I13" s="42"/>
      <c r="V13" s="59">
        <v>36</v>
      </c>
      <c r="W13" s="6">
        <v>4</v>
      </c>
      <c r="X13" s="16">
        <f t="shared" si="10"/>
        <v>1017.8760197630929</v>
      </c>
      <c r="Y13" s="6">
        <v>816</v>
      </c>
      <c r="Z13" s="6">
        <v>1.3</v>
      </c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V13" s="6">
        <v>490</v>
      </c>
      <c r="AW13" s="6">
        <v>765</v>
      </c>
      <c r="AX13" s="6">
        <v>645</v>
      </c>
      <c r="BI13" s="63" t="s">
        <v>163</v>
      </c>
      <c r="BJ13" s="64" t="s">
        <v>164</v>
      </c>
      <c r="BK13" s="65">
        <v>38000</v>
      </c>
      <c r="BL13" s="66">
        <v>36</v>
      </c>
      <c r="BM13" s="66">
        <v>27.5</v>
      </c>
      <c r="BN13" s="67">
        <v>2.4500000000000002</v>
      </c>
      <c r="BO13" s="67">
        <v>1.6</v>
      </c>
      <c r="BP13" s="68" t="s">
        <v>165</v>
      </c>
      <c r="BQ13" s="68">
        <f t="shared" si="11"/>
        <v>40</v>
      </c>
      <c r="CC13" s="60" t="s">
        <v>166</v>
      </c>
      <c r="CD13" s="61">
        <v>400</v>
      </c>
      <c r="CE13" s="61">
        <v>570</v>
      </c>
      <c r="CF13" s="60">
        <f t="shared" si="5"/>
        <v>400</v>
      </c>
      <c r="CG13" s="60">
        <f t="shared" si="12"/>
        <v>347.82608695652175</v>
      </c>
      <c r="CH13" s="60">
        <f t="shared" si="7"/>
        <v>400</v>
      </c>
      <c r="CI13" s="60">
        <v>280</v>
      </c>
      <c r="CJ13" s="62">
        <v>200000</v>
      </c>
      <c r="DB13" t="s">
        <v>212</v>
      </c>
      <c r="DC13" t="s">
        <v>212</v>
      </c>
      <c r="DD13" t="s">
        <v>97</v>
      </c>
      <c r="DE13">
        <v>4</v>
      </c>
      <c r="DF13">
        <v>2</v>
      </c>
      <c r="DG13">
        <v>0.16</v>
      </c>
      <c r="DH13">
        <v>0.16</v>
      </c>
      <c r="DI13">
        <v>1.75</v>
      </c>
      <c r="DJ13">
        <v>1.28</v>
      </c>
      <c r="DK13">
        <v>0.64</v>
      </c>
      <c r="DL13">
        <v>3.43</v>
      </c>
      <c r="DM13">
        <v>1.1499999999999999</v>
      </c>
      <c r="DN13">
        <v>1.72</v>
      </c>
      <c r="DO13">
        <v>1.72</v>
      </c>
      <c r="DP13">
        <v>1.1499999999999999</v>
      </c>
      <c r="DQ13">
        <v>1.1499999999999999</v>
      </c>
      <c r="DR13">
        <v>1.4</v>
      </c>
      <c r="DS13">
        <v>0.81</v>
      </c>
      <c r="DT13">
        <v>2.1800000000000002</v>
      </c>
      <c r="DU13">
        <v>1.34</v>
      </c>
      <c r="DV13">
        <v>2.8255378601424299</v>
      </c>
      <c r="EA13" s="83">
        <f t="shared" si="9"/>
        <v>5.5</v>
      </c>
      <c r="EB13" s="85">
        <v>0.30199999999999999</v>
      </c>
      <c r="EC13" s="85">
        <v>0.28000000000000003</v>
      </c>
      <c r="ED13" s="85">
        <v>0.25600000000000001</v>
      </c>
      <c r="EE13" s="85">
        <v>0.24</v>
      </c>
      <c r="EF13" s="85">
        <v>0.224</v>
      </c>
      <c r="EG13" s="85">
        <v>0.21199999999999999</v>
      </c>
      <c r="EH13" s="85">
        <v>0.2</v>
      </c>
      <c r="EI13" s="85">
        <v>0.192</v>
      </c>
      <c r="EJ13" s="85">
        <v>0.184</v>
      </c>
      <c r="EK13" s="85">
        <v>0.17</v>
      </c>
      <c r="EL13" s="85">
        <v>0.158</v>
      </c>
      <c r="EM13" s="85">
        <v>0.14799999999999999</v>
      </c>
      <c r="EN13" s="85">
        <v>0.13800000000000001</v>
      </c>
      <c r="EO13" s="85">
        <v>0.13200000000000001</v>
      </c>
      <c r="EP13" s="85">
        <v>0.124</v>
      </c>
      <c r="EQ13" s="85">
        <v>0.11700000000000001</v>
      </c>
      <c r="ER13" s="85">
        <v>0.112</v>
      </c>
      <c r="ES13" s="85">
        <v>0.108</v>
      </c>
      <c r="ET13" s="85">
        <v>0.104</v>
      </c>
      <c r="EU13" s="85">
        <v>9.5000000000000001E-2</v>
      </c>
      <c r="EV13" s="85">
        <v>8.8999999999999996E-2</v>
      </c>
      <c r="EW13" s="85">
        <v>8.4000000000000005E-2</v>
      </c>
      <c r="EX13" s="85">
        <v>7.4999999999999997E-2</v>
      </c>
      <c r="EY13" s="85">
        <v>6.9000000000000006E-2</v>
      </c>
      <c r="EZ13" s="85">
        <v>0.06</v>
      </c>
      <c r="FA13" s="85">
        <v>5.0999999999999997E-2</v>
      </c>
      <c r="FB13" s="85">
        <v>5.0999999999999997E-2</v>
      </c>
    </row>
    <row r="14" spans="1:158">
      <c r="A14" s="21" t="s">
        <v>9</v>
      </c>
      <c r="B14" s="5">
        <f t="shared" si="4"/>
        <v>206000</v>
      </c>
      <c r="C14" s="5">
        <v>265</v>
      </c>
      <c r="D14" s="191">
        <v>410</v>
      </c>
      <c r="E14" s="14">
        <v>1.05</v>
      </c>
      <c r="F14" s="42"/>
      <c r="G14" s="42"/>
      <c r="H14" s="42"/>
      <c r="I14" s="42"/>
      <c r="V14" s="59">
        <v>42</v>
      </c>
      <c r="W14" s="6">
        <v>4.5</v>
      </c>
      <c r="X14" s="16">
        <f t="shared" si="10"/>
        <v>1385.4423602330987</v>
      </c>
      <c r="Y14" s="6">
        <v>1120</v>
      </c>
      <c r="Z14" s="6">
        <v>1.6</v>
      </c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V14" s="6">
        <v>510</v>
      </c>
      <c r="AW14" s="6">
        <v>795</v>
      </c>
      <c r="AX14" s="6">
        <v>670</v>
      </c>
      <c r="BI14" s="63" t="s">
        <v>163</v>
      </c>
      <c r="BJ14" s="64" t="s">
        <v>167</v>
      </c>
      <c r="BK14" s="65">
        <v>39000</v>
      </c>
      <c r="BL14" s="66">
        <v>39.5</v>
      </c>
      <c r="BM14" s="66">
        <v>30</v>
      </c>
      <c r="BN14" s="67">
        <v>2.6</v>
      </c>
      <c r="BO14" s="67">
        <v>1.7</v>
      </c>
      <c r="BP14" s="68" t="s">
        <v>168</v>
      </c>
      <c r="BQ14" s="68">
        <f t="shared" si="11"/>
        <v>45</v>
      </c>
      <c r="CC14" s="60" t="s">
        <v>169</v>
      </c>
      <c r="CD14" s="61">
        <v>500</v>
      </c>
      <c r="CE14" s="61">
        <v>650</v>
      </c>
      <c r="CF14" s="60">
        <f t="shared" si="5"/>
        <v>500</v>
      </c>
      <c r="CG14" s="60">
        <f t="shared" si="12"/>
        <v>434.78260869565219</v>
      </c>
      <c r="CH14" s="60">
        <f t="shared" si="7"/>
        <v>500</v>
      </c>
      <c r="CI14" s="60">
        <v>300</v>
      </c>
      <c r="CJ14" s="62">
        <v>200000</v>
      </c>
      <c r="DB14" t="s">
        <v>213</v>
      </c>
      <c r="DC14" t="s">
        <v>213</v>
      </c>
      <c r="DD14" t="s">
        <v>97</v>
      </c>
      <c r="DE14">
        <v>4</v>
      </c>
      <c r="DF14">
        <v>2</v>
      </c>
      <c r="DG14">
        <v>0.18</v>
      </c>
      <c r="DH14">
        <v>0.18</v>
      </c>
      <c r="DI14">
        <v>1.95</v>
      </c>
      <c r="DJ14">
        <v>1.44</v>
      </c>
      <c r="DK14">
        <v>0.72</v>
      </c>
      <c r="DL14">
        <v>3.75</v>
      </c>
      <c r="DM14">
        <v>1.25</v>
      </c>
      <c r="DN14">
        <v>1.88</v>
      </c>
      <c r="DO14">
        <v>1.88</v>
      </c>
      <c r="DP14">
        <v>1.25</v>
      </c>
      <c r="DQ14">
        <v>1.25</v>
      </c>
      <c r="DR14">
        <v>1.39</v>
      </c>
      <c r="DS14">
        <v>0.8</v>
      </c>
      <c r="DT14">
        <v>2.4</v>
      </c>
      <c r="DU14">
        <v>1.47</v>
      </c>
      <c r="DV14">
        <v>3.05513288039019</v>
      </c>
      <c r="EA14" s="83">
        <f t="shared" si="9"/>
        <v>6</v>
      </c>
      <c r="EB14" s="85">
        <v>0.25800000000000001</v>
      </c>
      <c r="EC14" s="85">
        <v>0.24399999999999999</v>
      </c>
      <c r="ED14" s="85">
        <v>0.223</v>
      </c>
      <c r="EE14" s="85">
        <v>0.21</v>
      </c>
      <c r="EF14" s="85">
        <v>0.19800000000000001</v>
      </c>
      <c r="EG14" s="85">
        <v>0.19</v>
      </c>
      <c r="EH14" s="85">
        <v>0.17799999999999999</v>
      </c>
      <c r="EI14" s="85">
        <v>0.17199999999999999</v>
      </c>
      <c r="EJ14" s="85">
        <v>0.16600000000000001</v>
      </c>
      <c r="EK14" s="85">
        <v>0.153</v>
      </c>
      <c r="EL14" s="85">
        <v>0.14499999999999999</v>
      </c>
      <c r="EM14" s="85">
        <v>0.13700000000000001</v>
      </c>
      <c r="EN14" s="85">
        <v>0.128</v>
      </c>
      <c r="EO14" s="85">
        <v>0.12</v>
      </c>
      <c r="EP14" s="85">
        <v>0.115</v>
      </c>
      <c r="EQ14" s="85">
        <v>0.109</v>
      </c>
      <c r="ER14" s="85">
        <v>0.104</v>
      </c>
      <c r="ES14" s="85">
        <v>0.1</v>
      </c>
      <c r="ET14" s="85">
        <v>9.6000000000000002E-2</v>
      </c>
      <c r="EU14" s="85">
        <v>8.8999999999999996E-2</v>
      </c>
      <c r="EV14" s="85">
        <v>8.4000000000000005E-2</v>
      </c>
      <c r="EW14" s="85">
        <v>7.9000000000000001E-2</v>
      </c>
      <c r="EX14" s="85">
        <v>7.1999999999999995E-2</v>
      </c>
      <c r="EY14" s="85">
        <v>6.6000000000000003E-2</v>
      </c>
      <c r="EZ14" s="85">
        <v>5.7000000000000002E-2</v>
      </c>
      <c r="FA14" s="85">
        <v>4.9000000000000002E-2</v>
      </c>
      <c r="FB14" s="85">
        <v>4.9000000000000002E-2</v>
      </c>
    </row>
    <row r="15" spans="1:158">
      <c r="A15" s="21" t="s">
        <v>10</v>
      </c>
      <c r="B15" s="5">
        <f t="shared" si="4"/>
        <v>206000</v>
      </c>
      <c r="C15" s="5">
        <v>255</v>
      </c>
      <c r="D15" s="191">
        <v>410</v>
      </c>
      <c r="E15" s="14">
        <v>1.05</v>
      </c>
      <c r="F15" s="42"/>
      <c r="G15" s="42"/>
      <c r="H15" s="42"/>
      <c r="I15" s="42"/>
      <c r="V15" s="59">
        <v>48</v>
      </c>
      <c r="W15" s="6">
        <v>5</v>
      </c>
      <c r="X15" s="16">
        <f t="shared" si="10"/>
        <v>1809.5573684677208</v>
      </c>
      <c r="Y15" s="6">
        <v>1472</v>
      </c>
      <c r="Z15" s="6">
        <v>1.6</v>
      </c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V15" s="6">
        <v>540</v>
      </c>
      <c r="AW15" s="6">
        <v>845</v>
      </c>
      <c r="AX15" s="6">
        <v>710</v>
      </c>
      <c r="BI15" s="63" t="s">
        <v>170</v>
      </c>
      <c r="BJ15" s="64" t="s">
        <v>171</v>
      </c>
      <c r="BK15" s="65">
        <v>39500</v>
      </c>
      <c r="BL15" s="66">
        <v>43</v>
      </c>
      <c r="BM15" s="66">
        <v>33</v>
      </c>
      <c r="BN15" s="67">
        <v>2.75</v>
      </c>
      <c r="BO15" s="67">
        <v>1.8</v>
      </c>
      <c r="BP15" s="68" t="s">
        <v>172</v>
      </c>
      <c r="BQ15" s="68">
        <f t="shared" si="11"/>
        <v>50</v>
      </c>
      <c r="CC15" s="60" t="s">
        <v>173</v>
      </c>
      <c r="CD15" s="61">
        <v>235</v>
      </c>
      <c r="CE15" s="61">
        <v>380</v>
      </c>
      <c r="CF15" s="60">
        <f t="shared" si="5"/>
        <v>235</v>
      </c>
      <c r="CG15" s="60">
        <f t="shared" si="6"/>
        <v>204.34782608695653</v>
      </c>
      <c r="CH15" s="60">
        <f t="shared" si="7"/>
        <v>235</v>
      </c>
      <c r="CI15" s="60">
        <f t="shared" si="8"/>
        <v>164.5</v>
      </c>
      <c r="CJ15" s="70">
        <v>200000</v>
      </c>
      <c r="DB15" t="s">
        <v>214</v>
      </c>
      <c r="DC15" t="s">
        <v>214</v>
      </c>
      <c r="DD15" t="s">
        <v>97</v>
      </c>
      <c r="DE15">
        <v>4</v>
      </c>
      <c r="DF15">
        <v>2</v>
      </c>
      <c r="DG15">
        <v>0.2</v>
      </c>
      <c r="DH15">
        <v>0.2</v>
      </c>
      <c r="DI15">
        <v>2.14</v>
      </c>
      <c r="DJ15">
        <v>1.6</v>
      </c>
      <c r="DK15">
        <v>0.8</v>
      </c>
      <c r="DL15">
        <v>4.05</v>
      </c>
      <c r="DM15">
        <v>1.34</v>
      </c>
      <c r="DN15">
        <v>2.0299999999999998</v>
      </c>
      <c r="DO15">
        <v>2.0299999999999998</v>
      </c>
      <c r="DP15">
        <v>1.34</v>
      </c>
      <c r="DQ15">
        <v>1.34</v>
      </c>
      <c r="DR15">
        <v>1.38</v>
      </c>
      <c r="DS15">
        <v>0.79</v>
      </c>
      <c r="DT15">
        <v>2.61</v>
      </c>
      <c r="DU15">
        <v>1.6</v>
      </c>
      <c r="DV15">
        <v>3.2478351768315998</v>
      </c>
      <c r="EA15" s="83">
        <f t="shared" si="9"/>
        <v>6.5</v>
      </c>
      <c r="EB15" s="85">
        <v>0.223</v>
      </c>
      <c r="EC15" s="85">
        <v>0.21299999999999999</v>
      </c>
      <c r="ED15" s="85">
        <v>0.19600000000000001</v>
      </c>
      <c r="EE15" s="85">
        <v>0.185</v>
      </c>
      <c r="EF15" s="85">
        <v>0.17599999999999999</v>
      </c>
      <c r="EG15" s="85">
        <v>0.17</v>
      </c>
      <c r="EH15" s="85">
        <v>0.16</v>
      </c>
      <c r="EI15" s="85">
        <v>0.155</v>
      </c>
      <c r="EJ15" s="85">
        <v>0.14899999999999999</v>
      </c>
      <c r="EK15" s="85">
        <v>0.14000000000000001</v>
      </c>
      <c r="EL15" s="85">
        <v>0.13200000000000001</v>
      </c>
      <c r="EM15" s="85">
        <v>0.125</v>
      </c>
      <c r="EN15" s="85">
        <v>0.11700000000000001</v>
      </c>
      <c r="EO15" s="85">
        <v>0.112</v>
      </c>
      <c r="EP15" s="85">
        <v>0.106</v>
      </c>
      <c r="EQ15" s="85">
        <v>0.10100000000000001</v>
      </c>
      <c r="ER15" s="85">
        <v>9.7000000000000003E-2</v>
      </c>
      <c r="ES15" s="85">
        <v>9.4E-2</v>
      </c>
      <c r="ET15" s="85">
        <v>8.8999999999999996E-2</v>
      </c>
      <c r="EU15" s="85">
        <v>8.3000000000000004E-2</v>
      </c>
      <c r="EV15" s="85">
        <v>0.08</v>
      </c>
      <c r="EW15" s="85">
        <v>7.3999999999999996E-2</v>
      </c>
      <c r="EX15" s="85">
        <v>6.8000000000000005E-2</v>
      </c>
      <c r="EY15" s="85">
        <v>6.2E-2</v>
      </c>
      <c r="EZ15" s="85">
        <v>5.3999999999999999E-2</v>
      </c>
      <c r="FA15" s="85">
        <v>4.7E-2</v>
      </c>
      <c r="FB15" s="85">
        <v>4.7E-2</v>
      </c>
    </row>
    <row r="16" spans="1:158">
      <c r="A16" s="21" t="s">
        <v>11</v>
      </c>
      <c r="B16" s="5">
        <f t="shared" si="4"/>
        <v>206000</v>
      </c>
      <c r="C16" s="5">
        <v>245</v>
      </c>
      <c r="D16" s="191">
        <v>410</v>
      </c>
      <c r="E16" s="14">
        <v>1.05</v>
      </c>
      <c r="F16" s="42"/>
      <c r="G16" s="42"/>
      <c r="H16" s="42"/>
      <c r="I16" s="42"/>
      <c r="AV16" s="6">
        <v>570</v>
      </c>
      <c r="AW16" s="6">
        <v>890</v>
      </c>
      <c r="AX16" s="6">
        <v>750</v>
      </c>
      <c r="CC16" s="60" t="s">
        <v>174</v>
      </c>
      <c r="CD16" s="61">
        <v>295</v>
      </c>
      <c r="CE16" s="61">
        <v>440</v>
      </c>
      <c r="CF16" s="60">
        <f t="shared" si="5"/>
        <v>295</v>
      </c>
      <c r="CG16" s="60">
        <f t="shared" si="6"/>
        <v>256.52173913043481</v>
      </c>
      <c r="CH16" s="60">
        <f t="shared" si="7"/>
        <v>295</v>
      </c>
      <c r="CI16" s="60">
        <f t="shared" si="8"/>
        <v>206.5</v>
      </c>
      <c r="CJ16" s="70">
        <v>200000</v>
      </c>
      <c r="DB16" t="s">
        <v>215</v>
      </c>
      <c r="DC16" t="s">
        <v>215</v>
      </c>
      <c r="DD16" t="s">
        <v>97</v>
      </c>
      <c r="DE16">
        <v>4</v>
      </c>
      <c r="DF16">
        <v>2</v>
      </c>
      <c r="DG16">
        <v>0.22</v>
      </c>
      <c r="DH16">
        <v>0.22</v>
      </c>
      <c r="DI16">
        <v>2.3199999999999998</v>
      </c>
      <c r="DJ16">
        <v>1.76</v>
      </c>
      <c r="DK16">
        <v>0.88</v>
      </c>
      <c r="DL16">
        <v>4.32</v>
      </c>
      <c r="DM16">
        <v>1.43</v>
      </c>
      <c r="DN16">
        <v>2.16</v>
      </c>
      <c r="DO16">
        <v>2.16</v>
      </c>
      <c r="DP16">
        <v>1.43</v>
      </c>
      <c r="DQ16">
        <v>1.43</v>
      </c>
      <c r="DR16">
        <v>1.36</v>
      </c>
      <c r="DS16">
        <v>0.79</v>
      </c>
      <c r="DT16">
        <v>2.81</v>
      </c>
      <c r="DU16">
        <v>1.71</v>
      </c>
      <c r="DV16">
        <v>3.4012639780776102</v>
      </c>
      <c r="EA16" s="83">
        <f t="shared" si="9"/>
        <v>7</v>
      </c>
      <c r="EB16" s="85">
        <v>0.19400000000000001</v>
      </c>
      <c r="EC16" s="85">
        <v>0.186</v>
      </c>
      <c r="ED16" s="85">
        <v>0.17299999999999999</v>
      </c>
      <c r="EE16" s="85">
        <v>0.16300000000000001</v>
      </c>
      <c r="EF16" s="85">
        <v>0.157</v>
      </c>
      <c r="EG16" s="85">
        <v>0.152</v>
      </c>
      <c r="EH16" s="85">
        <v>0.14499999999999999</v>
      </c>
      <c r="EI16" s="85">
        <v>0.14099999999999999</v>
      </c>
      <c r="EJ16" s="85">
        <v>0.13600000000000001</v>
      </c>
      <c r="EK16" s="85">
        <v>0.127</v>
      </c>
      <c r="EL16" s="85">
        <v>0.121</v>
      </c>
      <c r="EM16" s="85">
        <v>0.115</v>
      </c>
      <c r="EN16" s="85">
        <v>0.108</v>
      </c>
      <c r="EO16" s="85">
        <v>0.10199999999999999</v>
      </c>
      <c r="EP16" s="85">
        <v>9.8000000000000004E-2</v>
      </c>
      <c r="EQ16" s="85">
        <v>9.4E-2</v>
      </c>
      <c r="ER16" s="85">
        <v>9.0999999999999998E-2</v>
      </c>
      <c r="ES16" s="85">
        <v>8.6999999999999994E-2</v>
      </c>
      <c r="ET16" s="85">
        <v>8.3000000000000004E-2</v>
      </c>
      <c r="EU16" s="85">
        <v>7.8E-2</v>
      </c>
      <c r="EV16" s="85">
        <v>7.3999999999999996E-2</v>
      </c>
      <c r="EW16" s="85">
        <v>7.0000000000000007E-2</v>
      </c>
      <c r="EX16" s="85">
        <v>6.4000000000000001E-2</v>
      </c>
      <c r="EY16" s="85">
        <v>5.8999999999999997E-2</v>
      </c>
      <c r="EZ16" s="85">
        <v>5.1999999999999998E-2</v>
      </c>
      <c r="FA16" s="85">
        <v>4.4999999999999998E-2</v>
      </c>
      <c r="FB16" s="85">
        <v>4.4999999999999998E-2</v>
      </c>
    </row>
    <row r="17" spans="1:158">
      <c r="A17" s="21" t="s">
        <v>12</v>
      </c>
      <c r="B17" s="5">
        <f t="shared" si="4"/>
        <v>206000</v>
      </c>
      <c r="C17" s="5">
        <v>235</v>
      </c>
      <c r="D17" s="191">
        <v>410</v>
      </c>
      <c r="E17" s="14">
        <v>1.05</v>
      </c>
      <c r="F17" s="42"/>
      <c r="G17" s="42"/>
      <c r="H17" s="42"/>
      <c r="I17" s="42"/>
      <c r="AV17" s="6">
        <v>590</v>
      </c>
      <c r="AW17" s="6">
        <v>920</v>
      </c>
      <c r="AX17" s="6">
        <v>775</v>
      </c>
      <c r="CC17" s="60" t="s">
        <v>175</v>
      </c>
      <c r="CD17" s="61">
        <v>295</v>
      </c>
      <c r="CE17" s="61">
        <v>440</v>
      </c>
      <c r="CF17" s="60">
        <f t="shared" si="5"/>
        <v>295</v>
      </c>
      <c r="CG17" s="60">
        <f t="shared" si="6"/>
        <v>256.52173913043481</v>
      </c>
      <c r="CH17" s="60">
        <f t="shared" si="7"/>
        <v>295</v>
      </c>
      <c r="CI17" s="60">
        <f t="shared" si="8"/>
        <v>206.5</v>
      </c>
      <c r="CJ17" s="70">
        <v>200000</v>
      </c>
      <c r="DB17" t="s">
        <v>216</v>
      </c>
      <c r="DC17" t="s">
        <v>216</v>
      </c>
      <c r="DD17" t="s">
        <v>97</v>
      </c>
      <c r="DE17">
        <v>4</v>
      </c>
      <c r="DF17">
        <v>2</v>
      </c>
      <c r="DG17">
        <v>0.25</v>
      </c>
      <c r="DH17">
        <v>0.25</v>
      </c>
      <c r="DI17">
        <v>2.59</v>
      </c>
      <c r="DJ17">
        <v>2</v>
      </c>
      <c r="DK17">
        <v>1</v>
      </c>
      <c r="DL17">
        <v>4.6900000000000004</v>
      </c>
      <c r="DM17">
        <v>1.54</v>
      </c>
      <c r="DN17">
        <v>2.35</v>
      </c>
      <c r="DO17">
        <v>2.35</v>
      </c>
      <c r="DP17">
        <v>1.54</v>
      </c>
      <c r="DQ17">
        <v>1.54</v>
      </c>
      <c r="DR17">
        <v>1.35</v>
      </c>
      <c r="DS17">
        <v>0.77</v>
      </c>
      <c r="DT17">
        <v>3.09</v>
      </c>
      <c r="DU17">
        <v>1.88</v>
      </c>
      <c r="DV17">
        <v>3.5532538895277201</v>
      </c>
      <c r="EA17" s="83">
        <f>EA16+1</f>
        <v>8</v>
      </c>
      <c r="EB17" s="85">
        <v>0.152</v>
      </c>
      <c r="EC17" s="85">
        <v>0.14599999999999999</v>
      </c>
      <c r="ED17" s="85">
        <v>0.13800000000000001</v>
      </c>
      <c r="EE17" s="85">
        <v>0.13300000000000001</v>
      </c>
      <c r="EF17" s="85">
        <v>0.128</v>
      </c>
      <c r="EG17" s="85">
        <v>0.121</v>
      </c>
      <c r="EH17" s="85">
        <v>0.11700000000000001</v>
      </c>
      <c r="EI17" s="85">
        <v>0.115</v>
      </c>
      <c r="EJ17" s="85">
        <v>0.113</v>
      </c>
      <c r="EK17" s="85">
        <v>0.106</v>
      </c>
      <c r="EL17" s="85">
        <v>0.1</v>
      </c>
      <c r="EM17" s="85">
        <v>9.5000000000000001E-2</v>
      </c>
      <c r="EN17" s="85">
        <v>9.0999999999999998E-2</v>
      </c>
      <c r="EO17" s="85">
        <v>8.6999999999999994E-2</v>
      </c>
      <c r="EP17" s="85">
        <v>8.3000000000000004E-2</v>
      </c>
      <c r="EQ17" s="85">
        <v>8.1000000000000003E-2</v>
      </c>
      <c r="ER17" s="85">
        <v>7.8E-2</v>
      </c>
      <c r="ES17" s="85">
        <v>7.5999999999999998E-2</v>
      </c>
      <c r="ET17" s="85">
        <v>7.3999999999999996E-2</v>
      </c>
      <c r="EU17" s="85">
        <v>6.8000000000000005E-2</v>
      </c>
      <c r="EV17" s="85">
        <v>6.5000000000000002E-2</v>
      </c>
      <c r="EW17" s="85">
        <v>6.2E-2</v>
      </c>
      <c r="EX17" s="85">
        <v>5.7000000000000002E-2</v>
      </c>
      <c r="EY17" s="85">
        <v>5.2999999999999999E-2</v>
      </c>
      <c r="EZ17" s="85">
        <v>4.7E-2</v>
      </c>
      <c r="FA17" s="85">
        <v>4.1000000000000002E-2</v>
      </c>
      <c r="FB17" s="85">
        <v>4.1000000000000002E-2</v>
      </c>
    </row>
    <row r="18" spans="1:158">
      <c r="A18" s="21" t="s">
        <v>13</v>
      </c>
      <c r="B18" s="5">
        <f t="shared" si="4"/>
        <v>206000</v>
      </c>
      <c r="C18" s="5">
        <v>355</v>
      </c>
      <c r="D18" s="191">
        <v>470</v>
      </c>
      <c r="E18" s="14">
        <v>1.05</v>
      </c>
      <c r="F18" s="42"/>
      <c r="G18" s="42"/>
      <c r="H18" s="42"/>
      <c r="I18" s="42"/>
      <c r="AV18" s="6"/>
      <c r="AW18" s="6"/>
      <c r="AX18" s="6"/>
      <c r="CC18" s="60" t="s">
        <v>176</v>
      </c>
      <c r="CD18" s="61">
        <v>390</v>
      </c>
      <c r="CE18" s="61">
        <v>560</v>
      </c>
      <c r="CF18" s="60">
        <f t="shared" si="5"/>
        <v>390</v>
      </c>
      <c r="CG18" s="60">
        <f t="shared" si="6"/>
        <v>339.13043478260875</v>
      </c>
      <c r="CH18" s="60">
        <f t="shared" si="7"/>
        <v>390</v>
      </c>
      <c r="CI18" s="60">
        <f t="shared" si="8"/>
        <v>273</v>
      </c>
      <c r="CJ18" s="69">
        <v>200000</v>
      </c>
      <c r="DB18" t="s">
        <v>217</v>
      </c>
      <c r="DC18" t="s">
        <v>217</v>
      </c>
      <c r="DD18" t="s">
        <v>97</v>
      </c>
      <c r="DE18">
        <v>4</v>
      </c>
      <c r="DF18">
        <v>2.5</v>
      </c>
      <c r="DG18">
        <v>0.16</v>
      </c>
      <c r="DH18">
        <v>0.16</v>
      </c>
      <c r="DI18">
        <v>1.91</v>
      </c>
      <c r="DJ18">
        <v>1.28</v>
      </c>
      <c r="DK18">
        <v>0.8</v>
      </c>
      <c r="DL18">
        <v>4.0199999999999996</v>
      </c>
      <c r="DM18">
        <v>1.93</v>
      </c>
      <c r="DN18">
        <v>2.0099999999999998</v>
      </c>
      <c r="DO18">
        <v>2.0099999999999998</v>
      </c>
      <c r="DP18">
        <v>1.55</v>
      </c>
      <c r="DQ18">
        <v>1.55</v>
      </c>
      <c r="DR18">
        <v>1.45</v>
      </c>
      <c r="DS18">
        <v>1.01</v>
      </c>
      <c r="DT18">
        <v>2.4900000000000002</v>
      </c>
      <c r="DU18">
        <v>1.8</v>
      </c>
      <c r="DV18">
        <v>4.2519760613754398</v>
      </c>
      <c r="EA18" s="83">
        <f t="shared" ref="EA18:EA22" si="13">EA17+1</f>
        <v>9</v>
      </c>
      <c r="EB18" s="85">
        <v>0.122</v>
      </c>
      <c r="EC18" s="85">
        <v>0.11700000000000001</v>
      </c>
      <c r="ED18" s="85">
        <v>0.112</v>
      </c>
      <c r="EE18" s="85">
        <v>0.107</v>
      </c>
      <c r="EF18" s="85">
        <v>0.10299999999999999</v>
      </c>
      <c r="EG18" s="85">
        <v>0.1</v>
      </c>
      <c r="EH18" s="85">
        <v>9.8000000000000004E-2</v>
      </c>
      <c r="EI18" s="85">
        <v>9.6000000000000002E-2</v>
      </c>
      <c r="EJ18" s="85">
        <v>9.2999999999999999E-2</v>
      </c>
      <c r="EK18" s="85">
        <v>8.7999999999999995E-2</v>
      </c>
      <c r="EL18" s="85">
        <v>8.5000000000000006E-2</v>
      </c>
      <c r="EM18" s="85">
        <v>8.2000000000000003E-2</v>
      </c>
      <c r="EN18" s="85">
        <v>7.9000000000000001E-2</v>
      </c>
      <c r="EO18" s="85">
        <v>7.4999999999999997E-2</v>
      </c>
      <c r="EP18" s="85">
        <v>7.1999999999999995E-2</v>
      </c>
      <c r="EQ18" s="85">
        <v>6.9000000000000006E-2</v>
      </c>
      <c r="ER18" s="85">
        <v>6.6000000000000003E-2</v>
      </c>
      <c r="ES18" s="85">
        <v>6.5000000000000002E-2</v>
      </c>
      <c r="ET18" s="85">
        <v>6.4000000000000001E-2</v>
      </c>
      <c r="EU18" s="85">
        <v>6.0999999999999999E-2</v>
      </c>
      <c r="EV18" s="85">
        <v>5.8000000000000003E-2</v>
      </c>
      <c r="EW18" s="85">
        <v>5.5E-2</v>
      </c>
      <c r="EX18" s="85">
        <v>5.0999999999999997E-2</v>
      </c>
      <c r="EY18" s="85">
        <v>4.8000000000000001E-2</v>
      </c>
      <c r="EZ18" s="85">
        <v>4.2999999999999997E-2</v>
      </c>
      <c r="FA18" s="85">
        <v>3.7999999999999999E-2</v>
      </c>
      <c r="FB18" s="85">
        <v>3.7999999999999999E-2</v>
      </c>
    </row>
    <row r="19" spans="1:158">
      <c r="A19" s="21" t="s">
        <v>14</v>
      </c>
      <c r="B19" s="5">
        <f t="shared" si="4"/>
        <v>206000</v>
      </c>
      <c r="C19" s="5">
        <v>345</v>
      </c>
      <c r="D19" s="191">
        <v>470</v>
      </c>
      <c r="E19" s="14">
        <v>1.05</v>
      </c>
      <c r="F19" s="42"/>
      <c r="G19" s="42"/>
      <c r="H19" s="42"/>
      <c r="I19" s="42"/>
      <c r="AV19" s="6"/>
      <c r="AW19" s="6"/>
      <c r="AX19" s="6"/>
      <c r="CC19" s="60" t="s">
        <v>177</v>
      </c>
      <c r="CD19" s="61">
        <v>490</v>
      </c>
      <c r="CE19" s="61">
        <v>620</v>
      </c>
      <c r="CF19" s="60">
        <f t="shared" si="5"/>
        <v>490</v>
      </c>
      <c r="CG19" s="60">
        <f t="shared" si="6"/>
        <v>426.08695652173918</v>
      </c>
      <c r="CH19" s="60">
        <f t="shared" si="7"/>
        <v>490</v>
      </c>
      <c r="CI19" s="60">
        <f t="shared" si="8"/>
        <v>343</v>
      </c>
      <c r="CJ19" s="70">
        <v>200000</v>
      </c>
      <c r="DB19" t="s">
        <v>218</v>
      </c>
      <c r="DC19" t="s">
        <v>218</v>
      </c>
      <c r="DD19" t="s">
        <v>97</v>
      </c>
      <c r="DE19">
        <v>4</v>
      </c>
      <c r="DF19">
        <v>2.5</v>
      </c>
      <c r="DG19">
        <v>0.18</v>
      </c>
      <c r="DH19">
        <v>0.18</v>
      </c>
      <c r="DI19">
        <v>2.13</v>
      </c>
      <c r="DJ19">
        <v>1.44</v>
      </c>
      <c r="DK19">
        <v>0.9</v>
      </c>
      <c r="DL19">
        <v>4.41</v>
      </c>
      <c r="DM19">
        <v>2.11</v>
      </c>
      <c r="DN19">
        <v>2.21</v>
      </c>
      <c r="DO19">
        <v>2.21</v>
      </c>
      <c r="DP19">
        <v>1.69</v>
      </c>
      <c r="DQ19">
        <v>1.69</v>
      </c>
      <c r="DR19">
        <v>1.44</v>
      </c>
      <c r="DS19">
        <v>1</v>
      </c>
      <c r="DT19">
        <v>2.75</v>
      </c>
      <c r="DU19">
        <v>1.98</v>
      </c>
      <c r="DV19">
        <v>4.6406653151089996</v>
      </c>
      <c r="EA19" s="83">
        <f t="shared" si="13"/>
        <v>10</v>
      </c>
      <c r="EB19" s="85">
        <v>0.1</v>
      </c>
      <c r="EC19" s="85">
        <v>9.7000000000000003E-2</v>
      </c>
      <c r="ED19" s="85">
        <v>9.2999999999999999E-2</v>
      </c>
      <c r="EE19" s="85">
        <v>9.0999999999999998E-2</v>
      </c>
      <c r="EF19" s="85">
        <v>0.09</v>
      </c>
      <c r="EG19" s="85">
        <v>8.5000000000000006E-2</v>
      </c>
      <c r="EH19" s="85">
        <v>8.1000000000000003E-2</v>
      </c>
      <c r="EI19" s="85">
        <v>0.08</v>
      </c>
      <c r="EJ19" s="85">
        <v>7.9000000000000001E-2</v>
      </c>
      <c r="EK19" s="85">
        <v>7.4999999999999997E-2</v>
      </c>
      <c r="EL19" s="85">
        <v>7.1999999999999995E-2</v>
      </c>
      <c r="EM19" s="85">
        <v>7.0000000000000007E-2</v>
      </c>
      <c r="EN19" s="85">
        <v>6.9000000000000006E-2</v>
      </c>
      <c r="EO19" s="85">
        <v>6.5000000000000002E-2</v>
      </c>
      <c r="EP19" s="85">
        <v>6.2E-2</v>
      </c>
      <c r="EQ19" s="85">
        <v>0.06</v>
      </c>
      <c r="ER19" s="85">
        <v>5.8999999999999997E-2</v>
      </c>
      <c r="ES19" s="85">
        <v>5.8000000000000003E-2</v>
      </c>
      <c r="ET19" s="85">
        <v>5.7000000000000002E-2</v>
      </c>
      <c r="EU19" s="85">
        <v>5.5E-2</v>
      </c>
      <c r="EV19" s="85">
        <v>5.1999999999999998E-2</v>
      </c>
      <c r="EW19" s="85">
        <v>4.9000000000000002E-2</v>
      </c>
      <c r="EX19" s="85">
        <v>4.5999999999999999E-2</v>
      </c>
      <c r="EY19" s="85">
        <v>4.2999999999999997E-2</v>
      </c>
      <c r="EZ19" s="85">
        <v>3.9E-2</v>
      </c>
      <c r="FA19" s="85">
        <v>3.5000000000000003E-2</v>
      </c>
      <c r="FB19" s="85">
        <v>3.5000000000000003E-2</v>
      </c>
    </row>
    <row r="20" spans="1:158">
      <c r="A20" s="21" t="s">
        <v>15</v>
      </c>
      <c r="B20" s="5">
        <f t="shared" si="4"/>
        <v>206000</v>
      </c>
      <c r="C20" s="5">
        <v>335</v>
      </c>
      <c r="D20" s="191">
        <v>470</v>
      </c>
      <c r="E20" s="14">
        <v>1.05</v>
      </c>
      <c r="F20" s="42"/>
      <c r="G20" s="42"/>
      <c r="H20" s="42"/>
      <c r="I20" s="42"/>
      <c r="AV20" s="6"/>
      <c r="AW20" s="6"/>
      <c r="AX20" s="6"/>
      <c r="CC20" s="71"/>
      <c r="CD20" s="72"/>
      <c r="CE20" s="72"/>
      <c r="DB20" t="s">
        <v>219</v>
      </c>
      <c r="DC20" t="s">
        <v>219</v>
      </c>
      <c r="DD20" t="s">
        <v>97</v>
      </c>
      <c r="DE20">
        <v>4</v>
      </c>
      <c r="DF20">
        <v>2.5</v>
      </c>
      <c r="DG20">
        <v>0.2</v>
      </c>
      <c r="DH20">
        <v>0.2</v>
      </c>
      <c r="DI20">
        <v>2.34</v>
      </c>
      <c r="DJ20">
        <v>1.6</v>
      </c>
      <c r="DK20">
        <v>1</v>
      </c>
      <c r="DL20">
        <v>4.7699999999999996</v>
      </c>
      <c r="DM20">
        <v>2.2799999999999998</v>
      </c>
      <c r="DN20">
        <v>2.39</v>
      </c>
      <c r="DO20">
        <v>2.39</v>
      </c>
      <c r="DP20">
        <v>1.83</v>
      </c>
      <c r="DQ20">
        <v>1.83</v>
      </c>
      <c r="DR20">
        <v>1.43</v>
      </c>
      <c r="DS20">
        <v>0.99</v>
      </c>
      <c r="DT20">
        <v>2.99</v>
      </c>
      <c r="DU20">
        <v>2.16</v>
      </c>
      <c r="DV20">
        <v>4.9860366780689303</v>
      </c>
      <c r="EA20" s="83">
        <f t="shared" si="13"/>
        <v>11</v>
      </c>
      <c r="EB20" s="85">
        <v>8.3000000000000004E-2</v>
      </c>
      <c r="EC20" s="85">
        <v>7.9000000000000001E-2</v>
      </c>
      <c r="ED20" s="85">
        <v>7.6999999999999999E-2</v>
      </c>
      <c r="EE20" s="85">
        <v>7.5999999999999998E-2</v>
      </c>
      <c r="EF20" s="85">
        <v>7.4999999999999997E-2</v>
      </c>
      <c r="EG20" s="85">
        <v>7.2999999999999995E-2</v>
      </c>
      <c r="EH20" s="85">
        <v>7.0999999999999994E-2</v>
      </c>
      <c r="EI20" s="85">
        <v>6.9000000000000006E-2</v>
      </c>
      <c r="EJ20" s="85">
        <v>6.8000000000000005E-2</v>
      </c>
      <c r="EK20" s="85">
        <v>6.3E-2</v>
      </c>
      <c r="EL20" s="85">
        <v>6.2E-2</v>
      </c>
      <c r="EM20" s="85">
        <v>6.0999999999999999E-2</v>
      </c>
      <c r="EN20" s="85">
        <v>0.06</v>
      </c>
      <c r="EO20" s="85">
        <v>5.7000000000000002E-2</v>
      </c>
      <c r="EP20" s="85">
        <v>5.5E-2</v>
      </c>
      <c r="EQ20" s="85">
        <v>5.2999999999999999E-2</v>
      </c>
      <c r="ER20" s="85">
        <v>5.1999999999999998E-2</v>
      </c>
      <c r="ES20" s="85">
        <v>5.0999999999999997E-2</v>
      </c>
      <c r="ET20" s="85">
        <v>0.05</v>
      </c>
      <c r="EU20" s="85">
        <v>4.8000000000000001E-2</v>
      </c>
      <c r="EV20" s="85">
        <v>4.5999999999999999E-2</v>
      </c>
      <c r="EW20" s="85">
        <v>4.3999999999999997E-2</v>
      </c>
      <c r="EX20" s="85">
        <v>0.04</v>
      </c>
      <c r="EY20" s="85">
        <v>3.7999999999999999E-2</v>
      </c>
      <c r="EZ20" s="85">
        <v>3.5000000000000003E-2</v>
      </c>
      <c r="FA20" s="85">
        <v>3.2000000000000001E-2</v>
      </c>
      <c r="FB20" s="85">
        <v>3.2000000000000001E-2</v>
      </c>
    </row>
    <row r="21" spans="1:158">
      <c r="A21" s="21" t="s">
        <v>16</v>
      </c>
      <c r="B21" s="5">
        <f t="shared" si="4"/>
        <v>206000</v>
      </c>
      <c r="C21" s="5">
        <v>325</v>
      </c>
      <c r="D21" s="191">
        <v>470</v>
      </c>
      <c r="E21" s="14">
        <v>1.05</v>
      </c>
      <c r="F21" s="42"/>
      <c r="G21" s="42"/>
      <c r="H21" s="42"/>
      <c r="I21" s="42"/>
      <c r="AV21" s="6"/>
      <c r="AW21" s="6"/>
      <c r="AX21" s="6"/>
      <c r="CC21" s="71"/>
      <c r="CD21" s="72"/>
      <c r="CE21" s="72"/>
      <c r="DB21" t="s">
        <v>220</v>
      </c>
      <c r="DC21" t="s">
        <v>220</v>
      </c>
      <c r="DD21" t="s">
        <v>97</v>
      </c>
      <c r="DE21">
        <v>4</v>
      </c>
      <c r="DF21">
        <v>2.5</v>
      </c>
      <c r="DG21">
        <v>0.22</v>
      </c>
      <c r="DH21">
        <v>0.22</v>
      </c>
      <c r="DI21">
        <v>2.54</v>
      </c>
      <c r="DJ21">
        <v>1.76</v>
      </c>
      <c r="DK21">
        <v>1.1000000000000001</v>
      </c>
      <c r="DL21">
        <v>5.1100000000000003</v>
      </c>
      <c r="DM21">
        <v>2.4300000000000002</v>
      </c>
      <c r="DN21">
        <v>2.56</v>
      </c>
      <c r="DO21">
        <v>2.56</v>
      </c>
      <c r="DP21">
        <v>1.95</v>
      </c>
      <c r="DQ21">
        <v>1.95</v>
      </c>
      <c r="DR21">
        <v>1.42</v>
      </c>
      <c r="DS21">
        <v>0.98</v>
      </c>
      <c r="DT21">
        <v>3.23</v>
      </c>
      <c r="DU21">
        <v>2.3199999999999998</v>
      </c>
      <c r="DV21">
        <v>5.2849180992491904</v>
      </c>
      <c r="EA21" s="83">
        <f t="shared" si="13"/>
        <v>12</v>
      </c>
      <c r="EB21" s="85">
        <v>6.9000000000000006E-2</v>
      </c>
      <c r="EC21" s="85">
        <v>6.7000000000000004E-2</v>
      </c>
      <c r="ED21" s="85">
        <v>6.4000000000000001E-2</v>
      </c>
      <c r="EE21" s="85">
        <v>6.3E-2</v>
      </c>
      <c r="EF21" s="85">
        <v>6.2E-2</v>
      </c>
      <c r="EG21" s="85">
        <v>0.06</v>
      </c>
      <c r="EH21" s="85">
        <v>5.8999999999999997E-2</v>
      </c>
      <c r="EI21" s="85">
        <v>5.8999999999999997E-2</v>
      </c>
      <c r="EJ21" s="85">
        <v>5.8000000000000003E-2</v>
      </c>
      <c r="EK21" s="85">
        <v>5.5E-2</v>
      </c>
      <c r="EL21" s="85">
        <v>5.3999999999999999E-2</v>
      </c>
      <c r="EM21" s="85">
        <v>5.2999999999999999E-2</v>
      </c>
      <c r="EN21" s="85">
        <v>5.1999999999999998E-2</v>
      </c>
      <c r="EO21" s="85">
        <v>5.0999999999999997E-2</v>
      </c>
      <c r="EP21" s="85">
        <v>0.05</v>
      </c>
      <c r="EQ21" s="85">
        <v>4.9000000000000002E-2</v>
      </c>
      <c r="ER21" s="85">
        <v>4.8000000000000001E-2</v>
      </c>
      <c r="ES21" s="85">
        <v>4.7E-2</v>
      </c>
      <c r="ET21" s="85">
        <v>4.5999999999999999E-2</v>
      </c>
      <c r="EU21" s="85">
        <v>4.3999999999999997E-2</v>
      </c>
      <c r="EV21" s="85">
        <v>4.2000000000000003E-2</v>
      </c>
      <c r="EW21" s="85">
        <v>0.04</v>
      </c>
      <c r="EX21" s="85">
        <v>3.6999999999999998E-2</v>
      </c>
      <c r="EY21" s="85">
        <v>3.5000000000000003E-2</v>
      </c>
      <c r="EZ21" s="85">
        <v>3.2000000000000001E-2</v>
      </c>
      <c r="FA21" s="85">
        <v>2.9000000000000001E-2</v>
      </c>
      <c r="FB21" s="85">
        <v>2.9000000000000001E-2</v>
      </c>
    </row>
    <row r="22" spans="1:158">
      <c r="A22" s="21" t="s">
        <v>17</v>
      </c>
      <c r="B22" s="5">
        <f t="shared" si="4"/>
        <v>206000</v>
      </c>
      <c r="C22" s="5">
        <v>315</v>
      </c>
      <c r="D22" s="191">
        <v>470</v>
      </c>
      <c r="E22" s="14">
        <v>1.05</v>
      </c>
      <c r="F22" s="42"/>
      <c r="G22" s="42"/>
      <c r="H22" s="42"/>
      <c r="I22" s="42"/>
      <c r="AV22" s="6"/>
      <c r="AW22" s="6"/>
      <c r="AX22" s="6"/>
      <c r="DB22" t="s">
        <v>221</v>
      </c>
      <c r="DC22" t="s">
        <v>221</v>
      </c>
      <c r="DD22" t="s">
        <v>97</v>
      </c>
      <c r="DE22">
        <v>4</v>
      </c>
      <c r="DF22">
        <v>2.5</v>
      </c>
      <c r="DG22">
        <v>0.25</v>
      </c>
      <c r="DH22">
        <v>0.25</v>
      </c>
      <c r="DI22">
        <v>2.84</v>
      </c>
      <c r="DJ22">
        <v>2</v>
      </c>
      <c r="DK22">
        <v>1.25</v>
      </c>
      <c r="DL22">
        <v>5.57</v>
      </c>
      <c r="DM22">
        <v>2.64</v>
      </c>
      <c r="DN22">
        <v>2.79</v>
      </c>
      <c r="DO22">
        <v>2.79</v>
      </c>
      <c r="DP22">
        <v>2.12</v>
      </c>
      <c r="DQ22">
        <v>2.12</v>
      </c>
      <c r="DR22">
        <v>1.4</v>
      </c>
      <c r="DS22">
        <v>0.96</v>
      </c>
      <c r="DT22">
        <v>3.56</v>
      </c>
      <c r="DU22">
        <v>2.56</v>
      </c>
      <c r="DV22">
        <v>5.63963336250462</v>
      </c>
      <c r="EA22" s="83">
        <f t="shared" si="13"/>
        <v>13</v>
      </c>
      <c r="EB22" s="85">
        <v>6.2E-2</v>
      </c>
      <c r="EC22" s="85">
        <v>6.0999999999999999E-2</v>
      </c>
      <c r="ED22" s="85">
        <v>5.3999999999999999E-2</v>
      </c>
      <c r="EE22" s="85">
        <v>5.2999999999999999E-2</v>
      </c>
      <c r="EF22" s="85">
        <v>5.1999999999999998E-2</v>
      </c>
      <c r="EG22" s="85">
        <v>5.0999999999999997E-2</v>
      </c>
      <c r="EH22" s="85">
        <v>5.0999999999999997E-2</v>
      </c>
      <c r="EI22" s="85">
        <v>0.05</v>
      </c>
      <c r="EJ22" s="85">
        <v>4.9000000000000002E-2</v>
      </c>
      <c r="EK22" s="85">
        <v>4.9000000000000002E-2</v>
      </c>
      <c r="EL22" s="85">
        <v>4.8000000000000001E-2</v>
      </c>
      <c r="EM22" s="85">
        <v>4.8000000000000001E-2</v>
      </c>
      <c r="EN22" s="85">
        <v>4.7E-2</v>
      </c>
      <c r="EO22" s="85">
        <v>4.4999999999999998E-2</v>
      </c>
      <c r="EP22" s="85">
        <v>4.3999999999999997E-2</v>
      </c>
      <c r="EQ22" s="85">
        <v>4.2999999999999997E-2</v>
      </c>
      <c r="ER22" s="85">
        <v>4.2000000000000003E-2</v>
      </c>
      <c r="ES22" s="85">
        <v>4.1000000000000002E-2</v>
      </c>
      <c r="ET22" s="85">
        <v>4.1000000000000002E-2</v>
      </c>
      <c r="EU22" s="85">
        <v>3.9E-2</v>
      </c>
      <c r="EV22" s="85">
        <v>3.7999999999999999E-2</v>
      </c>
      <c r="EW22" s="85">
        <v>3.6999999999999998E-2</v>
      </c>
      <c r="EX22" s="85">
        <v>3.5000000000000003E-2</v>
      </c>
      <c r="EY22" s="85">
        <v>3.3000000000000002E-2</v>
      </c>
      <c r="EZ22" s="85">
        <v>0.03</v>
      </c>
      <c r="FA22" s="85">
        <v>2.7E-2</v>
      </c>
      <c r="FB22" s="85">
        <v>2.7E-2</v>
      </c>
    </row>
    <row r="23" spans="1:158">
      <c r="A23" s="21" t="s">
        <v>79</v>
      </c>
      <c r="B23" s="5">
        <f t="shared" si="4"/>
        <v>206000</v>
      </c>
      <c r="C23" s="5">
        <v>205</v>
      </c>
      <c r="D23" s="191">
        <v>330</v>
      </c>
      <c r="E23" s="14">
        <v>1.05</v>
      </c>
      <c r="F23" s="42"/>
      <c r="G23" s="42"/>
      <c r="H23" s="42"/>
      <c r="I23" s="42"/>
      <c r="AV23" s="6"/>
      <c r="AW23" s="6"/>
      <c r="AX23" s="6"/>
      <c r="DB23" t="s">
        <v>222</v>
      </c>
      <c r="DC23" t="s">
        <v>222</v>
      </c>
      <c r="DD23" t="s">
        <v>97</v>
      </c>
      <c r="DE23">
        <v>4</v>
      </c>
      <c r="DF23">
        <v>2.5</v>
      </c>
      <c r="DG23">
        <v>0.28999999999999998</v>
      </c>
      <c r="DH23">
        <v>0.28999999999999998</v>
      </c>
      <c r="DI23">
        <v>3.22</v>
      </c>
      <c r="DJ23">
        <v>2.3199999999999998</v>
      </c>
      <c r="DK23">
        <v>1.45</v>
      </c>
      <c r="DL23">
        <v>6.11</v>
      </c>
      <c r="DM23">
        <v>2.88</v>
      </c>
      <c r="DN23">
        <v>3.06</v>
      </c>
      <c r="DO23">
        <v>3.06</v>
      </c>
      <c r="DP23">
        <v>2.31</v>
      </c>
      <c r="DQ23">
        <v>2.31</v>
      </c>
      <c r="DR23">
        <v>1.38</v>
      </c>
      <c r="DS23">
        <v>0.95</v>
      </c>
      <c r="DT23">
        <v>3.96</v>
      </c>
      <c r="DU23">
        <v>2.84</v>
      </c>
      <c r="DV23">
        <v>5.9243334173567899</v>
      </c>
      <c r="EA23" s="83">
        <f>EA22+1</f>
        <v>14</v>
      </c>
      <c r="EB23" s="85">
        <v>5.1999999999999998E-2</v>
      </c>
      <c r="EC23" s="85">
        <v>4.9000000000000002E-2</v>
      </c>
      <c r="ED23" s="85">
        <v>4.9000000000000002E-2</v>
      </c>
      <c r="EE23" s="85">
        <v>4.8000000000000001E-2</v>
      </c>
      <c r="EF23" s="85">
        <v>4.8000000000000001E-2</v>
      </c>
      <c r="EG23" s="85">
        <v>4.7E-2</v>
      </c>
      <c r="EH23" s="85">
        <v>4.7E-2</v>
      </c>
      <c r="EI23" s="85">
        <v>4.5999999999999999E-2</v>
      </c>
      <c r="EJ23" s="85">
        <v>4.4999999999999998E-2</v>
      </c>
      <c r="EK23" s="85">
        <v>4.3999999999999997E-2</v>
      </c>
      <c r="EL23" s="85">
        <v>4.2999999999999997E-2</v>
      </c>
      <c r="EM23" s="85">
        <v>4.2999999999999997E-2</v>
      </c>
      <c r="EN23" s="85">
        <v>4.2000000000000003E-2</v>
      </c>
      <c r="EO23" s="85">
        <v>4.1000000000000002E-2</v>
      </c>
      <c r="EP23" s="85">
        <v>0.04</v>
      </c>
      <c r="EQ23" s="85">
        <v>0.04</v>
      </c>
      <c r="ER23" s="85">
        <v>3.9E-2</v>
      </c>
      <c r="ES23" s="85">
        <v>3.9E-2</v>
      </c>
      <c r="ET23" s="85">
        <v>3.7999999999999999E-2</v>
      </c>
      <c r="EU23" s="85">
        <v>3.6999999999999998E-2</v>
      </c>
      <c r="EV23" s="85">
        <v>3.5999999999999997E-2</v>
      </c>
      <c r="EW23" s="85">
        <v>3.5999999999999997E-2</v>
      </c>
      <c r="EX23" s="85">
        <v>3.4000000000000002E-2</v>
      </c>
      <c r="EY23" s="85">
        <v>3.2000000000000001E-2</v>
      </c>
      <c r="EZ23" s="85">
        <v>2.9000000000000001E-2</v>
      </c>
      <c r="FA23" s="85">
        <v>2.5999999999999999E-2</v>
      </c>
      <c r="FB23" s="85">
        <v>2.5999999999999999E-2</v>
      </c>
    </row>
    <row r="24" spans="1:158">
      <c r="A24" s="21" t="s">
        <v>80</v>
      </c>
      <c r="B24" s="5">
        <f t="shared" si="4"/>
        <v>206000</v>
      </c>
      <c r="C24" s="5">
        <v>195</v>
      </c>
      <c r="D24" s="191">
        <v>330</v>
      </c>
      <c r="E24" s="14">
        <v>1.05</v>
      </c>
      <c r="F24" s="42"/>
      <c r="G24" s="42"/>
      <c r="H24" s="42"/>
      <c r="I24" s="42"/>
      <c r="DB24" t="s">
        <v>223</v>
      </c>
      <c r="DC24" t="s">
        <v>223</v>
      </c>
      <c r="DD24" t="s">
        <v>97</v>
      </c>
      <c r="DE24">
        <v>5</v>
      </c>
      <c r="DF24">
        <v>2.5</v>
      </c>
      <c r="DG24">
        <v>0.16</v>
      </c>
      <c r="DH24">
        <v>0.16</v>
      </c>
      <c r="DI24">
        <v>2.23</v>
      </c>
      <c r="DJ24">
        <v>1.6</v>
      </c>
      <c r="DK24">
        <v>0.8</v>
      </c>
      <c r="DL24">
        <v>7.02</v>
      </c>
      <c r="DM24">
        <v>2.37</v>
      </c>
      <c r="DN24">
        <v>2.81</v>
      </c>
      <c r="DO24">
        <v>2.81</v>
      </c>
      <c r="DP24">
        <v>1.9</v>
      </c>
      <c r="DQ24">
        <v>1.9</v>
      </c>
      <c r="DR24">
        <v>1.77</v>
      </c>
      <c r="DS24">
        <v>1.03</v>
      </c>
      <c r="DT24">
        <v>3.53</v>
      </c>
      <c r="DU24">
        <v>2.17</v>
      </c>
      <c r="DV24">
        <v>5.8301047034409796</v>
      </c>
      <c r="EA24" s="84">
        <v>1000</v>
      </c>
      <c r="EB24" s="85">
        <v>5.1999999999999998E-2</v>
      </c>
      <c r="EC24" s="85">
        <v>4.9000000000000002E-2</v>
      </c>
      <c r="ED24" s="85">
        <v>4.9000000000000002E-2</v>
      </c>
      <c r="EE24" s="85">
        <v>4.8000000000000001E-2</v>
      </c>
      <c r="EF24" s="85">
        <v>4.8000000000000001E-2</v>
      </c>
      <c r="EG24" s="85">
        <v>4.7E-2</v>
      </c>
      <c r="EH24" s="85">
        <v>4.7E-2</v>
      </c>
      <c r="EI24" s="85">
        <v>4.5999999999999999E-2</v>
      </c>
      <c r="EJ24" s="85">
        <v>4.4999999999999998E-2</v>
      </c>
      <c r="EK24" s="85">
        <v>4.3999999999999997E-2</v>
      </c>
      <c r="EL24" s="85">
        <v>4.2999999999999997E-2</v>
      </c>
      <c r="EM24" s="85">
        <v>4.2999999999999997E-2</v>
      </c>
      <c r="EN24" s="85">
        <v>4.2000000000000003E-2</v>
      </c>
      <c r="EO24" s="85">
        <v>4.1000000000000002E-2</v>
      </c>
      <c r="EP24" s="85">
        <v>0.04</v>
      </c>
      <c r="EQ24" s="85">
        <v>0.04</v>
      </c>
      <c r="ER24" s="85">
        <v>3.9E-2</v>
      </c>
      <c r="ES24" s="85">
        <v>3.9E-2</v>
      </c>
      <c r="ET24" s="85">
        <v>3.7999999999999999E-2</v>
      </c>
      <c r="EU24" s="85">
        <v>3.6999999999999998E-2</v>
      </c>
      <c r="EV24" s="85">
        <v>3.5999999999999997E-2</v>
      </c>
      <c r="EW24" s="85">
        <v>3.5999999999999997E-2</v>
      </c>
      <c r="EX24" s="85">
        <v>3.4000000000000002E-2</v>
      </c>
      <c r="EY24" s="85">
        <v>3.2000000000000001E-2</v>
      </c>
      <c r="EZ24" s="85">
        <v>2.9000000000000001E-2</v>
      </c>
      <c r="FA24" s="85">
        <v>2.5999999999999999E-2</v>
      </c>
      <c r="FB24" s="85">
        <v>2.5999999999999999E-2</v>
      </c>
    </row>
    <row r="25" spans="1:158">
      <c r="A25" s="21" t="s">
        <v>81</v>
      </c>
      <c r="B25" s="5">
        <f t="shared" si="4"/>
        <v>206000</v>
      </c>
      <c r="C25" s="5">
        <v>245</v>
      </c>
      <c r="D25" s="191">
        <v>400</v>
      </c>
      <c r="E25" s="14">
        <v>1.05</v>
      </c>
      <c r="F25" s="42"/>
      <c r="G25" s="42"/>
      <c r="H25" s="42"/>
      <c r="I25" s="42"/>
      <c r="DB25" t="s">
        <v>224</v>
      </c>
      <c r="DC25" t="s">
        <v>224</v>
      </c>
      <c r="DD25" t="s">
        <v>97</v>
      </c>
      <c r="DE25">
        <v>5</v>
      </c>
      <c r="DF25">
        <v>2.5</v>
      </c>
      <c r="DG25">
        <v>0.2</v>
      </c>
      <c r="DH25">
        <v>0.2</v>
      </c>
      <c r="DI25">
        <v>2.74</v>
      </c>
      <c r="DJ25">
        <v>2</v>
      </c>
      <c r="DK25">
        <v>1</v>
      </c>
      <c r="DL25">
        <v>8.3800000000000008</v>
      </c>
      <c r="DM25">
        <v>2.81</v>
      </c>
      <c r="DN25">
        <v>3.36</v>
      </c>
      <c r="DO25">
        <v>3.36</v>
      </c>
      <c r="DP25">
        <v>2.25</v>
      </c>
      <c r="DQ25">
        <v>2.25</v>
      </c>
      <c r="DR25">
        <v>1.75</v>
      </c>
      <c r="DS25">
        <v>1.01</v>
      </c>
      <c r="DT25">
        <v>4.26</v>
      </c>
      <c r="DU25">
        <v>2.62</v>
      </c>
      <c r="DV25">
        <v>6.8982857913633504</v>
      </c>
    </row>
    <row r="26" spans="1:158">
      <c r="A26" s="21" t="s">
        <v>82</v>
      </c>
      <c r="B26" s="5">
        <f t="shared" si="4"/>
        <v>206000</v>
      </c>
      <c r="C26" s="5">
        <v>235</v>
      </c>
      <c r="D26" s="191">
        <v>400</v>
      </c>
      <c r="E26" s="14">
        <v>1.05</v>
      </c>
      <c r="F26" s="42"/>
      <c r="G26" s="42"/>
      <c r="H26" s="42"/>
      <c r="I26" s="42"/>
      <c r="DB26" t="s">
        <v>225</v>
      </c>
      <c r="DC26" t="s">
        <v>225</v>
      </c>
      <c r="DD26" t="s">
        <v>97</v>
      </c>
      <c r="DE26">
        <v>5</v>
      </c>
      <c r="DF26">
        <v>2.5</v>
      </c>
      <c r="DG26">
        <v>0.22</v>
      </c>
      <c r="DH26">
        <v>0.22</v>
      </c>
      <c r="DI26">
        <v>2.98</v>
      </c>
      <c r="DJ26">
        <v>2.2000000000000002</v>
      </c>
      <c r="DK26">
        <v>1.1000000000000001</v>
      </c>
      <c r="DL26">
        <v>9.01</v>
      </c>
      <c r="DM26">
        <v>3.01</v>
      </c>
      <c r="DN26">
        <v>3.61</v>
      </c>
      <c r="DO26">
        <v>3.61</v>
      </c>
      <c r="DP26">
        <v>2.41</v>
      </c>
      <c r="DQ26">
        <v>2.41</v>
      </c>
      <c r="DR26">
        <v>1.74</v>
      </c>
      <c r="DS26">
        <v>1.01</v>
      </c>
      <c r="DT26">
        <v>4.6100000000000003</v>
      </c>
      <c r="DU26">
        <v>2.82</v>
      </c>
      <c r="DV26">
        <v>7.3537228839134396</v>
      </c>
    </row>
    <row r="27" spans="1:158">
      <c r="A27" s="21" t="s">
        <v>83</v>
      </c>
      <c r="B27" s="5">
        <f t="shared" si="4"/>
        <v>206000</v>
      </c>
      <c r="C27" s="5">
        <v>285</v>
      </c>
      <c r="D27" s="191">
        <v>490</v>
      </c>
      <c r="E27" s="14">
        <v>1.05</v>
      </c>
      <c r="F27" s="42"/>
      <c r="G27" s="42"/>
      <c r="H27" s="42"/>
      <c r="I27" s="42"/>
      <c r="DB27" t="s">
        <v>226</v>
      </c>
      <c r="DC27" t="s">
        <v>226</v>
      </c>
      <c r="DD27" t="s">
        <v>97</v>
      </c>
      <c r="DE27">
        <v>5</v>
      </c>
      <c r="DF27">
        <v>2.5</v>
      </c>
      <c r="DG27">
        <v>0.25</v>
      </c>
      <c r="DH27">
        <v>0.25</v>
      </c>
      <c r="DI27">
        <v>3.34</v>
      </c>
      <c r="DJ27">
        <v>2.5</v>
      </c>
      <c r="DK27">
        <v>1.25</v>
      </c>
      <c r="DL27">
        <v>9.89</v>
      </c>
      <c r="DM27">
        <v>3.28</v>
      </c>
      <c r="DN27">
        <v>3.96</v>
      </c>
      <c r="DO27">
        <v>3.96</v>
      </c>
      <c r="DP27">
        <v>2.63</v>
      </c>
      <c r="DQ27">
        <v>2.63</v>
      </c>
      <c r="DR27">
        <v>1.72</v>
      </c>
      <c r="DS27">
        <v>0.99</v>
      </c>
      <c r="DT27">
        <v>5.1100000000000003</v>
      </c>
      <c r="DU27">
        <v>3.12</v>
      </c>
      <c r="DV27">
        <v>7.9292850996865303</v>
      </c>
    </row>
    <row r="28" spans="1:158">
      <c r="A28" s="21" t="s">
        <v>84</v>
      </c>
      <c r="B28" s="5">
        <f t="shared" si="4"/>
        <v>206000</v>
      </c>
      <c r="C28" s="5">
        <v>275</v>
      </c>
      <c r="D28" s="191">
        <v>490</v>
      </c>
      <c r="E28" s="14">
        <v>1.05</v>
      </c>
      <c r="F28" s="42"/>
      <c r="G28" s="42"/>
      <c r="H28" s="42"/>
      <c r="I28" s="42"/>
      <c r="DB28" t="s">
        <v>227</v>
      </c>
      <c r="DC28" t="s">
        <v>227</v>
      </c>
      <c r="DD28" t="s">
        <v>97</v>
      </c>
      <c r="DE28">
        <v>5</v>
      </c>
      <c r="DF28">
        <v>2.5</v>
      </c>
      <c r="DG28">
        <v>0.28999999999999998</v>
      </c>
      <c r="DH28">
        <v>0.28999999999999998</v>
      </c>
      <c r="DI28">
        <v>3.8</v>
      </c>
      <c r="DJ28">
        <v>2.9</v>
      </c>
      <c r="DK28">
        <v>1.45</v>
      </c>
      <c r="DL28">
        <v>10.93</v>
      </c>
      <c r="DM28">
        <v>3.6</v>
      </c>
      <c r="DN28">
        <v>4.38</v>
      </c>
      <c r="DO28">
        <v>4.38</v>
      </c>
      <c r="DP28">
        <v>2.88</v>
      </c>
      <c r="DQ28">
        <v>2.88</v>
      </c>
      <c r="DR28">
        <v>1.7</v>
      </c>
      <c r="DS28">
        <v>0.97</v>
      </c>
      <c r="DT28">
        <v>5.72</v>
      </c>
      <c r="DU28">
        <v>3.48</v>
      </c>
      <c r="DV28">
        <v>8.4804220586133496</v>
      </c>
    </row>
    <row r="29" spans="1:158">
      <c r="A29" s="21" t="s">
        <v>85</v>
      </c>
      <c r="B29" s="5">
        <f t="shared" si="4"/>
        <v>206000</v>
      </c>
      <c r="C29" s="5">
        <v>400</v>
      </c>
      <c r="D29" s="191">
        <v>540</v>
      </c>
      <c r="E29" s="14">
        <v>1.05</v>
      </c>
      <c r="F29" s="42"/>
      <c r="G29" s="42"/>
      <c r="H29" s="42"/>
      <c r="I29" s="42"/>
      <c r="DB29" t="s">
        <v>228</v>
      </c>
      <c r="DC29" t="s">
        <v>228</v>
      </c>
      <c r="DD29" t="s">
        <v>97</v>
      </c>
      <c r="DE29">
        <v>5</v>
      </c>
      <c r="DF29">
        <v>2.5</v>
      </c>
      <c r="DG29">
        <v>0.32</v>
      </c>
      <c r="DH29">
        <v>0.32</v>
      </c>
      <c r="DI29">
        <v>4.13</v>
      </c>
      <c r="DJ29">
        <v>3.2</v>
      </c>
      <c r="DK29">
        <v>1.6</v>
      </c>
      <c r="DL29">
        <v>11.63</v>
      </c>
      <c r="DM29">
        <v>3.8</v>
      </c>
      <c r="DN29">
        <v>4.66</v>
      </c>
      <c r="DO29">
        <v>4.66</v>
      </c>
      <c r="DP29">
        <v>3.04</v>
      </c>
      <c r="DQ29">
        <v>3.04</v>
      </c>
      <c r="DR29">
        <v>1.68</v>
      </c>
      <c r="DS29">
        <v>0.96</v>
      </c>
      <c r="DT29">
        <v>6.14</v>
      </c>
      <c r="DU29">
        <v>3.73</v>
      </c>
      <c r="DV29">
        <v>8.7206034825453198</v>
      </c>
    </row>
    <row r="30" spans="1:158">
      <c r="A30" s="21" t="s">
        <v>86</v>
      </c>
      <c r="B30" s="5">
        <f t="shared" si="4"/>
        <v>206000</v>
      </c>
      <c r="C30" s="5">
        <v>390</v>
      </c>
      <c r="D30" s="191">
        <v>540</v>
      </c>
      <c r="E30" s="14">
        <v>1.05</v>
      </c>
      <c r="DB30" t="s">
        <v>229</v>
      </c>
      <c r="DC30" t="s">
        <v>229</v>
      </c>
      <c r="DD30" t="s">
        <v>97</v>
      </c>
      <c r="DE30">
        <v>5</v>
      </c>
      <c r="DF30">
        <v>3</v>
      </c>
      <c r="DG30">
        <v>0.16</v>
      </c>
      <c r="DH30">
        <v>0.16</v>
      </c>
      <c r="DI30">
        <v>2.39</v>
      </c>
      <c r="DJ30">
        <v>1.6</v>
      </c>
      <c r="DK30">
        <v>0.96</v>
      </c>
      <c r="DL30">
        <v>7.96</v>
      </c>
      <c r="DM30">
        <v>3.6</v>
      </c>
      <c r="DN30">
        <v>3.19</v>
      </c>
      <c r="DO30">
        <v>3.19</v>
      </c>
      <c r="DP30">
        <v>2.4</v>
      </c>
      <c r="DQ30">
        <v>2.4</v>
      </c>
      <c r="DR30">
        <v>1.82</v>
      </c>
      <c r="DS30">
        <v>1.23</v>
      </c>
      <c r="DT30">
        <v>3.91</v>
      </c>
      <c r="DU30">
        <v>2.75</v>
      </c>
      <c r="DV30">
        <v>8.0703462878076397</v>
      </c>
    </row>
    <row r="31" spans="1:158">
      <c r="A31" s="21" t="s">
        <v>1003</v>
      </c>
      <c r="B31" s="5">
        <f t="shared" si="4"/>
        <v>206000</v>
      </c>
      <c r="C31" s="5">
        <v>220</v>
      </c>
      <c r="D31" s="191">
        <v>340</v>
      </c>
      <c r="E31" s="14">
        <v>1.05</v>
      </c>
      <c r="DB31" t="s">
        <v>230</v>
      </c>
      <c r="DC31" t="s">
        <v>230</v>
      </c>
      <c r="DD31" t="s">
        <v>97</v>
      </c>
      <c r="DE31">
        <v>5</v>
      </c>
      <c r="DF31">
        <v>3</v>
      </c>
      <c r="DG31">
        <v>0.2</v>
      </c>
      <c r="DH31">
        <v>0.2</v>
      </c>
      <c r="DI31">
        <v>2.94</v>
      </c>
      <c r="DJ31">
        <v>2</v>
      </c>
      <c r="DK31">
        <v>1.2</v>
      </c>
      <c r="DL31">
        <v>9.5399999999999991</v>
      </c>
      <c r="DM31">
        <v>4.29</v>
      </c>
      <c r="DN31">
        <v>3.82</v>
      </c>
      <c r="DO31">
        <v>3.82</v>
      </c>
      <c r="DP31">
        <v>2.86</v>
      </c>
      <c r="DQ31">
        <v>2.86</v>
      </c>
      <c r="DR31">
        <v>1.8</v>
      </c>
      <c r="DS31">
        <v>1.21</v>
      </c>
      <c r="DT31">
        <v>4.74</v>
      </c>
      <c r="DU31">
        <v>3.33</v>
      </c>
      <c r="DV31">
        <v>9.65130603629642</v>
      </c>
    </row>
    <row r="32" spans="1:158">
      <c r="A32" s="21" t="s">
        <v>1004</v>
      </c>
      <c r="B32" s="5">
        <f t="shared" si="4"/>
        <v>206000</v>
      </c>
      <c r="C32" s="5">
        <v>240</v>
      </c>
      <c r="D32" s="191">
        <v>380</v>
      </c>
      <c r="E32" s="14">
        <v>1.05</v>
      </c>
      <c r="DB32" t="s">
        <v>231</v>
      </c>
      <c r="DC32" t="s">
        <v>231</v>
      </c>
      <c r="DD32" t="s">
        <v>97</v>
      </c>
      <c r="DE32">
        <v>5</v>
      </c>
      <c r="DF32">
        <v>3</v>
      </c>
      <c r="DG32">
        <v>0.22</v>
      </c>
      <c r="DH32">
        <v>0.22</v>
      </c>
      <c r="DI32">
        <v>3.2</v>
      </c>
      <c r="DJ32">
        <v>2.2000000000000002</v>
      </c>
      <c r="DK32">
        <v>1.32</v>
      </c>
      <c r="DL32">
        <v>10.27</v>
      </c>
      <c r="DM32">
        <v>4.6100000000000003</v>
      </c>
      <c r="DN32">
        <v>4.1100000000000003</v>
      </c>
      <c r="DO32">
        <v>4.1100000000000003</v>
      </c>
      <c r="DP32">
        <v>3.08</v>
      </c>
      <c r="DQ32">
        <v>3.08</v>
      </c>
      <c r="DR32">
        <v>1.79</v>
      </c>
      <c r="DS32">
        <v>1.2</v>
      </c>
      <c r="DT32">
        <v>5.14</v>
      </c>
      <c r="DU32">
        <v>3.6</v>
      </c>
      <c r="DV32">
        <v>10.352635119836799</v>
      </c>
    </row>
    <row r="33" spans="1:126">
      <c r="A33" s="21" t="s">
        <v>1005</v>
      </c>
      <c r="B33" s="5">
        <f t="shared" si="4"/>
        <v>206000</v>
      </c>
      <c r="C33" s="5">
        <v>260</v>
      </c>
      <c r="D33" s="191">
        <v>420</v>
      </c>
      <c r="E33" s="14">
        <v>1.05</v>
      </c>
      <c r="DB33" t="s">
        <v>232</v>
      </c>
      <c r="DC33" t="s">
        <v>232</v>
      </c>
      <c r="DD33" t="s">
        <v>97</v>
      </c>
      <c r="DE33">
        <v>5</v>
      </c>
      <c r="DF33">
        <v>3</v>
      </c>
      <c r="DG33">
        <v>0.25</v>
      </c>
      <c r="DH33">
        <v>0.25</v>
      </c>
      <c r="DI33">
        <v>3.59</v>
      </c>
      <c r="DJ33">
        <v>2.5</v>
      </c>
      <c r="DK33">
        <v>1.5</v>
      </c>
      <c r="DL33">
        <v>11.3</v>
      </c>
      <c r="DM33">
        <v>5.05</v>
      </c>
      <c r="DN33">
        <v>4.5199999999999996</v>
      </c>
      <c r="DO33">
        <v>4.5199999999999996</v>
      </c>
      <c r="DP33">
        <v>3.37</v>
      </c>
      <c r="DQ33">
        <v>3.37</v>
      </c>
      <c r="DR33">
        <v>1.77</v>
      </c>
      <c r="DS33">
        <v>1.19</v>
      </c>
      <c r="DT33">
        <v>5.7</v>
      </c>
      <c r="DU33">
        <v>3.98</v>
      </c>
      <c r="DV33">
        <v>11.281846037090499</v>
      </c>
    </row>
    <row r="34" spans="1:126">
      <c r="DB34" t="s">
        <v>233</v>
      </c>
      <c r="DC34" t="s">
        <v>233</v>
      </c>
      <c r="DD34" t="s">
        <v>97</v>
      </c>
      <c r="DE34">
        <v>5</v>
      </c>
      <c r="DF34">
        <v>3</v>
      </c>
      <c r="DG34">
        <v>0.28999999999999998</v>
      </c>
      <c r="DH34">
        <v>0.28999999999999998</v>
      </c>
      <c r="DI34">
        <v>4.09</v>
      </c>
      <c r="DJ34">
        <v>2.9</v>
      </c>
      <c r="DK34">
        <v>1.74</v>
      </c>
      <c r="DL34">
        <v>12.54</v>
      </c>
      <c r="DM34">
        <v>5.58</v>
      </c>
      <c r="DN34">
        <v>5.0199999999999996</v>
      </c>
      <c r="DO34">
        <v>5.0199999999999996</v>
      </c>
      <c r="DP34">
        <v>3.72</v>
      </c>
      <c r="DQ34">
        <v>3.72</v>
      </c>
      <c r="DR34">
        <v>1.75</v>
      </c>
      <c r="DS34">
        <v>1.17</v>
      </c>
      <c r="DT34">
        <v>6.4</v>
      </c>
      <c r="DU34">
        <v>4.47</v>
      </c>
      <c r="DV34">
        <v>12.2718425890174</v>
      </c>
    </row>
    <row r="35" spans="1:126">
      <c r="DB35" t="s">
        <v>234</v>
      </c>
      <c r="DC35" t="s">
        <v>234</v>
      </c>
      <c r="DD35" t="s">
        <v>97</v>
      </c>
      <c r="DE35">
        <v>5</v>
      </c>
      <c r="DF35">
        <v>3</v>
      </c>
      <c r="DG35">
        <v>0.32</v>
      </c>
      <c r="DH35">
        <v>0.32</v>
      </c>
      <c r="DI35">
        <v>4.45</v>
      </c>
      <c r="DJ35">
        <v>3.2</v>
      </c>
      <c r="DK35">
        <v>1.92</v>
      </c>
      <c r="DL35">
        <v>13.38</v>
      </c>
      <c r="DM35">
        <v>5.93</v>
      </c>
      <c r="DN35">
        <v>5.36</v>
      </c>
      <c r="DO35">
        <v>5.36</v>
      </c>
      <c r="DP35">
        <v>3.96</v>
      </c>
      <c r="DQ35">
        <v>3.96</v>
      </c>
      <c r="DR35">
        <v>1.73</v>
      </c>
      <c r="DS35">
        <v>1.1499999999999999</v>
      </c>
      <c r="DT35">
        <v>6.89</v>
      </c>
      <c r="DU35">
        <v>4.8</v>
      </c>
      <c r="DV35">
        <v>12.812626946486899</v>
      </c>
    </row>
    <row r="36" spans="1:126">
      <c r="DB36" t="s">
        <v>235</v>
      </c>
      <c r="DC36" t="s">
        <v>235</v>
      </c>
      <c r="DD36" t="s">
        <v>97</v>
      </c>
      <c r="DE36">
        <v>5</v>
      </c>
      <c r="DF36">
        <v>3</v>
      </c>
      <c r="DG36">
        <v>0.36</v>
      </c>
      <c r="DH36">
        <v>0.36</v>
      </c>
      <c r="DI36">
        <v>4.91</v>
      </c>
      <c r="DJ36">
        <v>3.6</v>
      </c>
      <c r="DK36">
        <v>2.16</v>
      </c>
      <c r="DL36">
        <v>14.38</v>
      </c>
      <c r="DM36">
        <v>6.34</v>
      </c>
      <c r="DN36">
        <v>5.76</v>
      </c>
      <c r="DO36">
        <v>5.76</v>
      </c>
      <c r="DP36">
        <v>4.2300000000000004</v>
      </c>
      <c r="DQ36">
        <v>4.2300000000000004</v>
      </c>
      <c r="DR36">
        <v>1.71</v>
      </c>
      <c r="DS36">
        <v>1.1399999999999999</v>
      </c>
      <c r="DT36">
        <v>7.5</v>
      </c>
      <c r="DU36">
        <v>5.21</v>
      </c>
      <c r="DV36">
        <v>13.2459818975618</v>
      </c>
    </row>
    <row r="37" spans="1:126">
      <c r="DB37" t="s">
        <v>236</v>
      </c>
      <c r="DC37" t="s">
        <v>236</v>
      </c>
      <c r="DD37" t="s">
        <v>97</v>
      </c>
      <c r="DE37">
        <v>5</v>
      </c>
      <c r="DF37">
        <v>3</v>
      </c>
      <c r="DG37">
        <v>0.4</v>
      </c>
      <c r="DH37">
        <v>0.4</v>
      </c>
      <c r="DI37">
        <v>5.35</v>
      </c>
      <c r="DJ37">
        <v>4</v>
      </c>
      <c r="DK37">
        <v>2.4</v>
      </c>
      <c r="DL37">
        <v>15.25</v>
      </c>
      <c r="DM37">
        <v>6.69</v>
      </c>
      <c r="DN37">
        <v>6.1</v>
      </c>
      <c r="DO37">
        <v>6.1</v>
      </c>
      <c r="DP37">
        <v>4.46</v>
      </c>
      <c r="DQ37">
        <v>4.46</v>
      </c>
      <c r="DR37">
        <v>1.69</v>
      </c>
      <c r="DS37">
        <v>1.1200000000000001</v>
      </c>
      <c r="DT37">
        <v>8.0500000000000007</v>
      </c>
      <c r="DU37">
        <v>5.58</v>
      </c>
      <c r="DV37">
        <v>13.3343519750462</v>
      </c>
    </row>
    <row r="38" spans="1:126">
      <c r="DB38" t="s">
        <v>237</v>
      </c>
      <c r="DC38" t="s">
        <v>237</v>
      </c>
      <c r="DD38" t="s">
        <v>97</v>
      </c>
      <c r="DE38">
        <v>5</v>
      </c>
      <c r="DF38">
        <v>3</v>
      </c>
      <c r="DG38">
        <v>0.45</v>
      </c>
      <c r="DH38">
        <v>0.45</v>
      </c>
      <c r="DI38">
        <v>5.87</v>
      </c>
      <c r="DJ38">
        <v>4.5</v>
      </c>
      <c r="DK38">
        <v>2.7</v>
      </c>
      <c r="DL38">
        <v>16.16</v>
      </c>
      <c r="DM38">
        <v>7.05</v>
      </c>
      <c r="DN38">
        <v>6.47</v>
      </c>
      <c r="DO38">
        <v>6.47</v>
      </c>
      <c r="DP38">
        <v>4.7</v>
      </c>
      <c r="DQ38">
        <v>4.7</v>
      </c>
      <c r="DR38">
        <v>1.66</v>
      </c>
      <c r="DS38">
        <v>1.1000000000000001</v>
      </c>
      <c r="DT38">
        <v>8.67</v>
      </c>
      <c r="DU38">
        <v>5.99</v>
      </c>
      <c r="DV38">
        <v>12.944991540483599</v>
      </c>
    </row>
    <row r="39" spans="1:126">
      <c r="DB39" t="s">
        <v>238</v>
      </c>
      <c r="DC39" t="s">
        <v>238</v>
      </c>
      <c r="DD39" t="s">
        <v>97</v>
      </c>
      <c r="DE39">
        <v>5</v>
      </c>
      <c r="DF39">
        <v>3</v>
      </c>
      <c r="DG39">
        <v>0.5</v>
      </c>
      <c r="DH39">
        <v>0.5</v>
      </c>
      <c r="DI39">
        <v>6.36</v>
      </c>
      <c r="DJ39">
        <v>5</v>
      </c>
      <c r="DK39">
        <v>3</v>
      </c>
      <c r="DL39">
        <v>16.87</v>
      </c>
      <c r="DM39">
        <v>7.33</v>
      </c>
      <c r="DN39">
        <v>6.75</v>
      </c>
      <c r="DO39">
        <v>6.75</v>
      </c>
      <c r="DP39">
        <v>4.8899999999999997</v>
      </c>
      <c r="DQ39">
        <v>4.8899999999999997</v>
      </c>
      <c r="DR39">
        <v>1.63</v>
      </c>
      <c r="DS39">
        <v>1.07</v>
      </c>
      <c r="DT39">
        <v>9.1999999999999993</v>
      </c>
      <c r="DU39">
        <v>6.34</v>
      </c>
      <c r="DV39">
        <v>12.004434788737001</v>
      </c>
    </row>
    <row r="40" spans="1:126">
      <c r="DB40" t="s">
        <v>239</v>
      </c>
      <c r="DC40" t="s">
        <v>239</v>
      </c>
      <c r="DD40" t="s">
        <v>97</v>
      </c>
      <c r="DE40">
        <v>5</v>
      </c>
      <c r="DF40">
        <v>3</v>
      </c>
      <c r="DG40">
        <v>0.6</v>
      </c>
      <c r="DH40">
        <v>0.6</v>
      </c>
      <c r="DI40">
        <v>7.23</v>
      </c>
      <c r="DJ40">
        <v>6</v>
      </c>
      <c r="DK40">
        <v>3.6</v>
      </c>
      <c r="DL40">
        <v>17.77</v>
      </c>
      <c r="DM40">
        <v>7.65</v>
      </c>
      <c r="DN40">
        <v>7.11</v>
      </c>
      <c r="DO40">
        <v>7.11</v>
      </c>
      <c r="DP40">
        <v>5.0999999999999996</v>
      </c>
      <c r="DQ40">
        <v>5.0999999999999996</v>
      </c>
      <c r="DR40">
        <v>1.57</v>
      </c>
      <c r="DS40">
        <v>1.03</v>
      </c>
      <c r="DT40">
        <v>10.039999999999999</v>
      </c>
      <c r="DU40">
        <v>6.89</v>
      </c>
      <c r="DV40">
        <v>8.6662938168363208</v>
      </c>
    </row>
    <row r="41" spans="1:126">
      <c r="DB41" t="s">
        <v>240</v>
      </c>
      <c r="DC41" t="s">
        <v>240</v>
      </c>
      <c r="DD41" t="s">
        <v>97</v>
      </c>
      <c r="DE41">
        <v>5</v>
      </c>
      <c r="DF41">
        <v>3</v>
      </c>
      <c r="DG41">
        <v>0.8</v>
      </c>
      <c r="DH41">
        <v>0.8</v>
      </c>
      <c r="DI41">
        <v>8.59</v>
      </c>
      <c r="DJ41">
        <v>8</v>
      </c>
      <c r="DK41">
        <v>4.8</v>
      </c>
      <c r="DL41">
        <v>17.66</v>
      </c>
      <c r="DM41">
        <v>7.57</v>
      </c>
      <c r="DN41">
        <v>7.07</v>
      </c>
      <c r="DO41">
        <v>7.07</v>
      </c>
      <c r="DP41">
        <v>5.05</v>
      </c>
      <c r="DQ41">
        <v>5.05</v>
      </c>
      <c r="DR41">
        <v>1.43</v>
      </c>
      <c r="DS41">
        <v>0.94</v>
      </c>
      <c r="DT41">
        <v>10.83</v>
      </c>
      <c r="DU41">
        <v>7.36</v>
      </c>
      <c r="DV41">
        <v>1.3355795267494699</v>
      </c>
    </row>
    <row r="42" spans="1:126">
      <c r="DB42" t="s">
        <v>241</v>
      </c>
      <c r="DC42" t="s">
        <v>241</v>
      </c>
      <c r="DD42" t="s">
        <v>97</v>
      </c>
      <c r="DE42">
        <v>6.6</v>
      </c>
      <c r="DF42">
        <v>3.3</v>
      </c>
      <c r="DG42">
        <v>0.16</v>
      </c>
      <c r="DH42">
        <v>0.16</v>
      </c>
      <c r="DI42">
        <v>3</v>
      </c>
      <c r="DJ42">
        <v>2.1120000000000001</v>
      </c>
      <c r="DK42">
        <v>1.056</v>
      </c>
      <c r="DL42">
        <v>16.850000000000001</v>
      </c>
      <c r="DM42">
        <v>5.74</v>
      </c>
      <c r="DN42">
        <v>5.1100000000000003</v>
      </c>
      <c r="DO42">
        <v>5.1100000000000003</v>
      </c>
      <c r="DP42">
        <v>3.48</v>
      </c>
      <c r="DQ42">
        <v>3.48</v>
      </c>
      <c r="DR42">
        <v>2.37</v>
      </c>
      <c r="DS42">
        <v>1.38</v>
      </c>
      <c r="DT42">
        <v>6.34</v>
      </c>
      <c r="DU42">
        <v>3.92</v>
      </c>
      <c r="DV42">
        <v>14.0149915498027</v>
      </c>
    </row>
    <row r="43" spans="1:126">
      <c r="DB43" t="s">
        <v>242</v>
      </c>
      <c r="DC43" t="s">
        <v>242</v>
      </c>
      <c r="DD43" t="s">
        <v>97</v>
      </c>
      <c r="DE43">
        <v>6.6</v>
      </c>
      <c r="DF43">
        <v>3.3</v>
      </c>
      <c r="DG43">
        <v>0.2</v>
      </c>
      <c r="DH43">
        <v>0.2</v>
      </c>
      <c r="DI43">
        <v>3.7</v>
      </c>
      <c r="DJ43">
        <v>2.64</v>
      </c>
      <c r="DK43">
        <v>1.32</v>
      </c>
      <c r="DL43">
        <v>20.37</v>
      </c>
      <c r="DM43">
        <v>6.9</v>
      </c>
      <c r="DN43">
        <v>6.18</v>
      </c>
      <c r="DO43">
        <v>6.18</v>
      </c>
      <c r="DP43">
        <v>4.1900000000000004</v>
      </c>
      <c r="DQ43">
        <v>4.1900000000000004</v>
      </c>
      <c r="DR43">
        <v>2.35</v>
      </c>
      <c r="DS43">
        <v>1.37</v>
      </c>
      <c r="DT43">
        <v>7.73</v>
      </c>
      <c r="DU43">
        <v>4.7699999999999996</v>
      </c>
      <c r="DV43">
        <v>16.936436488241899</v>
      </c>
    </row>
    <row r="44" spans="1:126">
      <c r="DB44" t="s">
        <v>243</v>
      </c>
      <c r="DC44" t="s">
        <v>243</v>
      </c>
      <c r="DD44" t="s">
        <v>97</v>
      </c>
      <c r="DE44">
        <v>6.6</v>
      </c>
      <c r="DF44">
        <v>3.3</v>
      </c>
      <c r="DG44">
        <v>0.22</v>
      </c>
      <c r="DH44">
        <v>0.22</v>
      </c>
      <c r="DI44">
        <v>4.04</v>
      </c>
      <c r="DJ44">
        <v>2.9039999999999999</v>
      </c>
      <c r="DK44">
        <v>1.452</v>
      </c>
      <c r="DL44">
        <v>22.03</v>
      </c>
      <c r="DM44">
        <v>7.43</v>
      </c>
      <c r="DN44">
        <v>6.68</v>
      </c>
      <c r="DO44">
        <v>6.68</v>
      </c>
      <c r="DP44">
        <v>4.51</v>
      </c>
      <c r="DQ44">
        <v>4.51</v>
      </c>
      <c r="DR44">
        <v>2.34</v>
      </c>
      <c r="DS44">
        <v>1.36</v>
      </c>
      <c r="DT44">
        <v>8.4</v>
      </c>
      <c r="DU44">
        <v>5.17</v>
      </c>
      <c r="DV44">
        <v>18.282056187895499</v>
      </c>
    </row>
    <row r="45" spans="1:126">
      <c r="DB45" t="s">
        <v>244</v>
      </c>
      <c r="DC45" t="s">
        <v>244</v>
      </c>
      <c r="DD45" t="s">
        <v>97</v>
      </c>
      <c r="DE45">
        <v>6.6</v>
      </c>
      <c r="DF45">
        <v>3.3</v>
      </c>
      <c r="DG45">
        <v>0.25</v>
      </c>
      <c r="DH45">
        <v>0.25</v>
      </c>
      <c r="DI45">
        <v>4.54</v>
      </c>
      <c r="DJ45">
        <v>3.3</v>
      </c>
      <c r="DK45">
        <v>1.65</v>
      </c>
      <c r="DL45">
        <v>24.4</v>
      </c>
      <c r="DM45">
        <v>8.19</v>
      </c>
      <c r="DN45">
        <v>7.4</v>
      </c>
      <c r="DO45">
        <v>7.4</v>
      </c>
      <c r="DP45">
        <v>4.97</v>
      </c>
      <c r="DQ45">
        <v>4.97</v>
      </c>
      <c r="DR45">
        <v>2.3199999999999998</v>
      </c>
      <c r="DS45">
        <v>1.34</v>
      </c>
      <c r="DT45">
        <v>9.3699999999999992</v>
      </c>
      <c r="DU45">
        <v>5.75</v>
      </c>
      <c r="DV45">
        <v>20.1429932285501</v>
      </c>
    </row>
    <row r="46" spans="1:126">
      <c r="DB46" t="s">
        <v>245</v>
      </c>
      <c r="DC46" t="s">
        <v>245</v>
      </c>
      <c r="DD46" t="s">
        <v>97</v>
      </c>
      <c r="DE46">
        <v>6.6</v>
      </c>
      <c r="DF46">
        <v>3.3</v>
      </c>
      <c r="DG46">
        <v>0.28999999999999998</v>
      </c>
      <c r="DH46">
        <v>0.28999999999999998</v>
      </c>
      <c r="DI46">
        <v>5.19</v>
      </c>
      <c r="DJ46">
        <v>3.8279999999999998</v>
      </c>
      <c r="DK46">
        <v>1.9139999999999999</v>
      </c>
      <c r="DL46">
        <v>27.33</v>
      </c>
      <c r="DM46">
        <v>9.1199999999999992</v>
      </c>
      <c r="DN46">
        <v>8.2899999999999991</v>
      </c>
      <c r="DO46">
        <v>8.2899999999999991</v>
      </c>
      <c r="DP46">
        <v>5.53</v>
      </c>
      <c r="DQ46">
        <v>5.53</v>
      </c>
      <c r="DR46">
        <v>2.29</v>
      </c>
      <c r="DS46">
        <v>1.33</v>
      </c>
      <c r="DT46">
        <v>10.59</v>
      </c>
      <c r="DU46">
        <v>6.49</v>
      </c>
      <c r="DV46">
        <v>22.305905943518201</v>
      </c>
    </row>
    <row r="47" spans="1:126">
      <c r="DB47" t="s">
        <v>246</v>
      </c>
      <c r="DC47" t="s">
        <v>246</v>
      </c>
      <c r="DD47" t="s">
        <v>97</v>
      </c>
      <c r="DE47">
        <v>6.6</v>
      </c>
      <c r="DF47">
        <v>3.3</v>
      </c>
      <c r="DG47">
        <v>0.32</v>
      </c>
      <c r="DH47">
        <v>0.32</v>
      </c>
      <c r="DI47">
        <v>5.66</v>
      </c>
      <c r="DJ47">
        <v>4.2240000000000002</v>
      </c>
      <c r="DK47">
        <v>2.1120000000000001</v>
      </c>
      <c r="DL47">
        <v>29.37</v>
      </c>
      <c r="DM47">
        <v>9.75</v>
      </c>
      <c r="DN47">
        <v>8.9</v>
      </c>
      <c r="DO47">
        <v>8.9</v>
      </c>
      <c r="DP47">
        <v>5.91</v>
      </c>
      <c r="DQ47">
        <v>5.91</v>
      </c>
      <c r="DR47">
        <v>2.2799999999999998</v>
      </c>
      <c r="DS47">
        <v>1.31</v>
      </c>
      <c r="DT47">
        <v>11.46</v>
      </c>
      <c r="DU47">
        <v>7.01</v>
      </c>
      <c r="DV47">
        <v>23.6701198650808</v>
      </c>
    </row>
    <row r="48" spans="1:126">
      <c r="DB48" t="s">
        <v>247</v>
      </c>
      <c r="DC48" t="s">
        <v>247</v>
      </c>
      <c r="DD48" t="s">
        <v>97</v>
      </c>
      <c r="DE48">
        <v>6</v>
      </c>
      <c r="DF48">
        <v>4</v>
      </c>
      <c r="DG48">
        <v>0.16</v>
      </c>
      <c r="DH48">
        <v>0.16</v>
      </c>
      <c r="DI48">
        <v>3.03</v>
      </c>
      <c r="DJ48">
        <v>1.92</v>
      </c>
      <c r="DK48">
        <v>1.28</v>
      </c>
      <c r="DL48">
        <v>15.22</v>
      </c>
      <c r="DM48">
        <v>8.16</v>
      </c>
      <c r="DN48">
        <v>5.08</v>
      </c>
      <c r="DO48">
        <v>5.08</v>
      </c>
      <c r="DP48">
        <v>4.08</v>
      </c>
      <c r="DQ48">
        <v>4.08</v>
      </c>
      <c r="DR48">
        <v>2.2400000000000002</v>
      </c>
      <c r="DS48">
        <v>1.64</v>
      </c>
      <c r="DT48">
        <v>6.12</v>
      </c>
      <c r="DU48">
        <v>4.6399999999999997</v>
      </c>
      <c r="DV48">
        <v>17.101936512221801</v>
      </c>
    </row>
    <row r="49" spans="106:126">
      <c r="DB49" t="s">
        <v>248</v>
      </c>
      <c r="DC49" t="s">
        <v>248</v>
      </c>
      <c r="DD49" t="s">
        <v>97</v>
      </c>
      <c r="DE49">
        <v>6</v>
      </c>
      <c r="DF49">
        <v>4</v>
      </c>
      <c r="DG49">
        <v>0.2</v>
      </c>
      <c r="DH49">
        <v>0.2</v>
      </c>
      <c r="DI49">
        <v>3.74</v>
      </c>
      <c r="DJ49">
        <v>2.4</v>
      </c>
      <c r="DK49">
        <v>1.6</v>
      </c>
      <c r="DL49">
        <v>18.41</v>
      </c>
      <c r="DM49">
        <v>9.83</v>
      </c>
      <c r="DN49">
        <v>6.14</v>
      </c>
      <c r="DO49">
        <v>6.14</v>
      </c>
      <c r="DP49">
        <v>4.92</v>
      </c>
      <c r="DQ49">
        <v>4.92</v>
      </c>
      <c r="DR49">
        <v>2.2200000000000002</v>
      </c>
      <c r="DS49">
        <v>1.62</v>
      </c>
      <c r="DT49">
        <v>7.47</v>
      </c>
      <c r="DU49">
        <v>5.65</v>
      </c>
      <c r="DV49">
        <v>20.773780656472599</v>
      </c>
    </row>
    <row r="50" spans="106:126">
      <c r="DB50" t="s">
        <v>249</v>
      </c>
      <c r="DC50" t="s">
        <v>249</v>
      </c>
      <c r="DD50" t="s">
        <v>97</v>
      </c>
      <c r="DE50">
        <v>6</v>
      </c>
      <c r="DF50">
        <v>4</v>
      </c>
      <c r="DG50">
        <v>0.22</v>
      </c>
      <c r="DH50">
        <v>0.22</v>
      </c>
      <c r="DI50">
        <v>4.08</v>
      </c>
      <c r="DJ50">
        <v>2.64</v>
      </c>
      <c r="DK50">
        <v>1.76</v>
      </c>
      <c r="DL50">
        <v>19.920000000000002</v>
      </c>
      <c r="DM50">
        <v>10.62</v>
      </c>
      <c r="DN50">
        <v>6.64</v>
      </c>
      <c r="DO50">
        <v>6.64</v>
      </c>
      <c r="DP50">
        <v>5.31</v>
      </c>
      <c r="DQ50">
        <v>5.31</v>
      </c>
      <c r="DR50">
        <v>2.21</v>
      </c>
      <c r="DS50">
        <v>1.61</v>
      </c>
      <c r="DT50">
        <v>8.1199999999999992</v>
      </c>
      <c r="DU50">
        <v>6.14</v>
      </c>
      <c r="DV50">
        <v>22.488124525401801</v>
      </c>
    </row>
    <row r="51" spans="106:126">
      <c r="DB51" t="s">
        <v>250</v>
      </c>
      <c r="DC51" t="s">
        <v>250</v>
      </c>
      <c r="DD51" t="s">
        <v>97</v>
      </c>
      <c r="DE51">
        <v>6</v>
      </c>
      <c r="DF51">
        <v>4</v>
      </c>
      <c r="DG51">
        <v>0.25</v>
      </c>
      <c r="DH51">
        <v>0.25</v>
      </c>
      <c r="DI51">
        <v>4.59</v>
      </c>
      <c r="DJ51">
        <v>3</v>
      </c>
      <c r="DK51">
        <v>2</v>
      </c>
      <c r="DL51">
        <v>22.07</v>
      </c>
      <c r="DM51">
        <v>11.74</v>
      </c>
      <c r="DN51">
        <v>7.36</v>
      </c>
      <c r="DO51">
        <v>7.36</v>
      </c>
      <c r="DP51">
        <v>5.87</v>
      </c>
      <c r="DQ51">
        <v>5.87</v>
      </c>
      <c r="DR51">
        <v>2.19</v>
      </c>
      <c r="DS51">
        <v>1.6</v>
      </c>
      <c r="DT51">
        <v>9.06</v>
      </c>
      <c r="DU51">
        <v>6.84</v>
      </c>
      <c r="DV51">
        <v>24.892125980842899</v>
      </c>
    </row>
    <row r="52" spans="106:126">
      <c r="DB52" t="s">
        <v>251</v>
      </c>
      <c r="DC52" t="s">
        <v>251</v>
      </c>
      <c r="DD52" t="s">
        <v>97</v>
      </c>
      <c r="DE52">
        <v>6</v>
      </c>
      <c r="DF52">
        <v>4</v>
      </c>
      <c r="DG52">
        <v>0.28999999999999998</v>
      </c>
      <c r="DH52">
        <v>0.28999999999999998</v>
      </c>
      <c r="DI52">
        <v>5.25</v>
      </c>
      <c r="DJ52">
        <v>3.48</v>
      </c>
      <c r="DK52">
        <v>2.3199999999999998</v>
      </c>
      <c r="DL52">
        <v>24.74</v>
      </c>
      <c r="DM52">
        <v>13.11</v>
      </c>
      <c r="DN52">
        <v>8.25</v>
      </c>
      <c r="DO52">
        <v>8.25</v>
      </c>
      <c r="DP52">
        <v>6.56</v>
      </c>
      <c r="DQ52">
        <v>6.56</v>
      </c>
      <c r="DR52">
        <v>2.17</v>
      </c>
      <c r="DS52">
        <v>1.58</v>
      </c>
      <c r="DT52">
        <v>10.25</v>
      </c>
      <c r="DU52">
        <v>7.73</v>
      </c>
      <c r="DV52">
        <v>27.756521744252801</v>
      </c>
    </row>
    <row r="53" spans="106:126">
      <c r="DB53" t="s">
        <v>252</v>
      </c>
      <c r="DC53" t="s">
        <v>252</v>
      </c>
      <c r="DD53" t="s">
        <v>97</v>
      </c>
      <c r="DE53">
        <v>6</v>
      </c>
      <c r="DF53">
        <v>4</v>
      </c>
      <c r="DG53">
        <v>0.32</v>
      </c>
      <c r="DH53">
        <v>0.32</v>
      </c>
      <c r="DI53">
        <v>5.73</v>
      </c>
      <c r="DJ53">
        <v>3.84</v>
      </c>
      <c r="DK53">
        <v>2.56</v>
      </c>
      <c r="DL53">
        <v>26.61</v>
      </c>
      <c r="DM53">
        <v>14.07</v>
      </c>
      <c r="DN53">
        <v>8.8699999999999992</v>
      </c>
      <c r="DO53">
        <v>8.8699999999999992</v>
      </c>
      <c r="DP53">
        <v>7.04</v>
      </c>
      <c r="DQ53">
        <v>7.04</v>
      </c>
      <c r="DR53">
        <v>2.15</v>
      </c>
      <c r="DS53">
        <v>1.57</v>
      </c>
      <c r="DT53">
        <v>11.09</v>
      </c>
      <c r="DU53">
        <v>8.36</v>
      </c>
      <c r="DV53">
        <v>29.626393768545199</v>
      </c>
    </row>
    <row r="54" spans="106:126">
      <c r="DB54" t="s">
        <v>253</v>
      </c>
      <c r="DC54" t="s">
        <v>253</v>
      </c>
      <c r="DD54" t="s">
        <v>97</v>
      </c>
      <c r="DE54">
        <v>6</v>
      </c>
      <c r="DF54">
        <v>4</v>
      </c>
      <c r="DG54">
        <v>0.36</v>
      </c>
      <c r="DH54">
        <v>0.36</v>
      </c>
      <c r="DI54">
        <v>6.35</v>
      </c>
      <c r="DJ54">
        <v>4.32</v>
      </c>
      <c r="DK54">
        <v>2.88</v>
      </c>
      <c r="DL54">
        <v>28.9</v>
      </c>
      <c r="DM54">
        <v>15.23</v>
      </c>
      <c r="DN54">
        <v>9.64</v>
      </c>
      <c r="DO54">
        <v>9.64</v>
      </c>
      <c r="DP54">
        <v>7.62</v>
      </c>
      <c r="DQ54">
        <v>7.62</v>
      </c>
      <c r="DR54">
        <v>2.13</v>
      </c>
      <c r="DS54">
        <v>1.55</v>
      </c>
      <c r="DT54">
        <v>12.16</v>
      </c>
      <c r="DU54">
        <v>9.15</v>
      </c>
      <c r="DV54">
        <v>31.716846938404</v>
      </c>
    </row>
    <row r="55" spans="106:126">
      <c r="DB55" t="s">
        <v>254</v>
      </c>
      <c r="DC55" t="s">
        <v>254</v>
      </c>
      <c r="DD55" t="s">
        <v>97</v>
      </c>
      <c r="DE55">
        <v>6</v>
      </c>
      <c r="DF55">
        <v>4</v>
      </c>
      <c r="DG55">
        <v>0.4</v>
      </c>
      <c r="DH55">
        <v>0.4</v>
      </c>
      <c r="DI55">
        <v>6.95</v>
      </c>
      <c r="DJ55">
        <v>4.8</v>
      </c>
      <c r="DK55">
        <v>3.2</v>
      </c>
      <c r="DL55">
        <v>30.99</v>
      </c>
      <c r="DM55">
        <v>16.28</v>
      </c>
      <c r="DN55">
        <v>10.33</v>
      </c>
      <c r="DO55">
        <v>10.33</v>
      </c>
      <c r="DP55">
        <v>8.14</v>
      </c>
      <c r="DQ55">
        <v>8.14</v>
      </c>
      <c r="DR55">
        <v>2.11</v>
      </c>
      <c r="DS55">
        <v>1.53</v>
      </c>
      <c r="DT55">
        <v>13.16</v>
      </c>
      <c r="DU55">
        <v>9.89</v>
      </c>
      <c r="DV55">
        <v>33.314048790119102</v>
      </c>
    </row>
    <row r="56" spans="106:126">
      <c r="DB56" t="s">
        <v>255</v>
      </c>
      <c r="DC56" t="s">
        <v>255</v>
      </c>
      <c r="DD56" t="s">
        <v>97</v>
      </c>
      <c r="DE56">
        <v>6</v>
      </c>
      <c r="DF56">
        <v>4</v>
      </c>
      <c r="DG56">
        <v>0.45</v>
      </c>
      <c r="DH56">
        <v>0.45</v>
      </c>
      <c r="DI56">
        <v>7.67</v>
      </c>
      <c r="DJ56">
        <v>5.4</v>
      </c>
      <c r="DK56">
        <v>3.6</v>
      </c>
      <c r="DL56">
        <v>33.31</v>
      </c>
      <c r="DM56">
        <v>17.440000000000001</v>
      </c>
      <c r="DN56">
        <v>11.11</v>
      </c>
      <c r="DO56">
        <v>11.11</v>
      </c>
      <c r="DP56">
        <v>8.7200000000000006</v>
      </c>
      <c r="DQ56">
        <v>8.7200000000000006</v>
      </c>
      <c r="DR56">
        <v>2.08</v>
      </c>
      <c r="DS56">
        <v>1.51</v>
      </c>
      <c r="DT56">
        <v>14.32</v>
      </c>
      <c r="DU56">
        <v>10.75</v>
      </c>
      <c r="DV56">
        <v>34.568910010649603</v>
      </c>
    </row>
    <row r="57" spans="106:126">
      <c r="DB57" t="s">
        <v>256</v>
      </c>
      <c r="DC57" t="s">
        <v>256</v>
      </c>
      <c r="DD57" t="s">
        <v>97</v>
      </c>
      <c r="DE57">
        <v>6</v>
      </c>
      <c r="DF57">
        <v>4</v>
      </c>
      <c r="DG57">
        <v>0.5</v>
      </c>
      <c r="DH57">
        <v>0.5</v>
      </c>
      <c r="DI57">
        <v>8.36</v>
      </c>
      <c r="DJ57">
        <v>6</v>
      </c>
      <c r="DK57">
        <v>4</v>
      </c>
      <c r="DL57">
        <v>35.33</v>
      </c>
      <c r="DM57">
        <v>18.43</v>
      </c>
      <c r="DN57">
        <v>11.78</v>
      </c>
      <c r="DO57">
        <v>11.78</v>
      </c>
      <c r="DP57">
        <v>9.2200000000000006</v>
      </c>
      <c r="DQ57">
        <v>9.2200000000000006</v>
      </c>
      <c r="DR57">
        <v>2.06</v>
      </c>
      <c r="DS57">
        <v>1.48</v>
      </c>
      <c r="DT57">
        <v>15.38</v>
      </c>
      <c r="DU57">
        <v>11.52</v>
      </c>
      <c r="DV57">
        <v>34.9542085903038</v>
      </c>
    </row>
    <row r="58" spans="106:126">
      <c r="DB58" t="s">
        <v>257</v>
      </c>
      <c r="DC58" t="s">
        <v>257</v>
      </c>
      <c r="DD58" t="s">
        <v>97</v>
      </c>
      <c r="DE58">
        <v>6</v>
      </c>
      <c r="DF58">
        <v>4</v>
      </c>
      <c r="DG58">
        <v>0.6</v>
      </c>
      <c r="DH58">
        <v>0.6</v>
      </c>
      <c r="DI58">
        <v>9.6300000000000008</v>
      </c>
      <c r="DJ58">
        <v>7.2</v>
      </c>
      <c r="DK58">
        <v>4.8</v>
      </c>
      <c r="DL58">
        <v>38.5</v>
      </c>
      <c r="DM58">
        <v>19.95</v>
      </c>
      <c r="DN58">
        <v>12.84</v>
      </c>
      <c r="DO58">
        <v>12.84</v>
      </c>
      <c r="DP58">
        <v>9.98</v>
      </c>
      <c r="DQ58">
        <v>9.98</v>
      </c>
      <c r="DR58">
        <v>2</v>
      </c>
      <c r="DS58">
        <v>1.44</v>
      </c>
      <c r="DT58">
        <v>17.2</v>
      </c>
      <c r="DU58">
        <v>12.84</v>
      </c>
      <c r="DV58">
        <v>33.014871635737798</v>
      </c>
    </row>
    <row r="59" spans="106:126">
      <c r="DB59" t="s">
        <v>258</v>
      </c>
      <c r="DC59" t="s">
        <v>258</v>
      </c>
      <c r="DD59" t="s">
        <v>97</v>
      </c>
      <c r="DE59">
        <v>7.5</v>
      </c>
      <c r="DF59">
        <v>2.5</v>
      </c>
      <c r="DG59">
        <v>0.16</v>
      </c>
      <c r="DH59">
        <v>0.16</v>
      </c>
      <c r="DI59">
        <v>3.03</v>
      </c>
      <c r="DJ59">
        <v>2.4</v>
      </c>
      <c r="DK59">
        <v>0.8</v>
      </c>
      <c r="DL59">
        <v>19.739999999999998</v>
      </c>
      <c r="DM59">
        <v>3.47</v>
      </c>
      <c r="DN59">
        <v>5.27</v>
      </c>
      <c r="DO59">
        <v>5.27</v>
      </c>
      <c r="DP59">
        <v>2.78</v>
      </c>
      <c r="DQ59">
        <v>2.78</v>
      </c>
      <c r="DR59">
        <v>2.5499999999999998</v>
      </c>
      <c r="DS59">
        <v>1.07</v>
      </c>
      <c r="DT59">
        <v>6.81</v>
      </c>
      <c r="DU59">
        <v>3.11</v>
      </c>
      <c r="DV59">
        <v>9.9448504916444396</v>
      </c>
    </row>
    <row r="60" spans="106:126">
      <c r="DB60" t="s">
        <v>259</v>
      </c>
      <c r="DC60" t="s">
        <v>259</v>
      </c>
      <c r="DD60" t="s">
        <v>97</v>
      </c>
      <c r="DE60">
        <v>7.5</v>
      </c>
      <c r="DF60">
        <v>2.5</v>
      </c>
      <c r="DG60">
        <v>0.2</v>
      </c>
      <c r="DH60">
        <v>0.2</v>
      </c>
      <c r="DI60">
        <v>3.74</v>
      </c>
      <c r="DJ60">
        <v>3</v>
      </c>
      <c r="DK60">
        <v>1</v>
      </c>
      <c r="DL60">
        <v>23.84</v>
      </c>
      <c r="DM60">
        <v>4.1399999999999997</v>
      </c>
      <c r="DN60">
        <v>6.36</v>
      </c>
      <c r="DO60">
        <v>6.36</v>
      </c>
      <c r="DP60">
        <v>3.32</v>
      </c>
      <c r="DQ60">
        <v>3.32</v>
      </c>
      <c r="DR60">
        <v>2.52</v>
      </c>
      <c r="DS60">
        <v>1.05</v>
      </c>
      <c r="DT60">
        <v>8.31</v>
      </c>
      <c r="DU60">
        <v>3.77</v>
      </c>
      <c r="DV60">
        <v>11.8841627718922</v>
      </c>
    </row>
    <row r="61" spans="106:126">
      <c r="DB61" t="s">
        <v>260</v>
      </c>
      <c r="DC61" t="s">
        <v>260</v>
      </c>
      <c r="DD61" t="s">
        <v>97</v>
      </c>
      <c r="DE61">
        <v>7.5</v>
      </c>
      <c r="DF61">
        <v>2.5</v>
      </c>
      <c r="DG61">
        <v>0.25</v>
      </c>
      <c r="DH61">
        <v>0.25</v>
      </c>
      <c r="DI61">
        <v>4.59</v>
      </c>
      <c r="DJ61">
        <v>3.75</v>
      </c>
      <c r="DK61">
        <v>1.25</v>
      </c>
      <c r="DL61">
        <v>28.52</v>
      </c>
      <c r="DM61">
        <v>4.87</v>
      </c>
      <c r="DN61">
        <v>7.61</v>
      </c>
      <c r="DO61">
        <v>7.61</v>
      </c>
      <c r="DP61">
        <v>3.9</v>
      </c>
      <c r="DQ61">
        <v>3.9</v>
      </c>
      <c r="DR61">
        <v>2.4900000000000002</v>
      </c>
      <c r="DS61">
        <v>1.03</v>
      </c>
      <c r="DT61">
        <v>10.06</v>
      </c>
      <c r="DU61">
        <v>4.53</v>
      </c>
      <c r="DV61">
        <v>13.9085908576133</v>
      </c>
    </row>
    <row r="62" spans="106:126">
      <c r="DB62" t="s">
        <v>261</v>
      </c>
      <c r="DC62" t="s">
        <v>261</v>
      </c>
      <c r="DD62" t="s">
        <v>97</v>
      </c>
      <c r="DE62">
        <v>7.5</v>
      </c>
      <c r="DF62">
        <v>2.5</v>
      </c>
      <c r="DG62">
        <v>0.28999999999999998</v>
      </c>
      <c r="DH62">
        <v>0.28999999999999998</v>
      </c>
      <c r="DI62">
        <v>5.25</v>
      </c>
      <c r="DJ62">
        <v>4.3499999999999996</v>
      </c>
      <c r="DK62">
        <v>1.45</v>
      </c>
      <c r="DL62">
        <v>31.91</v>
      </c>
      <c r="DM62">
        <v>5.38</v>
      </c>
      <c r="DN62">
        <v>8.51</v>
      </c>
      <c r="DO62">
        <v>8.51</v>
      </c>
      <c r="DP62">
        <v>4.3099999999999996</v>
      </c>
      <c r="DQ62">
        <v>4.3099999999999996</v>
      </c>
      <c r="DR62">
        <v>2.4700000000000002</v>
      </c>
      <c r="DS62">
        <v>1.01</v>
      </c>
      <c r="DT62">
        <v>11.37</v>
      </c>
      <c r="DU62">
        <v>5.08</v>
      </c>
      <c r="DV62">
        <v>15.174920223229901</v>
      </c>
    </row>
    <row r="63" spans="106:126">
      <c r="DB63" t="s">
        <v>262</v>
      </c>
      <c r="DC63" t="s">
        <v>262</v>
      </c>
      <c r="DD63" t="s">
        <v>97</v>
      </c>
      <c r="DE63">
        <v>7.5</v>
      </c>
      <c r="DF63">
        <v>2.5</v>
      </c>
      <c r="DG63">
        <v>0.32</v>
      </c>
      <c r="DH63">
        <v>0.32</v>
      </c>
      <c r="DI63">
        <v>5.73</v>
      </c>
      <c r="DJ63">
        <v>4.8</v>
      </c>
      <c r="DK63">
        <v>1.6</v>
      </c>
      <c r="DL63">
        <v>34.26</v>
      </c>
      <c r="DM63">
        <v>5.72</v>
      </c>
      <c r="DN63">
        <v>9.14</v>
      </c>
      <c r="DO63">
        <v>9.14</v>
      </c>
      <c r="DP63">
        <v>4.58</v>
      </c>
      <c r="DQ63">
        <v>4.58</v>
      </c>
      <c r="DR63">
        <v>2.4500000000000002</v>
      </c>
      <c r="DS63">
        <v>1</v>
      </c>
      <c r="DT63">
        <v>12.3</v>
      </c>
      <c r="DU63">
        <v>5.47</v>
      </c>
      <c r="DV63">
        <v>15.902904174720801</v>
      </c>
    </row>
    <row r="64" spans="106:126">
      <c r="DB64" t="s">
        <v>263</v>
      </c>
      <c r="DC64" t="s">
        <v>263</v>
      </c>
      <c r="DD64" t="s">
        <v>97</v>
      </c>
      <c r="DE64">
        <v>7</v>
      </c>
      <c r="DF64">
        <v>3</v>
      </c>
      <c r="DG64">
        <v>0.3</v>
      </c>
      <c r="DH64">
        <v>0.3</v>
      </c>
      <c r="DI64">
        <v>5.41</v>
      </c>
      <c r="DJ64">
        <v>4.2</v>
      </c>
      <c r="DK64">
        <v>1.8</v>
      </c>
      <c r="DL64">
        <v>30.57</v>
      </c>
      <c r="DM64">
        <v>7.9</v>
      </c>
      <c r="DN64">
        <v>8.74</v>
      </c>
      <c r="DO64">
        <v>8.74</v>
      </c>
      <c r="DP64">
        <v>5.27</v>
      </c>
      <c r="DQ64">
        <v>5.27</v>
      </c>
      <c r="DR64">
        <v>2.38</v>
      </c>
      <c r="DS64">
        <v>1.21</v>
      </c>
      <c r="DT64">
        <v>11.38</v>
      </c>
      <c r="DU64">
        <v>6.2</v>
      </c>
      <c r="DV64">
        <v>20.5131485542374</v>
      </c>
    </row>
    <row r="65" spans="106:126">
      <c r="DB65" t="s">
        <v>264</v>
      </c>
      <c r="DC65" t="s">
        <v>264</v>
      </c>
      <c r="DD65" t="s">
        <v>97</v>
      </c>
      <c r="DE65">
        <v>7</v>
      </c>
      <c r="DF65">
        <v>3</v>
      </c>
      <c r="DG65">
        <v>0.32</v>
      </c>
      <c r="DH65">
        <v>0.32</v>
      </c>
      <c r="DI65">
        <v>5.73</v>
      </c>
      <c r="DJ65">
        <v>4.4800000000000004</v>
      </c>
      <c r="DK65">
        <v>1.92</v>
      </c>
      <c r="DL65">
        <v>32.04</v>
      </c>
      <c r="DM65">
        <v>8.24</v>
      </c>
      <c r="DN65">
        <v>9.16</v>
      </c>
      <c r="DO65">
        <v>9.16</v>
      </c>
      <c r="DP65">
        <v>5.5</v>
      </c>
      <c r="DQ65">
        <v>5.5</v>
      </c>
      <c r="DR65">
        <v>2.36</v>
      </c>
      <c r="DS65">
        <v>1.2</v>
      </c>
      <c r="DT65">
        <v>11.98</v>
      </c>
      <c r="DU65">
        <v>6.51</v>
      </c>
      <c r="DV65">
        <v>21.261475706686198</v>
      </c>
    </row>
    <row r="66" spans="106:126">
      <c r="DB66" t="s">
        <v>265</v>
      </c>
      <c r="DC66" t="s">
        <v>265</v>
      </c>
      <c r="DD66" t="s">
        <v>97</v>
      </c>
      <c r="DE66">
        <v>7</v>
      </c>
      <c r="DF66">
        <v>3</v>
      </c>
      <c r="DG66">
        <v>0.36</v>
      </c>
      <c r="DH66">
        <v>0.36</v>
      </c>
      <c r="DI66">
        <v>6.35</v>
      </c>
      <c r="DJ66">
        <v>5.04</v>
      </c>
      <c r="DK66">
        <v>2.16</v>
      </c>
      <c r="DL66">
        <v>34.76</v>
      </c>
      <c r="DM66">
        <v>8.8699999999999992</v>
      </c>
      <c r="DN66">
        <v>9.94</v>
      </c>
      <c r="DO66">
        <v>9.94</v>
      </c>
      <c r="DP66">
        <v>5.92</v>
      </c>
      <c r="DQ66">
        <v>5.92</v>
      </c>
      <c r="DR66">
        <v>2.34</v>
      </c>
      <c r="DS66">
        <v>1.18</v>
      </c>
      <c r="DT66">
        <v>13.12</v>
      </c>
      <c r="DU66">
        <v>7.11</v>
      </c>
      <c r="DV66">
        <v>22.452887771777199</v>
      </c>
    </row>
    <row r="67" spans="106:126">
      <c r="DB67" t="s">
        <v>266</v>
      </c>
      <c r="DC67" t="s">
        <v>266</v>
      </c>
      <c r="DD67" t="s">
        <v>97</v>
      </c>
      <c r="DE67">
        <v>7</v>
      </c>
      <c r="DF67">
        <v>3</v>
      </c>
      <c r="DG67">
        <v>0.4</v>
      </c>
      <c r="DH67">
        <v>0.4</v>
      </c>
      <c r="DI67">
        <v>6.95</v>
      </c>
      <c r="DJ67">
        <v>5.6</v>
      </c>
      <c r="DK67">
        <v>2.4</v>
      </c>
      <c r="DL67">
        <v>37.229999999999997</v>
      </c>
      <c r="DM67">
        <v>9.42</v>
      </c>
      <c r="DN67">
        <v>10.64</v>
      </c>
      <c r="DO67">
        <v>10.64</v>
      </c>
      <c r="DP67">
        <v>6.28</v>
      </c>
      <c r="DQ67">
        <v>6.28</v>
      </c>
      <c r="DR67">
        <v>2.31</v>
      </c>
      <c r="DS67">
        <v>1.1599999999999999</v>
      </c>
      <c r="DT67">
        <v>14.2</v>
      </c>
      <c r="DU67">
        <v>7.66</v>
      </c>
      <c r="DV67">
        <v>23.217657884934901</v>
      </c>
    </row>
    <row r="68" spans="106:126">
      <c r="DB68" t="s">
        <v>267</v>
      </c>
      <c r="DC68" t="s">
        <v>267</v>
      </c>
      <c r="DD68" t="s">
        <v>97</v>
      </c>
      <c r="DE68">
        <v>7</v>
      </c>
      <c r="DF68">
        <v>3</v>
      </c>
      <c r="DG68">
        <v>0.45</v>
      </c>
      <c r="DH68">
        <v>0.45</v>
      </c>
      <c r="DI68">
        <v>7.67</v>
      </c>
      <c r="DJ68">
        <v>6.3</v>
      </c>
      <c r="DK68">
        <v>2.7</v>
      </c>
      <c r="DL68">
        <v>39.950000000000003</v>
      </c>
      <c r="DM68">
        <v>10.01</v>
      </c>
      <c r="DN68">
        <v>11.42</v>
      </c>
      <c r="DO68">
        <v>11.42</v>
      </c>
      <c r="DP68">
        <v>6.68</v>
      </c>
      <c r="DQ68">
        <v>6.68</v>
      </c>
      <c r="DR68">
        <v>2.2799999999999998</v>
      </c>
      <c r="DS68">
        <v>1.1399999999999999</v>
      </c>
      <c r="DT68">
        <v>15.43</v>
      </c>
      <c r="DU68">
        <v>8.2899999999999991</v>
      </c>
      <c r="DV68">
        <v>23.546239786117901</v>
      </c>
    </row>
    <row r="69" spans="106:126">
      <c r="DB69" t="s">
        <v>268</v>
      </c>
      <c r="DC69" t="s">
        <v>268</v>
      </c>
      <c r="DD69" t="s">
        <v>97</v>
      </c>
      <c r="DE69">
        <v>7</v>
      </c>
      <c r="DF69">
        <v>3</v>
      </c>
      <c r="DG69">
        <v>0.5</v>
      </c>
      <c r="DH69">
        <v>0.5</v>
      </c>
      <c r="DI69">
        <v>8.36</v>
      </c>
      <c r="DJ69">
        <v>7</v>
      </c>
      <c r="DK69">
        <v>3</v>
      </c>
      <c r="DL69">
        <v>42.3</v>
      </c>
      <c r="DM69">
        <v>10.49</v>
      </c>
      <c r="DN69">
        <v>12.09</v>
      </c>
      <c r="DO69">
        <v>12.09</v>
      </c>
      <c r="DP69">
        <v>7</v>
      </c>
      <c r="DQ69">
        <v>7</v>
      </c>
      <c r="DR69">
        <v>2.25</v>
      </c>
      <c r="DS69">
        <v>1.1200000000000001</v>
      </c>
      <c r="DT69">
        <v>16.559999999999999</v>
      </c>
      <c r="DU69">
        <v>8.84</v>
      </c>
      <c r="DV69">
        <v>23.160162432851401</v>
      </c>
    </row>
    <row r="70" spans="106:126">
      <c r="DB70" t="s">
        <v>269</v>
      </c>
      <c r="DC70" t="s">
        <v>269</v>
      </c>
      <c r="DD70" t="s">
        <v>97</v>
      </c>
      <c r="DE70">
        <v>7</v>
      </c>
      <c r="DF70">
        <v>3</v>
      </c>
      <c r="DG70">
        <v>0.54</v>
      </c>
      <c r="DH70">
        <v>0.54</v>
      </c>
      <c r="DI70">
        <v>8.8800000000000008</v>
      </c>
      <c r="DJ70">
        <v>7.56</v>
      </c>
      <c r="DK70">
        <v>3.24</v>
      </c>
      <c r="DL70">
        <v>43.9</v>
      </c>
      <c r="DM70">
        <v>10.81</v>
      </c>
      <c r="DN70">
        <v>12.55</v>
      </c>
      <c r="DO70">
        <v>12.55</v>
      </c>
      <c r="DP70">
        <v>7.21</v>
      </c>
      <c r="DQ70">
        <v>7.21</v>
      </c>
      <c r="DR70">
        <v>2.2200000000000002</v>
      </c>
      <c r="DS70">
        <v>1.1000000000000001</v>
      </c>
      <c r="DT70">
        <v>17.38</v>
      </c>
      <c r="DU70">
        <v>9.24</v>
      </c>
      <c r="DV70">
        <v>22.337892783282101</v>
      </c>
    </row>
    <row r="71" spans="106:126">
      <c r="DB71" t="s">
        <v>270</v>
      </c>
      <c r="DC71" t="s">
        <v>270</v>
      </c>
      <c r="DD71" t="s">
        <v>97</v>
      </c>
      <c r="DE71">
        <v>7</v>
      </c>
      <c r="DF71">
        <v>3</v>
      </c>
      <c r="DG71">
        <v>0.6</v>
      </c>
      <c r="DH71">
        <v>0.6</v>
      </c>
      <c r="DI71">
        <v>9.6300000000000008</v>
      </c>
      <c r="DJ71">
        <v>8.4</v>
      </c>
      <c r="DK71">
        <v>3.6</v>
      </c>
      <c r="DL71">
        <v>45.88</v>
      </c>
      <c r="DM71">
        <v>11.18</v>
      </c>
      <c r="DN71">
        <v>13.11</v>
      </c>
      <c r="DO71">
        <v>13.11</v>
      </c>
      <c r="DP71">
        <v>7.46</v>
      </c>
      <c r="DQ71">
        <v>7.46</v>
      </c>
      <c r="DR71">
        <v>2.1800000000000002</v>
      </c>
      <c r="DS71">
        <v>1.08</v>
      </c>
      <c r="DT71">
        <v>18.47</v>
      </c>
      <c r="DU71">
        <v>9.77</v>
      </c>
      <c r="DV71">
        <v>20.285733412574299</v>
      </c>
    </row>
    <row r="72" spans="106:126">
      <c r="DB72" t="s">
        <v>271</v>
      </c>
      <c r="DC72" t="s">
        <v>271</v>
      </c>
      <c r="DD72" t="s">
        <v>97</v>
      </c>
      <c r="DE72">
        <v>7</v>
      </c>
      <c r="DF72">
        <v>3</v>
      </c>
      <c r="DG72">
        <v>0.8</v>
      </c>
      <c r="DH72">
        <v>0.8</v>
      </c>
      <c r="DI72">
        <v>11.79</v>
      </c>
      <c r="DJ72">
        <v>11.2</v>
      </c>
      <c r="DK72">
        <v>4.8</v>
      </c>
      <c r="DL72">
        <v>48.98</v>
      </c>
      <c r="DM72">
        <v>11.61</v>
      </c>
      <c r="DN72">
        <v>14</v>
      </c>
      <c r="DO72">
        <v>14</v>
      </c>
      <c r="DP72">
        <v>7.74</v>
      </c>
      <c r="DQ72">
        <v>7.74</v>
      </c>
      <c r="DR72">
        <v>2.04</v>
      </c>
      <c r="DS72">
        <v>0.99</v>
      </c>
      <c r="DT72">
        <v>21.02</v>
      </c>
      <c r="DU72">
        <v>10.88</v>
      </c>
      <c r="DV72">
        <v>8.5869300514976192</v>
      </c>
    </row>
    <row r="73" spans="106:126">
      <c r="DB73" t="s">
        <v>272</v>
      </c>
      <c r="DC73" t="s">
        <v>272</v>
      </c>
      <c r="DD73" t="s">
        <v>97</v>
      </c>
      <c r="DE73">
        <v>7</v>
      </c>
      <c r="DF73">
        <v>5</v>
      </c>
      <c r="DG73">
        <v>0.3</v>
      </c>
      <c r="DH73">
        <v>0.3</v>
      </c>
      <c r="DI73">
        <v>6.61</v>
      </c>
      <c r="DJ73">
        <v>4.2</v>
      </c>
      <c r="DK73">
        <v>3</v>
      </c>
      <c r="DL73">
        <v>44.05</v>
      </c>
      <c r="DM73">
        <v>26.1</v>
      </c>
      <c r="DN73">
        <v>12.59</v>
      </c>
      <c r="DO73">
        <v>12.59</v>
      </c>
      <c r="DP73">
        <v>10.44</v>
      </c>
      <c r="DQ73">
        <v>10.44</v>
      </c>
      <c r="DR73">
        <v>2.58</v>
      </c>
      <c r="DS73">
        <v>1.99</v>
      </c>
      <c r="DT73">
        <v>15.4</v>
      </c>
      <c r="DU73">
        <v>12.21</v>
      </c>
      <c r="DV73">
        <v>53.145534376526101</v>
      </c>
    </row>
    <row r="74" spans="106:126">
      <c r="DB74" t="s">
        <v>273</v>
      </c>
      <c r="DC74" t="s">
        <v>273</v>
      </c>
      <c r="DD74" t="s">
        <v>97</v>
      </c>
      <c r="DE74">
        <v>7</v>
      </c>
      <c r="DF74">
        <v>5</v>
      </c>
      <c r="DG74">
        <v>0.32</v>
      </c>
      <c r="DH74">
        <v>0.32</v>
      </c>
      <c r="DI74">
        <v>7.01</v>
      </c>
      <c r="DJ74">
        <v>4.4800000000000004</v>
      </c>
      <c r="DK74">
        <v>3.2</v>
      </c>
      <c r="DL74">
        <v>46.33</v>
      </c>
      <c r="DM74">
        <v>27.42</v>
      </c>
      <c r="DN74">
        <v>13.24</v>
      </c>
      <c r="DO74">
        <v>13.24</v>
      </c>
      <c r="DP74">
        <v>10.97</v>
      </c>
      <c r="DQ74">
        <v>10.97</v>
      </c>
      <c r="DR74">
        <v>2.57</v>
      </c>
      <c r="DS74">
        <v>1.98</v>
      </c>
      <c r="DT74">
        <v>16.25</v>
      </c>
      <c r="DU74">
        <v>12.88</v>
      </c>
      <c r="DV74">
        <v>55.820091200899903</v>
      </c>
    </row>
    <row r="75" spans="106:126">
      <c r="DB75" t="s">
        <v>274</v>
      </c>
      <c r="DC75" t="s">
        <v>274</v>
      </c>
      <c r="DD75" t="s">
        <v>97</v>
      </c>
      <c r="DE75">
        <v>7</v>
      </c>
      <c r="DF75">
        <v>5</v>
      </c>
      <c r="DG75">
        <v>0.36</v>
      </c>
      <c r="DH75">
        <v>0.36</v>
      </c>
      <c r="DI75">
        <v>7.79</v>
      </c>
      <c r="DJ75">
        <v>5.04</v>
      </c>
      <c r="DK75">
        <v>3.6</v>
      </c>
      <c r="DL75">
        <v>50.65</v>
      </c>
      <c r="DM75">
        <v>29.92</v>
      </c>
      <c r="DN75">
        <v>14.48</v>
      </c>
      <c r="DO75">
        <v>14.48</v>
      </c>
      <c r="DP75">
        <v>11.97</v>
      </c>
      <c r="DQ75">
        <v>11.97</v>
      </c>
      <c r="DR75">
        <v>2.5499999999999998</v>
      </c>
      <c r="DS75">
        <v>1.96</v>
      </c>
      <c r="DT75">
        <v>17.91</v>
      </c>
      <c r="DU75">
        <v>14.18</v>
      </c>
      <c r="DV75">
        <v>60.722942710576</v>
      </c>
    </row>
    <row r="76" spans="106:126">
      <c r="DB76" t="s">
        <v>275</v>
      </c>
      <c r="DC76" t="s">
        <v>275</v>
      </c>
      <c r="DD76" t="s">
        <v>97</v>
      </c>
      <c r="DE76">
        <v>7</v>
      </c>
      <c r="DF76">
        <v>5</v>
      </c>
      <c r="DG76">
        <v>0.4</v>
      </c>
      <c r="DH76">
        <v>0.4</v>
      </c>
      <c r="DI76">
        <v>8.5500000000000007</v>
      </c>
      <c r="DJ76">
        <v>5.6</v>
      </c>
      <c r="DK76">
        <v>4</v>
      </c>
      <c r="DL76">
        <v>54.67</v>
      </c>
      <c r="DM76">
        <v>32.22</v>
      </c>
      <c r="DN76">
        <v>15.62</v>
      </c>
      <c r="DO76">
        <v>15.62</v>
      </c>
      <c r="DP76">
        <v>12.89</v>
      </c>
      <c r="DQ76">
        <v>12.89</v>
      </c>
      <c r="DR76">
        <v>2.5299999999999998</v>
      </c>
      <c r="DS76">
        <v>1.94</v>
      </c>
      <c r="DT76">
        <v>19.48</v>
      </c>
      <c r="DU76">
        <v>15.41</v>
      </c>
      <c r="DV76">
        <v>64.989253551334599</v>
      </c>
    </row>
    <row r="77" spans="106:126">
      <c r="DB77" t="s">
        <v>276</v>
      </c>
      <c r="DC77" t="s">
        <v>276</v>
      </c>
      <c r="DD77" t="s">
        <v>97</v>
      </c>
      <c r="DE77">
        <v>7</v>
      </c>
      <c r="DF77">
        <v>5</v>
      </c>
      <c r="DG77">
        <v>0.5</v>
      </c>
      <c r="DH77">
        <v>0.5</v>
      </c>
      <c r="DI77">
        <v>10.36</v>
      </c>
      <c r="DJ77">
        <v>7</v>
      </c>
      <c r="DK77">
        <v>5</v>
      </c>
      <c r="DL77">
        <v>63.46</v>
      </c>
      <c r="DM77">
        <v>37.200000000000003</v>
      </c>
      <c r="DN77">
        <v>18.14</v>
      </c>
      <c r="DO77">
        <v>18.14</v>
      </c>
      <c r="DP77">
        <v>14.88</v>
      </c>
      <c r="DQ77">
        <v>14.88</v>
      </c>
      <c r="DR77">
        <v>2.4700000000000002</v>
      </c>
      <c r="DS77">
        <v>1.89</v>
      </c>
      <c r="DT77">
        <v>23.06</v>
      </c>
      <c r="DU77">
        <v>18.2</v>
      </c>
      <c r="DV77">
        <v>72.568459014194403</v>
      </c>
    </row>
    <row r="78" spans="106:126">
      <c r="DB78" t="s">
        <v>277</v>
      </c>
      <c r="DC78" t="s">
        <v>277</v>
      </c>
      <c r="DD78" t="s">
        <v>97</v>
      </c>
      <c r="DE78">
        <v>7</v>
      </c>
      <c r="DF78">
        <v>5</v>
      </c>
      <c r="DG78">
        <v>0.54</v>
      </c>
      <c r="DH78">
        <v>0.54</v>
      </c>
      <c r="DI78">
        <v>11.04</v>
      </c>
      <c r="DJ78">
        <v>7.56</v>
      </c>
      <c r="DK78">
        <v>5.4</v>
      </c>
      <c r="DL78">
        <v>66.489999999999995</v>
      </c>
      <c r="DM78">
        <v>38.9</v>
      </c>
      <c r="DN78">
        <v>19</v>
      </c>
      <c r="DO78">
        <v>19</v>
      </c>
      <c r="DP78">
        <v>15.56</v>
      </c>
      <c r="DQ78">
        <v>15.56</v>
      </c>
      <c r="DR78">
        <v>2.4500000000000002</v>
      </c>
      <c r="DS78">
        <v>1.88</v>
      </c>
      <c r="DT78">
        <v>24.35</v>
      </c>
      <c r="DU78">
        <v>19.21</v>
      </c>
      <c r="DV78">
        <v>74.259582494658105</v>
      </c>
    </row>
    <row r="79" spans="106:126">
      <c r="DB79" t="s">
        <v>278</v>
      </c>
      <c r="DC79" t="s">
        <v>278</v>
      </c>
      <c r="DD79" t="s">
        <v>97</v>
      </c>
      <c r="DE79">
        <v>7</v>
      </c>
      <c r="DF79">
        <v>5</v>
      </c>
      <c r="DG79">
        <v>0.6</v>
      </c>
      <c r="DH79">
        <v>0.6</v>
      </c>
      <c r="DI79">
        <v>12.03</v>
      </c>
      <c r="DJ79">
        <v>8.4</v>
      </c>
      <c r="DK79">
        <v>6</v>
      </c>
      <c r="DL79">
        <v>70.52</v>
      </c>
      <c r="DM79">
        <v>41.14</v>
      </c>
      <c r="DN79">
        <v>20.149999999999999</v>
      </c>
      <c r="DO79">
        <v>20.149999999999999</v>
      </c>
      <c r="DP79">
        <v>16.46</v>
      </c>
      <c r="DQ79">
        <v>16.46</v>
      </c>
      <c r="DR79">
        <v>2.42</v>
      </c>
      <c r="DS79">
        <v>1.85</v>
      </c>
      <c r="DT79">
        <v>26.15</v>
      </c>
      <c r="DU79">
        <v>20.6</v>
      </c>
      <c r="DV79">
        <v>75.259515966528994</v>
      </c>
    </row>
    <row r="80" spans="106:126">
      <c r="DB80" t="s">
        <v>279</v>
      </c>
      <c r="DC80" t="s">
        <v>279</v>
      </c>
      <c r="DD80" t="s">
        <v>97</v>
      </c>
      <c r="DE80">
        <v>7</v>
      </c>
      <c r="DF80">
        <v>5</v>
      </c>
      <c r="DG80">
        <v>0.8</v>
      </c>
      <c r="DH80">
        <v>0.8</v>
      </c>
      <c r="DI80">
        <v>14.99</v>
      </c>
      <c r="DJ80">
        <v>11.2</v>
      </c>
      <c r="DK80">
        <v>8</v>
      </c>
      <c r="DL80">
        <v>79.91</v>
      </c>
      <c r="DM80">
        <v>46.23</v>
      </c>
      <c r="DN80">
        <v>22.84</v>
      </c>
      <c r="DO80">
        <v>22.84</v>
      </c>
      <c r="DP80">
        <v>18.5</v>
      </c>
      <c r="DQ80">
        <v>18.5</v>
      </c>
      <c r="DR80">
        <v>2.31</v>
      </c>
      <c r="DS80">
        <v>1.76</v>
      </c>
      <c r="DT80">
        <v>30.94</v>
      </c>
      <c r="DU80">
        <v>24.27</v>
      </c>
      <c r="DV80">
        <v>64.8217122587414</v>
      </c>
    </row>
    <row r="81" spans="106:126">
      <c r="DB81" t="s">
        <v>258</v>
      </c>
      <c r="DC81" t="s">
        <v>258</v>
      </c>
      <c r="DD81" t="s">
        <v>97</v>
      </c>
      <c r="DE81">
        <v>7.5</v>
      </c>
      <c r="DF81">
        <v>2.5</v>
      </c>
      <c r="DG81">
        <v>0.16</v>
      </c>
      <c r="DH81">
        <v>0.16</v>
      </c>
      <c r="DI81">
        <v>3.03</v>
      </c>
      <c r="DJ81">
        <v>2.4</v>
      </c>
      <c r="DK81">
        <v>0.8</v>
      </c>
      <c r="DL81">
        <v>19.739999999999998</v>
      </c>
      <c r="DM81">
        <v>3.47</v>
      </c>
      <c r="DN81">
        <v>5.27</v>
      </c>
      <c r="DO81">
        <v>5.27</v>
      </c>
      <c r="DP81">
        <v>2.78</v>
      </c>
      <c r="DQ81">
        <v>2.78</v>
      </c>
      <c r="DR81">
        <v>2.5499999999999998</v>
      </c>
      <c r="DS81">
        <v>1.07</v>
      </c>
      <c r="DT81">
        <v>6.81</v>
      </c>
      <c r="DU81">
        <v>3.11</v>
      </c>
      <c r="DV81">
        <v>9.9448504916444396</v>
      </c>
    </row>
    <row r="82" spans="106:126">
      <c r="DB82" t="s">
        <v>259</v>
      </c>
      <c r="DC82" t="s">
        <v>259</v>
      </c>
      <c r="DD82" t="s">
        <v>97</v>
      </c>
      <c r="DE82">
        <v>7.5</v>
      </c>
      <c r="DF82">
        <v>2.5</v>
      </c>
      <c r="DG82">
        <v>0.2</v>
      </c>
      <c r="DH82">
        <v>0.2</v>
      </c>
      <c r="DI82">
        <v>3.74</v>
      </c>
      <c r="DJ82">
        <v>3</v>
      </c>
      <c r="DK82">
        <v>1</v>
      </c>
      <c r="DL82">
        <v>23.84</v>
      </c>
      <c r="DM82">
        <v>4.1399999999999997</v>
      </c>
      <c r="DN82">
        <v>6.36</v>
      </c>
      <c r="DO82">
        <v>6.36</v>
      </c>
      <c r="DP82">
        <v>3.32</v>
      </c>
      <c r="DQ82">
        <v>3.32</v>
      </c>
      <c r="DR82">
        <v>2.52</v>
      </c>
      <c r="DS82">
        <v>1.05</v>
      </c>
      <c r="DT82">
        <v>8.31</v>
      </c>
      <c r="DU82">
        <v>3.77</v>
      </c>
      <c r="DV82">
        <v>11.8841627718922</v>
      </c>
    </row>
    <row r="83" spans="106:126">
      <c r="DB83" t="s">
        <v>280</v>
      </c>
      <c r="DC83" t="s">
        <v>280</v>
      </c>
      <c r="DD83" t="s">
        <v>97</v>
      </c>
      <c r="DE83">
        <v>7.5</v>
      </c>
      <c r="DF83">
        <v>2.5</v>
      </c>
      <c r="DG83">
        <v>0.22</v>
      </c>
      <c r="DH83">
        <v>0.22</v>
      </c>
      <c r="DI83">
        <v>4.08</v>
      </c>
      <c r="DJ83">
        <v>3.3</v>
      </c>
      <c r="DK83">
        <v>1.1000000000000001</v>
      </c>
      <c r="DL83">
        <v>25.77</v>
      </c>
      <c r="DM83">
        <v>4.4400000000000004</v>
      </c>
      <c r="DN83">
        <v>6.88</v>
      </c>
      <c r="DO83">
        <v>6.88</v>
      </c>
      <c r="DP83">
        <v>3.56</v>
      </c>
      <c r="DQ83">
        <v>3.56</v>
      </c>
      <c r="DR83">
        <v>2.5099999999999998</v>
      </c>
      <c r="DS83">
        <v>1.04</v>
      </c>
      <c r="DT83">
        <v>9.02</v>
      </c>
      <c r="DU83">
        <v>4.08</v>
      </c>
      <c r="DV83">
        <v>12.7499257370799</v>
      </c>
    </row>
    <row r="84" spans="106:126">
      <c r="DB84" t="s">
        <v>281</v>
      </c>
      <c r="DC84" t="s">
        <v>281</v>
      </c>
      <c r="DD84" t="s">
        <v>97</v>
      </c>
      <c r="DE84">
        <v>7.5</v>
      </c>
      <c r="DF84">
        <v>2.5</v>
      </c>
      <c r="DG84">
        <v>0.26</v>
      </c>
      <c r="DH84">
        <v>0.26</v>
      </c>
      <c r="DI84">
        <v>4.76</v>
      </c>
      <c r="DJ84">
        <v>3.9</v>
      </c>
      <c r="DK84">
        <v>1.3</v>
      </c>
      <c r="DL84">
        <v>29.4</v>
      </c>
      <c r="DM84">
        <v>5</v>
      </c>
      <c r="DN84">
        <v>7.84</v>
      </c>
      <c r="DO84">
        <v>7.84</v>
      </c>
      <c r="DP84">
        <v>4</v>
      </c>
      <c r="DQ84">
        <v>4</v>
      </c>
      <c r="DR84">
        <v>2.4900000000000002</v>
      </c>
      <c r="DS84">
        <v>1.02</v>
      </c>
      <c r="DT84">
        <v>10.4</v>
      </c>
      <c r="DU84">
        <v>4.67</v>
      </c>
      <c r="DV84">
        <v>14.2558000595658</v>
      </c>
    </row>
    <row r="85" spans="106:126">
      <c r="DB85" t="s">
        <v>282</v>
      </c>
      <c r="DC85" t="s">
        <v>282</v>
      </c>
      <c r="DD85" t="s">
        <v>97</v>
      </c>
      <c r="DE85">
        <v>7.5</v>
      </c>
      <c r="DF85">
        <v>5</v>
      </c>
      <c r="DG85">
        <v>0.16</v>
      </c>
      <c r="DH85">
        <v>0.16</v>
      </c>
      <c r="DI85">
        <v>3.83</v>
      </c>
      <c r="DJ85">
        <v>2.4</v>
      </c>
      <c r="DK85">
        <v>1.6</v>
      </c>
      <c r="DL85">
        <v>30.51</v>
      </c>
      <c r="DM85">
        <v>16.39</v>
      </c>
      <c r="DN85">
        <v>8.14</v>
      </c>
      <c r="DO85">
        <v>8.14</v>
      </c>
      <c r="DP85">
        <v>6.56</v>
      </c>
      <c r="DQ85">
        <v>6.56</v>
      </c>
      <c r="DR85">
        <v>2.82</v>
      </c>
      <c r="DS85">
        <v>2.0699999999999998</v>
      </c>
      <c r="DT85">
        <v>9.75</v>
      </c>
      <c r="DU85">
        <v>7.4</v>
      </c>
      <c r="DV85">
        <v>34.071838898232897</v>
      </c>
    </row>
    <row r="86" spans="106:126">
      <c r="DB86" t="s">
        <v>283</v>
      </c>
      <c r="DC86" t="s">
        <v>283</v>
      </c>
      <c r="DD86" t="s">
        <v>97</v>
      </c>
      <c r="DE86">
        <v>7.5</v>
      </c>
      <c r="DF86">
        <v>5</v>
      </c>
      <c r="DG86">
        <v>0.2</v>
      </c>
      <c r="DH86">
        <v>0.2</v>
      </c>
      <c r="DI86">
        <v>4.74</v>
      </c>
      <c r="DJ86">
        <v>3</v>
      </c>
      <c r="DK86">
        <v>2</v>
      </c>
      <c r="DL86">
        <v>37.159999999999997</v>
      </c>
      <c r="DM86">
        <v>19.91</v>
      </c>
      <c r="DN86">
        <v>9.91</v>
      </c>
      <c r="DO86">
        <v>9.91</v>
      </c>
      <c r="DP86">
        <v>7.97</v>
      </c>
      <c r="DQ86">
        <v>7.97</v>
      </c>
      <c r="DR86">
        <v>2.8</v>
      </c>
      <c r="DS86">
        <v>2.0499999999999998</v>
      </c>
      <c r="DT86">
        <v>11.96</v>
      </c>
      <c r="DU86">
        <v>9.06</v>
      </c>
      <c r="DV86">
        <v>41.752774688041598</v>
      </c>
    </row>
    <row r="87" spans="106:126">
      <c r="DB87" t="s">
        <v>284</v>
      </c>
      <c r="DC87" t="s">
        <v>284</v>
      </c>
      <c r="DD87" t="s">
        <v>97</v>
      </c>
      <c r="DE87">
        <v>7.5</v>
      </c>
      <c r="DF87">
        <v>5</v>
      </c>
      <c r="DG87">
        <v>0.22</v>
      </c>
      <c r="DH87">
        <v>0.22</v>
      </c>
      <c r="DI87">
        <v>5.18</v>
      </c>
      <c r="DJ87">
        <v>3.3</v>
      </c>
      <c r="DK87">
        <v>2.2000000000000002</v>
      </c>
      <c r="DL87">
        <v>40.35</v>
      </c>
      <c r="DM87">
        <v>21.59</v>
      </c>
      <c r="DN87">
        <v>10.76</v>
      </c>
      <c r="DO87">
        <v>10.76</v>
      </c>
      <c r="DP87">
        <v>8.64</v>
      </c>
      <c r="DQ87">
        <v>8.64</v>
      </c>
      <c r="DR87">
        <v>2.79</v>
      </c>
      <c r="DS87">
        <v>2.04</v>
      </c>
      <c r="DT87">
        <v>13.03</v>
      </c>
      <c r="DU87">
        <v>9.8699999999999992</v>
      </c>
      <c r="DV87">
        <v>45.428740982077301</v>
      </c>
    </row>
    <row r="88" spans="106:126">
      <c r="DB88" t="s">
        <v>285</v>
      </c>
      <c r="DC88" t="s">
        <v>285</v>
      </c>
      <c r="DD88" t="s">
        <v>97</v>
      </c>
      <c r="DE88">
        <v>7.5</v>
      </c>
      <c r="DF88">
        <v>5</v>
      </c>
      <c r="DG88">
        <v>0.25</v>
      </c>
      <c r="DH88">
        <v>0.25</v>
      </c>
      <c r="DI88">
        <v>5.84</v>
      </c>
      <c r="DJ88">
        <v>3.75</v>
      </c>
      <c r="DK88">
        <v>2.5</v>
      </c>
      <c r="DL88">
        <v>44.95</v>
      </c>
      <c r="DM88">
        <v>24</v>
      </c>
      <c r="DN88">
        <v>11.99</v>
      </c>
      <c r="DO88">
        <v>11.99</v>
      </c>
      <c r="DP88">
        <v>9.6</v>
      </c>
      <c r="DQ88">
        <v>9.6</v>
      </c>
      <c r="DR88">
        <v>2.77</v>
      </c>
      <c r="DS88">
        <v>2.0299999999999998</v>
      </c>
      <c r="DT88">
        <v>14.59</v>
      </c>
      <c r="DU88">
        <v>11.04</v>
      </c>
      <c r="DV88">
        <v>50.7172379308413</v>
      </c>
    </row>
    <row r="89" spans="106:126">
      <c r="DB89" t="s">
        <v>286</v>
      </c>
      <c r="DC89" t="s">
        <v>286</v>
      </c>
      <c r="DD89" t="s">
        <v>97</v>
      </c>
      <c r="DE89">
        <v>7.5</v>
      </c>
      <c r="DF89">
        <v>5</v>
      </c>
      <c r="DG89">
        <v>0.28999999999999998</v>
      </c>
      <c r="DH89">
        <v>0.28999999999999998</v>
      </c>
      <c r="DI89">
        <v>6.7</v>
      </c>
      <c r="DJ89">
        <v>4.3499999999999996</v>
      </c>
      <c r="DK89">
        <v>2.9</v>
      </c>
      <c r="DL89">
        <v>50.77</v>
      </c>
      <c r="DM89">
        <v>27.04</v>
      </c>
      <c r="DN89">
        <v>13.54</v>
      </c>
      <c r="DO89">
        <v>13.54</v>
      </c>
      <c r="DP89">
        <v>10.82</v>
      </c>
      <c r="DQ89">
        <v>10.82</v>
      </c>
      <c r="DR89">
        <v>2.75</v>
      </c>
      <c r="DS89">
        <v>2.0099999999999998</v>
      </c>
      <c r="DT89">
        <v>16.600000000000001</v>
      </c>
      <c r="DU89">
        <v>12.55</v>
      </c>
      <c r="DV89">
        <v>57.311115328546897</v>
      </c>
    </row>
    <row r="90" spans="106:126">
      <c r="DB90" t="s">
        <v>287</v>
      </c>
      <c r="DC90" t="s">
        <v>287</v>
      </c>
      <c r="DD90" t="s">
        <v>97</v>
      </c>
      <c r="DE90">
        <v>7.5</v>
      </c>
      <c r="DF90">
        <v>5</v>
      </c>
      <c r="DG90">
        <v>0.32</v>
      </c>
      <c r="DH90">
        <v>0.32</v>
      </c>
      <c r="DI90">
        <v>7.33</v>
      </c>
      <c r="DJ90">
        <v>4.8</v>
      </c>
      <c r="DK90">
        <v>3.2</v>
      </c>
      <c r="DL90">
        <v>54.9</v>
      </c>
      <c r="DM90">
        <v>29.18</v>
      </c>
      <c r="DN90">
        <v>14.64</v>
      </c>
      <c r="DO90">
        <v>14.64</v>
      </c>
      <c r="DP90">
        <v>11.68</v>
      </c>
      <c r="DQ90">
        <v>11.68</v>
      </c>
      <c r="DR90">
        <v>2.74</v>
      </c>
      <c r="DS90">
        <v>2</v>
      </c>
      <c r="DT90">
        <v>18.04</v>
      </c>
      <c r="DU90">
        <v>13.63</v>
      </c>
      <c r="DV90">
        <v>61.883390216690898</v>
      </c>
    </row>
    <row r="91" spans="106:126">
      <c r="DB91" t="s">
        <v>288</v>
      </c>
      <c r="DC91" t="s">
        <v>288</v>
      </c>
      <c r="DD91" t="s">
        <v>97</v>
      </c>
      <c r="DE91">
        <v>7.5</v>
      </c>
      <c r="DF91">
        <v>5</v>
      </c>
      <c r="DG91">
        <v>0.36</v>
      </c>
      <c r="DH91">
        <v>0.36</v>
      </c>
      <c r="DI91">
        <v>8.15</v>
      </c>
      <c r="DJ91">
        <v>5.4</v>
      </c>
      <c r="DK91">
        <v>3.6</v>
      </c>
      <c r="DL91">
        <v>60.1</v>
      </c>
      <c r="DM91">
        <v>31.86</v>
      </c>
      <c r="DN91">
        <v>16.03</v>
      </c>
      <c r="DO91">
        <v>16.03</v>
      </c>
      <c r="DP91">
        <v>12.75</v>
      </c>
      <c r="DQ91">
        <v>12.75</v>
      </c>
      <c r="DR91">
        <v>2.72</v>
      </c>
      <c r="DS91">
        <v>1.98</v>
      </c>
      <c r="DT91">
        <v>19.899999999999999</v>
      </c>
      <c r="DU91">
        <v>15.01</v>
      </c>
      <c r="DV91">
        <v>67.439261299986399</v>
      </c>
    </row>
    <row r="92" spans="106:126">
      <c r="DB92" t="s">
        <v>289</v>
      </c>
      <c r="DC92" t="s">
        <v>289</v>
      </c>
      <c r="DD92" t="s">
        <v>97</v>
      </c>
      <c r="DE92">
        <v>7.5</v>
      </c>
      <c r="DF92">
        <v>5</v>
      </c>
      <c r="DG92">
        <v>0.4</v>
      </c>
      <c r="DH92">
        <v>0.4</v>
      </c>
      <c r="DI92">
        <v>8.9499999999999993</v>
      </c>
      <c r="DJ92">
        <v>6</v>
      </c>
      <c r="DK92">
        <v>4</v>
      </c>
      <c r="DL92">
        <v>64.959999999999994</v>
      </c>
      <c r="DM92">
        <v>34.340000000000003</v>
      </c>
      <c r="DN92">
        <v>17.329999999999998</v>
      </c>
      <c r="DO92">
        <v>17.329999999999998</v>
      </c>
      <c r="DP92">
        <v>13.74</v>
      </c>
      <c r="DQ92">
        <v>13.74</v>
      </c>
      <c r="DR92">
        <v>2.69</v>
      </c>
      <c r="DS92">
        <v>1.96</v>
      </c>
      <c r="DT92">
        <v>21.66</v>
      </c>
      <c r="DU92">
        <v>16.329999999999998</v>
      </c>
      <c r="DV92">
        <v>72.330062911487303</v>
      </c>
    </row>
    <row r="93" spans="106:126">
      <c r="DB93" t="s">
        <v>290</v>
      </c>
      <c r="DC93" t="s">
        <v>290</v>
      </c>
      <c r="DD93" t="s">
        <v>97</v>
      </c>
      <c r="DE93">
        <v>8</v>
      </c>
      <c r="DF93">
        <v>4</v>
      </c>
      <c r="DG93">
        <v>0.16</v>
      </c>
      <c r="DH93">
        <v>0.16</v>
      </c>
      <c r="DI93">
        <v>3.67</v>
      </c>
      <c r="DJ93">
        <v>2.56</v>
      </c>
      <c r="DK93">
        <v>1.28</v>
      </c>
      <c r="DL93">
        <v>30.71</v>
      </c>
      <c r="DM93">
        <v>10.52</v>
      </c>
      <c r="DN93">
        <v>7.68</v>
      </c>
      <c r="DO93">
        <v>7.68</v>
      </c>
      <c r="DP93">
        <v>5.26</v>
      </c>
      <c r="DQ93">
        <v>5.26</v>
      </c>
      <c r="DR93">
        <v>2.89</v>
      </c>
      <c r="DS93">
        <v>1.69</v>
      </c>
      <c r="DT93">
        <v>9.4700000000000006</v>
      </c>
      <c r="DU93">
        <v>5.87</v>
      </c>
      <c r="DV93">
        <v>25.482355671067801</v>
      </c>
    </row>
    <row r="94" spans="106:126">
      <c r="DB94" t="s">
        <v>291</v>
      </c>
      <c r="DC94" t="s">
        <v>291</v>
      </c>
      <c r="DD94" t="s">
        <v>97</v>
      </c>
      <c r="DE94">
        <v>8</v>
      </c>
      <c r="DF94">
        <v>4</v>
      </c>
      <c r="DG94">
        <v>0.18</v>
      </c>
      <c r="DH94">
        <v>0.18</v>
      </c>
      <c r="DI94">
        <v>4.1100000000000003</v>
      </c>
      <c r="DJ94">
        <v>2.88</v>
      </c>
      <c r="DK94">
        <v>1.44</v>
      </c>
      <c r="DL94">
        <v>34.08</v>
      </c>
      <c r="DM94">
        <v>11.64</v>
      </c>
      <c r="DN94">
        <v>8.52</v>
      </c>
      <c r="DO94">
        <v>8.52</v>
      </c>
      <c r="DP94">
        <v>5.82</v>
      </c>
      <c r="DQ94">
        <v>5.82</v>
      </c>
      <c r="DR94">
        <v>2.88</v>
      </c>
      <c r="DS94">
        <v>1.68</v>
      </c>
      <c r="DT94">
        <v>10.55</v>
      </c>
      <c r="DU94">
        <v>6.53</v>
      </c>
      <c r="DV94">
        <v>28.327322146334701</v>
      </c>
    </row>
    <row r="95" spans="106:126">
      <c r="DB95" t="s">
        <v>292</v>
      </c>
      <c r="DC95" t="s">
        <v>292</v>
      </c>
      <c r="DD95" t="s">
        <v>97</v>
      </c>
      <c r="DE95">
        <v>8</v>
      </c>
      <c r="DF95">
        <v>4</v>
      </c>
      <c r="DG95">
        <v>0.2</v>
      </c>
      <c r="DH95">
        <v>0.2</v>
      </c>
      <c r="DI95">
        <v>4.54</v>
      </c>
      <c r="DJ95">
        <v>3.2</v>
      </c>
      <c r="DK95">
        <v>1.6</v>
      </c>
      <c r="DL95">
        <v>37.36</v>
      </c>
      <c r="DM95">
        <v>12.72</v>
      </c>
      <c r="DN95">
        <v>9.34</v>
      </c>
      <c r="DO95">
        <v>9.34</v>
      </c>
      <c r="DP95">
        <v>6.36</v>
      </c>
      <c r="DQ95">
        <v>6.36</v>
      </c>
      <c r="DR95">
        <v>2.87</v>
      </c>
      <c r="DS95">
        <v>1.67</v>
      </c>
      <c r="DT95">
        <v>11.61</v>
      </c>
      <c r="DU95">
        <v>7.17</v>
      </c>
      <c r="DV95">
        <v>31.075994816599</v>
      </c>
    </row>
    <row r="96" spans="106:126">
      <c r="DB96" t="s">
        <v>293</v>
      </c>
      <c r="DC96" t="s">
        <v>293</v>
      </c>
      <c r="DD96" t="s">
        <v>97</v>
      </c>
      <c r="DE96">
        <v>8</v>
      </c>
      <c r="DF96">
        <v>4</v>
      </c>
      <c r="DG96">
        <v>0.22</v>
      </c>
      <c r="DH96">
        <v>0.22</v>
      </c>
      <c r="DI96">
        <v>4.96</v>
      </c>
      <c r="DJ96">
        <v>3.52</v>
      </c>
      <c r="DK96">
        <v>1.76</v>
      </c>
      <c r="DL96">
        <v>40.53</v>
      </c>
      <c r="DM96">
        <v>13.76</v>
      </c>
      <c r="DN96">
        <v>10.14</v>
      </c>
      <c r="DO96">
        <v>10.14</v>
      </c>
      <c r="DP96">
        <v>6.88</v>
      </c>
      <c r="DQ96">
        <v>6.88</v>
      </c>
      <c r="DR96">
        <v>2.86</v>
      </c>
      <c r="DS96">
        <v>1.67</v>
      </c>
      <c r="DT96">
        <v>12.64</v>
      </c>
      <c r="DU96">
        <v>7.8</v>
      </c>
      <c r="DV96">
        <v>33.722256145021298</v>
      </c>
    </row>
    <row r="97" spans="106:126">
      <c r="DB97" t="s">
        <v>294</v>
      </c>
      <c r="DC97" t="s">
        <v>294</v>
      </c>
      <c r="DD97" t="s">
        <v>97</v>
      </c>
      <c r="DE97">
        <v>8</v>
      </c>
      <c r="DF97">
        <v>4</v>
      </c>
      <c r="DG97">
        <v>0.25</v>
      </c>
      <c r="DH97">
        <v>0.25</v>
      </c>
      <c r="DI97">
        <v>5.59</v>
      </c>
      <c r="DJ97">
        <v>4</v>
      </c>
      <c r="DK97">
        <v>2</v>
      </c>
      <c r="DL97">
        <v>45.11</v>
      </c>
      <c r="DM97">
        <v>15.26</v>
      </c>
      <c r="DN97">
        <v>11.28</v>
      </c>
      <c r="DO97">
        <v>11.28</v>
      </c>
      <c r="DP97">
        <v>7.63</v>
      </c>
      <c r="DQ97">
        <v>7.63</v>
      </c>
      <c r="DR97">
        <v>2.84</v>
      </c>
      <c r="DS97">
        <v>1.65</v>
      </c>
      <c r="DT97">
        <v>14.15</v>
      </c>
      <c r="DU97">
        <v>8.7200000000000006</v>
      </c>
      <c r="DV97">
        <v>37.486403955038803</v>
      </c>
    </row>
    <row r="98" spans="106:126">
      <c r="DB98" t="s">
        <v>295</v>
      </c>
      <c r="DC98" t="s">
        <v>295</v>
      </c>
      <c r="DD98" t="s">
        <v>97</v>
      </c>
      <c r="DE98">
        <v>8</v>
      </c>
      <c r="DF98">
        <v>4</v>
      </c>
      <c r="DG98">
        <v>0.28999999999999998</v>
      </c>
      <c r="DH98">
        <v>0.28999999999999998</v>
      </c>
      <c r="DI98">
        <v>6.41</v>
      </c>
      <c r="DJ98">
        <v>4.6399999999999997</v>
      </c>
      <c r="DK98">
        <v>2.3199999999999998</v>
      </c>
      <c r="DL98">
        <v>50.87</v>
      </c>
      <c r="DM98">
        <v>17.11</v>
      </c>
      <c r="DN98">
        <v>12.72</v>
      </c>
      <c r="DO98">
        <v>12.72</v>
      </c>
      <c r="DP98">
        <v>8.56</v>
      </c>
      <c r="DQ98">
        <v>8.56</v>
      </c>
      <c r="DR98">
        <v>2.82</v>
      </c>
      <c r="DS98">
        <v>1.63</v>
      </c>
      <c r="DT98">
        <v>16.07</v>
      </c>
      <c r="DU98">
        <v>9.8800000000000008</v>
      </c>
      <c r="DV98">
        <v>42.091027768429299</v>
      </c>
    </row>
    <row r="99" spans="106:126">
      <c r="DB99" t="s">
        <v>296</v>
      </c>
      <c r="DC99" t="s">
        <v>296</v>
      </c>
      <c r="DD99" t="s">
        <v>97</v>
      </c>
      <c r="DE99">
        <v>8</v>
      </c>
      <c r="DF99">
        <v>4</v>
      </c>
      <c r="DG99">
        <v>0.32</v>
      </c>
      <c r="DH99">
        <v>0.32</v>
      </c>
      <c r="DI99">
        <v>7.01</v>
      </c>
      <c r="DJ99">
        <v>5.12</v>
      </c>
      <c r="DK99">
        <v>2.56</v>
      </c>
      <c r="DL99">
        <v>54.94</v>
      </c>
      <c r="DM99">
        <v>18.41</v>
      </c>
      <c r="DN99">
        <v>13.74</v>
      </c>
      <c r="DO99">
        <v>13.74</v>
      </c>
      <c r="DP99">
        <v>9.2100000000000009</v>
      </c>
      <c r="DQ99">
        <v>9.2100000000000009</v>
      </c>
      <c r="DR99">
        <v>2.8</v>
      </c>
      <c r="DS99">
        <v>1.62</v>
      </c>
      <c r="DT99">
        <v>17.46</v>
      </c>
      <c r="DU99">
        <v>10.72</v>
      </c>
      <c r="DV99">
        <v>45.2086057622789</v>
      </c>
    </row>
    <row r="100" spans="106:126">
      <c r="DB100" t="s">
        <v>297</v>
      </c>
      <c r="DC100" t="s">
        <v>297</v>
      </c>
      <c r="DD100" t="s">
        <v>97</v>
      </c>
      <c r="DE100">
        <v>8</v>
      </c>
      <c r="DF100">
        <v>4</v>
      </c>
      <c r="DG100">
        <v>0.36</v>
      </c>
      <c r="DH100">
        <v>0.36</v>
      </c>
      <c r="DI100">
        <v>7.79</v>
      </c>
      <c r="DJ100">
        <v>5.76</v>
      </c>
      <c r="DK100">
        <v>2.88</v>
      </c>
      <c r="DL100">
        <v>60.05</v>
      </c>
      <c r="DM100">
        <v>20.02</v>
      </c>
      <c r="DN100">
        <v>15.02</v>
      </c>
      <c r="DO100">
        <v>15.02</v>
      </c>
      <c r="DP100">
        <v>10.01</v>
      </c>
      <c r="DQ100">
        <v>10.01</v>
      </c>
      <c r="DR100">
        <v>2.78</v>
      </c>
      <c r="DS100">
        <v>1.6</v>
      </c>
      <c r="DT100">
        <v>19.23</v>
      </c>
      <c r="DU100">
        <v>11.77</v>
      </c>
      <c r="DV100">
        <v>48.882126086242998</v>
      </c>
    </row>
    <row r="101" spans="106:126">
      <c r="DB101" t="s">
        <v>298</v>
      </c>
      <c r="DC101" t="s">
        <v>298</v>
      </c>
      <c r="DD101" t="s">
        <v>97</v>
      </c>
      <c r="DE101">
        <v>8</v>
      </c>
      <c r="DF101">
        <v>4</v>
      </c>
      <c r="DG101">
        <v>0.4</v>
      </c>
      <c r="DH101">
        <v>0.4</v>
      </c>
      <c r="DI101">
        <v>8.5500000000000007</v>
      </c>
      <c r="DJ101">
        <v>6.4</v>
      </c>
      <c r="DK101">
        <v>3.2</v>
      </c>
      <c r="DL101">
        <v>64.790000000000006</v>
      </c>
      <c r="DM101">
        <v>21.49</v>
      </c>
      <c r="DN101">
        <v>16.2</v>
      </c>
      <c r="DO101">
        <v>16.2</v>
      </c>
      <c r="DP101">
        <v>10.75</v>
      </c>
      <c r="DQ101">
        <v>10.75</v>
      </c>
      <c r="DR101">
        <v>2.75</v>
      </c>
      <c r="DS101">
        <v>1.59</v>
      </c>
      <c r="DT101">
        <v>20.91</v>
      </c>
      <c r="DU101">
        <v>12.77</v>
      </c>
      <c r="DV101">
        <v>51.965362829305597</v>
      </c>
    </row>
    <row r="102" spans="106:126">
      <c r="DB102" t="s">
        <v>299</v>
      </c>
      <c r="DC102" t="s">
        <v>299</v>
      </c>
      <c r="DD102" t="s">
        <v>97</v>
      </c>
      <c r="DE102">
        <v>8</v>
      </c>
      <c r="DF102">
        <v>4</v>
      </c>
      <c r="DG102">
        <v>0.5</v>
      </c>
      <c r="DH102">
        <v>0.5</v>
      </c>
      <c r="DI102">
        <v>10.36</v>
      </c>
      <c r="DJ102">
        <v>8</v>
      </c>
      <c r="DK102">
        <v>4</v>
      </c>
      <c r="DL102">
        <v>75.11</v>
      </c>
      <c r="DM102">
        <v>24.59</v>
      </c>
      <c r="DN102">
        <v>18.78</v>
      </c>
      <c r="DO102">
        <v>18.78</v>
      </c>
      <c r="DP102">
        <v>12.3</v>
      </c>
      <c r="DQ102">
        <v>12.3</v>
      </c>
      <c r="DR102">
        <v>2.69</v>
      </c>
      <c r="DS102">
        <v>1.54</v>
      </c>
      <c r="DT102">
        <v>24.74</v>
      </c>
      <c r="DU102">
        <v>15.02</v>
      </c>
      <c r="DV102">
        <v>56.852062232443501</v>
      </c>
    </row>
    <row r="103" spans="106:126">
      <c r="DB103" t="s">
        <v>300</v>
      </c>
      <c r="DC103" t="s">
        <v>300</v>
      </c>
      <c r="DD103" t="s">
        <v>97</v>
      </c>
      <c r="DE103">
        <v>9.6</v>
      </c>
      <c r="DF103">
        <v>4.8</v>
      </c>
      <c r="DG103">
        <v>0.16</v>
      </c>
      <c r="DH103">
        <v>0.16</v>
      </c>
      <c r="DI103">
        <v>4.4400000000000004</v>
      </c>
      <c r="DJ103">
        <v>3.0720000000000001</v>
      </c>
      <c r="DK103">
        <v>1.536</v>
      </c>
      <c r="DL103">
        <v>54.03</v>
      </c>
      <c r="DM103">
        <v>18.57</v>
      </c>
      <c r="DN103">
        <v>11.26</v>
      </c>
      <c r="DO103">
        <v>11.26</v>
      </c>
      <c r="DP103">
        <v>7.74</v>
      </c>
      <c r="DQ103">
        <v>7.74</v>
      </c>
      <c r="DR103">
        <v>3.49</v>
      </c>
      <c r="DS103">
        <v>2.0499999999999998</v>
      </c>
      <c r="DT103">
        <v>13.82</v>
      </c>
      <c r="DU103">
        <v>8.58</v>
      </c>
      <c r="DV103">
        <v>44.685953337105403</v>
      </c>
    </row>
    <row r="104" spans="106:126">
      <c r="DB104" t="s">
        <v>301</v>
      </c>
      <c r="DC104" t="s">
        <v>301</v>
      </c>
      <c r="DD104" t="s">
        <v>97</v>
      </c>
      <c r="DE104">
        <v>9.6</v>
      </c>
      <c r="DF104">
        <v>4.8</v>
      </c>
      <c r="DG104">
        <v>0.2</v>
      </c>
      <c r="DH104">
        <v>0.2</v>
      </c>
      <c r="DI104">
        <v>5.5</v>
      </c>
      <c r="DJ104">
        <v>3.84</v>
      </c>
      <c r="DK104">
        <v>1.92</v>
      </c>
      <c r="DL104">
        <v>66.040000000000006</v>
      </c>
      <c r="DM104">
        <v>22.59</v>
      </c>
      <c r="DN104">
        <v>13.76</v>
      </c>
      <c r="DO104">
        <v>13.76</v>
      </c>
      <c r="DP104">
        <v>9.42</v>
      </c>
      <c r="DQ104">
        <v>9.42</v>
      </c>
      <c r="DR104">
        <v>3.47</v>
      </c>
      <c r="DS104">
        <v>2.0299999999999998</v>
      </c>
      <c r="DT104">
        <v>17</v>
      </c>
      <c r="DU104">
        <v>10.52</v>
      </c>
      <c r="DV104">
        <v>54.828052147104302</v>
      </c>
    </row>
    <row r="105" spans="106:126">
      <c r="DB105" t="s">
        <v>302</v>
      </c>
      <c r="DC105" t="s">
        <v>302</v>
      </c>
      <c r="DD105" t="s">
        <v>97</v>
      </c>
      <c r="DE105">
        <v>9.6</v>
      </c>
      <c r="DF105">
        <v>4.8</v>
      </c>
      <c r="DG105">
        <v>0.22</v>
      </c>
      <c r="DH105">
        <v>0.22</v>
      </c>
      <c r="DI105">
        <v>6.02</v>
      </c>
      <c r="DJ105">
        <v>4.2240000000000002</v>
      </c>
      <c r="DK105">
        <v>2.1120000000000001</v>
      </c>
      <c r="DL105">
        <v>71.819999999999993</v>
      </c>
      <c r="DM105">
        <v>24.51</v>
      </c>
      <c r="DN105">
        <v>14.97</v>
      </c>
      <c r="DO105">
        <v>14.97</v>
      </c>
      <c r="DP105">
        <v>10.220000000000001</v>
      </c>
      <c r="DQ105">
        <v>10.220000000000001</v>
      </c>
      <c r="DR105">
        <v>3.45</v>
      </c>
      <c r="DS105">
        <v>2.02</v>
      </c>
      <c r="DT105">
        <v>18.54</v>
      </c>
      <c r="DU105">
        <v>11.47</v>
      </c>
      <c r="DV105">
        <v>59.703686767732798</v>
      </c>
    </row>
    <row r="106" spans="106:126">
      <c r="DB106" t="s">
        <v>303</v>
      </c>
      <c r="DC106" t="s">
        <v>303</v>
      </c>
      <c r="DD106" t="s">
        <v>97</v>
      </c>
      <c r="DE106">
        <v>9.6</v>
      </c>
      <c r="DF106">
        <v>4.8</v>
      </c>
      <c r="DG106">
        <v>0.25</v>
      </c>
      <c r="DH106">
        <v>0.25</v>
      </c>
      <c r="DI106">
        <v>6.79</v>
      </c>
      <c r="DJ106">
        <v>4.8</v>
      </c>
      <c r="DK106">
        <v>2.4</v>
      </c>
      <c r="DL106">
        <v>80.23</v>
      </c>
      <c r="DM106">
        <v>27.29</v>
      </c>
      <c r="DN106">
        <v>16.72</v>
      </c>
      <c r="DO106">
        <v>16.72</v>
      </c>
      <c r="DP106">
        <v>11.38</v>
      </c>
      <c r="DQ106">
        <v>11.38</v>
      </c>
      <c r="DR106">
        <v>3.44</v>
      </c>
      <c r="DS106">
        <v>2</v>
      </c>
      <c r="DT106">
        <v>20.81</v>
      </c>
      <c r="DU106">
        <v>12.85</v>
      </c>
      <c r="DV106">
        <v>66.752084094643493</v>
      </c>
    </row>
    <row r="107" spans="106:126">
      <c r="DB107" t="s">
        <v>304</v>
      </c>
      <c r="DC107" t="s">
        <v>304</v>
      </c>
      <c r="DD107" t="s">
        <v>97</v>
      </c>
      <c r="DE107">
        <v>9.6</v>
      </c>
      <c r="DF107">
        <v>4.8</v>
      </c>
      <c r="DG107">
        <v>0.28999999999999998</v>
      </c>
      <c r="DH107">
        <v>0.28999999999999998</v>
      </c>
      <c r="DI107">
        <v>7.8</v>
      </c>
      <c r="DJ107">
        <v>5.5679999999999996</v>
      </c>
      <c r="DK107">
        <v>2.7839999999999998</v>
      </c>
      <c r="DL107">
        <v>90.94</v>
      </c>
      <c r="DM107">
        <v>30.79</v>
      </c>
      <c r="DN107">
        <v>18.95</v>
      </c>
      <c r="DO107">
        <v>18.95</v>
      </c>
      <c r="DP107">
        <v>12.83</v>
      </c>
      <c r="DQ107">
        <v>12.83</v>
      </c>
      <c r="DR107">
        <v>3.41</v>
      </c>
      <c r="DS107">
        <v>1.99</v>
      </c>
      <c r="DT107">
        <v>23.73</v>
      </c>
      <c r="DU107">
        <v>14.63</v>
      </c>
      <c r="DV107">
        <v>75.616832190372094</v>
      </c>
    </row>
    <row r="108" spans="106:126">
      <c r="DB108" t="s">
        <v>305</v>
      </c>
      <c r="DC108" t="s">
        <v>305</v>
      </c>
      <c r="DD108" t="s">
        <v>97</v>
      </c>
      <c r="DE108">
        <v>9.6</v>
      </c>
      <c r="DF108">
        <v>4.8</v>
      </c>
      <c r="DG108">
        <v>0.32</v>
      </c>
      <c r="DH108">
        <v>0.32</v>
      </c>
      <c r="DI108">
        <v>8.5399999999999991</v>
      </c>
      <c r="DJ108">
        <v>6.1440000000000001</v>
      </c>
      <c r="DK108">
        <v>3.0720000000000001</v>
      </c>
      <c r="DL108">
        <v>98.61</v>
      </c>
      <c r="DM108">
        <v>33.28</v>
      </c>
      <c r="DN108">
        <v>20.55</v>
      </c>
      <c r="DO108">
        <v>20.55</v>
      </c>
      <c r="DP108">
        <v>13.87</v>
      </c>
      <c r="DQ108">
        <v>13.87</v>
      </c>
      <c r="DR108">
        <v>3.4</v>
      </c>
      <c r="DS108">
        <v>1.97</v>
      </c>
      <c r="DT108">
        <v>25.85</v>
      </c>
      <c r="DU108">
        <v>15.91</v>
      </c>
      <c r="DV108">
        <v>81.834084716202199</v>
      </c>
    </row>
    <row r="109" spans="106:126">
      <c r="DB109" t="s">
        <v>306</v>
      </c>
      <c r="DC109" t="s">
        <v>306</v>
      </c>
      <c r="DD109" t="s">
        <v>97</v>
      </c>
      <c r="DE109">
        <v>9.6</v>
      </c>
      <c r="DF109">
        <v>4.8</v>
      </c>
      <c r="DG109">
        <v>0.36</v>
      </c>
      <c r="DH109">
        <v>0.36</v>
      </c>
      <c r="DI109">
        <v>9.52</v>
      </c>
      <c r="DJ109">
        <v>6.9119999999999999</v>
      </c>
      <c r="DK109">
        <v>3.456</v>
      </c>
      <c r="DL109">
        <v>108.35</v>
      </c>
      <c r="DM109">
        <v>36.4</v>
      </c>
      <c r="DN109">
        <v>22.58</v>
      </c>
      <c r="DO109">
        <v>22.58</v>
      </c>
      <c r="DP109">
        <v>15.17</v>
      </c>
      <c r="DQ109">
        <v>15.17</v>
      </c>
      <c r="DR109">
        <v>3.37</v>
      </c>
      <c r="DS109">
        <v>1.96</v>
      </c>
      <c r="DT109">
        <v>28.58</v>
      </c>
      <c r="DU109">
        <v>17.559999999999999</v>
      </c>
      <c r="DV109">
        <v>89.503592365882497</v>
      </c>
    </row>
    <row r="110" spans="106:126">
      <c r="DB110" t="s">
        <v>307</v>
      </c>
      <c r="DC110" t="s">
        <v>307</v>
      </c>
      <c r="DD110" t="s">
        <v>97</v>
      </c>
      <c r="DE110">
        <v>9.6</v>
      </c>
      <c r="DF110">
        <v>4.8</v>
      </c>
      <c r="DG110">
        <v>0.4</v>
      </c>
      <c r="DH110">
        <v>0.4</v>
      </c>
      <c r="DI110">
        <v>10.47</v>
      </c>
      <c r="DJ110">
        <v>7.68</v>
      </c>
      <c r="DK110">
        <v>3.84</v>
      </c>
      <c r="DL110">
        <v>117.54</v>
      </c>
      <c r="DM110">
        <v>39.32</v>
      </c>
      <c r="DN110">
        <v>24.49</v>
      </c>
      <c r="DO110">
        <v>24.49</v>
      </c>
      <c r="DP110">
        <v>16.39</v>
      </c>
      <c r="DQ110">
        <v>16.39</v>
      </c>
      <c r="DR110">
        <v>3.35</v>
      </c>
      <c r="DS110">
        <v>1.94</v>
      </c>
      <c r="DT110">
        <v>31.21</v>
      </c>
      <c r="DU110">
        <v>19.14</v>
      </c>
      <c r="DV110">
        <v>96.414507150886905</v>
      </c>
    </row>
    <row r="111" spans="106:126">
      <c r="DB111" t="s">
        <v>308</v>
      </c>
      <c r="DC111" t="s">
        <v>308</v>
      </c>
      <c r="DD111" t="s">
        <v>97</v>
      </c>
      <c r="DE111">
        <v>9.6</v>
      </c>
      <c r="DF111">
        <v>4.8</v>
      </c>
      <c r="DG111">
        <v>0.45</v>
      </c>
      <c r="DH111">
        <v>0.45</v>
      </c>
      <c r="DI111">
        <v>11.63</v>
      </c>
      <c r="DJ111">
        <v>8.64</v>
      </c>
      <c r="DK111">
        <v>4.32</v>
      </c>
      <c r="DL111">
        <v>128.30000000000001</v>
      </c>
      <c r="DM111">
        <v>42.68</v>
      </c>
      <c r="DN111">
        <v>26.73</v>
      </c>
      <c r="DO111">
        <v>26.73</v>
      </c>
      <c r="DP111">
        <v>17.79</v>
      </c>
      <c r="DQ111">
        <v>17.79</v>
      </c>
      <c r="DR111">
        <v>3.32</v>
      </c>
      <c r="DS111">
        <v>1.92</v>
      </c>
      <c r="DT111">
        <v>34.340000000000003</v>
      </c>
      <c r="DU111">
        <v>21.01</v>
      </c>
      <c r="DV111">
        <v>103.90736080076999</v>
      </c>
    </row>
    <row r="112" spans="106:126">
      <c r="DB112" t="s">
        <v>309</v>
      </c>
      <c r="DC112" t="s">
        <v>309</v>
      </c>
      <c r="DD112" t="s">
        <v>97</v>
      </c>
      <c r="DE112">
        <v>9.6</v>
      </c>
      <c r="DF112">
        <v>4.8</v>
      </c>
      <c r="DG112">
        <v>0.5</v>
      </c>
      <c r="DH112">
        <v>0.5</v>
      </c>
      <c r="DI112">
        <v>12.76</v>
      </c>
      <c r="DJ112">
        <v>9.6</v>
      </c>
      <c r="DK112">
        <v>4.8</v>
      </c>
      <c r="DL112">
        <v>138.22999999999999</v>
      </c>
      <c r="DM112">
        <v>45.74</v>
      </c>
      <c r="DN112">
        <v>28.8</v>
      </c>
      <c r="DO112">
        <v>28.8</v>
      </c>
      <c r="DP112">
        <v>19.059999999999999</v>
      </c>
      <c r="DQ112">
        <v>19.059999999999999</v>
      </c>
      <c r="DR112">
        <v>3.29</v>
      </c>
      <c r="DS112">
        <v>1.89</v>
      </c>
      <c r="DT112">
        <v>37.299999999999997</v>
      </c>
      <c r="DU112">
        <v>22.77</v>
      </c>
      <c r="DV112">
        <v>110.038964216189</v>
      </c>
    </row>
    <row r="113" spans="106:126">
      <c r="DB113" t="s">
        <v>310</v>
      </c>
      <c r="DC113" t="s">
        <v>310</v>
      </c>
      <c r="DD113" t="s">
        <v>97</v>
      </c>
      <c r="DE113">
        <v>10</v>
      </c>
      <c r="DF113">
        <v>5</v>
      </c>
      <c r="DG113">
        <v>0.16</v>
      </c>
      <c r="DH113">
        <v>0.16</v>
      </c>
      <c r="DI113">
        <v>4.63</v>
      </c>
      <c r="DJ113">
        <v>3.2</v>
      </c>
      <c r="DK113">
        <v>1.6</v>
      </c>
      <c r="DL113">
        <v>61.29</v>
      </c>
      <c r="DM113">
        <v>21.08</v>
      </c>
      <c r="DN113">
        <v>12.26</v>
      </c>
      <c r="DO113">
        <v>12.26</v>
      </c>
      <c r="DP113">
        <v>8.44</v>
      </c>
      <c r="DQ113">
        <v>8.44</v>
      </c>
      <c r="DR113">
        <v>3.64</v>
      </c>
      <c r="DS113">
        <v>2.13</v>
      </c>
      <c r="DT113">
        <v>15.04</v>
      </c>
      <c r="DU113">
        <v>9.33</v>
      </c>
      <c r="DV113">
        <v>50.6482457024916</v>
      </c>
    </row>
    <row r="114" spans="106:126">
      <c r="DB114" t="s">
        <v>311</v>
      </c>
      <c r="DC114" t="s">
        <v>311</v>
      </c>
      <c r="DD114" t="s">
        <v>97</v>
      </c>
      <c r="DE114">
        <v>10</v>
      </c>
      <c r="DF114">
        <v>5</v>
      </c>
      <c r="DG114">
        <v>0.2</v>
      </c>
      <c r="DH114">
        <v>0.2</v>
      </c>
      <c r="DI114">
        <v>5.74</v>
      </c>
      <c r="DJ114">
        <v>4</v>
      </c>
      <c r="DK114">
        <v>2</v>
      </c>
      <c r="DL114">
        <v>74.98</v>
      </c>
      <c r="DM114">
        <v>25.67</v>
      </c>
      <c r="DN114">
        <v>15</v>
      </c>
      <c r="DO114">
        <v>15</v>
      </c>
      <c r="DP114">
        <v>10.27</v>
      </c>
      <c r="DQ114">
        <v>10.27</v>
      </c>
      <c r="DR114">
        <v>3.61</v>
      </c>
      <c r="DS114">
        <v>2.11</v>
      </c>
      <c r="DT114">
        <v>18.5</v>
      </c>
      <c r="DU114">
        <v>11.46</v>
      </c>
      <c r="DV114">
        <v>62.212782400068001</v>
      </c>
    </row>
    <row r="115" spans="106:126">
      <c r="DB115" t="s">
        <v>312</v>
      </c>
      <c r="DC115" t="s">
        <v>312</v>
      </c>
      <c r="DD115" t="s">
        <v>97</v>
      </c>
      <c r="DE115">
        <v>10</v>
      </c>
      <c r="DF115">
        <v>5</v>
      </c>
      <c r="DG115">
        <v>0.22</v>
      </c>
      <c r="DH115">
        <v>0.22</v>
      </c>
      <c r="DI115">
        <v>6.28</v>
      </c>
      <c r="DJ115">
        <v>4.4000000000000004</v>
      </c>
      <c r="DK115">
        <v>2.2000000000000002</v>
      </c>
      <c r="DL115">
        <v>81.59</v>
      </c>
      <c r="DM115">
        <v>27.87</v>
      </c>
      <c r="DN115">
        <v>16.32</v>
      </c>
      <c r="DO115">
        <v>16.32</v>
      </c>
      <c r="DP115">
        <v>11.15</v>
      </c>
      <c r="DQ115">
        <v>11.15</v>
      </c>
      <c r="DR115">
        <v>3.6</v>
      </c>
      <c r="DS115">
        <v>2.11</v>
      </c>
      <c r="DT115">
        <v>20.190000000000001</v>
      </c>
      <c r="DU115">
        <v>12.5</v>
      </c>
      <c r="DV115">
        <v>67.787684700251802</v>
      </c>
    </row>
    <row r="116" spans="106:126">
      <c r="DB116" t="s">
        <v>313</v>
      </c>
      <c r="DC116" t="s">
        <v>313</v>
      </c>
      <c r="DD116" t="s">
        <v>97</v>
      </c>
      <c r="DE116">
        <v>10</v>
      </c>
      <c r="DF116">
        <v>5</v>
      </c>
      <c r="DG116">
        <v>0.25</v>
      </c>
      <c r="DH116">
        <v>0.25</v>
      </c>
      <c r="DI116">
        <v>7.09</v>
      </c>
      <c r="DJ116">
        <v>5</v>
      </c>
      <c r="DK116">
        <v>2.5</v>
      </c>
      <c r="DL116">
        <v>91.2</v>
      </c>
      <c r="DM116">
        <v>31.06</v>
      </c>
      <c r="DN116">
        <v>18.239999999999998</v>
      </c>
      <c r="DO116">
        <v>18.239999999999998</v>
      </c>
      <c r="DP116">
        <v>12.43</v>
      </c>
      <c r="DQ116">
        <v>12.43</v>
      </c>
      <c r="DR116">
        <v>3.59</v>
      </c>
      <c r="DS116">
        <v>2.09</v>
      </c>
      <c r="DT116">
        <v>22.67</v>
      </c>
      <c r="DU116">
        <v>14.01</v>
      </c>
      <c r="DV116">
        <v>75.869127970212404</v>
      </c>
    </row>
    <row r="117" spans="106:126">
      <c r="DB117" t="s">
        <v>314</v>
      </c>
      <c r="DC117" t="s">
        <v>314</v>
      </c>
      <c r="DD117" t="s">
        <v>97</v>
      </c>
      <c r="DE117">
        <v>10</v>
      </c>
      <c r="DF117">
        <v>5</v>
      </c>
      <c r="DG117">
        <v>0.28999999999999998</v>
      </c>
      <c r="DH117">
        <v>0.28999999999999998</v>
      </c>
      <c r="DI117">
        <v>8.15</v>
      </c>
      <c r="DJ117">
        <v>5.8</v>
      </c>
      <c r="DK117">
        <v>2.9</v>
      </c>
      <c r="DL117">
        <v>103.48</v>
      </c>
      <c r="DM117">
        <v>35.090000000000003</v>
      </c>
      <c r="DN117">
        <v>20.7</v>
      </c>
      <c r="DO117">
        <v>20.7</v>
      </c>
      <c r="DP117">
        <v>14.04</v>
      </c>
      <c r="DQ117">
        <v>14.04</v>
      </c>
      <c r="DR117">
        <v>3.56</v>
      </c>
      <c r="DS117">
        <v>2.0699999999999998</v>
      </c>
      <c r="DT117">
        <v>25.88</v>
      </c>
      <c r="DU117">
        <v>15.96</v>
      </c>
      <c r="DV117">
        <v>86.079916437055701</v>
      </c>
    </row>
    <row r="118" spans="106:126">
      <c r="DB118" t="s">
        <v>315</v>
      </c>
      <c r="DC118" t="s">
        <v>315</v>
      </c>
      <c r="DD118" t="s">
        <v>97</v>
      </c>
      <c r="DE118">
        <v>10</v>
      </c>
      <c r="DF118">
        <v>5</v>
      </c>
      <c r="DG118">
        <v>0.32</v>
      </c>
      <c r="DH118">
        <v>0.32</v>
      </c>
      <c r="DI118">
        <v>8.93</v>
      </c>
      <c r="DJ118">
        <v>6.4</v>
      </c>
      <c r="DK118">
        <v>3.2</v>
      </c>
      <c r="DL118">
        <v>112.29</v>
      </c>
      <c r="DM118">
        <v>37.950000000000003</v>
      </c>
      <c r="DN118">
        <v>22.46</v>
      </c>
      <c r="DO118">
        <v>22.46</v>
      </c>
      <c r="DP118">
        <v>15.18</v>
      </c>
      <c r="DQ118">
        <v>15.18</v>
      </c>
      <c r="DR118">
        <v>3.55</v>
      </c>
      <c r="DS118">
        <v>2.06</v>
      </c>
      <c r="DT118">
        <v>28.2</v>
      </c>
      <c r="DU118">
        <v>17.37</v>
      </c>
      <c r="DV118">
        <v>93.281675255055603</v>
      </c>
    </row>
    <row r="119" spans="106:126">
      <c r="DB119" t="s">
        <v>316</v>
      </c>
      <c r="DC119" t="s">
        <v>316</v>
      </c>
      <c r="DD119" t="s">
        <v>97</v>
      </c>
      <c r="DE119">
        <v>10</v>
      </c>
      <c r="DF119">
        <v>5</v>
      </c>
      <c r="DG119">
        <v>0.36</v>
      </c>
      <c r="DH119">
        <v>0.36</v>
      </c>
      <c r="DI119">
        <v>9.9499999999999993</v>
      </c>
      <c r="DJ119">
        <v>7.2</v>
      </c>
      <c r="DK119">
        <v>3.6</v>
      </c>
      <c r="DL119">
        <v>123.51</v>
      </c>
      <c r="DM119">
        <v>41.56</v>
      </c>
      <c r="DN119">
        <v>24.71</v>
      </c>
      <c r="DO119">
        <v>24.71</v>
      </c>
      <c r="DP119">
        <v>16.63</v>
      </c>
      <c r="DQ119">
        <v>16.63</v>
      </c>
      <c r="DR119">
        <v>3.52</v>
      </c>
      <c r="DS119">
        <v>2.04</v>
      </c>
      <c r="DT119">
        <v>31.21</v>
      </c>
      <c r="DU119">
        <v>19.190000000000001</v>
      </c>
      <c r="DV119">
        <v>102.228188641023</v>
      </c>
    </row>
    <row r="120" spans="106:126">
      <c r="DB120" t="s">
        <v>317</v>
      </c>
      <c r="DC120" t="s">
        <v>317</v>
      </c>
      <c r="DD120" t="s">
        <v>97</v>
      </c>
      <c r="DE120">
        <v>10</v>
      </c>
      <c r="DF120">
        <v>5</v>
      </c>
      <c r="DG120">
        <v>0.4</v>
      </c>
      <c r="DH120">
        <v>0.4</v>
      </c>
      <c r="DI120">
        <v>10.95</v>
      </c>
      <c r="DJ120">
        <v>8</v>
      </c>
      <c r="DK120">
        <v>4</v>
      </c>
      <c r="DL120">
        <v>134.13999999999999</v>
      </c>
      <c r="DM120">
        <v>44.95</v>
      </c>
      <c r="DN120">
        <v>26.83</v>
      </c>
      <c r="DO120">
        <v>26.83</v>
      </c>
      <c r="DP120">
        <v>17.98</v>
      </c>
      <c r="DQ120">
        <v>17.98</v>
      </c>
      <c r="DR120">
        <v>3.5</v>
      </c>
      <c r="DS120">
        <v>2.0299999999999998</v>
      </c>
      <c r="DT120">
        <v>34.1</v>
      </c>
      <c r="DU120">
        <v>20.93</v>
      </c>
      <c r="DV120">
        <v>110.372572661814</v>
      </c>
    </row>
    <row r="121" spans="106:126">
      <c r="DB121" t="s">
        <v>318</v>
      </c>
      <c r="DC121" t="s">
        <v>318</v>
      </c>
      <c r="DD121" t="s">
        <v>97</v>
      </c>
      <c r="DE121">
        <v>10</v>
      </c>
      <c r="DF121">
        <v>5</v>
      </c>
      <c r="DG121">
        <v>0.5</v>
      </c>
      <c r="DH121">
        <v>0.5</v>
      </c>
      <c r="DI121">
        <v>13.36</v>
      </c>
      <c r="DJ121">
        <v>10</v>
      </c>
      <c r="DK121">
        <v>5</v>
      </c>
      <c r="DL121">
        <v>158.19</v>
      </c>
      <c r="DM121">
        <v>52.45</v>
      </c>
      <c r="DN121">
        <v>31.64</v>
      </c>
      <c r="DO121">
        <v>31.64</v>
      </c>
      <c r="DP121">
        <v>20.98</v>
      </c>
      <c r="DQ121">
        <v>20.98</v>
      </c>
      <c r="DR121">
        <v>3.44</v>
      </c>
      <c r="DS121">
        <v>1.98</v>
      </c>
      <c r="DT121">
        <v>40.840000000000003</v>
      </c>
      <c r="DU121">
        <v>24.95</v>
      </c>
      <c r="DV121">
        <v>126.868561594984</v>
      </c>
    </row>
    <row r="122" spans="106:126">
      <c r="DB122" t="s">
        <v>319</v>
      </c>
      <c r="DC122" t="s">
        <v>319</v>
      </c>
      <c r="DD122" t="s">
        <v>97</v>
      </c>
      <c r="DE122">
        <v>10</v>
      </c>
      <c r="DF122">
        <v>5</v>
      </c>
      <c r="DG122">
        <v>0.54</v>
      </c>
      <c r="DH122">
        <v>0.54</v>
      </c>
      <c r="DI122">
        <v>14.28</v>
      </c>
      <c r="DJ122">
        <v>10.8</v>
      </c>
      <c r="DK122">
        <v>5.4</v>
      </c>
      <c r="DL122">
        <v>166.82</v>
      </c>
      <c r="DM122">
        <v>55.09</v>
      </c>
      <c r="DN122">
        <v>33.369999999999997</v>
      </c>
      <c r="DO122">
        <v>33.369999999999997</v>
      </c>
      <c r="DP122">
        <v>22.04</v>
      </c>
      <c r="DQ122">
        <v>22.04</v>
      </c>
      <c r="DR122">
        <v>3.42</v>
      </c>
      <c r="DS122">
        <v>1.96</v>
      </c>
      <c r="DT122">
        <v>43.35</v>
      </c>
      <c r="DU122">
        <v>26.43</v>
      </c>
      <c r="DV122">
        <v>131.790062296689</v>
      </c>
    </row>
    <row r="123" spans="106:126">
      <c r="DB123" t="s">
        <v>320</v>
      </c>
      <c r="DC123" t="s">
        <v>320</v>
      </c>
      <c r="DD123" t="s">
        <v>97</v>
      </c>
      <c r="DE123">
        <v>10</v>
      </c>
      <c r="DF123">
        <v>5</v>
      </c>
      <c r="DG123">
        <v>0.6</v>
      </c>
      <c r="DH123">
        <v>0.6</v>
      </c>
      <c r="DI123">
        <v>15.63</v>
      </c>
      <c r="DJ123">
        <v>12</v>
      </c>
      <c r="DK123">
        <v>6</v>
      </c>
      <c r="DL123">
        <v>178.75</v>
      </c>
      <c r="DM123">
        <v>58.67</v>
      </c>
      <c r="DN123">
        <v>35.75</v>
      </c>
      <c r="DO123">
        <v>35.75</v>
      </c>
      <c r="DP123">
        <v>23.47</v>
      </c>
      <c r="DQ123">
        <v>23.47</v>
      </c>
      <c r="DR123">
        <v>3.38</v>
      </c>
      <c r="DS123">
        <v>1.94</v>
      </c>
      <c r="DT123">
        <v>46.9</v>
      </c>
      <c r="DU123">
        <v>28.52</v>
      </c>
      <c r="DV123">
        <v>137.23882111365501</v>
      </c>
    </row>
    <row r="124" spans="106:126">
      <c r="DB124" t="s">
        <v>321</v>
      </c>
      <c r="DC124" t="s">
        <v>321</v>
      </c>
      <c r="DD124" t="s">
        <v>97</v>
      </c>
      <c r="DE124">
        <v>10</v>
      </c>
      <c r="DF124">
        <v>5</v>
      </c>
      <c r="DG124">
        <v>0.8</v>
      </c>
      <c r="DH124">
        <v>0.8</v>
      </c>
      <c r="DI124">
        <v>19.79</v>
      </c>
      <c r="DJ124">
        <v>16</v>
      </c>
      <c r="DK124">
        <v>8</v>
      </c>
      <c r="DL124">
        <v>210.07</v>
      </c>
      <c r="DM124">
        <v>67.650000000000006</v>
      </c>
      <c r="DN124">
        <v>42.02</v>
      </c>
      <c r="DO124">
        <v>42.02</v>
      </c>
      <c r="DP124">
        <v>27.06</v>
      </c>
      <c r="DQ124">
        <v>27.06</v>
      </c>
      <c r="DR124">
        <v>3.26</v>
      </c>
      <c r="DS124">
        <v>1.85</v>
      </c>
      <c r="DT124">
        <v>57.03</v>
      </c>
      <c r="DU124">
        <v>34.35</v>
      </c>
      <c r="DV124">
        <v>137.45906489835599</v>
      </c>
    </row>
    <row r="125" spans="106:126">
      <c r="DB125" t="s">
        <v>322</v>
      </c>
      <c r="DC125" t="s">
        <v>322</v>
      </c>
      <c r="DD125" t="s">
        <v>97</v>
      </c>
      <c r="DE125">
        <v>12</v>
      </c>
      <c r="DF125">
        <v>6</v>
      </c>
      <c r="DG125">
        <v>0.16</v>
      </c>
      <c r="DH125">
        <v>0.16</v>
      </c>
      <c r="DI125">
        <v>5.59</v>
      </c>
      <c r="DJ125">
        <v>3.84</v>
      </c>
      <c r="DK125">
        <v>1.92</v>
      </c>
      <c r="DL125">
        <v>107.43</v>
      </c>
      <c r="DM125">
        <v>37.049999999999997</v>
      </c>
      <c r="DN125">
        <v>17.91</v>
      </c>
      <c r="DO125">
        <v>17.91</v>
      </c>
      <c r="DP125">
        <v>12.35</v>
      </c>
      <c r="DQ125">
        <v>12.35</v>
      </c>
      <c r="DR125">
        <v>4.38</v>
      </c>
      <c r="DS125">
        <v>2.57</v>
      </c>
      <c r="DT125">
        <v>21.89</v>
      </c>
      <c r="DU125">
        <v>13.6</v>
      </c>
      <c r="DV125">
        <v>88.452015001438596</v>
      </c>
    </row>
    <row r="126" spans="106:126">
      <c r="DB126" t="s">
        <v>323</v>
      </c>
      <c r="DC126" t="s">
        <v>323</v>
      </c>
      <c r="DD126" t="s">
        <v>97</v>
      </c>
      <c r="DE126">
        <v>12</v>
      </c>
      <c r="DF126">
        <v>6</v>
      </c>
      <c r="DG126">
        <v>0.2</v>
      </c>
      <c r="DH126">
        <v>0.2</v>
      </c>
      <c r="DI126">
        <v>6.94</v>
      </c>
      <c r="DJ126">
        <v>4.8</v>
      </c>
      <c r="DK126">
        <v>2.4</v>
      </c>
      <c r="DL126">
        <v>131.91999999999999</v>
      </c>
      <c r="DM126">
        <v>45.33</v>
      </c>
      <c r="DN126">
        <v>21.99</v>
      </c>
      <c r="DO126">
        <v>21.99</v>
      </c>
      <c r="DP126">
        <v>15.11</v>
      </c>
      <c r="DQ126">
        <v>15.11</v>
      </c>
      <c r="DR126">
        <v>4.3600000000000003</v>
      </c>
      <c r="DS126">
        <v>2.56</v>
      </c>
      <c r="DT126">
        <v>27</v>
      </c>
      <c r="DU126">
        <v>16.75</v>
      </c>
      <c r="DV126">
        <v>109.09656576441699</v>
      </c>
    </row>
    <row r="127" spans="106:126">
      <c r="DB127" t="s">
        <v>324</v>
      </c>
      <c r="DC127" t="s">
        <v>324</v>
      </c>
      <c r="DD127" t="s">
        <v>97</v>
      </c>
      <c r="DE127">
        <v>12</v>
      </c>
      <c r="DF127">
        <v>6</v>
      </c>
      <c r="DG127">
        <v>0.22</v>
      </c>
      <c r="DH127">
        <v>0.22</v>
      </c>
      <c r="DI127">
        <v>7.6</v>
      </c>
      <c r="DJ127">
        <v>5.28</v>
      </c>
      <c r="DK127">
        <v>2.64</v>
      </c>
      <c r="DL127">
        <v>143.82</v>
      </c>
      <c r="DM127">
        <v>49.33</v>
      </c>
      <c r="DN127">
        <v>23.97</v>
      </c>
      <c r="DO127">
        <v>23.97</v>
      </c>
      <c r="DP127">
        <v>16.45</v>
      </c>
      <c r="DQ127">
        <v>16.45</v>
      </c>
      <c r="DR127">
        <v>4.3499999999999996</v>
      </c>
      <c r="DS127">
        <v>2.5499999999999998</v>
      </c>
      <c r="DT127">
        <v>29.51</v>
      </c>
      <c r="DU127">
        <v>18.29</v>
      </c>
      <c r="DV127">
        <v>119.147244138377</v>
      </c>
    </row>
    <row r="128" spans="106:126">
      <c r="DB128" t="s">
        <v>325</v>
      </c>
      <c r="DC128" t="s">
        <v>325</v>
      </c>
      <c r="DD128" t="s">
        <v>97</v>
      </c>
      <c r="DE128">
        <v>12</v>
      </c>
      <c r="DF128">
        <v>6</v>
      </c>
      <c r="DG128">
        <v>0.25</v>
      </c>
      <c r="DH128">
        <v>0.25</v>
      </c>
      <c r="DI128">
        <v>8.59</v>
      </c>
      <c r="DJ128">
        <v>6</v>
      </c>
      <c r="DK128">
        <v>3</v>
      </c>
      <c r="DL128">
        <v>161.22999999999999</v>
      </c>
      <c r="DM128">
        <v>55.15</v>
      </c>
      <c r="DN128">
        <v>26.88</v>
      </c>
      <c r="DO128">
        <v>26.88</v>
      </c>
      <c r="DP128">
        <v>18.39</v>
      </c>
      <c r="DQ128">
        <v>18.39</v>
      </c>
      <c r="DR128">
        <v>4.33</v>
      </c>
      <c r="DS128">
        <v>2.5299999999999998</v>
      </c>
      <c r="DT128">
        <v>33.200000000000003</v>
      </c>
      <c r="DU128">
        <v>20.56</v>
      </c>
      <c r="DV128">
        <v>133.85754918726599</v>
      </c>
    </row>
    <row r="129" spans="106:126">
      <c r="DB129" t="s">
        <v>326</v>
      </c>
      <c r="DC129" t="s">
        <v>326</v>
      </c>
      <c r="DD129" t="s">
        <v>97</v>
      </c>
      <c r="DE129">
        <v>12</v>
      </c>
      <c r="DF129">
        <v>6</v>
      </c>
      <c r="DG129">
        <v>0.28999999999999998</v>
      </c>
      <c r="DH129">
        <v>0.28999999999999998</v>
      </c>
      <c r="DI129">
        <v>9.89</v>
      </c>
      <c r="DJ129">
        <v>6.96</v>
      </c>
      <c r="DK129">
        <v>3.48</v>
      </c>
      <c r="DL129">
        <v>183.65</v>
      </c>
      <c r="DM129">
        <v>62.6</v>
      </c>
      <c r="DN129">
        <v>30.61</v>
      </c>
      <c r="DO129">
        <v>30.61</v>
      </c>
      <c r="DP129">
        <v>20.87</v>
      </c>
      <c r="DQ129">
        <v>20.87</v>
      </c>
      <c r="DR129">
        <v>4.3099999999999996</v>
      </c>
      <c r="DS129">
        <v>2.52</v>
      </c>
      <c r="DT129">
        <v>38</v>
      </c>
      <c r="DU129">
        <v>23.49</v>
      </c>
      <c r="DV129">
        <v>152.73992146031301</v>
      </c>
    </row>
    <row r="130" spans="106:126">
      <c r="DB130" t="s">
        <v>327</v>
      </c>
      <c r="DC130" t="s">
        <v>327</v>
      </c>
      <c r="DD130" t="s">
        <v>97</v>
      </c>
      <c r="DE130">
        <v>12</v>
      </c>
      <c r="DF130">
        <v>6</v>
      </c>
      <c r="DG130">
        <v>0.32</v>
      </c>
      <c r="DH130">
        <v>0.32</v>
      </c>
      <c r="DI130">
        <v>10.85</v>
      </c>
      <c r="DJ130">
        <v>7.68</v>
      </c>
      <c r="DK130">
        <v>3.84</v>
      </c>
      <c r="DL130">
        <v>199.88</v>
      </c>
      <c r="DM130">
        <v>67.95</v>
      </c>
      <c r="DN130">
        <v>33.32</v>
      </c>
      <c r="DO130">
        <v>33.32</v>
      </c>
      <c r="DP130">
        <v>22.65</v>
      </c>
      <c r="DQ130">
        <v>22.65</v>
      </c>
      <c r="DR130">
        <v>4.29</v>
      </c>
      <c r="DS130">
        <v>2.5</v>
      </c>
      <c r="DT130">
        <v>41.51</v>
      </c>
      <c r="DU130">
        <v>25.63</v>
      </c>
      <c r="DV130">
        <v>166.31286155419701</v>
      </c>
    </row>
    <row r="131" spans="106:126">
      <c r="DB131" t="s">
        <v>328</v>
      </c>
      <c r="DC131" t="s">
        <v>328</v>
      </c>
      <c r="DD131" t="s">
        <v>97</v>
      </c>
      <c r="DE131">
        <v>12</v>
      </c>
      <c r="DF131">
        <v>6</v>
      </c>
      <c r="DG131">
        <v>0.36</v>
      </c>
      <c r="DH131">
        <v>0.36</v>
      </c>
      <c r="DI131">
        <v>12.11</v>
      </c>
      <c r="DJ131">
        <v>8.64</v>
      </c>
      <c r="DK131">
        <v>4.32</v>
      </c>
      <c r="DL131">
        <v>220.75</v>
      </c>
      <c r="DM131">
        <v>74.77</v>
      </c>
      <c r="DN131">
        <v>36.799999999999997</v>
      </c>
      <c r="DO131">
        <v>36.799999999999997</v>
      </c>
      <c r="DP131">
        <v>24.93</v>
      </c>
      <c r="DQ131">
        <v>24.93</v>
      </c>
      <c r="DR131">
        <v>4.2699999999999996</v>
      </c>
      <c r="DS131">
        <v>2.48</v>
      </c>
      <c r="DT131">
        <v>46.07</v>
      </c>
      <c r="DU131">
        <v>28.4</v>
      </c>
      <c r="DV131">
        <v>183.56651183194501</v>
      </c>
    </row>
    <row r="132" spans="106:126">
      <c r="DB132" t="s">
        <v>329</v>
      </c>
      <c r="DC132" t="s">
        <v>329</v>
      </c>
      <c r="DD132" t="s">
        <v>97</v>
      </c>
      <c r="DE132">
        <v>12</v>
      </c>
      <c r="DF132">
        <v>6</v>
      </c>
      <c r="DG132">
        <v>0.4</v>
      </c>
      <c r="DH132">
        <v>0.4</v>
      </c>
      <c r="DI132">
        <v>13.35</v>
      </c>
      <c r="DJ132">
        <v>9.6</v>
      </c>
      <c r="DK132">
        <v>4.8</v>
      </c>
      <c r="DL132">
        <v>240.74</v>
      </c>
      <c r="DM132">
        <v>81.25</v>
      </c>
      <c r="DN132">
        <v>40.130000000000003</v>
      </c>
      <c r="DO132">
        <v>40.130000000000003</v>
      </c>
      <c r="DP132">
        <v>27.09</v>
      </c>
      <c r="DQ132">
        <v>27.09</v>
      </c>
      <c r="DR132">
        <v>4.25</v>
      </c>
      <c r="DS132">
        <v>2.4700000000000002</v>
      </c>
      <c r="DT132">
        <v>50.49</v>
      </c>
      <c r="DU132">
        <v>31.08</v>
      </c>
      <c r="DV132">
        <v>199.79024588916599</v>
      </c>
    </row>
    <row r="133" spans="106:126">
      <c r="DB133" t="s">
        <v>330</v>
      </c>
      <c r="DC133" t="s">
        <v>330</v>
      </c>
      <c r="DD133" t="s">
        <v>97</v>
      </c>
      <c r="DE133">
        <v>12</v>
      </c>
      <c r="DF133">
        <v>6</v>
      </c>
      <c r="DG133">
        <v>0.45</v>
      </c>
      <c r="DH133">
        <v>0.45</v>
      </c>
      <c r="DI133">
        <v>14.87</v>
      </c>
      <c r="DJ133">
        <v>10.8</v>
      </c>
      <c r="DK133">
        <v>5.4</v>
      </c>
      <c r="DL133">
        <v>264.52</v>
      </c>
      <c r="DM133">
        <v>88.88</v>
      </c>
      <c r="DN133">
        <v>44.09</v>
      </c>
      <c r="DO133">
        <v>44.09</v>
      </c>
      <c r="DP133">
        <v>29.63</v>
      </c>
      <c r="DQ133">
        <v>29.63</v>
      </c>
      <c r="DR133">
        <v>4.22</v>
      </c>
      <c r="DS133">
        <v>2.44</v>
      </c>
      <c r="DT133">
        <v>55.82</v>
      </c>
      <c r="DU133">
        <v>34.299999999999997</v>
      </c>
      <c r="DV133">
        <v>218.51462979951799</v>
      </c>
    </row>
    <row r="134" spans="106:126">
      <c r="DB134" t="s">
        <v>331</v>
      </c>
      <c r="DC134" t="s">
        <v>331</v>
      </c>
      <c r="DD134" t="s">
        <v>97</v>
      </c>
      <c r="DE134">
        <v>12</v>
      </c>
      <c r="DF134">
        <v>6</v>
      </c>
      <c r="DG134">
        <v>0.5</v>
      </c>
      <c r="DH134">
        <v>0.5</v>
      </c>
      <c r="DI134">
        <v>16.36</v>
      </c>
      <c r="DJ134">
        <v>12</v>
      </c>
      <c r="DK134">
        <v>6</v>
      </c>
      <c r="DL134">
        <v>286.97000000000003</v>
      </c>
      <c r="DM134">
        <v>95.99</v>
      </c>
      <c r="DN134">
        <v>47.83</v>
      </c>
      <c r="DO134">
        <v>47.83</v>
      </c>
      <c r="DP134">
        <v>32</v>
      </c>
      <c r="DQ134">
        <v>32</v>
      </c>
      <c r="DR134">
        <v>4.1900000000000004</v>
      </c>
      <c r="DS134">
        <v>2.42</v>
      </c>
      <c r="DT134">
        <v>60.95</v>
      </c>
      <c r="DU134">
        <v>37.380000000000003</v>
      </c>
      <c r="DV134">
        <v>235.38698034884499</v>
      </c>
    </row>
    <row r="135" spans="106:126">
      <c r="DB135" t="s">
        <v>332</v>
      </c>
      <c r="DC135" t="s">
        <v>332</v>
      </c>
      <c r="DD135" t="s">
        <v>97</v>
      </c>
      <c r="DE135">
        <v>12</v>
      </c>
      <c r="DF135">
        <v>6</v>
      </c>
      <c r="DG135">
        <v>0.6</v>
      </c>
      <c r="DH135">
        <v>0.6</v>
      </c>
      <c r="DI135">
        <v>19.23</v>
      </c>
      <c r="DJ135">
        <v>14.4</v>
      </c>
      <c r="DK135">
        <v>7.2</v>
      </c>
      <c r="DL135">
        <v>328.01</v>
      </c>
      <c r="DM135">
        <v>108.77</v>
      </c>
      <c r="DN135">
        <v>54.67</v>
      </c>
      <c r="DO135">
        <v>54.67</v>
      </c>
      <c r="DP135">
        <v>36.26</v>
      </c>
      <c r="DQ135">
        <v>36.26</v>
      </c>
      <c r="DR135">
        <v>4.13</v>
      </c>
      <c r="DS135">
        <v>2.38</v>
      </c>
      <c r="DT135">
        <v>70.569999999999993</v>
      </c>
      <c r="DU135">
        <v>43.12</v>
      </c>
      <c r="DV135">
        <v>263.07464932336001</v>
      </c>
    </row>
    <row r="136" spans="106:126">
      <c r="DB136" t="s">
        <v>333</v>
      </c>
      <c r="DC136" t="s">
        <v>333</v>
      </c>
      <c r="DD136" t="s">
        <v>97</v>
      </c>
      <c r="DE136">
        <v>15</v>
      </c>
      <c r="DF136">
        <v>2.5</v>
      </c>
      <c r="DG136">
        <v>0.16</v>
      </c>
      <c r="DH136">
        <v>0.16</v>
      </c>
      <c r="DI136">
        <v>5.43</v>
      </c>
      <c r="DJ136">
        <v>4.8</v>
      </c>
      <c r="DK136">
        <v>0.8</v>
      </c>
      <c r="DL136">
        <v>124.73</v>
      </c>
      <c r="DM136">
        <v>6.76</v>
      </c>
      <c r="DN136">
        <v>16.64</v>
      </c>
      <c r="DO136">
        <v>16.64</v>
      </c>
      <c r="DP136">
        <v>5.41</v>
      </c>
      <c r="DQ136">
        <v>5.41</v>
      </c>
      <c r="DR136">
        <v>4.79</v>
      </c>
      <c r="DS136">
        <v>1.1200000000000001</v>
      </c>
      <c r="DT136">
        <v>22.68</v>
      </c>
      <c r="DU136">
        <v>5.92</v>
      </c>
      <c r="DV136">
        <v>22.780760848536801</v>
      </c>
    </row>
    <row r="137" spans="106:126">
      <c r="DB137" t="s">
        <v>334</v>
      </c>
      <c r="DC137" t="s">
        <v>334</v>
      </c>
      <c r="DD137" t="s">
        <v>97</v>
      </c>
      <c r="DE137">
        <v>15</v>
      </c>
      <c r="DF137">
        <v>2.5</v>
      </c>
      <c r="DG137">
        <v>0.2</v>
      </c>
      <c r="DH137">
        <v>0.2</v>
      </c>
      <c r="DI137">
        <v>6.74</v>
      </c>
      <c r="DJ137">
        <v>6</v>
      </c>
      <c r="DK137">
        <v>1</v>
      </c>
      <c r="DL137">
        <v>152.77000000000001</v>
      </c>
      <c r="DM137">
        <v>8.11</v>
      </c>
      <c r="DN137">
        <v>20.37</v>
      </c>
      <c r="DO137">
        <v>20.37</v>
      </c>
      <c r="DP137">
        <v>6.49</v>
      </c>
      <c r="DQ137">
        <v>6.49</v>
      </c>
      <c r="DR137">
        <v>4.76</v>
      </c>
      <c r="DS137">
        <v>1.1000000000000001</v>
      </c>
      <c r="DT137">
        <v>27.95</v>
      </c>
      <c r="DU137">
        <v>7.22</v>
      </c>
      <c r="DV137">
        <v>27.4220369064479</v>
      </c>
    </row>
    <row r="138" spans="106:126">
      <c r="DB138" t="s">
        <v>335</v>
      </c>
      <c r="DC138" t="s">
        <v>335</v>
      </c>
      <c r="DD138" t="s">
        <v>97</v>
      </c>
      <c r="DE138">
        <v>15</v>
      </c>
      <c r="DF138">
        <v>2.5</v>
      </c>
      <c r="DG138">
        <v>0.22</v>
      </c>
      <c r="DH138">
        <v>0.22</v>
      </c>
      <c r="DI138">
        <v>7.38</v>
      </c>
      <c r="DJ138">
        <v>6.6</v>
      </c>
      <c r="DK138">
        <v>1.1000000000000001</v>
      </c>
      <c r="DL138">
        <v>166.32</v>
      </c>
      <c r="DM138">
        <v>8.74</v>
      </c>
      <c r="DN138">
        <v>22.18</v>
      </c>
      <c r="DO138">
        <v>22.18</v>
      </c>
      <c r="DP138">
        <v>7</v>
      </c>
      <c r="DQ138">
        <v>7</v>
      </c>
      <c r="DR138">
        <v>4.75</v>
      </c>
      <c r="DS138">
        <v>1.0900000000000001</v>
      </c>
      <c r="DT138">
        <v>30.52</v>
      </c>
      <c r="DU138">
        <v>7.84</v>
      </c>
      <c r="DV138">
        <v>29.563726784909999</v>
      </c>
    </row>
    <row r="139" spans="106:126">
      <c r="DB139" t="s">
        <v>336</v>
      </c>
      <c r="DC139" t="s">
        <v>336</v>
      </c>
      <c r="DD139" t="s">
        <v>97</v>
      </c>
      <c r="DE139">
        <v>15</v>
      </c>
      <c r="DF139">
        <v>2.5</v>
      </c>
      <c r="DG139">
        <v>0.26</v>
      </c>
      <c r="DH139">
        <v>0.26</v>
      </c>
      <c r="DI139">
        <v>8.66</v>
      </c>
      <c r="DJ139">
        <v>7.8</v>
      </c>
      <c r="DK139">
        <v>1.3</v>
      </c>
      <c r="DL139">
        <v>192.52</v>
      </c>
      <c r="DM139">
        <v>9.91</v>
      </c>
      <c r="DN139">
        <v>25.67</v>
      </c>
      <c r="DO139">
        <v>25.67</v>
      </c>
      <c r="DP139">
        <v>7.93</v>
      </c>
      <c r="DQ139">
        <v>7.93</v>
      </c>
      <c r="DR139">
        <v>4.71</v>
      </c>
      <c r="DS139">
        <v>1.07</v>
      </c>
      <c r="DT139">
        <v>35.54</v>
      </c>
      <c r="DU139">
        <v>9.0399999999999991</v>
      </c>
      <c r="DV139">
        <v>33.472667029299302</v>
      </c>
    </row>
    <row r="140" spans="106:126">
      <c r="DB140" t="s">
        <v>337</v>
      </c>
      <c r="DC140" t="s">
        <v>337</v>
      </c>
      <c r="DD140" t="s">
        <v>97</v>
      </c>
      <c r="DE140">
        <v>15</v>
      </c>
      <c r="DF140">
        <v>3</v>
      </c>
      <c r="DG140">
        <v>0.16</v>
      </c>
      <c r="DH140">
        <v>0.16</v>
      </c>
      <c r="DI140">
        <v>5.59</v>
      </c>
      <c r="DJ140">
        <v>4.8</v>
      </c>
      <c r="DK140">
        <v>0.96</v>
      </c>
      <c r="DL140">
        <v>133.54</v>
      </c>
      <c r="DM140">
        <v>10.06</v>
      </c>
      <c r="DN140">
        <v>17.809999999999999</v>
      </c>
      <c r="DO140">
        <v>17.809999999999999</v>
      </c>
      <c r="DP140">
        <v>6.71</v>
      </c>
      <c r="DQ140">
        <v>6.71</v>
      </c>
      <c r="DR140">
        <v>4.8899999999999997</v>
      </c>
      <c r="DS140">
        <v>1.34</v>
      </c>
      <c r="DT140">
        <v>23.87</v>
      </c>
      <c r="DU140">
        <v>7.29</v>
      </c>
      <c r="DV140">
        <v>32.6758495105218</v>
      </c>
    </row>
    <row r="141" spans="106:126">
      <c r="DB141" t="s">
        <v>338</v>
      </c>
      <c r="DC141" t="s">
        <v>338</v>
      </c>
      <c r="DD141" t="s">
        <v>97</v>
      </c>
      <c r="DE141">
        <v>15</v>
      </c>
      <c r="DF141">
        <v>3</v>
      </c>
      <c r="DG141">
        <v>0.18</v>
      </c>
      <c r="DH141">
        <v>0.18</v>
      </c>
      <c r="DI141">
        <v>6.27</v>
      </c>
      <c r="DJ141">
        <v>5.4</v>
      </c>
      <c r="DK141">
        <v>1.08</v>
      </c>
      <c r="DL141">
        <v>148.79</v>
      </c>
      <c r="DM141">
        <v>11.12</v>
      </c>
      <c r="DN141">
        <v>19.84</v>
      </c>
      <c r="DO141">
        <v>19.84</v>
      </c>
      <c r="DP141">
        <v>7.42</v>
      </c>
      <c r="DQ141">
        <v>7.42</v>
      </c>
      <c r="DR141">
        <v>4.87</v>
      </c>
      <c r="DS141">
        <v>1.33</v>
      </c>
      <c r="DT141">
        <v>26.67</v>
      </c>
      <c r="DU141">
        <v>8.1199999999999992</v>
      </c>
      <c r="DV141">
        <v>36.222959062373903</v>
      </c>
    </row>
    <row r="142" spans="106:126">
      <c r="DB142" t="s">
        <v>339</v>
      </c>
      <c r="DC142" t="s">
        <v>339</v>
      </c>
      <c r="DD142" t="s">
        <v>97</v>
      </c>
      <c r="DE142">
        <v>15</v>
      </c>
      <c r="DF142">
        <v>3</v>
      </c>
      <c r="DG142">
        <v>0.2</v>
      </c>
      <c r="DH142">
        <v>0.2</v>
      </c>
      <c r="DI142">
        <v>6.94</v>
      </c>
      <c r="DJ142">
        <v>6</v>
      </c>
      <c r="DK142">
        <v>1.2</v>
      </c>
      <c r="DL142">
        <v>163.72</v>
      </c>
      <c r="DM142">
        <v>12.15</v>
      </c>
      <c r="DN142">
        <v>21.83</v>
      </c>
      <c r="DO142">
        <v>21.83</v>
      </c>
      <c r="DP142">
        <v>8.1</v>
      </c>
      <c r="DQ142">
        <v>8.1</v>
      </c>
      <c r="DR142">
        <v>4.8600000000000003</v>
      </c>
      <c r="DS142">
        <v>1.32</v>
      </c>
      <c r="DT142">
        <v>29.43</v>
      </c>
      <c r="DU142">
        <v>8.93</v>
      </c>
      <c r="DV142">
        <v>39.634120568516998</v>
      </c>
    </row>
    <row r="143" spans="106:126">
      <c r="DB143" t="s">
        <v>340</v>
      </c>
      <c r="DC143" t="s">
        <v>340</v>
      </c>
      <c r="DD143" t="s">
        <v>97</v>
      </c>
      <c r="DE143">
        <v>15</v>
      </c>
      <c r="DF143">
        <v>3</v>
      </c>
      <c r="DG143">
        <v>0.25</v>
      </c>
      <c r="DH143">
        <v>0.25</v>
      </c>
      <c r="DI143">
        <v>8.59</v>
      </c>
      <c r="DJ143">
        <v>7.5</v>
      </c>
      <c r="DK143">
        <v>1.5</v>
      </c>
      <c r="DL143">
        <v>199.68</v>
      </c>
      <c r="DM143">
        <v>14.53</v>
      </c>
      <c r="DN143">
        <v>26.63</v>
      </c>
      <c r="DO143">
        <v>26.63</v>
      </c>
      <c r="DP143">
        <v>9.69</v>
      </c>
      <c r="DQ143">
        <v>9.69</v>
      </c>
      <c r="DR143">
        <v>4.82</v>
      </c>
      <c r="DS143">
        <v>1.3</v>
      </c>
      <c r="DT143">
        <v>36.14</v>
      </c>
      <c r="DU143">
        <v>10.86</v>
      </c>
      <c r="DV143">
        <v>47.537055016472401</v>
      </c>
    </row>
    <row r="144" spans="106:126">
      <c r="DB144" t="s">
        <v>341</v>
      </c>
      <c r="DC144" t="s">
        <v>341</v>
      </c>
      <c r="DD144" t="s">
        <v>97</v>
      </c>
      <c r="DE144">
        <v>15</v>
      </c>
      <c r="DF144">
        <v>3</v>
      </c>
      <c r="DG144">
        <v>0.28999999999999998</v>
      </c>
      <c r="DH144">
        <v>0.28999999999999998</v>
      </c>
      <c r="DI144">
        <v>9.89</v>
      </c>
      <c r="DJ144">
        <v>8.6999999999999993</v>
      </c>
      <c r="DK144">
        <v>1.74</v>
      </c>
      <c r="DL144">
        <v>227.06</v>
      </c>
      <c r="DM144">
        <v>16.27</v>
      </c>
      <c r="DN144">
        <v>30.28</v>
      </c>
      <c r="DO144">
        <v>30.28</v>
      </c>
      <c r="DP144">
        <v>10.85</v>
      </c>
      <c r="DQ144">
        <v>10.85</v>
      </c>
      <c r="DR144">
        <v>4.79</v>
      </c>
      <c r="DS144">
        <v>1.28</v>
      </c>
      <c r="DT144">
        <v>41.34</v>
      </c>
      <c r="DU144">
        <v>12.32</v>
      </c>
      <c r="DV144">
        <v>53.180612569440697</v>
      </c>
    </row>
    <row r="145" spans="106:126">
      <c r="DB145" t="s">
        <v>342</v>
      </c>
      <c r="DC145" t="s">
        <v>342</v>
      </c>
      <c r="DD145" t="s">
        <v>97</v>
      </c>
      <c r="DE145">
        <v>15</v>
      </c>
      <c r="DF145">
        <v>5</v>
      </c>
      <c r="DG145">
        <v>0.16</v>
      </c>
      <c r="DH145">
        <v>0.16</v>
      </c>
      <c r="DI145">
        <v>6.23</v>
      </c>
      <c r="DJ145">
        <v>4.8</v>
      </c>
      <c r="DK145">
        <v>1.6</v>
      </c>
      <c r="DL145">
        <v>168.78</v>
      </c>
      <c r="DM145">
        <v>30.45</v>
      </c>
      <c r="DN145">
        <v>22.51</v>
      </c>
      <c r="DO145">
        <v>22.51</v>
      </c>
      <c r="DP145">
        <v>12.18</v>
      </c>
      <c r="DQ145">
        <v>12.18</v>
      </c>
      <c r="DR145">
        <v>5.2</v>
      </c>
      <c r="DS145">
        <v>2.21</v>
      </c>
      <c r="DT145">
        <v>28.62</v>
      </c>
      <c r="DU145">
        <v>13.21</v>
      </c>
      <c r="DV145">
        <v>85.503225740039198</v>
      </c>
    </row>
    <row r="146" spans="106:126">
      <c r="DB146" t="s">
        <v>343</v>
      </c>
      <c r="DC146" t="s">
        <v>343</v>
      </c>
      <c r="DD146" t="s">
        <v>97</v>
      </c>
      <c r="DE146">
        <v>15</v>
      </c>
      <c r="DF146">
        <v>5</v>
      </c>
      <c r="DG146">
        <v>0.2</v>
      </c>
      <c r="DH146">
        <v>0.2</v>
      </c>
      <c r="DI146">
        <v>7.74</v>
      </c>
      <c r="DJ146">
        <v>6</v>
      </c>
      <c r="DK146">
        <v>2</v>
      </c>
      <c r="DL146">
        <v>207.53</v>
      </c>
      <c r="DM146">
        <v>37.200000000000003</v>
      </c>
      <c r="DN146">
        <v>27.68</v>
      </c>
      <c r="DO146">
        <v>27.68</v>
      </c>
      <c r="DP146">
        <v>14.88</v>
      </c>
      <c r="DQ146">
        <v>14.88</v>
      </c>
      <c r="DR146">
        <v>5.18</v>
      </c>
      <c r="DS146">
        <v>2.19</v>
      </c>
      <c r="DT146">
        <v>35.35</v>
      </c>
      <c r="DU146">
        <v>16.260000000000002</v>
      </c>
      <c r="DV146">
        <v>105.189548234805</v>
      </c>
    </row>
    <row r="147" spans="106:126">
      <c r="DB147" t="s">
        <v>344</v>
      </c>
      <c r="DC147" t="s">
        <v>344</v>
      </c>
      <c r="DD147" t="s">
        <v>97</v>
      </c>
      <c r="DE147">
        <v>15</v>
      </c>
      <c r="DF147">
        <v>5</v>
      </c>
      <c r="DG147">
        <v>0.22</v>
      </c>
      <c r="DH147">
        <v>0.22</v>
      </c>
      <c r="DI147">
        <v>8.48</v>
      </c>
      <c r="DJ147">
        <v>6.6</v>
      </c>
      <c r="DK147">
        <v>2.2000000000000002</v>
      </c>
      <c r="DL147">
        <v>226.4</v>
      </c>
      <c r="DM147">
        <v>40.450000000000003</v>
      </c>
      <c r="DN147">
        <v>30.19</v>
      </c>
      <c r="DO147">
        <v>30.19</v>
      </c>
      <c r="DP147">
        <v>16.18</v>
      </c>
      <c r="DQ147">
        <v>16.18</v>
      </c>
      <c r="DR147">
        <v>5.17</v>
      </c>
      <c r="DS147">
        <v>2.1800000000000002</v>
      </c>
      <c r="DT147">
        <v>38.65</v>
      </c>
      <c r="DU147">
        <v>17.75</v>
      </c>
      <c r="DV147">
        <v>114.732720855976</v>
      </c>
    </row>
    <row r="148" spans="106:126">
      <c r="DB148" t="s">
        <v>345</v>
      </c>
      <c r="DC148" t="s">
        <v>345</v>
      </c>
      <c r="DD148" t="s">
        <v>97</v>
      </c>
      <c r="DE148">
        <v>15</v>
      </c>
      <c r="DF148">
        <v>5</v>
      </c>
      <c r="DG148">
        <v>0.25</v>
      </c>
      <c r="DH148">
        <v>0.25</v>
      </c>
      <c r="DI148">
        <v>9.59</v>
      </c>
      <c r="DJ148">
        <v>7.5</v>
      </c>
      <c r="DK148">
        <v>2.5</v>
      </c>
      <c r="DL148">
        <v>254.08</v>
      </c>
      <c r="DM148">
        <v>45.17</v>
      </c>
      <c r="DN148">
        <v>33.880000000000003</v>
      </c>
      <c r="DO148">
        <v>33.880000000000003</v>
      </c>
      <c r="DP148">
        <v>18.07</v>
      </c>
      <c r="DQ148">
        <v>18.07</v>
      </c>
      <c r="DR148">
        <v>5.15</v>
      </c>
      <c r="DS148">
        <v>2.17</v>
      </c>
      <c r="DT148">
        <v>43.52</v>
      </c>
      <c r="DU148">
        <v>19.95</v>
      </c>
      <c r="DV148">
        <v>128.64904569809201</v>
      </c>
    </row>
    <row r="149" spans="106:126">
      <c r="DB149" t="s">
        <v>346</v>
      </c>
      <c r="DC149" t="s">
        <v>346</v>
      </c>
      <c r="DD149" t="s">
        <v>97</v>
      </c>
      <c r="DE149">
        <v>15</v>
      </c>
      <c r="DF149">
        <v>5</v>
      </c>
      <c r="DG149">
        <v>0.28000000000000003</v>
      </c>
      <c r="DH149">
        <v>0.28000000000000003</v>
      </c>
      <c r="DI149">
        <v>10.68</v>
      </c>
      <c r="DJ149">
        <v>8.4</v>
      </c>
      <c r="DK149">
        <v>2.8</v>
      </c>
      <c r="DL149">
        <v>281.01</v>
      </c>
      <c r="DM149">
        <v>49.72</v>
      </c>
      <c r="DN149">
        <v>37.47</v>
      </c>
      <c r="DO149">
        <v>37.47</v>
      </c>
      <c r="DP149">
        <v>19.89</v>
      </c>
      <c r="DQ149">
        <v>19.89</v>
      </c>
      <c r="DR149">
        <v>5.13</v>
      </c>
      <c r="DS149">
        <v>2.16</v>
      </c>
      <c r="DT149">
        <v>48.3</v>
      </c>
      <c r="DU149">
        <v>22.09</v>
      </c>
      <c r="DV149">
        <v>142.06252982308001</v>
      </c>
    </row>
    <row r="150" spans="106:126">
      <c r="DB150" t="s">
        <v>347</v>
      </c>
      <c r="DC150" t="s">
        <v>347</v>
      </c>
      <c r="DD150" t="s">
        <v>97</v>
      </c>
      <c r="DE150">
        <v>15</v>
      </c>
      <c r="DF150">
        <v>5</v>
      </c>
      <c r="DG150">
        <v>0.32</v>
      </c>
      <c r="DH150">
        <v>0.32</v>
      </c>
      <c r="DI150">
        <v>12.13</v>
      </c>
      <c r="DJ150">
        <v>9.6</v>
      </c>
      <c r="DK150">
        <v>3.2</v>
      </c>
      <c r="DL150">
        <v>315.76</v>
      </c>
      <c r="DM150">
        <v>55.5</v>
      </c>
      <c r="DN150">
        <v>42.11</v>
      </c>
      <c r="DO150">
        <v>42.11</v>
      </c>
      <c r="DP150">
        <v>22.2</v>
      </c>
      <c r="DQ150">
        <v>22.2</v>
      </c>
      <c r="DR150">
        <v>5.0999999999999996</v>
      </c>
      <c r="DS150">
        <v>2.14</v>
      </c>
      <c r="DT150">
        <v>54.52</v>
      </c>
      <c r="DU150">
        <v>24.86</v>
      </c>
      <c r="DV150">
        <v>159.117607866311</v>
      </c>
    </row>
    <row r="151" spans="106:126">
      <c r="DB151" t="s">
        <v>348</v>
      </c>
      <c r="DC151" t="s">
        <v>348</v>
      </c>
      <c r="DD151" t="s">
        <v>97</v>
      </c>
      <c r="DE151">
        <v>15</v>
      </c>
      <c r="DF151">
        <v>5</v>
      </c>
      <c r="DG151">
        <v>0.36</v>
      </c>
      <c r="DH151">
        <v>0.36</v>
      </c>
      <c r="DI151">
        <v>13.55</v>
      </c>
      <c r="DJ151">
        <v>10.8</v>
      </c>
      <c r="DK151">
        <v>3.6</v>
      </c>
      <c r="DL151">
        <v>349.22</v>
      </c>
      <c r="DM151">
        <v>60.98</v>
      </c>
      <c r="DN151">
        <v>46.57</v>
      </c>
      <c r="DO151">
        <v>46.57</v>
      </c>
      <c r="DP151">
        <v>24.4</v>
      </c>
      <c r="DQ151">
        <v>24.4</v>
      </c>
      <c r="DR151">
        <v>5.08</v>
      </c>
      <c r="DS151">
        <v>2.12</v>
      </c>
      <c r="DT151">
        <v>60.58</v>
      </c>
      <c r="DU151">
        <v>27.54</v>
      </c>
      <c r="DV151">
        <v>175.166276531596</v>
      </c>
    </row>
    <row r="152" spans="106:126">
      <c r="DB152" t="s">
        <v>349</v>
      </c>
      <c r="DC152" t="s">
        <v>349</v>
      </c>
      <c r="DD152" t="s">
        <v>97</v>
      </c>
      <c r="DE152">
        <v>15</v>
      </c>
      <c r="DF152">
        <v>5</v>
      </c>
      <c r="DG152">
        <v>0.4</v>
      </c>
      <c r="DH152">
        <v>0.4</v>
      </c>
      <c r="DI152">
        <v>14.95</v>
      </c>
      <c r="DJ152">
        <v>12</v>
      </c>
      <c r="DK152">
        <v>4</v>
      </c>
      <c r="DL152">
        <v>381.39</v>
      </c>
      <c r="DM152">
        <v>66.16</v>
      </c>
      <c r="DN152">
        <v>50.86</v>
      </c>
      <c r="DO152">
        <v>50.86</v>
      </c>
      <c r="DP152">
        <v>26.47</v>
      </c>
      <c r="DQ152">
        <v>26.47</v>
      </c>
      <c r="DR152">
        <v>5.05</v>
      </c>
      <c r="DS152">
        <v>2.1</v>
      </c>
      <c r="DT152">
        <v>66.47</v>
      </c>
      <c r="DU152">
        <v>30.13</v>
      </c>
      <c r="DV152">
        <v>190.146604350275</v>
      </c>
    </row>
    <row r="153" spans="106:126">
      <c r="DB153" t="s">
        <v>350</v>
      </c>
      <c r="DC153" t="s">
        <v>350</v>
      </c>
      <c r="DD153" t="s">
        <v>97</v>
      </c>
      <c r="DE153">
        <v>15</v>
      </c>
      <c r="DF153">
        <v>5</v>
      </c>
      <c r="DG153">
        <v>0.45</v>
      </c>
      <c r="DH153">
        <v>0.45</v>
      </c>
      <c r="DI153">
        <v>16.670000000000002</v>
      </c>
      <c r="DJ153">
        <v>13.5</v>
      </c>
      <c r="DK153">
        <v>4.5</v>
      </c>
      <c r="DL153">
        <v>419.82</v>
      </c>
      <c r="DM153">
        <v>72.23</v>
      </c>
      <c r="DN153">
        <v>55.98</v>
      </c>
      <c r="DO153">
        <v>55.98</v>
      </c>
      <c r="DP153">
        <v>28.9</v>
      </c>
      <c r="DQ153">
        <v>28.9</v>
      </c>
      <c r="DR153">
        <v>5.0199999999999996</v>
      </c>
      <c r="DS153">
        <v>2.08</v>
      </c>
      <c r="DT153">
        <v>73.599999999999994</v>
      </c>
      <c r="DU153">
        <v>33.24</v>
      </c>
      <c r="DV153">
        <v>207.278824598775</v>
      </c>
    </row>
    <row r="154" spans="106:126">
      <c r="DB154" t="s">
        <v>351</v>
      </c>
      <c r="DC154" t="s">
        <v>351</v>
      </c>
      <c r="DD154" t="s">
        <v>97</v>
      </c>
      <c r="DE154">
        <v>15</v>
      </c>
      <c r="DF154">
        <v>5</v>
      </c>
      <c r="DG154">
        <v>0.5</v>
      </c>
      <c r="DH154">
        <v>0.5</v>
      </c>
      <c r="DI154">
        <v>18.36</v>
      </c>
      <c r="DJ154">
        <v>15</v>
      </c>
      <c r="DK154">
        <v>5</v>
      </c>
      <c r="DL154">
        <v>456.29</v>
      </c>
      <c r="DM154">
        <v>77.87</v>
      </c>
      <c r="DN154">
        <v>60.84</v>
      </c>
      <c r="DO154">
        <v>60.84</v>
      </c>
      <c r="DP154">
        <v>31.15</v>
      </c>
      <c r="DQ154">
        <v>31.15</v>
      </c>
      <c r="DR154">
        <v>4.99</v>
      </c>
      <c r="DS154">
        <v>2.06</v>
      </c>
      <c r="DT154">
        <v>80.48</v>
      </c>
      <c r="DU154">
        <v>36.200000000000003</v>
      </c>
      <c r="DV154">
        <v>222.53745372181299</v>
      </c>
    </row>
    <row r="155" spans="106:126">
      <c r="DB155" t="s">
        <v>352</v>
      </c>
      <c r="DC155" t="s">
        <v>352</v>
      </c>
      <c r="DD155" t="s">
        <v>97</v>
      </c>
      <c r="DE155">
        <v>15</v>
      </c>
      <c r="DF155">
        <v>7.5</v>
      </c>
      <c r="DG155">
        <v>0.25</v>
      </c>
      <c r="DH155">
        <v>0.25</v>
      </c>
      <c r="DI155">
        <v>10.84</v>
      </c>
      <c r="DJ155">
        <v>7.5</v>
      </c>
      <c r="DK155">
        <v>3.75</v>
      </c>
      <c r="DL155">
        <v>322.07</v>
      </c>
      <c r="DM155">
        <v>110.68</v>
      </c>
      <c r="DN155">
        <v>42.95</v>
      </c>
      <c r="DO155">
        <v>42.95</v>
      </c>
      <c r="DP155">
        <v>29.52</v>
      </c>
      <c r="DQ155">
        <v>29.52</v>
      </c>
      <c r="DR155">
        <v>5.45</v>
      </c>
      <c r="DS155">
        <v>3.2</v>
      </c>
      <c r="DT155">
        <v>52.74</v>
      </c>
      <c r="DU155">
        <v>32.72</v>
      </c>
      <c r="DV155">
        <v>266.34903751078502</v>
      </c>
    </row>
    <row r="156" spans="106:126">
      <c r="DB156" t="s">
        <v>353</v>
      </c>
      <c r="DC156" t="s">
        <v>353</v>
      </c>
      <c r="DD156" t="s">
        <v>97</v>
      </c>
      <c r="DE156">
        <v>15</v>
      </c>
      <c r="DF156">
        <v>7.5</v>
      </c>
      <c r="DG156">
        <v>0.28999999999999998</v>
      </c>
      <c r="DH156">
        <v>0.28999999999999998</v>
      </c>
      <c r="DI156">
        <v>12.5</v>
      </c>
      <c r="DJ156">
        <v>8.6999999999999993</v>
      </c>
      <c r="DK156">
        <v>4.3499999999999996</v>
      </c>
      <c r="DL156">
        <v>368.27</v>
      </c>
      <c r="DM156">
        <v>126.19</v>
      </c>
      <c r="DN156">
        <v>49.11</v>
      </c>
      <c r="DO156">
        <v>49.11</v>
      </c>
      <c r="DP156">
        <v>33.659999999999997</v>
      </c>
      <c r="DQ156">
        <v>33.659999999999997</v>
      </c>
      <c r="DR156">
        <v>5.43</v>
      </c>
      <c r="DS156">
        <v>3.18</v>
      </c>
      <c r="DT156">
        <v>60.53</v>
      </c>
      <c r="DU156">
        <v>37.51</v>
      </c>
      <c r="DV156">
        <v>305.38419960577801</v>
      </c>
    </row>
    <row r="157" spans="106:126">
      <c r="DB157" t="s">
        <v>354</v>
      </c>
      <c r="DC157" t="s">
        <v>354</v>
      </c>
      <c r="DD157" t="s">
        <v>97</v>
      </c>
      <c r="DE157">
        <v>15</v>
      </c>
      <c r="DF157">
        <v>7.5</v>
      </c>
      <c r="DG157">
        <v>0.32</v>
      </c>
      <c r="DH157">
        <v>0.32</v>
      </c>
      <c r="DI157">
        <v>13.73</v>
      </c>
      <c r="DJ157">
        <v>9.6</v>
      </c>
      <c r="DK157">
        <v>4.8</v>
      </c>
      <c r="DL157">
        <v>401.98</v>
      </c>
      <c r="DM157">
        <v>137.44</v>
      </c>
      <c r="DN157">
        <v>53.6</v>
      </c>
      <c r="DO157">
        <v>53.6</v>
      </c>
      <c r="DP157">
        <v>36.659999999999997</v>
      </c>
      <c r="DQ157">
        <v>36.659999999999997</v>
      </c>
      <c r="DR157">
        <v>5.41</v>
      </c>
      <c r="DS157">
        <v>3.16</v>
      </c>
      <c r="DT157">
        <v>66.260000000000005</v>
      </c>
      <c r="DU157">
        <v>41.02</v>
      </c>
      <c r="DV157">
        <v>333.84913562810402</v>
      </c>
    </row>
    <row r="158" spans="106:126">
      <c r="DB158" t="s">
        <v>355</v>
      </c>
      <c r="DC158" t="s">
        <v>355</v>
      </c>
      <c r="DD158" t="s">
        <v>97</v>
      </c>
      <c r="DE158">
        <v>15</v>
      </c>
      <c r="DF158">
        <v>7.5</v>
      </c>
      <c r="DG158">
        <v>0.36</v>
      </c>
      <c r="DH158">
        <v>0.36</v>
      </c>
      <c r="DI158">
        <v>15.35</v>
      </c>
      <c r="DJ158">
        <v>10.8</v>
      </c>
      <c r="DK158">
        <v>5.4</v>
      </c>
      <c r="DL158">
        <v>445.69</v>
      </c>
      <c r="DM158">
        <v>151.94</v>
      </c>
      <c r="DN158">
        <v>59.43</v>
      </c>
      <c r="DO158">
        <v>59.43</v>
      </c>
      <c r="DP158">
        <v>40.520000000000003</v>
      </c>
      <c r="DQ158">
        <v>40.520000000000003</v>
      </c>
      <c r="DR158">
        <v>5.39</v>
      </c>
      <c r="DS158">
        <v>3.15</v>
      </c>
      <c r="DT158">
        <v>73.75</v>
      </c>
      <c r="DU158">
        <v>45.6</v>
      </c>
      <c r="DV158">
        <v>370.64611450668502</v>
      </c>
    </row>
    <row r="159" spans="106:126">
      <c r="DB159" t="s">
        <v>356</v>
      </c>
      <c r="DC159" t="s">
        <v>356</v>
      </c>
      <c r="DD159" t="s">
        <v>97</v>
      </c>
      <c r="DE159">
        <v>15</v>
      </c>
      <c r="DF159">
        <v>7.5</v>
      </c>
      <c r="DG159">
        <v>0.4</v>
      </c>
      <c r="DH159">
        <v>0.4</v>
      </c>
      <c r="DI159">
        <v>16.95</v>
      </c>
      <c r="DJ159">
        <v>12</v>
      </c>
      <c r="DK159">
        <v>6</v>
      </c>
      <c r="DL159">
        <v>488</v>
      </c>
      <c r="DM159">
        <v>165.88</v>
      </c>
      <c r="DN159">
        <v>65.069999999999993</v>
      </c>
      <c r="DO159">
        <v>65.069999999999993</v>
      </c>
      <c r="DP159">
        <v>44.24</v>
      </c>
      <c r="DQ159">
        <v>44.24</v>
      </c>
      <c r="DR159">
        <v>5.37</v>
      </c>
      <c r="DS159">
        <v>3.13</v>
      </c>
      <c r="DT159">
        <v>81.069999999999993</v>
      </c>
      <c r="DU159">
        <v>50.06</v>
      </c>
      <c r="DV159">
        <v>406.03725965380198</v>
      </c>
    </row>
    <row r="160" spans="106:126">
      <c r="DB160" t="s">
        <v>357</v>
      </c>
      <c r="DC160" t="s">
        <v>357</v>
      </c>
      <c r="DD160" t="s">
        <v>97</v>
      </c>
      <c r="DE160">
        <v>15</v>
      </c>
      <c r="DF160">
        <v>7.5</v>
      </c>
      <c r="DG160">
        <v>0.5</v>
      </c>
      <c r="DH160">
        <v>0.5</v>
      </c>
      <c r="DI160">
        <v>20.86</v>
      </c>
      <c r="DJ160">
        <v>15</v>
      </c>
      <c r="DK160">
        <v>7.5</v>
      </c>
      <c r="DL160">
        <v>587.74</v>
      </c>
      <c r="DM160">
        <v>198.36</v>
      </c>
      <c r="DN160">
        <v>78.37</v>
      </c>
      <c r="DO160">
        <v>78.37</v>
      </c>
      <c r="DP160">
        <v>52.9</v>
      </c>
      <c r="DQ160">
        <v>52.9</v>
      </c>
      <c r="DR160">
        <v>5.31</v>
      </c>
      <c r="DS160">
        <v>3.08</v>
      </c>
      <c r="DT160">
        <v>98.61</v>
      </c>
      <c r="DU160">
        <v>60.71</v>
      </c>
      <c r="DV160">
        <v>487.76915500284599</v>
      </c>
    </row>
    <row r="161" spans="106:126">
      <c r="DB161" t="s">
        <v>358</v>
      </c>
      <c r="DC161" t="s">
        <v>358</v>
      </c>
      <c r="DD161" t="s">
        <v>97</v>
      </c>
      <c r="DE161">
        <v>15</v>
      </c>
      <c r="DF161">
        <v>7.5</v>
      </c>
      <c r="DG161">
        <v>0.6</v>
      </c>
      <c r="DH161">
        <v>0.6</v>
      </c>
      <c r="DI161">
        <v>24.63</v>
      </c>
      <c r="DJ161">
        <v>18</v>
      </c>
      <c r="DK161">
        <v>9</v>
      </c>
      <c r="DL161">
        <v>679.08</v>
      </c>
      <c r="DM161">
        <v>227.56</v>
      </c>
      <c r="DN161">
        <v>90.55</v>
      </c>
      <c r="DO161">
        <v>90.55</v>
      </c>
      <c r="DP161">
        <v>60.69</v>
      </c>
      <c r="DQ161">
        <v>60.69</v>
      </c>
      <c r="DR161">
        <v>5.25</v>
      </c>
      <c r="DS161">
        <v>3.04</v>
      </c>
      <c r="DT161">
        <v>115.08</v>
      </c>
      <c r="DU161">
        <v>70.63</v>
      </c>
      <c r="DV161">
        <v>558.761149100431</v>
      </c>
    </row>
    <row r="162" spans="106:126">
      <c r="DB162" t="s">
        <v>359</v>
      </c>
      <c r="DC162" t="s">
        <v>359</v>
      </c>
      <c r="DD162" t="s">
        <v>97</v>
      </c>
      <c r="DE162">
        <v>15</v>
      </c>
      <c r="DF162">
        <v>10</v>
      </c>
      <c r="DG162">
        <v>0.28999999999999998</v>
      </c>
      <c r="DH162">
        <v>0.28999999999999998</v>
      </c>
      <c r="DI162">
        <v>13.95</v>
      </c>
      <c r="DJ162">
        <v>8.6999999999999993</v>
      </c>
      <c r="DK162">
        <v>5.8</v>
      </c>
      <c r="DL162">
        <v>446.72</v>
      </c>
      <c r="DM162">
        <v>240.24</v>
      </c>
      <c r="DN162">
        <v>59.57</v>
      </c>
      <c r="DO162">
        <v>59.57</v>
      </c>
      <c r="DP162">
        <v>48.05</v>
      </c>
      <c r="DQ162">
        <v>48.05</v>
      </c>
      <c r="DR162">
        <v>5.66</v>
      </c>
      <c r="DS162">
        <v>4.1500000000000004</v>
      </c>
      <c r="DT162">
        <v>71.2</v>
      </c>
      <c r="DU162">
        <v>54.03</v>
      </c>
      <c r="DV162">
        <v>497.40041916897098</v>
      </c>
    </row>
    <row r="163" spans="106:126">
      <c r="DB163" t="s">
        <v>360</v>
      </c>
      <c r="DC163" t="s">
        <v>360</v>
      </c>
      <c r="DD163" t="s">
        <v>97</v>
      </c>
      <c r="DE163">
        <v>15</v>
      </c>
      <c r="DF163">
        <v>10</v>
      </c>
      <c r="DG163">
        <v>0.32</v>
      </c>
      <c r="DH163">
        <v>0.32</v>
      </c>
      <c r="DI163">
        <v>15.33</v>
      </c>
      <c r="DJ163">
        <v>9.6</v>
      </c>
      <c r="DK163">
        <v>6.4</v>
      </c>
      <c r="DL163">
        <v>488.19</v>
      </c>
      <c r="DM163">
        <v>262.27</v>
      </c>
      <c r="DN163">
        <v>65.099999999999994</v>
      </c>
      <c r="DO163">
        <v>65.099999999999994</v>
      </c>
      <c r="DP163">
        <v>52.46</v>
      </c>
      <c r="DQ163">
        <v>52.46</v>
      </c>
      <c r="DR163">
        <v>5.64</v>
      </c>
      <c r="DS163">
        <v>4.1399999999999997</v>
      </c>
      <c r="DT163">
        <v>78.010000000000005</v>
      </c>
      <c r="DU163">
        <v>59.18</v>
      </c>
      <c r="DV163">
        <v>545.14942237172602</v>
      </c>
    </row>
    <row r="164" spans="106:126">
      <c r="DB164" t="s">
        <v>361</v>
      </c>
      <c r="DC164" t="s">
        <v>361</v>
      </c>
      <c r="DD164" t="s">
        <v>97</v>
      </c>
      <c r="DE164">
        <v>15</v>
      </c>
      <c r="DF164">
        <v>10</v>
      </c>
      <c r="DG164">
        <v>0.36</v>
      </c>
      <c r="DH164">
        <v>0.36</v>
      </c>
      <c r="DI164">
        <v>17.149999999999999</v>
      </c>
      <c r="DJ164">
        <v>10.8</v>
      </c>
      <c r="DK164">
        <v>7.2</v>
      </c>
      <c r="DL164">
        <v>542.16</v>
      </c>
      <c r="DM164">
        <v>290.86</v>
      </c>
      <c r="DN164">
        <v>72.290000000000006</v>
      </c>
      <c r="DO164">
        <v>72.290000000000006</v>
      </c>
      <c r="DP164">
        <v>58.18</v>
      </c>
      <c r="DQ164">
        <v>58.18</v>
      </c>
      <c r="DR164">
        <v>5.62</v>
      </c>
      <c r="DS164">
        <v>4.12</v>
      </c>
      <c r="DT164">
        <v>86.93</v>
      </c>
      <c r="DU164">
        <v>65.91</v>
      </c>
      <c r="DV164">
        <v>607.43650676727702</v>
      </c>
    </row>
    <row r="165" spans="106:126">
      <c r="DB165" t="s">
        <v>362</v>
      </c>
      <c r="DC165" t="s">
        <v>362</v>
      </c>
      <c r="DD165" t="s">
        <v>97</v>
      </c>
      <c r="DE165">
        <v>15</v>
      </c>
      <c r="DF165">
        <v>10</v>
      </c>
      <c r="DG165">
        <v>0.4</v>
      </c>
      <c r="DH165">
        <v>0.4</v>
      </c>
      <c r="DI165">
        <v>18.95</v>
      </c>
      <c r="DJ165">
        <v>12</v>
      </c>
      <c r="DK165">
        <v>8</v>
      </c>
      <c r="DL165">
        <v>594.6</v>
      </c>
      <c r="DM165">
        <v>318.57</v>
      </c>
      <c r="DN165">
        <v>79.28</v>
      </c>
      <c r="DO165">
        <v>79.28</v>
      </c>
      <c r="DP165">
        <v>63.72</v>
      </c>
      <c r="DQ165">
        <v>63.72</v>
      </c>
      <c r="DR165">
        <v>5.6</v>
      </c>
      <c r="DS165">
        <v>4.0999999999999996</v>
      </c>
      <c r="DT165">
        <v>95.67</v>
      </c>
      <c r="DU165">
        <v>72.5</v>
      </c>
      <c r="DV165">
        <v>668.04439500866499</v>
      </c>
    </row>
    <row r="166" spans="106:126">
      <c r="DB166" t="s">
        <v>363</v>
      </c>
      <c r="DC166" t="s">
        <v>363</v>
      </c>
      <c r="DD166" t="s">
        <v>97</v>
      </c>
      <c r="DE166">
        <v>15</v>
      </c>
      <c r="DF166">
        <v>10</v>
      </c>
      <c r="DG166">
        <v>0.5</v>
      </c>
      <c r="DH166">
        <v>0.5</v>
      </c>
      <c r="DI166">
        <v>23.36</v>
      </c>
      <c r="DJ166">
        <v>15</v>
      </c>
      <c r="DK166">
        <v>10</v>
      </c>
      <c r="DL166">
        <v>719.2</v>
      </c>
      <c r="DM166">
        <v>384.02</v>
      </c>
      <c r="DN166">
        <v>95.9</v>
      </c>
      <c r="DO166">
        <v>95.9</v>
      </c>
      <c r="DP166">
        <v>76.81</v>
      </c>
      <c r="DQ166">
        <v>76.81</v>
      </c>
      <c r="DR166">
        <v>5.55</v>
      </c>
      <c r="DS166">
        <v>4.05</v>
      </c>
      <c r="DT166">
        <v>116.73</v>
      </c>
      <c r="DU166">
        <v>88.34</v>
      </c>
      <c r="DV166">
        <v>811.47580689346</v>
      </c>
    </row>
    <row r="167" spans="106:126">
      <c r="DB167" t="s">
        <v>364</v>
      </c>
      <c r="DC167" t="s">
        <v>364</v>
      </c>
      <c r="DD167" t="s">
        <v>97</v>
      </c>
      <c r="DE167">
        <v>15</v>
      </c>
      <c r="DF167">
        <v>10</v>
      </c>
      <c r="DG167">
        <v>0.6</v>
      </c>
      <c r="DH167">
        <v>0.6</v>
      </c>
      <c r="DI167">
        <v>27.63</v>
      </c>
      <c r="DJ167">
        <v>18</v>
      </c>
      <c r="DK167">
        <v>12</v>
      </c>
      <c r="DL167">
        <v>834.69</v>
      </c>
      <c r="DM167">
        <v>444.19</v>
      </c>
      <c r="DN167">
        <v>111.3</v>
      </c>
      <c r="DO167">
        <v>111.3</v>
      </c>
      <c r="DP167">
        <v>88.84</v>
      </c>
      <c r="DQ167">
        <v>88.84</v>
      </c>
      <c r="DR167">
        <v>5.5</v>
      </c>
      <c r="DS167">
        <v>4.01</v>
      </c>
      <c r="DT167">
        <v>136.68</v>
      </c>
      <c r="DU167">
        <v>103.3</v>
      </c>
      <c r="DV167">
        <v>941.95449927870902</v>
      </c>
    </row>
    <row r="168" spans="106:126">
      <c r="DB168" t="s">
        <v>365</v>
      </c>
      <c r="DC168" t="s">
        <v>365</v>
      </c>
      <c r="DD168" t="s">
        <v>97</v>
      </c>
      <c r="DE168">
        <v>15</v>
      </c>
      <c r="DF168">
        <v>10</v>
      </c>
      <c r="DG168">
        <v>0.8</v>
      </c>
      <c r="DH168">
        <v>0.8</v>
      </c>
      <c r="DI168">
        <v>35.79</v>
      </c>
      <c r="DJ168">
        <v>24</v>
      </c>
      <c r="DK168">
        <v>16</v>
      </c>
      <c r="DL168">
        <v>1039.29</v>
      </c>
      <c r="DM168">
        <v>549.48</v>
      </c>
      <c r="DN168">
        <v>138.58000000000001</v>
      </c>
      <c r="DO168">
        <v>138.58000000000001</v>
      </c>
      <c r="DP168">
        <v>109.9</v>
      </c>
      <c r="DQ168">
        <v>109.9</v>
      </c>
      <c r="DR168">
        <v>5.39</v>
      </c>
      <c r="DS168">
        <v>3.92</v>
      </c>
      <c r="DT168">
        <v>173.31</v>
      </c>
      <c r="DU168">
        <v>130.63</v>
      </c>
      <c r="DV168">
        <v>1157.2810065838</v>
      </c>
    </row>
    <row r="169" spans="106:126">
      <c r="DB169" t="s">
        <v>366</v>
      </c>
      <c r="DC169" t="s">
        <v>366</v>
      </c>
      <c r="DD169" t="s">
        <v>97</v>
      </c>
      <c r="DE169">
        <v>20</v>
      </c>
      <c r="DF169">
        <v>10</v>
      </c>
      <c r="DG169">
        <v>0.28999999999999998</v>
      </c>
      <c r="DH169">
        <v>0.28999999999999998</v>
      </c>
      <c r="DI169">
        <v>16.850000000000001</v>
      </c>
      <c r="DJ169">
        <v>11.6</v>
      </c>
      <c r="DK169">
        <v>5.8</v>
      </c>
      <c r="DL169">
        <v>895.91</v>
      </c>
      <c r="DM169">
        <v>308.61</v>
      </c>
      <c r="DN169">
        <v>89.6</v>
      </c>
      <c r="DO169">
        <v>89.6</v>
      </c>
      <c r="DP169">
        <v>61.73</v>
      </c>
      <c r="DQ169">
        <v>61.73</v>
      </c>
      <c r="DR169">
        <v>7.29</v>
      </c>
      <c r="DS169">
        <v>4.28</v>
      </c>
      <c r="DT169">
        <v>109.69</v>
      </c>
      <c r="DU169">
        <v>68.11</v>
      </c>
      <c r="DV169">
        <v>738.86369505800303</v>
      </c>
    </row>
    <row r="170" spans="106:126">
      <c r="DB170" t="s">
        <v>367</v>
      </c>
      <c r="DC170" t="s">
        <v>367</v>
      </c>
      <c r="DD170" t="s">
        <v>97</v>
      </c>
      <c r="DE170">
        <v>20</v>
      </c>
      <c r="DF170">
        <v>10</v>
      </c>
      <c r="DG170">
        <v>0.32</v>
      </c>
      <c r="DH170">
        <v>0.32</v>
      </c>
      <c r="DI170">
        <v>18.53</v>
      </c>
      <c r="DJ170">
        <v>12.8</v>
      </c>
      <c r="DK170">
        <v>6.4</v>
      </c>
      <c r="DL170">
        <v>980.69</v>
      </c>
      <c r="DM170">
        <v>337.26</v>
      </c>
      <c r="DN170">
        <v>98.07</v>
      </c>
      <c r="DO170">
        <v>98.07</v>
      </c>
      <c r="DP170">
        <v>67.459999999999994</v>
      </c>
      <c r="DQ170">
        <v>67.459999999999994</v>
      </c>
      <c r="DR170">
        <v>7.27</v>
      </c>
      <c r="DS170">
        <v>4.2699999999999996</v>
      </c>
      <c r="DT170">
        <v>120.32</v>
      </c>
      <c r="DU170">
        <v>74.67</v>
      </c>
      <c r="DV170">
        <v>810.37193123986503</v>
      </c>
    </row>
    <row r="171" spans="106:126">
      <c r="DB171" t="s">
        <v>368</v>
      </c>
      <c r="DC171" t="s">
        <v>368</v>
      </c>
      <c r="DD171" t="s">
        <v>97</v>
      </c>
      <c r="DE171">
        <v>20</v>
      </c>
      <c r="DF171">
        <v>10</v>
      </c>
      <c r="DG171">
        <v>0.36</v>
      </c>
      <c r="DH171">
        <v>0.36</v>
      </c>
      <c r="DI171">
        <v>20.75</v>
      </c>
      <c r="DJ171">
        <v>14.4</v>
      </c>
      <c r="DK171">
        <v>7.2</v>
      </c>
      <c r="DL171">
        <v>1091.47</v>
      </c>
      <c r="DM171">
        <v>374.54</v>
      </c>
      <c r="DN171">
        <v>109.15</v>
      </c>
      <c r="DO171">
        <v>109.15</v>
      </c>
      <c r="DP171">
        <v>74.91</v>
      </c>
      <c r="DQ171">
        <v>74.91</v>
      </c>
      <c r="DR171">
        <v>7.25</v>
      </c>
      <c r="DS171">
        <v>4.25</v>
      </c>
      <c r="DT171">
        <v>134.30000000000001</v>
      </c>
      <c r="DU171">
        <v>83.26</v>
      </c>
      <c r="DV171">
        <v>903.95285717839602</v>
      </c>
    </row>
    <row r="172" spans="106:126">
      <c r="DB172" t="s">
        <v>369</v>
      </c>
      <c r="DC172" t="s">
        <v>369</v>
      </c>
      <c r="DD172" t="s">
        <v>97</v>
      </c>
      <c r="DE172">
        <v>20</v>
      </c>
      <c r="DF172">
        <v>10</v>
      </c>
      <c r="DG172">
        <v>0.4</v>
      </c>
      <c r="DH172">
        <v>0.4</v>
      </c>
      <c r="DI172">
        <v>22.95</v>
      </c>
      <c r="DJ172">
        <v>16</v>
      </c>
      <c r="DK172">
        <v>8</v>
      </c>
      <c r="DL172">
        <v>1199.71</v>
      </c>
      <c r="DM172">
        <v>410.78</v>
      </c>
      <c r="DN172">
        <v>119.98</v>
      </c>
      <c r="DO172">
        <v>119.98</v>
      </c>
      <c r="DP172">
        <v>82.16</v>
      </c>
      <c r="DQ172">
        <v>82.16</v>
      </c>
      <c r="DR172">
        <v>7.23</v>
      </c>
      <c r="DS172">
        <v>4.2300000000000004</v>
      </c>
      <c r="DT172">
        <v>148.04</v>
      </c>
      <c r="DU172">
        <v>91.7</v>
      </c>
      <c r="DV172">
        <v>995.40451840108699</v>
      </c>
    </row>
    <row r="173" spans="106:126">
      <c r="DB173" s="77" t="s">
        <v>370</v>
      </c>
      <c r="DC173" s="77" t="s">
        <v>370</v>
      </c>
      <c r="DD173" s="77" t="s">
        <v>97</v>
      </c>
      <c r="DE173" s="77">
        <v>20</v>
      </c>
      <c r="DF173" s="77">
        <v>10</v>
      </c>
      <c r="DG173" s="77">
        <v>0.5</v>
      </c>
      <c r="DH173" s="77">
        <v>0.5</v>
      </c>
      <c r="DI173" s="77">
        <v>28.36</v>
      </c>
      <c r="DJ173" s="77">
        <v>20</v>
      </c>
      <c r="DK173" s="77">
        <v>10</v>
      </c>
      <c r="DL173" s="77">
        <v>1459.25</v>
      </c>
      <c r="DM173" s="77">
        <v>496.94</v>
      </c>
      <c r="DN173" s="77">
        <v>145.93</v>
      </c>
      <c r="DO173" s="77">
        <v>145.93</v>
      </c>
      <c r="DP173" s="77">
        <v>99.39</v>
      </c>
      <c r="DQ173" s="77">
        <v>99.39</v>
      </c>
      <c r="DR173" s="77">
        <v>7.17</v>
      </c>
      <c r="DS173" s="77">
        <v>4.1900000000000004</v>
      </c>
      <c r="DT173" s="77">
        <v>181.37</v>
      </c>
      <c r="DU173" s="77">
        <v>112.09</v>
      </c>
      <c r="DV173" s="77">
        <v>1213.9060475234</v>
      </c>
    </row>
    <row r="174" spans="106:126">
      <c r="DB174" t="s">
        <v>371</v>
      </c>
      <c r="DC174" t="s">
        <v>371</v>
      </c>
      <c r="DD174" t="s">
        <v>97</v>
      </c>
      <c r="DE174">
        <v>20</v>
      </c>
      <c r="DF174">
        <v>10</v>
      </c>
      <c r="DG174">
        <v>0.6</v>
      </c>
      <c r="DH174">
        <v>0.6</v>
      </c>
      <c r="DI174">
        <v>33.630000000000003</v>
      </c>
      <c r="DJ174">
        <v>24</v>
      </c>
      <c r="DK174">
        <v>12</v>
      </c>
      <c r="DL174">
        <v>1703.31</v>
      </c>
      <c r="DM174">
        <v>576.91</v>
      </c>
      <c r="DN174">
        <v>170.34</v>
      </c>
      <c r="DO174">
        <v>170.34</v>
      </c>
      <c r="DP174">
        <v>115.39</v>
      </c>
      <c r="DQ174">
        <v>115.39</v>
      </c>
      <c r="DR174">
        <v>7.12</v>
      </c>
      <c r="DS174">
        <v>4.1399999999999997</v>
      </c>
      <c r="DT174">
        <v>213.27</v>
      </c>
      <c r="DU174">
        <v>131.5</v>
      </c>
      <c r="DV174">
        <v>1416.4082703082199</v>
      </c>
    </row>
    <row r="175" spans="106:126">
      <c r="DB175" t="s">
        <v>372</v>
      </c>
      <c r="DC175" t="s">
        <v>372</v>
      </c>
      <c r="DD175" t="s">
        <v>97</v>
      </c>
      <c r="DE175">
        <v>20</v>
      </c>
      <c r="DF175">
        <v>10</v>
      </c>
      <c r="DG175">
        <v>0.8</v>
      </c>
      <c r="DH175">
        <v>0.8</v>
      </c>
      <c r="DI175">
        <v>43.79</v>
      </c>
      <c r="DJ175">
        <v>32</v>
      </c>
      <c r="DK175">
        <v>16</v>
      </c>
      <c r="DL175">
        <v>2146.21</v>
      </c>
      <c r="DM175">
        <v>719.19</v>
      </c>
      <c r="DN175">
        <v>214.63</v>
      </c>
      <c r="DO175">
        <v>214.63</v>
      </c>
      <c r="DP175">
        <v>143.84</v>
      </c>
      <c r="DQ175">
        <v>143.84</v>
      </c>
      <c r="DR175">
        <v>7</v>
      </c>
      <c r="DS175">
        <v>4.05</v>
      </c>
      <c r="DT175">
        <v>272.79000000000002</v>
      </c>
      <c r="DU175">
        <v>167.43</v>
      </c>
      <c r="DV175">
        <v>1765.96116258902</v>
      </c>
    </row>
    <row r="176" spans="106:126">
      <c r="DB176" t="s">
        <v>373</v>
      </c>
      <c r="DC176" t="s">
        <v>373</v>
      </c>
      <c r="DD176" t="s">
        <v>97</v>
      </c>
      <c r="DE176">
        <v>24</v>
      </c>
      <c r="DF176">
        <v>12</v>
      </c>
      <c r="DG176">
        <v>0.4</v>
      </c>
      <c r="DH176">
        <v>0.4</v>
      </c>
      <c r="DI176">
        <v>27.75</v>
      </c>
      <c r="DJ176">
        <v>19.2</v>
      </c>
      <c r="DK176">
        <v>9.6</v>
      </c>
      <c r="DL176">
        <v>2110.7199999999998</v>
      </c>
      <c r="DM176">
        <v>725.35</v>
      </c>
      <c r="DN176">
        <v>175.9</v>
      </c>
      <c r="DO176">
        <v>175.9</v>
      </c>
      <c r="DP176">
        <v>120.9</v>
      </c>
      <c r="DQ176">
        <v>120.9</v>
      </c>
      <c r="DR176">
        <v>8.7200000000000006</v>
      </c>
      <c r="DS176">
        <v>5.1100000000000003</v>
      </c>
      <c r="DT176">
        <v>216.01</v>
      </c>
      <c r="DU176">
        <v>134.01</v>
      </c>
      <c r="DV176">
        <v>1745.5450522306801</v>
      </c>
    </row>
    <row r="177" spans="106:126">
      <c r="DB177" t="s">
        <v>374</v>
      </c>
      <c r="DC177" t="s">
        <v>374</v>
      </c>
      <c r="DD177" t="s">
        <v>97</v>
      </c>
      <c r="DE177">
        <v>24</v>
      </c>
      <c r="DF177">
        <v>12</v>
      </c>
      <c r="DG177">
        <v>0.5</v>
      </c>
      <c r="DH177">
        <v>0.5</v>
      </c>
      <c r="DI177">
        <v>34.36</v>
      </c>
      <c r="DJ177">
        <v>24</v>
      </c>
      <c r="DK177">
        <v>12</v>
      </c>
      <c r="DL177">
        <v>2579.67</v>
      </c>
      <c r="DM177">
        <v>882.47</v>
      </c>
      <c r="DN177">
        <v>214.98</v>
      </c>
      <c r="DO177">
        <v>214.98</v>
      </c>
      <c r="DP177">
        <v>147.08000000000001</v>
      </c>
      <c r="DQ177">
        <v>147.08000000000001</v>
      </c>
      <c r="DR177">
        <v>8.66</v>
      </c>
      <c r="DS177">
        <v>5.07</v>
      </c>
      <c r="DT177">
        <v>265.58</v>
      </c>
      <c r="DU177">
        <v>164.45</v>
      </c>
      <c r="DV177">
        <v>2141.7207869962599</v>
      </c>
    </row>
    <row r="178" spans="106:126">
      <c r="DB178" t="s">
        <v>375</v>
      </c>
      <c r="DC178" t="s">
        <v>375</v>
      </c>
      <c r="DD178" t="s">
        <v>97</v>
      </c>
      <c r="DE178">
        <v>24</v>
      </c>
      <c r="DF178">
        <v>12</v>
      </c>
      <c r="DG178">
        <v>0.54</v>
      </c>
      <c r="DH178">
        <v>0.54</v>
      </c>
      <c r="DI178">
        <v>36.96</v>
      </c>
      <c r="DJ178">
        <v>25.92</v>
      </c>
      <c r="DK178">
        <v>12.96</v>
      </c>
      <c r="DL178">
        <v>2760.87</v>
      </c>
      <c r="DM178">
        <v>942.75</v>
      </c>
      <c r="DN178">
        <v>230.08</v>
      </c>
      <c r="DO178">
        <v>230.08</v>
      </c>
      <c r="DP178">
        <v>157.13</v>
      </c>
      <c r="DQ178">
        <v>157.13</v>
      </c>
      <c r="DR178">
        <v>8.64</v>
      </c>
      <c r="DS178">
        <v>5.05</v>
      </c>
      <c r="DT178">
        <v>284.92</v>
      </c>
      <c r="DU178">
        <v>176.29</v>
      </c>
      <c r="DV178">
        <v>2294.5130938531101</v>
      </c>
    </row>
    <row r="179" spans="106:126">
      <c r="DB179" t="s">
        <v>376</v>
      </c>
      <c r="DC179" t="s">
        <v>376</v>
      </c>
      <c r="DD179" t="s">
        <v>97</v>
      </c>
      <c r="DE179">
        <v>24</v>
      </c>
      <c r="DF179">
        <v>12</v>
      </c>
      <c r="DG179">
        <v>0.6</v>
      </c>
      <c r="DH179">
        <v>0.6</v>
      </c>
      <c r="DI179">
        <v>40.83</v>
      </c>
      <c r="DJ179">
        <v>28.8</v>
      </c>
      <c r="DK179">
        <v>14.4</v>
      </c>
      <c r="DL179">
        <v>3025.91</v>
      </c>
      <c r="DM179">
        <v>1030.45</v>
      </c>
      <c r="DN179">
        <v>252.16</v>
      </c>
      <c r="DO179">
        <v>252.16</v>
      </c>
      <c r="DP179">
        <v>171.75</v>
      </c>
      <c r="DQ179">
        <v>171.75</v>
      </c>
      <c r="DR179">
        <v>8.61</v>
      </c>
      <c r="DS179">
        <v>5.0199999999999996</v>
      </c>
      <c r="DT179">
        <v>313.41000000000003</v>
      </c>
      <c r="DU179">
        <v>193.69</v>
      </c>
      <c r="DV179">
        <v>2517.1555801445202</v>
      </c>
    </row>
    <row r="180" spans="106:126">
      <c r="DB180" t="s">
        <v>377</v>
      </c>
      <c r="DC180" t="s">
        <v>377</v>
      </c>
      <c r="DD180" t="s">
        <v>97</v>
      </c>
      <c r="DE180">
        <v>24</v>
      </c>
      <c r="DF180">
        <v>12</v>
      </c>
      <c r="DG180">
        <v>0.8</v>
      </c>
      <c r="DH180">
        <v>0.8</v>
      </c>
      <c r="DI180">
        <v>53.39</v>
      </c>
      <c r="DJ180">
        <v>38.4</v>
      </c>
      <c r="DK180">
        <v>19.2</v>
      </c>
      <c r="DL180">
        <v>3851.84</v>
      </c>
      <c r="DM180">
        <v>1299.95</v>
      </c>
      <c r="DN180">
        <v>320.99</v>
      </c>
      <c r="DO180">
        <v>320.99</v>
      </c>
      <c r="DP180">
        <v>216.66</v>
      </c>
      <c r="DQ180">
        <v>216.66</v>
      </c>
      <c r="DR180">
        <v>8.49</v>
      </c>
      <c r="DS180">
        <v>4.93</v>
      </c>
      <c r="DT180">
        <v>403.89</v>
      </c>
      <c r="DU180">
        <v>248.66</v>
      </c>
      <c r="DV180">
        <v>3196.6439342266499</v>
      </c>
    </row>
    <row r="181" spans="106:126">
      <c r="DB181" t="s">
        <v>378</v>
      </c>
      <c r="DC181" t="s">
        <v>378</v>
      </c>
      <c r="DD181" t="s">
        <v>97</v>
      </c>
      <c r="DE181">
        <v>25</v>
      </c>
      <c r="DF181">
        <v>10</v>
      </c>
      <c r="DG181">
        <v>0.4</v>
      </c>
      <c r="DH181">
        <v>0.4</v>
      </c>
      <c r="DI181">
        <v>26.95</v>
      </c>
      <c r="DJ181">
        <v>20</v>
      </c>
      <c r="DK181">
        <v>8</v>
      </c>
      <c r="DL181">
        <v>2091.66</v>
      </c>
      <c r="DM181">
        <v>502.99</v>
      </c>
      <c r="DN181">
        <v>167.34</v>
      </c>
      <c r="DO181">
        <v>167.34</v>
      </c>
      <c r="DP181">
        <v>100.6</v>
      </c>
      <c r="DQ181">
        <v>100.6</v>
      </c>
      <c r="DR181">
        <v>8.81</v>
      </c>
      <c r="DS181">
        <v>4.32</v>
      </c>
      <c r="DT181">
        <v>210.41</v>
      </c>
      <c r="DU181">
        <v>110.9</v>
      </c>
      <c r="DV181">
        <v>1335.4047797788601</v>
      </c>
    </row>
    <row r="182" spans="106:126">
      <c r="DB182" t="s">
        <v>379</v>
      </c>
      <c r="DC182" t="s">
        <v>379</v>
      </c>
      <c r="DD182" t="s">
        <v>97</v>
      </c>
      <c r="DE182">
        <v>25</v>
      </c>
      <c r="DF182">
        <v>10</v>
      </c>
      <c r="DG182">
        <v>0.5</v>
      </c>
      <c r="DH182">
        <v>0.5</v>
      </c>
      <c r="DI182">
        <v>33.36</v>
      </c>
      <c r="DJ182">
        <v>25</v>
      </c>
      <c r="DK182">
        <v>10</v>
      </c>
      <c r="DL182">
        <v>2553.7600000000002</v>
      </c>
      <c r="DM182">
        <v>609.85</v>
      </c>
      <c r="DN182">
        <v>204.31</v>
      </c>
      <c r="DO182">
        <v>204.31</v>
      </c>
      <c r="DP182">
        <v>121.97</v>
      </c>
      <c r="DQ182">
        <v>121.97</v>
      </c>
      <c r="DR182">
        <v>8.75</v>
      </c>
      <c r="DS182">
        <v>4.28</v>
      </c>
      <c r="DT182">
        <v>258.51</v>
      </c>
      <c r="DU182">
        <v>135.84</v>
      </c>
      <c r="DV182">
        <v>1631.5877032687399</v>
      </c>
    </row>
    <row r="183" spans="106:126">
      <c r="DB183" t="s">
        <v>380</v>
      </c>
      <c r="DC183" t="s">
        <v>380</v>
      </c>
      <c r="DD183" t="s">
        <v>97</v>
      </c>
      <c r="DE183">
        <v>25</v>
      </c>
      <c r="DF183">
        <v>10</v>
      </c>
      <c r="DG183">
        <v>0.54</v>
      </c>
      <c r="DH183">
        <v>0.54</v>
      </c>
      <c r="DI183">
        <v>35.880000000000003</v>
      </c>
      <c r="DJ183">
        <v>27</v>
      </c>
      <c r="DK183">
        <v>10.8</v>
      </c>
      <c r="DL183">
        <v>2731.99</v>
      </c>
      <c r="DM183">
        <v>650.6</v>
      </c>
      <c r="DN183">
        <v>218.56</v>
      </c>
      <c r="DO183">
        <v>218.56</v>
      </c>
      <c r="DP183">
        <v>130.12</v>
      </c>
      <c r="DQ183">
        <v>130.12</v>
      </c>
      <c r="DR183">
        <v>8.73</v>
      </c>
      <c r="DS183">
        <v>4.26</v>
      </c>
      <c r="DT183">
        <v>277.26</v>
      </c>
      <c r="DU183">
        <v>145.51</v>
      </c>
      <c r="DV183">
        <v>1744.8158019395801</v>
      </c>
    </row>
    <row r="184" spans="106:126">
      <c r="DB184" t="s">
        <v>381</v>
      </c>
      <c r="DC184" t="s">
        <v>381</v>
      </c>
      <c r="DD184" t="s">
        <v>97</v>
      </c>
      <c r="DE184">
        <v>25</v>
      </c>
      <c r="DF184">
        <v>10</v>
      </c>
      <c r="DG184">
        <v>0.6</v>
      </c>
      <c r="DH184">
        <v>0.6</v>
      </c>
      <c r="DI184">
        <v>39.630000000000003</v>
      </c>
      <c r="DJ184">
        <v>30</v>
      </c>
      <c r="DK184">
        <v>12</v>
      </c>
      <c r="DL184">
        <v>2992.34</v>
      </c>
      <c r="DM184">
        <v>709.63</v>
      </c>
      <c r="DN184">
        <v>239.39</v>
      </c>
      <c r="DO184">
        <v>239.39</v>
      </c>
      <c r="DP184">
        <v>141.93</v>
      </c>
      <c r="DQ184">
        <v>141.93</v>
      </c>
      <c r="DR184">
        <v>8.69</v>
      </c>
      <c r="DS184">
        <v>4.2300000000000004</v>
      </c>
      <c r="DT184">
        <v>304.85000000000002</v>
      </c>
      <c r="DU184">
        <v>159.69999999999999</v>
      </c>
      <c r="DV184">
        <v>1908.6397807072699</v>
      </c>
    </row>
    <row r="185" spans="106:126">
      <c r="DB185" t="s">
        <v>382</v>
      </c>
      <c r="DC185" t="s">
        <v>382</v>
      </c>
      <c r="DD185" t="s">
        <v>97</v>
      </c>
      <c r="DE185">
        <v>25</v>
      </c>
      <c r="DF185">
        <v>10</v>
      </c>
      <c r="DG185">
        <v>0.8</v>
      </c>
      <c r="DH185">
        <v>0.8</v>
      </c>
      <c r="DI185">
        <v>51.79</v>
      </c>
      <c r="DJ185">
        <v>40</v>
      </c>
      <c r="DK185">
        <v>16</v>
      </c>
      <c r="DL185">
        <v>3800.53</v>
      </c>
      <c r="DM185">
        <v>888.89</v>
      </c>
      <c r="DN185">
        <v>304.05</v>
      </c>
      <c r="DO185">
        <v>304.05</v>
      </c>
      <c r="DP185">
        <v>177.78</v>
      </c>
      <c r="DQ185">
        <v>177.78</v>
      </c>
      <c r="DR185">
        <v>8.57</v>
      </c>
      <c r="DS185">
        <v>4.1399999999999997</v>
      </c>
      <c r="DT185">
        <v>392.27</v>
      </c>
      <c r="DU185">
        <v>204.23</v>
      </c>
      <c r="DV185">
        <v>2397.5253070620702</v>
      </c>
    </row>
    <row r="186" spans="106:126">
      <c r="DB186" t="s">
        <v>383</v>
      </c>
      <c r="DC186" t="s">
        <v>383</v>
      </c>
      <c r="DD186" t="s">
        <v>97</v>
      </c>
      <c r="DE186">
        <v>25</v>
      </c>
      <c r="DF186">
        <v>15</v>
      </c>
      <c r="DG186">
        <v>0.4</v>
      </c>
      <c r="DH186">
        <v>0.4</v>
      </c>
      <c r="DI186">
        <v>30.95</v>
      </c>
      <c r="DJ186">
        <v>20</v>
      </c>
      <c r="DK186">
        <v>12</v>
      </c>
      <c r="DL186">
        <v>2696.87</v>
      </c>
      <c r="DM186">
        <v>1234.24</v>
      </c>
      <c r="DN186">
        <v>215.75</v>
      </c>
      <c r="DO186">
        <v>215.75</v>
      </c>
      <c r="DP186">
        <v>164.57</v>
      </c>
      <c r="DQ186">
        <v>164.57</v>
      </c>
      <c r="DR186">
        <v>9.33</v>
      </c>
      <c r="DS186">
        <v>6.31</v>
      </c>
      <c r="DT186">
        <v>259.61</v>
      </c>
      <c r="DU186">
        <v>183.27</v>
      </c>
      <c r="DV186">
        <v>2696.4875816997001</v>
      </c>
    </row>
    <row r="187" spans="106:126">
      <c r="DB187" t="s">
        <v>384</v>
      </c>
      <c r="DC187" t="s">
        <v>384</v>
      </c>
      <c r="DD187" t="s">
        <v>97</v>
      </c>
      <c r="DE187">
        <v>25</v>
      </c>
      <c r="DF187">
        <v>15</v>
      </c>
      <c r="DG187">
        <v>0.5</v>
      </c>
      <c r="DH187">
        <v>0.5</v>
      </c>
      <c r="DI187">
        <v>38.36</v>
      </c>
      <c r="DJ187">
        <v>25</v>
      </c>
      <c r="DK187">
        <v>15</v>
      </c>
      <c r="DL187">
        <v>3304.18</v>
      </c>
      <c r="DM187">
        <v>1507.95</v>
      </c>
      <c r="DN187">
        <v>264.33999999999997</v>
      </c>
      <c r="DO187">
        <v>264.33999999999997</v>
      </c>
      <c r="DP187">
        <v>201.06</v>
      </c>
      <c r="DQ187">
        <v>201.06</v>
      </c>
      <c r="DR187">
        <v>9.2799999999999994</v>
      </c>
      <c r="DS187">
        <v>6.27</v>
      </c>
      <c r="DT187">
        <v>319.76</v>
      </c>
      <c r="DU187">
        <v>225.48</v>
      </c>
      <c r="DV187">
        <v>3322.9616497911402</v>
      </c>
    </row>
    <row r="188" spans="106:126">
      <c r="DB188" t="s">
        <v>385</v>
      </c>
      <c r="DC188" t="s">
        <v>385</v>
      </c>
      <c r="DD188" t="s">
        <v>97</v>
      </c>
      <c r="DE188">
        <v>25</v>
      </c>
      <c r="DF188">
        <v>15</v>
      </c>
      <c r="DG188">
        <v>0.54</v>
      </c>
      <c r="DH188">
        <v>0.54</v>
      </c>
      <c r="DI188">
        <v>41.28</v>
      </c>
      <c r="DJ188">
        <v>27</v>
      </c>
      <c r="DK188">
        <v>16.2</v>
      </c>
      <c r="DL188">
        <v>3539.82</v>
      </c>
      <c r="DM188">
        <v>1613.69</v>
      </c>
      <c r="DN188">
        <v>283.19</v>
      </c>
      <c r="DO188">
        <v>283.19</v>
      </c>
      <c r="DP188">
        <v>215.16</v>
      </c>
      <c r="DQ188">
        <v>215.16</v>
      </c>
      <c r="DR188">
        <v>9.26</v>
      </c>
      <c r="DS188">
        <v>6.25</v>
      </c>
      <c r="DT188">
        <v>343.3</v>
      </c>
      <c r="DU188">
        <v>241.97</v>
      </c>
      <c r="DV188">
        <v>3566.8262302633502</v>
      </c>
    </row>
    <row r="189" spans="106:126">
      <c r="DB189" t="s">
        <v>386</v>
      </c>
      <c r="DC189" t="s">
        <v>386</v>
      </c>
      <c r="DD189" t="s">
        <v>97</v>
      </c>
      <c r="DE189">
        <v>25</v>
      </c>
      <c r="DF189">
        <v>15</v>
      </c>
      <c r="DG189">
        <v>0.6</v>
      </c>
      <c r="DH189">
        <v>0.6</v>
      </c>
      <c r="DI189">
        <v>45.63</v>
      </c>
      <c r="DJ189">
        <v>30</v>
      </c>
      <c r="DK189">
        <v>18</v>
      </c>
      <c r="DL189">
        <v>3885.56</v>
      </c>
      <c r="DM189">
        <v>1768.35</v>
      </c>
      <c r="DN189">
        <v>310.85000000000002</v>
      </c>
      <c r="DO189">
        <v>310.85000000000002</v>
      </c>
      <c r="DP189">
        <v>235.78</v>
      </c>
      <c r="DQ189">
        <v>235.78</v>
      </c>
      <c r="DR189">
        <v>9.23</v>
      </c>
      <c r="DS189">
        <v>6.23</v>
      </c>
      <c r="DT189">
        <v>378.05</v>
      </c>
      <c r="DU189">
        <v>266.27999999999997</v>
      </c>
      <c r="DV189">
        <v>3924.8658166509399</v>
      </c>
    </row>
    <row r="190" spans="106:126">
      <c r="DB190" t="s">
        <v>387</v>
      </c>
      <c r="DC190" t="s">
        <v>387</v>
      </c>
      <c r="DD190" t="s">
        <v>97</v>
      </c>
      <c r="DE190">
        <v>25</v>
      </c>
      <c r="DF190">
        <v>15</v>
      </c>
      <c r="DG190">
        <v>0.8</v>
      </c>
      <c r="DH190">
        <v>0.8</v>
      </c>
      <c r="DI190">
        <v>59.79</v>
      </c>
      <c r="DJ190">
        <v>40</v>
      </c>
      <c r="DK190">
        <v>24</v>
      </c>
      <c r="DL190">
        <v>4972.24</v>
      </c>
      <c r="DM190">
        <v>2250.41</v>
      </c>
      <c r="DN190">
        <v>397.78</v>
      </c>
      <c r="DO190">
        <v>397.78</v>
      </c>
      <c r="DP190">
        <v>300.06</v>
      </c>
      <c r="DQ190">
        <v>300.06</v>
      </c>
      <c r="DR190">
        <v>9.1199999999999992</v>
      </c>
      <c r="DS190">
        <v>6.14</v>
      </c>
      <c r="DT190">
        <v>489.07</v>
      </c>
      <c r="DU190">
        <v>343.71</v>
      </c>
      <c r="DV190">
        <v>5043.9664298797697</v>
      </c>
    </row>
    <row r="191" spans="106:126">
      <c r="DB191" t="s">
        <v>388</v>
      </c>
      <c r="DC191" t="s">
        <v>388</v>
      </c>
      <c r="DD191" t="s">
        <v>97</v>
      </c>
      <c r="DE191">
        <v>25</v>
      </c>
      <c r="DF191">
        <v>15</v>
      </c>
      <c r="DG191">
        <v>1</v>
      </c>
      <c r="DH191">
        <v>1</v>
      </c>
      <c r="DI191">
        <v>73.42</v>
      </c>
      <c r="DJ191">
        <v>50</v>
      </c>
      <c r="DK191">
        <v>30</v>
      </c>
      <c r="DL191">
        <v>5960.2</v>
      </c>
      <c r="DM191">
        <v>2682.88</v>
      </c>
      <c r="DN191">
        <v>476.82</v>
      </c>
      <c r="DO191">
        <v>476.82</v>
      </c>
      <c r="DP191">
        <v>357.72</v>
      </c>
      <c r="DQ191">
        <v>357.72</v>
      </c>
      <c r="DR191">
        <v>9.01</v>
      </c>
      <c r="DS191">
        <v>6.04</v>
      </c>
      <c r="DT191">
        <v>592.79</v>
      </c>
      <c r="DU191">
        <v>415.67</v>
      </c>
      <c r="DV191">
        <v>6032.0662726852697</v>
      </c>
    </row>
    <row r="192" spans="106:126">
      <c r="DB192" t="s">
        <v>389</v>
      </c>
      <c r="DC192" t="s">
        <v>389</v>
      </c>
      <c r="DD192" t="s">
        <v>97</v>
      </c>
      <c r="DE192">
        <v>28</v>
      </c>
      <c r="DF192">
        <v>10</v>
      </c>
      <c r="DG192">
        <v>0.4</v>
      </c>
      <c r="DH192">
        <v>0.4</v>
      </c>
      <c r="DI192">
        <v>29.35</v>
      </c>
      <c r="DJ192">
        <v>22.4</v>
      </c>
      <c r="DK192">
        <v>8</v>
      </c>
      <c r="DL192">
        <v>2785.31</v>
      </c>
      <c r="DM192">
        <v>558.32000000000005</v>
      </c>
      <c r="DN192">
        <v>198.96</v>
      </c>
      <c r="DO192">
        <v>198.96</v>
      </c>
      <c r="DP192">
        <v>111.67</v>
      </c>
      <c r="DQ192">
        <v>111.67</v>
      </c>
      <c r="DR192">
        <v>9.74</v>
      </c>
      <c r="DS192">
        <v>4.3600000000000003</v>
      </c>
      <c r="DT192">
        <v>252.63</v>
      </c>
      <c r="DU192">
        <v>122.42</v>
      </c>
      <c r="DV192">
        <v>1543.27063821978</v>
      </c>
    </row>
    <row r="193" spans="106:126">
      <c r="DB193" t="s">
        <v>390</v>
      </c>
      <c r="DC193" t="s">
        <v>390</v>
      </c>
      <c r="DD193" t="s">
        <v>97</v>
      </c>
      <c r="DE193">
        <v>28</v>
      </c>
      <c r="DF193">
        <v>10</v>
      </c>
      <c r="DG193">
        <v>0.5</v>
      </c>
      <c r="DH193">
        <v>0.5</v>
      </c>
      <c r="DI193">
        <v>36.36</v>
      </c>
      <c r="DJ193">
        <v>28</v>
      </c>
      <c r="DK193">
        <v>10</v>
      </c>
      <c r="DL193">
        <v>3406.6</v>
      </c>
      <c r="DM193">
        <v>677.6</v>
      </c>
      <c r="DN193">
        <v>243.33</v>
      </c>
      <c r="DO193">
        <v>243.33</v>
      </c>
      <c r="DP193">
        <v>135.52000000000001</v>
      </c>
      <c r="DQ193">
        <v>135.52000000000001</v>
      </c>
      <c r="DR193">
        <v>9.68</v>
      </c>
      <c r="DS193">
        <v>4.32</v>
      </c>
      <c r="DT193">
        <v>310.8</v>
      </c>
      <c r="DU193">
        <v>150.09</v>
      </c>
      <c r="DV193">
        <v>1886.8200902957001</v>
      </c>
    </row>
    <row r="194" spans="106:126">
      <c r="DB194" t="s">
        <v>391</v>
      </c>
      <c r="DC194" t="s">
        <v>391</v>
      </c>
      <c r="DD194" t="s">
        <v>97</v>
      </c>
      <c r="DE194">
        <v>28</v>
      </c>
      <c r="DF194">
        <v>10</v>
      </c>
      <c r="DG194">
        <v>0.54</v>
      </c>
      <c r="DH194">
        <v>0.54</v>
      </c>
      <c r="DI194">
        <v>39.119999999999997</v>
      </c>
      <c r="DJ194">
        <v>30.24</v>
      </c>
      <c r="DK194">
        <v>10.8</v>
      </c>
      <c r="DL194">
        <v>3646.93</v>
      </c>
      <c r="DM194">
        <v>723.17</v>
      </c>
      <c r="DN194">
        <v>260.5</v>
      </c>
      <c r="DO194">
        <v>260.5</v>
      </c>
      <c r="DP194">
        <v>144.63999999999999</v>
      </c>
      <c r="DQ194">
        <v>144.63999999999999</v>
      </c>
      <c r="DR194">
        <v>9.66</v>
      </c>
      <c r="DS194">
        <v>4.3</v>
      </c>
      <c r="DT194">
        <v>333.51</v>
      </c>
      <c r="DU194">
        <v>160.84</v>
      </c>
      <c r="DV194">
        <v>2018.45915243074</v>
      </c>
    </row>
    <row r="195" spans="106:126">
      <c r="DB195" t="s">
        <v>392</v>
      </c>
      <c r="DC195" t="s">
        <v>392</v>
      </c>
      <c r="DD195" t="s">
        <v>97</v>
      </c>
      <c r="DE195">
        <v>28</v>
      </c>
      <c r="DF195">
        <v>10</v>
      </c>
      <c r="DG195">
        <v>0.6</v>
      </c>
      <c r="DH195">
        <v>0.6</v>
      </c>
      <c r="DI195">
        <v>43.23</v>
      </c>
      <c r="DJ195">
        <v>33.6</v>
      </c>
      <c r="DK195">
        <v>12</v>
      </c>
      <c r="DL195">
        <v>3998.76</v>
      </c>
      <c r="DM195">
        <v>789.27</v>
      </c>
      <c r="DN195">
        <v>285.63</v>
      </c>
      <c r="DO195">
        <v>285.63</v>
      </c>
      <c r="DP195">
        <v>157.86000000000001</v>
      </c>
      <c r="DQ195">
        <v>157.86000000000001</v>
      </c>
      <c r="DR195">
        <v>9.6199999999999992</v>
      </c>
      <c r="DS195">
        <v>4.2699999999999996</v>
      </c>
      <c r="DT195">
        <v>367</v>
      </c>
      <c r="DU195">
        <v>176.62</v>
      </c>
      <c r="DV195">
        <v>2209.31874735681</v>
      </c>
    </row>
    <row r="196" spans="106:126">
      <c r="DB196" t="s">
        <v>393</v>
      </c>
      <c r="DC196" t="s">
        <v>393</v>
      </c>
      <c r="DD196" t="s">
        <v>97</v>
      </c>
      <c r="DE196">
        <v>28</v>
      </c>
      <c r="DF196">
        <v>10</v>
      </c>
      <c r="DG196">
        <v>0.8</v>
      </c>
      <c r="DH196">
        <v>0.8</v>
      </c>
      <c r="DI196">
        <v>56.59</v>
      </c>
      <c r="DJ196">
        <v>44.8</v>
      </c>
      <c r="DK196">
        <v>16</v>
      </c>
      <c r="DL196">
        <v>5097.47</v>
      </c>
      <c r="DM196">
        <v>990.72</v>
      </c>
      <c r="DN196">
        <v>364.11</v>
      </c>
      <c r="DO196">
        <v>364.11</v>
      </c>
      <c r="DP196">
        <v>198.15</v>
      </c>
      <c r="DQ196">
        <v>198.15</v>
      </c>
      <c r="DR196">
        <v>9.49</v>
      </c>
      <c r="DS196">
        <v>4.18</v>
      </c>
      <c r="DT196">
        <v>473.56</v>
      </c>
      <c r="DU196">
        <v>226.31</v>
      </c>
      <c r="DV196">
        <v>2783.2049299318901</v>
      </c>
    </row>
    <row r="197" spans="106:126">
      <c r="DB197" t="s">
        <v>394</v>
      </c>
      <c r="DC197" t="s">
        <v>394</v>
      </c>
      <c r="DD197" t="s">
        <v>97</v>
      </c>
      <c r="DE197">
        <v>30</v>
      </c>
      <c r="DF197">
        <v>15</v>
      </c>
      <c r="DG197">
        <v>0.4</v>
      </c>
      <c r="DH197">
        <v>0.4</v>
      </c>
      <c r="DI197">
        <v>34.950000000000003</v>
      </c>
      <c r="DJ197">
        <v>24</v>
      </c>
      <c r="DK197">
        <v>12</v>
      </c>
      <c r="DL197">
        <v>4196.67</v>
      </c>
      <c r="DM197">
        <v>1447.46</v>
      </c>
      <c r="DN197">
        <v>279.77999999999997</v>
      </c>
      <c r="DO197">
        <v>279.77999999999997</v>
      </c>
      <c r="DP197">
        <v>193</v>
      </c>
      <c r="DQ197">
        <v>193</v>
      </c>
      <c r="DR197">
        <v>10.96</v>
      </c>
      <c r="DS197">
        <v>6.44</v>
      </c>
      <c r="DT197">
        <v>341.98</v>
      </c>
      <c r="DU197">
        <v>212.47</v>
      </c>
      <c r="DV197">
        <v>3455.15683599369</v>
      </c>
    </row>
    <row r="198" spans="106:126">
      <c r="DB198" t="s">
        <v>395</v>
      </c>
      <c r="DC198" t="s">
        <v>395</v>
      </c>
      <c r="DD198" t="s">
        <v>97</v>
      </c>
      <c r="DE198">
        <v>30</v>
      </c>
      <c r="DF198">
        <v>15</v>
      </c>
      <c r="DG198">
        <v>0.5</v>
      </c>
      <c r="DH198">
        <v>0.5</v>
      </c>
      <c r="DI198">
        <v>43.36</v>
      </c>
      <c r="DJ198">
        <v>30</v>
      </c>
      <c r="DK198">
        <v>15</v>
      </c>
      <c r="DL198">
        <v>5153.13</v>
      </c>
      <c r="DM198">
        <v>1770.87</v>
      </c>
      <c r="DN198">
        <v>343.55</v>
      </c>
      <c r="DO198">
        <v>343.55</v>
      </c>
      <c r="DP198">
        <v>236.12</v>
      </c>
      <c r="DQ198">
        <v>236.12</v>
      </c>
      <c r="DR198">
        <v>10.9</v>
      </c>
      <c r="DS198">
        <v>6.39</v>
      </c>
      <c r="DT198">
        <v>421.9</v>
      </c>
      <c r="DU198">
        <v>261.73</v>
      </c>
      <c r="DV198">
        <v>4261.5846001725504</v>
      </c>
    </row>
    <row r="199" spans="106:126">
      <c r="DB199" t="s">
        <v>396</v>
      </c>
      <c r="DC199" t="s">
        <v>396</v>
      </c>
      <c r="DD199" t="s">
        <v>97</v>
      </c>
      <c r="DE199">
        <v>30</v>
      </c>
      <c r="DF199">
        <v>15</v>
      </c>
      <c r="DG199">
        <v>0.54</v>
      </c>
      <c r="DH199">
        <v>0.54</v>
      </c>
      <c r="DI199">
        <v>46.68</v>
      </c>
      <c r="DJ199">
        <v>32.4</v>
      </c>
      <c r="DK199">
        <v>16.2</v>
      </c>
      <c r="DL199">
        <v>5525.59</v>
      </c>
      <c r="DM199">
        <v>1896.09</v>
      </c>
      <c r="DN199">
        <v>368.38</v>
      </c>
      <c r="DO199">
        <v>368.38</v>
      </c>
      <c r="DP199">
        <v>252.82</v>
      </c>
      <c r="DQ199">
        <v>252.82</v>
      </c>
      <c r="DR199">
        <v>10.88</v>
      </c>
      <c r="DS199">
        <v>6.37</v>
      </c>
      <c r="DT199">
        <v>453.26</v>
      </c>
      <c r="DU199">
        <v>281.01</v>
      </c>
      <c r="DV199">
        <v>4576.26133946563</v>
      </c>
    </row>
    <row r="200" spans="106:126">
      <c r="DB200" t="s">
        <v>397</v>
      </c>
      <c r="DC200" t="s">
        <v>397</v>
      </c>
      <c r="DD200" t="s">
        <v>97</v>
      </c>
      <c r="DE200">
        <v>30</v>
      </c>
      <c r="DF200">
        <v>15</v>
      </c>
      <c r="DG200">
        <v>0.6</v>
      </c>
      <c r="DH200">
        <v>0.6</v>
      </c>
      <c r="DI200">
        <v>51.63</v>
      </c>
      <c r="DJ200">
        <v>36</v>
      </c>
      <c r="DK200">
        <v>18</v>
      </c>
      <c r="DL200">
        <v>6073.51</v>
      </c>
      <c r="DM200">
        <v>2079.5700000000002</v>
      </c>
      <c r="DN200">
        <v>404.91</v>
      </c>
      <c r="DO200">
        <v>404.91</v>
      </c>
      <c r="DP200">
        <v>277.27999999999997</v>
      </c>
      <c r="DQ200">
        <v>277.27999999999997</v>
      </c>
      <c r="DR200">
        <v>10.85</v>
      </c>
      <c r="DS200">
        <v>6.35</v>
      </c>
      <c r="DT200">
        <v>499.63</v>
      </c>
      <c r="DU200">
        <v>309.48</v>
      </c>
      <c r="DV200">
        <v>5039.2353744054999</v>
      </c>
    </row>
    <row r="201" spans="106:126">
      <c r="DB201" t="s">
        <v>398</v>
      </c>
      <c r="DC201" t="s">
        <v>398</v>
      </c>
      <c r="DD201" t="s">
        <v>97</v>
      </c>
      <c r="DE201">
        <v>30</v>
      </c>
      <c r="DF201">
        <v>15</v>
      </c>
      <c r="DG201">
        <v>0.8</v>
      </c>
      <c r="DH201">
        <v>0.8</v>
      </c>
      <c r="DI201">
        <v>67.790000000000006</v>
      </c>
      <c r="DJ201">
        <v>48</v>
      </c>
      <c r="DK201">
        <v>24</v>
      </c>
      <c r="DL201">
        <v>7807.95</v>
      </c>
      <c r="DM201">
        <v>2654.12</v>
      </c>
      <c r="DN201">
        <v>520.53</v>
      </c>
      <c r="DO201">
        <v>520.53</v>
      </c>
      <c r="DP201">
        <v>353.89</v>
      </c>
      <c r="DQ201">
        <v>353.89</v>
      </c>
      <c r="DR201">
        <v>10.73</v>
      </c>
      <c r="DS201">
        <v>6.26</v>
      </c>
      <c r="DT201">
        <v>648.54999999999995</v>
      </c>
      <c r="DU201">
        <v>400.51</v>
      </c>
      <c r="DV201">
        <v>6496.5961544608299</v>
      </c>
    </row>
    <row r="202" spans="106:126">
      <c r="DB202" t="s">
        <v>399</v>
      </c>
      <c r="DC202" t="s">
        <v>399</v>
      </c>
      <c r="DD202" t="s">
        <v>97</v>
      </c>
      <c r="DE202">
        <v>30</v>
      </c>
      <c r="DF202">
        <v>15</v>
      </c>
      <c r="DG202">
        <v>1</v>
      </c>
      <c r="DH202">
        <v>1</v>
      </c>
      <c r="DI202">
        <v>83.42</v>
      </c>
      <c r="DJ202">
        <v>60</v>
      </c>
      <c r="DK202">
        <v>30</v>
      </c>
      <c r="DL202">
        <v>9403.9</v>
      </c>
      <c r="DM202">
        <v>3173.71</v>
      </c>
      <c r="DN202">
        <v>626.92999999999995</v>
      </c>
      <c r="DO202">
        <v>626.92999999999995</v>
      </c>
      <c r="DP202">
        <v>423.17</v>
      </c>
      <c r="DQ202">
        <v>423.17</v>
      </c>
      <c r="DR202">
        <v>10.62</v>
      </c>
      <c r="DS202">
        <v>6.17</v>
      </c>
      <c r="DT202">
        <v>788.86</v>
      </c>
      <c r="DU202">
        <v>485.67</v>
      </c>
      <c r="DV202">
        <v>7804.3064800455304</v>
      </c>
    </row>
    <row r="203" spans="106:126">
      <c r="DB203" t="s">
        <v>400</v>
      </c>
      <c r="DC203" t="s">
        <v>400</v>
      </c>
      <c r="DD203" t="s">
        <v>97</v>
      </c>
      <c r="DE203">
        <v>30</v>
      </c>
      <c r="DF203">
        <v>20</v>
      </c>
      <c r="DG203">
        <v>0.4</v>
      </c>
      <c r="DH203">
        <v>0.4</v>
      </c>
      <c r="DI203">
        <v>38.950000000000003</v>
      </c>
      <c r="DJ203">
        <v>24</v>
      </c>
      <c r="DK203">
        <v>16</v>
      </c>
      <c r="DL203">
        <v>5072.88</v>
      </c>
      <c r="DM203">
        <v>2736.56</v>
      </c>
      <c r="DN203">
        <v>338.2</v>
      </c>
      <c r="DO203">
        <v>338.2</v>
      </c>
      <c r="DP203">
        <v>273.66000000000003</v>
      </c>
      <c r="DQ203">
        <v>273.66000000000003</v>
      </c>
      <c r="DR203">
        <v>11.41</v>
      </c>
      <c r="DS203">
        <v>8.3800000000000008</v>
      </c>
      <c r="DT203">
        <v>401.18</v>
      </c>
      <c r="DU203">
        <v>304.83999999999997</v>
      </c>
      <c r="DV203">
        <v>5589.5753439343198</v>
      </c>
    </row>
    <row r="204" spans="106:126">
      <c r="DB204" t="s">
        <v>401</v>
      </c>
      <c r="DC204" t="s">
        <v>401</v>
      </c>
      <c r="DD204" t="s">
        <v>97</v>
      </c>
      <c r="DE204">
        <v>30</v>
      </c>
      <c r="DF204">
        <v>20</v>
      </c>
      <c r="DG204">
        <v>0.5</v>
      </c>
      <c r="DH204">
        <v>0.5</v>
      </c>
      <c r="DI204">
        <v>48.36</v>
      </c>
      <c r="DJ204">
        <v>30</v>
      </c>
      <c r="DK204">
        <v>20</v>
      </c>
      <c r="DL204">
        <v>6241.05</v>
      </c>
      <c r="DM204">
        <v>3360.92</v>
      </c>
      <c r="DN204">
        <v>416.07</v>
      </c>
      <c r="DO204">
        <v>416.07</v>
      </c>
      <c r="DP204">
        <v>336.1</v>
      </c>
      <c r="DQ204">
        <v>336.1</v>
      </c>
      <c r="DR204">
        <v>11.36</v>
      </c>
      <c r="DS204">
        <v>8.34</v>
      </c>
      <c r="DT204">
        <v>495.65</v>
      </c>
      <c r="DU204">
        <v>376.37</v>
      </c>
      <c r="DV204">
        <v>6919.1673081713398</v>
      </c>
    </row>
    <row r="205" spans="106:126">
      <c r="DB205" t="s">
        <v>402</v>
      </c>
      <c r="DC205" t="s">
        <v>402</v>
      </c>
      <c r="DD205" t="s">
        <v>97</v>
      </c>
      <c r="DE205">
        <v>30</v>
      </c>
      <c r="DF205">
        <v>20</v>
      </c>
      <c r="DG205">
        <v>0.54</v>
      </c>
      <c r="DH205">
        <v>0.54</v>
      </c>
      <c r="DI205">
        <v>52.08</v>
      </c>
      <c r="DJ205">
        <v>32.4</v>
      </c>
      <c r="DK205">
        <v>21.6</v>
      </c>
      <c r="DL205">
        <v>6697.37</v>
      </c>
      <c r="DM205">
        <v>3604.18</v>
      </c>
      <c r="DN205">
        <v>446.5</v>
      </c>
      <c r="DO205">
        <v>446.5</v>
      </c>
      <c r="DP205">
        <v>360.42</v>
      </c>
      <c r="DQ205">
        <v>360.42</v>
      </c>
      <c r="DR205">
        <v>11.34</v>
      </c>
      <c r="DS205">
        <v>8.32</v>
      </c>
      <c r="DT205">
        <v>532.79999999999995</v>
      </c>
      <c r="DU205">
        <v>404.47</v>
      </c>
      <c r="DV205">
        <v>7441.6343314796004</v>
      </c>
    </row>
    <row r="206" spans="106:126">
      <c r="DB206" t="s">
        <v>403</v>
      </c>
      <c r="DC206" t="s">
        <v>403</v>
      </c>
      <c r="DD206" t="s">
        <v>97</v>
      </c>
      <c r="DE206">
        <v>30</v>
      </c>
      <c r="DF206">
        <v>20</v>
      </c>
      <c r="DG206">
        <v>0.6</v>
      </c>
      <c r="DH206">
        <v>0.6</v>
      </c>
      <c r="DI206">
        <v>57.63</v>
      </c>
      <c r="DJ206">
        <v>36</v>
      </c>
      <c r="DK206">
        <v>24</v>
      </c>
      <c r="DL206">
        <v>7370.23</v>
      </c>
      <c r="DM206">
        <v>3962.19</v>
      </c>
      <c r="DN206">
        <v>491.35</v>
      </c>
      <c r="DO206">
        <v>491.35</v>
      </c>
      <c r="DP206">
        <v>396.22</v>
      </c>
      <c r="DQ206">
        <v>396.22</v>
      </c>
      <c r="DR206">
        <v>11.31</v>
      </c>
      <c r="DS206">
        <v>8.2899999999999991</v>
      </c>
      <c r="DT206">
        <v>587.83000000000004</v>
      </c>
      <c r="DU206">
        <v>446.07</v>
      </c>
      <c r="DV206">
        <v>8214.5863994405099</v>
      </c>
    </row>
    <row r="207" spans="106:126">
      <c r="DB207" t="s">
        <v>404</v>
      </c>
      <c r="DC207" t="s">
        <v>404</v>
      </c>
      <c r="DD207" t="s">
        <v>97</v>
      </c>
      <c r="DE207">
        <v>30</v>
      </c>
      <c r="DF207">
        <v>20</v>
      </c>
      <c r="DG207">
        <v>0.8</v>
      </c>
      <c r="DH207">
        <v>0.8</v>
      </c>
      <c r="DI207">
        <v>75.790000000000006</v>
      </c>
      <c r="DJ207">
        <v>48</v>
      </c>
      <c r="DK207">
        <v>32</v>
      </c>
      <c r="DL207">
        <v>9513.66</v>
      </c>
      <c r="DM207">
        <v>5097.04</v>
      </c>
      <c r="DN207">
        <v>634.25</v>
      </c>
      <c r="DO207">
        <v>634.25</v>
      </c>
      <c r="DP207">
        <v>509.71</v>
      </c>
      <c r="DQ207">
        <v>509.71</v>
      </c>
      <c r="DR207">
        <v>11.2</v>
      </c>
      <c r="DS207">
        <v>8.1999999999999993</v>
      </c>
      <c r="DT207">
        <v>765.35</v>
      </c>
      <c r="DU207">
        <v>579.99</v>
      </c>
      <c r="DV207">
        <v>10688.7103201386</v>
      </c>
    </row>
    <row r="208" spans="106:126">
      <c r="DB208" t="s">
        <v>405</v>
      </c>
      <c r="DC208" t="s">
        <v>405</v>
      </c>
      <c r="DD208" t="s">
        <v>97</v>
      </c>
      <c r="DE208">
        <v>30</v>
      </c>
      <c r="DF208">
        <v>20</v>
      </c>
      <c r="DG208">
        <v>1</v>
      </c>
      <c r="DH208">
        <v>1</v>
      </c>
      <c r="DI208">
        <v>93.42</v>
      </c>
      <c r="DJ208">
        <v>60</v>
      </c>
      <c r="DK208">
        <v>40</v>
      </c>
      <c r="DL208">
        <v>11507.24</v>
      </c>
      <c r="DM208">
        <v>6144.3</v>
      </c>
      <c r="DN208">
        <v>767.15</v>
      </c>
      <c r="DO208">
        <v>767.15</v>
      </c>
      <c r="DP208">
        <v>614.42999999999995</v>
      </c>
      <c r="DQ208">
        <v>614.42999999999995</v>
      </c>
      <c r="DR208">
        <v>11.1</v>
      </c>
      <c r="DS208">
        <v>8.11</v>
      </c>
      <c r="DT208">
        <v>933.86</v>
      </c>
      <c r="DU208">
        <v>706.73</v>
      </c>
      <c r="DV208">
        <v>12983.6129102954</v>
      </c>
    </row>
    <row r="209" spans="106:126">
      <c r="DB209" t="s">
        <v>406</v>
      </c>
      <c r="DC209" t="s">
        <v>406</v>
      </c>
      <c r="DD209" t="s">
        <v>97</v>
      </c>
      <c r="DE209">
        <v>30</v>
      </c>
      <c r="DF209">
        <v>20</v>
      </c>
      <c r="DG209">
        <v>1.2</v>
      </c>
      <c r="DH209">
        <v>1.2</v>
      </c>
      <c r="DI209">
        <v>110.53</v>
      </c>
      <c r="DJ209">
        <v>72</v>
      </c>
      <c r="DK209">
        <v>48</v>
      </c>
      <c r="DL209">
        <v>13354.97</v>
      </c>
      <c r="DM209">
        <v>7107.11</v>
      </c>
      <c r="DN209">
        <v>890.34</v>
      </c>
      <c r="DO209">
        <v>890.34</v>
      </c>
      <c r="DP209">
        <v>710.72</v>
      </c>
      <c r="DQ209">
        <v>710.72</v>
      </c>
      <c r="DR209">
        <v>10.99</v>
      </c>
      <c r="DS209">
        <v>8.02</v>
      </c>
      <c r="DT209">
        <v>1093.47</v>
      </c>
      <c r="DU209">
        <v>826.41</v>
      </c>
      <c r="DV209">
        <v>15071.271988459301</v>
      </c>
    </row>
    <row r="210" spans="106:126">
      <c r="DB210" t="s">
        <v>407</v>
      </c>
      <c r="DC210" t="s">
        <v>407</v>
      </c>
      <c r="DD210" t="s">
        <v>97</v>
      </c>
      <c r="DE210">
        <v>30</v>
      </c>
      <c r="DF210">
        <v>20</v>
      </c>
      <c r="DG210">
        <v>1.4</v>
      </c>
      <c r="DH210">
        <v>1.4</v>
      </c>
      <c r="DI210">
        <v>127.11</v>
      </c>
      <c r="DJ210">
        <v>84</v>
      </c>
      <c r="DK210">
        <v>56</v>
      </c>
      <c r="DL210">
        <v>15060.82</v>
      </c>
      <c r="DM210">
        <v>7988.55</v>
      </c>
      <c r="DN210">
        <v>1004.06</v>
      </c>
      <c r="DO210">
        <v>1004.06</v>
      </c>
      <c r="DP210">
        <v>798.86</v>
      </c>
      <c r="DQ210">
        <v>798.86</v>
      </c>
      <c r="DR210">
        <v>10.89</v>
      </c>
      <c r="DS210">
        <v>7.93</v>
      </c>
      <c r="DT210">
        <v>1244.3</v>
      </c>
      <c r="DU210">
        <v>939.14</v>
      </c>
      <c r="DV210">
        <v>16924.328995483</v>
      </c>
    </row>
    <row r="211" spans="106:126">
      <c r="DB211" t="s">
        <v>408</v>
      </c>
      <c r="DC211" t="s">
        <v>408</v>
      </c>
      <c r="DD211" t="s">
        <v>97</v>
      </c>
      <c r="DE211">
        <v>35</v>
      </c>
      <c r="DF211">
        <v>25</v>
      </c>
      <c r="DG211">
        <v>0.5</v>
      </c>
      <c r="DH211">
        <v>0.5</v>
      </c>
      <c r="DI211">
        <v>58.36</v>
      </c>
      <c r="DJ211">
        <v>35</v>
      </c>
      <c r="DK211">
        <v>25</v>
      </c>
      <c r="DL211">
        <v>10519.88</v>
      </c>
      <c r="DM211">
        <v>6305.84</v>
      </c>
      <c r="DN211">
        <v>601.14</v>
      </c>
      <c r="DO211">
        <v>601.14</v>
      </c>
      <c r="DP211">
        <v>504.47</v>
      </c>
      <c r="DQ211">
        <v>504.47</v>
      </c>
      <c r="DR211">
        <v>13.43</v>
      </c>
      <c r="DS211">
        <v>10.39</v>
      </c>
      <c r="DT211">
        <v>709.04</v>
      </c>
      <c r="DU211">
        <v>564.76</v>
      </c>
      <c r="DV211">
        <v>12375.852442142799</v>
      </c>
    </row>
    <row r="212" spans="106:126">
      <c r="DB212" t="s">
        <v>409</v>
      </c>
      <c r="DC212" t="s">
        <v>409</v>
      </c>
      <c r="DD212" t="s">
        <v>97</v>
      </c>
      <c r="DE212">
        <v>35</v>
      </c>
      <c r="DF212">
        <v>25</v>
      </c>
      <c r="DG212">
        <v>0.54</v>
      </c>
      <c r="DH212">
        <v>0.54</v>
      </c>
      <c r="DI212">
        <v>62.88</v>
      </c>
      <c r="DJ212">
        <v>37.799999999999997</v>
      </c>
      <c r="DK212">
        <v>27</v>
      </c>
      <c r="DL212">
        <v>11301.38</v>
      </c>
      <c r="DM212">
        <v>6771.12</v>
      </c>
      <c r="DN212">
        <v>645.79999999999995</v>
      </c>
      <c r="DO212">
        <v>645.79999999999995</v>
      </c>
      <c r="DP212">
        <v>541.69000000000005</v>
      </c>
      <c r="DQ212">
        <v>541.69000000000005</v>
      </c>
      <c r="DR212">
        <v>13.41</v>
      </c>
      <c r="DS212">
        <v>10.38</v>
      </c>
      <c r="DT212">
        <v>762.8</v>
      </c>
      <c r="DU212">
        <v>607.47</v>
      </c>
      <c r="DV212">
        <v>13324.4523541663</v>
      </c>
    </row>
    <row r="213" spans="106:126">
      <c r="DB213" t="s">
        <v>410</v>
      </c>
      <c r="DC213" t="s">
        <v>410</v>
      </c>
      <c r="DD213" t="s">
        <v>97</v>
      </c>
      <c r="DE213">
        <v>35</v>
      </c>
      <c r="DF213">
        <v>25</v>
      </c>
      <c r="DG213">
        <v>0.6</v>
      </c>
      <c r="DH213">
        <v>0.6</v>
      </c>
      <c r="DI213">
        <v>69.63</v>
      </c>
      <c r="DJ213">
        <v>42</v>
      </c>
      <c r="DK213">
        <v>30</v>
      </c>
      <c r="DL213">
        <v>12457.31</v>
      </c>
      <c r="DM213">
        <v>7458.44</v>
      </c>
      <c r="DN213">
        <v>711.85</v>
      </c>
      <c r="DO213">
        <v>711.85</v>
      </c>
      <c r="DP213">
        <v>596.67999999999995</v>
      </c>
      <c r="DQ213">
        <v>596.67999999999995</v>
      </c>
      <c r="DR213">
        <v>13.38</v>
      </c>
      <c r="DS213">
        <v>10.35</v>
      </c>
      <c r="DT213">
        <v>842.61</v>
      </c>
      <c r="DU213">
        <v>670.85</v>
      </c>
      <c r="DV213">
        <v>14733.264562758701</v>
      </c>
    </row>
    <row r="214" spans="106:126">
      <c r="DB214" t="s">
        <v>411</v>
      </c>
      <c r="DC214" t="s">
        <v>411</v>
      </c>
      <c r="DD214" t="s">
        <v>97</v>
      </c>
      <c r="DE214">
        <v>35</v>
      </c>
      <c r="DF214">
        <v>25</v>
      </c>
      <c r="DG214">
        <v>0.8</v>
      </c>
      <c r="DH214">
        <v>0.8</v>
      </c>
      <c r="DI214">
        <v>91.79</v>
      </c>
      <c r="DJ214">
        <v>56</v>
      </c>
      <c r="DK214">
        <v>40</v>
      </c>
      <c r="DL214">
        <v>16170.48</v>
      </c>
      <c r="DM214">
        <v>9659.06</v>
      </c>
      <c r="DN214">
        <v>924.03</v>
      </c>
      <c r="DO214">
        <v>924.03</v>
      </c>
      <c r="DP214">
        <v>772.73</v>
      </c>
      <c r="DQ214">
        <v>772.73</v>
      </c>
      <c r="DR214">
        <v>13.27</v>
      </c>
      <c r="DS214">
        <v>10.26</v>
      </c>
      <c r="DT214">
        <v>1101.6300000000001</v>
      </c>
      <c r="DU214">
        <v>876.27</v>
      </c>
      <c r="DV214">
        <v>19295.987917580402</v>
      </c>
    </row>
    <row r="215" spans="106:126">
      <c r="DB215" t="s">
        <v>412</v>
      </c>
      <c r="DC215" t="s">
        <v>412</v>
      </c>
      <c r="DD215" t="s">
        <v>97</v>
      </c>
      <c r="DE215">
        <v>35</v>
      </c>
      <c r="DF215">
        <v>25</v>
      </c>
      <c r="DG215">
        <v>1</v>
      </c>
      <c r="DH215">
        <v>1</v>
      </c>
      <c r="DI215">
        <v>113.42</v>
      </c>
      <c r="DJ215">
        <v>70</v>
      </c>
      <c r="DK215">
        <v>50</v>
      </c>
      <c r="DL215">
        <v>19672.080000000002</v>
      </c>
      <c r="DM215">
        <v>11723.53</v>
      </c>
      <c r="DN215">
        <v>1124.1199999999999</v>
      </c>
      <c r="DO215">
        <v>1124.1199999999999</v>
      </c>
      <c r="DP215">
        <v>937.89</v>
      </c>
      <c r="DQ215">
        <v>937.89</v>
      </c>
      <c r="DR215">
        <v>13.17</v>
      </c>
      <c r="DS215">
        <v>10.17</v>
      </c>
      <c r="DT215">
        <v>1349.92</v>
      </c>
      <c r="DU215">
        <v>1072.79</v>
      </c>
      <c r="DV215">
        <v>23627.094613486101</v>
      </c>
    </row>
    <row r="216" spans="106:126">
      <c r="DB216" t="s">
        <v>413</v>
      </c>
      <c r="DC216" t="s">
        <v>413</v>
      </c>
      <c r="DD216" t="s">
        <v>97</v>
      </c>
      <c r="DE216">
        <v>35</v>
      </c>
      <c r="DF216">
        <v>25</v>
      </c>
      <c r="DG216">
        <v>1.2</v>
      </c>
      <c r="DH216">
        <v>1.2</v>
      </c>
      <c r="DI216">
        <v>134.53</v>
      </c>
      <c r="DJ216">
        <v>84</v>
      </c>
      <c r="DK216">
        <v>60</v>
      </c>
      <c r="DL216">
        <v>22966.89</v>
      </c>
      <c r="DM216">
        <v>13655.73</v>
      </c>
      <c r="DN216">
        <v>1312.4</v>
      </c>
      <c r="DO216">
        <v>1312.4</v>
      </c>
      <c r="DP216">
        <v>1092.46</v>
      </c>
      <c r="DQ216">
        <v>1092.46</v>
      </c>
      <c r="DR216">
        <v>13.07</v>
      </c>
      <c r="DS216">
        <v>10.08</v>
      </c>
      <c r="DT216">
        <v>1587.6</v>
      </c>
      <c r="DU216">
        <v>1260.54</v>
      </c>
      <c r="DV216">
        <v>27692.080060851298</v>
      </c>
    </row>
    <row r="217" spans="106:126">
      <c r="DB217" t="s">
        <v>414</v>
      </c>
      <c r="DC217" t="s">
        <v>414</v>
      </c>
      <c r="DD217" t="s">
        <v>97</v>
      </c>
      <c r="DE217">
        <v>35</v>
      </c>
      <c r="DF217">
        <v>25</v>
      </c>
      <c r="DG217">
        <v>1.4</v>
      </c>
      <c r="DH217">
        <v>1.4</v>
      </c>
      <c r="DI217">
        <v>155.11000000000001</v>
      </c>
      <c r="DJ217">
        <v>98</v>
      </c>
      <c r="DK217">
        <v>70</v>
      </c>
      <c r="DL217">
        <v>26059.61</v>
      </c>
      <c r="DM217">
        <v>15459.53</v>
      </c>
      <c r="DN217">
        <v>1489.13</v>
      </c>
      <c r="DO217">
        <v>1489.13</v>
      </c>
      <c r="DP217">
        <v>1236.77</v>
      </c>
      <c r="DQ217">
        <v>1236.77</v>
      </c>
      <c r="DR217">
        <v>12.96</v>
      </c>
      <c r="DS217">
        <v>9.98</v>
      </c>
      <c r="DT217">
        <v>1814.79</v>
      </c>
      <c r="DU217">
        <v>1439.62</v>
      </c>
      <c r="DV217">
        <v>31456.759039247099</v>
      </c>
    </row>
    <row r="218" spans="106:126">
      <c r="DB218" t="s">
        <v>415</v>
      </c>
      <c r="DC218" t="s">
        <v>415</v>
      </c>
      <c r="DD218" t="s">
        <v>97</v>
      </c>
      <c r="DE218">
        <v>40</v>
      </c>
      <c r="DF218">
        <v>20</v>
      </c>
      <c r="DG218">
        <v>0.5</v>
      </c>
      <c r="DH218">
        <v>0.5</v>
      </c>
      <c r="DI218">
        <v>58.36</v>
      </c>
      <c r="DJ218">
        <v>40</v>
      </c>
      <c r="DK218">
        <v>20</v>
      </c>
      <c r="DL218">
        <v>12489.82</v>
      </c>
      <c r="DM218">
        <v>4311.75</v>
      </c>
      <c r="DN218">
        <v>624.5</v>
      </c>
      <c r="DO218">
        <v>624.5</v>
      </c>
      <c r="DP218">
        <v>431.18</v>
      </c>
      <c r="DQ218">
        <v>431.18</v>
      </c>
      <c r="DR218">
        <v>14.63</v>
      </c>
      <c r="DS218">
        <v>8.6</v>
      </c>
      <c r="DT218">
        <v>762.43</v>
      </c>
      <c r="DU218">
        <v>473.87</v>
      </c>
      <c r="DV218">
        <v>10269.6941524949</v>
      </c>
    </row>
    <row r="219" spans="106:126">
      <c r="DB219" t="s">
        <v>416</v>
      </c>
      <c r="DC219" t="s">
        <v>416</v>
      </c>
      <c r="DD219" t="s">
        <v>97</v>
      </c>
      <c r="DE219">
        <v>40</v>
      </c>
      <c r="DF219">
        <v>20</v>
      </c>
      <c r="DG219">
        <v>0.6</v>
      </c>
      <c r="DH219">
        <v>0.6</v>
      </c>
      <c r="DI219">
        <v>69.63</v>
      </c>
      <c r="DJ219">
        <v>48</v>
      </c>
      <c r="DK219">
        <v>24</v>
      </c>
      <c r="DL219">
        <v>14789.35</v>
      </c>
      <c r="DM219">
        <v>5091.63</v>
      </c>
      <c r="DN219">
        <v>739.47</v>
      </c>
      <c r="DO219">
        <v>739.47</v>
      </c>
      <c r="DP219">
        <v>509.17</v>
      </c>
      <c r="DQ219">
        <v>509.17</v>
      </c>
      <c r="DR219">
        <v>14.57</v>
      </c>
      <c r="DS219">
        <v>8.5500000000000007</v>
      </c>
      <c r="DT219">
        <v>905.99</v>
      </c>
      <c r="DU219">
        <v>562.47</v>
      </c>
      <c r="DV219">
        <v>12205.149435232501</v>
      </c>
    </row>
    <row r="220" spans="106:126">
      <c r="DB220" t="s">
        <v>417</v>
      </c>
      <c r="DC220" t="s">
        <v>417</v>
      </c>
      <c r="DD220" t="s">
        <v>97</v>
      </c>
      <c r="DE220">
        <v>40</v>
      </c>
      <c r="DF220">
        <v>20</v>
      </c>
      <c r="DG220">
        <v>0.8</v>
      </c>
      <c r="DH220">
        <v>0.8</v>
      </c>
      <c r="DI220">
        <v>91.79</v>
      </c>
      <c r="DJ220">
        <v>64</v>
      </c>
      <c r="DK220">
        <v>32</v>
      </c>
      <c r="DL220">
        <v>19195.28</v>
      </c>
      <c r="DM220">
        <v>6572.45</v>
      </c>
      <c r="DN220">
        <v>959.77</v>
      </c>
      <c r="DO220">
        <v>959.77</v>
      </c>
      <c r="DP220">
        <v>657.25</v>
      </c>
      <c r="DQ220">
        <v>657.25</v>
      </c>
      <c r="DR220">
        <v>14.46</v>
      </c>
      <c r="DS220">
        <v>8.4600000000000009</v>
      </c>
      <c r="DT220">
        <v>1184.31</v>
      </c>
      <c r="DU220">
        <v>733.59</v>
      </c>
      <c r="DV220">
        <v>15926.472294417399</v>
      </c>
    </row>
    <row r="221" spans="106:126">
      <c r="DB221" t="s">
        <v>418</v>
      </c>
      <c r="DC221" t="s">
        <v>418</v>
      </c>
      <c r="DD221" t="s">
        <v>97</v>
      </c>
      <c r="DE221">
        <v>40</v>
      </c>
      <c r="DF221">
        <v>20</v>
      </c>
      <c r="DG221">
        <v>1</v>
      </c>
      <c r="DH221">
        <v>1</v>
      </c>
      <c r="DI221">
        <v>113.42</v>
      </c>
      <c r="DJ221">
        <v>80</v>
      </c>
      <c r="DK221">
        <v>40</v>
      </c>
      <c r="DL221">
        <v>23348.080000000002</v>
      </c>
      <c r="DM221">
        <v>7950.97</v>
      </c>
      <c r="DN221">
        <v>1167.4100000000001</v>
      </c>
      <c r="DO221">
        <v>1167.4100000000001</v>
      </c>
      <c r="DP221">
        <v>795.1</v>
      </c>
      <c r="DQ221">
        <v>795.1</v>
      </c>
      <c r="DR221">
        <v>14.35</v>
      </c>
      <c r="DS221">
        <v>8.3699999999999992</v>
      </c>
      <c r="DT221">
        <v>1450.98</v>
      </c>
      <c r="DU221">
        <v>896.73</v>
      </c>
      <c r="DV221">
        <v>19422.496760374401</v>
      </c>
    </row>
    <row r="222" spans="106:126">
      <c r="DB222" t="s">
        <v>419</v>
      </c>
      <c r="DC222" t="s">
        <v>419</v>
      </c>
      <c r="DD222" t="s">
        <v>97</v>
      </c>
      <c r="DE222">
        <v>40</v>
      </c>
      <c r="DF222">
        <v>20</v>
      </c>
      <c r="DG222">
        <v>1.2</v>
      </c>
      <c r="DH222">
        <v>1.2</v>
      </c>
      <c r="DI222">
        <v>134.53</v>
      </c>
      <c r="DJ222">
        <v>96</v>
      </c>
      <c r="DK222">
        <v>48</v>
      </c>
      <c r="DL222">
        <v>27252.93</v>
      </c>
      <c r="DM222">
        <v>9230.6299999999992</v>
      </c>
      <c r="DN222">
        <v>1362.65</v>
      </c>
      <c r="DO222">
        <v>1362.65</v>
      </c>
      <c r="DP222">
        <v>923.07</v>
      </c>
      <c r="DQ222">
        <v>923.07</v>
      </c>
      <c r="DR222">
        <v>14.23</v>
      </c>
      <c r="DS222">
        <v>8.2799999999999994</v>
      </c>
      <c r="DT222">
        <v>1706.13</v>
      </c>
      <c r="DU222">
        <v>1052.01</v>
      </c>
      <c r="DV222">
        <v>22662.532324931501</v>
      </c>
    </row>
    <row r="223" spans="106:126">
      <c r="DB223" t="s">
        <v>420</v>
      </c>
      <c r="DC223" t="s">
        <v>420</v>
      </c>
      <c r="DD223" t="s">
        <v>97</v>
      </c>
      <c r="DE223">
        <v>40</v>
      </c>
      <c r="DF223">
        <v>20</v>
      </c>
      <c r="DG223">
        <v>1.4</v>
      </c>
      <c r="DH223">
        <v>1.4</v>
      </c>
      <c r="DI223">
        <v>155.11000000000001</v>
      </c>
      <c r="DJ223">
        <v>112</v>
      </c>
      <c r="DK223">
        <v>56</v>
      </c>
      <c r="DL223">
        <v>30915.01</v>
      </c>
      <c r="DM223">
        <v>10414.85</v>
      </c>
      <c r="DN223">
        <v>1545.76</v>
      </c>
      <c r="DO223">
        <v>1545.76</v>
      </c>
      <c r="DP223">
        <v>1041.49</v>
      </c>
      <c r="DQ223">
        <v>1041.49</v>
      </c>
      <c r="DR223">
        <v>14.12</v>
      </c>
      <c r="DS223">
        <v>8.19</v>
      </c>
      <c r="DT223">
        <v>1949.87</v>
      </c>
      <c r="DU223">
        <v>1199.54</v>
      </c>
      <c r="DV223">
        <v>25616.524293479401</v>
      </c>
    </row>
    <row r="224" spans="106:126">
      <c r="DB224" t="s">
        <v>421</v>
      </c>
      <c r="DC224" t="s">
        <v>421</v>
      </c>
      <c r="DD224" t="s">
        <v>97</v>
      </c>
      <c r="DE224">
        <v>40</v>
      </c>
      <c r="DF224">
        <v>30</v>
      </c>
      <c r="DG224">
        <v>0.6</v>
      </c>
      <c r="DH224">
        <v>0.6</v>
      </c>
      <c r="DI224">
        <v>81.63</v>
      </c>
      <c r="DJ224">
        <v>48</v>
      </c>
      <c r="DK224">
        <v>36</v>
      </c>
      <c r="DL224">
        <v>19446.79</v>
      </c>
      <c r="DM224">
        <v>12557.11</v>
      </c>
      <c r="DN224">
        <v>972.34</v>
      </c>
      <c r="DO224">
        <v>972.34</v>
      </c>
      <c r="DP224">
        <v>837.15</v>
      </c>
      <c r="DQ224">
        <v>837.15</v>
      </c>
      <c r="DR224">
        <v>15.43</v>
      </c>
      <c r="DS224">
        <v>12.4</v>
      </c>
      <c r="DT224">
        <v>1142.3900000000001</v>
      </c>
      <c r="DU224">
        <v>940.63</v>
      </c>
      <c r="DV224">
        <v>23929.9766079867</v>
      </c>
    </row>
    <row r="225" spans="106:126">
      <c r="DB225" t="s">
        <v>422</v>
      </c>
      <c r="DC225" t="s">
        <v>422</v>
      </c>
      <c r="DD225" t="s">
        <v>97</v>
      </c>
      <c r="DE225">
        <v>40</v>
      </c>
      <c r="DF225">
        <v>30</v>
      </c>
      <c r="DG225">
        <v>0.8</v>
      </c>
      <c r="DH225">
        <v>0.8</v>
      </c>
      <c r="DI225">
        <v>107.79</v>
      </c>
      <c r="DJ225">
        <v>64</v>
      </c>
      <c r="DK225">
        <v>48</v>
      </c>
      <c r="DL225">
        <v>25342.7</v>
      </c>
      <c r="DM225">
        <v>16336.49</v>
      </c>
      <c r="DN225">
        <v>1267.1400000000001</v>
      </c>
      <c r="DO225">
        <v>1267.1400000000001</v>
      </c>
      <c r="DP225">
        <v>1089.0999999999999</v>
      </c>
      <c r="DQ225">
        <v>1089.0999999999999</v>
      </c>
      <c r="DR225">
        <v>15.33</v>
      </c>
      <c r="DS225">
        <v>12.31</v>
      </c>
      <c r="DT225">
        <v>1497.91</v>
      </c>
      <c r="DU225">
        <v>1232.55</v>
      </c>
      <c r="DV225">
        <v>31464.156205863899</v>
      </c>
    </row>
    <row r="226" spans="106:126">
      <c r="DB226" t="s">
        <v>423</v>
      </c>
      <c r="DC226" t="s">
        <v>423</v>
      </c>
      <c r="DD226" t="s">
        <v>97</v>
      </c>
      <c r="DE226">
        <v>40</v>
      </c>
      <c r="DF226">
        <v>30</v>
      </c>
      <c r="DG226">
        <v>1</v>
      </c>
      <c r="DH226">
        <v>1</v>
      </c>
      <c r="DI226">
        <v>133.41999999999999</v>
      </c>
      <c r="DJ226">
        <v>80</v>
      </c>
      <c r="DK226">
        <v>60</v>
      </c>
      <c r="DL226">
        <v>30954.74</v>
      </c>
      <c r="DM226">
        <v>19920.57</v>
      </c>
      <c r="DN226">
        <v>1547.74</v>
      </c>
      <c r="DO226">
        <v>1547.74</v>
      </c>
      <c r="DP226">
        <v>1328.04</v>
      </c>
      <c r="DQ226">
        <v>1328.04</v>
      </c>
      <c r="DR226">
        <v>15.23</v>
      </c>
      <c r="DS226">
        <v>12.22</v>
      </c>
      <c r="DT226">
        <v>1840.98</v>
      </c>
      <c r="DU226">
        <v>1513.86</v>
      </c>
      <c r="DV226">
        <v>38709.679723509202</v>
      </c>
    </row>
    <row r="227" spans="106:126">
      <c r="DB227" t="s">
        <v>424</v>
      </c>
      <c r="DC227" t="s">
        <v>424</v>
      </c>
      <c r="DD227" t="s">
        <v>97</v>
      </c>
      <c r="DE227">
        <v>40</v>
      </c>
      <c r="DF227">
        <v>30</v>
      </c>
      <c r="DG227">
        <v>1.2</v>
      </c>
      <c r="DH227">
        <v>1.2</v>
      </c>
      <c r="DI227">
        <v>158.53</v>
      </c>
      <c r="DJ227">
        <v>96</v>
      </c>
      <c r="DK227">
        <v>72</v>
      </c>
      <c r="DL227">
        <v>36288.449999999997</v>
      </c>
      <c r="DM227">
        <v>23314.01</v>
      </c>
      <c r="DN227">
        <v>1814.43</v>
      </c>
      <c r="DO227">
        <v>1814.43</v>
      </c>
      <c r="DP227">
        <v>1554.27</v>
      </c>
      <c r="DQ227">
        <v>1554.27</v>
      </c>
      <c r="DR227">
        <v>15.13</v>
      </c>
      <c r="DS227">
        <v>12.13</v>
      </c>
      <c r="DT227">
        <v>2171.73</v>
      </c>
      <c r="DU227">
        <v>1784.67</v>
      </c>
      <c r="DV227">
        <v>45625.841453721499</v>
      </c>
    </row>
    <row r="228" spans="106:126">
      <c r="DB228" t="s">
        <v>425</v>
      </c>
      <c r="DC228" t="s">
        <v>425</v>
      </c>
      <c r="DD228" t="s">
        <v>97</v>
      </c>
      <c r="DE228">
        <v>40</v>
      </c>
      <c r="DF228">
        <v>30</v>
      </c>
      <c r="DG228">
        <v>1.4</v>
      </c>
      <c r="DH228">
        <v>1.4</v>
      </c>
      <c r="DI228">
        <v>183.11</v>
      </c>
      <c r="DJ228">
        <v>112</v>
      </c>
      <c r="DK228">
        <v>84</v>
      </c>
      <c r="DL228">
        <v>41349.300000000003</v>
      </c>
      <c r="DM228">
        <v>26521.41</v>
      </c>
      <c r="DN228">
        <v>2067.4699999999998</v>
      </c>
      <c r="DO228">
        <v>2067.4699999999998</v>
      </c>
      <c r="DP228">
        <v>1768.1</v>
      </c>
      <c r="DQ228">
        <v>1768.1</v>
      </c>
      <c r="DR228">
        <v>15.03</v>
      </c>
      <c r="DS228">
        <v>12.03</v>
      </c>
      <c r="DT228">
        <v>2490.27</v>
      </c>
      <c r="DU228">
        <v>2045.1</v>
      </c>
      <c r="DV228">
        <v>52172.040752909597</v>
      </c>
    </row>
    <row r="229" spans="106:126">
      <c r="DB229" t="s">
        <v>426</v>
      </c>
      <c r="DC229" t="s">
        <v>426</v>
      </c>
      <c r="DD229" t="s">
        <v>97</v>
      </c>
      <c r="DE229">
        <v>40</v>
      </c>
      <c r="DF229">
        <v>30</v>
      </c>
      <c r="DG229">
        <v>1.6</v>
      </c>
      <c r="DH229">
        <v>1.6</v>
      </c>
      <c r="DI229">
        <v>207.17</v>
      </c>
      <c r="DJ229">
        <v>128</v>
      </c>
      <c r="DK229">
        <v>96</v>
      </c>
      <c r="DL229">
        <v>46142.73</v>
      </c>
      <c r="DM229">
        <v>29547.33</v>
      </c>
      <c r="DN229">
        <v>2307.14</v>
      </c>
      <c r="DO229">
        <v>2307.14</v>
      </c>
      <c r="DP229">
        <v>1969.83</v>
      </c>
      <c r="DQ229">
        <v>1969.83</v>
      </c>
      <c r="DR229">
        <v>14.92</v>
      </c>
      <c r="DS229">
        <v>11.94</v>
      </c>
      <c r="DT229">
        <v>2796.72</v>
      </c>
      <c r="DU229">
        <v>2295.29</v>
      </c>
      <c r="DV229">
        <v>58308.006833995503</v>
      </c>
    </row>
    <row r="230" spans="106:126">
      <c r="DB230" t="s">
        <v>427</v>
      </c>
      <c r="DC230" t="s">
        <v>427</v>
      </c>
      <c r="DD230" t="s">
        <v>97</v>
      </c>
      <c r="DE230">
        <v>40</v>
      </c>
      <c r="DF230">
        <v>30</v>
      </c>
      <c r="DG230">
        <v>1.8</v>
      </c>
      <c r="DH230">
        <v>1.8</v>
      </c>
      <c r="DI230">
        <v>230.7</v>
      </c>
      <c r="DJ230">
        <v>144</v>
      </c>
      <c r="DK230">
        <v>108</v>
      </c>
      <c r="DL230">
        <v>50674.11</v>
      </c>
      <c r="DM230">
        <v>32396.29</v>
      </c>
      <c r="DN230">
        <v>2533.71</v>
      </c>
      <c r="DO230">
        <v>2533.71</v>
      </c>
      <c r="DP230">
        <v>2159.7600000000002</v>
      </c>
      <c r="DQ230">
        <v>2159.7600000000002</v>
      </c>
      <c r="DR230">
        <v>14.82</v>
      </c>
      <c r="DS230">
        <v>11.85</v>
      </c>
      <c r="DT230">
        <v>3091.21</v>
      </c>
      <c r="DU230">
        <v>2535.33</v>
      </c>
      <c r="DV230">
        <v>63994.0478991134</v>
      </c>
    </row>
    <row r="231" spans="106:126">
      <c r="DB231" t="s">
        <v>428</v>
      </c>
      <c r="DC231" t="s">
        <v>428</v>
      </c>
      <c r="DD231" t="s">
        <v>97</v>
      </c>
      <c r="DE231">
        <v>40</v>
      </c>
      <c r="DF231">
        <v>30</v>
      </c>
      <c r="DG231">
        <v>2</v>
      </c>
      <c r="DH231">
        <v>2</v>
      </c>
      <c r="DI231">
        <v>253.7</v>
      </c>
      <c r="DJ231">
        <v>160</v>
      </c>
      <c r="DK231">
        <v>120</v>
      </c>
      <c r="DL231">
        <v>54948.800000000003</v>
      </c>
      <c r="DM231">
        <v>35072.75</v>
      </c>
      <c r="DN231">
        <v>2747.44</v>
      </c>
      <c r="DO231">
        <v>2747.44</v>
      </c>
      <c r="DP231">
        <v>2338.19</v>
      </c>
      <c r="DQ231">
        <v>2338.19</v>
      </c>
      <c r="DR231">
        <v>14.72</v>
      </c>
      <c r="DS231">
        <v>11.76</v>
      </c>
      <c r="DT231">
        <v>3373.85</v>
      </c>
      <c r="DU231">
        <v>2765.36</v>
      </c>
      <c r="DV231">
        <v>69191.3277432795</v>
      </c>
    </row>
    <row r="232" spans="106:126">
      <c r="DB232" t="s">
        <v>429</v>
      </c>
      <c r="DC232" t="s">
        <v>429</v>
      </c>
      <c r="DD232" t="s">
        <v>97</v>
      </c>
      <c r="DE232">
        <v>50</v>
      </c>
      <c r="DF232">
        <v>20</v>
      </c>
      <c r="DG232">
        <v>0.6</v>
      </c>
      <c r="DH232">
        <v>0.6</v>
      </c>
      <c r="DI232">
        <v>81.63</v>
      </c>
      <c r="DJ232">
        <v>60</v>
      </c>
      <c r="DK232">
        <v>24</v>
      </c>
      <c r="DL232">
        <v>25690.13</v>
      </c>
      <c r="DM232">
        <v>6221.07</v>
      </c>
      <c r="DN232">
        <v>1027.6099999999999</v>
      </c>
      <c r="DO232">
        <v>1027.6099999999999</v>
      </c>
      <c r="DP232">
        <v>622.11</v>
      </c>
      <c r="DQ232">
        <v>622.11</v>
      </c>
      <c r="DR232">
        <v>17.739999999999998</v>
      </c>
      <c r="DS232">
        <v>8.73</v>
      </c>
      <c r="DT232">
        <v>1284.1600000000001</v>
      </c>
      <c r="DU232">
        <v>678.87</v>
      </c>
      <c r="DV232">
        <v>16353.698196936801</v>
      </c>
    </row>
    <row r="233" spans="106:126">
      <c r="DB233" t="s">
        <v>430</v>
      </c>
      <c r="DC233" t="s">
        <v>430</v>
      </c>
      <c r="DD233" t="s">
        <v>97</v>
      </c>
      <c r="DE233">
        <v>50</v>
      </c>
      <c r="DF233">
        <v>20</v>
      </c>
      <c r="DG233">
        <v>0.8</v>
      </c>
      <c r="DH233">
        <v>0.8</v>
      </c>
      <c r="DI233">
        <v>107.79</v>
      </c>
      <c r="DJ233">
        <v>80</v>
      </c>
      <c r="DK233">
        <v>32</v>
      </c>
      <c r="DL233">
        <v>33466.5</v>
      </c>
      <c r="DM233">
        <v>8047.87</v>
      </c>
      <c r="DN233">
        <v>1338.66</v>
      </c>
      <c r="DO233">
        <v>1338.66</v>
      </c>
      <c r="DP233">
        <v>804.79</v>
      </c>
      <c r="DQ233">
        <v>804.79</v>
      </c>
      <c r="DR233">
        <v>17.62</v>
      </c>
      <c r="DS233">
        <v>8.64</v>
      </c>
      <c r="DT233">
        <v>1683.27</v>
      </c>
      <c r="DU233">
        <v>887.19</v>
      </c>
      <c r="DV233">
        <v>21366.476476461801</v>
      </c>
    </row>
    <row r="234" spans="106:126">
      <c r="DB234" t="s">
        <v>431</v>
      </c>
      <c r="DC234" t="s">
        <v>431</v>
      </c>
      <c r="DD234" t="s">
        <v>97</v>
      </c>
      <c r="DE234">
        <v>50</v>
      </c>
      <c r="DF234">
        <v>20</v>
      </c>
      <c r="DG234">
        <v>1</v>
      </c>
      <c r="DH234">
        <v>1</v>
      </c>
      <c r="DI234">
        <v>133.41999999999999</v>
      </c>
      <c r="DJ234">
        <v>100</v>
      </c>
      <c r="DK234">
        <v>40</v>
      </c>
      <c r="DL234">
        <v>40860.160000000003</v>
      </c>
      <c r="DM234">
        <v>9757.6299999999992</v>
      </c>
      <c r="DN234">
        <v>1634.41</v>
      </c>
      <c r="DO234">
        <v>1634.41</v>
      </c>
      <c r="DP234">
        <v>975.77</v>
      </c>
      <c r="DQ234">
        <v>975.77</v>
      </c>
      <c r="DR234">
        <v>17.5</v>
      </c>
      <c r="DS234">
        <v>8.5500000000000007</v>
      </c>
      <c r="DT234">
        <v>2068.1</v>
      </c>
      <c r="DU234">
        <v>1086.73</v>
      </c>
      <c r="DV234">
        <v>26105.403252299799</v>
      </c>
    </row>
    <row r="235" spans="106:126">
      <c r="DB235" t="s">
        <v>432</v>
      </c>
      <c r="DC235" t="s">
        <v>432</v>
      </c>
      <c r="DD235" t="s">
        <v>97</v>
      </c>
      <c r="DE235">
        <v>50</v>
      </c>
      <c r="DF235">
        <v>20</v>
      </c>
      <c r="DG235">
        <v>1.2</v>
      </c>
      <c r="DH235">
        <v>1.2</v>
      </c>
      <c r="DI235">
        <v>158.53</v>
      </c>
      <c r="DJ235">
        <v>120</v>
      </c>
      <c r="DK235">
        <v>48</v>
      </c>
      <c r="DL235">
        <v>47877.48</v>
      </c>
      <c r="DM235">
        <v>11354.15</v>
      </c>
      <c r="DN235">
        <v>1915.1</v>
      </c>
      <c r="DO235">
        <v>1915.1</v>
      </c>
      <c r="DP235">
        <v>1135.42</v>
      </c>
      <c r="DQ235">
        <v>1135.42</v>
      </c>
      <c r="DR235">
        <v>17.38</v>
      </c>
      <c r="DS235">
        <v>8.4600000000000009</v>
      </c>
      <c r="DT235">
        <v>2438.7800000000002</v>
      </c>
      <c r="DU235">
        <v>1277.6099999999999</v>
      </c>
      <c r="DV235">
        <v>30538.236491316398</v>
      </c>
    </row>
    <row r="236" spans="106:126">
      <c r="DB236" t="s">
        <v>433</v>
      </c>
      <c r="DC236" t="s">
        <v>433</v>
      </c>
      <c r="DD236" t="s">
        <v>97</v>
      </c>
      <c r="DE236">
        <v>50</v>
      </c>
      <c r="DF236">
        <v>20</v>
      </c>
      <c r="DG236">
        <v>1.4</v>
      </c>
      <c r="DH236">
        <v>1.4</v>
      </c>
      <c r="DI236">
        <v>183.11</v>
      </c>
      <c r="DJ236">
        <v>140</v>
      </c>
      <c r="DK236">
        <v>56</v>
      </c>
      <c r="DL236">
        <v>54524.82</v>
      </c>
      <c r="DM236">
        <v>12841.14</v>
      </c>
      <c r="DN236">
        <v>2181</v>
      </c>
      <c r="DO236">
        <v>2181</v>
      </c>
      <c r="DP236">
        <v>1284.1199999999999</v>
      </c>
      <c r="DQ236">
        <v>1284.1199999999999</v>
      </c>
      <c r="DR236">
        <v>17.260000000000002</v>
      </c>
      <c r="DS236">
        <v>8.3699999999999992</v>
      </c>
      <c r="DT236">
        <v>2795.43</v>
      </c>
      <c r="DU236">
        <v>1459.94</v>
      </c>
      <c r="DV236">
        <v>34633.4288866469</v>
      </c>
    </row>
    <row r="237" spans="106:126">
      <c r="DB237" t="s">
        <v>434</v>
      </c>
      <c r="DC237" t="s">
        <v>434</v>
      </c>
      <c r="DD237" t="s">
        <v>97</v>
      </c>
      <c r="DE237">
        <v>50</v>
      </c>
      <c r="DF237">
        <v>20</v>
      </c>
      <c r="DG237">
        <v>1.6</v>
      </c>
      <c r="DH237">
        <v>1.6</v>
      </c>
      <c r="DI237">
        <v>207.17</v>
      </c>
      <c r="DJ237">
        <v>160</v>
      </c>
      <c r="DK237">
        <v>64</v>
      </c>
      <c r="DL237">
        <v>60808.49</v>
      </c>
      <c r="DM237">
        <v>14222.3</v>
      </c>
      <c r="DN237">
        <v>2432.34</v>
      </c>
      <c r="DO237">
        <v>2432.34</v>
      </c>
      <c r="DP237">
        <v>1422.23</v>
      </c>
      <c r="DQ237">
        <v>1422.23</v>
      </c>
      <c r="DR237">
        <v>17.13</v>
      </c>
      <c r="DS237">
        <v>8.2899999999999991</v>
      </c>
      <c r="DT237">
        <v>3138.16</v>
      </c>
      <c r="DU237">
        <v>1633.85</v>
      </c>
      <c r="DV237">
        <v>38360.404912993101</v>
      </c>
    </row>
    <row r="238" spans="106:126">
      <c r="DB238" t="s">
        <v>435</v>
      </c>
      <c r="DC238" t="s">
        <v>435</v>
      </c>
      <c r="DD238" t="s">
        <v>97</v>
      </c>
      <c r="DE238">
        <v>50</v>
      </c>
      <c r="DF238">
        <v>30</v>
      </c>
      <c r="DG238">
        <v>0.8</v>
      </c>
      <c r="DH238">
        <v>0.8</v>
      </c>
      <c r="DI238">
        <v>123.79</v>
      </c>
      <c r="DJ238">
        <v>80</v>
      </c>
      <c r="DK238">
        <v>48</v>
      </c>
      <c r="DL238">
        <v>43149.919999999998</v>
      </c>
      <c r="DM238">
        <v>19747.900000000001</v>
      </c>
      <c r="DN238">
        <v>1726</v>
      </c>
      <c r="DO238">
        <v>1726</v>
      </c>
      <c r="DP238">
        <v>1316.53</v>
      </c>
      <c r="DQ238">
        <v>1316.53</v>
      </c>
      <c r="DR238">
        <v>18.670000000000002</v>
      </c>
      <c r="DS238">
        <v>12.63</v>
      </c>
      <c r="DT238">
        <v>2076.87</v>
      </c>
      <c r="DU238">
        <v>1466.15</v>
      </c>
      <c r="DV238">
        <v>43143.801307195099</v>
      </c>
    </row>
    <row r="239" spans="106:126">
      <c r="DB239" t="s">
        <v>436</v>
      </c>
      <c r="DC239" t="s">
        <v>436</v>
      </c>
      <c r="DD239" t="s">
        <v>97</v>
      </c>
      <c r="DE239">
        <v>50</v>
      </c>
      <c r="DF239">
        <v>30</v>
      </c>
      <c r="DG239">
        <v>1</v>
      </c>
      <c r="DH239">
        <v>1</v>
      </c>
      <c r="DI239">
        <v>153.41999999999999</v>
      </c>
      <c r="DJ239">
        <v>100</v>
      </c>
      <c r="DK239">
        <v>60</v>
      </c>
      <c r="DL239">
        <v>52866.82</v>
      </c>
      <c r="DM239">
        <v>24127.24</v>
      </c>
      <c r="DN239">
        <v>2114.6799999999998</v>
      </c>
      <c r="DO239">
        <v>2114.6799999999998</v>
      </c>
      <c r="DP239">
        <v>1608.49</v>
      </c>
      <c r="DQ239">
        <v>1608.49</v>
      </c>
      <c r="DR239">
        <v>18.559999999999999</v>
      </c>
      <c r="DS239">
        <v>12.54</v>
      </c>
      <c r="DT239">
        <v>2558.1</v>
      </c>
      <c r="DU239">
        <v>1803.86</v>
      </c>
      <c r="DV239">
        <v>53167.386396658199</v>
      </c>
    </row>
    <row r="240" spans="106:126">
      <c r="DB240" t="s">
        <v>437</v>
      </c>
      <c r="DC240" t="s">
        <v>437</v>
      </c>
      <c r="DD240" t="s">
        <v>97</v>
      </c>
      <c r="DE240">
        <v>50</v>
      </c>
      <c r="DF240">
        <v>30</v>
      </c>
      <c r="DG240">
        <v>1.2</v>
      </c>
      <c r="DH240">
        <v>1.2</v>
      </c>
      <c r="DI240">
        <v>182.53</v>
      </c>
      <c r="DJ240">
        <v>120</v>
      </c>
      <c r="DK240">
        <v>72</v>
      </c>
      <c r="DL240">
        <v>62169</v>
      </c>
      <c r="DM240">
        <v>28293.53</v>
      </c>
      <c r="DN240">
        <v>2486.7600000000002</v>
      </c>
      <c r="DO240">
        <v>2486.7600000000002</v>
      </c>
      <c r="DP240">
        <v>1886.24</v>
      </c>
      <c r="DQ240">
        <v>1886.24</v>
      </c>
      <c r="DR240">
        <v>18.46</v>
      </c>
      <c r="DS240">
        <v>12.45</v>
      </c>
      <c r="DT240">
        <v>3024.38</v>
      </c>
      <c r="DU240">
        <v>2130.27</v>
      </c>
      <c r="DV240">
        <v>62797.853066415002</v>
      </c>
    </row>
    <row r="241" spans="106:126">
      <c r="DB241" t="s">
        <v>438</v>
      </c>
      <c r="DC241" t="s">
        <v>438</v>
      </c>
      <c r="DD241" t="s">
        <v>97</v>
      </c>
      <c r="DE241">
        <v>50</v>
      </c>
      <c r="DF241">
        <v>30</v>
      </c>
      <c r="DG241">
        <v>1.4</v>
      </c>
      <c r="DH241">
        <v>1.4</v>
      </c>
      <c r="DI241">
        <v>211.11</v>
      </c>
      <c r="DJ241">
        <v>140</v>
      </c>
      <c r="DK241">
        <v>84</v>
      </c>
      <c r="DL241">
        <v>71063.12</v>
      </c>
      <c r="DM241">
        <v>32251.7</v>
      </c>
      <c r="DN241">
        <v>2842.53</v>
      </c>
      <c r="DO241">
        <v>2842.53</v>
      </c>
      <c r="DP241">
        <v>2150.12</v>
      </c>
      <c r="DQ241">
        <v>2150.12</v>
      </c>
      <c r="DR241">
        <v>18.350000000000001</v>
      </c>
      <c r="DS241">
        <v>12.36</v>
      </c>
      <c r="DT241">
        <v>3475.83</v>
      </c>
      <c r="DU241">
        <v>2445.5</v>
      </c>
      <c r="DV241">
        <v>71991.132383143195</v>
      </c>
    </row>
    <row r="242" spans="106:126">
      <c r="DB242" t="s">
        <v>439</v>
      </c>
      <c r="DC242" t="s">
        <v>439</v>
      </c>
      <c r="DD242" t="s">
        <v>97</v>
      </c>
      <c r="DE242">
        <v>50</v>
      </c>
      <c r="DF242">
        <v>30</v>
      </c>
      <c r="DG242">
        <v>1.6</v>
      </c>
      <c r="DH242">
        <v>1.6</v>
      </c>
      <c r="DI242">
        <v>239.17</v>
      </c>
      <c r="DJ242">
        <v>160</v>
      </c>
      <c r="DK242">
        <v>96</v>
      </c>
      <c r="DL242">
        <v>79555.8</v>
      </c>
      <c r="DM242">
        <v>36006.639999999999</v>
      </c>
      <c r="DN242">
        <v>3182.24</v>
      </c>
      <c r="DO242">
        <v>3182.24</v>
      </c>
      <c r="DP242">
        <v>2400.4499999999998</v>
      </c>
      <c r="DQ242">
        <v>2400.4499999999998</v>
      </c>
      <c r="DR242">
        <v>18.239999999999998</v>
      </c>
      <c r="DS242">
        <v>12.27</v>
      </c>
      <c r="DT242">
        <v>3912.56</v>
      </c>
      <c r="DU242">
        <v>2749.69</v>
      </c>
      <c r="DV242">
        <v>80703.462878076403</v>
      </c>
    </row>
    <row r="243" spans="106:126">
      <c r="DB243" t="s">
        <v>440</v>
      </c>
      <c r="DC243" t="s">
        <v>440</v>
      </c>
      <c r="DD243" t="s">
        <v>97</v>
      </c>
      <c r="DE243">
        <v>50</v>
      </c>
      <c r="DF243">
        <v>30</v>
      </c>
      <c r="DG243">
        <v>1.8</v>
      </c>
      <c r="DH243">
        <v>1.8</v>
      </c>
      <c r="DI243">
        <v>266.7</v>
      </c>
      <c r="DJ243">
        <v>180</v>
      </c>
      <c r="DK243">
        <v>108</v>
      </c>
      <c r="DL243">
        <v>87653.63</v>
      </c>
      <c r="DM243">
        <v>39563.17</v>
      </c>
      <c r="DN243">
        <v>3506.15</v>
      </c>
      <c r="DO243">
        <v>3506.15</v>
      </c>
      <c r="DP243">
        <v>2637.55</v>
      </c>
      <c r="DQ243">
        <v>2637.55</v>
      </c>
      <c r="DR243">
        <v>18.13</v>
      </c>
      <c r="DS243">
        <v>12.18</v>
      </c>
      <c r="DT243">
        <v>4334.6899999999996</v>
      </c>
      <c r="DU243">
        <v>3042.93</v>
      </c>
      <c r="DV243">
        <v>88891.602467848803</v>
      </c>
    </row>
    <row r="244" spans="106:126">
      <c r="DB244" t="s">
        <v>441</v>
      </c>
      <c r="DC244" t="s">
        <v>441</v>
      </c>
      <c r="DD244" t="s">
        <v>97</v>
      </c>
      <c r="DE244">
        <v>50</v>
      </c>
      <c r="DF244">
        <v>30</v>
      </c>
      <c r="DG244">
        <v>2</v>
      </c>
      <c r="DH244">
        <v>2</v>
      </c>
      <c r="DI244">
        <v>293.7</v>
      </c>
      <c r="DJ244">
        <v>200</v>
      </c>
      <c r="DK244">
        <v>120</v>
      </c>
      <c r="DL244">
        <v>95363.14</v>
      </c>
      <c r="DM244">
        <v>42926.09</v>
      </c>
      <c r="DN244">
        <v>3814.53</v>
      </c>
      <c r="DO244">
        <v>3814.53</v>
      </c>
      <c r="DP244">
        <v>2861.74</v>
      </c>
      <c r="DQ244">
        <v>2861.74</v>
      </c>
      <c r="DR244">
        <v>18.02</v>
      </c>
      <c r="DS244">
        <v>12.09</v>
      </c>
      <c r="DT244">
        <v>4742.3500000000004</v>
      </c>
      <c r="DU244">
        <v>3325.36</v>
      </c>
      <c r="DV244">
        <v>96513.060362964199</v>
      </c>
    </row>
    <row r="245" spans="106:126">
      <c r="DB245" t="s">
        <v>442</v>
      </c>
      <c r="DC245" t="s">
        <v>442</v>
      </c>
      <c r="DD245" t="s">
        <v>97</v>
      </c>
      <c r="DE245">
        <v>60</v>
      </c>
      <c r="DF245">
        <v>20</v>
      </c>
      <c r="DG245">
        <v>0.6</v>
      </c>
      <c r="DH245">
        <v>0.6</v>
      </c>
      <c r="DI245">
        <v>93.63</v>
      </c>
      <c r="DJ245">
        <v>72</v>
      </c>
      <c r="DK245">
        <v>24</v>
      </c>
      <c r="DL245">
        <v>40672.54</v>
      </c>
      <c r="DM245">
        <v>7350.51</v>
      </c>
      <c r="DN245">
        <v>1355.76</v>
      </c>
      <c r="DO245">
        <v>1355.76</v>
      </c>
      <c r="DP245">
        <v>735.06</v>
      </c>
      <c r="DQ245">
        <v>735.06</v>
      </c>
      <c r="DR245">
        <v>20.84</v>
      </c>
      <c r="DS245">
        <v>8.86</v>
      </c>
      <c r="DT245">
        <v>1722.32</v>
      </c>
      <c r="DU245">
        <v>795.27</v>
      </c>
      <c r="DV245">
        <v>20598.471116294801</v>
      </c>
    </row>
    <row r="246" spans="106:126">
      <c r="DB246" t="s">
        <v>443</v>
      </c>
      <c r="DC246" t="s">
        <v>443</v>
      </c>
      <c r="DD246" t="s">
        <v>97</v>
      </c>
      <c r="DE246">
        <v>60</v>
      </c>
      <c r="DF246">
        <v>20</v>
      </c>
      <c r="DG246">
        <v>0.8</v>
      </c>
      <c r="DH246">
        <v>0.8</v>
      </c>
      <c r="DI246">
        <v>123.79</v>
      </c>
      <c r="DJ246">
        <v>96</v>
      </c>
      <c r="DK246">
        <v>32</v>
      </c>
      <c r="DL246">
        <v>53127.31</v>
      </c>
      <c r="DM246">
        <v>9523.2800000000007</v>
      </c>
      <c r="DN246">
        <v>1770.92</v>
      </c>
      <c r="DO246">
        <v>1770.92</v>
      </c>
      <c r="DP246">
        <v>952.33</v>
      </c>
      <c r="DQ246">
        <v>952.33</v>
      </c>
      <c r="DR246">
        <v>20.72</v>
      </c>
      <c r="DS246">
        <v>8.77</v>
      </c>
      <c r="DT246">
        <v>2262.23</v>
      </c>
      <c r="DU246">
        <v>1040.79</v>
      </c>
      <c r="DV246">
        <v>26928.524348110099</v>
      </c>
    </row>
    <row r="247" spans="106:126">
      <c r="DB247" t="s">
        <v>444</v>
      </c>
      <c r="DC247" t="s">
        <v>444</v>
      </c>
      <c r="DD247" t="s">
        <v>97</v>
      </c>
      <c r="DE247">
        <v>60</v>
      </c>
      <c r="DF247">
        <v>20</v>
      </c>
      <c r="DG247">
        <v>1</v>
      </c>
      <c r="DH247">
        <v>1</v>
      </c>
      <c r="DI247">
        <v>153.41999999999999</v>
      </c>
      <c r="DJ247">
        <v>120</v>
      </c>
      <c r="DK247">
        <v>40</v>
      </c>
      <c r="DL247">
        <v>65043.47</v>
      </c>
      <c r="DM247">
        <v>11564.3</v>
      </c>
      <c r="DN247">
        <v>2168.12</v>
      </c>
      <c r="DO247">
        <v>2168.12</v>
      </c>
      <c r="DP247">
        <v>1156.43</v>
      </c>
      <c r="DQ247">
        <v>1156.43</v>
      </c>
      <c r="DR247">
        <v>20.59</v>
      </c>
      <c r="DS247">
        <v>8.68</v>
      </c>
      <c r="DT247">
        <v>2785.23</v>
      </c>
      <c r="DU247">
        <v>1276.73</v>
      </c>
      <c r="DV247">
        <v>32934.155698711496</v>
      </c>
    </row>
    <row r="248" spans="106:126">
      <c r="DB248" t="s">
        <v>445</v>
      </c>
      <c r="DC248" t="s">
        <v>445</v>
      </c>
      <c r="DD248" t="s">
        <v>97</v>
      </c>
      <c r="DE248">
        <v>60</v>
      </c>
      <c r="DF248">
        <v>20</v>
      </c>
      <c r="DG248">
        <v>1.2</v>
      </c>
      <c r="DH248">
        <v>1.2</v>
      </c>
      <c r="DI248">
        <v>182.53</v>
      </c>
      <c r="DJ248">
        <v>144</v>
      </c>
      <c r="DK248">
        <v>48</v>
      </c>
      <c r="DL248">
        <v>76428.61</v>
      </c>
      <c r="DM248">
        <v>13477.67</v>
      </c>
      <c r="DN248">
        <v>2547.63</v>
      </c>
      <c r="DO248">
        <v>2547.63</v>
      </c>
      <c r="DP248">
        <v>1347.77</v>
      </c>
      <c r="DQ248">
        <v>1347.77</v>
      </c>
      <c r="DR248">
        <v>20.46</v>
      </c>
      <c r="DS248">
        <v>8.59</v>
      </c>
      <c r="DT248">
        <v>3291.44</v>
      </c>
      <c r="DU248">
        <v>1503.21</v>
      </c>
      <c r="DV248">
        <v>38582.252803419004</v>
      </c>
    </row>
    <row r="249" spans="106:126">
      <c r="DB249" t="s">
        <v>446</v>
      </c>
      <c r="DC249" t="s">
        <v>446</v>
      </c>
      <c r="DD249" t="s">
        <v>97</v>
      </c>
      <c r="DE249">
        <v>60</v>
      </c>
      <c r="DF249">
        <v>20</v>
      </c>
      <c r="DG249">
        <v>1.4</v>
      </c>
      <c r="DH249">
        <v>1.4</v>
      </c>
      <c r="DI249">
        <v>211.11</v>
      </c>
      <c r="DJ249">
        <v>168</v>
      </c>
      <c r="DK249">
        <v>56</v>
      </c>
      <c r="DL249">
        <v>87290.27</v>
      </c>
      <c r="DM249">
        <v>15267.43</v>
      </c>
      <c r="DN249">
        <v>2909.68</v>
      </c>
      <c r="DO249">
        <v>2909.68</v>
      </c>
      <c r="DP249">
        <v>1526.75</v>
      </c>
      <c r="DQ249">
        <v>1526.75</v>
      </c>
      <c r="DR249">
        <v>20.329999999999998</v>
      </c>
      <c r="DS249">
        <v>8.5</v>
      </c>
      <c r="DT249">
        <v>3780.99</v>
      </c>
      <c r="DU249">
        <v>1720.34</v>
      </c>
      <c r="DV249">
        <v>43840.481563633599</v>
      </c>
    </row>
    <row r="250" spans="106:126">
      <c r="DB250" t="s">
        <v>447</v>
      </c>
      <c r="DC250" t="s">
        <v>447</v>
      </c>
      <c r="DD250" t="s">
        <v>97</v>
      </c>
      <c r="DE250">
        <v>60</v>
      </c>
      <c r="DF250">
        <v>20</v>
      </c>
      <c r="DG250">
        <v>1.6</v>
      </c>
      <c r="DH250">
        <v>1.6</v>
      </c>
      <c r="DI250">
        <v>239.17</v>
      </c>
      <c r="DJ250">
        <v>192</v>
      </c>
      <c r="DK250">
        <v>64</v>
      </c>
      <c r="DL250">
        <v>97635.94</v>
      </c>
      <c r="DM250">
        <v>16937.61</v>
      </c>
      <c r="DN250">
        <v>3254.54</v>
      </c>
      <c r="DO250">
        <v>3254.54</v>
      </c>
      <c r="DP250">
        <v>1693.77</v>
      </c>
      <c r="DQ250">
        <v>1693.77</v>
      </c>
      <c r="DR250">
        <v>20.2</v>
      </c>
      <c r="DS250">
        <v>8.42</v>
      </c>
      <c r="DT250">
        <v>4254</v>
      </c>
      <c r="DU250">
        <v>1928.25</v>
      </c>
      <c r="DV250">
        <v>48677.530713670298</v>
      </c>
    </row>
    <row r="251" spans="106:126">
      <c r="DB251" t="s">
        <v>448</v>
      </c>
      <c r="DC251" t="s">
        <v>448</v>
      </c>
      <c r="DD251" t="s">
        <v>97</v>
      </c>
      <c r="DE251">
        <v>60</v>
      </c>
      <c r="DF251">
        <v>30</v>
      </c>
      <c r="DG251">
        <v>0.8</v>
      </c>
      <c r="DH251">
        <v>0.8</v>
      </c>
      <c r="DI251">
        <v>139.79</v>
      </c>
      <c r="DJ251">
        <v>96</v>
      </c>
      <c r="DK251">
        <v>48</v>
      </c>
      <c r="DL251">
        <v>67146.73</v>
      </c>
      <c r="DM251">
        <v>23159.31</v>
      </c>
      <c r="DN251">
        <v>2238.23</v>
      </c>
      <c r="DO251">
        <v>2238.23</v>
      </c>
      <c r="DP251">
        <v>1543.96</v>
      </c>
      <c r="DQ251">
        <v>1543.96</v>
      </c>
      <c r="DR251">
        <v>21.92</v>
      </c>
      <c r="DS251">
        <v>12.87</v>
      </c>
      <c r="DT251">
        <v>2735.83</v>
      </c>
      <c r="DU251">
        <v>1699.75</v>
      </c>
      <c r="DV251">
        <v>55282.509375899099</v>
      </c>
    </row>
    <row r="252" spans="106:126">
      <c r="DB252" t="s">
        <v>449</v>
      </c>
      <c r="DC252" t="s">
        <v>449</v>
      </c>
      <c r="DD252" t="s">
        <v>97</v>
      </c>
      <c r="DE252">
        <v>60</v>
      </c>
      <c r="DF252">
        <v>30</v>
      </c>
      <c r="DG252">
        <v>1</v>
      </c>
      <c r="DH252">
        <v>1</v>
      </c>
      <c r="DI252">
        <v>173.42</v>
      </c>
      <c r="DJ252">
        <v>120</v>
      </c>
      <c r="DK252">
        <v>60</v>
      </c>
      <c r="DL252">
        <v>82450.14</v>
      </c>
      <c r="DM252">
        <v>28333.9</v>
      </c>
      <c r="DN252">
        <v>2748.34</v>
      </c>
      <c r="DO252">
        <v>2748.34</v>
      </c>
      <c r="DP252">
        <v>1888.93</v>
      </c>
      <c r="DQ252">
        <v>1888.93</v>
      </c>
      <c r="DR252">
        <v>21.8</v>
      </c>
      <c r="DS252">
        <v>12.78</v>
      </c>
      <c r="DT252">
        <v>3375.23</v>
      </c>
      <c r="DU252">
        <v>2093.86</v>
      </c>
      <c r="DV252">
        <v>68185.353602760893</v>
      </c>
    </row>
    <row r="253" spans="106:126">
      <c r="DB253" t="s">
        <v>450</v>
      </c>
      <c r="DC253" t="s">
        <v>450</v>
      </c>
      <c r="DD253" t="s">
        <v>97</v>
      </c>
      <c r="DE253">
        <v>60</v>
      </c>
      <c r="DF253">
        <v>30</v>
      </c>
      <c r="DG253">
        <v>1.2</v>
      </c>
      <c r="DH253">
        <v>1.2</v>
      </c>
      <c r="DI253">
        <v>206.53</v>
      </c>
      <c r="DJ253">
        <v>144</v>
      </c>
      <c r="DK253">
        <v>72</v>
      </c>
      <c r="DL253">
        <v>97176.13</v>
      </c>
      <c r="DM253">
        <v>33273.050000000003</v>
      </c>
      <c r="DN253">
        <v>3239.21</v>
      </c>
      <c r="DO253">
        <v>3239.21</v>
      </c>
      <c r="DP253">
        <v>2218.21</v>
      </c>
      <c r="DQ253">
        <v>2218.21</v>
      </c>
      <c r="DR253">
        <v>21.69</v>
      </c>
      <c r="DS253">
        <v>12.69</v>
      </c>
      <c r="DT253">
        <v>3997.04</v>
      </c>
      <c r="DU253">
        <v>2475.87</v>
      </c>
      <c r="DV253">
        <v>80627.7659904881</v>
      </c>
    </row>
    <row r="254" spans="106:126">
      <c r="DB254" t="s">
        <v>451</v>
      </c>
      <c r="DC254" t="s">
        <v>451</v>
      </c>
      <c r="DD254" t="s">
        <v>97</v>
      </c>
      <c r="DE254">
        <v>60</v>
      </c>
      <c r="DF254">
        <v>30</v>
      </c>
      <c r="DG254">
        <v>1.4</v>
      </c>
      <c r="DH254">
        <v>1.4</v>
      </c>
      <c r="DI254">
        <v>239.11</v>
      </c>
      <c r="DJ254">
        <v>168</v>
      </c>
      <c r="DK254">
        <v>84</v>
      </c>
      <c r="DL254">
        <v>111332.56</v>
      </c>
      <c r="DM254">
        <v>37981.99</v>
      </c>
      <c r="DN254">
        <v>3711.09</v>
      </c>
      <c r="DO254">
        <v>3711.09</v>
      </c>
      <c r="DP254">
        <v>2532.14</v>
      </c>
      <c r="DQ254">
        <v>2532.14</v>
      </c>
      <c r="DR254">
        <v>21.58</v>
      </c>
      <c r="DS254">
        <v>12.6</v>
      </c>
      <c r="DT254">
        <v>4601.3900000000003</v>
      </c>
      <c r="DU254">
        <v>2845.9</v>
      </c>
      <c r="DV254">
        <v>92563.221175272804</v>
      </c>
    </row>
    <row r="255" spans="106:126">
      <c r="DB255" t="s">
        <v>452</v>
      </c>
      <c r="DC255" t="s">
        <v>452</v>
      </c>
      <c r="DD255" t="s">
        <v>97</v>
      </c>
      <c r="DE255">
        <v>60</v>
      </c>
      <c r="DF255">
        <v>30</v>
      </c>
      <c r="DG255">
        <v>1.6</v>
      </c>
      <c r="DH255">
        <v>1.6</v>
      </c>
      <c r="DI255">
        <v>271.17</v>
      </c>
      <c r="DJ255">
        <v>192</v>
      </c>
      <c r="DK255">
        <v>96</v>
      </c>
      <c r="DL255">
        <v>124927.25</v>
      </c>
      <c r="DM255">
        <v>42465.94</v>
      </c>
      <c r="DN255">
        <v>4164.25</v>
      </c>
      <c r="DO255">
        <v>4164.25</v>
      </c>
      <c r="DP255">
        <v>2831.07</v>
      </c>
      <c r="DQ255">
        <v>2831.07</v>
      </c>
      <c r="DR255">
        <v>21.46</v>
      </c>
      <c r="DS255">
        <v>12.51</v>
      </c>
      <c r="DT255">
        <v>5188.3999999999996</v>
      </c>
      <c r="DU255">
        <v>3204.09</v>
      </c>
      <c r="DV255">
        <v>103945.538471373</v>
      </c>
    </row>
    <row r="256" spans="106:126">
      <c r="DB256" t="s">
        <v>453</v>
      </c>
      <c r="DC256" t="s">
        <v>453</v>
      </c>
      <c r="DD256" t="s">
        <v>97</v>
      </c>
      <c r="DE256">
        <v>60</v>
      </c>
      <c r="DF256">
        <v>30</v>
      </c>
      <c r="DG256">
        <v>1.8</v>
      </c>
      <c r="DH256">
        <v>1.8</v>
      </c>
      <c r="DI256">
        <v>302.7</v>
      </c>
      <c r="DJ256">
        <v>216</v>
      </c>
      <c r="DK256">
        <v>108</v>
      </c>
      <c r="DL256">
        <v>137967.96</v>
      </c>
      <c r="DM256">
        <v>46730.05</v>
      </c>
      <c r="DN256">
        <v>4598.9399999999996</v>
      </c>
      <c r="DO256">
        <v>4598.9399999999996</v>
      </c>
      <c r="DP256">
        <v>3115.34</v>
      </c>
      <c r="DQ256">
        <v>3115.34</v>
      </c>
      <c r="DR256">
        <v>21.35</v>
      </c>
      <c r="DS256">
        <v>12.42</v>
      </c>
      <c r="DT256">
        <v>5758.17</v>
      </c>
      <c r="DU256">
        <v>3550.53</v>
      </c>
      <c r="DV256">
        <v>114729.069894966</v>
      </c>
    </row>
    <row r="257" spans="106:126">
      <c r="DB257" t="s">
        <v>454</v>
      </c>
      <c r="DC257" t="s">
        <v>454</v>
      </c>
      <c r="DD257" t="s">
        <v>97</v>
      </c>
      <c r="DE257">
        <v>60</v>
      </c>
      <c r="DF257">
        <v>30</v>
      </c>
      <c r="DG257">
        <v>2</v>
      </c>
      <c r="DH257">
        <v>2</v>
      </c>
      <c r="DI257">
        <v>333.7</v>
      </c>
      <c r="DJ257">
        <v>240</v>
      </c>
      <c r="DK257">
        <v>120</v>
      </c>
      <c r="DL257">
        <v>150462.43</v>
      </c>
      <c r="DM257">
        <v>50779.42</v>
      </c>
      <c r="DN257">
        <v>5015.42</v>
      </c>
      <c r="DO257">
        <v>5015.42</v>
      </c>
      <c r="DP257">
        <v>3385.3</v>
      </c>
      <c r="DQ257">
        <v>3385.3</v>
      </c>
      <c r="DR257">
        <v>21.23</v>
      </c>
      <c r="DS257">
        <v>12.34</v>
      </c>
      <c r="DT257">
        <v>6310.84</v>
      </c>
      <c r="DU257">
        <v>3885.36</v>
      </c>
      <c r="DV257">
        <v>124868.90368072801</v>
      </c>
    </row>
    <row r="258" spans="106:126">
      <c r="DB258" t="s">
        <v>455</v>
      </c>
      <c r="DC258" t="s">
        <v>455</v>
      </c>
      <c r="DD258" t="s">
        <v>97</v>
      </c>
      <c r="DE258">
        <v>60</v>
      </c>
      <c r="DF258">
        <v>40</v>
      </c>
      <c r="DG258">
        <v>0.8</v>
      </c>
      <c r="DH258">
        <v>0.8</v>
      </c>
      <c r="DI258">
        <v>155.79</v>
      </c>
      <c r="DJ258">
        <v>96</v>
      </c>
      <c r="DK258">
        <v>64</v>
      </c>
      <c r="DL258">
        <v>81166.14</v>
      </c>
      <c r="DM258">
        <v>43784.94</v>
      </c>
      <c r="DN258">
        <v>2705.54</v>
      </c>
      <c r="DO258">
        <v>2705.54</v>
      </c>
      <c r="DP258">
        <v>2189.25</v>
      </c>
      <c r="DQ258">
        <v>2189.25</v>
      </c>
      <c r="DR258">
        <v>22.83</v>
      </c>
      <c r="DS258">
        <v>16.760000000000002</v>
      </c>
      <c r="DT258">
        <v>3209.43</v>
      </c>
      <c r="DU258">
        <v>2438.71</v>
      </c>
      <c r="DV258">
        <v>89433.205502949</v>
      </c>
    </row>
    <row r="259" spans="106:126">
      <c r="DB259" t="s">
        <v>456</v>
      </c>
      <c r="DC259" t="s">
        <v>456</v>
      </c>
      <c r="DD259" t="s">
        <v>97</v>
      </c>
      <c r="DE259">
        <v>60</v>
      </c>
      <c r="DF259">
        <v>40</v>
      </c>
      <c r="DG259">
        <v>1</v>
      </c>
      <c r="DH259">
        <v>1</v>
      </c>
      <c r="DI259">
        <v>193.42</v>
      </c>
      <c r="DJ259">
        <v>120</v>
      </c>
      <c r="DK259">
        <v>80</v>
      </c>
      <c r="DL259">
        <v>99856.81</v>
      </c>
      <c r="DM259">
        <v>53774.74</v>
      </c>
      <c r="DN259">
        <v>3328.57</v>
      </c>
      <c r="DO259">
        <v>3328.57</v>
      </c>
      <c r="DP259">
        <v>2688.74</v>
      </c>
      <c r="DQ259">
        <v>2688.74</v>
      </c>
      <c r="DR259">
        <v>22.72</v>
      </c>
      <c r="DS259">
        <v>16.670000000000002</v>
      </c>
      <c r="DT259">
        <v>3965.23</v>
      </c>
      <c r="DU259">
        <v>3010.98</v>
      </c>
      <c r="DV259">
        <v>110706.676930741</v>
      </c>
    </row>
    <row r="260" spans="106:126">
      <c r="DB260" t="s">
        <v>457</v>
      </c>
      <c r="DC260" t="s">
        <v>457</v>
      </c>
      <c r="DD260" t="s">
        <v>97</v>
      </c>
      <c r="DE260">
        <v>60</v>
      </c>
      <c r="DF260">
        <v>40</v>
      </c>
      <c r="DG260">
        <v>1.2</v>
      </c>
      <c r="DH260">
        <v>1.2</v>
      </c>
      <c r="DI260">
        <v>230.53</v>
      </c>
      <c r="DJ260">
        <v>144</v>
      </c>
      <c r="DK260">
        <v>96</v>
      </c>
      <c r="DL260">
        <v>117923.65</v>
      </c>
      <c r="DM260">
        <v>63395.01</v>
      </c>
      <c r="DN260">
        <v>3930.79</v>
      </c>
      <c r="DO260">
        <v>3930.79</v>
      </c>
      <c r="DP260">
        <v>3169.76</v>
      </c>
      <c r="DQ260">
        <v>3169.76</v>
      </c>
      <c r="DR260">
        <v>22.62</v>
      </c>
      <c r="DS260">
        <v>16.579999999999998</v>
      </c>
      <c r="DT260">
        <v>4702.6400000000003</v>
      </c>
      <c r="DU260">
        <v>3568.53</v>
      </c>
      <c r="DV260">
        <v>131433.38239104801</v>
      </c>
    </row>
    <row r="261" spans="106:126">
      <c r="DB261" t="s">
        <v>458</v>
      </c>
      <c r="DC261" t="s">
        <v>458</v>
      </c>
      <c r="DD261" t="s">
        <v>97</v>
      </c>
      <c r="DE261">
        <v>60</v>
      </c>
      <c r="DF261">
        <v>40</v>
      </c>
      <c r="DG261">
        <v>1.4</v>
      </c>
      <c r="DH261">
        <v>1.4</v>
      </c>
      <c r="DI261">
        <v>267.11</v>
      </c>
      <c r="DJ261">
        <v>168</v>
      </c>
      <c r="DK261">
        <v>112</v>
      </c>
      <c r="DL261">
        <v>135374.85</v>
      </c>
      <c r="DM261">
        <v>72652.179999999993</v>
      </c>
      <c r="DN261">
        <v>4512.5</v>
      </c>
      <c r="DO261">
        <v>4512.5</v>
      </c>
      <c r="DP261">
        <v>3632.61</v>
      </c>
      <c r="DQ261">
        <v>3632.61</v>
      </c>
      <c r="DR261">
        <v>22.51</v>
      </c>
      <c r="DS261">
        <v>16.489999999999998</v>
      </c>
      <c r="DT261">
        <v>5421.79</v>
      </c>
      <c r="DU261">
        <v>4111.47</v>
      </c>
      <c r="DV261">
        <v>151556.53872882901</v>
      </c>
    </row>
    <row r="262" spans="106:126">
      <c r="DB262" t="s">
        <v>459</v>
      </c>
      <c r="DC262" t="s">
        <v>459</v>
      </c>
      <c r="DD262" t="s">
        <v>97</v>
      </c>
      <c r="DE262">
        <v>60</v>
      </c>
      <c r="DF262">
        <v>40</v>
      </c>
      <c r="DG262">
        <v>1.6</v>
      </c>
      <c r="DH262">
        <v>1.6</v>
      </c>
      <c r="DI262">
        <v>303.17</v>
      </c>
      <c r="DJ262">
        <v>192</v>
      </c>
      <c r="DK262">
        <v>128</v>
      </c>
      <c r="DL262">
        <v>152218.54999999999</v>
      </c>
      <c r="DM262">
        <v>81552.649999999994</v>
      </c>
      <c r="DN262">
        <v>5073.96</v>
      </c>
      <c r="DO262">
        <v>5073.96</v>
      </c>
      <c r="DP262">
        <v>4077.64</v>
      </c>
      <c r="DQ262">
        <v>4077.64</v>
      </c>
      <c r="DR262">
        <v>22.41</v>
      </c>
      <c r="DS262">
        <v>16.399999999999999</v>
      </c>
      <c r="DT262">
        <v>6122.8</v>
      </c>
      <c r="DU262">
        <v>4639.92</v>
      </c>
      <c r="DV262">
        <v>171019.36512221801</v>
      </c>
    </row>
    <row r="263" spans="106:126">
      <c r="DB263" t="s">
        <v>460</v>
      </c>
      <c r="DC263" t="s">
        <v>460</v>
      </c>
      <c r="DD263" t="s">
        <v>97</v>
      </c>
      <c r="DE263">
        <v>60</v>
      </c>
      <c r="DF263">
        <v>40</v>
      </c>
      <c r="DG263">
        <v>1.8</v>
      </c>
      <c r="DH263">
        <v>1.8</v>
      </c>
      <c r="DI263">
        <v>338.7</v>
      </c>
      <c r="DJ263">
        <v>216</v>
      </c>
      <c r="DK263">
        <v>144</v>
      </c>
      <c r="DL263">
        <v>168462.84</v>
      </c>
      <c r="DM263">
        <v>90102.75</v>
      </c>
      <c r="DN263">
        <v>5615.43</v>
      </c>
      <c r="DO263">
        <v>5615.43</v>
      </c>
      <c r="DP263">
        <v>4505.1400000000003</v>
      </c>
      <c r="DQ263">
        <v>4505.1400000000003</v>
      </c>
      <c r="DR263">
        <v>22.3</v>
      </c>
      <c r="DS263">
        <v>16.309999999999999</v>
      </c>
      <c r="DT263">
        <v>6805.77</v>
      </c>
      <c r="DU263">
        <v>5154.01</v>
      </c>
      <c r="DV263">
        <v>189765.22964732401</v>
      </c>
    </row>
    <row r="264" spans="106:126">
      <c r="DB264" t="s">
        <v>461</v>
      </c>
      <c r="DC264" t="s">
        <v>461</v>
      </c>
      <c r="DD264" t="s">
        <v>97</v>
      </c>
      <c r="DE264">
        <v>60</v>
      </c>
      <c r="DF264">
        <v>40</v>
      </c>
      <c r="DG264">
        <v>2</v>
      </c>
      <c r="DH264">
        <v>2</v>
      </c>
      <c r="DI264">
        <v>373.7</v>
      </c>
      <c r="DJ264">
        <v>240</v>
      </c>
      <c r="DK264">
        <v>160</v>
      </c>
      <c r="DL264">
        <v>184115.76</v>
      </c>
      <c r="DM264">
        <v>98308.800000000003</v>
      </c>
      <c r="DN264">
        <v>6137.2</v>
      </c>
      <c r="DO264">
        <v>6137.2</v>
      </c>
      <c r="DP264">
        <v>4915.4399999999996</v>
      </c>
      <c r="DQ264">
        <v>4915.4399999999996</v>
      </c>
      <c r="DR264">
        <v>22.2</v>
      </c>
      <c r="DS264">
        <v>16.22</v>
      </c>
      <c r="DT264">
        <v>7470.84</v>
      </c>
      <c r="DU264">
        <v>5653.85</v>
      </c>
      <c r="DV264">
        <v>207737.80656472599</v>
      </c>
    </row>
    <row r="265" spans="106:126">
      <c r="DB265" t="s">
        <v>462</v>
      </c>
      <c r="DC265" t="s">
        <v>462</v>
      </c>
      <c r="DD265" t="s">
        <v>97</v>
      </c>
      <c r="DE265">
        <v>1.2</v>
      </c>
      <c r="DF265">
        <v>1.2</v>
      </c>
      <c r="DG265">
        <v>0.16</v>
      </c>
      <c r="DH265">
        <v>0.16</v>
      </c>
      <c r="DI265">
        <v>0.6</v>
      </c>
      <c r="DJ265">
        <v>0.38400000000000001</v>
      </c>
      <c r="DK265">
        <v>0.38400000000000001</v>
      </c>
      <c r="DL265">
        <v>0.1</v>
      </c>
      <c r="DM265">
        <v>0.1</v>
      </c>
      <c r="DN265">
        <v>0.17</v>
      </c>
      <c r="DO265">
        <v>0.17</v>
      </c>
      <c r="DP265">
        <v>0.17</v>
      </c>
      <c r="DQ265">
        <v>0.17</v>
      </c>
      <c r="DR265">
        <v>0.41</v>
      </c>
      <c r="DS265">
        <v>0.41</v>
      </c>
      <c r="DT265">
        <v>0.22</v>
      </c>
      <c r="DU265">
        <v>0.22</v>
      </c>
      <c r="DV265">
        <v>0.115589610526383</v>
      </c>
    </row>
    <row r="266" spans="106:126">
      <c r="DB266" t="s">
        <v>463</v>
      </c>
      <c r="DC266" t="s">
        <v>463</v>
      </c>
      <c r="DD266" t="s">
        <v>97</v>
      </c>
      <c r="DE266">
        <v>1.2</v>
      </c>
      <c r="DF266">
        <v>1.2</v>
      </c>
      <c r="DG266">
        <v>0.18</v>
      </c>
      <c r="DH266">
        <v>0.18</v>
      </c>
      <c r="DI266">
        <v>0.65</v>
      </c>
      <c r="DJ266">
        <v>0.432</v>
      </c>
      <c r="DK266">
        <v>0.432</v>
      </c>
      <c r="DL266">
        <v>0.1</v>
      </c>
      <c r="DM266">
        <v>0.1</v>
      </c>
      <c r="DN266">
        <v>0.17</v>
      </c>
      <c r="DO266">
        <v>0.17</v>
      </c>
      <c r="DP266">
        <v>0.17</v>
      </c>
      <c r="DQ266">
        <v>0.17</v>
      </c>
      <c r="DR266">
        <v>0.39</v>
      </c>
      <c r="DS266">
        <v>0.39</v>
      </c>
      <c r="DT266">
        <v>0.24</v>
      </c>
      <c r="DU266">
        <v>0.24</v>
      </c>
      <c r="DV266">
        <v>9.5279513223387402E-2</v>
      </c>
    </row>
    <row r="267" spans="106:126">
      <c r="DB267" t="s">
        <v>464</v>
      </c>
      <c r="DC267" t="s">
        <v>464</v>
      </c>
      <c r="DD267" t="s">
        <v>97</v>
      </c>
      <c r="DE267">
        <v>1.2</v>
      </c>
      <c r="DF267">
        <v>1.2</v>
      </c>
      <c r="DG267">
        <v>0.2</v>
      </c>
      <c r="DH267">
        <v>0.2</v>
      </c>
      <c r="DI267">
        <v>0.7</v>
      </c>
      <c r="DJ267">
        <v>0.48</v>
      </c>
      <c r="DK267">
        <v>0.48</v>
      </c>
      <c r="DL267">
        <v>0.11</v>
      </c>
      <c r="DM267">
        <v>0.11</v>
      </c>
      <c r="DN267">
        <v>0.19</v>
      </c>
      <c r="DO267">
        <v>0.19</v>
      </c>
      <c r="DP267">
        <v>0.19</v>
      </c>
      <c r="DQ267">
        <v>0.19</v>
      </c>
      <c r="DR267">
        <v>0.4</v>
      </c>
      <c r="DS267">
        <v>0.4</v>
      </c>
      <c r="DT267">
        <v>0.25</v>
      </c>
      <c r="DU267">
        <v>0.25</v>
      </c>
      <c r="DV267">
        <v>6.8851917616256503E-2</v>
      </c>
    </row>
    <row r="268" spans="106:126">
      <c r="DB268" t="s">
        <v>465</v>
      </c>
      <c r="DC268" t="s">
        <v>465</v>
      </c>
      <c r="DD268" t="s">
        <v>97</v>
      </c>
      <c r="DE268">
        <v>1.5</v>
      </c>
      <c r="DF268">
        <v>1.5</v>
      </c>
      <c r="DG268">
        <v>0.16</v>
      </c>
      <c r="DH268">
        <v>0.16</v>
      </c>
      <c r="DI268">
        <v>0.79</v>
      </c>
      <c r="DJ268">
        <v>0.48</v>
      </c>
      <c r="DK268">
        <v>0.48</v>
      </c>
      <c r="DL268">
        <v>0.23</v>
      </c>
      <c r="DM268">
        <v>0.23</v>
      </c>
      <c r="DN268">
        <v>0.31</v>
      </c>
      <c r="DO268">
        <v>0.31</v>
      </c>
      <c r="DP268">
        <v>0.31</v>
      </c>
      <c r="DQ268">
        <v>0.31</v>
      </c>
      <c r="DR268">
        <v>0.54</v>
      </c>
      <c r="DS268">
        <v>0.54</v>
      </c>
      <c r="DT268">
        <v>0.39</v>
      </c>
      <c r="DU268">
        <v>0.39</v>
      </c>
      <c r="DV268">
        <v>0.31898524289445801</v>
      </c>
    </row>
    <row r="269" spans="106:126">
      <c r="DB269" t="s">
        <v>466</v>
      </c>
      <c r="DC269" t="s">
        <v>466</v>
      </c>
      <c r="DD269" t="s">
        <v>97</v>
      </c>
      <c r="DE269">
        <v>1.5</v>
      </c>
      <c r="DF269">
        <v>1.5</v>
      </c>
      <c r="DG269">
        <v>0.18</v>
      </c>
      <c r="DH269">
        <v>0.18</v>
      </c>
      <c r="DI269">
        <v>0.87</v>
      </c>
      <c r="DJ269">
        <v>0.54</v>
      </c>
      <c r="DK269">
        <v>0.54</v>
      </c>
      <c r="DL269">
        <v>0.24</v>
      </c>
      <c r="DM269">
        <v>0.24</v>
      </c>
      <c r="DN269">
        <v>0.32</v>
      </c>
      <c r="DO269">
        <v>0.32</v>
      </c>
      <c r="DP269">
        <v>0.32</v>
      </c>
      <c r="DQ269">
        <v>0.32</v>
      </c>
      <c r="DR269">
        <v>0.53</v>
      </c>
      <c r="DS269">
        <v>0.53</v>
      </c>
      <c r="DT269">
        <v>0.41</v>
      </c>
      <c r="DU269">
        <v>0.41</v>
      </c>
      <c r="DV269">
        <v>0.30755783147899302</v>
      </c>
    </row>
    <row r="270" spans="106:126">
      <c r="DB270" t="s">
        <v>467</v>
      </c>
      <c r="DC270" t="s">
        <v>467</v>
      </c>
      <c r="DD270" t="s">
        <v>97</v>
      </c>
      <c r="DE270">
        <v>1.5</v>
      </c>
      <c r="DF270">
        <v>1.5</v>
      </c>
      <c r="DG270">
        <v>0.2</v>
      </c>
      <c r="DH270">
        <v>0.2</v>
      </c>
      <c r="DI270">
        <v>0.94</v>
      </c>
      <c r="DJ270">
        <v>0.6</v>
      </c>
      <c r="DK270">
        <v>0.6</v>
      </c>
      <c r="DL270">
        <v>0.25</v>
      </c>
      <c r="DM270">
        <v>0.25</v>
      </c>
      <c r="DN270">
        <v>0.34</v>
      </c>
      <c r="DO270">
        <v>0.34</v>
      </c>
      <c r="DP270">
        <v>0.34</v>
      </c>
      <c r="DQ270">
        <v>0.34</v>
      </c>
      <c r="DR270">
        <v>0.52</v>
      </c>
      <c r="DS270">
        <v>0.52</v>
      </c>
      <c r="DT270">
        <v>0.44</v>
      </c>
      <c r="DU270">
        <v>0.44</v>
      </c>
      <c r="DV270">
        <v>0.282201197574177</v>
      </c>
    </row>
    <row r="271" spans="106:126">
      <c r="DB271" t="s">
        <v>468</v>
      </c>
      <c r="DC271" t="s">
        <v>468</v>
      </c>
      <c r="DD271" t="s">
        <v>97</v>
      </c>
      <c r="DE271">
        <v>1.5</v>
      </c>
      <c r="DF271">
        <v>1.5</v>
      </c>
      <c r="DG271">
        <v>0.22</v>
      </c>
      <c r="DH271">
        <v>0.22</v>
      </c>
      <c r="DI271">
        <v>1</v>
      </c>
      <c r="DJ271">
        <v>0.66</v>
      </c>
      <c r="DK271">
        <v>0.66</v>
      </c>
      <c r="DL271">
        <v>0.25</v>
      </c>
      <c r="DM271">
        <v>0.25</v>
      </c>
      <c r="DN271">
        <v>0.34</v>
      </c>
      <c r="DO271">
        <v>0.34</v>
      </c>
      <c r="DP271">
        <v>0.34</v>
      </c>
      <c r="DQ271">
        <v>0.34</v>
      </c>
      <c r="DR271">
        <v>0.5</v>
      </c>
      <c r="DS271">
        <v>0.5</v>
      </c>
      <c r="DT271">
        <v>0.46</v>
      </c>
      <c r="DU271">
        <v>0.46</v>
      </c>
      <c r="DV271">
        <v>0.24395101115676401</v>
      </c>
    </row>
    <row r="272" spans="106:126">
      <c r="DB272" t="s">
        <v>469</v>
      </c>
      <c r="DC272" t="s">
        <v>469</v>
      </c>
      <c r="DD272" t="s">
        <v>97</v>
      </c>
      <c r="DE272">
        <v>2</v>
      </c>
      <c r="DF272">
        <v>2</v>
      </c>
      <c r="DG272">
        <v>0.16</v>
      </c>
      <c r="DH272">
        <v>0.16</v>
      </c>
      <c r="DI272">
        <v>1.1100000000000001</v>
      </c>
      <c r="DJ272">
        <v>0.64</v>
      </c>
      <c r="DK272">
        <v>0.64</v>
      </c>
      <c r="DL272">
        <v>0.61</v>
      </c>
      <c r="DM272">
        <v>0.61</v>
      </c>
      <c r="DN272">
        <v>0.61</v>
      </c>
      <c r="DO272">
        <v>0.61</v>
      </c>
      <c r="DP272">
        <v>0.61</v>
      </c>
      <c r="DQ272">
        <v>0.61</v>
      </c>
      <c r="DR272">
        <v>0.74</v>
      </c>
      <c r="DS272">
        <v>0.74</v>
      </c>
      <c r="DT272">
        <v>0.75</v>
      </c>
      <c r="DU272">
        <v>0.75</v>
      </c>
      <c r="DV272">
        <v>0.94946245669252505</v>
      </c>
    </row>
    <row r="273" spans="106:126">
      <c r="DB273" t="s">
        <v>470</v>
      </c>
      <c r="DC273" t="s">
        <v>470</v>
      </c>
      <c r="DD273" t="s">
        <v>97</v>
      </c>
      <c r="DE273">
        <v>2</v>
      </c>
      <c r="DF273">
        <v>2</v>
      </c>
      <c r="DG273">
        <v>0.18</v>
      </c>
      <c r="DH273">
        <v>0.18</v>
      </c>
      <c r="DI273">
        <v>1.23</v>
      </c>
      <c r="DJ273">
        <v>0.72</v>
      </c>
      <c r="DK273">
        <v>0.72</v>
      </c>
      <c r="DL273">
        <v>0.65</v>
      </c>
      <c r="DM273">
        <v>0.65</v>
      </c>
      <c r="DN273">
        <v>0.65</v>
      </c>
      <c r="DO273">
        <v>0.65</v>
      </c>
      <c r="DP273">
        <v>0.65</v>
      </c>
      <c r="DQ273">
        <v>0.65</v>
      </c>
      <c r="DR273">
        <v>0.73</v>
      </c>
      <c r="DS273">
        <v>0.73</v>
      </c>
      <c r="DT273">
        <v>0.82</v>
      </c>
      <c r="DU273">
        <v>0.82</v>
      </c>
      <c r="DV273">
        <v>0.99122297464332298</v>
      </c>
    </row>
    <row r="274" spans="106:126">
      <c r="DB274" t="s">
        <v>471</v>
      </c>
      <c r="DC274" t="s">
        <v>471</v>
      </c>
      <c r="DD274" t="s">
        <v>97</v>
      </c>
      <c r="DE274">
        <v>2</v>
      </c>
      <c r="DF274">
        <v>2</v>
      </c>
      <c r="DG274">
        <v>0.2</v>
      </c>
      <c r="DH274">
        <v>0.2</v>
      </c>
      <c r="DI274">
        <v>1.34</v>
      </c>
      <c r="DJ274">
        <v>0.8</v>
      </c>
      <c r="DK274">
        <v>0.8</v>
      </c>
      <c r="DL274">
        <v>0.69</v>
      </c>
      <c r="DM274">
        <v>0.69</v>
      </c>
      <c r="DN274">
        <v>0.69</v>
      </c>
      <c r="DO274">
        <v>0.69</v>
      </c>
      <c r="DP274">
        <v>0.69</v>
      </c>
      <c r="DQ274">
        <v>0.69</v>
      </c>
      <c r="DR274">
        <v>0.72</v>
      </c>
      <c r="DS274">
        <v>0.72</v>
      </c>
      <c r="DT274">
        <v>0.88</v>
      </c>
      <c r="DU274">
        <v>0.88</v>
      </c>
      <c r="DV274">
        <v>1.00953004943995</v>
      </c>
    </row>
    <row r="275" spans="106:126">
      <c r="DB275" t="s">
        <v>472</v>
      </c>
      <c r="DC275" t="s">
        <v>472</v>
      </c>
      <c r="DD275" t="s">
        <v>97</v>
      </c>
      <c r="DE275">
        <v>2</v>
      </c>
      <c r="DF275">
        <v>2</v>
      </c>
      <c r="DG275">
        <v>0.22</v>
      </c>
      <c r="DH275">
        <v>0.22</v>
      </c>
      <c r="DI275">
        <v>1.44</v>
      </c>
      <c r="DJ275">
        <v>0.88</v>
      </c>
      <c r="DK275">
        <v>0.88</v>
      </c>
      <c r="DL275">
        <v>0.73</v>
      </c>
      <c r="DM275">
        <v>0.73</v>
      </c>
      <c r="DN275">
        <v>0.73</v>
      </c>
      <c r="DO275">
        <v>0.73</v>
      </c>
      <c r="DP275">
        <v>0.73</v>
      </c>
      <c r="DQ275">
        <v>0.73</v>
      </c>
      <c r="DR275">
        <v>0.71</v>
      </c>
      <c r="DS275">
        <v>0.71</v>
      </c>
      <c r="DT275">
        <v>0.93</v>
      </c>
      <c r="DU275">
        <v>0.93</v>
      </c>
      <c r="DV275">
        <v>1.0033051099282999</v>
      </c>
    </row>
    <row r="276" spans="106:126">
      <c r="DB276" t="s">
        <v>473</v>
      </c>
      <c r="DC276" t="s">
        <v>473</v>
      </c>
      <c r="DD276" t="s">
        <v>97</v>
      </c>
      <c r="DE276">
        <v>2</v>
      </c>
      <c r="DF276">
        <v>2</v>
      </c>
      <c r="DG276">
        <v>0.26</v>
      </c>
      <c r="DH276">
        <v>0.26</v>
      </c>
      <c r="DI276">
        <v>1.64</v>
      </c>
      <c r="DJ276">
        <v>1.04</v>
      </c>
      <c r="DK276">
        <v>1.04</v>
      </c>
      <c r="DL276">
        <v>0.78</v>
      </c>
      <c r="DM276">
        <v>0.78</v>
      </c>
      <c r="DN276">
        <v>0.78</v>
      </c>
      <c r="DO276">
        <v>0.78</v>
      </c>
      <c r="DP276">
        <v>0.78</v>
      </c>
      <c r="DQ276">
        <v>0.78</v>
      </c>
      <c r="DR276">
        <v>0.69</v>
      </c>
      <c r="DS276">
        <v>0.69</v>
      </c>
      <c r="DT276">
        <v>1.02</v>
      </c>
      <c r="DU276">
        <v>1.02</v>
      </c>
      <c r="DV276">
        <v>0.91593984475480195</v>
      </c>
    </row>
    <row r="277" spans="106:126">
      <c r="DB277" t="s">
        <v>474</v>
      </c>
      <c r="DC277" t="s">
        <v>474</v>
      </c>
      <c r="DD277" t="s">
        <v>97</v>
      </c>
      <c r="DE277">
        <v>2.5</v>
      </c>
      <c r="DF277">
        <v>2.5</v>
      </c>
      <c r="DG277">
        <v>0.16</v>
      </c>
      <c r="DH277">
        <v>0.16</v>
      </c>
      <c r="DI277">
        <v>1.43</v>
      </c>
      <c r="DJ277">
        <v>0.8</v>
      </c>
      <c r="DK277">
        <v>0.8</v>
      </c>
      <c r="DL277">
        <v>1.28</v>
      </c>
      <c r="DM277">
        <v>1.28</v>
      </c>
      <c r="DN277">
        <v>1.03</v>
      </c>
      <c r="DO277">
        <v>1.03</v>
      </c>
      <c r="DP277">
        <v>1.03</v>
      </c>
      <c r="DQ277">
        <v>1.03</v>
      </c>
      <c r="DR277">
        <v>0.95</v>
      </c>
      <c r="DS277">
        <v>0.95</v>
      </c>
      <c r="DT277">
        <v>1.24</v>
      </c>
      <c r="DU277">
        <v>1.24</v>
      </c>
      <c r="DV277">
        <v>2.0452862926837301</v>
      </c>
    </row>
    <row r="278" spans="106:126">
      <c r="DB278" t="s">
        <v>475</v>
      </c>
      <c r="DC278" t="s">
        <v>475</v>
      </c>
      <c r="DD278" t="s">
        <v>97</v>
      </c>
      <c r="DE278">
        <v>2.5</v>
      </c>
      <c r="DF278">
        <v>2.5</v>
      </c>
      <c r="DG278">
        <v>0.18</v>
      </c>
      <c r="DH278">
        <v>0.18</v>
      </c>
      <c r="DI278">
        <v>1.59</v>
      </c>
      <c r="DJ278">
        <v>0.9</v>
      </c>
      <c r="DK278">
        <v>0.9</v>
      </c>
      <c r="DL278">
        <v>1.38</v>
      </c>
      <c r="DM278">
        <v>1.38</v>
      </c>
      <c r="DN278">
        <v>1.1100000000000001</v>
      </c>
      <c r="DO278">
        <v>1.1100000000000001</v>
      </c>
      <c r="DP278">
        <v>1.1100000000000001</v>
      </c>
      <c r="DQ278">
        <v>1.1100000000000001</v>
      </c>
      <c r="DR278">
        <v>0.93</v>
      </c>
      <c r="DS278">
        <v>0.93</v>
      </c>
      <c r="DT278">
        <v>1.35</v>
      </c>
      <c r="DU278">
        <v>1.35</v>
      </c>
      <c r="DV278">
        <v>2.1976793063436202</v>
      </c>
    </row>
    <row r="279" spans="106:126">
      <c r="DB279" t="s">
        <v>476</v>
      </c>
      <c r="DC279" t="s">
        <v>476</v>
      </c>
      <c r="DD279" t="s">
        <v>97</v>
      </c>
      <c r="DE279">
        <v>2.5</v>
      </c>
      <c r="DF279">
        <v>2.5</v>
      </c>
      <c r="DG279">
        <v>0.2</v>
      </c>
      <c r="DH279">
        <v>0.2</v>
      </c>
      <c r="DI279">
        <v>1.74</v>
      </c>
      <c r="DJ279">
        <v>1</v>
      </c>
      <c r="DK279">
        <v>1</v>
      </c>
      <c r="DL279">
        <v>1.48</v>
      </c>
      <c r="DM279">
        <v>1.48</v>
      </c>
      <c r="DN279">
        <v>1.19</v>
      </c>
      <c r="DO279">
        <v>1.19</v>
      </c>
      <c r="DP279">
        <v>1.19</v>
      </c>
      <c r="DQ279">
        <v>1.19</v>
      </c>
      <c r="DR279">
        <v>0.92</v>
      </c>
      <c r="DS279">
        <v>0.92</v>
      </c>
      <c r="DT279">
        <v>1.47</v>
      </c>
      <c r="DU279">
        <v>1.47</v>
      </c>
      <c r="DV279">
        <v>2.3180235759094798</v>
      </c>
    </row>
    <row r="280" spans="106:126">
      <c r="DB280" t="s">
        <v>477</v>
      </c>
      <c r="DC280" t="s">
        <v>477</v>
      </c>
      <c r="DD280" t="s">
        <v>97</v>
      </c>
      <c r="DE280">
        <v>2.5</v>
      </c>
      <c r="DF280">
        <v>2.5</v>
      </c>
      <c r="DG280">
        <v>0.22</v>
      </c>
      <c r="DH280">
        <v>0.22</v>
      </c>
      <c r="DI280">
        <v>1.88</v>
      </c>
      <c r="DJ280">
        <v>1.1000000000000001</v>
      </c>
      <c r="DK280">
        <v>1.1000000000000001</v>
      </c>
      <c r="DL280">
        <v>1.57</v>
      </c>
      <c r="DM280">
        <v>1.57</v>
      </c>
      <c r="DN280">
        <v>1.26</v>
      </c>
      <c r="DO280">
        <v>1.26</v>
      </c>
      <c r="DP280">
        <v>1.26</v>
      </c>
      <c r="DQ280">
        <v>1.26</v>
      </c>
      <c r="DR280">
        <v>0.91</v>
      </c>
      <c r="DS280">
        <v>0.91</v>
      </c>
      <c r="DT280">
        <v>1.57</v>
      </c>
      <c r="DU280">
        <v>1.57</v>
      </c>
      <c r="DV280">
        <v>2.40406326314619</v>
      </c>
    </row>
    <row r="281" spans="106:126">
      <c r="DB281" t="s">
        <v>478</v>
      </c>
      <c r="DC281" t="s">
        <v>478</v>
      </c>
      <c r="DD281" t="s">
        <v>97</v>
      </c>
      <c r="DE281">
        <v>2.5</v>
      </c>
      <c r="DF281">
        <v>2.5</v>
      </c>
      <c r="DG281">
        <v>0.26</v>
      </c>
      <c r="DH281">
        <v>0.26</v>
      </c>
      <c r="DI281">
        <v>2.16</v>
      </c>
      <c r="DJ281">
        <v>1.3</v>
      </c>
      <c r="DK281">
        <v>1.3</v>
      </c>
      <c r="DL281">
        <v>1.72</v>
      </c>
      <c r="DM281">
        <v>1.72</v>
      </c>
      <c r="DN281">
        <v>1.38</v>
      </c>
      <c r="DO281">
        <v>1.38</v>
      </c>
      <c r="DP281">
        <v>1.38</v>
      </c>
      <c r="DQ281">
        <v>1.38</v>
      </c>
      <c r="DR281">
        <v>0.89</v>
      </c>
      <c r="DS281">
        <v>0.89</v>
      </c>
      <c r="DT281">
        <v>1.76</v>
      </c>
      <c r="DU281">
        <v>1.76</v>
      </c>
      <c r="DV281">
        <v>2.4658861697371899</v>
      </c>
    </row>
    <row r="282" spans="106:126">
      <c r="DB282" t="s">
        <v>479</v>
      </c>
      <c r="DC282" t="s">
        <v>479</v>
      </c>
      <c r="DD282" t="s">
        <v>97</v>
      </c>
      <c r="DE282">
        <v>2.5</v>
      </c>
      <c r="DF282">
        <v>2.5</v>
      </c>
      <c r="DG282">
        <v>0.28999999999999998</v>
      </c>
      <c r="DH282">
        <v>0.28999999999999998</v>
      </c>
      <c r="DI282">
        <v>2.35</v>
      </c>
      <c r="DJ282">
        <v>1.45</v>
      </c>
      <c r="DK282">
        <v>1.45</v>
      </c>
      <c r="DL282">
        <v>1.81</v>
      </c>
      <c r="DM282">
        <v>1.81</v>
      </c>
      <c r="DN282">
        <v>1.45</v>
      </c>
      <c r="DO282">
        <v>1.45</v>
      </c>
      <c r="DP282">
        <v>1.45</v>
      </c>
      <c r="DQ282">
        <v>1.45</v>
      </c>
      <c r="DR282">
        <v>0.88</v>
      </c>
      <c r="DS282">
        <v>0.88</v>
      </c>
      <c r="DT282">
        <v>1.88</v>
      </c>
      <c r="DU282">
        <v>1.88</v>
      </c>
      <c r="DV282">
        <v>2.4110176867886701</v>
      </c>
    </row>
    <row r="283" spans="106:126">
      <c r="DB283" t="s">
        <v>480</v>
      </c>
      <c r="DC283" t="s">
        <v>480</v>
      </c>
      <c r="DD283" t="s">
        <v>97</v>
      </c>
      <c r="DE283">
        <v>3</v>
      </c>
      <c r="DF283">
        <v>3</v>
      </c>
      <c r="DG283">
        <v>0.16</v>
      </c>
      <c r="DH283">
        <v>0.16</v>
      </c>
      <c r="DI283">
        <v>1.75</v>
      </c>
      <c r="DJ283">
        <v>0.96</v>
      </c>
      <c r="DK283">
        <v>0.96</v>
      </c>
      <c r="DL283">
        <v>2.31</v>
      </c>
      <c r="DM283">
        <v>2.31</v>
      </c>
      <c r="DN283">
        <v>1.54</v>
      </c>
      <c r="DO283">
        <v>1.54</v>
      </c>
      <c r="DP283">
        <v>1.54</v>
      </c>
      <c r="DQ283">
        <v>1.54</v>
      </c>
      <c r="DR283">
        <v>1.1499999999999999</v>
      </c>
      <c r="DS283">
        <v>1.1499999999999999</v>
      </c>
      <c r="DT283">
        <v>1.84</v>
      </c>
      <c r="DU283">
        <v>1.84</v>
      </c>
      <c r="DV283">
        <v>3.7254209729110399</v>
      </c>
    </row>
    <row r="284" spans="106:126">
      <c r="DB284" t="s">
        <v>481</v>
      </c>
      <c r="DC284" t="s">
        <v>481</v>
      </c>
      <c r="DD284" t="s">
        <v>97</v>
      </c>
      <c r="DE284">
        <v>3</v>
      </c>
      <c r="DF284">
        <v>3</v>
      </c>
      <c r="DG284">
        <v>0.18</v>
      </c>
      <c r="DH284">
        <v>0.18</v>
      </c>
      <c r="DI284">
        <v>1.95</v>
      </c>
      <c r="DJ284">
        <v>1.08</v>
      </c>
      <c r="DK284">
        <v>1.08</v>
      </c>
      <c r="DL284">
        <v>2.52</v>
      </c>
      <c r="DM284">
        <v>2.52</v>
      </c>
      <c r="DN284">
        <v>1.68</v>
      </c>
      <c r="DO284">
        <v>1.68</v>
      </c>
      <c r="DP284">
        <v>1.68</v>
      </c>
      <c r="DQ284">
        <v>1.68</v>
      </c>
      <c r="DR284">
        <v>1.1399999999999999</v>
      </c>
      <c r="DS284">
        <v>1.1399999999999999</v>
      </c>
      <c r="DT284">
        <v>2.0299999999999998</v>
      </c>
      <c r="DU284">
        <v>2.0299999999999998</v>
      </c>
      <c r="DV284">
        <v>4.0597889362047903</v>
      </c>
    </row>
    <row r="285" spans="106:126">
      <c r="DB285" t="s">
        <v>482</v>
      </c>
      <c r="DC285" t="s">
        <v>482</v>
      </c>
      <c r="DD285" t="s">
        <v>97</v>
      </c>
      <c r="DE285">
        <v>3</v>
      </c>
      <c r="DF285">
        <v>3</v>
      </c>
      <c r="DG285">
        <v>0.2</v>
      </c>
      <c r="DH285">
        <v>0.2</v>
      </c>
      <c r="DI285">
        <v>2.14</v>
      </c>
      <c r="DJ285">
        <v>1.2</v>
      </c>
      <c r="DK285">
        <v>1.2</v>
      </c>
      <c r="DL285">
        <v>2.72</v>
      </c>
      <c r="DM285">
        <v>2.72</v>
      </c>
      <c r="DN285">
        <v>1.82</v>
      </c>
      <c r="DO285">
        <v>1.82</v>
      </c>
      <c r="DP285">
        <v>1.82</v>
      </c>
      <c r="DQ285">
        <v>1.82</v>
      </c>
      <c r="DR285">
        <v>1.1299999999999999</v>
      </c>
      <c r="DS285">
        <v>1.1299999999999999</v>
      </c>
      <c r="DT285">
        <v>2.21</v>
      </c>
      <c r="DU285">
        <v>2.21</v>
      </c>
      <c r="DV285">
        <v>4.3535124304880002</v>
      </c>
    </row>
    <row r="286" spans="106:126">
      <c r="DB286" t="s">
        <v>483</v>
      </c>
      <c r="DC286" t="s">
        <v>483</v>
      </c>
      <c r="DD286" t="s">
        <v>97</v>
      </c>
      <c r="DE286">
        <v>3</v>
      </c>
      <c r="DF286">
        <v>3</v>
      </c>
      <c r="DG286">
        <v>0.22</v>
      </c>
      <c r="DH286">
        <v>0.22</v>
      </c>
      <c r="DI286">
        <v>2.3199999999999998</v>
      </c>
      <c r="DJ286">
        <v>1.32</v>
      </c>
      <c r="DK286">
        <v>1.32</v>
      </c>
      <c r="DL286">
        <v>2.91</v>
      </c>
      <c r="DM286">
        <v>2.91</v>
      </c>
      <c r="DN286">
        <v>1.94</v>
      </c>
      <c r="DO286">
        <v>1.94</v>
      </c>
      <c r="DP286">
        <v>1.94</v>
      </c>
      <c r="DQ286">
        <v>1.94</v>
      </c>
      <c r="DR286">
        <v>1.1200000000000001</v>
      </c>
      <c r="DS286">
        <v>1.1200000000000001</v>
      </c>
      <c r="DT286">
        <v>2.37</v>
      </c>
      <c r="DU286">
        <v>2.37</v>
      </c>
      <c r="DV286">
        <v>4.6034472156592399</v>
      </c>
    </row>
    <row r="287" spans="106:126">
      <c r="DB287" t="s">
        <v>484</v>
      </c>
      <c r="DC287" t="s">
        <v>484</v>
      </c>
      <c r="DD287" t="s">
        <v>97</v>
      </c>
      <c r="DE287">
        <v>3</v>
      </c>
      <c r="DF287">
        <v>3</v>
      </c>
      <c r="DG287">
        <v>0.26</v>
      </c>
      <c r="DH287">
        <v>0.26</v>
      </c>
      <c r="DI287">
        <v>2.68</v>
      </c>
      <c r="DJ287">
        <v>1.56</v>
      </c>
      <c r="DK287">
        <v>1.56</v>
      </c>
      <c r="DL287">
        <v>3.23</v>
      </c>
      <c r="DM287">
        <v>3.23</v>
      </c>
      <c r="DN287">
        <v>2.16</v>
      </c>
      <c r="DO287">
        <v>2.16</v>
      </c>
      <c r="DP287">
        <v>2.16</v>
      </c>
      <c r="DQ287">
        <v>2.16</v>
      </c>
      <c r="DR287">
        <v>1.1000000000000001</v>
      </c>
      <c r="DS287">
        <v>1.1000000000000001</v>
      </c>
      <c r="DT287">
        <v>2.68</v>
      </c>
      <c r="DU287">
        <v>2.68</v>
      </c>
      <c r="DV287">
        <v>4.9604499122422396</v>
      </c>
    </row>
    <row r="288" spans="106:126">
      <c r="DB288" t="s">
        <v>485</v>
      </c>
      <c r="DC288" t="s">
        <v>485</v>
      </c>
      <c r="DD288" t="s">
        <v>97</v>
      </c>
      <c r="DE288">
        <v>3</v>
      </c>
      <c r="DF288">
        <v>3</v>
      </c>
      <c r="DG288">
        <v>0.28999999999999998</v>
      </c>
      <c r="DH288">
        <v>0.28999999999999998</v>
      </c>
      <c r="DI288">
        <v>2.93</v>
      </c>
      <c r="DJ288">
        <v>1.74</v>
      </c>
      <c r="DK288">
        <v>1.74</v>
      </c>
      <c r="DL288">
        <v>3.44</v>
      </c>
      <c r="DM288">
        <v>3.44</v>
      </c>
      <c r="DN288">
        <v>2.2999999999999998</v>
      </c>
      <c r="DO288">
        <v>2.2999999999999998</v>
      </c>
      <c r="DP288">
        <v>2.2999999999999998</v>
      </c>
      <c r="DQ288">
        <v>2.2999999999999998</v>
      </c>
      <c r="DR288">
        <v>1.08</v>
      </c>
      <c r="DS288">
        <v>1.08</v>
      </c>
      <c r="DT288">
        <v>2.89</v>
      </c>
      <c r="DU288">
        <v>2.89</v>
      </c>
      <c r="DV288">
        <v>5.09343392315962</v>
      </c>
    </row>
    <row r="289" spans="106:126">
      <c r="DB289" t="s">
        <v>486</v>
      </c>
      <c r="DC289" t="s">
        <v>486</v>
      </c>
      <c r="DD289" t="s">
        <v>97</v>
      </c>
      <c r="DE289">
        <v>3</v>
      </c>
      <c r="DF289">
        <v>3</v>
      </c>
      <c r="DG289">
        <v>0.32</v>
      </c>
      <c r="DH289">
        <v>0.32</v>
      </c>
      <c r="DI289">
        <v>3.17</v>
      </c>
      <c r="DJ289">
        <v>1.92</v>
      </c>
      <c r="DK289">
        <v>1.92</v>
      </c>
      <c r="DL289">
        <v>3.62</v>
      </c>
      <c r="DM289">
        <v>3.62</v>
      </c>
      <c r="DN289">
        <v>2.42</v>
      </c>
      <c r="DO289">
        <v>2.42</v>
      </c>
      <c r="DP289">
        <v>2.42</v>
      </c>
      <c r="DQ289">
        <v>2.42</v>
      </c>
      <c r="DR289">
        <v>1.07</v>
      </c>
      <c r="DS289">
        <v>1.07</v>
      </c>
      <c r="DT289">
        <v>3.08</v>
      </c>
      <c r="DU289">
        <v>3.08</v>
      </c>
      <c r="DV289">
        <v>5.1037638863113299</v>
      </c>
    </row>
    <row r="290" spans="106:126">
      <c r="DB290" t="s">
        <v>487</v>
      </c>
      <c r="DC290" t="s">
        <v>487</v>
      </c>
      <c r="DD290" t="s">
        <v>97</v>
      </c>
      <c r="DE290">
        <v>3</v>
      </c>
      <c r="DF290">
        <v>3</v>
      </c>
      <c r="DG290">
        <v>0.36</v>
      </c>
      <c r="DH290">
        <v>0.36</v>
      </c>
      <c r="DI290">
        <v>3.47</v>
      </c>
      <c r="DJ290">
        <v>2.16</v>
      </c>
      <c r="DK290">
        <v>2.16</v>
      </c>
      <c r="DL290">
        <v>3.82</v>
      </c>
      <c r="DM290">
        <v>3.82</v>
      </c>
      <c r="DN290">
        <v>2.5499999999999998</v>
      </c>
      <c r="DO290">
        <v>2.5499999999999998</v>
      </c>
      <c r="DP290">
        <v>2.5499999999999998</v>
      </c>
      <c r="DQ290">
        <v>2.5499999999999998</v>
      </c>
      <c r="DR290">
        <v>1.05</v>
      </c>
      <c r="DS290">
        <v>1.05</v>
      </c>
      <c r="DT290">
        <v>3.31</v>
      </c>
      <c r="DU290">
        <v>3.31</v>
      </c>
      <c r="DV290">
        <v>4.92092530366389</v>
      </c>
    </row>
    <row r="291" spans="106:126">
      <c r="DB291" t="s">
        <v>488</v>
      </c>
      <c r="DC291" t="s">
        <v>488</v>
      </c>
      <c r="DD291" t="s">
        <v>97</v>
      </c>
      <c r="DE291">
        <v>3</v>
      </c>
      <c r="DF291">
        <v>3</v>
      </c>
      <c r="DG291">
        <v>0.4</v>
      </c>
      <c r="DH291">
        <v>0.4</v>
      </c>
      <c r="DI291">
        <v>3.75</v>
      </c>
      <c r="DJ291">
        <v>2.4</v>
      </c>
      <c r="DK291">
        <v>2.4</v>
      </c>
      <c r="DL291">
        <v>3.97</v>
      </c>
      <c r="DM291">
        <v>3.97</v>
      </c>
      <c r="DN291">
        <v>2.65</v>
      </c>
      <c r="DO291">
        <v>2.65</v>
      </c>
      <c r="DP291">
        <v>2.65</v>
      </c>
      <c r="DQ291">
        <v>2.65</v>
      </c>
      <c r="DR291">
        <v>1.03</v>
      </c>
      <c r="DS291">
        <v>1.03</v>
      </c>
      <c r="DT291">
        <v>3.5</v>
      </c>
      <c r="DU291">
        <v>3.5</v>
      </c>
      <c r="DV291">
        <v>4.5152191611868302</v>
      </c>
    </row>
    <row r="292" spans="106:126">
      <c r="DB292" t="s">
        <v>489</v>
      </c>
      <c r="DC292" t="s">
        <v>489</v>
      </c>
      <c r="DD292" t="s">
        <v>97</v>
      </c>
      <c r="DE292">
        <v>3</v>
      </c>
      <c r="DF292">
        <v>3</v>
      </c>
      <c r="DG292">
        <v>0.45</v>
      </c>
      <c r="DH292">
        <v>0.45</v>
      </c>
      <c r="DI292">
        <v>4.07</v>
      </c>
      <c r="DJ292">
        <v>2.7</v>
      </c>
      <c r="DK292">
        <v>2.7</v>
      </c>
      <c r="DL292">
        <v>4.09</v>
      </c>
      <c r="DM292">
        <v>4.09</v>
      </c>
      <c r="DN292">
        <v>2.73</v>
      </c>
      <c r="DO292">
        <v>2.73</v>
      </c>
      <c r="DP292">
        <v>2.73</v>
      </c>
      <c r="DQ292">
        <v>2.73</v>
      </c>
      <c r="DR292">
        <v>1</v>
      </c>
      <c r="DS292">
        <v>1</v>
      </c>
      <c r="DT292">
        <v>3.7</v>
      </c>
      <c r="DU292">
        <v>3.7</v>
      </c>
      <c r="DV292">
        <v>3.72185598528857</v>
      </c>
    </row>
    <row r="293" spans="106:126">
      <c r="DB293" t="s">
        <v>490</v>
      </c>
      <c r="DC293" t="s">
        <v>490</v>
      </c>
      <c r="DD293" t="s">
        <v>97</v>
      </c>
      <c r="DE293">
        <v>3</v>
      </c>
      <c r="DF293">
        <v>3</v>
      </c>
      <c r="DG293">
        <v>0.5</v>
      </c>
      <c r="DH293">
        <v>0.5</v>
      </c>
      <c r="DI293">
        <v>4.3600000000000003</v>
      </c>
      <c r="DJ293">
        <v>3</v>
      </c>
      <c r="DK293">
        <v>3</v>
      </c>
      <c r="DL293">
        <v>4.16</v>
      </c>
      <c r="DM293">
        <v>4.16</v>
      </c>
      <c r="DN293">
        <v>2.78</v>
      </c>
      <c r="DO293">
        <v>2.78</v>
      </c>
      <c r="DP293">
        <v>2.78</v>
      </c>
      <c r="DQ293">
        <v>2.78</v>
      </c>
      <c r="DR293">
        <v>0.98</v>
      </c>
      <c r="DS293">
        <v>0.98</v>
      </c>
      <c r="DT293">
        <v>3.84</v>
      </c>
      <c r="DU293">
        <v>3.84</v>
      </c>
      <c r="DV293">
        <v>2.6895280318850201</v>
      </c>
    </row>
    <row r="294" spans="106:126">
      <c r="DB294" t="s">
        <v>491</v>
      </c>
      <c r="DC294" t="s">
        <v>491</v>
      </c>
      <c r="DD294" t="s">
        <v>97</v>
      </c>
      <c r="DE294">
        <v>3</v>
      </c>
      <c r="DF294">
        <v>3</v>
      </c>
      <c r="DG294">
        <v>0.54</v>
      </c>
      <c r="DH294">
        <v>0.54</v>
      </c>
      <c r="DI294">
        <v>4.5599999999999996</v>
      </c>
      <c r="DJ294">
        <v>3.24</v>
      </c>
      <c r="DK294">
        <v>3.24</v>
      </c>
      <c r="DL294">
        <v>4.17</v>
      </c>
      <c r="DM294">
        <v>4.17</v>
      </c>
      <c r="DN294">
        <v>2.78</v>
      </c>
      <c r="DO294">
        <v>2.78</v>
      </c>
      <c r="DP294">
        <v>2.78</v>
      </c>
      <c r="DQ294">
        <v>2.78</v>
      </c>
      <c r="DR294">
        <v>0.96</v>
      </c>
      <c r="DS294">
        <v>0.96</v>
      </c>
      <c r="DT294">
        <v>3.93</v>
      </c>
      <c r="DU294">
        <v>3.93</v>
      </c>
      <c r="DV294">
        <v>1.79736412488422</v>
      </c>
    </row>
    <row r="295" spans="106:126">
      <c r="DB295" t="s">
        <v>492</v>
      </c>
      <c r="DC295" t="s">
        <v>492</v>
      </c>
      <c r="DD295" t="s">
        <v>97</v>
      </c>
      <c r="DE295">
        <v>3</v>
      </c>
      <c r="DF295">
        <v>3</v>
      </c>
      <c r="DG295">
        <v>0.6</v>
      </c>
      <c r="DH295">
        <v>0.6</v>
      </c>
      <c r="DI295">
        <v>4.83</v>
      </c>
      <c r="DJ295">
        <v>3.6</v>
      </c>
      <c r="DK295">
        <v>3.6</v>
      </c>
      <c r="DL295">
        <v>4.12</v>
      </c>
      <c r="DM295">
        <v>4.12</v>
      </c>
      <c r="DN295">
        <v>2.75</v>
      </c>
      <c r="DO295">
        <v>2.75</v>
      </c>
      <c r="DP295">
        <v>2.75</v>
      </c>
      <c r="DQ295">
        <v>2.75</v>
      </c>
      <c r="DR295">
        <v>0.92</v>
      </c>
      <c r="DS295">
        <v>0.92</v>
      </c>
      <c r="DT295">
        <v>4.01</v>
      </c>
      <c r="DU295">
        <v>4.01</v>
      </c>
      <c r="DV295">
        <v>0.68586444718334505</v>
      </c>
    </row>
    <row r="296" spans="106:126">
      <c r="DB296" t="s">
        <v>493</v>
      </c>
      <c r="DC296" t="s">
        <v>493</v>
      </c>
      <c r="DD296" t="s">
        <v>97</v>
      </c>
      <c r="DE296">
        <v>3.2</v>
      </c>
      <c r="DF296">
        <v>3.2</v>
      </c>
      <c r="DG296">
        <v>0.16</v>
      </c>
      <c r="DH296">
        <v>0.16</v>
      </c>
      <c r="DI296">
        <v>1.88</v>
      </c>
      <c r="DJ296">
        <v>1.024</v>
      </c>
      <c r="DK296">
        <v>1.024</v>
      </c>
      <c r="DL296">
        <v>2.84</v>
      </c>
      <c r="DM296">
        <v>2.84</v>
      </c>
      <c r="DN296">
        <v>1.78</v>
      </c>
      <c r="DO296">
        <v>1.78</v>
      </c>
      <c r="DP296">
        <v>1.78</v>
      </c>
      <c r="DQ296">
        <v>1.78</v>
      </c>
      <c r="DR296">
        <v>1.23</v>
      </c>
      <c r="DS296">
        <v>1.23</v>
      </c>
      <c r="DT296">
        <v>2.12</v>
      </c>
      <c r="DU296">
        <v>2.12</v>
      </c>
      <c r="DV296">
        <v>4.5878725000659797</v>
      </c>
    </row>
    <row r="297" spans="106:126">
      <c r="DB297" t="s">
        <v>494</v>
      </c>
      <c r="DC297" t="s">
        <v>494</v>
      </c>
      <c r="DD297" t="s">
        <v>97</v>
      </c>
      <c r="DE297">
        <v>3.2</v>
      </c>
      <c r="DF297">
        <v>3.2</v>
      </c>
      <c r="DG297">
        <v>0.18</v>
      </c>
      <c r="DH297">
        <v>0.18</v>
      </c>
      <c r="DI297">
        <v>2.09</v>
      </c>
      <c r="DJ297">
        <v>1.1519999999999999</v>
      </c>
      <c r="DK297">
        <v>1.1519999999999999</v>
      </c>
      <c r="DL297">
        <v>3.11</v>
      </c>
      <c r="DM297">
        <v>3.11</v>
      </c>
      <c r="DN297">
        <v>1.95</v>
      </c>
      <c r="DO297">
        <v>1.95</v>
      </c>
      <c r="DP297">
        <v>1.95</v>
      </c>
      <c r="DQ297">
        <v>1.95</v>
      </c>
      <c r="DR297">
        <v>1.22</v>
      </c>
      <c r="DS297">
        <v>1.22</v>
      </c>
      <c r="DT297">
        <v>2.33</v>
      </c>
      <c r="DU297">
        <v>2.33</v>
      </c>
      <c r="DV297">
        <v>5.0182771254283001</v>
      </c>
    </row>
    <row r="298" spans="106:126">
      <c r="DB298" t="s">
        <v>495</v>
      </c>
      <c r="DC298" t="s">
        <v>495</v>
      </c>
      <c r="DD298" t="s">
        <v>97</v>
      </c>
      <c r="DE298">
        <v>3.2</v>
      </c>
      <c r="DF298">
        <v>3.2</v>
      </c>
      <c r="DG298">
        <v>0.2</v>
      </c>
      <c r="DH298">
        <v>0.2</v>
      </c>
      <c r="DI298">
        <v>2.2999999999999998</v>
      </c>
      <c r="DJ298">
        <v>1.28</v>
      </c>
      <c r="DK298">
        <v>1.28</v>
      </c>
      <c r="DL298">
        <v>3.36</v>
      </c>
      <c r="DM298">
        <v>3.36</v>
      </c>
      <c r="DN298">
        <v>2.1</v>
      </c>
      <c r="DO298">
        <v>2.1</v>
      </c>
      <c r="DP298">
        <v>2.1</v>
      </c>
      <c r="DQ298">
        <v>2.1</v>
      </c>
      <c r="DR298">
        <v>1.21</v>
      </c>
      <c r="DS298">
        <v>1.21</v>
      </c>
      <c r="DT298">
        <v>2.54</v>
      </c>
      <c r="DU298">
        <v>2.54</v>
      </c>
      <c r="DV298">
        <v>5.4045303610035198</v>
      </c>
    </row>
    <row r="299" spans="106:126">
      <c r="DB299" t="s">
        <v>496</v>
      </c>
      <c r="DC299" t="s">
        <v>496</v>
      </c>
      <c r="DD299" t="s">
        <v>97</v>
      </c>
      <c r="DE299">
        <v>3.2</v>
      </c>
      <c r="DF299">
        <v>3.2</v>
      </c>
      <c r="DG299">
        <v>0.22</v>
      </c>
      <c r="DH299">
        <v>0.22</v>
      </c>
      <c r="DI299">
        <v>2.5</v>
      </c>
      <c r="DJ299">
        <v>1.4079999999999999</v>
      </c>
      <c r="DK299">
        <v>1.4079999999999999</v>
      </c>
      <c r="DL299">
        <v>3.6</v>
      </c>
      <c r="DM299">
        <v>3.6</v>
      </c>
      <c r="DN299">
        <v>2.25</v>
      </c>
      <c r="DO299">
        <v>2.25</v>
      </c>
      <c r="DP299">
        <v>2.25</v>
      </c>
      <c r="DQ299">
        <v>2.25</v>
      </c>
      <c r="DR299">
        <v>1.2</v>
      </c>
      <c r="DS299">
        <v>1.2</v>
      </c>
      <c r="DT299">
        <v>2.74</v>
      </c>
      <c r="DU299">
        <v>2.74</v>
      </c>
      <c r="DV299">
        <v>5.7431718993168897</v>
      </c>
    </row>
    <row r="300" spans="106:126">
      <c r="DB300" t="s">
        <v>497</v>
      </c>
      <c r="DC300" t="s">
        <v>497</v>
      </c>
      <c r="DD300" t="s">
        <v>97</v>
      </c>
      <c r="DE300">
        <v>3.2</v>
      </c>
      <c r="DF300">
        <v>3.2</v>
      </c>
      <c r="DG300">
        <v>0.26</v>
      </c>
      <c r="DH300">
        <v>0.26</v>
      </c>
      <c r="DI300">
        <v>2.88</v>
      </c>
      <c r="DJ300">
        <v>1.6639999999999999</v>
      </c>
      <c r="DK300">
        <v>1.6639999999999999</v>
      </c>
      <c r="DL300">
        <v>4.0199999999999996</v>
      </c>
      <c r="DM300">
        <v>4.0199999999999996</v>
      </c>
      <c r="DN300">
        <v>2.52</v>
      </c>
      <c r="DO300">
        <v>2.52</v>
      </c>
      <c r="DP300">
        <v>2.52</v>
      </c>
      <c r="DQ300">
        <v>2.52</v>
      </c>
      <c r="DR300">
        <v>1.18</v>
      </c>
      <c r="DS300">
        <v>1.18</v>
      </c>
      <c r="DT300">
        <v>3.11</v>
      </c>
      <c r="DU300">
        <v>3.11</v>
      </c>
      <c r="DV300">
        <v>6.2646980929103098</v>
      </c>
    </row>
    <row r="301" spans="106:126">
      <c r="DB301" t="s">
        <v>498</v>
      </c>
      <c r="DC301" t="s">
        <v>498</v>
      </c>
      <c r="DD301" t="s">
        <v>97</v>
      </c>
      <c r="DE301">
        <v>3.2</v>
      </c>
      <c r="DF301">
        <v>3.2</v>
      </c>
      <c r="DG301">
        <v>0.28999999999999998</v>
      </c>
      <c r="DH301">
        <v>0.28999999999999998</v>
      </c>
      <c r="DI301">
        <v>3.16</v>
      </c>
      <c r="DJ301">
        <v>1.8560000000000001</v>
      </c>
      <c r="DK301">
        <v>1.8560000000000001</v>
      </c>
      <c r="DL301">
        <v>4.3</v>
      </c>
      <c r="DM301">
        <v>4.3</v>
      </c>
      <c r="DN301">
        <v>2.69</v>
      </c>
      <c r="DO301">
        <v>2.69</v>
      </c>
      <c r="DP301">
        <v>2.69</v>
      </c>
      <c r="DQ301">
        <v>2.69</v>
      </c>
      <c r="DR301">
        <v>1.17</v>
      </c>
      <c r="DS301">
        <v>1.17</v>
      </c>
      <c r="DT301">
        <v>3.36</v>
      </c>
      <c r="DU301">
        <v>3.36</v>
      </c>
      <c r="DV301">
        <v>6.5081696612404301</v>
      </c>
    </row>
    <row r="302" spans="106:126">
      <c r="DB302" t="s">
        <v>499</v>
      </c>
      <c r="DC302" t="s">
        <v>499</v>
      </c>
      <c r="DD302" t="s">
        <v>97</v>
      </c>
      <c r="DE302">
        <v>3.2</v>
      </c>
      <c r="DF302">
        <v>3.2</v>
      </c>
      <c r="DG302">
        <v>0.32</v>
      </c>
      <c r="DH302">
        <v>0.32</v>
      </c>
      <c r="DI302">
        <v>3.42</v>
      </c>
      <c r="DJ302">
        <v>2.048</v>
      </c>
      <c r="DK302">
        <v>2.048</v>
      </c>
      <c r="DL302">
        <v>4.54</v>
      </c>
      <c r="DM302">
        <v>4.54</v>
      </c>
      <c r="DN302">
        <v>2.84</v>
      </c>
      <c r="DO302">
        <v>2.84</v>
      </c>
      <c r="DP302">
        <v>2.84</v>
      </c>
      <c r="DQ302">
        <v>2.84</v>
      </c>
      <c r="DR302">
        <v>1.1499999999999999</v>
      </c>
      <c r="DS302">
        <v>1.1499999999999999</v>
      </c>
      <c r="DT302">
        <v>3.59</v>
      </c>
      <c r="DU302">
        <v>3.59</v>
      </c>
      <c r="DV302">
        <v>6.61605613200968</v>
      </c>
    </row>
    <row r="303" spans="106:126">
      <c r="DB303" t="s">
        <v>500</v>
      </c>
      <c r="DC303" t="s">
        <v>500</v>
      </c>
      <c r="DD303" t="s">
        <v>97</v>
      </c>
      <c r="DE303">
        <v>3.8</v>
      </c>
      <c r="DF303">
        <v>3.8</v>
      </c>
      <c r="DG303">
        <v>0.16</v>
      </c>
      <c r="DH303">
        <v>0.16</v>
      </c>
      <c r="DI303">
        <v>2.2599999999999998</v>
      </c>
      <c r="DJ303">
        <v>1.216</v>
      </c>
      <c r="DK303">
        <v>1.216</v>
      </c>
      <c r="DL303">
        <v>4.92</v>
      </c>
      <c r="DM303">
        <v>4.92</v>
      </c>
      <c r="DN303">
        <v>2.59</v>
      </c>
      <c r="DO303">
        <v>2.59</v>
      </c>
      <c r="DP303">
        <v>2.59</v>
      </c>
      <c r="DQ303">
        <v>2.59</v>
      </c>
      <c r="DR303">
        <v>1.48</v>
      </c>
      <c r="DS303">
        <v>1.48</v>
      </c>
      <c r="DT303">
        <v>3.06</v>
      </c>
      <c r="DU303">
        <v>3.06</v>
      </c>
      <c r="DV303">
        <v>7.9277046239668998</v>
      </c>
    </row>
    <row r="304" spans="106:126">
      <c r="DB304" t="s">
        <v>501</v>
      </c>
      <c r="DC304" t="s">
        <v>501</v>
      </c>
      <c r="DD304" t="s">
        <v>97</v>
      </c>
      <c r="DE304">
        <v>3.8</v>
      </c>
      <c r="DF304">
        <v>3.8</v>
      </c>
      <c r="DG304">
        <v>0.2</v>
      </c>
      <c r="DH304">
        <v>0.2</v>
      </c>
      <c r="DI304">
        <v>2.78</v>
      </c>
      <c r="DJ304">
        <v>1.52</v>
      </c>
      <c r="DK304">
        <v>1.52</v>
      </c>
      <c r="DL304">
        <v>5.88</v>
      </c>
      <c r="DM304">
        <v>5.88</v>
      </c>
      <c r="DN304">
        <v>3.1</v>
      </c>
      <c r="DO304">
        <v>3.1</v>
      </c>
      <c r="DP304">
        <v>3.1</v>
      </c>
      <c r="DQ304">
        <v>3.1</v>
      </c>
      <c r="DR304">
        <v>1.45</v>
      </c>
      <c r="DS304">
        <v>1.45</v>
      </c>
      <c r="DT304">
        <v>3.7</v>
      </c>
      <c r="DU304">
        <v>3.7</v>
      </c>
      <c r="DV304">
        <v>9.4937879156711595</v>
      </c>
    </row>
    <row r="305" spans="106:126">
      <c r="DB305" t="s">
        <v>502</v>
      </c>
      <c r="DC305" t="s">
        <v>502</v>
      </c>
      <c r="DD305" t="s">
        <v>97</v>
      </c>
      <c r="DE305">
        <v>3.8</v>
      </c>
      <c r="DF305">
        <v>3.8</v>
      </c>
      <c r="DG305">
        <v>0.22</v>
      </c>
      <c r="DH305">
        <v>0.22</v>
      </c>
      <c r="DI305">
        <v>3.03</v>
      </c>
      <c r="DJ305">
        <v>1.6719999999999999</v>
      </c>
      <c r="DK305">
        <v>1.6719999999999999</v>
      </c>
      <c r="DL305">
        <v>6.32</v>
      </c>
      <c r="DM305">
        <v>6.32</v>
      </c>
      <c r="DN305">
        <v>3.33</v>
      </c>
      <c r="DO305">
        <v>3.33</v>
      </c>
      <c r="DP305">
        <v>3.33</v>
      </c>
      <c r="DQ305">
        <v>3.33</v>
      </c>
      <c r="DR305">
        <v>1.44</v>
      </c>
      <c r="DS305">
        <v>1.44</v>
      </c>
      <c r="DT305">
        <v>4</v>
      </c>
      <c r="DU305">
        <v>4</v>
      </c>
      <c r="DV305">
        <v>10.189972841385201</v>
      </c>
    </row>
    <row r="306" spans="106:126">
      <c r="DB306" t="s">
        <v>503</v>
      </c>
      <c r="DC306" t="s">
        <v>503</v>
      </c>
      <c r="DD306" t="s">
        <v>97</v>
      </c>
      <c r="DE306">
        <v>3.8</v>
      </c>
      <c r="DF306">
        <v>3.8</v>
      </c>
      <c r="DG306">
        <v>0.26</v>
      </c>
      <c r="DH306">
        <v>0.26</v>
      </c>
      <c r="DI306">
        <v>3.51</v>
      </c>
      <c r="DJ306">
        <v>1.976</v>
      </c>
      <c r="DK306">
        <v>1.976</v>
      </c>
      <c r="DL306">
        <v>7.14</v>
      </c>
      <c r="DM306">
        <v>7.14</v>
      </c>
      <c r="DN306">
        <v>3.76</v>
      </c>
      <c r="DO306">
        <v>3.76</v>
      </c>
      <c r="DP306">
        <v>3.76</v>
      </c>
      <c r="DQ306">
        <v>3.76</v>
      </c>
      <c r="DR306">
        <v>1.43</v>
      </c>
      <c r="DS306">
        <v>1.43</v>
      </c>
      <c r="DT306">
        <v>4.57</v>
      </c>
      <c r="DU306">
        <v>4.57</v>
      </c>
      <c r="DV306">
        <v>11.3875563601661</v>
      </c>
    </row>
    <row r="307" spans="106:126">
      <c r="DB307" t="s">
        <v>504</v>
      </c>
      <c r="DC307" t="s">
        <v>504</v>
      </c>
      <c r="DD307" t="s">
        <v>97</v>
      </c>
      <c r="DE307">
        <v>3.8</v>
      </c>
      <c r="DF307">
        <v>3.8</v>
      </c>
      <c r="DG307">
        <v>0.28999999999999998</v>
      </c>
      <c r="DH307">
        <v>0.28999999999999998</v>
      </c>
      <c r="DI307">
        <v>3.86</v>
      </c>
      <c r="DJ307">
        <v>2.2040000000000002</v>
      </c>
      <c r="DK307">
        <v>2.2040000000000002</v>
      </c>
      <c r="DL307">
        <v>7.68</v>
      </c>
      <c r="DM307">
        <v>7.68</v>
      </c>
      <c r="DN307">
        <v>4.05</v>
      </c>
      <c r="DO307">
        <v>4.05</v>
      </c>
      <c r="DP307">
        <v>4.05</v>
      </c>
      <c r="DQ307">
        <v>4.05</v>
      </c>
      <c r="DR307">
        <v>1.41</v>
      </c>
      <c r="DS307">
        <v>1.41</v>
      </c>
      <c r="DT307">
        <v>4.97</v>
      </c>
      <c r="DU307">
        <v>4.97</v>
      </c>
      <c r="DV307">
        <v>12.0997050590956</v>
      </c>
    </row>
    <row r="308" spans="106:126">
      <c r="DB308" t="s">
        <v>505</v>
      </c>
      <c r="DC308" t="s">
        <v>505</v>
      </c>
      <c r="DD308" t="s">
        <v>97</v>
      </c>
      <c r="DE308">
        <v>3.8</v>
      </c>
      <c r="DF308">
        <v>3.8</v>
      </c>
      <c r="DG308">
        <v>0.32</v>
      </c>
      <c r="DH308">
        <v>0.32</v>
      </c>
      <c r="DI308">
        <v>4.1900000000000004</v>
      </c>
      <c r="DJ308">
        <v>2.4319999999999999</v>
      </c>
      <c r="DK308">
        <v>2.4319999999999999</v>
      </c>
      <c r="DL308">
        <v>8.18</v>
      </c>
      <c r="DM308">
        <v>8.18</v>
      </c>
      <c r="DN308">
        <v>4.3099999999999996</v>
      </c>
      <c r="DO308">
        <v>4.3099999999999996</v>
      </c>
      <c r="DP308">
        <v>4.3099999999999996</v>
      </c>
      <c r="DQ308">
        <v>4.3099999999999996</v>
      </c>
      <c r="DR308">
        <v>1.4</v>
      </c>
      <c r="DS308">
        <v>1.4</v>
      </c>
      <c r="DT308">
        <v>5.34</v>
      </c>
      <c r="DU308">
        <v>5.34</v>
      </c>
      <c r="DV308">
        <v>12.638740121125601</v>
      </c>
    </row>
    <row r="309" spans="106:126">
      <c r="DB309" t="s">
        <v>506</v>
      </c>
      <c r="DC309" t="s">
        <v>506</v>
      </c>
      <c r="DD309" t="s">
        <v>97</v>
      </c>
      <c r="DE309">
        <v>3.8</v>
      </c>
      <c r="DF309">
        <v>3.8</v>
      </c>
      <c r="DG309">
        <v>0.36</v>
      </c>
      <c r="DH309">
        <v>0.36</v>
      </c>
      <c r="DI309">
        <v>4.62</v>
      </c>
      <c r="DJ309">
        <v>2.7360000000000002</v>
      </c>
      <c r="DK309">
        <v>2.7360000000000002</v>
      </c>
      <c r="DL309">
        <v>8.76</v>
      </c>
      <c r="DM309">
        <v>8.76</v>
      </c>
      <c r="DN309">
        <v>4.62</v>
      </c>
      <c r="DO309">
        <v>4.62</v>
      </c>
      <c r="DP309">
        <v>4.62</v>
      </c>
      <c r="DQ309">
        <v>4.62</v>
      </c>
      <c r="DR309">
        <v>1.38</v>
      </c>
      <c r="DS309">
        <v>1.38</v>
      </c>
      <c r="DT309">
        <v>5.8</v>
      </c>
      <c r="DU309">
        <v>5.8</v>
      </c>
      <c r="DV309">
        <v>13.0698384608965</v>
      </c>
    </row>
    <row r="310" spans="106:126">
      <c r="DB310" t="s">
        <v>507</v>
      </c>
      <c r="DC310" t="s">
        <v>507</v>
      </c>
      <c r="DD310" t="s">
        <v>97</v>
      </c>
      <c r="DE310">
        <v>4</v>
      </c>
      <c r="DF310">
        <v>4</v>
      </c>
      <c r="DG310">
        <v>0.16</v>
      </c>
      <c r="DH310">
        <v>0.16</v>
      </c>
      <c r="DI310">
        <v>2.39</v>
      </c>
      <c r="DJ310">
        <v>1.28</v>
      </c>
      <c r="DK310">
        <v>1.28</v>
      </c>
      <c r="DL310">
        <v>5.79</v>
      </c>
      <c r="DM310">
        <v>5.79</v>
      </c>
      <c r="DN310">
        <v>2.9</v>
      </c>
      <c r="DO310">
        <v>2.9</v>
      </c>
      <c r="DP310">
        <v>2.9</v>
      </c>
      <c r="DQ310">
        <v>2.9</v>
      </c>
      <c r="DR310">
        <v>1.56</v>
      </c>
      <c r="DS310">
        <v>1.56</v>
      </c>
      <c r="DT310">
        <v>3.41</v>
      </c>
      <c r="DU310">
        <v>3.41</v>
      </c>
      <c r="DV310">
        <v>9.3173849099236392</v>
      </c>
    </row>
    <row r="311" spans="106:126">
      <c r="DB311" t="s">
        <v>508</v>
      </c>
      <c r="DC311" t="s">
        <v>508</v>
      </c>
      <c r="DD311" t="s">
        <v>97</v>
      </c>
      <c r="DE311">
        <v>4</v>
      </c>
      <c r="DF311">
        <v>4</v>
      </c>
      <c r="DG311">
        <v>0.2</v>
      </c>
      <c r="DH311">
        <v>0.2</v>
      </c>
      <c r="DI311">
        <v>2.94</v>
      </c>
      <c r="DJ311">
        <v>1.6</v>
      </c>
      <c r="DK311">
        <v>1.6</v>
      </c>
      <c r="DL311">
        <v>6.94</v>
      </c>
      <c r="DM311">
        <v>6.94</v>
      </c>
      <c r="DN311">
        <v>3.47</v>
      </c>
      <c r="DO311">
        <v>3.47</v>
      </c>
      <c r="DP311">
        <v>3.47</v>
      </c>
      <c r="DQ311">
        <v>3.47</v>
      </c>
      <c r="DR311">
        <v>1.54</v>
      </c>
      <c r="DS311">
        <v>1.54</v>
      </c>
      <c r="DT311">
        <v>4.13</v>
      </c>
      <c r="DU311">
        <v>4.13</v>
      </c>
      <c r="DV311">
        <v>11.200860595864199</v>
      </c>
    </row>
    <row r="312" spans="106:126">
      <c r="DB312" t="s">
        <v>509</v>
      </c>
      <c r="DC312" t="s">
        <v>509</v>
      </c>
      <c r="DD312" t="s">
        <v>97</v>
      </c>
      <c r="DE312">
        <v>4</v>
      </c>
      <c r="DF312">
        <v>4</v>
      </c>
      <c r="DG312">
        <v>0.22</v>
      </c>
      <c r="DH312">
        <v>0.22</v>
      </c>
      <c r="DI312">
        <v>3.2</v>
      </c>
      <c r="DJ312">
        <v>1.76</v>
      </c>
      <c r="DK312">
        <v>1.76</v>
      </c>
      <c r="DL312">
        <v>7.47</v>
      </c>
      <c r="DM312">
        <v>7.47</v>
      </c>
      <c r="DN312">
        <v>3.74</v>
      </c>
      <c r="DO312">
        <v>3.74</v>
      </c>
      <c r="DP312">
        <v>3.74</v>
      </c>
      <c r="DQ312">
        <v>3.74</v>
      </c>
      <c r="DR312">
        <v>1.53</v>
      </c>
      <c r="DS312">
        <v>1.53</v>
      </c>
      <c r="DT312">
        <v>4.4800000000000004</v>
      </c>
      <c r="DU312">
        <v>4.4800000000000004</v>
      </c>
      <c r="DV312">
        <v>12.0498412485359</v>
      </c>
    </row>
    <row r="313" spans="106:126">
      <c r="DB313" t="s">
        <v>510</v>
      </c>
      <c r="DC313" t="s">
        <v>510</v>
      </c>
      <c r="DD313" t="s">
        <v>97</v>
      </c>
      <c r="DE313">
        <v>4</v>
      </c>
      <c r="DF313">
        <v>4</v>
      </c>
      <c r="DG313">
        <v>0.26</v>
      </c>
      <c r="DH313">
        <v>0.26</v>
      </c>
      <c r="DI313">
        <v>3.72</v>
      </c>
      <c r="DJ313">
        <v>2.08</v>
      </c>
      <c r="DK313">
        <v>2.08</v>
      </c>
      <c r="DL313">
        <v>8.4499999999999993</v>
      </c>
      <c r="DM313">
        <v>8.4499999999999993</v>
      </c>
      <c r="DN313">
        <v>4.2300000000000004</v>
      </c>
      <c r="DO313">
        <v>4.2300000000000004</v>
      </c>
      <c r="DP313">
        <v>4.2300000000000004</v>
      </c>
      <c r="DQ313">
        <v>4.2300000000000004</v>
      </c>
      <c r="DR313">
        <v>1.51</v>
      </c>
      <c r="DS313">
        <v>1.51</v>
      </c>
      <c r="DT313">
        <v>5.12</v>
      </c>
      <c r="DU313">
        <v>5.12</v>
      </c>
      <c r="DV313">
        <v>13.5397674508179</v>
      </c>
    </row>
    <row r="314" spans="106:126">
      <c r="DB314" t="s">
        <v>511</v>
      </c>
      <c r="DC314" t="s">
        <v>511</v>
      </c>
      <c r="DD314" t="s">
        <v>97</v>
      </c>
      <c r="DE314">
        <v>4</v>
      </c>
      <c r="DF314">
        <v>4</v>
      </c>
      <c r="DG314">
        <v>0.28999999999999998</v>
      </c>
      <c r="DH314">
        <v>0.28999999999999998</v>
      </c>
      <c r="DI314">
        <v>4.09</v>
      </c>
      <c r="DJ314">
        <v>2.3199999999999998</v>
      </c>
      <c r="DK314">
        <v>2.3199999999999998</v>
      </c>
      <c r="DL314">
        <v>9.11</v>
      </c>
      <c r="DM314">
        <v>9.11</v>
      </c>
      <c r="DN314">
        <v>4.5599999999999996</v>
      </c>
      <c r="DO314">
        <v>4.5599999999999996</v>
      </c>
      <c r="DP314">
        <v>4.5599999999999996</v>
      </c>
      <c r="DQ314">
        <v>4.5599999999999996</v>
      </c>
      <c r="DR314">
        <v>1.49</v>
      </c>
      <c r="DS314">
        <v>1.49</v>
      </c>
      <c r="DT314">
        <v>5.58</v>
      </c>
      <c r="DU314">
        <v>5.58</v>
      </c>
      <c r="DV314">
        <v>14.4583199086352</v>
      </c>
    </row>
    <row r="315" spans="106:126">
      <c r="DB315" t="s">
        <v>512</v>
      </c>
      <c r="DC315" t="s">
        <v>512</v>
      </c>
      <c r="DD315" t="s">
        <v>97</v>
      </c>
      <c r="DE315">
        <v>4</v>
      </c>
      <c r="DF315">
        <v>4</v>
      </c>
      <c r="DG315">
        <v>0.32</v>
      </c>
      <c r="DH315">
        <v>0.32</v>
      </c>
      <c r="DI315">
        <v>4.45</v>
      </c>
      <c r="DJ315">
        <v>2.56</v>
      </c>
      <c r="DK315">
        <v>2.56</v>
      </c>
      <c r="DL315">
        <v>9.7200000000000006</v>
      </c>
      <c r="DM315">
        <v>9.7200000000000006</v>
      </c>
      <c r="DN315">
        <v>4.8600000000000003</v>
      </c>
      <c r="DO315">
        <v>4.8600000000000003</v>
      </c>
      <c r="DP315">
        <v>4.8600000000000003</v>
      </c>
      <c r="DQ315">
        <v>4.8600000000000003</v>
      </c>
      <c r="DR315">
        <v>1.48</v>
      </c>
      <c r="DS315">
        <v>1.48</v>
      </c>
      <c r="DT315">
        <v>6.01</v>
      </c>
      <c r="DU315">
        <v>6.01</v>
      </c>
      <c r="DV315">
        <v>15.191399307080401</v>
      </c>
    </row>
    <row r="316" spans="106:126">
      <c r="DB316" t="s">
        <v>513</v>
      </c>
      <c r="DC316" t="s">
        <v>513</v>
      </c>
      <c r="DD316" t="s">
        <v>97</v>
      </c>
      <c r="DE316">
        <v>4</v>
      </c>
      <c r="DF316">
        <v>4</v>
      </c>
      <c r="DG316">
        <v>0.36</v>
      </c>
      <c r="DH316">
        <v>0.36</v>
      </c>
      <c r="DI316">
        <v>4.91</v>
      </c>
      <c r="DJ316">
        <v>2.88</v>
      </c>
      <c r="DK316">
        <v>2.88</v>
      </c>
      <c r="DL316">
        <v>10.45</v>
      </c>
      <c r="DM316">
        <v>10.45</v>
      </c>
      <c r="DN316">
        <v>5.23</v>
      </c>
      <c r="DO316">
        <v>5.23</v>
      </c>
      <c r="DP316">
        <v>5.23</v>
      </c>
      <c r="DQ316">
        <v>5.23</v>
      </c>
      <c r="DR316">
        <v>1.46</v>
      </c>
      <c r="DS316">
        <v>1.46</v>
      </c>
      <c r="DT316">
        <v>6.53</v>
      </c>
      <c r="DU316">
        <v>6.53</v>
      </c>
      <c r="DV316">
        <v>15.8595675942932</v>
      </c>
    </row>
    <row r="317" spans="106:126">
      <c r="DB317" t="s">
        <v>514</v>
      </c>
      <c r="DC317" t="s">
        <v>514</v>
      </c>
      <c r="DD317" t="s">
        <v>97</v>
      </c>
      <c r="DE317">
        <v>4</v>
      </c>
      <c r="DF317">
        <v>4</v>
      </c>
      <c r="DG317">
        <v>0.4</v>
      </c>
      <c r="DH317">
        <v>0.4</v>
      </c>
      <c r="DI317">
        <v>5.35</v>
      </c>
      <c r="DJ317">
        <v>3.2</v>
      </c>
      <c r="DK317">
        <v>3.2</v>
      </c>
      <c r="DL317">
        <v>11.07</v>
      </c>
      <c r="DM317">
        <v>11.07</v>
      </c>
      <c r="DN317">
        <v>5.54</v>
      </c>
      <c r="DO317">
        <v>5.54</v>
      </c>
      <c r="DP317">
        <v>5.54</v>
      </c>
      <c r="DQ317">
        <v>5.54</v>
      </c>
      <c r="DR317">
        <v>1.44</v>
      </c>
      <c r="DS317">
        <v>1.44</v>
      </c>
      <c r="DT317">
        <v>7.01</v>
      </c>
      <c r="DU317">
        <v>7.01</v>
      </c>
      <c r="DV317">
        <v>16.152480791039299</v>
      </c>
    </row>
    <row r="318" spans="106:126">
      <c r="DB318" t="s">
        <v>515</v>
      </c>
      <c r="DC318" t="s">
        <v>515</v>
      </c>
      <c r="DD318" t="s">
        <v>97</v>
      </c>
      <c r="DE318">
        <v>4</v>
      </c>
      <c r="DF318">
        <v>4</v>
      </c>
      <c r="DG318">
        <v>0.45</v>
      </c>
      <c r="DH318">
        <v>0.45</v>
      </c>
      <c r="DI318">
        <v>5.87</v>
      </c>
      <c r="DJ318">
        <v>3.6</v>
      </c>
      <c r="DK318">
        <v>3.6</v>
      </c>
      <c r="DL318">
        <v>11.73</v>
      </c>
      <c r="DM318">
        <v>11.73</v>
      </c>
      <c r="DN318">
        <v>5.87</v>
      </c>
      <c r="DO318">
        <v>5.87</v>
      </c>
      <c r="DP318">
        <v>5.87</v>
      </c>
      <c r="DQ318">
        <v>5.87</v>
      </c>
      <c r="DR318">
        <v>1.41</v>
      </c>
      <c r="DS318">
        <v>1.41</v>
      </c>
      <c r="DT318">
        <v>7.55</v>
      </c>
      <c r="DU318">
        <v>7.55</v>
      </c>
      <c r="DV318">
        <v>15.9654543222073</v>
      </c>
    </row>
    <row r="319" spans="106:126">
      <c r="DB319" t="s">
        <v>516</v>
      </c>
      <c r="DC319" t="s">
        <v>516</v>
      </c>
      <c r="DD319" t="s">
        <v>97</v>
      </c>
      <c r="DE319">
        <v>4</v>
      </c>
      <c r="DF319">
        <v>4</v>
      </c>
      <c r="DG319">
        <v>0.5</v>
      </c>
      <c r="DH319">
        <v>0.5</v>
      </c>
      <c r="DI319">
        <v>6.36</v>
      </c>
      <c r="DJ319">
        <v>4</v>
      </c>
      <c r="DK319">
        <v>4</v>
      </c>
      <c r="DL319">
        <v>12.26</v>
      </c>
      <c r="DM319">
        <v>12.26</v>
      </c>
      <c r="DN319">
        <v>6.13</v>
      </c>
      <c r="DO319">
        <v>6.13</v>
      </c>
      <c r="DP319">
        <v>6.13</v>
      </c>
      <c r="DQ319">
        <v>6.13</v>
      </c>
      <c r="DR319">
        <v>1.39</v>
      </c>
      <c r="DS319">
        <v>1.39</v>
      </c>
      <c r="DT319">
        <v>8.02</v>
      </c>
      <c r="DU319">
        <v>8.02</v>
      </c>
      <c r="DV319">
        <v>15.1526759087513</v>
      </c>
    </row>
    <row r="320" spans="106:126">
      <c r="DB320" t="s">
        <v>517</v>
      </c>
      <c r="DC320" t="s">
        <v>517</v>
      </c>
      <c r="DD320" t="s">
        <v>97</v>
      </c>
      <c r="DE320">
        <v>4</v>
      </c>
      <c r="DF320">
        <v>4</v>
      </c>
      <c r="DG320">
        <v>0.54</v>
      </c>
      <c r="DH320">
        <v>0.54</v>
      </c>
      <c r="DI320">
        <v>6.72</v>
      </c>
      <c r="DJ320">
        <v>4.32</v>
      </c>
      <c r="DK320">
        <v>4.32</v>
      </c>
      <c r="DL320">
        <v>12.59</v>
      </c>
      <c r="DM320">
        <v>12.59</v>
      </c>
      <c r="DN320">
        <v>6.3</v>
      </c>
      <c r="DO320">
        <v>6.3</v>
      </c>
      <c r="DP320">
        <v>6.3</v>
      </c>
      <c r="DQ320">
        <v>6.3</v>
      </c>
      <c r="DR320">
        <v>1.37</v>
      </c>
      <c r="DS320">
        <v>1.37</v>
      </c>
      <c r="DT320">
        <v>8.35</v>
      </c>
      <c r="DU320">
        <v>8.35</v>
      </c>
      <c r="DV320">
        <v>14.0624802682501</v>
      </c>
    </row>
    <row r="321" spans="106:126">
      <c r="DB321" t="s">
        <v>518</v>
      </c>
      <c r="DC321" t="s">
        <v>518</v>
      </c>
      <c r="DD321" t="s">
        <v>97</v>
      </c>
      <c r="DE321">
        <v>4</v>
      </c>
      <c r="DF321">
        <v>4</v>
      </c>
      <c r="DG321">
        <v>0.6</v>
      </c>
      <c r="DH321">
        <v>0.6</v>
      </c>
      <c r="DI321">
        <v>7.23</v>
      </c>
      <c r="DJ321">
        <v>4.8</v>
      </c>
      <c r="DK321">
        <v>4.8</v>
      </c>
      <c r="DL321">
        <v>12.94</v>
      </c>
      <c r="DM321">
        <v>12.94</v>
      </c>
      <c r="DN321">
        <v>6.47</v>
      </c>
      <c r="DO321">
        <v>6.47</v>
      </c>
      <c r="DP321">
        <v>6.47</v>
      </c>
      <c r="DQ321">
        <v>6.47</v>
      </c>
      <c r="DR321">
        <v>1.34</v>
      </c>
      <c r="DS321">
        <v>1.34</v>
      </c>
      <c r="DT321">
        <v>8.76</v>
      </c>
      <c r="DU321">
        <v>8.76</v>
      </c>
      <c r="DV321">
        <v>11.7629028670849</v>
      </c>
    </row>
    <row r="322" spans="106:126">
      <c r="DB322" t="s">
        <v>519</v>
      </c>
      <c r="DC322" t="s">
        <v>519</v>
      </c>
      <c r="DD322" t="s">
        <v>97</v>
      </c>
      <c r="DE322">
        <v>4</v>
      </c>
      <c r="DF322">
        <v>4</v>
      </c>
      <c r="DG322">
        <v>0.8</v>
      </c>
      <c r="DH322">
        <v>0.8</v>
      </c>
      <c r="DI322">
        <v>8.59</v>
      </c>
      <c r="DJ322">
        <v>6.4</v>
      </c>
      <c r="DK322">
        <v>6.4</v>
      </c>
      <c r="DL322">
        <v>13.03</v>
      </c>
      <c r="DM322">
        <v>13.03</v>
      </c>
      <c r="DN322">
        <v>6.52</v>
      </c>
      <c r="DO322">
        <v>6.52</v>
      </c>
      <c r="DP322">
        <v>6.52</v>
      </c>
      <c r="DQ322">
        <v>6.52</v>
      </c>
      <c r="DR322">
        <v>1.23</v>
      </c>
      <c r="DS322">
        <v>1.23</v>
      </c>
      <c r="DT322">
        <v>9.5</v>
      </c>
      <c r="DU322">
        <v>9.5</v>
      </c>
      <c r="DV322">
        <v>2.1676703515918101</v>
      </c>
    </row>
    <row r="323" spans="106:126">
      <c r="DB323" t="s">
        <v>520</v>
      </c>
      <c r="DC323" t="s">
        <v>520</v>
      </c>
      <c r="DD323" t="s">
        <v>97</v>
      </c>
      <c r="DE323">
        <v>4.5</v>
      </c>
      <c r="DF323">
        <v>4.5</v>
      </c>
      <c r="DG323">
        <v>0.16</v>
      </c>
      <c r="DH323">
        <v>0.16</v>
      </c>
      <c r="DI323">
        <v>2.71</v>
      </c>
      <c r="DJ323">
        <v>1.44</v>
      </c>
      <c r="DK323">
        <v>1.44</v>
      </c>
      <c r="DL323">
        <v>8.41</v>
      </c>
      <c r="DM323">
        <v>8.41</v>
      </c>
      <c r="DN323">
        <v>3.74</v>
      </c>
      <c r="DO323">
        <v>3.74</v>
      </c>
      <c r="DP323">
        <v>3.74</v>
      </c>
      <c r="DQ323">
        <v>3.74</v>
      </c>
      <c r="DR323">
        <v>1.76</v>
      </c>
      <c r="DS323">
        <v>1.76</v>
      </c>
      <c r="DT323">
        <v>4.38</v>
      </c>
      <c r="DU323">
        <v>4.38</v>
      </c>
      <c r="DV323">
        <v>13.468975834961199</v>
      </c>
    </row>
    <row r="324" spans="106:126">
      <c r="DB324" t="s">
        <v>521</v>
      </c>
      <c r="DC324" t="s">
        <v>521</v>
      </c>
      <c r="DD324" t="s">
        <v>97</v>
      </c>
      <c r="DE324">
        <v>4.5</v>
      </c>
      <c r="DF324">
        <v>4.5</v>
      </c>
      <c r="DG324">
        <v>0.2</v>
      </c>
      <c r="DH324">
        <v>0.2</v>
      </c>
      <c r="DI324">
        <v>3.34</v>
      </c>
      <c r="DJ324">
        <v>1.8</v>
      </c>
      <c r="DK324">
        <v>1.8</v>
      </c>
      <c r="DL324">
        <v>10.119999999999999</v>
      </c>
      <c r="DM324">
        <v>10.119999999999999</v>
      </c>
      <c r="DN324">
        <v>4.5</v>
      </c>
      <c r="DO324">
        <v>4.5</v>
      </c>
      <c r="DP324">
        <v>4.5</v>
      </c>
      <c r="DQ324">
        <v>4.5</v>
      </c>
      <c r="DR324">
        <v>1.74</v>
      </c>
      <c r="DS324">
        <v>1.74</v>
      </c>
      <c r="DT324">
        <v>5.32</v>
      </c>
      <c r="DU324">
        <v>5.32</v>
      </c>
      <c r="DV324">
        <v>16.311870302668002</v>
      </c>
    </row>
    <row r="325" spans="106:126">
      <c r="DB325" t="s">
        <v>522</v>
      </c>
      <c r="DC325" t="s">
        <v>522</v>
      </c>
      <c r="DD325" t="s">
        <v>97</v>
      </c>
      <c r="DE325">
        <v>4.5</v>
      </c>
      <c r="DF325">
        <v>4.5</v>
      </c>
      <c r="DG325">
        <v>0.22</v>
      </c>
      <c r="DH325">
        <v>0.22</v>
      </c>
      <c r="DI325">
        <v>3.64</v>
      </c>
      <c r="DJ325">
        <v>1.98</v>
      </c>
      <c r="DK325">
        <v>1.98</v>
      </c>
      <c r="DL325">
        <v>10.92</v>
      </c>
      <c r="DM325">
        <v>10.92</v>
      </c>
      <c r="DN325">
        <v>4.8600000000000003</v>
      </c>
      <c r="DO325">
        <v>4.8600000000000003</v>
      </c>
      <c r="DP325">
        <v>4.8600000000000003</v>
      </c>
      <c r="DQ325">
        <v>4.8600000000000003</v>
      </c>
      <c r="DR325">
        <v>1.73</v>
      </c>
      <c r="DS325">
        <v>1.73</v>
      </c>
      <c r="DT325">
        <v>5.78</v>
      </c>
      <c r="DU325">
        <v>5.78</v>
      </c>
      <c r="DV325">
        <v>17.625368772454799</v>
      </c>
    </row>
    <row r="326" spans="106:126">
      <c r="DB326" t="s">
        <v>523</v>
      </c>
      <c r="DC326" t="s">
        <v>523</v>
      </c>
      <c r="DD326" t="s">
        <v>97</v>
      </c>
      <c r="DE326">
        <v>4.5</v>
      </c>
      <c r="DF326">
        <v>4.5</v>
      </c>
      <c r="DG326">
        <v>0.25</v>
      </c>
      <c r="DH326">
        <v>0.25</v>
      </c>
      <c r="DI326">
        <v>4.09</v>
      </c>
      <c r="DJ326">
        <v>2.25</v>
      </c>
      <c r="DK326">
        <v>2.25</v>
      </c>
      <c r="DL326">
        <v>12.06</v>
      </c>
      <c r="DM326">
        <v>12.06</v>
      </c>
      <c r="DN326">
        <v>5.36</v>
      </c>
      <c r="DO326">
        <v>5.36</v>
      </c>
      <c r="DP326">
        <v>5.36</v>
      </c>
      <c r="DQ326">
        <v>5.36</v>
      </c>
      <c r="DR326">
        <v>1.72</v>
      </c>
      <c r="DS326">
        <v>1.72</v>
      </c>
      <c r="DT326">
        <v>6.43</v>
      </c>
      <c r="DU326">
        <v>6.43</v>
      </c>
      <c r="DV326">
        <v>19.446034216086598</v>
      </c>
    </row>
    <row r="327" spans="106:126">
      <c r="DB327" t="s">
        <v>524</v>
      </c>
      <c r="DC327" t="s">
        <v>524</v>
      </c>
      <c r="DD327" t="s">
        <v>97</v>
      </c>
      <c r="DE327">
        <v>4.5</v>
      </c>
      <c r="DF327">
        <v>4.5</v>
      </c>
      <c r="DG327">
        <v>0.28000000000000003</v>
      </c>
      <c r="DH327">
        <v>0.28000000000000003</v>
      </c>
      <c r="DI327">
        <v>4.5199999999999996</v>
      </c>
      <c r="DJ327">
        <v>2.52</v>
      </c>
      <c r="DK327">
        <v>2.52</v>
      </c>
      <c r="DL327">
        <v>13.12</v>
      </c>
      <c r="DM327">
        <v>13.12</v>
      </c>
      <c r="DN327">
        <v>5.84</v>
      </c>
      <c r="DO327">
        <v>5.84</v>
      </c>
      <c r="DP327">
        <v>5.84</v>
      </c>
      <c r="DQ327">
        <v>5.84</v>
      </c>
      <c r="DR327">
        <v>1.7</v>
      </c>
      <c r="DS327">
        <v>1.7</v>
      </c>
      <c r="DT327">
        <v>7.05</v>
      </c>
      <c r="DU327">
        <v>7.05</v>
      </c>
      <c r="DV327">
        <v>21.072007065156399</v>
      </c>
    </row>
    <row r="328" spans="106:126">
      <c r="DB328" t="s">
        <v>525</v>
      </c>
      <c r="DC328" t="s">
        <v>525</v>
      </c>
      <c r="DD328" t="s">
        <v>97</v>
      </c>
      <c r="DE328">
        <v>4.5</v>
      </c>
      <c r="DF328">
        <v>4.5</v>
      </c>
      <c r="DG328">
        <v>0.32</v>
      </c>
      <c r="DH328">
        <v>0.32</v>
      </c>
      <c r="DI328">
        <v>5.09</v>
      </c>
      <c r="DJ328">
        <v>2.88</v>
      </c>
      <c r="DK328">
        <v>2.88</v>
      </c>
      <c r="DL328">
        <v>14.41</v>
      </c>
      <c r="DM328">
        <v>14.41</v>
      </c>
      <c r="DN328">
        <v>6.41</v>
      </c>
      <c r="DO328">
        <v>6.41</v>
      </c>
      <c r="DP328">
        <v>6.41</v>
      </c>
      <c r="DQ328">
        <v>6.41</v>
      </c>
      <c r="DR328">
        <v>1.68</v>
      </c>
      <c r="DS328">
        <v>1.68</v>
      </c>
      <c r="DT328">
        <v>7.83</v>
      </c>
      <c r="DU328">
        <v>7.83</v>
      </c>
      <c r="DV328">
        <v>22.908760462993101</v>
      </c>
    </row>
    <row r="329" spans="106:126">
      <c r="DB329" t="s">
        <v>526</v>
      </c>
      <c r="DC329" t="s">
        <v>526</v>
      </c>
      <c r="DD329" t="s">
        <v>97</v>
      </c>
      <c r="DE329">
        <v>4.5</v>
      </c>
      <c r="DF329">
        <v>4.5</v>
      </c>
      <c r="DG329">
        <v>0.36</v>
      </c>
      <c r="DH329">
        <v>0.36</v>
      </c>
      <c r="DI329">
        <v>5.63</v>
      </c>
      <c r="DJ329">
        <v>3.24</v>
      </c>
      <c r="DK329">
        <v>3.24</v>
      </c>
      <c r="DL329">
        <v>15.57</v>
      </c>
      <c r="DM329">
        <v>15.57</v>
      </c>
      <c r="DN329">
        <v>6.92</v>
      </c>
      <c r="DO329">
        <v>6.92</v>
      </c>
      <c r="DP329">
        <v>6.92</v>
      </c>
      <c r="DQ329">
        <v>6.92</v>
      </c>
      <c r="DR329">
        <v>1.66</v>
      </c>
      <c r="DS329">
        <v>1.66</v>
      </c>
      <c r="DT329">
        <v>8.5500000000000007</v>
      </c>
      <c r="DU329">
        <v>8.5500000000000007</v>
      </c>
      <c r="DV329">
        <v>24.333684290467399</v>
      </c>
    </row>
    <row r="330" spans="106:126">
      <c r="DB330" t="s">
        <v>527</v>
      </c>
      <c r="DC330" t="s">
        <v>527</v>
      </c>
      <c r="DD330" t="s">
        <v>97</v>
      </c>
      <c r="DE330">
        <v>4.5</v>
      </c>
      <c r="DF330">
        <v>4.5</v>
      </c>
      <c r="DG330">
        <v>0.4</v>
      </c>
      <c r="DH330">
        <v>0.4</v>
      </c>
      <c r="DI330">
        <v>6.15</v>
      </c>
      <c r="DJ330">
        <v>3.6</v>
      </c>
      <c r="DK330">
        <v>3.6</v>
      </c>
      <c r="DL330">
        <v>16.61</v>
      </c>
      <c r="DM330">
        <v>16.61</v>
      </c>
      <c r="DN330">
        <v>7.39</v>
      </c>
      <c r="DO330">
        <v>7.39</v>
      </c>
      <c r="DP330">
        <v>7.39</v>
      </c>
      <c r="DQ330">
        <v>7.39</v>
      </c>
      <c r="DR330">
        <v>1.64</v>
      </c>
      <c r="DS330">
        <v>1.64</v>
      </c>
      <c r="DT330">
        <v>9.2200000000000006</v>
      </c>
      <c r="DU330">
        <v>9.2200000000000006</v>
      </c>
      <c r="DV330">
        <v>25.3141012642131</v>
      </c>
    </row>
    <row r="331" spans="106:126">
      <c r="DB331" t="s">
        <v>528</v>
      </c>
      <c r="DC331" t="s">
        <v>528</v>
      </c>
      <c r="DD331" t="s">
        <v>97</v>
      </c>
      <c r="DE331">
        <v>5</v>
      </c>
      <c r="DF331">
        <v>5</v>
      </c>
      <c r="DG331">
        <v>0.16</v>
      </c>
      <c r="DH331">
        <v>0.16</v>
      </c>
      <c r="DI331">
        <v>3.03</v>
      </c>
      <c r="DJ331">
        <v>1.6</v>
      </c>
      <c r="DK331">
        <v>1.6</v>
      </c>
      <c r="DL331">
        <v>11.71</v>
      </c>
      <c r="DM331">
        <v>11.71</v>
      </c>
      <c r="DN331">
        <v>4.6900000000000004</v>
      </c>
      <c r="DO331">
        <v>4.6900000000000004</v>
      </c>
      <c r="DP331">
        <v>4.6900000000000004</v>
      </c>
      <c r="DQ331">
        <v>4.6900000000000004</v>
      </c>
      <c r="DR331">
        <v>1.97</v>
      </c>
      <c r="DS331">
        <v>1.97</v>
      </c>
      <c r="DT331">
        <v>5.46</v>
      </c>
      <c r="DU331">
        <v>5.46</v>
      </c>
      <c r="DV331">
        <v>18.684234184766002</v>
      </c>
    </row>
    <row r="332" spans="106:126">
      <c r="DB332" t="s">
        <v>529</v>
      </c>
      <c r="DC332" t="s">
        <v>529</v>
      </c>
      <c r="DD332" t="s">
        <v>97</v>
      </c>
      <c r="DE332">
        <v>5</v>
      </c>
      <c r="DF332">
        <v>5</v>
      </c>
      <c r="DG332">
        <v>0.18</v>
      </c>
      <c r="DH332">
        <v>0.18</v>
      </c>
      <c r="DI332">
        <v>3.39</v>
      </c>
      <c r="DJ332">
        <v>1.8</v>
      </c>
      <c r="DK332">
        <v>1.8</v>
      </c>
      <c r="DL332">
        <v>12.95</v>
      </c>
      <c r="DM332">
        <v>12.95</v>
      </c>
      <c r="DN332">
        <v>5.18</v>
      </c>
      <c r="DO332">
        <v>5.18</v>
      </c>
      <c r="DP332">
        <v>5.18</v>
      </c>
      <c r="DQ332">
        <v>5.18</v>
      </c>
      <c r="DR332">
        <v>1.95</v>
      </c>
      <c r="DS332">
        <v>1.95</v>
      </c>
      <c r="DT332">
        <v>6.07</v>
      </c>
      <c r="DU332">
        <v>6.07</v>
      </c>
      <c r="DV332">
        <v>20.7551778038195</v>
      </c>
    </row>
    <row r="333" spans="106:126">
      <c r="DB333" t="s">
        <v>530</v>
      </c>
      <c r="DC333" t="s">
        <v>530</v>
      </c>
      <c r="DD333" t="s">
        <v>97</v>
      </c>
      <c r="DE333">
        <v>5</v>
      </c>
      <c r="DF333">
        <v>5</v>
      </c>
      <c r="DG333">
        <v>0.2</v>
      </c>
      <c r="DH333">
        <v>0.2</v>
      </c>
      <c r="DI333">
        <v>3.74</v>
      </c>
      <c r="DJ333">
        <v>2</v>
      </c>
      <c r="DK333">
        <v>2</v>
      </c>
      <c r="DL333">
        <v>14.15</v>
      </c>
      <c r="DM333">
        <v>14.15</v>
      </c>
      <c r="DN333">
        <v>5.66</v>
      </c>
      <c r="DO333">
        <v>5.66</v>
      </c>
      <c r="DP333">
        <v>5.66</v>
      </c>
      <c r="DQ333">
        <v>5.66</v>
      </c>
      <c r="DR333">
        <v>1.95</v>
      </c>
      <c r="DS333">
        <v>1.95</v>
      </c>
      <c r="DT333">
        <v>6.66</v>
      </c>
      <c r="DU333">
        <v>6.66</v>
      </c>
      <c r="DV333">
        <v>22.7475217527433</v>
      </c>
    </row>
    <row r="334" spans="106:126">
      <c r="DB334" t="s">
        <v>531</v>
      </c>
      <c r="DC334" t="s">
        <v>531</v>
      </c>
      <c r="DD334" t="s">
        <v>97</v>
      </c>
      <c r="DE334">
        <v>5</v>
      </c>
      <c r="DF334">
        <v>5</v>
      </c>
      <c r="DG334">
        <v>0.22</v>
      </c>
      <c r="DH334">
        <v>0.22</v>
      </c>
      <c r="DI334">
        <v>4.08</v>
      </c>
      <c r="DJ334">
        <v>2.2000000000000002</v>
      </c>
      <c r="DK334">
        <v>2.2000000000000002</v>
      </c>
      <c r="DL334">
        <v>15.3</v>
      </c>
      <c r="DM334">
        <v>15.3</v>
      </c>
      <c r="DN334">
        <v>6.12</v>
      </c>
      <c r="DO334">
        <v>6.12</v>
      </c>
      <c r="DP334">
        <v>6.12</v>
      </c>
      <c r="DQ334">
        <v>6.12</v>
      </c>
      <c r="DR334">
        <v>1.94</v>
      </c>
      <c r="DS334">
        <v>1.94</v>
      </c>
      <c r="DT334">
        <v>7.24</v>
      </c>
      <c r="DU334">
        <v>7.24</v>
      </c>
      <c r="DV334">
        <v>24.655356211313901</v>
      </c>
    </row>
    <row r="335" spans="106:126">
      <c r="DB335" t="s">
        <v>532</v>
      </c>
      <c r="DC335" t="s">
        <v>532</v>
      </c>
      <c r="DD335" t="s">
        <v>97</v>
      </c>
      <c r="DE335">
        <v>5</v>
      </c>
      <c r="DF335">
        <v>5</v>
      </c>
      <c r="DG335">
        <v>0.26</v>
      </c>
      <c r="DH335">
        <v>0.26</v>
      </c>
      <c r="DI335">
        <v>4.76</v>
      </c>
      <c r="DJ335">
        <v>2.6</v>
      </c>
      <c r="DK335">
        <v>2.6</v>
      </c>
      <c r="DL335">
        <v>17.47</v>
      </c>
      <c r="DM335">
        <v>17.47</v>
      </c>
      <c r="DN335">
        <v>6.99</v>
      </c>
      <c r="DO335">
        <v>6.99</v>
      </c>
      <c r="DP335">
        <v>6.99</v>
      </c>
      <c r="DQ335">
        <v>6.99</v>
      </c>
      <c r="DR335">
        <v>1.92</v>
      </c>
      <c r="DS335">
        <v>1.92</v>
      </c>
      <c r="DT335">
        <v>8.34</v>
      </c>
      <c r="DU335">
        <v>8.34</v>
      </c>
      <c r="DV335">
        <v>28.194123078900301</v>
      </c>
    </row>
    <row r="336" spans="106:126">
      <c r="DB336" t="s">
        <v>533</v>
      </c>
      <c r="DC336" t="s">
        <v>533</v>
      </c>
      <c r="DD336" t="s">
        <v>97</v>
      </c>
      <c r="DE336">
        <v>5</v>
      </c>
      <c r="DF336">
        <v>5</v>
      </c>
      <c r="DG336">
        <v>0.28999999999999998</v>
      </c>
      <c r="DH336">
        <v>0.28999999999999998</v>
      </c>
      <c r="DI336">
        <v>5.25</v>
      </c>
      <c r="DJ336">
        <v>2.9</v>
      </c>
      <c r="DK336">
        <v>2.9</v>
      </c>
      <c r="DL336">
        <v>18.98</v>
      </c>
      <c r="DM336">
        <v>18.98</v>
      </c>
      <c r="DN336">
        <v>7.6</v>
      </c>
      <c r="DO336">
        <v>7.6</v>
      </c>
      <c r="DP336">
        <v>7.6</v>
      </c>
      <c r="DQ336">
        <v>7.6</v>
      </c>
      <c r="DR336">
        <v>1.9</v>
      </c>
      <c r="DS336">
        <v>1.9</v>
      </c>
      <c r="DT336">
        <v>9.1300000000000008</v>
      </c>
      <c r="DU336">
        <v>9.1300000000000008</v>
      </c>
      <c r="DV336">
        <v>30.5833227693109</v>
      </c>
    </row>
    <row r="337" spans="106:126">
      <c r="DB337" t="s">
        <v>534</v>
      </c>
      <c r="DC337" t="s">
        <v>534</v>
      </c>
      <c r="DD337" t="s">
        <v>97</v>
      </c>
      <c r="DE337">
        <v>5</v>
      </c>
      <c r="DF337">
        <v>5</v>
      </c>
      <c r="DG337">
        <v>0.32</v>
      </c>
      <c r="DH337">
        <v>0.32</v>
      </c>
      <c r="DI337">
        <v>5.73</v>
      </c>
      <c r="DJ337">
        <v>3.2</v>
      </c>
      <c r="DK337">
        <v>3.2</v>
      </c>
      <c r="DL337">
        <v>20.399999999999999</v>
      </c>
      <c r="DM337">
        <v>20.399999999999999</v>
      </c>
      <c r="DN337">
        <v>8.16</v>
      </c>
      <c r="DO337">
        <v>8.16</v>
      </c>
      <c r="DP337">
        <v>8.16</v>
      </c>
      <c r="DQ337">
        <v>8.16</v>
      </c>
      <c r="DR337">
        <v>1.89</v>
      </c>
      <c r="DS337">
        <v>1.89</v>
      </c>
      <c r="DT337">
        <v>9.89</v>
      </c>
      <c r="DU337">
        <v>9.89</v>
      </c>
      <c r="DV337">
        <v>32.724580682939703</v>
      </c>
    </row>
    <row r="338" spans="106:126">
      <c r="DB338" t="s">
        <v>535</v>
      </c>
      <c r="DC338" t="s">
        <v>535</v>
      </c>
      <c r="DD338" t="s">
        <v>97</v>
      </c>
      <c r="DE338">
        <v>5</v>
      </c>
      <c r="DF338">
        <v>5</v>
      </c>
      <c r="DG338">
        <v>0.36</v>
      </c>
      <c r="DH338">
        <v>0.36</v>
      </c>
      <c r="DI338">
        <v>6.35</v>
      </c>
      <c r="DJ338">
        <v>3.6</v>
      </c>
      <c r="DK338">
        <v>3.6</v>
      </c>
      <c r="DL338">
        <v>22.15</v>
      </c>
      <c r="DM338">
        <v>22.15</v>
      </c>
      <c r="DN338">
        <v>8.86</v>
      </c>
      <c r="DO338">
        <v>8.86</v>
      </c>
      <c r="DP338">
        <v>8.86</v>
      </c>
      <c r="DQ338">
        <v>8.86</v>
      </c>
      <c r="DR338">
        <v>1.87</v>
      </c>
      <c r="DS338">
        <v>1.87</v>
      </c>
      <c r="DT338">
        <v>10.84</v>
      </c>
      <c r="DU338">
        <v>10.84</v>
      </c>
      <c r="DV338">
        <v>35.162868901498001</v>
      </c>
    </row>
    <row r="339" spans="106:126">
      <c r="DB339" t="s">
        <v>536</v>
      </c>
      <c r="DC339" t="s">
        <v>536</v>
      </c>
      <c r="DD339" t="s">
        <v>97</v>
      </c>
      <c r="DE339">
        <v>5</v>
      </c>
      <c r="DF339">
        <v>5</v>
      </c>
      <c r="DG339">
        <v>0.4</v>
      </c>
      <c r="DH339">
        <v>0.4</v>
      </c>
      <c r="DI339">
        <v>6.95</v>
      </c>
      <c r="DJ339">
        <v>4</v>
      </c>
      <c r="DK339">
        <v>4</v>
      </c>
      <c r="DL339">
        <v>23.74</v>
      </c>
      <c r="DM339">
        <v>23.74</v>
      </c>
      <c r="DN339">
        <v>9.5</v>
      </c>
      <c r="DO339">
        <v>9.5</v>
      </c>
      <c r="DP339">
        <v>9.5</v>
      </c>
      <c r="DQ339">
        <v>9.5</v>
      </c>
      <c r="DR339">
        <v>1.85</v>
      </c>
      <c r="DS339">
        <v>1.85</v>
      </c>
      <c r="DT339">
        <v>11.73</v>
      </c>
      <c r="DU339">
        <v>11.73</v>
      </c>
      <c r="DV339">
        <v>37.088377214551699</v>
      </c>
    </row>
    <row r="340" spans="106:126">
      <c r="DB340" t="s">
        <v>537</v>
      </c>
      <c r="DC340" t="s">
        <v>537</v>
      </c>
      <c r="DD340" t="s">
        <v>97</v>
      </c>
      <c r="DE340">
        <v>5</v>
      </c>
      <c r="DF340">
        <v>5</v>
      </c>
      <c r="DG340">
        <v>0.45</v>
      </c>
      <c r="DH340">
        <v>0.45</v>
      </c>
      <c r="DI340">
        <v>7.67</v>
      </c>
      <c r="DJ340">
        <v>4.5</v>
      </c>
      <c r="DK340">
        <v>4.5</v>
      </c>
      <c r="DL340">
        <v>25.5</v>
      </c>
      <c r="DM340">
        <v>25.5</v>
      </c>
      <c r="DN340">
        <v>10.199999999999999</v>
      </c>
      <c r="DO340">
        <v>10.199999999999999</v>
      </c>
      <c r="DP340">
        <v>10.199999999999999</v>
      </c>
      <c r="DQ340">
        <v>10.199999999999999</v>
      </c>
      <c r="DR340">
        <v>1.82</v>
      </c>
      <c r="DS340">
        <v>1.82</v>
      </c>
      <c r="DT340">
        <v>12.76</v>
      </c>
      <c r="DU340">
        <v>12.76</v>
      </c>
      <c r="DV340">
        <v>38.719647447004803</v>
      </c>
    </row>
    <row r="341" spans="106:126">
      <c r="DB341" t="s">
        <v>538</v>
      </c>
      <c r="DC341" t="s">
        <v>538</v>
      </c>
      <c r="DD341" t="s">
        <v>97</v>
      </c>
      <c r="DE341">
        <v>5</v>
      </c>
      <c r="DF341">
        <v>5</v>
      </c>
      <c r="DG341">
        <v>0.5</v>
      </c>
      <c r="DH341">
        <v>0.5</v>
      </c>
      <c r="DI341">
        <v>8.36</v>
      </c>
      <c r="DJ341">
        <v>5</v>
      </c>
      <c r="DK341">
        <v>5</v>
      </c>
      <c r="DL341">
        <v>27.04</v>
      </c>
      <c r="DM341">
        <v>27.04</v>
      </c>
      <c r="DN341">
        <v>10.82</v>
      </c>
      <c r="DO341">
        <v>10.82</v>
      </c>
      <c r="DP341">
        <v>10.82</v>
      </c>
      <c r="DQ341">
        <v>10.82</v>
      </c>
      <c r="DR341">
        <v>1.8</v>
      </c>
      <c r="DS341">
        <v>1.8</v>
      </c>
      <c r="DT341">
        <v>13.7</v>
      </c>
      <c r="DU341">
        <v>13.7</v>
      </c>
      <c r="DV341">
        <v>39.434767556248197</v>
      </c>
    </row>
    <row r="342" spans="106:126">
      <c r="DB342" t="s">
        <v>539</v>
      </c>
      <c r="DC342" t="s">
        <v>539</v>
      </c>
      <c r="DD342" t="s">
        <v>97</v>
      </c>
      <c r="DE342">
        <v>5</v>
      </c>
      <c r="DF342">
        <v>5</v>
      </c>
      <c r="DG342">
        <v>0.54</v>
      </c>
      <c r="DH342">
        <v>0.54</v>
      </c>
      <c r="DI342">
        <v>8.8800000000000008</v>
      </c>
      <c r="DJ342">
        <v>5.4</v>
      </c>
      <c r="DK342">
        <v>5.4</v>
      </c>
      <c r="DL342">
        <v>28.11</v>
      </c>
      <c r="DM342">
        <v>28.11</v>
      </c>
      <c r="DN342">
        <v>11.25</v>
      </c>
      <c r="DO342">
        <v>11.25</v>
      </c>
      <c r="DP342">
        <v>11.25</v>
      </c>
      <c r="DQ342">
        <v>11.25</v>
      </c>
      <c r="DR342">
        <v>1.78</v>
      </c>
      <c r="DS342">
        <v>1.78</v>
      </c>
      <c r="DT342">
        <v>14.39</v>
      </c>
      <c r="DU342">
        <v>14.39</v>
      </c>
      <c r="DV342">
        <v>39.318230384702197</v>
      </c>
    </row>
    <row r="343" spans="106:126">
      <c r="DB343" t="s">
        <v>540</v>
      </c>
      <c r="DC343" t="s">
        <v>540</v>
      </c>
      <c r="DD343" t="s">
        <v>97</v>
      </c>
      <c r="DE343">
        <v>5</v>
      </c>
      <c r="DF343">
        <v>5</v>
      </c>
      <c r="DG343">
        <v>0.6</v>
      </c>
      <c r="DH343">
        <v>0.6</v>
      </c>
      <c r="DI343">
        <v>9.6300000000000008</v>
      </c>
      <c r="DJ343">
        <v>6</v>
      </c>
      <c r="DK343">
        <v>6</v>
      </c>
      <c r="DL343">
        <v>29.45</v>
      </c>
      <c r="DM343">
        <v>29.45</v>
      </c>
      <c r="DN343">
        <v>11.78</v>
      </c>
      <c r="DO343">
        <v>11.78</v>
      </c>
      <c r="DP343">
        <v>11.78</v>
      </c>
      <c r="DQ343">
        <v>11.78</v>
      </c>
      <c r="DR343">
        <v>1.75</v>
      </c>
      <c r="DS343">
        <v>1.75</v>
      </c>
      <c r="DT343">
        <v>15.32</v>
      </c>
      <c r="DU343">
        <v>15.32</v>
      </c>
      <c r="DV343">
        <v>37.970102651727601</v>
      </c>
    </row>
    <row r="344" spans="106:126">
      <c r="DB344" t="s">
        <v>541</v>
      </c>
      <c r="DC344" t="s">
        <v>541</v>
      </c>
      <c r="DD344" t="s">
        <v>97</v>
      </c>
      <c r="DE344">
        <v>5</v>
      </c>
      <c r="DF344">
        <v>5</v>
      </c>
      <c r="DG344">
        <v>0.8</v>
      </c>
      <c r="DH344">
        <v>0.8</v>
      </c>
      <c r="DI344">
        <v>11.79</v>
      </c>
      <c r="DJ344">
        <v>8</v>
      </c>
      <c r="DK344">
        <v>8</v>
      </c>
      <c r="DL344">
        <v>31.94</v>
      </c>
      <c r="DM344">
        <v>31.94</v>
      </c>
      <c r="DN344">
        <v>12.78</v>
      </c>
      <c r="DO344">
        <v>12.78</v>
      </c>
      <c r="DP344">
        <v>12.78</v>
      </c>
      <c r="DQ344">
        <v>12.78</v>
      </c>
      <c r="DR344">
        <v>1.65</v>
      </c>
      <c r="DS344">
        <v>1.65</v>
      </c>
      <c r="DT344">
        <v>17.55</v>
      </c>
      <c r="DU344">
        <v>17.55</v>
      </c>
      <c r="DV344">
        <v>24.096807235329798</v>
      </c>
    </row>
    <row r="345" spans="106:126">
      <c r="DB345" t="s">
        <v>542</v>
      </c>
      <c r="DC345" t="s">
        <v>542</v>
      </c>
      <c r="DD345" t="s">
        <v>97</v>
      </c>
      <c r="DE345">
        <v>6</v>
      </c>
      <c r="DF345">
        <v>6</v>
      </c>
      <c r="DG345">
        <v>0.2</v>
      </c>
      <c r="DH345">
        <v>0.2</v>
      </c>
      <c r="DI345">
        <v>4.54</v>
      </c>
      <c r="DJ345">
        <v>2.4</v>
      </c>
      <c r="DK345">
        <v>2.4</v>
      </c>
      <c r="DL345">
        <v>25.14</v>
      </c>
      <c r="DM345">
        <v>25.14</v>
      </c>
      <c r="DN345">
        <v>8.3800000000000008</v>
      </c>
      <c r="DO345">
        <v>8.3800000000000008</v>
      </c>
      <c r="DP345">
        <v>8.3800000000000008</v>
      </c>
      <c r="DQ345">
        <v>8.3800000000000008</v>
      </c>
      <c r="DR345">
        <v>2.35</v>
      </c>
      <c r="DS345">
        <v>2.35</v>
      </c>
      <c r="DT345">
        <v>9.7899999999999991</v>
      </c>
      <c r="DU345">
        <v>9.7899999999999991</v>
      </c>
      <c r="DV345">
        <v>40.1924140171433</v>
      </c>
    </row>
    <row r="346" spans="106:126">
      <c r="DB346" t="s">
        <v>543</v>
      </c>
      <c r="DC346" t="s">
        <v>543</v>
      </c>
      <c r="DD346" t="s">
        <v>97</v>
      </c>
      <c r="DE346">
        <v>6</v>
      </c>
      <c r="DF346">
        <v>6</v>
      </c>
      <c r="DG346">
        <v>0.22</v>
      </c>
      <c r="DH346">
        <v>0.22</v>
      </c>
      <c r="DI346">
        <v>4.96</v>
      </c>
      <c r="DJ346">
        <v>2.64</v>
      </c>
      <c r="DK346">
        <v>2.64</v>
      </c>
      <c r="DL346">
        <v>27.27</v>
      </c>
      <c r="DM346">
        <v>27.27</v>
      </c>
      <c r="DN346">
        <v>9.09</v>
      </c>
      <c r="DO346">
        <v>9.09</v>
      </c>
      <c r="DP346">
        <v>9.09</v>
      </c>
      <c r="DQ346">
        <v>9.09</v>
      </c>
      <c r="DR346">
        <v>2.34</v>
      </c>
      <c r="DS346">
        <v>2.34</v>
      </c>
      <c r="DT346">
        <v>10.66</v>
      </c>
      <c r="DU346">
        <v>10.66</v>
      </c>
      <c r="DV346">
        <v>43.738141077303197</v>
      </c>
    </row>
    <row r="347" spans="106:126">
      <c r="DB347" t="s">
        <v>544</v>
      </c>
      <c r="DC347" t="s">
        <v>544</v>
      </c>
      <c r="DD347" t="s">
        <v>97</v>
      </c>
      <c r="DE347">
        <v>6</v>
      </c>
      <c r="DF347">
        <v>6</v>
      </c>
      <c r="DG347">
        <v>0.26</v>
      </c>
      <c r="DH347">
        <v>0.26</v>
      </c>
      <c r="DI347">
        <v>5.8</v>
      </c>
      <c r="DJ347">
        <v>3.12</v>
      </c>
      <c r="DK347">
        <v>3.12</v>
      </c>
      <c r="DL347">
        <v>31.33</v>
      </c>
      <c r="DM347">
        <v>31.33</v>
      </c>
      <c r="DN347">
        <v>10.45</v>
      </c>
      <c r="DO347">
        <v>10.45</v>
      </c>
      <c r="DP347">
        <v>10.45</v>
      </c>
      <c r="DQ347">
        <v>10.45</v>
      </c>
      <c r="DR347">
        <v>2.3199999999999998</v>
      </c>
      <c r="DS347">
        <v>2.3199999999999998</v>
      </c>
      <c r="DT347">
        <v>12.34</v>
      </c>
      <c r="DU347">
        <v>12.34</v>
      </c>
      <c r="DV347">
        <v>50.478685662106002</v>
      </c>
    </row>
    <row r="348" spans="106:126">
      <c r="DB348" t="s">
        <v>545</v>
      </c>
      <c r="DC348" t="s">
        <v>545</v>
      </c>
      <c r="DD348" t="s">
        <v>97</v>
      </c>
      <c r="DE348">
        <v>6</v>
      </c>
      <c r="DF348">
        <v>6</v>
      </c>
      <c r="DG348">
        <v>0.28999999999999998</v>
      </c>
      <c r="DH348">
        <v>0.28999999999999998</v>
      </c>
      <c r="DI348">
        <v>6.41</v>
      </c>
      <c r="DJ348">
        <v>3.48</v>
      </c>
      <c r="DK348">
        <v>3.48</v>
      </c>
      <c r="DL348">
        <v>34.21</v>
      </c>
      <c r="DM348">
        <v>34.21</v>
      </c>
      <c r="DN348">
        <v>11.41</v>
      </c>
      <c r="DO348">
        <v>11.41</v>
      </c>
      <c r="DP348">
        <v>11.41</v>
      </c>
      <c r="DQ348">
        <v>11.41</v>
      </c>
      <c r="DR348">
        <v>2.31</v>
      </c>
      <c r="DS348">
        <v>2.31</v>
      </c>
      <c r="DT348">
        <v>13.56</v>
      </c>
      <c r="DU348">
        <v>13.56</v>
      </c>
      <c r="DV348">
        <v>55.199262766945999</v>
      </c>
    </row>
    <row r="349" spans="106:126">
      <c r="DB349" t="s">
        <v>546</v>
      </c>
      <c r="DC349" t="s">
        <v>546</v>
      </c>
      <c r="DD349" t="s">
        <v>97</v>
      </c>
      <c r="DE349">
        <v>6</v>
      </c>
      <c r="DF349">
        <v>6</v>
      </c>
      <c r="DG349">
        <v>0.32</v>
      </c>
      <c r="DH349">
        <v>0.32</v>
      </c>
      <c r="DI349">
        <v>7.01</v>
      </c>
      <c r="DJ349">
        <v>3.84</v>
      </c>
      <c r="DK349">
        <v>3.84</v>
      </c>
      <c r="DL349">
        <v>36.94</v>
      </c>
      <c r="DM349">
        <v>36.94</v>
      </c>
      <c r="DN349">
        <v>12.32</v>
      </c>
      <c r="DO349">
        <v>12.32</v>
      </c>
      <c r="DP349">
        <v>12.32</v>
      </c>
      <c r="DQ349">
        <v>12.32</v>
      </c>
      <c r="DR349">
        <v>2.2999999999999998</v>
      </c>
      <c r="DS349">
        <v>2.2999999999999998</v>
      </c>
      <c r="DT349">
        <v>14.73</v>
      </c>
      <c r="DU349">
        <v>14.73</v>
      </c>
      <c r="DV349">
        <v>59.606735566576702</v>
      </c>
    </row>
    <row r="350" spans="106:126">
      <c r="DB350" t="s">
        <v>547</v>
      </c>
      <c r="DC350" t="s">
        <v>547</v>
      </c>
      <c r="DD350" t="s">
        <v>97</v>
      </c>
      <c r="DE350">
        <v>6</v>
      </c>
      <c r="DF350">
        <v>6</v>
      </c>
      <c r="DG350">
        <v>0.36</v>
      </c>
      <c r="DH350">
        <v>0.36</v>
      </c>
      <c r="DI350">
        <v>7.79</v>
      </c>
      <c r="DJ350">
        <v>4.32</v>
      </c>
      <c r="DK350">
        <v>4.32</v>
      </c>
      <c r="DL350">
        <v>40.369999999999997</v>
      </c>
      <c r="DM350">
        <v>40.369999999999997</v>
      </c>
      <c r="DN350">
        <v>13.46</v>
      </c>
      <c r="DO350">
        <v>13.46</v>
      </c>
      <c r="DP350">
        <v>13.46</v>
      </c>
      <c r="DQ350">
        <v>13.46</v>
      </c>
      <c r="DR350">
        <v>2.2799999999999998</v>
      </c>
      <c r="DS350">
        <v>2.2799999999999998</v>
      </c>
      <c r="DT350">
        <v>16.22</v>
      </c>
      <c r="DU350">
        <v>16.22</v>
      </c>
      <c r="DV350">
        <v>64.956622979276602</v>
      </c>
    </row>
    <row r="351" spans="106:126">
      <c r="DB351" t="s">
        <v>548</v>
      </c>
      <c r="DC351" t="s">
        <v>548</v>
      </c>
      <c r="DD351" t="s">
        <v>97</v>
      </c>
      <c r="DE351">
        <v>6</v>
      </c>
      <c r="DF351">
        <v>6</v>
      </c>
      <c r="DG351">
        <v>0.4</v>
      </c>
      <c r="DH351">
        <v>0.4</v>
      </c>
      <c r="DI351">
        <v>8.5500000000000007</v>
      </c>
      <c r="DJ351">
        <v>4.8</v>
      </c>
      <c r="DK351">
        <v>4.8</v>
      </c>
      <c r="DL351">
        <v>43.55</v>
      </c>
      <c r="DM351">
        <v>43.55</v>
      </c>
      <c r="DN351">
        <v>14.52</v>
      </c>
      <c r="DO351">
        <v>14.52</v>
      </c>
      <c r="DP351">
        <v>14.52</v>
      </c>
      <c r="DQ351">
        <v>14.52</v>
      </c>
      <c r="DR351">
        <v>2.2599999999999998</v>
      </c>
      <c r="DS351">
        <v>2.2599999999999998</v>
      </c>
      <c r="DT351">
        <v>17.64</v>
      </c>
      <c r="DU351">
        <v>17.64</v>
      </c>
      <c r="DV351">
        <v>69.656198887808003</v>
      </c>
    </row>
    <row r="352" spans="106:126">
      <c r="DB352" t="s">
        <v>549</v>
      </c>
      <c r="DC352" t="s">
        <v>549</v>
      </c>
      <c r="DD352" t="s">
        <v>97</v>
      </c>
      <c r="DE352">
        <v>6</v>
      </c>
      <c r="DF352">
        <v>6</v>
      </c>
      <c r="DG352">
        <v>0.45</v>
      </c>
      <c r="DH352">
        <v>0.45</v>
      </c>
      <c r="DI352">
        <v>9.4700000000000006</v>
      </c>
      <c r="DJ352">
        <v>5.4</v>
      </c>
      <c r="DK352">
        <v>5.4</v>
      </c>
      <c r="DL352">
        <v>47.2</v>
      </c>
      <c r="DM352">
        <v>47.2</v>
      </c>
      <c r="DN352">
        <v>15.74</v>
      </c>
      <c r="DO352">
        <v>15.74</v>
      </c>
      <c r="DP352">
        <v>15.74</v>
      </c>
      <c r="DQ352">
        <v>15.74</v>
      </c>
      <c r="DR352">
        <v>2.23</v>
      </c>
      <c r="DS352">
        <v>2.23</v>
      </c>
      <c r="DT352">
        <v>19.32</v>
      </c>
      <c r="DU352">
        <v>19.32</v>
      </c>
      <c r="DV352">
        <v>74.539827480152894</v>
      </c>
    </row>
    <row r="353" spans="106:126">
      <c r="DB353" t="s">
        <v>550</v>
      </c>
      <c r="DC353" t="s">
        <v>550</v>
      </c>
      <c r="DD353" t="s">
        <v>97</v>
      </c>
      <c r="DE353">
        <v>6</v>
      </c>
      <c r="DF353">
        <v>6</v>
      </c>
      <c r="DG353">
        <v>0.5</v>
      </c>
      <c r="DH353">
        <v>0.5</v>
      </c>
      <c r="DI353">
        <v>10.36</v>
      </c>
      <c r="DJ353">
        <v>6</v>
      </c>
      <c r="DK353">
        <v>6</v>
      </c>
      <c r="DL353">
        <v>50.49</v>
      </c>
      <c r="DM353">
        <v>50.49</v>
      </c>
      <c r="DN353">
        <v>16.829999999999998</v>
      </c>
      <c r="DO353">
        <v>16.829999999999998</v>
      </c>
      <c r="DP353">
        <v>16.829999999999998</v>
      </c>
      <c r="DQ353">
        <v>16.829999999999998</v>
      </c>
      <c r="DR353">
        <v>2.21</v>
      </c>
      <c r="DS353">
        <v>2.21</v>
      </c>
      <c r="DT353">
        <v>20.88</v>
      </c>
      <c r="DU353">
        <v>20.88</v>
      </c>
      <c r="DV353">
        <v>78.238144524836201</v>
      </c>
    </row>
    <row r="354" spans="106:126">
      <c r="DB354" t="s">
        <v>551</v>
      </c>
      <c r="DC354" t="s">
        <v>551</v>
      </c>
      <c r="DD354" t="s">
        <v>97</v>
      </c>
      <c r="DE354">
        <v>6</v>
      </c>
      <c r="DF354">
        <v>6</v>
      </c>
      <c r="DG354">
        <v>0.54</v>
      </c>
      <c r="DH354">
        <v>0.54</v>
      </c>
      <c r="DI354">
        <v>11.04</v>
      </c>
      <c r="DJ354">
        <v>6.48</v>
      </c>
      <c r="DK354">
        <v>6.48</v>
      </c>
      <c r="DL354">
        <v>52.88</v>
      </c>
      <c r="DM354">
        <v>52.88</v>
      </c>
      <c r="DN354">
        <v>17.63</v>
      </c>
      <c r="DO354">
        <v>17.63</v>
      </c>
      <c r="DP354">
        <v>17.63</v>
      </c>
      <c r="DQ354">
        <v>17.63</v>
      </c>
      <c r="DR354">
        <v>2.19</v>
      </c>
      <c r="DS354">
        <v>2.19</v>
      </c>
      <c r="DT354">
        <v>22.05</v>
      </c>
      <c r="DU354">
        <v>22.05</v>
      </c>
      <c r="DV354">
        <v>80.289060946109203</v>
      </c>
    </row>
    <row r="355" spans="106:126">
      <c r="DB355" t="s">
        <v>552</v>
      </c>
      <c r="DC355" t="s">
        <v>552</v>
      </c>
      <c r="DD355" t="s">
        <v>97</v>
      </c>
      <c r="DE355">
        <v>6</v>
      </c>
      <c r="DF355">
        <v>6</v>
      </c>
      <c r="DG355">
        <v>0.6</v>
      </c>
      <c r="DH355">
        <v>0.6</v>
      </c>
      <c r="DI355">
        <v>12.03</v>
      </c>
      <c r="DJ355">
        <v>7.2</v>
      </c>
      <c r="DK355">
        <v>7.2</v>
      </c>
      <c r="DL355">
        <v>56.07</v>
      </c>
      <c r="DM355">
        <v>56.07</v>
      </c>
      <c r="DN355">
        <v>18.690000000000001</v>
      </c>
      <c r="DO355">
        <v>18.690000000000001</v>
      </c>
      <c r="DP355">
        <v>18.690000000000001</v>
      </c>
      <c r="DQ355">
        <v>18.690000000000001</v>
      </c>
      <c r="DR355">
        <v>2.16</v>
      </c>
      <c r="DS355">
        <v>2.16</v>
      </c>
      <c r="DT355">
        <v>23.68</v>
      </c>
      <c r="DU355">
        <v>23.68</v>
      </c>
      <c r="DV355">
        <v>81.771934004636293</v>
      </c>
    </row>
    <row r="356" spans="106:126">
      <c r="DB356" t="s">
        <v>553</v>
      </c>
      <c r="DC356" t="s">
        <v>553</v>
      </c>
      <c r="DD356" t="s">
        <v>97</v>
      </c>
      <c r="DE356">
        <v>6</v>
      </c>
      <c r="DF356">
        <v>6</v>
      </c>
      <c r="DG356">
        <v>0.8</v>
      </c>
      <c r="DH356">
        <v>0.8</v>
      </c>
      <c r="DI356">
        <v>14.99</v>
      </c>
      <c r="DJ356">
        <v>9.6</v>
      </c>
      <c r="DK356">
        <v>9.6</v>
      </c>
      <c r="DL356">
        <v>63.48</v>
      </c>
      <c r="DM356">
        <v>63.48</v>
      </c>
      <c r="DN356">
        <v>21.16</v>
      </c>
      <c r="DO356">
        <v>21.16</v>
      </c>
      <c r="DP356">
        <v>21.16</v>
      </c>
      <c r="DQ356">
        <v>21.16</v>
      </c>
      <c r="DR356">
        <v>2.06</v>
      </c>
      <c r="DS356">
        <v>2.06</v>
      </c>
      <c r="DT356">
        <v>28.01</v>
      </c>
      <c r="DU356">
        <v>28.01</v>
      </c>
      <c r="DV356">
        <v>72.243506578989297</v>
      </c>
    </row>
    <row r="357" spans="106:126">
      <c r="DB357" t="s">
        <v>554</v>
      </c>
      <c r="DC357" t="s">
        <v>554</v>
      </c>
      <c r="DD357" t="s">
        <v>97</v>
      </c>
      <c r="DE357">
        <v>7.2</v>
      </c>
      <c r="DF357">
        <v>7.2</v>
      </c>
      <c r="DG357">
        <v>0.2</v>
      </c>
      <c r="DH357">
        <v>0.2</v>
      </c>
      <c r="DI357">
        <v>5.5</v>
      </c>
      <c r="DJ357">
        <v>2.88</v>
      </c>
      <c r="DK357">
        <v>2.88</v>
      </c>
      <c r="DL357">
        <v>44.46</v>
      </c>
      <c r="DM357">
        <v>44.46</v>
      </c>
      <c r="DN357">
        <v>12.35</v>
      </c>
      <c r="DO357">
        <v>12.35</v>
      </c>
      <c r="DP357">
        <v>12.35</v>
      </c>
      <c r="DQ357">
        <v>12.35</v>
      </c>
      <c r="DR357">
        <v>2.84</v>
      </c>
      <c r="DS357">
        <v>2.84</v>
      </c>
      <c r="DT357">
        <v>14.34</v>
      </c>
      <c r="DU357">
        <v>14.34</v>
      </c>
      <c r="DV357">
        <v>70.600987624020405</v>
      </c>
    </row>
    <row r="358" spans="106:126">
      <c r="DB358" t="s">
        <v>555</v>
      </c>
      <c r="DC358" t="s">
        <v>555</v>
      </c>
      <c r="DD358" t="s">
        <v>97</v>
      </c>
      <c r="DE358">
        <v>7.2</v>
      </c>
      <c r="DF358">
        <v>7.2</v>
      </c>
      <c r="DG358">
        <v>0.22</v>
      </c>
      <c r="DH358">
        <v>0.22</v>
      </c>
      <c r="DI358">
        <v>6.02</v>
      </c>
      <c r="DJ358">
        <v>3.1680000000000001</v>
      </c>
      <c r="DK358">
        <v>3.1680000000000001</v>
      </c>
      <c r="DL358">
        <v>48.35</v>
      </c>
      <c r="DM358">
        <v>48.35</v>
      </c>
      <c r="DN358">
        <v>13.44</v>
      </c>
      <c r="DO358">
        <v>13.44</v>
      </c>
      <c r="DP358">
        <v>13.44</v>
      </c>
      <c r="DQ358">
        <v>13.44</v>
      </c>
      <c r="DR358">
        <v>2.83</v>
      </c>
      <c r="DS358">
        <v>2.83</v>
      </c>
      <c r="DT358">
        <v>15.64</v>
      </c>
      <c r="DU358">
        <v>15.64</v>
      </c>
      <c r="DV358">
        <v>77.045090885103306</v>
      </c>
    </row>
    <row r="359" spans="106:126">
      <c r="DB359" t="s">
        <v>556</v>
      </c>
      <c r="DC359" t="s">
        <v>556</v>
      </c>
      <c r="DD359" t="s">
        <v>97</v>
      </c>
      <c r="DE359">
        <v>7.2</v>
      </c>
      <c r="DF359">
        <v>7.2</v>
      </c>
      <c r="DG359">
        <v>0.26</v>
      </c>
      <c r="DH359">
        <v>0.26</v>
      </c>
      <c r="DI359">
        <v>7.04</v>
      </c>
      <c r="DJ359">
        <v>3.7440000000000002</v>
      </c>
      <c r="DK359">
        <v>3.7440000000000002</v>
      </c>
      <c r="DL359">
        <v>55.82</v>
      </c>
      <c r="DM359">
        <v>55.82</v>
      </c>
      <c r="DN359">
        <v>15.51</v>
      </c>
      <c r="DO359">
        <v>15.51</v>
      </c>
      <c r="DP359">
        <v>15.51</v>
      </c>
      <c r="DQ359">
        <v>15.51</v>
      </c>
      <c r="DR359">
        <v>2.82</v>
      </c>
      <c r="DS359">
        <v>2.82</v>
      </c>
      <c r="DT359">
        <v>18.170000000000002</v>
      </c>
      <c r="DU359">
        <v>18.170000000000002</v>
      </c>
      <c r="DV359">
        <v>89.486111310085505</v>
      </c>
    </row>
    <row r="360" spans="106:126">
      <c r="DB360" t="s">
        <v>557</v>
      </c>
      <c r="DC360" t="s">
        <v>557</v>
      </c>
      <c r="DD360" t="s">
        <v>97</v>
      </c>
      <c r="DE360">
        <v>7.2</v>
      </c>
      <c r="DF360">
        <v>7.2</v>
      </c>
      <c r="DG360">
        <v>0.28999999999999998</v>
      </c>
      <c r="DH360">
        <v>0.28999999999999998</v>
      </c>
      <c r="DI360">
        <v>7.8</v>
      </c>
      <c r="DJ360">
        <v>4.1760000000000002</v>
      </c>
      <c r="DK360">
        <v>4.1760000000000002</v>
      </c>
      <c r="DL360">
        <v>61.18</v>
      </c>
      <c r="DM360">
        <v>61.18</v>
      </c>
      <c r="DN360">
        <v>17</v>
      </c>
      <c r="DO360">
        <v>17</v>
      </c>
      <c r="DP360">
        <v>17</v>
      </c>
      <c r="DQ360">
        <v>17</v>
      </c>
      <c r="DR360">
        <v>2.8</v>
      </c>
      <c r="DS360">
        <v>2.8</v>
      </c>
      <c r="DT360">
        <v>20.010000000000002</v>
      </c>
      <c r="DU360">
        <v>20.010000000000002</v>
      </c>
      <c r="DV360">
        <v>98.391888754075296</v>
      </c>
    </row>
    <row r="361" spans="106:126">
      <c r="DB361" t="s">
        <v>558</v>
      </c>
      <c r="DC361" t="s">
        <v>558</v>
      </c>
      <c r="DD361" t="s">
        <v>97</v>
      </c>
      <c r="DE361">
        <v>7.2</v>
      </c>
      <c r="DF361">
        <v>7.2</v>
      </c>
      <c r="DG361">
        <v>0.32</v>
      </c>
      <c r="DH361">
        <v>0.32</v>
      </c>
      <c r="DI361">
        <v>8.5399999999999991</v>
      </c>
      <c r="DJ361">
        <v>4.6079999999999997</v>
      </c>
      <c r="DK361">
        <v>4.6079999999999997</v>
      </c>
      <c r="DL361">
        <v>66.319999999999993</v>
      </c>
      <c r="DM361">
        <v>66.319999999999993</v>
      </c>
      <c r="DN361">
        <v>18.43</v>
      </c>
      <c r="DO361">
        <v>18.43</v>
      </c>
      <c r="DP361">
        <v>18.43</v>
      </c>
      <c r="DQ361">
        <v>18.43</v>
      </c>
      <c r="DR361">
        <v>2.79</v>
      </c>
      <c r="DS361">
        <v>2.79</v>
      </c>
      <c r="DT361">
        <v>21.8</v>
      </c>
      <c r="DU361">
        <v>21.8</v>
      </c>
      <c r="DV361">
        <v>106.90147321556501</v>
      </c>
    </row>
    <row r="362" spans="106:126">
      <c r="DB362" t="s">
        <v>559</v>
      </c>
      <c r="DC362" t="s">
        <v>559</v>
      </c>
      <c r="DD362" t="s">
        <v>97</v>
      </c>
      <c r="DE362">
        <v>7.2</v>
      </c>
      <c r="DF362">
        <v>7.2</v>
      </c>
      <c r="DG362">
        <v>0.36</v>
      </c>
      <c r="DH362">
        <v>0.36</v>
      </c>
      <c r="DI362">
        <v>9.52</v>
      </c>
      <c r="DJ362">
        <v>5.1840000000000002</v>
      </c>
      <c r="DK362">
        <v>5.1840000000000002</v>
      </c>
      <c r="DL362">
        <v>72.86</v>
      </c>
      <c r="DM362">
        <v>72.86</v>
      </c>
      <c r="DN362">
        <v>20.239999999999998</v>
      </c>
      <c r="DO362">
        <v>20.239999999999998</v>
      </c>
      <c r="DP362">
        <v>20.239999999999998</v>
      </c>
      <c r="DQ362">
        <v>20.239999999999998</v>
      </c>
      <c r="DR362">
        <v>2.77</v>
      </c>
      <c r="DS362">
        <v>2.77</v>
      </c>
      <c r="DT362">
        <v>24.11</v>
      </c>
      <c r="DU362">
        <v>24.11</v>
      </c>
      <c r="DV362">
        <v>117.582154191144</v>
      </c>
    </row>
    <row r="363" spans="106:126">
      <c r="DB363" t="s">
        <v>560</v>
      </c>
      <c r="DC363" t="s">
        <v>560</v>
      </c>
      <c r="DD363" t="s">
        <v>97</v>
      </c>
      <c r="DE363">
        <v>7.2</v>
      </c>
      <c r="DF363">
        <v>7.2</v>
      </c>
      <c r="DG363">
        <v>0.4</v>
      </c>
      <c r="DH363">
        <v>0.4</v>
      </c>
      <c r="DI363">
        <v>10.47</v>
      </c>
      <c r="DJ363">
        <v>5.76</v>
      </c>
      <c r="DK363">
        <v>5.76</v>
      </c>
      <c r="DL363">
        <v>79.03</v>
      </c>
      <c r="DM363">
        <v>79.03</v>
      </c>
      <c r="DN363">
        <v>21.96</v>
      </c>
      <c r="DO363">
        <v>21.96</v>
      </c>
      <c r="DP363">
        <v>21.96</v>
      </c>
      <c r="DQ363">
        <v>21.96</v>
      </c>
      <c r="DR363">
        <v>2.75</v>
      </c>
      <c r="DS363">
        <v>2.75</v>
      </c>
      <c r="DT363">
        <v>26.32</v>
      </c>
      <c r="DU363">
        <v>26.32</v>
      </c>
      <c r="DV363">
        <v>127.44152983854499</v>
      </c>
    </row>
    <row r="364" spans="106:126">
      <c r="DB364" t="s">
        <v>561</v>
      </c>
      <c r="DC364" t="s">
        <v>561</v>
      </c>
      <c r="DD364" t="s">
        <v>97</v>
      </c>
      <c r="DE364">
        <v>7.2</v>
      </c>
      <c r="DF364">
        <v>7.2</v>
      </c>
      <c r="DG364">
        <v>0.45</v>
      </c>
      <c r="DH364">
        <v>0.45</v>
      </c>
      <c r="DI364">
        <v>11.63</v>
      </c>
      <c r="DJ364">
        <v>6.48</v>
      </c>
      <c r="DK364">
        <v>6.48</v>
      </c>
      <c r="DL364">
        <v>86.24</v>
      </c>
      <c r="DM364">
        <v>86.24</v>
      </c>
      <c r="DN364">
        <v>23.96</v>
      </c>
      <c r="DO364">
        <v>23.96</v>
      </c>
      <c r="DP364">
        <v>23.96</v>
      </c>
      <c r="DQ364">
        <v>23.96</v>
      </c>
      <c r="DR364">
        <v>2.72</v>
      </c>
      <c r="DS364">
        <v>2.72</v>
      </c>
      <c r="DT364">
        <v>28.97</v>
      </c>
      <c r="DU364">
        <v>28.97</v>
      </c>
      <c r="DV364">
        <v>138.512201947438</v>
      </c>
    </row>
    <row r="365" spans="106:126">
      <c r="DB365" t="s">
        <v>562</v>
      </c>
      <c r="DC365" t="s">
        <v>562</v>
      </c>
      <c r="DD365" t="s">
        <v>97</v>
      </c>
      <c r="DE365">
        <v>7.2</v>
      </c>
      <c r="DF365">
        <v>7.2</v>
      </c>
      <c r="DG365">
        <v>0.5</v>
      </c>
      <c r="DH365">
        <v>0.5</v>
      </c>
      <c r="DI365">
        <v>12.76</v>
      </c>
      <c r="DJ365">
        <v>7.2</v>
      </c>
      <c r="DK365">
        <v>7.2</v>
      </c>
      <c r="DL365">
        <v>92.91</v>
      </c>
      <c r="DM365">
        <v>92.91</v>
      </c>
      <c r="DN365">
        <v>25.81</v>
      </c>
      <c r="DO365">
        <v>25.81</v>
      </c>
      <c r="DP365">
        <v>25.81</v>
      </c>
      <c r="DQ365">
        <v>25.81</v>
      </c>
      <c r="DR365">
        <v>2.7</v>
      </c>
      <c r="DS365">
        <v>2.7</v>
      </c>
      <c r="DT365">
        <v>31.47</v>
      </c>
      <c r="DU365">
        <v>31.47</v>
      </c>
      <c r="DV365">
        <v>148.076517999088</v>
      </c>
    </row>
    <row r="366" spans="106:126">
      <c r="DB366" t="s">
        <v>563</v>
      </c>
      <c r="DC366" t="s">
        <v>563</v>
      </c>
      <c r="DD366" t="s">
        <v>97</v>
      </c>
      <c r="DE366">
        <v>7.2</v>
      </c>
      <c r="DF366">
        <v>7.2</v>
      </c>
      <c r="DG366">
        <v>0.54</v>
      </c>
      <c r="DH366">
        <v>0.54</v>
      </c>
      <c r="DI366">
        <v>13.63</v>
      </c>
      <c r="DJ366">
        <v>7.7759999999999998</v>
      </c>
      <c r="DK366">
        <v>7.7759999999999998</v>
      </c>
      <c r="DL366">
        <v>97.87</v>
      </c>
      <c r="DM366">
        <v>97.87</v>
      </c>
      <c r="DN366">
        <v>27.19</v>
      </c>
      <c r="DO366">
        <v>27.19</v>
      </c>
      <c r="DP366">
        <v>27.19</v>
      </c>
      <c r="DQ366">
        <v>27.19</v>
      </c>
      <c r="DR366">
        <v>2.68</v>
      </c>
      <c r="DS366">
        <v>2.68</v>
      </c>
      <c r="DT366">
        <v>33.380000000000003</v>
      </c>
      <c r="DU366">
        <v>33.380000000000003</v>
      </c>
      <c r="DV366">
        <v>154.56578626284499</v>
      </c>
    </row>
    <row r="367" spans="106:126">
      <c r="DB367" t="s">
        <v>564</v>
      </c>
      <c r="DC367" t="s">
        <v>564</v>
      </c>
      <c r="DD367" t="s">
        <v>97</v>
      </c>
      <c r="DE367">
        <v>7.2</v>
      </c>
      <c r="DF367">
        <v>7.2</v>
      </c>
      <c r="DG367">
        <v>0.6</v>
      </c>
      <c r="DH367">
        <v>0.6</v>
      </c>
      <c r="DI367">
        <v>14.91</v>
      </c>
      <c r="DJ367">
        <v>8.64</v>
      </c>
      <c r="DK367">
        <v>8.64</v>
      </c>
      <c r="DL367">
        <v>104.71</v>
      </c>
      <c r="DM367">
        <v>104.71</v>
      </c>
      <c r="DN367">
        <v>29.09</v>
      </c>
      <c r="DO367">
        <v>29.09</v>
      </c>
      <c r="DP367">
        <v>29.09</v>
      </c>
      <c r="DQ367">
        <v>29.09</v>
      </c>
      <c r="DR367">
        <v>2.65</v>
      </c>
      <c r="DS367">
        <v>2.65</v>
      </c>
      <c r="DT367">
        <v>36.08</v>
      </c>
      <c r="DU367">
        <v>36.08</v>
      </c>
      <c r="DV367">
        <v>162.23461648669999</v>
      </c>
    </row>
    <row r="368" spans="106:126">
      <c r="DB368" t="s">
        <v>565</v>
      </c>
      <c r="DC368" t="s">
        <v>565</v>
      </c>
      <c r="DD368" t="s">
        <v>97</v>
      </c>
      <c r="DE368">
        <v>7.2</v>
      </c>
      <c r="DF368">
        <v>7.2</v>
      </c>
      <c r="DG368">
        <v>0.8</v>
      </c>
      <c r="DH368">
        <v>0.8</v>
      </c>
      <c r="DI368">
        <v>18.829999999999998</v>
      </c>
      <c r="DJ368">
        <v>11.52</v>
      </c>
      <c r="DK368">
        <v>11.52</v>
      </c>
      <c r="DL368">
        <v>122.48</v>
      </c>
      <c r="DM368">
        <v>122.48</v>
      </c>
      <c r="DN368">
        <v>34.03</v>
      </c>
      <c r="DO368">
        <v>34.03</v>
      </c>
      <c r="DP368">
        <v>34.03</v>
      </c>
      <c r="DQ368">
        <v>34.03</v>
      </c>
      <c r="DR368">
        <v>2.5499999999999998</v>
      </c>
      <c r="DS368">
        <v>2.5499999999999998</v>
      </c>
      <c r="DT368">
        <v>43.72</v>
      </c>
      <c r="DU368">
        <v>43.72</v>
      </c>
      <c r="DV368">
        <v>168.14138985228999</v>
      </c>
    </row>
    <row r="369" spans="106:126">
      <c r="DB369" t="s">
        <v>554</v>
      </c>
      <c r="DC369" t="s">
        <v>554</v>
      </c>
      <c r="DD369" t="s">
        <v>97</v>
      </c>
      <c r="DE369">
        <v>7.2</v>
      </c>
      <c r="DF369">
        <v>7.2</v>
      </c>
      <c r="DG369">
        <v>0.2</v>
      </c>
      <c r="DH369">
        <v>0.2</v>
      </c>
      <c r="DI369">
        <v>5.5</v>
      </c>
      <c r="DJ369">
        <v>2.88</v>
      </c>
      <c r="DK369">
        <v>2.88</v>
      </c>
      <c r="DL369">
        <v>44.46</v>
      </c>
      <c r="DM369">
        <v>44.46</v>
      </c>
      <c r="DN369">
        <v>12.35</v>
      </c>
      <c r="DO369">
        <v>12.35</v>
      </c>
      <c r="DP369">
        <v>12.35</v>
      </c>
      <c r="DQ369">
        <v>12.35</v>
      </c>
      <c r="DR369">
        <v>2.84</v>
      </c>
      <c r="DS369">
        <v>2.84</v>
      </c>
      <c r="DT369">
        <v>14.34</v>
      </c>
      <c r="DU369">
        <v>14.34</v>
      </c>
      <c r="DV369">
        <v>70.600987624020405</v>
      </c>
    </row>
    <row r="370" spans="106:126">
      <c r="DB370" t="s">
        <v>555</v>
      </c>
      <c r="DC370" t="s">
        <v>555</v>
      </c>
      <c r="DD370" t="s">
        <v>97</v>
      </c>
      <c r="DE370">
        <v>7.2</v>
      </c>
      <c r="DF370">
        <v>7.2</v>
      </c>
      <c r="DG370">
        <v>0.22</v>
      </c>
      <c r="DH370">
        <v>0.22</v>
      </c>
      <c r="DI370">
        <v>6.02</v>
      </c>
      <c r="DJ370">
        <v>3.1680000000000001</v>
      </c>
      <c r="DK370">
        <v>3.1680000000000001</v>
      </c>
      <c r="DL370">
        <v>48.35</v>
      </c>
      <c r="DM370">
        <v>48.35</v>
      </c>
      <c r="DN370">
        <v>13.44</v>
      </c>
      <c r="DO370">
        <v>13.44</v>
      </c>
      <c r="DP370">
        <v>13.44</v>
      </c>
      <c r="DQ370">
        <v>13.44</v>
      </c>
      <c r="DR370">
        <v>2.83</v>
      </c>
      <c r="DS370">
        <v>2.83</v>
      </c>
      <c r="DT370">
        <v>15.64</v>
      </c>
      <c r="DU370">
        <v>15.64</v>
      </c>
      <c r="DV370">
        <v>77.045090885103306</v>
      </c>
    </row>
    <row r="371" spans="106:126">
      <c r="DB371" t="s">
        <v>566</v>
      </c>
      <c r="DC371" t="s">
        <v>566</v>
      </c>
      <c r="DD371" t="s">
        <v>97</v>
      </c>
      <c r="DE371">
        <v>7.5</v>
      </c>
      <c r="DF371">
        <v>7.5</v>
      </c>
      <c r="DG371">
        <v>0.26</v>
      </c>
      <c r="DH371">
        <v>0.26</v>
      </c>
      <c r="DI371">
        <v>7.36</v>
      </c>
      <c r="DJ371">
        <v>3.9</v>
      </c>
      <c r="DK371">
        <v>3.9</v>
      </c>
      <c r="DL371">
        <v>63.48</v>
      </c>
      <c r="DM371">
        <v>63.48</v>
      </c>
      <c r="DN371">
        <v>16.93</v>
      </c>
      <c r="DO371">
        <v>16.93</v>
      </c>
      <c r="DP371">
        <v>16.93</v>
      </c>
      <c r="DQ371">
        <v>16.93</v>
      </c>
      <c r="DR371">
        <v>2.94</v>
      </c>
      <c r="DS371">
        <v>2.94</v>
      </c>
      <c r="DT371">
        <v>19.809999999999999</v>
      </c>
      <c r="DU371">
        <v>19.809999999999999</v>
      </c>
      <c r="DV371">
        <v>101.621099630549</v>
      </c>
    </row>
    <row r="372" spans="106:126">
      <c r="DB372" t="s">
        <v>567</v>
      </c>
      <c r="DC372" t="s">
        <v>567</v>
      </c>
      <c r="DD372" t="s">
        <v>97</v>
      </c>
      <c r="DE372">
        <v>7.5</v>
      </c>
      <c r="DF372">
        <v>7.5</v>
      </c>
      <c r="DG372">
        <v>0.28999999999999998</v>
      </c>
      <c r="DH372">
        <v>0.28999999999999998</v>
      </c>
      <c r="DI372">
        <v>8.15</v>
      </c>
      <c r="DJ372">
        <v>4.3499999999999996</v>
      </c>
      <c r="DK372">
        <v>4.3499999999999996</v>
      </c>
      <c r="DL372">
        <v>69.62</v>
      </c>
      <c r="DM372">
        <v>69.62</v>
      </c>
      <c r="DN372">
        <v>18.57</v>
      </c>
      <c r="DO372">
        <v>18.57</v>
      </c>
      <c r="DP372">
        <v>18.57</v>
      </c>
      <c r="DQ372">
        <v>18.57</v>
      </c>
      <c r="DR372">
        <v>2.92</v>
      </c>
      <c r="DS372">
        <v>2.92</v>
      </c>
      <c r="DT372">
        <v>21.82</v>
      </c>
      <c r="DU372">
        <v>21.82</v>
      </c>
      <c r="DV372">
        <v>111.843311879067</v>
      </c>
    </row>
    <row r="373" spans="106:126">
      <c r="DB373" t="s">
        <v>568</v>
      </c>
      <c r="DC373" t="s">
        <v>568</v>
      </c>
      <c r="DD373" t="s">
        <v>97</v>
      </c>
      <c r="DE373">
        <v>7.5</v>
      </c>
      <c r="DF373">
        <v>7.5</v>
      </c>
      <c r="DG373">
        <v>0.32</v>
      </c>
      <c r="DH373">
        <v>0.32</v>
      </c>
      <c r="DI373">
        <v>8.93</v>
      </c>
      <c r="DJ373">
        <v>4.8</v>
      </c>
      <c r="DK373">
        <v>4.8</v>
      </c>
      <c r="DL373">
        <v>75.53</v>
      </c>
      <c r="DM373">
        <v>75.53</v>
      </c>
      <c r="DN373">
        <v>20.149999999999999</v>
      </c>
      <c r="DO373">
        <v>20.149999999999999</v>
      </c>
      <c r="DP373">
        <v>20.149999999999999</v>
      </c>
      <c r="DQ373">
        <v>20.149999999999999</v>
      </c>
      <c r="DR373">
        <v>2.91</v>
      </c>
      <c r="DS373">
        <v>2.91</v>
      </c>
      <c r="DT373">
        <v>23.79</v>
      </c>
      <c r="DU373">
        <v>23.79</v>
      </c>
      <c r="DV373">
        <v>121.647644277415</v>
      </c>
    </row>
    <row r="374" spans="106:126">
      <c r="DB374" t="s">
        <v>569</v>
      </c>
      <c r="DC374" t="s">
        <v>569</v>
      </c>
      <c r="DD374" t="s">
        <v>97</v>
      </c>
      <c r="DE374">
        <v>7.5</v>
      </c>
      <c r="DF374">
        <v>7.5</v>
      </c>
      <c r="DG374">
        <v>0.36</v>
      </c>
      <c r="DH374">
        <v>0.36</v>
      </c>
      <c r="DI374">
        <v>9.9499999999999993</v>
      </c>
      <c r="DJ374">
        <v>5.4</v>
      </c>
      <c r="DK374">
        <v>5.4</v>
      </c>
      <c r="DL374">
        <v>83.06</v>
      </c>
      <c r="DM374">
        <v>83.06</v>
      </c>
      <c r="DN374">
        <v>22.15</v>
      </c>
      <c r="DO374">
        <v>22.15</v>
      </c>
      <c r="DP374">
        <v>22.15</v>
      </c>
      <c r="DQ374">
        <v>22.15</v>
      </c>
      <c r="DR374">
        <v>2.89</v>
      </c>
      <c r="DS374">
        <v>2.89</v>
      </c>
      <c r="DT374">
        <v>26.32</v>
      </c>
      <c r="DU374">
        <v>26.32</v>
      </c>
      <c r="DV374">
        <v>134.01865528692201</v>
      </c>
    </row>
    <row r="375" spans="106:126">
      <c r="DB375" t="s">
        <v>570</v>
      </c>
      <c r="DC375" t="s">
        <v>570</v>
      </c>
      <c r="DD375" t="s">
        <v>97</v>
      </c>
      <c r="DE375">
        <v>7.5</v>
      </c>
      <c r="DF375">
        <v>7.5</v>
      </c>
      <c r="DG375">
        <v>0.4</v>
      </c>
      <c r="DH375">
        <v>0.4</v>
      </c>
      <c r="DI375">
        <v>10.95</v>
      </c>
      <c r="DJ375">
        <v>6</v>
      </c>
      <c r="DK375">
        <v>6</v>
      </c>
      <c r="DL375">
        <v>90.19</v>
      </c>
      <c r="DM375">
        <v>90.19</v>
      </c>
      <c r="DN375">
        <v>24.06</v>
      </c>
      <c r="DO375">
        <v>24.06</v>
      </c>
      <c r="DP375">
        <v>24.06</v>
      </c>
      <c r="DQ375">
        <v>24.06</v>
      </c>
      <c r="DR375">
        <v>2.87</v>
      </c>
      <c r="DS375">
        <v>2.87</v>
      </c>
      <c r="DT375">
        <v>28.76</v>
      </c>
      <c r="DU375">
        <v>28.76</v>
      </c>
      <c r="DV375">
        <v>145.52425675433801</v>
      </c>
    </row>
    <row r="376" spans="106:126">
      <c r="DB376" t="s">
        <v>571</v>
      </c>
      <c r="DC376" t="s">
        <v>571</v>
      </c>
      <c r="DD376" t="s">
        <v>97</v>
      </c>
      <c r="DE376">
        <v>7.5</v>
      </c>
      <c r="DF376">
        <v>7.5</v>
      </c>
      <c r="DG376">
        <v>0.45</v>
      </c>
      <c r="DH376">
        <v>0.45</v>
      </c>
      <c r="DI376">
        <v>12.17</v>
      </c>
      <c r="DJ376">
        <v>6.75</v>
      </c>
      <c r="DK376">
        <v>6.75</v>
      </c>
      <c r="DL376">
        <v>98.55</v>
      </c>
      <c r="DM376">
        <v>98.55</v>
      </c>
      <c r="DN376">
        <v>26.28</v>
      </c>
      <c r="DO376">
        <v>26.28</v>
      </c>
      <c r="DP376">
        <v>26.28</v>
      </c>
      <c r="DQ376">
        <v>26.28</v>
      </c>
      <c r="DR376">
        <v>2.85</v>
      </c>
      <c r="DS376">
        <v>2.85</v>
      </c>
      <c r="DT376">
        <v>31.68</v>
      </c>
      <c r="DU376">
        <v>31.68</v>
      </c>
      <c r="DV376">
        <v>158.5855053205</v>
      </c>
    </row>
    <row r="377" spans="106:126">
      <c r="DB377" t="s">
        <v>572</v>
      </c>
      <c r="DC377" t="s">
        <v>572</v>
      </c>
      <c r="DD377" t="s">
        <v>97</v>
      </c>
      <c r="DE377">
        <v>7.5</v>
      </c>
      <c r="DF377">
        <v>7.5</v>
      </c>
      <c r="DG377">
        <v>0.5</v>
      </c>
      <c r="DH377">
        <v>0.5</v>
      </c>
      <c r="DI377">
        <v>13.36</v>
      </c>
      <c r="DJ377">
        <v>7.5</v>
      </c>
      <c r="DK377">
        <v>7.5</v>
      </c>
      <c r="DL377">
        <v>106.33</v>
      </c>
      <c r="DM377">
        <v>106.33</v>
      </c>
      <c r="DN377">
        <v>28.36</v>
      </c>
      <c r="DO377">
        <v>28.36</v>
      </c>
      <c r="DP377">
        <v>28.36</v>
      </c>
      <c r="DQ377">
        <v>28.36</v>
      </c>
      <c r="DR377">
        <v>2.82</v>
      </c>
      <c r="DS377">
        <v>2.82</v>
      </c>
      <c r="DT377">
        <v>34.46</v>
      </c>
      <c r="DU377">
        <v>34.46</v>
      </c>
      <c r="DV377">
        <v>170.05907931593799</v>
      </c>
    </row>
    <row r="378" spans="106:126">
      <c r="DB378" t="s">
        <v>573</v>
      </c>
      <c r="DC378" t="s">
        <v>573</v>
      </c>
      <c r="DD378" t="s">
        <v>97</v>
      </c>
      <c r="DE378">
        <v>7.5</v>
      </c>
      <c r="DF378">
        <v>7.5</v>
      </c>
      <c r="DG378">
        <v>0.54</v>
      </c>
      <c r="DH378">
        <v>0.54</v>
      </c>
      <c r="DI378">
        <v>14.28</v>
      </c>
      <c r="DJ378">
        <v>8.1</v>
      </c>
      <c r="DK378">
        <v>8.1</v>
      </c>
      <c r="DL378">
        <v>112.13</v>
      </c>
      <c r="DM378">
        <v>112.13</v>
      </c>
      <c r="DN378">
        <v>29.91</v>
      </c>
      <c r="DO378">
        <v>29.91</v>
      </c>
      <c r="DP378">
        <v>29.91</v>
      </c>
      <c r="DQ378">
        <v>29.91</v>
      </c>
      <c r="DR378">
        <v>2.8</v>
      </c>
      <c r="DS378">
        <v>2.8</v>
      </c>
      <c r="DT378">
        <v>36.58</v>
      </c>
      <c r="DU378">
        <v>36.58</v>
      </c>
      <c r="DV378">
        <v>178.012023813833</v>
      </c>
    </row>
    <row r="379" spans="106:126">
      <c r="DB379" t="s">
        <v>574</v>
      </c>
      <c r="DC379" t="s">
        <v>574</v>
      </c>
      <c r="DD379" t="s">
        <v>97</v>
      </c>
      <c r="DE379">
        <v>7.5</v>
      </c>
      <c r="DF379">
        <v>7.5</v>
      </c>
      <c r="DG379">
        <v>0.6</v>
      </c>
      <c r="DH379">
        <v>0.6</v>
      </c>
      <c r="DI379">
        <v>15.63</v>
      </c>
      <c r="DJ379">
        <v>9</v>
      </c>
      <c r="DK379">
        <v>9</v>
      </c>
      <c r="DL379">
        <v>120.16</v>
      </c>
      <c r="DM379">
        <v>120.16</v>
      </c>
      <c r="DN379">
        <v>32.049999999999997</v>
      </c>
      <c r="DO379">
        <v>32.049999999999997</v>
      </c>
      <c r="DP379">
        <v>32.049999999999997</v>
      </c>
      <c r="DQ379">
        <v>32.049999999999997</v>
      </c>
      <c r="DR379">
        <v>2.77</v>
      </c>
      <c r="DS379">
        <v>2.77</v>
      </c>
      <c r="DT379">
        <v>39.58</v>
      </c>
      <c r="DU379">
        <v>39.58</v>
      </c>
      <c r="DV379">
        <v>187.75990964866801</v>
      </c>
    </row>
    <row r="380" spans="106:126">
      <c r="DB380" t="s">
        <v>575</v>
      </c>
      <c r="DC380" t="s">
        <v>575</v>
      </c>
      <c r="DD380" t="s">
        <v>97</v>
      </c>
      <c r="DE380">
        <v>8</v>
      </c>
      <c r="DF380">
        <v>8</v>
      </c>
      <c r="DG380">
        <v>0.2</v>
      </c>
      <c r="DH380">
        <v>0.2</v>
      </c>
      <c r="DI380">
        <v>6.14</v>
      </c>
      <c r="DJ380">
        <v>3.2</v>
      </c>
      <c r="DK380">
        <v>3.2</v>
      </c>
      <c r="DL380">
        <v>61.7</v>
      </c>
      <c r="DM380">
        <v>61.7</v>
      </c>
      <c r="DN380">
        <v>15.43</v>
      </c>
      <c r="DO380">
        <v>15.43</v>
      </c>
      <c r="DP380">
        <v>15.43</v>
      </c>
      <c r="DQ380">
        <v>15.43</v>
      </c>
      <c r="DR380">
        <v>3.17</v>
      </c>
      <c r="DS380">
        <v>3.17</v>
      </c>
      <c r="DT380">
        <v>17.850000000000001</v>
      </c>
      <c r="DU380">
        <v>17.850000000000001</v>
      </c>
      <c r="DV380">
        <v>97.575466133948396</v>
      </c>
    </row>
    <row r="381" spans="106:126">
      <c r="DB381" t="s">
        <v>576</v>
      </c>
      <c r="DC381" t="s">
        <v>576</v>
      </c>
      <c r="DD381" t="s">
        <v>97</v>
      </c>
      <c r="DE381">
        <v>8</v>
      </c>
      <c r="DF381">
        <v>8</v>
      </c>
      <c r="DG381">
        <v>0.22</v>
      </c>
      <c r="DH381">
        <v>0.22</v>
      </c>
      <c r="DI381">
        <v>6.72</v>
      </c>
      <c r="DJ381">
        <v>3.52</v>
      </c>
      <c r="DK381">
        <v>3.52</v>
      </c>
      <c r="DL381">
        <v>67.17</v>
      </c>
      <c r="DM381">
        <v>67.17</v>
      </c>
      <c r="DN381">
        <v>16.8</v>
      </c>
      <c r="DO381">
        <v>16.8</v>
      </c>
      <c r="DP381">
        <v>16.8</v>
      </c>
      <c r="DQ381">
        <v>16.8</v>
      </c>
      <c r="DR381">
        <v>3.16</v>
      </c>
      <c r="DS381">
        <v>3.16</v>
      </c>
      <c r="DT381">
        <v>19.489999999999998</v>
      </c>
      <c r="DU381">
        <v>19.489999999999998</v>
      </c>
      <c r="DV381">
        <v>106.613117632041</v>
      </c>
    </row>
    <row r="382" spans="106:126">
      <c r="DB382" t="s">
        <v>577</v>
      </c>
      <c r="DC382" t="s">
        <v>577</v>
      </c>
      <c r="DD382" t="s">
        <v>97</v>
      </c>
      <c r="DE382">
        <v>8</v>
      </c>
      <c r="DF382">
        <v>8</v>
      </c>
      <c r="DG382">
        <v>0.26</v>
      </c>
      <c r="DH382">
        <v>0.26</v>
      </c>
      <c r="DI382">
        <v>7.88</v>
      </c>
      <c r="DJ382">
        <v>4.16</v>
      </c>
      <c r="DK382">
        <v>4.16</v>
      </c>
      <c r="DL382">
        <v>77.75</v>
      </c>
      <c r="DM382">
        <v>77.75</v>
      </c>
      <c r="DN382">
        <v>19.440000000000001</v>
      </c>
      <c r="DO382">
        <v>19.440000000000001</v>
      </c>
      <c r="DP382">
        <v>19.440000000000001</v>
      </c>
      <c r="DQ382">
        <v>19.440000000000001</v>
      </c>
      <c r="DR382">
        <v>3.14</v>
      </c>
      <c r="DS382">
        <v>3.14</v>
      </c>
      <c r="DT382">
        <v>22.68</v>
      </c>
      <c r="DU382">
        <v>22.68</v>
      </c>
      <c r="DV382">
        <v>124.172354704116</v>
      </c>
    </row>
    <row r="383" spans="106:126">
      <c r="DB383" t="s">
        <v>578</v>
      </c>
      <c r="DC383" t="s">
        <v>578</v>
      </c>
      <c r="DD383" t="s">
        <v>97</v>
      </c>
      <c r="DE383">
        <v>8</v>
      </c>
      <c r="DF383">
        <v>8</v>
      </c>
      <c r="DG383">
        <v>0.28999999999999998</v>
      </c>
      <c r="DH383">
        <v>0.28999999999999998</v>
      </c>
      <c r="DI383">
        <v>8.73</v>
      </c>
      <c r="DJ383">
        <v>4.6399999999999997</v>
      </c>
      <c r="DK383">
        <v>4.6399999999999997</v>
      </c>
      <c r="DL383">
        <v>85.36</v>
      </c>
      <c r="DM383">
        <v>85.36</v>
      </c>
      <c r="DN383">
        <v>21.34</v>
      </c>
      <c r="DO383">
        <v>21.34</v>
      </c>
      <c r="DP383">
        <v>21.34</v>
      </c>
      <c r="DQ383">
        <v>21.34</v>
      </c>
      <c r="DR383">
        <v>3.13</v>
      </c>
      <c r="DS383">
        <v>3.13</v>
      </c>
      <c r="DT383">
        <v>25.02</v>
      </c>
      <c r="DU383">
        <v>25.02</v>
      </c>
      <c r="DV383">
        <v>136.85269162818199</v>
      </c>
    </row>
    <row r="384" spans="106:126">
      <c r="DB384" t="s">
        <v>579</v>
      </c>
      <c r="DC384" t="s">
        <v>579</v>
      </c>
      <c r="DD384" t="s">
        <v>97</v>
      </c>
      <c r="DE384">
        <v>8</v>
      </c>
      <c r="DF384">
        <v>8</v>
      </c>
      <c r="DG384">
        <v>0.32</v>
      </c>
      <c r="DH384">
        <v>0.32</v>
      </c>
      <c r="DI384">
        <v>9.57</v>
      </c>
      <c r="DJ384">
        <v>5.12</v>
      </c>
      <c r="DK384">
        <v>5.12</v>
      </c>
      <c r="DL384">
        <v>92.71</v>
      </c>
      <c r="DM384">
        <v>92.71</v>
      </c>
      <c r="DN384">
        <v>23.18</v>
      </c>
      <c r="DO384">
        <v>23.18</v>
      </c>
      <c r="DP384">
        <v>23.18</v>
      </c>
      <c r="DQ384">
        <v>23.18</v>
      </c>
      <c r="DR384">
        <v>3.11</v>
      </c>
      <c r="DS384">
        <v>3.11</v>
      </c>
      <c r="DT384">
        <v>27.29</v>
      </c>
      <c r="DU384">
        <v>27.29</v>
      </c>
      <c r="DV384">
        <v>149.078158558778</v>
      </c>
    </row>
    <row r="385" spans="106:126">
      <c r="DB385" t="s">
        <v>580</v>
      </c>
      <c r="DC385" t="s">
        <v>580</v>
      </c>
      <c r="DD385" t="s">
        <v>97</v>
      </c>
      <c r="DE385">
        <v>8</v>
      </c>
      <c r="DF385">
        <v>8</v>
      </c>
      <c r="DG385">
        <v>0.36</v>
      </c>
      <c r="DH385">
        <v>0.36</v>
      </c>
      <c r="DI385">
        <v>10.67</v>
      </c>
      <c r="DJ385">
        <v>5.76</v>
      </c>
      <c r="DK385">
        <v>5.76</v>
      </c>
      <c r="DL385">
        <v>102.11</v>
      </c>
      <c r="DM385">
        <v>102.11</v>
      </c>
      <c r="DN385">
        <v>25.53</v>
      </c>
      <c r="DO385">
        <v>25.53</v>
      </c>
      <c r="DP385">
        <v>25.53</v>
      </c>
      <c r="DQ385">
        <v>25.53</v>
      </c>
      <c r="DR385">
        <v>3.09</v>
      </c>
      <c r="DS385">
        <v>3.09</v>
      </c>
      <c r="DT385">
        <v>30.23</v>
      </c>
      <c r="DU385">
        <v>30.23</v>
      </c>
      <c r="DV385">
        <v>164.61609113754801</v>
      </c>
    </row>
    <row r="386" spans="106:126">
      <c r="DB386" t="s">
        <v>581</v>
      </c>
      <c r="DC386" t="s">
        <v>581</v>
      </c>
      <c r="DD386" t="s">
        <v>97</v>
      </c>
      <c r="DE386">
        <v>8</v>
      </c>
      <c r="DF386">
        <v>8</v>
      </c>
      <c r="DG386">
        <v>0.4</v>
      </c>
      <c r="DH386">
        <v>0.4</v>
      </c>
      <c r="DI386">
        <v>11.75</v>
      </c>
      <c r="DJ386">
        <v>6.4</v>
      </c>
      <c r="DK386">
        <v>6.4</v>
      </c>
      <c r="DL386">
        <v>111.04</v>
      </c>
      <c r="DM386">
        <v>111.04</v>
      </c>
      <c r="DN386">
        <v>27.76</v>
      </c>
      <c r="DO386">
        <v>27.76</v>
      </c>
      <c r="DP386">
        <v>27.76</v>
      </c>
      <c r="DQ386">
        <v>27.76</v>
      </c>
      <c r="DR386">
        <v>3.07</v>
      </c>
      <c r="DS386">
        <v>3.07</v>
      </c>
      <c r="DT386">
        <v>33.07</v>
      </c>
      <c r="DU386">
        <v>33.07</v>
      </c>
      <c r="DV386">
        <v>179.21376953382699</v>
      </c>
    </row>
    <row r="387" spans="106:126">
      <c r="DB387" t="s">
        <v>582</v>
      </c>
      <c r="DC387" t="s">
        <v>582</v>
      </c>
      <c r="DD387" t="s">
        <v>97</v>
      </c>
      <c r="DE387">
        <v>8</v>
      </c>
      <c r="DF387">
        <v>8</v>
      </c>
      <c r="DG387">
        <v>0.45</v>
      </c>
      <c r="DH387">
        <v>0.45</v>
      </c>
      <c r="DI387">
        <v>13.07</v>
      </c>
      <c r="DJ387">
        <v>7.2</v>
      </c>
      <c r="DK387">
        <v>7.2</v>
      </c>
      <c r="DL387">
        <v>121.58</v>
      </c>
      <c r="DM387">
        <v>121.58</v>
      </c>
      <c r="DN387">
        <v>30.4</v>
      </c>
      <c r="DO387">
        <v>30.4</v>
      </c>
      <c r="DP387">
        <v>30.4</v>
      </c>
      <c r="DQ387">
        <v>30.4</v>
      </c>
      <c r="DR387">
        <v>3.05</v>
      </c>
      <c r="DS387">
        <v>3.05</v>
      </c>
      <c r="DT387">
        <v>36.479999999999997</v>
      </c>
      <c r="DU387">
        <v>36.479999999999997</v>
      </c>
      <c r="DV387">
        <v>196.02645021204299</v>
      </c>
    </row>
    <row r="388" spans="106:126">
      <c r="DB388" t="s">
        <v>583</v>
      </c>
      <c r="DC388" t="s">
        <v>583</v>
      </c>
      <c r="DD388" t="s">
        <v>97</v>
      </c>
      <c r="DE388">
        <v>8</v>
      </c>
      <c r="DF388">
        <v>8</v>
      </c>
      <c r="DG388">
        <v>0.5</v>
      </c>
      <c r="DH388">
        <v>0.5</v>
      </c>
      <c r="DI388">
        <v>14.36</v>
      </c>
      <c r="DJ388">
        <v>8</v>
      </c>
      <c r="DK388">
        <v>8</v>
      </c>
      <c r="DL388">
        <v>131.44</v>
      </c>
      <c r="DM388">
        <v>131.44</v>
      </c>
      <c r="DN388">
        <v>32.86</v>
      </c>
      <c r="DO388">
        <v>32.86</v>
      </c>
      <c r="DP388">
        <v>32.86</v>
      </c>
      <c r="DQ388">
        <v>32.86</v>
      </c>
      <c r="DR388">
        <v>3.03</v>
      </c>
      <c r="DS388">
        <v>3.03</v>
      </c>
      <c r="DT388">
        <v>39.74</v>
      </c>
      <c r="DU388">
        <v>39.74</v>
      </c>
      <c r="DV388">
        <v>211.11446722669999</v>
      </c>
    </row>
    <row r="389" spans="106:126">
      <c r="DB389" t="s">
        <v>584</v>
      </c>
      <c r="DC389" t="s">
        <v>584</v>
      </c>
      <c r="DD389" t="s">
        <v>97</v>
      </c>
      <c r="DE389">
        <v>8</v>
      </c>
      <c r="DF389">
        <v>8</v>
      </c>
      <c r="DG389">
        <v>0.54</v>
      </c>
      <c r="DH389">
        <v>0.54</v>
      </c>
      <c r="DI389">
        <v>15.36</v>
      </c>
      <c r="DJ389">
        <v>8.64</v>
      </c>
      <c r="DK389">
        <v>8.64</v>
      </c>
      <c r="DL389">
        <v>138.85</v>
      </c>
      <c r="DM389">
        <v>138.85</v>
      </c>
      <c r="DN389">
        <v>34.72</v>
      </c>
      <c r="DO389">
        <v>34.72</v>
      </c>
      <c r="DP389">
        <v>34.72</v>
      </c>
      <c r="DQ389">
        <v>34.72</v>
      </c>
      <c r="DR389">
        <v>3.01</v>
      </c>
      <c r="DS389">
        <v>3.01</v>
      </c>
      <c r="DT389">
        <v>42.23</v>
      </c>
      <c r="DU389">
        <v>42.23</v>
      </c>
      <c r="DV389">
        <v>221.85207421467399</v>
      </c>
    </row>
    <row r="390" spans="106:126">
      <c r="DB390" t="s">
        <v>585</v>
      </c>
      <c r="DC390" t="s">
        <v>585</v>
      </c>
      <c r="DD390" t="s">
        <v>97</v>
      </c>
      <c r="DE390">
        <v>8</v>
      </c>
      <c r="DF390">
        <v>8</v>
      </c>
      <c r="DG390">
        <v>0.6</v>
      </c>
      <c r="DH390">
        <v>0.6</v>
      </c>
      <c r="DI390">
        <v>16.829999999999998</v>
      </c>
      <c r="DJ390">
        <v>9.6</v>
      </c>
      <c r="DK390">
        <v>9.6</v>
      </c>
      <c r="DL390">
        <v>149.18</v>
      </c>
      <c r="DM390">
        <v>149.18</v>
      </c>
      <c r="DN390">
        <v>37.299999999999997</v>
      </c>
      <c r="DO390">
        <v>37.299999999999997</v>
      </c>
      <c r="DP390">
        <v>37.299999999999997</v>
      </c>
      <c r="DQ390">
        <v>37.299999999999997</v>
      </c>
      <c r="DR390">
        <v>2.98</v>
      </c>
      <c r="DS390">
        <v>2.98</v>
      </c>
      <c r="DT390">
        <v>45.79</v>
      </c>
      <c r="DU390">
        <v>45.79</v>
      </c>
      <c r="DV390">
        <v>235.58266462863099</v>
      </c>
    </row>
    <row r="391" spans="106:126">
      <c r="DB391" t="s">
        <v>586</v>
      </c>
      <c r="DC391" t="s">
        <v>586</v>
      </c>
      <c r="DD391" t="s">
        <v>97</v>
      </c>
      <c r="DE391">
        <v>9.15</v>
      </c>
      <c r="DF391">
        <v>9.15</v>
      </c>
      <c r="DG391">
        <v>0.2</v>
      </c>
      <c r="DH391">
        <v>0.2</v>
      </c>
      <c r="DI391">
        <v>7.06</v>
      </c>
      <c r="DJ391">
        <v>3.66</v>
      </c>
      <c r="DK391">
        <v>3.66</v>
      </c>
      <c r="DL391">
        <v>93.52</v>
      </c>
      <c r="DM391">
        <v>93.52</v>
      </c>
      <c r="DN391">
        <v>20.45</v>
      </c>
      <c r="DO391">
        <v>20.45</v>
      </c>
      <c r="DP391">
        <v>20.45</v>
      </c>
      <c r="DQ391">
        <v>20.45</v>
      </c>
      <c r="DR391">
        <v>3.64</v>
      </c>
      <c r="DS391">
        <v>3.64</v>
      </c>
      <c r="DT391">
        <v>23.57</v>
      </c>
      <c r="DU391">
        <v>23.57</v>
      </c>
      <c r="DV391">
        <v>147.15734772979999</v>
      </c>
    </row>
    <row r="392" spans="106:126">
      <c r="DB392" t="s">
        <v>587</v>
      </c>
      <c r="DC392" t="s">
        <v>587</v>
      </c>
      <c r="DD392" t="s">
        <v>97</v>
      </c>
      <c r="DE392">
        <v>9.15</v>
      </c>
      <c r="DF392">
        <v>9.15</v>
      </c>
      <c r="DG392">
        <v>0.22</v>
      </c>
      <c r="DH392">
        <v>0.22</v>
      </c>
      <c r="DI392">
        <v>7.73</v>
      </c>
      <c r="DJ392">
        <v>4.0259999999999998</v>
      </c>
      <c r="DK392">
        <v>4.0259999999999998</v>
      </c>
      <c r="DL392">
        <v>101.95</v>
      </c>
      <c r="DM392">
        <v>101.95</v>
      </c>
      <c r="DN392">
        <v>22.29</v>
      </c>
      <c r="DO392">
        <v>22.29</v>
      </c>
      <c r="DP392">
        <v>22.29</v>
      </c>
      <c r="DQ392">
        <v>22.29</v>
      </c>
      <c r="DR392">
        <v>3.63</v>
      </c>
      <c r="DS392">
        <v>3.63</v>
      </c>
      <c r="DT392">
        <v>25.76</v>
      </c>
      <c r="DU392">
        <v>25.76</v>
      </c>
      <c r="DV392">
        <v>160.991277238842</v>
      </c>
    </row>
    <row r="393" spans="106:126">
      <c r="DB393" t="s">
        <v>588</v>
      </c>
      <c r="DC393" t="s">
        <v>588</v>
      </c>
      <c r="DD393" t="s">
        <v>97</v>
      </c>
      <c r="DE393">
        <v>9.15</v>
      </c>
      <c r="DF393">
        <v>9.15</v>
      </c>
      <c r="DG393">
        <v>0.26</v>
      </c>
      <c r="DH393">
        <v>0.26</v>
      </c>
      <c r="DI393">
        <v>9.07</v>
      </c>
      <c r="DJ393">
        <v>4.758</v>
      </c>
      <c r="DK393">
        <v>4.758</v>
      </c>
      <c r="DL393">
        <v>118.32</v>
      </c>
      <c r="DM393">
        <v>118.32</v>
      </c>
      <c r="DN393">
        <v>25.87</v>
      </c>
      <c r="DO393">
        <v>25.87</v>
      </c>
      <c r="DP393">
        <v>25.87</v>
      </c>
      <c r="DQ393">
        <v>25.87</v>
      </c>
      <c r="DR393">
        <v>3.61</v>
      </c>
      <c r="DS393">
        <v>3.61</v>
      </c>
      <c r="DT393">
        <v>30.04</v>
      </c>
      <c r="DU393">
        <v>30.04</v>
      </c>
      <c r="DV393">
        <v>188.03735042965101</v>
      </c>
    </row>
    <row r="394" spans="106:126">
      <c r="DB394" t="s">
        <v>589</v>
      </c>
      <c r="DC394" t="s">
        <v>589</v>
      </c>
      <c r="DD394" t="s">
        <v>97</v>
      </c>
      <c r="DE394">
        <v>9.15</v>
      </c>
      <c r="DF394">
        <v>9.15</v>
      </c>
      <c r="DG394">
        <v>0.28999999999999998</v>
      </c>
      <c r="DH394">
        <v>0.28999999999999998</v>
      </c>
      <c r="DI394">
        <v>10.06</v>
      </c>
      <c r="DJ394">
        <v>5.3070000000000004</v>
      </c>
      <c r="DK394">
        <v>5.3070000000000004</v>
      </c>
      <c r="DL394">
        <v>130.18</v>
      </c>
      <c r="DM394">
        <v>130.18</v>
      </c>
      <c r="DN394">
        <v>28.46</v>
      </c>
      <c r="DO394">
        <v>28.46</v>
      </c>
      <c r="DP394">
        <v>28.46</v>
      </c>
      <c r="DQ394">
        <v>28.46</v>
      </c>
      <c r="DR394">
        <v>3.6</v>
      </c>
      <c r="DS394">
        <v>3.6</v>
      </c>
      <c r="DT394">
        <v>33.18</v>
      </c>
      <c r="DU394">
        <v>33.18</v>
      </c>
      <c r="DV394">
        <v>207.73489217502899</v>
      </c>
    </row>
    <row r="395" spans="106:126">
      <c r="DB395" t="s">
        <v>590</v>
      </c>
      <c r="DC395" t="s">
        <v>590</v>
      </c>
      <c r="DD395" t="s">
        <v>97</v>
      </c>
      <c r="DE395">
        <v>9.15</v>
      </c>
      <c r="DF395">
        <v>9.15</v>
      </c>
      <c r="DG395">
        <v>0.32</v>
      </c>
      <c r="DH395">
        <v>0.32</v>
      </c>
      <c r="DI395">
        <v>11.04</v>
      </c>
      <c r="DJ395">
        <v>5.8559999999999999</v>
      </c>
      <c r="DK395">
        <v>5.8559999999999999</v>
      </c>
      <c r="DL395">
        <v>141.69</v>
      </c>
      <c r="DM395">
        <v>141.69</v>
      </c>
      <c r="DN395">
        <v>30.98</v>
      </c>
      <c r="DO395">
        <v>30.98</v>
      </c>
      <c r="DP395">
        <v>30.98</v>
      </c>
      <c r="DQ395">
        <v>30.98</v>
      </c>
      <c r="DR395">
        <v>3.58</v>
      </c>
      <c r="DS395">
        <v>3.58</v>
      </c>
      <c r="DT395">
        <v>36.25</v>
      </c>
      <c r="DU395">
        <v>36.25</v>
      </c>
      <c r="DV395">
        <v>226.88838568586999</v>
      </c>
    </row>
    <row r="396" spans="106:126">
      <c r="DB396" t="s">
        <v>591</v>
      </c>
      <c r="DC396" t="s">
        <v>591</v>
      </c>
      <c r="DD396" t="s">
        <v>97</v>
      </c>
      <c r="DE396">
        <v>9.15</v>
      </c>
      <c r="DF396">
        <v>9.15</v>
      </c>
      <c r="DG396">
        <v>0.36</v>
      </c>
      <c r="DH396">
        <v>0.36</v>
      </c>
      <c r="DI396">
        <v>12.32</v>
      </c>
      <c r="DJ396">
        <v>6.5880000000000001</v>
      </c>
      <c r="DK396">
        <v>6.5880000000000001</v>
      </c>
      <c r="DL396">
        <v>156.49</v>
      </c>
      <c r="DM396">
        <v>156.49</v>
      </c>
      <c r="DN396">
        <v>34.21</v>
      </c>
      <c r="DO396">
        <v>34.21</v>
      </c>
      <c r="DP396">
        <v>34.21</v>
      </c>
      <c r="DQ396">
        <v>34.21</v>
      </c>
      <c r="DR396">
        <v>3.56</v>
      </c>
      <c r="DS396">
        <v>3.56</v>
      </c>
      <c r="DT396">
        <v>40.24</v>
      </c>
      <c r="DU396">
        <v>40.24</v>
      </c>
      <c r="DV396">
        <v>251.51662010365001</v>
      </c>
    </row>
    <row r="397" spans="106:126">
      <c r="DB397" t="s">
        <v>592</v>
      </c>
      <c r="DC397" t="s">
        <v>592</v>
      </c>
      <c r="DD397" t="s">
        <v>97</v>
      </c>
      <c r="DE397">
        <v>9.15</v>
      </c>
      <c r="DF397">
        <v>9.15</v>
      </c>
      <c r="DG397">
        <v>0.4</v>
      </c>
      <c r="DH397">
        <v>0.4</v>
      </c>
      <c r="DI397">
        <v>13.59</v>
      </c>
      <c r="DJ397">
        <v>7.32</v>
      </c>
      <c r="DK397">
        <v>7.32</v>
      </c>
      <c r="DL397">
        <v>170.68</v>
      </c>
      <c r="DM397">
        <v>170.68</v>
      </c>
      <c r="DN397">
        <v>37.31</v>
      </c>
      <c r="DO397">
        <v>37.31</v>
      </c>
      <c r="DP397">
        <v>37.31</v>
      </c>
      <c r="DQ397">
        <v>37.31</v>
      </c>
      <c r="DR397">
        <v>3.54</v>
      </c>
      <c r="DS397">
        <v>3.54</v>
      </c>
      <c r="DT397">
        <v>44.12</v>
      </c>
      <c r="DU397">
        <v>44.12</v>
      </c>
      <c r="DV397">
        <v>275.02574817980297</v>
      </c>
    </row>
    <row r="398" spans="106:126">
      <c r="DB398" t="s">
        <v>593</v>
      </c>
      <c r="DC398" t="s">
        <v>593</v>
      </c>
      <c r="DD398" t="s">
        <v>97</v>
      </c>
      <c r="DE398">
        <v>9.15</v>
      </c>
      <c r="DF398">
        <v>9.15</v>
      </c>
      <c r="DG398">
        <v>0.45</v>
      </c>
      <c r="DH398">
        <v>0.45</v>
      </c>
      <c r="DI398">
        <v>15.14</v>
      </c>
      <c r="DJ398">
        <v>8.2349999999999994</v>
      </c>
      <c r="DK398">
        <v>8.2349999999999994</v>
      </c>
      <c r="DL398">
        <v>187.57</v>
      </c>
      <c r="DM398">
        <v>187.57</v>
      </c>
      <c r="DN398">
        <v>41</v>
      </c>
      <c r="DO398">
        <v>41</v>
      </c>
      <c r="DP398">
        <v>41</v>
      </c>
      <c r="DQ398">
        <v>41</v>
      </c>
      <c r="DR398">
        <v>3.52</v>
      </c>
      <c r="DS398">
        <v>3.52</v>
      </c>
      <c r="DT398">
        <v>48.79</v>
      </c>
      <c r="DU398">
        <v>48.79</v>
      </c>
      <c r="DV398">
        <v>302.70766639021298</v>
      </c>
    </row>
    <row r="399" spans="106:126">
      <c r="DB399" t="s">
        <v>594</v>
      </c>
      <c r="DC399" t="s">
        <v>594</v>
      </c>
      <c r="DD399" t="s">
        <v>97</v>
      </c>
      <c r="DE399">
        <v>9.15</v>
      </c>
      <c r="DF399">
        <v>9.15</v>
      </c>
      <c r="DG399">
        <v>0.5</v>
      </c>
      <c r="DH399">
        <v>0.5</v>
      </c>
      <c r="DI399">
        <v>16.66</v>
      </c>
      <c r="DJ399">
        <v>9.15</v>
      </c>
      <c r="DK399">
        <v>9.15</v>
      </c>
      <c r="DL399">
        <v>203.55</v>
      </c>
      <c r="DM399">
        <v>203.55</v>
      </c>
      <c r="DN399">
        <v>44.5</v>
      </c>
      <c r="DO399">
        <v>44.5</v>
      </c>
      <c r="DP399">
        <v>44.5</v>
      </c>
      <c r="DQ399">
        <v>44.5</v>
      </c>
      <c r="DR399">
        <v>3.5</v>
      </c>
      <c r="DS399">
        <v>3.5</v>
      </c>
      <c r="DT399">
        <v>53.29</v>
      </c>
      <c r="DU399">
        <v>53.29</v>
      </c>
      <c r="DV399">
        <v>328.341545845327</v>
      </c>
    </row>
    <row r="400" spans="106:126">
      <c r="DB400" t="s">
        <v>595</v>
      </c>
      <c r="DC400" t="s">
        <v>595</v>
      </c>
      <c r="DD400" t="s">
        <v>97</v>
      </c>
      <c r="DE400">
        <v>9.15</v>
      </c>
      <c r="DF400">
        <v>9.15</v>
      </c>
      <c r="DG400">
        <v>0.54</v>
      </c>
      <c r="DH400">
        <v>0.54</v>
      </c>
      <c r="DI400">
        <v>17.850000000000001</v>
      </c>
      <c r="DJ400">
        <v>9.8819999999999997</v>
      </c>
      <c r="DK400">
        <v>9.8819999999999997</v>
      </c>
      <c r="DL400">
        <v>215.68</v>
      </c>
      <c r="DM400">
        <v>215.68</v>
      </c>
      <c r="DN400">
        <v>47.15</v>
      </c>
      <c r="DO400">
        <v>47.15</v>
      </c>
      <c r="DP400">
        <v>47.15</v>
      </c>
      <c r="DQ400">
        <v>47.15</v>
      </c>
      <c r="DR400">
        <v>3.48</v>
      </c>
      <c r="DS400">
        <v>3.48</v>
      </c>
      <c r="DT400">
        <v>56.77</v>
      </c>
      <c r="DU400">
        <v>56.77</v>
      </c>
      <c r="DV400">
        <v>347.26529289930801</v>
      </c>
    </row>
    <row r="401" spans="106:126">
      <c r="DB401" t="s">
        <v>596</v>
      </c>
      <c r="DC401" t="s">
        <v>596</v>
      </c>
      <c r="DD401" t="s">
        <v>97</v>
      </c>
      <c r="DE401">
        <v>9.15</v>
      </c>
      <c r="DF401">
        <v>9.15</v>
      </c>
      <c r="DG401">
        <v>0.6</v>
      </c>
      <c r="DH401">
        <v>0.6</v>
      </c>
      <c r="DI401">
        <v>19.59</v>
      </c>
      <c r="DJ401">
        <v>10.98</v>
      </c>
      <c r="DK401">
        <v>10.98</v>
      </c>
      <c r="DL401">
        <v>232.81</v>
      </c>
      <c r="DM401">
        <v>232.81</v>
      </c>
      <c r="DN401">
        <v>50.89</v>
      </c>
      <c r="DO401">
        <v>50.89</v>
      </c>
      <c r="DP401">
        <v>50.89</v>
      </c>
      <c r="DQ401">
        <v>50.89</v>
      </c>
      <c r="DR401">
        <v>3.45</v>
      </c>
      <c r="DS401">
        <v>3.45</v>
      </c>
      <c r="DT401">
        <v>61.76</v>
      </c>
      <c r="DU401">
        <v>61.76</v>
      </c>
      <c r="DV401">
        <v>372.82354363297497</v>
      </c>
    </row>
    <row r="402" spans="106:126">
      <c r="DB402" t="s">
        <v>597</v>
      </c>
      <c r="DC402" t="s">
        <v>597</v>
      </c>
      <c r="DD402" t="s">
        <v>97</v>
      </c>
      <c r="DE402">
        <v>10</v>
      </c>
      <c r="DF402">
        <v>10</v>
      </c>
      <c r="DG402">
        <v>0.2</v>
      </c>
      <c r="DH402">
        <v>0.2</v>
      </c>
      <c r="DI402">
        <v>7.74</v>
      </c>
      <c r="DJ402">
        <v>4</v>
      </c>
      <c r="DK402">
        <v>4</v>
      </c>
      <c r="DL402">
        <v>123.01</v>
      </c>
      <c r="DM402">
        <v>123.01</v>
      </c>
      <c r="DN402">
        <v>24.61</v>
      </c>
      <c r="DO402">
        <v>24.61</v>
      </c>
      <c r="DP402">
        <v>24.61</v>
      </c>
      <c r="DQ402">
        <v>24.61</v>
      </c>
      <c r="DR402">
        <v>3.99</v>
      </c>
      <c r="DS402">
        <v>3.99</v>
      </c>
      <c r="DT402">
        <v>28.3</v>
      </c>
      <c r="DU402">
        <v>28.3</v>
      </c>
      <c r="DV402">
        <v>192.94867313210301</v>
      </c>
    </row>
    <row r="403" spans="106:126">
      <c r="DB403" t="s">
        <v>598</v>
      </c>
      <c r="DC403" t="s">
        <v>598</v>
      </c>
      <c r="DD403" t="s">
        <v>97</v>
      </c>
      <c r="DE403">
        <v>10</v>
      </c>
      <c r="DF403">
        <v>10</v>
      </c>
      <c r="DG403">
        <v>0.22</v>
      </c>
      <c r="DH403">
        <v>0.22</v>
      </c>
      <c r="DI403">
        <v>8.48</v>
      </c>
      <c r="DJ403">
        <v>4.4000000000000004</v>
      </c>
      <c r="DK403">
        <v>4.4000000000000004</v>
      </c>
      <c r="DL403">
        <v>134.19999999999999</v>
      </c>
      <c r="DM403">
        <v>134.19999999999999</v>
      </c>
      <c r="DN403">
        <v>26.84</v>
      </c>
      <c r="DO403">
        <v>26.84</v>
      </c>
      <c r="DP403">
        <v>26.84</v>
      </c>
      <c r="DQ403">
        <v>26.84</v>
      </c>
      <c r="DR403">
        <v>3.98</v>
      </c>
      <c r="DS403">
        <v>3.98</v>
      </c>
      <c r="DT403">
        <v>30.95</v>
      </c>
      <c r="DU403">
        <v>30.95</v>
      </c>
      <c r="DV403">
        <v>211.232520776109</v>
      </c>
    </row>
    <row r="404" spans="106:126">
      <c r="DB404" t="s">
        <v>599</v>
      </c>
      <c r="DC404" t="s">
        <v>599</v>
      </c>
      <c r="DD404" t="s">
        <v>97</v>
      </c>
      <c r="DE404">
        <v>10</v>
      </c>
      <c r="DF404">
        <v>10</v>
      </c>
      <c r="DG404">
        <v>0.26</v>
      </c>
      <c r="DH404">
        <v>0.26</v>
      </c>
      <c r="DI404">
        <v>9.9600000000000009</v>
      </c>
      <c r="DJ404">
        <v>5.2</v>
      </c>
      <c r="DK404">
        <v>5.2</v>
      </c>
      <c r="DL404">
        <v>156.01</v>
      </c>
      <c r="DM404">
        <v>156.01</v>
      </c>
      <c r="DN404">
        <v>31.21</v>
      </c>
      <c r="DO404">
        <v>31.21</v>
      </c>
      <c r="DP404">
        <v>31.21</v>
      </c>
      <c r="DQ404">
        <v>31.21</v>
      </c>
      <c r="DR404">
        <v>3.96</v>
      </c>
      <c r="DS404">
        <v>3.96</v>
      </c>
      <c r="DT404">
        <v>36.15</v>
      </c>
      <c r="DU404">
        <v>36.15</v>
      </c>
      <c r="DV404">
        <v>247.095159474968</v>
      </c>
    </row>
    <row r="405" spans="106:126">
      <c r="DB405" t="s">
        <v>600</v>
      </c>
      <c r="DC405" t="s">
        <v>600</v>
      </c>
      <c r="DD405" t="s">
        <v>97</v>
      </c>
      <c r="DE405">
        <v>10</v>
      </c>
      <c r="DF405">
        <v>10</v>
      </c>
      <c r="DG405">
        <v>0.28999999999999998</v>
      </c>
      <c r="DH405">
        <v>0.28999999999999998</v>
      </c>
      <c r="DI405">
        <v>11.05</v>
      </c>
      <c r="DJ405">
        <v>5.8</v>
      </c>
      <c r="DK405">
        <v>5.8</v>
      </c>
      <c r="DL405">
        <v>171.86</v>
      </c>
      <c r="DM405">
        <v>171.86</v>
      </c>
      <c r="DN405">
        <v>34.380000000000003</v>
      </c>
      <c r="DO405">
        <v>34.380000000000003</v>
      </c>
      <c r="DP405">
        <v>34.380000000000003</v>
      </c>
      <c r="DQ405">
        <v>34.380000000000003</v>
      </c>
      <c r="DR405">
        <v>3.94</v>
      </c>
      <c r="DS405">
        <v>3.94</v>
      </c>
      <c r="DT405">
        <v>39.950000000000003</v>
      </c>
      <c r="DU405">
        <v>39.950000000000003</v>
      </c>
      <c r="DV405">
        <v>273.32830718805002</v>
      </c>
    </row>
    <row r="406" spans="106:126">
      <c r="DB406" t="s">
        <v>601</v>
      </c>
      <c r="DC406" t="s">
        <v>601</v>
      </c>
      <c r="DD406" t="s">
        <v>97</v>
      </c>
      <c r="DE406">
        <v>10</v>
      </c>
      <c r="DF406">
        <v>10</v>
      </c>
      <c r="DG406">
        <v>0.32</v>
      </c>
      <c r="DH406">
        <v>0.32</v>
      </c>
      <c r="DI406">
        <v>12.13</v>
      </c>
      <c r="DJ406">
        <v>6.4</v>
      </c>
      <c r="DK406">
        <v>6.4</v>
      </c>
      <c r="DL406">
        <v>187.28</v>
      </c>
      <c r="DM406">
        <v>187.28</v>
      </c>
      <c r="DN406">
        <v>37.46</v>
      </c>
      <c r="DO406">
        <v>37.46</v>
      </c>
      <c r="DP406">
        <v>37.46</v>
      </c>
      <c r="DQ406">
        <v>37.46</v>
      </c>
      <c r="DR406">
        <v>3.93</v>
      </c>
      <c r="DS406">
        <v>3.93</v>
      </c>
      <c r="DT406">
        <v>43.69</v>
      </c>
      <c r="DU406">
        <v>43.69</v>
      </c>
      <c r="DV406">
        <v>298.947746956255</v>
      </c>
    </row>
    <row r="407" spans="106:126">
      <c r="DB407" t="s">
        <v>602</v>
      </c>
      <c r="DC407" t="s">
        <v>602</v>
      </c>
      <c r="DD407" t="s">
        <v>97</v>
      </c>
      <c r="DE407">
        <v>10</v>
      </c>
      <c r="DF407">
        <v>10</v>
      </c>
      <c r="DG407">
        <v>0.36</v>
      </c>
      <c r="DH407">
        <v>0.36</v>
      </c>
      <c r="DI407">
        <v>13.55</v>
      </c>
      <c r="DJ407">
        <v>7.2</v>
      </c>
      <c r="DK407">
        <v>7.2</v>
      </c>
      <c r="DL407">
        <v>207.19</v>
      </c>
      <c r="DM407">
        <v>207.19</v>
      </c>
      <c r="DN407">
        <v>41.44</v>
      </c>
      <c r="DO407">
        <v>41.44</v>
      </c>
      <c r="DP407">
        <v>41.44</v>
      </c>
      <c r="DQ407">
        <v>41.44</v>
      </c>
      <c r="DR407">
        <v>3.91</v>
      </c>
      <c r="DS407">
        <v>3.91</v>
      </c>
      <c r="DT407">
        <v>48.56</v>
      </c>
      <c r="DU407">
        <v>48.56</v>
      </c>
      <c r="DV407">
        <v>332.08284486111199</v>
      </c>
    </row>
    <row r="408" spans="106:126">
      <c r="DB408" t="s">
        <v>603</v>
      </c>
      <c r="DC408" t="s">
        <v>603</v>
      </c>
      <c r="DD408" t="s">
        <v>97</v>
      </c>
      <c r="DE408">
        <v>10</v>
      </c>
      <c r="DF408">
        <v>10</v>
      </c>
      <c r="DG408">
        <v>0.4</v>
      </c>
      <c r="DH408">
        <v>0.4</v>
      </c>
      <c r="DI408">
        <v>14.95</v>
      </c>
      <c r="DJ408">
        <v>8</v>
      </c>
      <c r="DK408">
        <v>8</v>
      </c>
      <c r="DL408">
        <v>226.35</v>
      </c>
      <c r="DM408">
        <v>226.35</v>
      </c>
      <c r="DN408">
        <v>45.27</v>
      </c>
      <c r="DO408">
        <v>45.27</v>
      </c>
      <c r="DP408">
        <v>45.27</v>
      </c>
      <c r="DQ408">
        <v>45.27</v>
      </c>
      <c r="DR408">
        <v>3.89</v>
      </c>
      <c r="DS408">
        <v>3.89</v>
      </c>
      <c r="DT408">
        <v>53.3</v>
      </c>
      <c r="DU408">
        <v>53.3</v>
      </c>
      <c r="DV408">
        <v>363.960348043892</v>
      </c>
    </row>
    <row r="409" spans="106:126">
      <c r="DB409" t="s">
        <v>604</v>
      </c>
      <c r="DC409" t="s">
        <v>604</v>
      </c>
      <c r="DD409" t="s">
        <v>97</v>
      </c>
      <c r="DE409">
        <v>10</v>
      </c>
      <c r="DF409">
        <v>10</v>
      </c>
      <c r="DG409">
        <v>0.45</v>
      </c>
      <c r="DH409">
        <v>0.45</v>
      </c>
      <c r="DI409">
        <v>16.670000000000002</v>
      </c>
      <c r="DJ409">
        <v>9</v>
      </c>
      <c r="DK409">
        <v>9</v>
      </c>
      <c r="DL409">
        <v>249.29</v>
      </c>
      <c r="DM409">
        <v>249.29</v>
      </c>
      <c r="DN409">
        <v>49.86</v>
      </c>
      <c r="DO409">
        <v>49.86</v>
      </c>
      <c r="DP409">
        <v>49.86</v>
      </c>
      <c r="DQ409">
        <v>49.86</v>
      </c>
      <c r="DR409">
        <v>3.87</v>
      </c>
      <c r="DS409">
        <v>3.87</v>
      </c>
      <c r="DT409">
        <v>59.04</v>
      </c>
      <c r="DU409">
        <v>59.04</v>
      </c>
      <c r="DV409">
        <v>401.89475375377901</v>
      </c>
    </row>
    <row r="410" spans="106:126">
      <c r="DB410" t="s">
        <v>605</v>
      </c>
      <c r="DC410" t="s">
        <v>605</v>
      </c>
      <c r="DD410" t="s">
        <v>97</v>
      </c>
      <c r="DE410">
        <v>10</v>
      </c>
      <c r="DF410">
        <v>10</v>
      </c>
      <c r="DG410">
        <v>0.5</v>
      </c>
      <c r="DH410">
        <v>0.5</v>
      </c>
      <c r="DI410">
        <v>18.36</v>
      </c>
      <c r="DJ410">
        <v>10</v>
      </c>
      <c r="DK410">
        <v>10</v>
      </c>
      <c r="DL410">
        <v>271.10000000000002</v>
      </c>
      <c r="DM410">
        <v>271.10000000000002</v>
      </c>
      <c r="DN410">
        <v>54.22</v>
      </c>
      <c r="DO410">
        <v>54.22</v>
      </c>
      <c r="DP410">
        <v>54.22</v>
      </c>
      <c r="DQ410">
        <v>54.22</v>
      </c>
      <c r="DR410">
        <v>3.84</v>
      </c>
      <c r="DS410">
        <v>3.84</v>
      </c>
      <c r="DT410">
        <v>64.59</v>
      </c>
      <c r="DU410">
        <v>64.59</v>
      </c>
      <c r="DV410">
        <v>437.53361702594498</v>
      </c>
    </row>
    <row r="411" spans="106:126">
      <c r="DB411" t="s">
        <v>606</v>
      </c>
      <c r="DC411" t="s">
        <v>606</v>
      </c>
      <c r="DD411" t="s">
        <v>97</v>
      </c>
      <c r="DE411">
        <v>10</v>
      </c>
      <c r="DF411">
        <v>10</v>
      </c>
      <c r="DG411">
        <v>0.54</v>
      </c>
      <c r="DH411">
        <v>0.54</v>
      </c>
      <c r="DI411">
        <v>19.68</v>
      </c>
      <c r="DJ411">
        <v>10.8</v>
      </c>
      <c r="DK411">
        <v>10.8</v>
      </c>
      <c r="DL411">
        <v>287.77</v>
      </c>
      <c r="DM411">
        <v>287.77</v>
      </c>
      <c r="DN411">
        <v>57.56</v>
      </c>
      <c r="DO411">
        <v>57.56</v>
      </c>
      <c r="DP411">
        <v>57.56</v>
      </c>
      <c r="DQ411">
        <v>57.56</v>
      </c>
      <c r="DR411">
        <v>3.82</v>
      </c>
      <c r="DS411">
        <v>3.82</v>
      </c>
      <c r="DT411">
        <v>68.89</v>
      </c>
      <c r="DU411">
        <v>68.89</v>
      </c>
      <c r="DV411">
        <v>464.27082680301601</v>
      </c>
    </row>
    <row r="412" spans="106:126">
      <c r="DB412" t="s">
        <v>607</v>
      </c>
      <c r="DC412" t="s">
        <v>607</v>
      </c>
      <c r="DD412" t="s">
        <v>97</v>
      </c>
      <c r="DE412">
        <v>10</v>
      </c>
      <c r="DF412">
        <v>10</v>
      </c>
      <c r="DG412">
        <v>0.6</v>
      </c>
      <c r="DH412">
        <v>0.6</v>
      </c>
      <c r="DI412">
        <v>21.63</v>
      </c>
      <c r="DJ412">
        <v>12</v>
      </c>
      <c r="DK412">
        <v>12</v>
      </c>
      <c r="DL412">
        <v>311.47000000000003</v>
      </c>
      <c r="DM412">
        <v>311.47000000000003</v>
      </c>
      <c r="DN412">
        <v>62.3</v>
      </c>
      <c r="DO412">
        <v>62.3</v>
      </c>
      <c r="DP412">
        <v>62.3</v>
      </c>
      <c r="DQ412">
        <v>62.3</v>
      </c>
      <c r="DR412">
        <v>3.79</v>
      </c>
      <c r="DS412">
        <v>3.79</v>
      </c>
      <c r="DT412">
        <v>75.099999999999994</v>
      </c>
      <c r="DU412">
        <v>75.099999999999994</v>
      </c>
      <c r="DV412">
        <v>501.20851064256698</v>
      </c>
    </row>
    <row r="413" spans="106:126">
      <c r="DB413" t="s">
        <v>608</v>
      </c>
      <c r="DC413" t="s">
        <v>608</v>
      </c>
      <c r="DD413" t="s">
        <v>97</v>
      </c>
      <c r="DE413">
        <v>10</v>
      </c>
      <c r="DF413">
        <v>10</v>
      </c>
      <c r="DG413">
        <v>0.7</v>
      </c>
      <c r="DH413">
        <v>0.7</v>
      </c>
      <c r="DI413">
        <v>24.78</v>
      </c>
      <c r="DJ413">
        <v>14</v>
      </c>
      <c r="DK413">
        <v>14</v>
      </c>
      <c r="DL413">
        <v>347.64</v>
      </c>
      <c r="DM413">
        <v>347.64</v>
      </c>
      <c r="DN413">
        <v>69.53</v>
      </c>
      <c r="DO413">
        <v>69.53</v>
      </c>
      <c r="DP413">
        <v>69.53</v>
      </c>
      <c r="DQ413">
        <v>69.53</v>
      </c>
      <c r="DR413">
        <v>3.75</v>
      </c>
      <c r="DS413">
        <v>3.75</v>
      </c>
      <c r="DT413">
        <v>84.84</v>
      </c>
      <c r="DU413">
        <v>84.84</v>
      </c>
      <c r="DV413">
        <v>553.59784196603903</v>
      </c>
    </row>
    <row r="414" spans="106:126">
      <c r="DB414" t="s">
        <v>609</v>
      </c>
      <c r="DC414" t="s">
        <v>609</v>
      </c>
      <c r="DD414" t="s">
        <v>97</v>
      </c>
      <c r="DE414">
        <v>10</v>
      </c>
      <c r="DF414">
        <v>10</v>
      </c>
      <c r="DG414">
        <v>0.8</v>
      </c>
      <c r="DH414">
        <v>0.8</v>
      </c>
      <c r="DI414">
        <v>27.79</v>
      </c>
      <c r="DJ414">
        <v>16</v>
      </c>
      <c r="DK414">
        <v>16</v>
      </c>
      <c r="DL414">
        <v>379.77</v>
      </c>
      <c r="DM414">
        <v>379.77</v>
      </c>
      <c r="DN414">
        <v>75.959999999999994</v>
      </c>
      <c r="DO414">
        <v>75.959999999999994</v>
      </c>
      <c r="DP414">
        <v>75.959999999999994</v>
      </c>
      <c r="DQ414">
        <v>75.959999999999994</v>
      </c>
      <c r="DR414">
        <v>3.7</v>
      </c>
      <c r="DS414">
        <v>3.7</v>
      </c>
      <c r="DT414">
        <v>93.83</v>
      </c>
      <c r="DU414">
        <v>93.83</v>
      </c>
      <c r="DV414">
        <v>593.41403543282797</v>
      </c>
    </row>
    <row r="415" spans="106:126">
      <c r="DB415" t="s">
        <v>610</v>
      </c>
      <c r="DC415" t="s">
        <v>610</v>
      </c>
      <c r="DD415" t="s">
        <v>97</v>
      </c>
      <c r="DE415">
        <v>11</v>
      </c>
      <c r="DF415">
        <v>11</v>
      </c>
      <c r="DG415">
        <v>0.26</v>
      </c>
      <c r="DH415">
        <v>0.26</v>
      </c>
      <c r="DI415">
        <v>11</v>
      </c>
      <c r="DJ415">
        <v>5.72</v>
      </c>
      <c r="DK415">
        <v>5.72</v>
      </c>
      <c r="DL415">
        <v>209.69</v>
      </c>
      <c r="DM415">
        <v>209.69</v>
      </c>
      <c r="DN415">
        <v>38.130000000000003</v>
      </c>
      <c r="DO415">
        <v>38.130000000000003</v>
      </c>
      <c r="DP415">
        <v>38.130000000000003</v>
      </c>
      <c r="DQ415">
        <v>38.130000000000003</v>
      </c>
      <c r="DR415">
        <v>4.37</v>
      </c>
      <c r="DS415">
        <v>4.37</v>
      </c>
      <c r="DT415">
        <v>44.05</v>
      </c>
      <c r="DU415">
        <v>44.05</v>
      </c>
      <c r="DV415">
        <v>330.91692630525898</v>
      </c>
    </row>
    <row r="416" spans="106:126">
      <c r="DB416" t="s">
        <v>611</v>
      </c>
      <c r="DC416" t="s">
        <v>611</v>
      </c>
      <c r="DD416" t="s">
        <v>97</v>
      </c>
      <c r="DE416">
        <v>11</v>
      </c>
      <c r="DF416">
        <v>11</v>
      </c>
      <c r="DG416">
        <v>0.28999999999999998</v>
      </c>
      <c r="DH416">
        <v>0.28999999999999998</v>
      </c>
      <c r="DI416">
        <v>12.21</v>
      </c>
      <c r="DJ416">
        <v>6.38</v>
      </c>
      <c r="DK416">
        <v>6.38</v>
      </c>
      <c r="DL416">
        <v>231.26</v>
      </c>
      <c r="DM416">
        <v>231.26</v>
      </c>
      <c r="DN416">
        <v>42.05</v>
      </c>
      <c r="DO416">
        <v>42.05</v>
      </c>
      <c r="DP416">
        <v>42.05</v>
      </c>
      <c r="DQ416">
        <v>42.05</v>
      </c>
      <c r="DR416">
        <v>4.3499999999999996</v>
      </c>
      <c r="DS416">
        <v>4.3499999999999996</v>
      </c>
      <c r="DT416">
        <v>48.73</v>
      </c>
      <c r="DU416">
        <v>48.73</v>
      </c>
      <c r="DV416">
        <v>366.473422621993</v>
      </c>
    </row>
    <row r="417" spans="106:126">
      <c r="DB417" t="s">
        <v>612</v>
      </c>
      <c r="DC417" t="s">
        <v>612</v>
      </c>
      <c r="DD417" t="s">
        <v>97</v>
      </c>
      <c r="DE417">
        <v>11</v>
      </c>
      <c r="DF417">
        <v>11</v>
      </c>
      <c r="DG417">
        <v>0.32</v>
      </c>
      <c r="DH417">
        <v>0.32</v>
      </c>
      <c r="DI417">
        <v>13.41</v>
      </c>
      <c r="DJ417">
        <v>7.04</v>
      </c>
      <c r="DK417">
        <v>7.04</v>
      </c>
      <c r="DL417">
        <v>252.31</v>
      </c>
      <c r="DM417">
        <v>252.31</v>
      </c>
      <c r="DN417">
        <v>45.88</v>
      </c>
      <c r="DO417">
        <v>45.88</v>
      </c>
      <c r="DP417">
        <v>45.88</v>
      </c>
      <c r="DQ417">
        <v>45.88</v>
      </c>
      <c r="DR417">
        <v>4.34</v>
      </c>
      <c r="DS417">
        <v>4.34</v>
      </c>
      <c r="DT417">
        <v>53.33</v>
      </c>
      <c r="DU417">
        <v>53.33</v>
      </c>
      <c r="DV417">
        <v>401.33012251119999</v>
      </c>
    </row>
    <row r="418" spans="106:126">
      <c r="DB418" t="s">
        <v>613</v>
      </c>
      <c r="DC418" t="s">
        <v>613</v>
      </c>
      <c r="DD418" t="s">
        <v>97</v>
      </c>
      <c r="DE418">
        <v>11</v>
      </c>
      <c r="DF418">
        <v>11</v>
      </c>
      <c r="DG418">
        <v>0.36</v>
      </c>
      <c r="DH418">
        <v>0.36</v>
      </c>
      <c r="DI418">
        <v>14.99</v>
      </c>
      <c r="DJ418">
        <v>7.92</v>
      </c>
      <c r="DK418">
        <v>7.92</v>
      </c>
      <c r="DL418">
        <v>279.58</v>
      </c>
      <c r="DM418">
        <v>279.58</v>
      </c>
      <c r="DN418">
        <v>50.84</v>
      </c>
      <c r="DO418">
        <v>50.84</v>
      </c>
      <c r="DP418">
        <v>50.84</v>
      </c>
      <c r="DQ418">
        <v>50.84</v>
      </c>
      <c r="DR418">
        <v>4.32</v>
      </c>
      <c r="DS418">
        <v>4.32</v>
      </c>
      <c r="DT418">
        <v>59.34</v>
      </c>
      <c r="DU418">
        <v>59.34</v>
      </c>
      <c r="DV418">
        <v>446.64064380703701</v>
      </c>
    </row>
    <row r="419" spans="106:126">
      <c r="DB419" t="s">
        <v>614</v>
      </c>
      <c r="DC419" t="s">
        <v>614</v>
      </c>
      <c r="DD419" t="s">
        <v>97</v>
      </c>
      <c r="DE419">
        <v>11</v>
      </c>
      <c r="DF419">
        <v>11</v>
      </c>
      <c r="DG419">
        <v>0.4</v>
      </c>
      <c r="DH419">
        <v>0.4</v>
      </c>
      <c r="DI419">
        <v>16.55</v>
      </c>
      <c r="DJ419">
        <v>8.8000000000000007</v>
      </c>
      <c r="DK419">
        <v>8.8000000000000007</v>
      </c>
      <c r="DL419">
        <v>305.94</v>
      </c>
      <c r="DM419">
        <v>305.94</v>
      </c>
      <c r="DN419">
        <v>55.63</v>
      </c>
      <c r="DO419">
        <v>55.63</v>
      </c>
      <c r="DP419">
        <v>55.63</v>
      </c>
      <c r="DQ419">
        <v>55.63</v>
      </c>
      <c r="DR419">
        <v>4.3</v>
      </c>
      <c r="DS419">
        <v>4.3</v>
      </c>
      <c r="DT419">
        <v>65.209999999999994</v>
      </c>
      <c r="DU419">
        <v>65.209999999999994</v>
      </c>
      <c r="DV419">
        <v>490.52356015363199</v>
      </c>
    </row>
    <row r="420" spans="106:126">
      <c r="DB420" t="s">
        <v>615</v>
      </c>
      <c r="DC420" t="s">
        <v>615</v>
      </c>
      <c r="DD420" t="s">
        <v>97</v>
      </c>
      <c r="DE420">
        <v>11</v>
      </c>
      <c r="DF420">
        <v>11</v>
      </c>
      <c r="DG420">
        <v>0.45</v>
      </c>
      <c r="DH420">
        <v>0.45</v>
      </c>
      <c r="DI420">
        <v>18.47</v>
      </c>
      <c r="DJ420">
        <v>9.9</v>
      </c>
      <c r="DK420">
        <v>9.9</v>
      </c>
      <c r="DL420">
        <v>337.63</v>
      </c>
      <c r="DM420">
        <v>337.63</v>
      </c>
      <c r="DN420">
        <v>61.39</v>
      </c>
      <c r="DO420">
        <v>61.39</v>
      </c>
      <c r="DP420">
        <v>61.39</v>
      </c>
      <c r="DQ420">
        <v>61.39</v>
      </c>
      <c r="DR420">
        <v>4.28</v>
      </c>
      <c r="DS420">
        <v>4.28</v>
      </c>
      <c r="DT420">
        <v>72.349999999999994</v>
      </c>
      <c r="DU420">
        <v>72.349999999999994</v>
      </c>
      <c r="DV420">
        <v>543.21044517008397</v>
      </c>
    </row>
    <row r="421" spans="106:126">
      <c r="DB421" t="s">
        <v>616</v>
      </c>
      <c r="DC421" t="s">
        <v>616</v>
      </c>
      <c r="DD421" t="s">
        <v>97</v>
      </c>
      <c r="DE421">
        <v>11</v>
      </c>
      <c r="DF421">
        <v>11</v>
      </c>
      <c r="DG421">
        <v>0.5</v>
      </c>
      <c r="DH421">
        <v>0.5</v>
      </c>
      <c r="DI421">
        <v>20.36</v>
      </c>
      <c r="DJ421">
        <v>11</v>
      </c>
      <c r="DK421">
        <v>11</v>
      </c>
      <c r="DL421">
        <v>367.95</v>
      </c>
      <c r="DM421">
        <v>367.95</v>
      </c>
      <c r="DN421">
        <v>66.900000000000006</v>
      </c>
      <c r="DO421">
        <v>66.900000000000006</v>
      </c>
      <c r="DP421">
        <v>66.900000000000006</v>
      </c>
      <c r="DQ421">
        <v>66.900000000000006</v>
      </c>
      <c r="DR421">
        <v>4.25</v>
      </c>
      <c r="DS421">
        <v>4.25</v>
      </c>
      <c r="DT421">
        <v>79.27</v>
      </c>
      <c r="DU421">
        <v>79.27</v>
      </c>
      <c r="DV421">
        <v>593.30051641401099</v>
      </c>
    </row>
    <row r="422" spans="106:126">
      <c r="DB422" t="s">
        <v>617</v>
      </c>
      <c r="DC422" t="s">
        <v>617</v>
      </c>
      <c r="DD422" t="s">
        <v>97</v>
      </c>
      <c r="DE422">
        <v>11</v>
      </c>
      <c r="DF422">
        <v>11</v>
      </c>
      <c r="DG422">
        <v>0.54</v>
      </c>
      <c r="DH422">
        <v>0.54</v>
      </c>
      <c r="DI422">
        <v>21.84</v>
      </c>
      <c r="DJ422">
        <v>11.88</v>
      </c>
      <c r="DK422">
        <v>11.88</v>
      </c>
      <c r="DL422">
        <v>391.23</v>
      </c>
      <c r="DM422">
        <v>391.23</v>
      </c>
      <c r="DN422">
        <v>71.14</v>
      </c>
      <c r="DO422">
        <v>71.14</v>
      </c>
      <c r="DP422">
        <v>71.14</v>
      </c>
      <c r="DQ422">
        <v>71.14</v>
      </c>
      <c r="DR422">
        <v>4.2300000000000004</v>
      </c>
      <c r="DS422">
        <v>4.2300000000000004</v>
      </c>
      <c r="DT422">
        <v>84.65</v>
      </c>
      <c r="DU422">
        <v>84.65</v>
      </c>
      <c r="DV422">
        <v>631.36783497415797</v>
      </c>
    </row>
    <row r="423" spans="106:126">
      <c r="DB423" t="s">
        <v>618</v>
      </c>
      <c r="DC423" t="s">
        <v>618</v>
      </c>
      <c r="DD423" t="s">
        <v>97</v>
      </c>
      <c r="DE423">
        <v>11</v>
      </c>
      <c r="DF423">
        <v>11</v>
      </c>
      <c r="DG423">
        <v>0.6</v>
      </c>
      <c r="DH423">
        <v>0.6</v>
      </c>
      <c r="DI423">
        <v>24.03</v>
      </c>
      <c r="DJ423">
        <v>13.2</v>
      </c>
      <c r="DK423">
        <v>13.2</v>
      </c>
      <c r="DL423">
        <v>424.57</v>
      </c>
      <c r="DM423">
        <v>424.57</v>
      </c>
      <c r="DN423">
        <v>77.2</v>
      </c>
      <c r="DO423">
        <v>77.2</v>
      </c>
      <c r="DP423">
        <v>77.2</v>
      </c>
      <c r="DQ423">
        <v>77.2</v>
      </c>
      <c r="DR423">
        <v>4.2</v>
      </c>
      <c r="DS423">
        <v>4.2</v>
      </c>
      <c r="DT423">
        <v>92.46</v>
      </c>
      <c r="DU423">
        <v>92.46</v>
      </c>
      <c r="DV423">
        <v>684.88993035867895</v>
      </c>
    </row>
    <row r="424" spans="106:126">
      <c r="DB424" t="s">
        <v>619</v>
      </c>
      <c r="DC424" t="s">
        <v>619</v>
      </c>
      <c r="DD424" t="s">
        <v>97</v>
      </c>
      <c r="DE424">
        <v>11</v>
      </c>
      <c r="DF424">
        <v>11</v>
      </c>
      <c r="DG424">
        <v>0.7</v>
      </c>
      <c r="DH424">
        <v>0.7</v>
      </c>
      <c r="DI424">
        <v>27.58</v>
      </c>
      <c r="DJ424">
        <v>15.4</v>
      </c>
      <c r="DK424">
        <v>15.4</v>
      </c>
      <c r="DL424">
        <v>475.98</v>
      </c>
      <c r="DM424">
        <v>475.98</v>
      </c>
      <c r="DN424">
        <v>86.55</v>
      </c>
      <c r="DO424">
        <v>86.55</v>
      </c>
      <c r="DP424">
        <v>86.55</v>
      </c>
      <c r="DQ424">
        <v>86.55</v>
      </c>
      <c r="DR424">
        <v>4.1500000000000004</v>
      </c>
      <c r="DS424">
        <v>4.1500000000000004</v>
      </c>
      <c r="DT424">
        <v>104.79</v>
      </c>
      <c r="DU424">
        <v>104.79</v>
      </c>
      <c r="DV424">
        <v>763.72613098022202</v>
      </c>
    </row>
    <row r="425" spans="106:126">
      <c r="DB425" t="s">
        <v>620</v>
      </c>
      <c r="DC425" t="s">
        <v>620</v>
      </c>
      <c r="DD425" t="s">
        <v>97</v>
      </c>
      <c r="DE425">
        <v>11</v>
      </c>
      <c r="DF425">
        <v>11</v>
      </c>
      <c r="DG425">
        <v>0.8</v>
      </c>
      <c r="DH425">
        <v>0.8</v>
      </c>
      <c r="DI425">
        <v>30.99</v>
      </c>
      <c r="DJ425">
        <v>17.600000000000001</v>
      </c>
      <c r="DK425">
        <v>17.600000000000001</v>
      </c>
      <c r="DL425">
        <v>522.39</v>
      </c>
      <c r="DM425">
        <v>522.39</v>
      </c>
      <c r="DN425">
        <v>94.98</v>
      </c>
      <c r="DO425">
        <v>94.98</v>
      </c>
      <c r="DP425">
        <v>94.98</v>
      </c>
      <c r="DQ425">
        <v>94.98</v>
      </c>
      <c r="DR425">
        <v>4.1100000000000003</v>
      </c>
      <c r="DS425">
        <v>4.1100000000000003</v>
      </c>
      <c r="DT425">
        <v>116.29</v>
      </c>
      <c r="DU425">
        <v>116.29</v>
      </c>
      <c r="DV425">
        <v>828.32167871739205</v>
      </c>
    </row>
    <row r="426" spans="106:126">
      <c r="DB426" t="s">
        <v>621</v>
      </c>
      <c r="DC426" t="s">
        <v>621</v>
      </c>
      <c r="DD426" t="s">
        <v>97</v>
      </c>
      <c r="DE426">
        <v>12</v>
      </c>
      <c r="DF426">
        <v>12</v>
      </c>
      <c r="DG426">
        <v>0.26</v>
      </c>
      <c r="DH426">
        <v>0.26</v>
      </c>
      <c r="DI426">
        <v>12.04</v>
      </c>
      <c r="DJ426">
        <v>6.24</v>
      </c>
      <c r="DK426">
        <v>6.24</v>
      </c>
      <c r="DL426">
        <v>274.44</v>
      </c>
      <c r="DM426">
        <v>274.44</v>
      </c>
      <c r="DN426">
        <v>45.74</v>
      </c>
      <c r="DO426">
        <v>45.74</v>
      </c>
      <c r="DP426">
        <v>45.74</v>
      </c>
      <c r="DQ426">
        <v>45.74</v>
      </c>
      <c r="DR426">
        <v>4.7699999999999996</v>
      </c>
      <c r="DS426">
        <v>4.7699999999999996</v>
      </c>
      <c r="DT426">
        <v>52.73</v>
      </c>
      <c r="DU426">
        <v>52.73</v>
      </c>
      <c r="DV426">
        <v>431.72546240899197</v>
      </c>
    </row>
    <row r="427" spans="106:126">
      <c r="DB427" t="s">
        <v>622</v>
      </c>
      <c r="DC427" t="s">
        <v>622</v>
      </c>
      <c r="DD427" t="s">
        <v>97</v>
      </c>
      <c r="DE427">
        <v>12</v>
      </c>
      <c r="DF427">
        <v>12</v>
      </c>
      <c r="DG427">
        <v>0.28999999999999998</v>
      </c>
      <c r="DH427">
        <v>0.28999999999999998</v>
      </c>
      <c r="DI427">
        <v>13.37</v>
      </c>
      <c r="DJ427">
        <v>6.96</v>
      </c>
      <c r="DK427">
        <v>6.96</v>
      </c>
      <c r="DL427">
        <v>302.98</v>
      </c>
      <c r="DM427">
        <v>302.98</v>
      </c>
      <c r="DN427">
        <v>50.5</v>
      </c>
      <c r="DO427">
        <v>50.5</v>
      </c>
      <c r="DP427">
        <v>50.5</v>
      </c>
      <c r="DQ427">
        <v>50.5</v>
      </c>
      <c r="DR427">
        <v>4.76</v>
      </c>
      <c r="DS427">
        <v>4.76</v>
      </c>
      <c r="DT427">
        <v>58.37</v>
      </c>
      <c r="DU427">
        <v>58.37</v>
      </c>
      <c r="DV427">
        <v>478.54315883339501</v>
      </c>
    </row>
    <row r="428" spans="106:126">
      <c r="DB428" t="s">
        <v>623</v>
      </c>
      <c r="DC428" t="s">
        <v>623</v>
      </c>
      <c r="DD428" t="s">
        <v>97</v>
      </c>
      <c r="DE428">
        <v>12</v>
      </c>
      <c r="DF428">
        <v>12</v>
      </c>
      <c r="DG428">
        <v>0.32</v>
      </c>
      <c r="DH428">
        <v>0.32</v>
      </c>
      <c r="DI428">
        <v>14.69</v>
      </c>
      <c r="DJ428">
        <v>7.68</v>
      </c>
      <c r="DK428">
        <v>7.68</v>
      </c>
      <c r="DL428">
        <v>330.88</v>
      </c>
      <c r="DM428">
        <v>330.88</v>
      </c>
      <c r="DN428">
        <v>55.15</v>
      </c>
      <c r="DO428">
        <v>55.15</v>
      </c>
      <c r="DP428">
        <v>55.15</v>
      </c>
      <c r="DQ428">
        <v>55.15</v>
      </c>
      <c r="DR428">
        <v>4.75</v>
      </c>
      <c r="DS428">
        <v>4.75</v>
      </c>
      <c r="DT428">
        <v>63.93</v>
      </c>
      <c r="DU428">
        <v>63.93</v>
      </c>
      <c r="DV428">
        <v>524.57046017213702</v>
      </c>
    </row>
    <row r="429" spans="106:126">
      <c r="DB429" t="s">
        <v>624</v>
      </c>
      <c r="DC429" t="s">
        <v>624</v>
      </c>
      <c r="DD429" t="s">
        <v>97</v>
      </c>
      <c r="DE429">
        <v>12</v>
      </c>
      <c r="DF429">
        <v>12</v>
      </c>
      <c r="DG429">
        <v>0.36</v>
      </c>
      <c r="DH429">
        <v>0.36</v>
      </c>
      <c r="DI429">
        <v>16.43</v>
      </c>
      <c r="DJ429">
        <v>8.64</v>
      </c>
      <c r="DK429">
        <v>8.64</v>
      </c>
      <c r="DL429">
        <v>367.12</v>
      </c>
      <c r="DM429">
        <v>367.12</v>
      </c>
      <c r="DN429">
        <v>61.19</v>
      </c>
      <c r="DO429">
        <v>61.19</v>
      </c>
      <c r="DP429">
        <v>61.19</v>
      </c>
      <c r="DQ429">
        <v>61.19</v>
      </c>
      <c r="DR429">
        <v>4.7300000000000004</v>
      </c>
      <c r="DS429">
        <v>4.7300000000000004</v>
      </c>
      <c r="DT429">
        <v>71.209999999999994</v>
      </c>
      <c r="DU429">
        <v>71.209999999999994</v>
      </c>
      <c r="DV429">
        <v>584.62725313346505</v>
      </c>
    </row>
    <row r="430" spans="106:126">
      <c r="DB430" t="s">
        <v>625</v>
      </c>
      <c r="DC430" t="s">
        <v>625</v>
      </c>
      <c r="DD430" t="s">
        <v>97</v>
      </c>
      <c r="DE430">
        <v>12</v>
      </c>
      <c r="DF430">
        <v>12</v>
      </c>
      <c r="DG430">
        <v>0.4</v>
      </c>
      <c r="DH430">
        <v>0.4</v>
      </c>
      <c r="DI430">
        <v>18.149999999999999</v>
      </c>
      <c r="DJ430">
        <v>9.6</v>
      </c>
      <c r="DK430">
        <v>9.6</v>
      </c>
      <c r="DL430">
        <v>402.28</v>
      </c>
      <c r="DM430">
        <v>402.28</v>
      </c>
      <c r="DN430">
        <v>67.05</v>
      </c>
      <c r="DO430">
        <v>67.05</v>
      </c>
      <c r="DP430">
        <v>67.05</v>
      </c>
      <c r="DQ430">
        <v>67.05</v>
      </c>
      <c r="DR430">
        <v>4.71</v>
      </c>
      <c r="DS430">
        <v>4.71</v>
      </c>
      <c r="DT430">
        <v>78.33</v>
      </c>
      <c r="DU430">
        <v>78.33</v>
      </c>
      <c r="DV430">
        <v>643.07862427429302</v>
      </c>
    </row>
    <row r="431" spans="106:126">
      <c r="DB431" t="s">
        <v>626</v>
      </c>
      <c r="DC431" t="s">
        <v>626</v>
      </c>
      <c r="DD431" t="s">
        <v>97</v>
      </c>
      <c r="DE431">
        <v>12</v>
      </c>
      <c r="DF431">
        <v>12</v>
      </c>
      <c r="DG431">
        <v>0.45</v>
      </c>
      <c r="DH431">
        <v>0.45</v>
      </c>
      <c r="DI431">
        <v>20.27</v>
      </c>
      <c r="DJ431">
        <v>10.8</v>
      </c>
      <c r="DK431">
        <v>10.8</v>
      </c>
      <c r="DL431">
        <v>444.7</v>
      </c>
      <c r="DM431">
        <v>444.7</v>
      </c>
      <c r="DN431">
        <v>74.12</v>
      </c>
      <c r="DO431">
        <v>74.12</v>
      </c>
      <c r="DP431">
        <v>74.12</v>
      </c>
      <c r="DQ431">
        <v>74.12</v>
      </c>
      <c r="DR431">
        <v>4.68</v>
      </c>
      <c r="DS431">
        <v>4.68</v>
      </c>
      <c r="DT431">
        <v>87.01</v>
      </c>
      <c r="DU431">
        <v>87.01</v>
      </c>
      <c r="DV431">
        <v>713.71108945899198</v>
      </c>
    </row>
    <row r="432" spans="106:126">
      <c r="DB432" t="s">
        <v>627</v>
      </c>
      <c r="DC432" t="s">
        <v>627</v>
      </c>
      <c r="DD432" t="s">
        <v>97</v>
      </c>
      <c r="DE432">
        <v>12</v>
      </c>
      <c r="DF432">
        <v>12</v>
      </c>
      <c r="DG432">
        <v>0.5</v>
      </c>
      <c r="DH432">
        <v>0.5</v>
      </c>
      <c r="DI432">
        <v>22.36</v>
      </c>
      <c r="DJ432">
        <v>12</v>
      </c>
      <c r="DK432">
        <v>12</v>
      </c>
      <c r="DL432">
        <v>485.47</v>
      </c>
      <c r="DM432">
        <v>485.47</v>
      </c>
      <c r="DN432">
        <v>80.92</v>
      </c>
      <c r="DO432">
        <v>80.92</v>
      </c>
      <c r="DP432">
        <v>80.92</v>
      </c>
      <c r="DQ432">
        <v>80.92</v>
      </c>
      <c r="DR432">
        <v>4.66</v>
      </c>
      <c r="DS432">
        <v>4.66</v>
      </c>
      <c r="DT432">
        <v>95.45</v>
      </c>
      <c r="DU432">
        <v>95.45</v>
      </c>
      <c r="DV432">
        <v>781.43402548147799</v>
      </c>
    </row>
    <row r="433" spans="106:126">
      <c r="DB433" t="s">
        <v>628</v>
      </c>
      <c r="DC433" t="s">
        <v>628</v>
      </c>
      <c r="DD433" t="s">
        <v>97</v>
      </c>
      <c r="DE433">
        <v>12</v>
      </c>
      <c r="DF433">
        <v>12</v>
      </c>
      <c r="DG433">
        <v>0.54</v>
      </c>
      <c r="DH433">
        <v>0.54</v>
      </c>
      <c r="DI433">
        <v>24</v>
      </c>
      <c r="DJ433">
        <v>12.96</v>
      </c>
      <c r="DK433">
        <v>12.96</v>
      </c>
      <c r="DL433">
        <v>516.91999999999996</v>
      </c>
      <c r="DM433">
        <v>516.91999999999996</v>
      </c>
      <c r="DN433">
        <v>86.16</v>
      </c>
      <c r="DO433">
        <v>86.16</v>
      </c>
      <c r="DP433">
        <v>86.16</v>
      </c>
      <c r="DQ433">
        <v>86.16</v>
      </c>
      <c r="DR433">
        <v>4.6399999999999997</v>
      </c>
      <c r="DS433">
        <v>4.6399999999999997</v>
      </c>
      <c r="DT433">
        <v>102.03</v>
      </c>
      <c r="DU433">
        <v>102.03</v>
      </c>
      <c r="DV433">
        <v>833.36896138383702</v>
      </c>
    </row>
    <row r="434" spans="106:126">
      <c r="DB434" t="s">
        <v>629</v>
      </c>
      <c r="DC434" t="s">
        <v>629</v>
      </c>
      <c r="DD434" t="s">
        <v>97</v>
      </c>
      <c r="DE434">
        <v>12</v>
      </c>
      <c r="DF434">
        <v>12</v>
      </c>
      <c r="DG434">
        <v>0.6</v>
      </c>
      <c r="DH434">
        <v>0.6</v>
      </c>
      <c r="DI434">
        <v>26.43</v>
      </c>
      <c r="DJ434">
        <v>14.4</v>
      </c>
      <c r="DK434">
        <v>14.4</v>
      </c>
      <c r="DL434">
        <v>562.16</v>
      </c>
      <c r="DM434">
        <v>562.16</v>
      </c>
      <c r="DN434">
        <v>93.7</v>
      </c>
      <c r="DO434">
        <v>93.7</v>
      </c>
      <c r="DP434">
        <v>93.7</v>
      </c>
      <c r="DQ434">
        <v>93.7</v>
      </c>
      <c r="DR434">
        <v>4.6100000000000003</v>
      </c>
      <c r="DS434">
        <v>4.6100000000000003</v>
      </c>
      <c r="DT434">
        <v>111.61</v>
      </c>
      <c r="DU434">
        <v>111.61</v>
      </c>
      <c r="DV434">
        <v>907.26970826499996</v>
      </c>
    </row>
    <row r="435" spans="106:126">
      <c r="DB435" t="s">
        <v>630</v>
      </c>
      <c r="DC435" t="s">
        <v>630</v>
      </c>
      <c r="DD435" t="s">
        <v>97</v>
      </c>
      <c r="DE435">
        <v>12</v>
      </c>
      <c r="DF435">
        <v>12</v>
      </c>
      <c r="DG435">
        <v>0.7</v>
      </c>
      <c r="DH435">
        <v>0.7</v>
      </c>
      <c r="DI435">
        <v>30.38</v>
      </c>
      <c r="DJ435">
        <v>16.8</v>
      </c>
      <c r="DK435">
        <v>16.8</v>
      </c>
      <c r="DL435">
        <v>632.54</v>
      </c>
      <c r="DM435">
        <v>632.54</v>
      </c>
      <c r="DN435">
        <v>105.43</v>
      </c>
      <c r="DO435">
        <v>105.43</v>
      </c>
      <c r="DP435">
        <v>105.43</v>
      </c>
      <c r="DQ435">
        <v>105.43</v>
      </c>
      <c r="DR435">
        <v>4.5599999999999996</v>
      </c>
      <c r="DS435">
        <v>4.5599999999999996</v>
      </c>
      <c r="DT435">
        <v>126.84</v>
      </c>
      <c r="DU435">
        <v>126.84</v>
      </c>
      <c r="DV435">
        <v>1018.8494679773</v>
      </c>
    </row>
    <row r="436" spans="106:126">
      <c r="DB436" t="s">
        <v>631</v>
      </c>
      <c r="DC436" t="s">
        <v>631</v>
      </c>
      <c r="DD436" t="s">
        <v>97</v>
      </c>
      <c r="DE436">
        <v>12</v>
      </c>
      <c r="DF436">
        <v>12</v>
      </c>
      <c r="DG436">
        <v>0.8</v>
      </c>
      <c r="DH436">
        <v>0.8</v>
      </c>
      <c r="DI436">
        <v>34.19</v>
      </c>
      <c r="DJ436">
        <v>19.2</v>
      </c>
      <c r="DK436">
        <v>19.2</v>
      </c>
      <c r="DL436">
        <v>696.82</v>
      </c>
      <c r="DM436">
        <v>696.82</v>
      </c>
      <c r="DN436">
        <v>116.14</v>
      </c>
      <c r="DO436">
        <v>116.14</v>
      </c>
      <c r="DP436">
        <v>116.14</v>
      </c>
      <c r="DQ436">
        <v>116.14</v>
      </c>
      <c r="DR436">
        <v>4.51</v>
      </c>
      <c r="DS436">
        <v>4.51</v>
      </c>
      <c r="DT436">
        <v>141.13999999999999</v>
      </c>
      <c r="DU436">
        <v>141.13999999999999</v>
      </c>
      <c r="DV436">
        <v>1114.4991822049301</v>
      </c>
    </row>
    <row r="437" spans="106:126">
      <c r="DB437" t="s">
        <v>632</v>
      </c>
      <c r="DC437" t="s">
        <v>632</v>
      </c>
      <c r="DD437" t="s">
        <v>97</v>
      </c>
      <c r="DE437">
        <v>12.5</v>
      </c>
      <c r="DF437">
        <v>12.5</v>
      </c>
      <c r="DG437">
        <v>0.26</v>
      </c>
      <c r="DH437">
        <v>0.26</v>
      </c>
      <c r="DI437">
        <v>12.56</v>
      </c>
      <c r="DJ437">
        <v>6.5</v>
      </c>
      <c r="DK437">
        <v>6.5</v>
      </c>
      <c r="DL437">
        <v>311.3</v>
      </c>
      <c r="DM437">
        <v>311.3</v>
      </c>
      <c r="DN437">
        <v>49.81</v>
      </c>
      <c r="DO437">
        <v>49.81</v>
      </c>
      <c r="DP437">
        <v>49.81</v>
      </c>
      <c r="DQ437">
        <v>49.81</v>
      </c>
      <c r="DR437">
        <v>4.9800000000000004</v>
      </c>
      <c r="DS437">
        <v>4.9800000000000004</v>
      </c>
      <c r="DT437">
        <v>57.36</v>
      </c>
      <c r="DU437">
        <v>57.36</v>
      </c>
      <c r="DV437">
        <v>488.98724859423203</v>
      </c>
    </row>
    <row r="438" spans="106:126">
      <c r="DB438" t="s">
        <v>633</v>
      </c>
      <c r="DC438" t="s">
        <v>633</v>
      </c>
      <c r="DD438" t="s">
        <v>97</v>
      </c>
      <c r="DE438">
        <v>12.5</v>
      </c>
      <c r="DF438">
        <v>12.5</v>
      </c>
      <c r="DG438">
        <v>0.28999999999999998</v>
      </c>
      <c r="DH438">
        <v>0.28999999999999998</v>
      </c>
      <c r="DI438">
        <v>13.95</v>
      </c>
      <c r="DJ438">
        <v>7.25</v>
      </c>
      <c r="DK438">
        <v>7.25</v>
      </c>
      <c r="DL438">
        <v>343.81</v>
      </c>
      <c r="DM438">
        <v>343.81</v>
      </c>
      <c r="DN438">
        <v>55.01</v>
      </c>
      <c r="DO438">
        <v>55.01</v>
      </c>
      <c r="DP438">
        <v>55.01</v>
      </c>
      <c r="DQ438">
        <v>55.01</v>
      </c>
      <c r="DR438">
        <v>4.96</v>
      </c>
      <c r="DS438">
        <v>4.96</v>
      </c>
      <c r="DT438">
        <v>63.52</v>
      </c>
      <c r="DU438">
        <v>63.52</v>
      </c>
      <c r="DV438">
        <v>542.21847350646897</v>
      </c>
    </row>
    <row r="439" spans="106:126">
      <c r="DB439" t="s">
        <v>634</v>
      </c>
      <c r="DC439" t="s">
        <v>634</v>
      </c>
      <c r="DD439" t="s">
        <v>97</v>
      </c>
      <c r="DE439">
        <v>12.5</v>
      </c>
      <c r="DF439">
        <v>12.5</v>
      </c>
      <c r="DG439">
        <v>0.32</v>
      </c>
      <c r="DH439">
        <v>0.32</v>
      </c>
      <c r="DI439">
        <v>15.33</v>
      </c>
      <c r="DJ439">
        <v>8</v>
      </c>
      <c r="DK439">
        <v>8</v>
      </c>
      <c r="DL439">
        <v>375.64</v>
      </c>
      <c r="DM439">
        <v>375.64</v>
      </c>
      <c r="DN439">
        <v>60.11</v>
      </c>
      <c r="DO439">
        <v>60.11</v>
      </c>
      <c r="DP439">
        <v>60.11</v>
      </c>
      <c r="DQ439">
        <v>60.11</v>
      </c>
      <c r="DR439">
        <v>4.95</v>
      </c>
      <c r="DS439">
        <v>4.95</v>
      </c>
      <c r="DT439">
        <v>69.59</v>
      </c>
      <c r="DU439">
        <v>69.59</v>
      </c>
      <c r="DV439">
        <v>594.61230365602501</v>
      </c>
    </row>
    <row r="440" spans="106:126">
      <c r="DB440" t="s">
        <v>635</v>
      </c>
      <c r="DC440" t="s">
        <v>635</v>
      </c>
      <c r="DD440" t="s">
        <v>97</v>
      </c>
      <c r="DE440">
        <v>12.5</v>
      </c>
      <c r="DF440">
        <v>12.5</v>
      </c>
      <c r="DG440">
        <v>0.36</v>
      </c>
      <c r="DH440">
        <v>0.36</v>
      </c>
      <c r="DI440">
        <v>17.149999999999999</v>
      </c>
      <c r="DJ440">
        <v>9</v>
      </c>
      <c r="DK440">
        <v>9</v>
      </c>
      <c r="DL440">
        <v>417.03</v>
      </c>
      <c r="DM440">
        <v>417.03</v>
      </c>
      <c r="DN440">
        <v>66.73</v>
      </c>
      <c r="DO440">
        <v>66.73</v>
      </c>
      <c r="DP440">
        <v>66.73</v>
      </c>
      <c r="DQ440">
        <v>66.73</v>
      </c>
      <c r="DR440">
        <v>4.93</v>
      </c>
      <c r="DS440">
        <v>4.93</v>
      </c>
      <c r="DT440">
        <v>77.540000000000006</v>
      </c>
      <c r="DU440">
        <v>77.540000000000006</v>
      </c>
      <c r="DV440">
        <v>663.08124679894104</v>
      </c>
    </row>
    <row r="441" spans="106:126">
      <c r="DB441" t="s">
        <v>636</v>
      </c>
      <c r="DC441" t="s">
        <v>636</v>
      </c>
      <c r="DD441" t="s">
        <v>97</v>
      </c>
      <c r="DE441">
        <v>12.5</v>
      </c>
      <c r="DF441">
        <v>12.5</v>
      </c>
      <c r="DG441">
        <v>0.4</v>
      </c>
      <c r="DH441">
        <v>0.4</v>
      </c>
      <c r="DI441">
        <v>18.95</v>
      </c>
      <c r="DJ441">
        <v>10</v>
      </c>
      <c r="DK441">
        <v>10</v>
      </c>
      <c r="DL441">
        <v>457.23</v>
      </c>
      <c r="DM441">
        <v>457.23</v>
      </c>
      <c r="DN441">
        <v>73.16</v>
      </c>
      <c r="DO441">
        <v>73.16</v>
      </c>
      <c r="DP441">
        <v>73.16</v>
      </c>
      <c r="DQ441">
        <v>73.16</v>
      </c>
      <c r="DR441">
        <v>4.91</v>
      </c>
      <c r="DS441">
        <v>4.91</v>
      </c>
      <c r="DT441">
        <v>85.33</v>
      </c>
      <c r="DU441">
        <v>85.33</v>
      </c>
      <c r="DV441">
        <v>729.85289784242002</v>
      </c>
    </row>
    <row r="442" spans="106:126">
      <c r="DB442" t="s">
        <v>637</v>
      </c>
      <c r="DC442" t="s">
        <v>637</v>
      </c>
      <c r="DD442" t="s">
        <v>97</v>
      </c>
      <c r="DE442">
        <v>12.5</v>
      </c>
      <c r="DF442">
        <v>12.5</v>
      </c>
      <c r="DG442">
        <v>0.45</v>
      </c>
      <c r="DH442">
        <v>0.45</v>
      </c>
      <c r="DI442">
        <v>21.17</v>
      </c>
      <c r="DJ442">
        <v>11.25</v>
      </c>
      <c r="DK442">
        <v>11.25</v>
      </c>
      <c r="DL442">
        <v>505.83</v>
      </c>
      <c r="DM442">
        <v>505.83</v>
      </c>
      <c r="DN442">
        <v>80.94</v>
      </c>
      <c r="DO442">
        <v>80.94</v>
      </c>
      <c r="DP442">
        <v>80.94</v>
      </c>
      <c r="DQ442">
        <v>80.94</v>
      </c>
      <c r="DR442">
        <v>4.8899999999999997</v>
      </c>
      <c r="DS442">
        <v>4.8899999999999997</v>
      </c>
      <c r="DT442">
        <v>94.84</v>
      </c>
      <c r="DU442">
        <v>94.84</v>
      </c>
      <c r="DV442">
        <v>810.74913296169802</v>
      </c>
    </row>
    <row r="443" spans="106:126">
      <c r="DB443" t="s">
        <v>638</v>
      </c>
      <c r="DC443" t="s">
        <v>638</v>
      </c>
      <c r="DD443" t="s">
        <v>97</v>
      </c>
      <c r="DE443">
        <v>12.5</v>
      </c>
      <c r="DF443">
        <v>12.5</v>
      </c>
      <c r="DG443">
        <v>0.5</v>
      </c>
      <c r="DH443">
        <v>0.5</v>
      </c>
      <c r="DI443">
        <v>23.36</v>
      </c>
      <c r="DJ443">
        <v>12.5</v>
      </c>
      <c r="DK443">
        <v>12.5</v>
      </c>
      <c r="DL443">
        <v>552.62</v>
      </c>
      <c r="DM443">
        <v>552.62</v>
      </c>
      <c r="DN443">
        <v>88.42</v>
      </c>
      <c r="DO443">
        <v>88.42</v>
      </c>
      <c r="DP443">
        <v>88.42</v>
      </c>
      <c r="DQ443">
        <v>88.42</v>
      </c>
      <c r="DR443">
        <v>4.8600000000000003</v>
      </c>
      <c r="DS443">
        <v>4.8600000000000003</v>
      </c>
      <c r="DT443">
        <v>104.1</v>
      </c>
      <c r="DU443">
        <v>104.1</v>
      </c>
      <c r="DV443">
        <v>888.57506846653303</v>
      </c>
    </row>
    <row r="444" spans="106:126">
      <c r="DB444" t="s">
        <v>639</v>
      </c>
      <c r="DC444" t="s">
        <v>639</v>
      </c>
      <c r="DD444" t="s">
        <v>97</v>
      </c>
      <c r="DE444">
        <v>12.5</v>
      </c>
      <c r="DF444">
        <v>12.5</v>
      </c>
      <c r="DG444">
        <v>0.54</v>
      </c>
      <c r="DH444">
        <v>0.54</v>
      </c>
      <c r="DI444">
        <v>25.08</v>
      </c>
      <c r="DJ444">
        <v>13.5</v>
      </c>
      <c r="DK444">
        <v>13.5</v>
      </c>
      <c r="DL444">
        <v>588.77</v>
      </c>
      <c r="DM444">
        <v>588.77</v>
      </c>
      <c r="DN444">
        <v>94.21</v>
      </c>
      <c r="DO444">
        <v>94.21</v>
      </c>
      <c r="DP444">
        <v>94.21</v>
      </c>
      <c r="DQ444">
        <v>94.21</v>
      </c>
      <c r="DR444">
        <v>4.8499999999999996</v>
      </c>
      <c r="DS444">
        <v>4.8499999999999996</v>
      </c>
      <c r="DT444">
        <v>111.33</v>
      </c>
      <c r="DU444">
        <v>111.33</v>
      </c>
      <c r="DV444">
        <v>948.47000915290403</v>
      </c>
    </row>
    <row r="445" spans="106:126">
      <c r="DB445" t="s">
        <v>640</v>
      </c>
      <c r="DC445" t="s">
        <v>640</v>
      </c>
      <c r="DD445" t="s">
        <v>97</v>
      </c>
      <c r="DE445">
        <v>12.5</v>
      </c>
      <c r="DF445">
        <v>12.5</v>
      </c>
      <c r="DG445">
        <v>0.6</v>
      </c>
      <c r="DH445">
        <v>0.6</v>
      </c>
      <c r="DI445">
        <v>27.63</v>
      </c>
      <c r="DJ445">
        <v>15</v>
      </c>
      <c r="DK445">
        <v>15</v>
      </c>
      <c r="DL445">
        <v>640.89</v>
      </c>
      <c r="DM445">
        <v>640.89</v>
      </c>
      <c r="DN445">
        <v>102.55</v>
      </c>
      <c r="DO445">
        <v>102.55</v>
      </c>
      <c r="DP445">
        <v>102.55</v>
      </c>
      <c r="DQ445">
        <v>102.55</v>
      </c>
      <c r="DR445">
        <v>4.82</v>
      </c>
      <c r="DS445">
        <v>4.82</v>
      </c>
      <c r="DT445">
        <v>121.87</v>
      </c>
      <c r="DU445">
        <v>121.87</v>
      </c>
      <c r="DV445">
        <v>1034.0945623990899</v>
      </c>
    </row>
    <row r="446" spans="106:126">
      <c r="DB446" t="s">
        <v>641</v>
      </c>
      <c r="DC446" t="s">
        <v>641</v>
      </c>
      <c r="DD446" t="s">
        <v>97</v>
      </c>
      <c r="DE446">
        <v>12.5</v>
      </c>
      <c r="DF446">
        <v>12.5</v>
      </c>
      <c r="DG446">
        <v>0.7</v>
      </c>
      <c r="DH446">
        <v>0.7</v>
      </c>
      <c r="DI446">
        <v>31.78</v>
      </c>
      <c r="DJ446">
        <v>17.5</v>
      </c>
      <c r="DK446">
        <v>17.5</v>
      </c>
      <c r="DL446">
        <v>722.26</v>
      </c>
      <c r="DM446">
        <v>722.26</v>
      </c>
      <c r="DN446">
        <v>115.57</v>
      </c>
      <c r="DO446">
        <v>115.57</v>
      </c>
      <c r="DP446">
        <v>115.57</v>
      </c>
      <c r="DQ446">
        <v>115.57</v>
      </c>
      <c r="DR446">
        <v>4.7699999999999996</v>
      </c>
      <c r="DS446">
        <v>4.7699999999999996</v>
      </c>
      <c r="DT446">
        <v>138.65</v>
      </c>
      <c r="DU446">
        <v>138.65</v>
      </c>
      <c r="DV446">
        <v>1164.59212926027</v>
      </c>
    </row>
    <row r="447" spans="106:126">
      <c r="DB447" t="s">
        <v>642</v>
      </c>
      <c r="DC447" t="s">
        <v>642</v>
      </c>
      <c r="DD447" t="s">
        <v>97</v>
      </c>
      <c r="DE447">
        <v>12.5</v>
      </c>
      <c r="DF447">
        <v>12.5</v>
      </c>
      <c r="DG447">
        <v>0.8</v>
      </c>
      <c r="DH447">
        <v>0.8</v>
      </c>
      <c r="DI447">
        <v>35.79</v>
      </c>
      <c r="DJ447">
        <v>20</v>
      </c>
      <c r="DK447">
        <v>20</v>
      </c>
      <c r="DL447">
        <v>796.96</v>
      </c>
      <c r="DM447">
        <v>796.96</v>
      </c>
      <c r="DN447">
        <v>127.52</v>
      </c>
      <c r="DO447">
        <v>127.52</v>
      </c>
      <c r="DP447">
        <v>127.52</v>
      </c>
      <c r="DQ447">
        <v>127.52</v>
      </c>
      <c r="DR447">
        <v>4.72</v>
      </c>
      <c r="DS447">
        <v>4.72</v>
      </c>
      <c r="DT447">
        <v>154.47</v>
      </c>
      <c r="DU447">
        <v>154.47</v>
      </c>
      <c r="DV447">
        <v>1278.3039329273299</v>
      </c>
    </row>
    <row r="448" spans="106:126">
      <c r="DB448" t="s">
        <v>643</v>
      </c>
      <c r="DC448" t="s">
        <v>643</v>
      </c>
      <c r="DD448" t="s">
        <v>97</v>
      </c>
      <c r="DE448">
        <v>14</v>
      </c>
      <c r="DF448">
        <v>14</v>
      </c>
      <c r="DG448">
        <v>0.28999999999999998</v>
      </c>
      <c r="DH448">
        <v>0.28999999999999998</v>
      </c>
      <c r="DI448">
        <v>15.69</v>
      </c>
      <c r="DJ448">
        <v>8.1199999999999992</v>
      </c>
      <c r="DK448">
        <v>8.1199999999999992</v>
      </c>
      <c r="DL448">
        <v>487.99</v>
      </c>
      <c r="DM448">
        <v>487.99</v>
      </c>
      <c r="DN448">
        <v>69.72</v>
      </c>
      <c r="DO448">
        <v>69.72</v>
      </c>
      <c r="DP448">
        <v>69.72</v>
      </c>
      <c r="DQ448">
        <v>69.72</v>
      </c>
      <c r="DR448">
        <v>5.58</v>
      </c>
      <c r="DS448">
        <v>5.58</v>
      </c>
      <c r="DT448">
        <v>80.27</v>
      </c>
      <c r="DU448">
        <v>80.27</v>
      </c>
      <c r="DV448">
        <v>766.416082560517</v>
      </c>
    </row>
    <row r="449" spans="106:126">
      <c r="DB449" t="s">
        <v>644</v>
      </c>
      <c r="DC449" t="s">
        <v>644</v>
      </c>
      <c r="DD449" t="s">
        <v>97</v>
      </c>
      <c r="DE449">
        <v>14</v>
      </c>
      <c r="DF449">
        <v>14</v>
      </c>
      <c r="DG449">
        <v>0.32</v>
      </c>
      <c r="DH449">
        <v>0.32</v>
      </c>
      <c r="DI449">
        <v>17.25</v>
      </c>
      <c r="DJ449">
        <v>8.9600000000000009</v>
      </c>
      <c r="DK449">
        <v>8.9600000000000009</v>
      </c>
      <c r="DL449">
        <v>533.76</v>
      </c>
      <c r="DM449">
        <v>533.76</v>
      </c>
      <c r="DN449">
        <v>76.260000000000005</v>
      </c>
      <c r="DO449">
        <v>76.260000000000005</v>
      </c>
      <c r="DP449">
        <v>76.260000000000005</v>
      </c>
      <c r="DQ449">
        <v>76.260000000000005</v>
      </c>
      <c r="DR449">
        <v>5.56</v>
      </c>
      <c r="DS449">
        <v>5.56</v>
      </c>
      <c r="DT449">
        <v>88.01</v>
      </c>
      <c r="DU449">
        <v>88.01</v>
      </c>
      <c r="DV449">
        <v>841.304328662437</v>
      </c>
    </row>
    <row r="450" spans="106:126">
      <c r="DB450" t="s">
        <v>645</v>
      </c>
      <c r="DC450" t="s">
        <v>645</v>
      </c>
      <c r="DD450" t="s">
        <v>97</v>
      </c>
      <c r="DE450">
        <v>14</v>
      </c>
      <c r="DF450">
        <v>14</v>
      </c>
      <c r="DG450">
        <v>0.36</v>
      </c>
      <c r="DH450">
        <v>0.36</v>
      </c>
      <c r="DI450">
        <v>19.309999999999999</v>
      </c>
      <c r="DJ450">
        <v>10.08</v>
      </c>
      <c r="DK450">
        <v>10.08</v>
      </c>
      <c r="DL450">
        <v>593.44000000000005</v>
      </c>
      <c r="DM450">
        <v>593.44000000000005</v>
      </c>
      <c r="DN450">
        <v>84.78</v>
      </c>
      <c r="DO450">
        <v>84.78</v>
      </c>
      <c r="DP450">
        <v>84.78</v>
      </c>
      <c r="DQ450">
        <v>84.78</v>
      </c>
      <c r="DR450">
        <v>5.54</v>
      </c>
      <c r="DS450">
        <v>5.54</v>
      </c>
      <c r="DT450">
        <v>98.18</v>
      </c>
      <c r="DU450">
        <v>98.18</v>
      </c>
      <c r="DV450">
        <v>939.52560172871699</v>
      </c>
    </row>
    <row r="451" spans="106:126">
      <c r="DB451" t="s">
        <v>646</v>
      </c>
      <c r="DC451" t="s">
        <v>646</v>
      </c>
      <c r="DD451" t="s">
        <v>97</v>
      </c>
      <c r="DE451">
        <v>14</v>
      </c>
      <c r="DF451">
        <v>14</v>
      </c>
      <c r="DG451">
        <v>0.4</v>
      </c>
      <c r="DH451">
        <v>0.4</v>
      </c>
      <c r="DI451">
        <v>21.35</v>
      </c>
      <c r="DJ451">
        <v>11.2</v>
      </c>
      <c r="DK451">
        <v>11.2</v>
      </c>
      <c r="DL451">
        <v>651.62</v>
      </c>
      <c r="DM451">
        <v>651.62</v>
      </c>
      <c r="DN451">
        <v>93.09</v>
      </c>
      <c r="DO451">
        <v>93.09</v>
      </c>
      <c r="DP451">
        <v>93.09</v>
      </c>
      <c r="DQ451">
        <v>93.09</v>
      </c>
      <c r="DR451">
        <v>5.52</v>
      </c>
      <c r="DS451">
        <v>5.52</v>
      </c>
      <c r="DT451">
        <v>108.15</v>
      </c>
      <c r="DU451">
        <v>108.15</v>
      </c>
      <c r="DV451">
        <v>1035.76201201921</v>
      </c>
    </row>
    <row r="452" spans="106:126">
      <c r="DB452" t="s">
        <v>647</v>
      </c>
      <c r="DC452" t="s">
        <v>647</v>
      </c>
      <c r="DD452" t="s">
        <v>97</v>
      </c>
      <c r="DE452">
        <v>14</v>
      </c>
      <c r="DF452">
        <v>14</v>
      </c>
      <c r="DG452">
        <v>0.45</v>
      </c>
      <c r="DH452">
        <v>0.45</v>
      </c>
      <c r="DI452">
        <v>23.87</v>
      </c>
      <c r="DJ452">
        <v>12.6</v>
      </c>
      <c r="DK452">
        <v>12.6</v>
      </c>
      <c r="DL452">
        <v>722.24</v>
      </c>
      <c r="DM452">
        <v>722.24</v>
      </c>
      <c r="DN452">
        <v>103.18</v>
      </c>
      <c r="DO452">
        <v>103.18</v>
      </c>
      <c r="DP452">
        <v>103.18</v>
      </c>
      <c r="DQ452">
        <v>103.18</v>
      </c>
      <c r="DR452">
        <v>5.5</v>
      </c>
      <c r="DS452">
        <v>5.5</v>
      </c>
      <c r="DT452">
        <v>120.37</v>
      </c>
      <c r="DU452">
        <v>120.37</v>
      </c>
      <c r="DV452">
        <v>1153.0628762277199</v>
      </c>
    </row>
    <row r="453" spans="106:126">
      <c r="DB453" t="s">
        <v>648</v>
      </c>
      <c r="DC453" t="s">
        <v>648</v>
      </c>
      <c r="DD453" t="s">
        <v>97</v>
      </c>
      <c r="DE453">
        <v>14</v>
      </c>
      <c r="DF453">
        <v>14</v>
      </c>
      <c r="DG453">
        <v>0.5</v>
      </c>
      <c r="DH453">
        <v>0.5</v>
      </c>
      <c r="DI453">
        <v>26.36</v>
      </c>
      <c r="DJ453">
        <v>14</v>
      </c>
      <c r="DK453">
        <v>14</v>
      </c>
      <c r="DL453">
        <v>790.56</v>
      </c>
      <c r="DM453">
        <v>790.56</v>
      </c>
      <c r="DN453">
        <v>112.94</v>
      </c>
      <c r="DO453">
        <v>112.94</v>
      </c>
      <c r="DP453">
        <v>112.94</v>
      </c>
      <c r="DQ453">
        <v>112.94</v>
      </c>
      <c r="DR453">
        <v>5.48</v>
      </c>
      <c r="DS453">
        <v>5.48</v>
      </c>
      <c r="DT453">
        <v>132.30000000000001</v>
      </c>
      <c r="DU453">
        <v>132.30000000000001</v>
      </c>
      <c r="DV453">
        <v>1266.7930866106699</v>
      </c>
    </row>
    <row r="454" spans="106:126">
      <c r="DB454" t="s">
        <v>649</v>
      </c>
      <c r="DC454" t="s">
        <v>649</v>
      </c>
      <c r="DD454" t="s">
        <v>97</v>
      </c>
      <c r="DE454">
        <v>14</v>
      </c>
      <c r="DF454">
        <v>14</v>
      </c>
      <c r="DG454">
        <v>0.54</v>
      </c>
      <c r="DH454">
        <v>0.54</v>
      </c>
      <c r="DI454">
        <v>28.32</v>
      </c>
      <c r="DJ454">
        <v>15.12</v>
      </c>
      <c r="DK454">
        <v>15.12</v>
      </c>
      <c r="DL454">
        <v>843.58</v>
      </c>
      <c r="DM454">
        <v>843.58</v>
      </c>
      <c r="DN454">
        <v>120.52</v>
      </c>
      <c r="DO454">
        <v>120.52</v>
      </c>
      <c r="DP454">
        <v>120.52</v>
      </c>
      <c r="DQ454">
        <v>120.52</v>
      </c>
      <c r="DR454">
        <v>5.46</v>
      </c>
      <c r="DS454">
        <v>5.46</v>
      </c>
      <c r="DT454">
        <v>141.65</v>
      </c>
      <c r="DU454">
        <v>141.65</v>
      </c>
      <c r="DV454">
        <v>1355.0316273349299</v>
      </c>
    </row>
    <row r="455" spans="106:126">
      <c r="DB455" t="s">
        <v>650</v>
      </c>
      <c r="DC455" t="s">
        <v>650</v>
      </c>
      <c r="DD455" t="s">
        <v>97</v>
      </c>
      <c r="DE455">
        <v>14</v>
      </c>
      <c r="DF455">
        <v>14</v>
      </c>
      <c r="DG455">
        <v>0.6</v>
      </c>
      <c r="DH455">
        <v>0.6</v>
      </c>
      <c r="DI455">
        <v>31.23</v>
      </c>
      <c r="DJ455">
        <v>16.8</v>
      </c>
      <c r="DK455">
        <v>16.8</v>
      </c>
      <c r="DL455">
        <v>920.43</v>
      </c>
      <c r="DM455">
        <v>920.43</v>
      </c>
      <c r="DN455">
        <v>131.49</v>
      </c>
      <c r="DO455">
        <v>131.49</v>
      </c>
      <c r="DP455">
        <v>131.49</v>
      </c>
      <c r="DQ455">
        <v>131.49</v>
      </c>
      <c r="DR455">
        <v>5.43</v>
      </c>
      <c r="DS455">
        <v>5.43</v>
      </c>
      <c r="DT455">
        <v>155.33000000000001</v>
      </c>
      <c r="DU455">
        <v>155.33000000000001</v>
      </c>
      <c r="DV455">
        <v>1482.5027524515299</v>
      </c>
    </row>
    <row r="456" spans="106:126">
      <c r="DB456" t="s">
        <v>651</v>
      </c>
      <c r="DC456" t="s">
        <v>651</v>
      </c>
      <c r="DD456" t="s">
        <v>97</v>
      </c>
      <c r="DE456">
        <v>14</v>
      </c>
      <c r="DF456">
        <v>14</v>
      </c>
      <c r="DG456">
        <v>0.7</v>
      </c>
      <c r="DH456">
        <v>0.7</v>
      </c>
      <c r="DI456">
        <v>35.979999999999997</v>
      </c>
      <c r="DJ456">
        <v>19.600000000000001</v>
      </c>
      <c r="DK456">
        <v>19.600000000000001</v>
      </c>
      <c r="DL456">
        <v>1041.47</v>
      </c>
      <c r="DM456">
        <v>1041.47</v>
      </c>
      <c r="DN456">
        <v>148.79</v>
      </c>
      <c r="DO456">
        <v>148.79</v>
      </c>
      <c r="DP456">
        <v>148.79</v>
      </c>
      <c r="DQ456">
        <v>148.79</v>
      </c>
      <c r="DR456">
        <v>5.38</v>
      </c>
      <c r="DS456">
        <v>5.38</v>
      </c>
      <c r="DT456">
        <v>177.24</v>
      </c>
      <c r="DU456">
        <v>177.24</v>
      </c>
      <c r="DV456">
        <v>1680.8291431668699</v>
      </c>
    </row>
    <row r="457" spans="106:126">
      <c r="DB457" t="s">
        <v>652</v>
      </c>
      <c r="DC457" t="s">
        <v>652</v>
      </c>
      <c r="DD457" t="s">
        <v>97</v>
      </c>
      <c r="DE457">
        <v>14</v>
      </c>
      <c r="DF457">
        <v>14</v>
      </c>
      <c r="DG457">
        <v>0.8</v>
      </c>
      <c r="DH457">
        <v>0.8</v>
      </c>
      <c r="DI457">
        <v>40.590000000000003</v>
      </c>
      <c r="DJ457">
        <v>22.4</v>
      </c>
      <c r="DK457">
        <v>22.4</v>
      </c>
      <c r="DL457">
        <v>1153.92</v>
      </c>
      <c r="DM457">
        <v>1153.92</v>
      </c>
      <c r="DN457">
        <v>164.85</v>
      </c>
      <c r="DO457">
        <v>164.85</v>
      </c>
      <c r="DP457">
        <v>164.85</v>
      </c>
      <c r="DQ457">
        <v>164.85</v>
      </c>
      <c r="DR457">
        <v>5.33</v>
      </c>
      <c r="DS457">
        <v>5.33</v>
      </c>
      <c r="DT457">
        <v>198.05</v>
      </c>
      <c r="DU457">
        <v>198.05</v>
      </c>
      <c r="DV457">
        <v>1859.74978481833</v>
      </c>
    </row>
    <row r="458" spans="106:126">
      <c r="DB458" t="s">
        <v>653</v>
      </c>
      <c r="DC458" t="s">
        <v>653</v>
      </c>
      <c r="DD458" t="s">
        <v>97</v>
      </c>
      <c r="DE458">
        <v>15</v>
      </c>
      <c r="DF458">
        <v>15</v>
      </c>
      <c r="DG458">
        <v>0.28999999999999998</v>
      </c>
      <c r="DH458">
        <v>0.28999999999999998</v>
      </c>
      <c r="DI458">
        <v>16.850000000000001</v>
      </c>
      <c r="DJ458">
        <v>8.6999999999999993</v>
      </c>
      <c r="DK458">
        <v>8.6999999999999993</v>
      </c>
      <c r="DL458">
        <v>603.62</v>
      </c>
      <c r="DM458">
        <v>603.62</v>
      </c>
      <c r="DN458">
        <v>80.489999999999995</v>
      </c>
      <c r="DO458">
        <v>80.489999999999995</v>
      </c>
      <c r="DP458">
        <v>80.489999999999995</v>
      </c>
      <c r="DQ458">
        <v>80.489999999999995</v>
      </c>
      <c r="DR458">
        <v>5.99</v>
      </c>
      <c r="DS458">
        <v>5.99</v>
      </c>
      <c r="DT458">
        <v>92.53</v>
      </c>
      <c r="DU458">
        <v>92.53</v>
      </c>
      <c r="DV458">
        <v>945.69913686457596</v>
      </c>
    </row>
    <row r="459" spans="106:126">
      <c r="DB459" t="s">
        <v>654</v>
      </c>
      <c r="DC459" t="s">
        <v>654</v>
      </c>
      <c r="DD459" t="s">
        <v>97</v>
      </c>
      <c r="DE459">
        <v>15</v>
      </c>
      <c r="DF459">
        <v>15</v>
      </c>
      <c r="DG459">
        <v>0.32</v>
      </c>
      <c r="DH459">
        <v>0.32</v>
      </c>
      <c r="DI459">
        <v>18.53</v>
      </c>
      <c r="DJ459">
        <v>9.6</v>
      </c>
      <c r="DK459">
        <v>9.6</v>
      </c>
      <c r="DL459">
        <v>660.62</v>
      </c>
      <c r="DM459">
        <v>660.62</v>
      </c>
      <c r="DN459">
        <v>88.09</v>
      </c>
      <c r="DO459">
        <v>88.09</v>
      </c>
      <c r="DP459">
        <v>88.09</v>
      </c>
      <c r="DQ459">
        <v>88.09</v>
      </c>
      <c r="DR459">
        <v>5.97</v>
      </c>
      <c r="DS459">
        <v>5.97</v>
      </c>
      <c r="DT459">
        <v>101.5</v>
      </c>
      <c r="DU459">
        <v>101.5</v>
      </c>
      <c r="DV459">
        <v>1038.63763554958</v>
      </c>
    </row>
    <row r="460" spans="106:126">
      <c r="DB460" t="s">
        <v>655</v>
      </c>
      <c r="DC460" t="s">
        <v>655</v>
      </c>
      <c r="DD460" t="s">
        <v>97</v>
      </c>
      <c r="DE460">
        <v>15</v>
      </c>
      <c r="DF460">
        <v>15</v>
      </c>
      <c r="DG460">
        <v>0.36</v>
      </c>
      <c r="DH460">
        <v>0.36</v>
      </c>
      <c r="DI460">
        <v>20.75</v>
      </c>
      <c r="DJ460">
        <v>10.8</v>
      </c>
      <c r="DK460">
        <v>10.8</v>
      </c>
      <c r="DL460">
        <v>735.09</v>
      </c>
      <c r="DM460">
        <v>735.09</v>
      </c>
      <c r="DN460">
        <v>98.02</v>
      </c>
      <c r="DO460">
        <v>98.02</v>
      </c>
      <c r="DP460">
        <v>98.02</v>
      </c>
      <c r="DQ460">
        <v>98.02</v>
      </c>
      <c r="DR460">
        <v>5.95</v>
      </c>
      <c r="DS460">
        <v>5.95</v>
      </c>
      <c r="DT460">
        <v>113.28</v>
      </c>
      <c r="DU460">
        <v>113.28</v>
      </c>
      <c r="DV460">
        <v>1160.7569223912899</v>
      </c>
    </row>
    <row r="461" spans="106:126">
      <c r="DB461" t="s">
        <v>656</v>
      </c>
      <c r="DC461" t="s">
        <v>656</v>
      </c>
      <c r="DD461" t="s">
        <v>97</v>
      </c>
      <c r="DE461">
        <v>15</v>
      </c>
      <c r="DF461">
        <v>15</v>
      </c>
      <c r="DG461">
        <v>0.4</v>
      </c>
      <c r="DH461">
        <v>0.4</v>
      </c>
      <c r="DI461">
        <v>22.95</v>
      </c>
      <c r="DJ461">
        <v>12</v>
      </c>
      <c r="DK461">
        <v>12</v>
      </c>
      <c r="DL461">
        <v>807.82</v>
      </c>
      <c r="DM461">
        <v>807.82</v>
      </c>
      <c r="DN461">
        <v>107.71</v>
      </c>
      <c r="DO461">
        <v>107.71</v>
      </c>
      <c r="DP461">
        <v>107.71</v>
      </c>
      <c r="DQ461">
        <v>107.71</v>
      </c>
      <c r="DR461">
        <v>5.93</v>
      </c>
      <c r="DS461">
        <v>5.93</v>
      </c>
      <c r="DT461">
        <v>124.87</v>
      </c>
      <c r="DU461">
        <v>124.87</v>
      </c>
      <c r="DV461">
        <v>1280.6896000296299</v>
      </c>
    </row>
    <row r="462" spans="106:126">
      <c r="DB462" t="s">
        <v>657</v>
      </c>
      <c r="DC462" t="s">
        <v>657</v>
      </c>
      <c r="DD462" t="s">
        <v>97</v>
      </c>
      <c r="DE462">
        <v>15</v>
      </c>
      <c r="DF462">
        <v>15</v>
      </c>
      <c r="DG462">
        <v>0.45</v>
      </c>
      <c r="DH462">
        <v>0.45</v>
      </c>
      <c r="DI462">
        <v>25.67</v>
      </c>
      <c r="DJ462">
        <v>13.5</v>
      </c>
      <c r="DK462">
        <v>13.5</v>
      </c>
      <c r="DL462">
        <v>896.3</v>
      </c>
      <c r="DM462">
        <v>896.3</v>
      </c>
      <c r="DN462">
        <v>119.51</v>
      </c>
      <c r="DO462">
        <v>119.51</v>
      </c>
      <c r="DP462">
        <v>119.51</v>
      </c>
      <c r="DQ462">
        <v>119.51</v>
      </c>
      <c r="DR462">
        <v>5.91</v>
      </c>
      <c r="DS462">
        <v>5.91</v>
      </c>
      <c r="DT462">
        <v>139.08000000000001</v>
      </c>
      <c r="DU462">
        <v>139.08000000000001</v>
      </c>
      <c r="DV462">
        <v>1427.3126297203701</v>
      </c>
    </row>
    <row r="463" spans="106:126">
      <c r="DB463" t="s">
        <v>658</v>
      </c>
      <c r="DC463" t="s">
        <v>658</v>
      </c>
      <c r="DD463" t="s">
        <v>97</v>
      </c>
      <c r="DE463">
        <v>15</v>
      </c>
      <c r="DF463">
        <v>15</v>
      </c>
      <c r="DG463">
        <v>0.5</v>
      </c>
      <c r="DH463">
        <v>0.5</v>
      </c>
      <c r="DI463">
        <v>28.36</v>
      </c>
      <c r="DJ463">
        <v>15</v>
      </c>
      <c r="DK463">
        <v>15</v>
      </c>
      <c r="DL463">
        <v>982.12</v>
      </c>
      <c r="DM463">
        <v>982.12</v>
      </c>
      <c r="DN463">
        <v>130.94999999999999</v>
      </c>
      <c r="DO463">
        <v>130.94999999999999</v>
      </c>
      <c r="DP463">
        <v>130.94999999999999</v>
      </c>
      <c r="DQ463">
        <v>130.94999999999999</v>
      </c>
      <c r="DR463">
        <v>5.88</v>
      </c>
      <c r="DS463">
        <v>5.88</v>
      </c>
      <c r="DT463">
        <v>152.97999999999999</v>
      </c>
      <c r="DU463">
        <v>152.97999999999999</v>
      </c>
      <c r="DV463">
        <v>1570.0161725446601</v>
      </c>
    </row>
    <row r="464" spans="106:126">
      <c r="DB464" t="s">
        <v>659</v>
      </c>
      <c r="DC464" t="s">
        <v>659</v>
      </c>
      <c r="DD464" t="s">
        <v>97</v>
      </c>
      <c r="DE464">
        <v>15</v>
      </c>
      <c r="DF464">
        <v>15</v>
      </c>
      <c r="DG464">
        <v>0.54</v>
      </c>
      <c r="DH464">
        <v>0.54</v>
      </c>
      <c r="DI464">
        <v>30.48</v>
      </c>
      <c r="DJ464">
        <v>16.2</v>
      </c>
      <c r="DK464">
        <v>16.2</v>
      </c>
      <c r="DL464">
        <v>1048.8800000000001</v>
      </c>
      <c r="DM464">
        <v>1048.8800000000001</v>
      </c>
      <c r="DN464">
        <v>139.86000000000001</v>
      </c>
      <c r="DO464">
        <v>139.86000000000001</v>
      </c>
      <c r="DP464">
        <v>139.86000000000001</v>
      </c>
      <c r="DQ464">
        <v>139.86000000000001</v>
      </c>
      <c r="DR464">
        <v>5.87</v>
      </c>
      <c r="DS464">
        <v>5.87</v>
      </c>
      <c r="DT464">
        <v>163.89</v>
      </c>
      <c r="DU464">
        <v>163.89</v>
      </c>
      <c r="DV464">
        <v>1681.1694021093799</v>
      </c>
    </row>
    <row r="465" spans="106:126">
      <c r="DB465" t="s">
        <v>660</v>
      </c>
      <c r="DC465" t="s">
        <v>660</v>
      </c>
      <c r="DD465" t="s">
        <v>97</v>
      </c>
      <c r="DE465">
        <v>15</v>
      </c>
      <c r="DF465">
        <v>15</v>
      </c>
      <c r="DG465">
        <v>0.6</v>
      </c>
      <c r="DH465">
        <v>0.6</v>
      </c>
      <c r="DI465">
        <v>33.630000000000003</v>
      </c>
      <c r="DJ465">
        <v>18</v>
      </c>
      <c r="DK465">
        <v>18</v>
      </c>
      <c r="DL465">
        <v>1145.9100000000001</v>
      </c>
      <c r="DM465">
        <v>1145.9100000000001</v>
      </c>
      <c r="DN465">
        <v>152.79</v>
      </c>
      <c r="DO465">
        <v>152.79</v>
      </c>
      <c r="DP465">
        <v>152.79</v>
      </c>
      <c r="DQ465">
        <v>152.79</v>
      </c>
      <c r="DR465">
        <v>5.84</v>
      </c>
      <c r="DS465">
        <v>5.84</v>
      </c>
      <c r="DT465">
        <v>179.88</v>
      </c>
      <c r="DU465">
        <v>179.88</v>
      </c>
      <c r="DV465">
        <v>1842.5492619721999</v>
      </c>
    </row>
    <row r="466" spans="106:126">
      <c r="DB466" t="s">
        <v>661</v>
      </c>
      <c r="DC466" t="s">
        <v>661</v>
      </c>
      <c r="DD466" t="s">
        <v>97</v>
      </c>
      <c r="DE466">
        <v>15</v>
      </c>
      <c r="DF466">
        <v>15</v>
      </c>
      <c r="DG466">
        <v>0.8</v>
      </c>
      <c r="DH466">
        <v>0.8</v>
      </c>
      <c r="DI466">
        <v>43.79</v>
      </c>
      <c r="DJ466">
        <v>24</v>
      </c>
      <c r="DK466">
        <v>24</v>
      </c>
      <c r="DL466">
        <v>1443</v>
      </c>
      <c r="DM466">
        <v>1443</v>
      </c>
      <c r="DN466">
        <v>192.4</v>
      </c>
      <c r="DO466">
        <v>192.4</v>
      </c>
      <c r="DP466">
        <v>192.4</v>
      </c>
      <c r="DQ466">
        <v>192.4</v>
      </c>
      <c r="DR466">
        <v>5.74</v>
      </c>
      <c r="DS466">
        <v>5.74</v>
      </c>
      <c r="DT466">
        <v>230.11</v>
      </c>
      <c r="DU466">
        <v>230.11</v>
      </c>
      <c r="DV466">
        <v>2328.3881080694</v>
      </c>
    </row>
    <row r="467" spans="106:126">
      <c r="DB467" t="s">
        <v>662</v>
      </c>
      <c r="DC467" t="s">
        <v>662</v>
      </c>
      <c r="DD467" t="s">
        <v>97</v>
      </c>
      <c r="DE467">
        <v>15</v>
      </c>
      <c r="DF467">
        <v>15</v>
      </c>
      <c r="DG467">
        <v>1</v>
      </c>
      <c r="DH467">
        <v>1</v>
      </c>
      <c r="DI467">
        <v>53.42</v>
      </c>
      <c r="DJ467">
        <v>30</v>
      </c>
      <c r="DK467">
        <v>30</v>
      </c>
      <c r="DL467">
        <v>1701.21</v>
      </c>
      <c r="DM467">
        <v>1701.21</v>
      </c>
      <c r="DN467">
        <v>226.83</v>
      </c>
      <c r="DO467">
        <v>226.83</v>
      </c>
      <c r="DP467">
        <v>226.83</v>
      </c>
      <c r="DQ467">
        <v>226.83</v>
      </c>
      <c r="DR467">
        <v>5.64</v>
      </c>
      <c r="DS467">
        <v>5.64</v>
      </c>
      <c r="DT467">
        <v>275.67</v>
      </c>
      <c r="DU467">
        <v>275.67</v>
      </c>
      <c r="DV467">
        <v>2720.9452690550002</v>
      </c>
    </row>
    <row r="468" spans="106:126">
      <c r="DB468" t="s">
        <v>663</v>
      </c>
      <c r="DC468" t="s">
        <v>663</v>
      </c>
      <c r="DD468" t="s">
        <v>97</v>
      </c>
      <c r="DE468">
        <v>17.5</v>
      </c>
      <c r="DF468">
        <v>17.5</v>
      </c>
      <c r="DG468">
        <v>0.4</v>
      </c>
      <c r="DH468">
        <v>0.4</v>
      </c>
      <c r="DI468">
        <v>26.95</v>
      </c>
      <c r="DJ468">
        <v>14</v>
      </c>
      <c r="DK468">
        <v>14</v>
      </c>
      <c r="DL468">
        <v>1303.1199999999999</v>
      </c>
      <c r="DM468">
        <v>1303.1199999999999</v>
      </c>
      <c r="DN468">
        <v>148.93</v>
      </c>
      <c r="DO468">
        <v>148.93</v>
      </c>
      <c r="DP468">
        <v>148.93</v>
      </c>
      <c r="DQ468">
        <v>148.93</v>
      </c>
      <c r="DR468">
        <v>6.95</v>
      </c>
      <c r="DS468">
        <v>6.95</v>
      </c>
      <c r="DT468">
        <v>171.9</v>
      </c>
      <c r="DU468">
        <v>171.9</v>
      </c>
      <c r="DV468">
        <v>2053.9656461485301</v>
      </c>
    </row>
    <row r="469" spans="106:126">
      <c r="DB469" t="s">
        <v>664</v>
      </c>
      <c r="DC469" t="s">
        <v>664</v>
      </c>
      <c r="DD469" t="s">
        <v>97</v>
      </c>
      <c r="DE469">
        <v>17.5</v>
      </c>
      <c r="DF469">
        <v>17.5</v>
      </c>
      <c r="DG469">
        <v>0.45</v>
      </c>
      <c r="DH469">
        <v>0.45</v>
      </c>
      <c r="DI469">
        <v>30.17</v>
      </c>
      <c r="DJ469">
        <v>15.75</v>
      </c>
      <c r="DK469">
        <v>15.75</v>
      </c>
      <c r="DL469">
        <v>1448.83</v>
      </c>
      <c r="DM469">
        <v>1448.83</v>
      </c>
      <c r="DN469">
        <v>165.59</v>
      </c>
      <c r="DO469">
        <v>165.59</v>
      </c>
      <c r="DP469">
        <v>165.59</v>
      </c>
      <c r="DQ469">
        <v>165.59</v>
      </c>
      <c r="DR469">
        <v>6.93</v>
      </c>
      <c r="DS469">
        <v>6.93</v>
      </c>
      <c r="DT469">
        <v>191.75</v>
      </c>
      <c r="DU469">
        <v>191.75</v>
      </c>
      <c r="DV469">
        <v>2293.7636760955002</v>
      </c>
    </row>
    <row r="470" spans="106:126">
      <c r="DB470" t="s">
        <v>665</v>
      </c>
      <c r="DC470" t="s">
        <v>665</v>
      </c>
      <c r="DD470" t="s">
        <v>97</v>
      </c>
      <c r="DE470">
        <v>17.5</v>
      </c>
      <c r="DF470">
        <v>17.5</v>
      </c>
      <c r="DG470">
        <v>0.5</v>
      </c>
      <c r="DH470">
        <v>0.5</v>
      </c>
      <c r="DI470">
        <v>33.36</v>
      </c>
      <c r="DJ470">
        <v>17.5</v>
      </c>
      <c r="DK470">
        <v>17.5</v>
      </c>
      <c r="DL470">
        <v>1590.86</v>
      </c>
      <c r="DM470">
        <v>1590.86</v>
      </c>
      <c r="DN470">
        <v>181.82</v>
      </c>
      <c r="DO470">
        <v>181.82</v>
      </c>
      <c r="DP470">
        <v>181.82</v>
      </c>
      <c r="DQ470">
        <v>181.82</v>
      </c>
      <c r="DR470">
        <v>6.91</v>
      </c>
      <c r="DS470">
        <v>6.91</v>
      </c>
      <c r="DT470">
        <v>211.24</v>
      </c>
      <c r="DU470">
        <v>211.24</v>
      </c>
      <c r="DV470">
        <v>2528.7158496562802</v>
      </c>
    </row>
    <row r="471" spans="106:126">
      <c r="DB471" t="s">
        <v>666</v>
      </c>
      <c r="DC471" t="s">
        <v>666</v>
      </c>
      <c r="DD471" t="s">
        <v>97</v>
      </c>
      <c r="DE471">
        <v>17.5</v>
      </c>
      <c r="DF471">
        <v>17.5</v>
      </c>
      <c r="DG471">
        <v>0.54</v>
      </c>
      <c r="DH471">
        <v>0.54</v>
      </c>
      <c r="DI471">
        <v>35.880000000000003</v>
      </c>
      <c r="DJ471">
        <v>18.899999999999999</v>
      </c>
      <c r="DK471">
        <v>18.899999999999999</v>
      </c>
      <c r="DL471">
        <v>1701.86</v>
      </c>
      <c r="DM471">
        <v>1701.86</v>
      </c>
      <c r="DN471">
        <v>194.5</v>
      </c>
      <c r="DO471">
        <v>194.5</v>
      </c>
      <c r="DP471">
        <v>194.5</v>
      </c>
      <c r="DQ471">
        <v>194.5</v>
      </c>
      <c r="DR471">
        <v>6.89</v>
      </c>
      <c r="DS471">
        <v>6.89</v>
      </c>
      <c r="DT471">
        <v>226.57</v>
      </c>
      <c r="DU471">
        <v>226.57</v>
      </c>
      <c r="DV471">
        <v>2712.9694837585998</v>
      </c>
    </row>
    <row r="472" spans="106:126">
      <c r="DB472" t="s">
        <v>667</v>
      </c>
      <c r="DC472" t="s">
        <v>667</v>
      </c>
      <c r="DD472" t="s">
        <v>97</v>
      </c>
      <c r="DE472">
        <v>17.5</v>
      </c>
      <c r="DF472">
        <v>17.5</v>
      </c>
      <c r="DG472">
        <v>0.6</v>
      </c>
      <c r="DH472">
        <v>0.6</v>
      </c>
      <c r="DI472">
        <v>39.630000000000003</v>
      </c>
      <c r="DJ472">
        <v>21</v>
      </c>
      <c r="DK472">
        <v>21</v>
      </c>
      <c r="DL472">
        <v>1864.03</v>
      </c>
      <c r="DM472">
        <v>1864.03</v>
      </c>
      <c r="DN472">
        <v>213.04</v>
      </c>
      <c r="DO472">
        <v>213.04</v>
      </c>
      <c r="DP472">
        <v>213.04</v>
      </c>
      <c r="DQ472">
        <v>213.04</v>
      </c>
      <c r="DR472">
        <v>6.86</v>
      </c>
      <c r="DS472">
        <v>6.86</v>
      </c>
      <c r="DT472">
        <v>249.15</v>
      </c>
      <c r="DU472">
        <v>249.15</v>
      </c>
      <c r="DV472">
        <v>2982.7786669142301</v>
      </c>
    </row>
    <row r="473" spans="106:126">
      <c r="DB473" t="s">
        <v>668</v>
      </c>
      <c r="DC473" t="s">
        <v>668</v>
      </c>
      <c r="DD473" t="s">
        <v>97</v>
      </c>
      <c r="DE473">
        <v>17.5</v>
      </c>
      <c r="DF473">
        <v>17.5</v>
      </c>
      <c r="DG473">
        <v>0.8</v>
      </c>
      <c r="DH473">
        <v>0.8</v>
      </c>
      <c r="DI473">
        <v>51.79</v>
      </c>
      <c r="DJ473">
        <v>28</v>
      </c>
      <c r="DK473">
        <v>28</v>
      </c>
      <c r="DL473">
        <v>2367.89</v>
      </c>
      <c r="DM473">
        <v>2367.89</v>
      </c>
      <c r="DN473">
        <v>270.62</v>
      </c>
      <c r="DO473">
        <v>270.62</v>
      </c>
      <c r="DP473">
        <v>270.62</v>
      </c>
      <c r="DQ473">
        <v>270.62</v>
      </c>
      <c r="DR473">
        <v>6.76</v>
      </c>
      <c r="DS473">
        <v>6.76</v>
      </c>
      <c r="DT473">
        <v>320.75</v>
      </c>
      <c r="DU473">
        <v>320.75</v>
      </c>
      <c r="DV473">
        <v>3818.44157864306</v>
      </c>
    </row>
    <row r="474" spans="106:126">
      <c r="DB474" t="s">
        <v>669</v>
      </c>
      <c r="DC474" t="s">
        <v>669</v>
      </c>
      <c r="DD474" t="s">
        <v>97</v>
      </c>
      <c r="DE474">
        <v>17.5</v>
      </c>
      <c r="DF474">
        <v>17.5</v>
      </c>
      <c r="DG474">
        <v>1</v>
      </c>
      <c r="DH474">
        <v>1</v>
      </c>
      <c r="DI474">
        <v>63.42</v>
      </c>
      <c r="DJ474">
        <v>35</v>
      </c>
      <c r="DK474">
        <v>35</v>
      </c>
      <c r="DL474">
        <v>2817.2</v>
      </c>
      <c r="DM474">
        <v>2817.2</v>
      </c>
      <c r="DN474">
        <v>321.97000000000003</v>
      </c>
      <c r="DO474">
        <v>321.97000000000003</v>
      </c>
      <c r="DP474">
        <v>321.97000000000003</v>
      </c>
      <c r="DQ474">
        <v>321.97000000000003</v>
      </c>
      <c r="DR474">
        <v>6.66</v>
      </c>
      <c r="DS474">
        <v>6.66</v>
      </c>
      <c r="DT474">
        <v>386.83</v>
      </c>
      <c r="DU474">
        <v>386.83</v>
      </c>
      <c r="DV474">
        <v>4540.4047480916197</v>
      </c>
    </row>
    <row r="475" spans="106:126">
      <c r="DB475" t="s">
        <v>670</v>
      </c>
      <c r="DC475" t="s">
        <v>670</v>
      </c>
      <c r="DD475" t="s">
        <v>97</v>
      </c>
      <c r="DE475">
        <v>18</v>
      </c>
      <c r="DF475">
        <v>18</v>
      </c>
      <c r="DG475">
        <v>0.4</v>
      </c>
      <c r="DH475">
        <v>0.4</v>
      </c>
      <c r="DI475">
        <v>27.75</v>
      </c>
      <c r="DJ475">
        <v>14.4</v>
      </c>
      <c r="DK475">
        <v>14.4</v>
      </c>
      <c r="DL475">
        <v>1421.74</v>
      </c>
      <c r="DM475">
        <v>1421.74</v>
      </c>
      <c r="DN475">
        <v>157.97999999999999</v>
      </c>
      <c r="DO475">
        <v>157.97999999999999</v>
      </c>
      <c r="DP475">
        <v>157.97999999999999</v>
      </c>
      <c r="DQ475">
        <v>157.97999999999999</v>
      </c>
      <c r="DR475">
        <v>7.16</v>
      </c>
      <c r="DS475">
        <v>7.16</v>
      </c>
      <c r="DT475">
        <v>182.21</v>
      </c>
      <c r="DU475">
        <v>182.21</v>
      </c>
      <c r="DV475">
        <v>2238.61335364764</v>
      </c>
    </row>
    <row r="476" spans="106:126">
      <c r="DB476" t="s">
        <v>671</v>
      </c>
      <c r="DC476" t="s">
        <v>671</v>
      </c>
      <c r="DD476" t="s">
        <v>97</v>
      </c>
      <c r="DE476">
        <v>18</v>
      </c>
      <c r="DF476">
        <v>18</v>
      </c>
      <c r="DG476">
        <v>0.45</v>
      </c>
      <c r="DH476">
        <v>0.45</v>
      </c>
      <c r="DI476">
        <v>31.07</v>
      </c>
      <c r="DJ476">
        <v>16.2</v>
      </c>
      <c r="DK476">
        <v>16.2</v>
      </c>
      <c r="DL476">
        <v>1581.26</v>
      </c>
      <c r="DM476">
        <v>1581.26</v>
      </c>
      <c r="DN476">
        <v>175.7</v>
      </c>
      <c r="DO476">
        <v>175.7</v>
      </c>
      <c r="DP476">
        <v>175.7</v>
      </c>
      <c r="DQ476">
        <v>175.7</v>
      </c>
      <c r="DR476">
        <v>7.13</v>
      </c>
      <c r="DS476">
        <v>7.13</v>
      </c>
      <c r="DT476">
        <v>203.3</v>
      </c>
      <c r="DU476">
        <v>203.3</v>
      </c>
      <c r="DV476">
        <v>2500.7524738470102</v>
      </c>
    </row>
    <row r="477" spans="106:126">
      <c r="DB477" t="s">
        <v>672</v>
      </c>
      <c r="DC477" t="s">
        <v>672</v>
      </c>
      <c r="DD477" t="s">
        <v>97</v>
      </c>
      <c r="DE477">
        <v>18</v>
      </c>
      <c r="DF477">
        <v>18</v>
      </c>
      <c r="DG477">
        <v>0.5</v>
      </c>
      <c r="DH477">
        <v>0.5</v>
      </c>
      <c r="DI477">
        <v>34.36</v>
      </c>
      <c r="DJ477">
        <v>18</v>
      </c>
      <c r="DK477">
        <v>18</v>
      </c>
      <c r="DL477">
        <v>1736.87</v>
      </c>
      <c r="DM477">
        <v>1736.87</v>
      </c>
      <c r="DN477">
        <v>192.99</v>
      </c>
      <c r="DO477">
        <v>192.99</v>
      </c>
      <c r="DP477">
        <v>192.99</v>
      </c>
      <c r="DQ477">
        <v>192.99</v>
      </c>
      <c r="DR477">
        <v>7.11</v>
      </c>
      <c r="DS477">
        <v>7.11</v>
      </c>
      <c r="DT477">
        <v>224.02</v>
      </c>
      <c r="DU477">
        <v>224.02</v>
      </c>
      <c r="DV477">
        <v>2757.8510790632999</v>
      </c>
    </row>
    <row r="478" spans="106:126">
      <c r="DB478" t="s">
        <v>673</v>
      </c>
      <c r="DC478" t="s">
        <v>673</v>
      </c>
      <c r="DD478" t="s">
        <v>97</v>
      </c>
      <c r="DE478">
        <v>18</v>
      </c>
      <c r="DF478">
        <v>18</v>
      </c>
      <c r="DG478">
        <v>0.54</v>
      </c>
      <c r="DH478">
        <v>0.54</v>
      </c>
      <c r="DI478">
        <v>36.96</v>
      </c>
      <c r="DJ478">
        <v>19.440000000000001</v>
      </c>
      <c r="DK478">
        <v>19.440000000000001</v>
      </c>
      <c r="DL478">
        <v>1858.57</v>
      </c>
      <c r="DM478">
        <v>1858.57</v>
      </c>
      <c r="DN478">
        <v>206.51</v>
      </c>
      <c r="DO478">
        <v>206.51</v>
      </c>
      <c r="DP478">
        <v>206.51</v>
      </c>
      <c r="DQ478">
        <v>206.51</v>
      </c>
      <c r="DR478">
        <v>7.09</v>
      </c>
      <c r="DS478">
        <v>7.09</v>
      </c>
      <c r="DT478">
        <v>240.33</v>
      </c>
      <c r="DU478">
        <v>240.33</v>
      </c>
      <c r="DV478">
        <v>2959.67546898817</v>
      </c>
    </row>
    <row r="479" spans="106:126">
      <c r="DB479" t="s">
        <v>674</v>
      </c>
      <c r="DC479" t="s">
        <v>674</v>
      </c>
      <c r="DD479" t="s">
        <v>97</v>
      </c>
      <c r="DE479">
        <v>18</v>
      </c>
      <c r="DF479">
        <v>18</v>
      </c>
      <c r="DG479">
        <v>0.6</v>
      </c>
      <c r="DH479">
        <v>0.6</v>
      </c>
      <c r="DI479">
        <v>40.83</v>
      </c>
      <c r="DJ479">
        <v>21.6</v>
      </c>
      <c r="DK479">
        <v>21.6</v>
      </c>
      <c r="DL479">
        <v>2036.52</v>
      </c>
      <c r="DM479">
        <v>2036.52</v>
      </c>
      <c r="DN479">
        <v>226.28</v>
      </c>
      <c r="DO479">
        <v>226.28</v>
      </c>
      <c r="DP479">
        <v>226.28</v>
      </c>
      <c r="DQ479">
        <v>226.28</v>
      </c>
      <c r="DR479">
        <v>7.06</v>
      </c>
      <c r="DS479">
        <v>7.06</v>
      </c>
      <c r="DT479">
        <v>264.35000000000002</v>
      </c>
      <c r="DU479">
        <v>264.35000000000002</v>
      </c>
      <c r="DV479">
        <v>3255.58553538861</v>
      </c>
    </row>
    <row r="480" spans="106:126">
      <c r="DB480" t="s">
        <v>675</v>
      </c>
      <c r="DC480" t="s">
        <v>675</v>
      </c>
      <c r="DD480" t="s">
        <v>97</v>
      </c>
      <c r="DE480">
        <v>18</v>
      </c>
      <c r="DF480">
        <v>18</v>
      </c>
      <c r="DG480">
        <v>0.8</v>
      </c>
      <c r="DH480">
        <v>0.8</v>
      </c>
      <c r="DI480">
        <v>53.39</v>
      </c>
      <c r="DJ480">
        <v>28.8</v>
      </c>
      <c r="DK480">
        <v>28.8</v>
      </c>
      <c r="DL480">
        <v>2590.73</v>
      </c>
      <c r="DM480">
        <v>2590.73</v>
      </c>
      <c r="DN480">
        <v>287.86</v>
      </c>
      <c r="DO480">
        <v>287.86</v>
      </c>
      <c r="DP480">
        <v>287.86</v>
      </c>
      <c r="DQ480">
        <v>287.86</v>
      </c>
      <c r="DR480">
        <v>6.97</v>
      </c>
      <c r="DS480">
        <v>6.97</v>
      </c>
      <c r="DT480">
        <v>340.68</v>
      </c>
      <c r="DU480">
        <v>340.68</v>
      </c>
      <c r="DV480">
        <v>4175.8387974830002</v>
      </c>
    </row>
    <row r="481" spans="106:126">
      <c r="DB481" t="s">
        <v>676</v>
      </c>
      <c r="DC481" t="s">
        <v>676</v>
      </c>
      <c r="DD481" t="s">
        <v>97</v>
      </c>
      <c r="DE481">
        <v>18</v>
      </c>
      <c r="DF481">
        <v>18</v>
      </c>
      <c r="DG481">
        <v>1</v>
      </c>
      <c r="DH481">
        <v>1</v>
      </c>
      <c r="DI481">
        <v>65.42</v>
      </c>
      <c r="DJ481">
        <v>36</v>
      </c>
      <c r="DK481">
        <v>36</v>
      </c>
      <c r="DL481">
        <v>3086.93</v>
      </c>
      <c r="DM481">
        <v>3086.93</v>
      </c>
      <c r="DN481">
        <v>343</v>
      </c>
      <c r="DO481">
        <v>343</v>
      </c>
      <c r="DP481">
        <v>343</v>
      </c>
      <c r="DQ481">
        <v>343</v>
      </c>
      <c r="DR481">
        <v>6.87</v>
      </c>
      <c r="DS481">
        <v>6.87</v>
      </c>
      <c r="DT481">
        <v>411.31</v>
      </c>
      <c r="DU481">
        <v>411.31</v>
      </c>
      <c r="DV481">
        <v>4978.1847593181701</v>
      </c>
    </row>
    <row r="482" spans="106:126">
      <c r="DB482" t="s">
        <v>677</v>
      </c>
      <c r="DC482" t="s">
        <v>677</v>
      </c>
      <c r="DD482" t="s">
        <v>97</v>
      </c>
      <c r="DE482">
        <v>20</v>
      </c>
      <c r="DF482">
        <v>20</v>
      </c>
      <c r="DG482">
        <v>0.4</v>
      </c>
      <c r="DH482">
        <v>0.4</v>
      </c>
      <c r="DI482">
        <v>30.95</v>
      </c>
      <c r="DJ482">
        <v>16</v>
      </c>
      <c r="DK482">
        <v>16</v>
      </c>
      <c r="DL482">
        <v>1968.13</v>
      </c>
      <c r="DM482">
        <v>1968.13</v>
      </c>
      <c r="DN482">
        <v>196.82</v>
      </c>
      <c r="DO482">
        <v>196.82</v>
      </c>
      <c r="DP482">
        <v>196.82</v>
      </c>
      <c r="DQ482">
        <v>196.82</v>
      </c>
      <c r="DR482">
        <v>7.97</v>
      </c>
      <c r="DS482">
        <v>7.97</v>
      </c>
      <c r="DT482">
        <v>226.44</v>
      </c>
      <c r="DU482">
        <v>226.44</v>
      </c>
      <c r="DV482">
        <v>3087.17877011365</v>
      </c>
    </row>
    <row r="483" spans="106:126">
      <c r="DB483" t="s">
        <v>678</v>
      </c>
      <c r="DC483" t="s">
        <v>678</v>
      </c>
      <c r="DD483" t="s">
        <v>97</v>
      </c>
      <c r="DE483">
        <v>20</v>
      </c>
      <c r="DF483">
        <v>20</v>
      </c>
      <c r="DG483">
        <v>0.45</v>
      </c>
      <c r="DH483">
        <v>0.45</v>
      </c>
      <c r="DI483">
        <v>34.67</v>
      </c>
      <c r="DJ483">
        <v>18</v>
      </c>
      <c r="DK483">
        <v>18</v>
      </c>
      <c r="DL483">
        <v>2191.54</v>
      </c>
      <c r="DM483">
        <v>2191.54</v>
      </c>
      <c r="DN483">
        <v>219.16</v>
      </c>
      <c r="DO483">
        <v>219.16</v>
      </c>
      <c r="DP483">
        <v>219.16</v>
      </c>
      <c r="DQ483">
        <v>219.16</v>
      </c>
      <c r="DR483">
        <v>7.95</v>
      </c>
      <c r="DS483">
        <v>7.95</v>
      </c>
      <c r="DT483">
        <v>252.86</v>
      </c>
      <c r="DU483">
        <v>252.86</v>
      </c>
      <c r="DV483">
        <v>3452.2855333187699</v>
      </c>
    </row>
    <row r="484" spans="106:126">
      <c r="DB484" t="s">
        <v>679</v>
      </c>
      <c r="DC484" t="s">
        <v>679</v>
      </c>
      <c r="DD484" t="s">
        <v>97</v>
      </c>
      <c r="DE484">
        <v>20</v>
      </c>
      <c r="DF484">
        <v>20</v>
      </c>
      <c r="DG484">
        <v>0.5</v>
      </c>
      <c r="DH484">
        <v>0.5</v>
      </c>
      <c r="DI484">
        <v>38.36</v>
      </c>
      <c r="DJ484">
        <v>20</v>
      </c>
      <c r="DK484">
        <v>20</v>
      </c>
      <c r="DL484">
        <v>2410.09</v>
      </c>
      <c r="DM484">
        <v>2410.09</v>
      </c>
      <c r="DN484">
        <v>241.01</v>
      </c>
      <c r="DO484">
        <v>241.01</v>
      </c>
      <c r="DP484">
        <v>241.01</v>
      </c>
      <c r="DQ484">
        <v>241.01</v>
      </c>
      <c r="DR484">
        <v>7.93</v>
      </c>
      <c r="DS484">
        <v>7.93</v>
      </c>
      <c r="DT484">
        <v>278.87</v>
      </c>
      <c r="DU484">
        <v>278.87</v>
      </c>
      <c r="DV484">
        <v>3811.54164585736</v>
      </c>
    </row>
    <row r="485" spans="106:126">
      <c r="DB485" t="s">
        <v>680</v>
      </c>
      <c r="DC485" t="s">
        <v>680</v>
      </c>
      <c r="DD485" t="s">
        <v>97</v>
      </c>
      <c r="DE485">
        <v>20</v>
      </c>
      <c r="DF485">
        <v>20</v>
      </c>
      <c r="DG485">
        <v>0.54</v>
      </c>
      <c r="DH485">
        <v>0.54</v>
      </c>
      <c r="DI485">
        <v>41.28</v>
      </c>
      <c r="DJ485">
        <v>21.6</v>
      </c>
      <c r="DK485">
        <v>21.6</v>
      </c>
      <c r="DL485">
        <v>2581.4499999999998</v>
      </c>
      <c r="DM485">
        <v>2581.4499999999998</v>
      </c>
      <c r="DN485">
        <v>258.14999999999998</v>
      </c>
      <c r="DO485">
        <v>258.14999999999998</v>
      </c>
      <c r="DP485">
        <v>258.14999999999998</v>
      </c>
      <c r="DQ485">
        <v>258.14999999999998</v>
      </c>
      <c r="DR485">
        <v>7.91</v>
      </c>
      <c r="DS485">
        <v>7.91</v>
      </c>
      <c r="DT485">
        <v>299.39</v>
      </c>
      <c r="DU485">
        <v>299.39</v>
      </c>
      <c r="DV485">
        <v>4094.4839637302498</v>
      </c>
    </row>
    <row r="486" spans="106:126">
      <c r="DB486" t="s">
        <v>681</v>
      </c>
      <c r="DC486" t="s">
        <v>681</v>
      </c>
      <c r="DD486" t="s">
        <v>97</v>
      </c>
      <c r="DE486">
        <v>20</v>
      </c>
      <c r="DF486">
        <v>20</v>
      </c>
      <c r="DG486">
        <v>0.6</v>
      </c>
      <c r="DH486">
        <v>0.6</v>
      </c>
      <c r="DI486">
        <v>45.63</v>
      </c>
      <c r="DJ486">
        <v>24</v>
      </c>
      <c r="DK486">
        <v>24</v>
      </c>
      <c r="DL486">
        <v>2832.75</v>
      </c>
      <c r="DM486">
        <v>2832.75</v>
      </c>
      <c r="DN486">
        <v>283.27999999999997</v>
      </c>
      <c r="DO486">
        <v>283.27999999999997</v>
      </c>
      <c r="DP486">
        <v>283.27999999999997</v>
      </c>
      <c r="DQ486">
        <v>283.27999999999997</v>
      </c>
      <c r="DR486">
        <v>7.88</v>
      </c>
      <c r="DS486">
        <v>7.88</v>
      </c>
      <c r="DT486">
        <v>329.67</v>
      </c>
      <c r="DU486">
        <v>329.67</v>
      </c>
      <c r="DV486">
        <v>4511.0127556594498</v>
      </c>
    </row>
    <row r="487" spans="106:126">
      <c r="DB487" t="s">
        <v>682</v>
      </c>
      <c r="DC487" t="s">
        <v>682</v>
      </c>
      <c r="DD487" t="s">
        <v>97</v>
      </c>
      <c r="DE487">
        <v>20</v>
      </c>
      <c r="DF487">
        <v>20</v>
      </c>
      <c r="DG487">
        <v>0.8</v>
      </c>
      <c r="DH487">
        <v>0.8</v>
      </c>
      <c r="DI487">
        <v>59.79</v>
      </c>
      <c r="DJ487">
        <v>32</v>
      </c>
      <c r="DK487">
        <v>32</v>
      </c>
      <c r="DL487">
        <v>3621.63</v>
      </c>
      <c r="DM487">
        <v>3621.63</v>
      </c>
      <c r="DN487">
        <v>362.17</v>
      </c>
      <c r="DO487">
        <v>362.17</v>
      </c>
      <c r="DP487">
        <v>362.17</v>
      </c>
      <c r="DQ487">
        <v>362.17</v>
      </c>
      <c r="DR487">
        <v>7.78</v>
      </c>
      <c r="DS487">
        <v>7.78</v>
      </c>
      <c r="DT487">
        <v>426.39</v>
      </c>
      <c r="DU487">
        <v>426.39</v>
      </c>
      <c r="DV487">
        <v>5823.3655687022701</v>
      </c>
    </row>
    <row r="488" spans="106:126">
      <c r="DB488" t="s">
        <v>683</v>
      </c>
      <c r="DC488" t="s">
        <v>683</v>
      </c>
      <c r="DD488" t="s">
        <v>97</v>
      </c>
      <c r="DE488">
        <v>20</v>
      </c>
      <c r="DF488">
        <v>20</v>
      </c>
      <c r="DG488">
        <v>1</v>
      </c>
      <c r="DH488">
        <v>1</v>
      </c>
      <c r="DI488">
        <v>73.42</v>
      </c>
      <c r="DJ488">
        <v>40</v>
      </c>
      <c r="DK488">
        <v>40</v>
      </c>
      <c r="DL488">
        <v>4337.63</v>
      </c>
      <c r="DM488">
        <v>4337.63</v>
      </c>
      <c r="DN488">
        <v>433.77</v>
      </c>
      <c r="DO488">
        <v>433.77</v>
      </c>
      <c r="DP488">
        <v>433.77</v>
      </c>
      <c r="DQ488">
        <v>433.77</v>
      </c>
      <c r="DR488">
        <v>7.69</v>
      </c>
      <c r="DS488">
        <v>7.69</v>
      </c>
      <c r="DT488">
        <v>516.73</v>
      </c>
      <c r="DU488">
        <v>516.73</v>
      </c>
      <c r="DV488">
        <v>7000.5378724151296</v>
      </c>
    </row>
    <row r="489" spans="106:126">
      <c r="DB489" t="s">
        <v>684</v>
      </c>
      <c r="DC489" t="s">
        <v>684</v>
      </c>
      <c r="DD489" t="s">
        <v>97</v>
      </c>
      <c r="DE489">
        <v>20</v>
      </c>
      <c r="DF489">
        <v>20</v>
      </c>
      <c r="DG489">
        <v>1.2</v>
      </c>
      <c r="DH489">
        <v>1.2</v>
      </c>
      <c r="DI489">
        <v>86.53</v>
      </c>
      <c r="DJ489">
        <v>48</v>
      </c>
      <c r="DK489">
        <v>48</v>
      </c>
      <c r="DL489">
        <v>4983.59</v>
      </c>
      <c r="DM489">
        <v>4983.59</v>
      </c>
      <c r="DN489">
        <v>498.36</v>
      </c>
      <c r="DO489">
        <v>498.36</v>
      </c>
      <c r="DP489">
        <v>498.36</v>
      </c>
      <c r="DQ489">
        <v>498.36</v>
      </c>
      <c r="DR489">
        <v>7.59</v>
      </c>
      <c r="DS489">
        <v>7.59</v>
      </c>
      <c r="DT489">
        <v>600.80999999999995</v>
      </c>
      <c r="DU489">
        <v>600.80999999999995</v>
      </c>
      <c r="DV489">
        <v>8019.3361702810598</v>
      </c>
    </row>
    <row r="490" spans="106:126">
      <c r="DB490" t="s">
        <v>685</v>
      </c>
      <c r="DC490" t="s">
        <v>685</v>
      </c>
      <c r="DD490" t="s">
        <v>97</v>
      </c>
      <c r="DE490">
        <v>20</v>
      </c>
      <c r="DF490">
        <v>20</v>
      </c>
      <c r="DG490">
        <v>1.4</v>
      </c>
      <c r="DH490">
        <v>1.4</v>
      </c>
      <c r="DI490">
        <v>99.11</v>
      </c>
      <c r="DJ490">
        <v>56</v>
      </c>
      <c r="DK490">
        <v>56</v>
      </c>
      <c r="DL490">
        <v>5562.26</v>
      </c>
      <c r="DM490">
        <v>5562.26</v>
      </c>
      <c r="DN490">
        <v>556.23</v>
      </c>
      <c r="DO490">
        <v>556.23</v>
      </c>
      <c r="DP490">
        <v>556.23</v>
      </c>
      <c r="DQ490">
        <v>556.23</v>
      </c>
      <c r="DR490">
        <v>7.49</v>
      </c>
      <c r="DS490">
        <v>7.49</v>
      </c>
      <c r="DT490">
        <v>678.74</v>
      </c>
      <c r="DU490">
        <v>678.74</v>
      </c>
      <c r="DV490">
        <v>8857.5654714566208</v>
      </c>
    </row>
    <row r="491" spans="106:126">
      <c r="DB491" t="s">
        <v>686</v>
      </c>
      <c r="DC491" t="s">
        <v>686</v>
      </c>
      <c r="DD491" t="s">
        <v>97</v>
      </c>
      <c r="DE491">
        <v>22</v>
      </c>
      <c r="DF491">
        <v>22</v>
      </c>
      <c r="DG491">
        <v>0.45</v>
      </c>
      <c r="DH491">
        <v>0.45</v>
      </c>
      <c r="DI491">
        <v>38.270000000000003</v>
      </c>
      <c r="DJ491">
        <v>19.8</v>
      </c>
      <c r="DK491">
        <v>19.8</v>
      </c>
      <c r="DL491">
        <v>2941.55</v>
      </c>
      <c r="DM491">
        <v>2941.55</v>
      </c>
      <c r="DN491">
        <v>267.42</v>
      </c>
      <c r="DO491">
        <v>267.42</v>
      </c>
      <c r="DP491">
        <v>267.42</v>
      </c>
      <c r="DQ491">
        <v>267.42</v>
      </c>
      <c r="DR491">
        <v>8.77</v>
      </c>
      <c r="DS491">
        <v>8.77</v>
      </c>
      <c r="DT491">
        <v>307.83</v>
      </c>
      <c r="DU491">
        <v>307.83</v>
      </c>
      <c r="DV491">
        <v>4617.7424568445804</v>
      </c>
    </row>
    <row r="492" spans="106:126">
      <c r="DB492" t="s">
        <v>687</v>
      </c>
      <c r="DC492" t="s">
        <v>687</v>
      </c>
      <c r="DD492" t="s">
        <v>97</v>
      </c>
      <c r="DE492">
        <v>22</v>
      </c>
      <c r="DF492">
        <v>22</v>
      </c>
      <c r="DG492">
        <v>0.5</v>
      </c>
      <c r="DH492">
        <v>0.5</v>
      </c>
      <c r="DI492">
        <v>42.36</v>
      </c>
      <c r="DJ492">
        <v>22</v>
      </c>
      <c r="DK492">
        <v>22</v>
      </c>
      <c r="DL492">
        <v>3238.02</v>
      </c>
      <c r="DM492">
        <v>3238.02</v>
      </c>
      <c r="DN492">
        <v>294.37</v>
      </c>
      <c r="DO492">
        <v>294.37</v>
      </c>
      <c r="DP492">
        <v>294.37</v>
      </c>
      <c r="DQ492">
        <v>294.37</v>
      </c>
      <c r="DR492">
        <v>8.74</v>
      </c>
      <c r="DS492">
        <v>8.74</v>
      </c>
      <c r="DT492">
        <v>339.73</v>
      </c>
      <c r="DU492">
        <v>339.73</v>
      </c>
      <c r="DV492">
        <v>5102.6703848565903</v>
      </c>
    </row>
    <row r="493" spans="106:126">
      <c r="DB493" t="s">
        <v>688</v>
      </c>
      <c r="DC493" t="s">
        <v>688</v>
      </c>
      <c r="DD493" t="s">
        <v>97</v>
      </c>
      <c r="DE493">
        <v>22</v>
      </c>
      <c r="DF493">
        <v>22</v>
      </c>
      <c r="DG493">
        <v>0.54</v>
      </c>
      <c r="DH493">
        <v>0.54</v>
      </c>
      <c r="DI493">
        <v>45.6</v>
      </c>
      <c r="DJ493">
        <v>23.76</v>
      </c>
      <c r="DK493">
        <v>23.76</v>
      </c>
      <c r="DL493">
        <v>3470.96</v>
      </c>
      <c r="DM493">
        <v>3470.96</v>
      </c>
      <c r="DN493">
        <v>315.55</v>
      </c>
      <c r="DO493">
        <v>315.55</v>
      </c>
      <c r="DP493">
        <v>315.55</v>
      </c>
      <c r="DQ493">
        <v>315.55</v>
      </c>
      <c r="DR493">
        <v>8.7200000000000006</v>
      </c>
      <c r="DS493">
        <v>8.7200000000000006</v>
      </c>
      <c r="DT493">
        <v>364.93</v>
      </c>
      <c r="DU493">
        <v>364.93</v>
      </c>
      <c r="DV493">
        <v>5485.5058377202904</v>
      </c>
    </row>
    <row r="494" spans="106:126">
      <c r="DB494" t="s">
        <v>689</v>
      </c>
      <c r="DC494" t="s">
        <v>689</v>
      </c>
      <c r="DD494" t="s">
        <v>97</v>
      </c>
      <c r="DE494">
        <v>22</v>
      </c>
      <c r="DF494">
        <v>22</v>
      </c>
      <c r="DG494">
        <v>0.6</v>
      </c>
      <c r="DH494">
        <v>0.6</v>
      </c>
      <c r="DI494">
        <v>50.43</v>
      </c>
      <c r="DJ494">
        <v>26.4</v>
      </c>
      <c r="DK494">
        <v>26.4</v>
      </c>
      <c r="DL494">
        <v>3813.36</v>
      </c>
      <c r="DM494">
        <v>3813.36</v>
      </c>
      <c r="DN494">
        <v>346.67</v>
      </c>
      <c r="DO494">
        <v>346.67</v>
      </c>
      <c r="DP494">
        <v>346.67</v>
      </c>
      <c r="DQ494">
        <v>346.67</v>
      </c>
      <c r="DR494">
        <v>8.6999999999999993</v>
      </c>
      <c r="DS494">
        <v>8.6999999999999993</v>
      </c>
      <c r="DT494">
        <v>402.18</v>
      </c>
      <c r="DU494">
        <v>402.18</v>
      </c>
      <c r="DV494">
        <v>6050.7562193290996</v>
      </c>
    </row>
    <row r="495" spans="106:126">
      <c r="DB495" t="s">
        <v>690</v>
      </c>
      <c r="DC495" t="s">
        <v>690</v>
      </c>
      <c r="DD495" t="s">
        <v>97</v>
      </c>
      <c r="DE495">
        <v>22</v>
      </c>
      <c r="DF495">
        <v>22</v>
      </c>
      <c r="DG495">
        <v>0.8</v>
      </c>
      <c r="DH495">
        <v>0.8</v>
      </c>
      <c r="DI495">
        <v>66.19</v>
      </c>
      <c r="DJ495">
        <v>35.200000000000003</v>
      </c>
      <c r="DK495">
        <v>35.200000000000003</v>
      </c>
      <c r="DL495">
        <v>4894.99</v>
      </c>
      <c r="DM495">
        <v>4894.99</v>
      </c>
      <c r="DN495">
        <v>445</v>
      </c>
      <c r="DO495">
        <v>445</v>
      </c>
      <c r="DP495">
        <v>445</v>
      </c>
      <c r="DQ495">
        <v>445</v>
      </c>
      <c r="DR495">
        <v>8.6</v>
      </c>
      <c r="DS495">
        <v>8.6</v>
      </c>
      <c r="DT495">
        <v>521.70000000000005</v>
      </c>
      <c r="DU495">
        <v>521.70000000000005</v>
      </c>
      <c r="DV495">
        <v>7848.37696245812</v>
      </c>
    </row>
    <row r="496" spans="106:126">
      <c r="DB496" t="s">
        <v>691</v>
      </c>
      <c r="DC496" t="s">
        <v>691</v>
      </c>
      <c r="DD496" t="s">
        <v>97</v>
      </c>
      <c r="DE496">
        <v>22</v>
      </c>
      <c r="DF496">
        <v>22</v>
      </c>
      <c r="DG496">
        <v>1</v>
      </c>
      <c r="DH496">
        <v>1</v>
      </c>
      <c r="DI496">
        <v>81.42</v>
      </c>
      <c r="DJ496">
        <v>44</v>
      </c>
      <c r="DK496">
        <v>44</v>
      </c>
      <c r="DL496">
        <v>5887.19</v>
      </c>
      <c r="DM496">
        <v>5887.19</v>
      </c>
      <c r="DN496">
        <v>535.20000000000005</v>
      </c>
      <c r="DO496">
        <v>535.20000000000005</v>
      </c>
      <c r="DP496">
        <v>535.20000000000005</v>
      </c>
      <c r="DQ496">
        <v>535.20000000000005</v>
      </c>
      <c r="DR496">
        <v>8.5</v>
      </c>
      <c r="DS496">
        <v>8.5</v>
      </c>
      <c r="DT496">
        <v>634.16</v>
      </c>
      <c r="DU496">
        <v>634.16</v>
      </c>
      <c r="DV496">
        <v>9492.8082626241703</v>
      </c>
    </row>
    <row r="497" spans="106:126">
      <c r="DB497" t="s">
        <v>692</v>
      </c>
      <c r="DC497" t="s">
        <v>692</v>
      </c>
      <c r="DD497" t="s">
        <v>97</v>
      </c>
      <c r="DE497">
        <v>22</v>
      </c>
      <c r="DF497">
        <v>22</v>
      </c>
      <c r="DG497">
        <v>1.2</v>
      </c>
      <c r="DH497">
        <v>1.2</v>
      </c>
      <c r="DI497">
        <v>96.13</v>
      </c>
      <c r="DJ497">
        <v>52.8</v>
      </c>
      <c r="DK497">
        <v>52.8</v>
      </c>
      <c r="DL497">
        <v>6793.08</v>
      </c>
      <c r="DM497">
        <v>6793.08</v>
      </c>
      <c r="DN497">
        <v>617.55999999999995</v>
      </c>
      <c r="DO497">
        <v>617.55999999999995</v>
      </c>
      <c r="DP497">
        <v>617.55999999999995</v>
      </c>
      <c r="DQ497">
        <v>617.55999999999995</v>
      </c>
      <c r="DR497">
        <v>8.41</v>
      </c>
      <c r="DS497">
        <v>8.41</v>
      </c>
      <c r="DT497">
        <v>739.66</v>
      </c>
      <c r="DU497">
        <v>739.66</v>
      </c>
      <c r="DV497">
        <v>10958.2388857389</v>
      </c>
    </row>
    <row r="498" spans="106:126">
      <c r="DB498" t="s">
        <v>693</v>
      </c>
      <c r="DC498" t="s">
        <v>693</v>
      </c>
      <c r="DD498" t="s">
        <v>97</v>
      </c>
      <c r="DE498">
        <v>22</v>
      </c>
      <c r="DF498">
        <v>22</v>
      </c>
      <c r="DG498">
        <v>1.4</v>
      </c>
      <c r="DH498">
        <v>1.4</v>
      </c>
      <c r="DI498">
        <v>110.31</v>
      </c>
      <c r="DJ498">
        <v>61.6</v>
      </c>
      <c r="DK498">
        <v>61.6</v>
      </c>
      <c r="DL498">
        <v>7615.74</v>
      </c>
      <c r="DM498">
        <v>7615.74</v>
      </c>
      <c r="DN498">
        <v>692.34</v>
      </c>
      <c r="DO498">
        <v>692.34</v>
      </c>
      <c r="DP498">
        <v>692.34</v>
      </c>
      <c r="DQ498">
        <v>692.34</v>
      </c>
      <c r="DR498">
        <v>8.31</v>
      </c>
      <c r="DS498">
        <v>8.31</v>
      </c>
      <c r="DT498">
        <v>838.33</v>
      </c>
      <c r="DU498">
        <v>838.33</v>
      </c>
      <c r="DV498">
        <v>12219.6180956836</v>
      </c>
    </row>
    <row r="499" spans="106:126">
      <c r="DB499" t="s">
        <v>694</v>
      </c>
      <c r="DC499" t="s">
        <v>694</v>
      </c>
      <c r="DD499" t="s">
        <v>97</v>
      </c>
      <c r="DE499">
        <v>22.5</v>
      </c>
      <c r="DF499">
        <v>22.5</v>
      </c>
      <c r="DG499">
        <v>0.45</v>
      </c>
      <c r="DH499">
        <v>0.45</v>
      </c>
      <c r="DI499">
        <v>39.17</v>
      </c>
      <c r="DJ499">
        <v>20.25</v>
      </c>
      <c r="DK499">
        <v>20.25</v>
      </c>
      <c r="DL499">
        <v>3152.57</v>
      </c>
      <c r="DM499">
        <v>3152.57</v>
      </c>
      <c r="DN499">
        <v>280.23</v>
      </c>
      <c r="DO499">
        <v>280.23</v>
      </c>
      <c r="DP499">
        <v>280.23</v>
      </c>
      <c r="DQ499">
        <v>280.23</v>
      </c>
      <c r="DR499">
        <v>8.9700000000000006</v>
      </c>
      <c r="DS499">
        <v>8.9700000000000006</v>
      </c>
      <c r="DT499">
        <v>322.41000000000003</v>
      </c>
      <c r="DU499">
        <v>322.41000000000003</v>
      </c>
      <c r="DV499">
        <v>4945.0634547645705</v>
      </c>
    </row>
    <row r="500" spans="106:126">
      <c r="DB500" t="s">
        <v>695</v>
      </c>
      <c r="DC500" t="s">
        <v>695</v>
      </c>
      <c r="DD500" t="s">
        <v>97</v>
      </c>
      <c r="DE500">
        <v>22.5</v>
      </c>
      <c r="DF500">
        <v>22.5</v>
      </c>
      <c r="DG500">
        <v>0.5</v>
      </c>
      <c r="DH500">
        <v>0.5</v>
      </c>
      <c r="DI500">
        <v>43.36</v>
      </c>
      <c r="DJ500">
        <v>22.5</v>
      </c>
      <c r="DK500">
        <v>22.5</v>
      </c>
      <c r="DL500">
        <v>3471.05</v>
      </c>
      <c r="DM500">
        <v>3471.05</v>
      </c>
      <c r="DN500">
        <v>308.54000000000002</v>
      </c>
      <c r="DO500">
        <v>308.54000000000002</v>
      </c>
      <c r="DP500">
        <v>308.54000000000002</v>
      </c>
      <c r="DQ500">
        <v>308.54000000000002</v>
      </c>
      <c r="DR500">
        <v>8.9499999999999993</v>
      </c>
      <c r="DS500">
        <v>8.9499999999999993</v>
      </c>
      <c r="DT500">
        <v>355.88</v>
      </c>
      <c r="DU500">
        <v>355.88</v>
      </c>
      <c r="DV500">
        <v>5465.3646329288104</v>
      </c>
    </row>
    <row r="501" spans="106:126">
      <c r="DB501" t="s">
        <v>696</v>
      </c>
      <c r="DC501" t="s">
        <v>696</v>
      </c>
      <c r="DD501" t="s">
        <v>97</v>
      </c>
      <c r="DE501">
        <v>22.5</v>
      </c>
      <c r="DF501">
        <v>22.5</v>
      </c>
      <c r="DG501">
        <v>0.54</v>
      </c>
      <c r="DH501">
        <v>0.54</v>
      </c>
      <c r="DI501">
        <v>46.68</v>
      </c>
      <c r="DJ501">
        <v>24.3</v>
      </c>
      <c r="DK501">
        <v>24.3</v>
      </c>
      <c r="DL501">
        <v>3721.4</v>
      </c>
      <c r="DM501">
        <v>3721.4</v>
      </c>
      <c r="DN501">
        <v>330.8</v>
      </c>
      <c r="DO501">
        <v>330.8</v>
      </c>
      <c r="DP501">
        <v>330.8</v>
      </c>
      <c r="DQ501">
        <v>330.8</v>
      </c>
      <c r="DR501">
        <v>8.93</v>
      </c>
      <c r="DS501">
        <v>8.93</v>
      </c>
      <c r="DT501">
        <v>382.32</v>
      </c>
      <c r="DU501">
        <v>382.32</v>
      </c>
      <c r="DV501">
        <v>5876.3319196059101</v>
      </c>
    </row>
    <row r="502" spans="106:126">
      <c r="DB502" t="s">
        <v>697</v>
      </c>
      <c r="DC502" t="s">
        <v>697</v>
      </c>
      <c r="DD502" t="s">
        <v>97</v>
      </c>
      <c r="DE502">
        <v>22.5</v>
      </c>
      <c r="DF502">
        <v>22.5</v>
      </c>
      <c r="DG502">
        <v>0.6</v>
      </c>
      <c r="DH502">
        <v>0.6</v>
      </c>
      <c r="DI502">
        <v>51.63</v>
      </c>
      <c r="DJ502">
        <v>27</v>
      </c>
      <c r="DK502">
        <v>27</v>
      </c>
      <c r="DL502">
        <v>4089.57</v>
      </c>
      <c r="DM502">
        <v>4089.57</v>
      </c>
      <c r="DN502">
        <v>363.52</v>
      </c>
      <c r="DO502">
        <v>363.52</v>
      </c>
      <c r="DP502">
        <v>363.52</v>
      </c>
      <c r="DQ502">
        <v>363.52</v>
      </c>
      <c r="DR502">
        <v>8.9</v>
      </c>
      <c r="DS502">
        <v>8.9</v>
      </c>
      <c r="DT502">
        <v>421.43</v>
      </c>
      <c r="DU502">
        <v>421.43</v>
      </c>
      <c r="DV502">
        <v>6483.4911001500104</v>
      </c>
    </row>
    <row r="503" spans="106:126">
      <c r="DB503" t="s">
        <v>698</v>
      </c>
      <c r="DC503" t="s">
        <v>698</v>
      </c>
      <c r="DD503" t="s">
        <v>97</v>
      </c>
      <c r="DE503">
        <v>22.5</v>
      </c>
      <c r="DF503">
        <v>22.5</v>
      </c>
      <c r="DG503">
        <v>0.8</v>
      </c>
      <c r="DH503">
        <v>0.8</v>
      </c>
      <c r="DI503">
        <v>67.790000000000006</v>
      </c>
      <c r="DJ503">
        <v>36</v>
      </c>
      <c r="DK503">
        <v>36</v>
      </c>
      <c r="DL503">
        <v>5254.21</v>
      </c>
      <c r="DM503">
        <v>5254.21</v>
      </c>
      <c r="DN503">
        <v>467.05</v>
      </c>
      <c r="DO503">
        <v>467.05</v>
      </c>
      <c r="DP503">
        <v>467.05</v>
      </c>
      <c r="DQ503">
        <v>467.05</v>
      </c>
      <c r="DR503">
        <v>8.8000000000000007</v>
      </c>
      <c r="DS503">
        <v>8.8000000000000007</v>
      </c>
      <c r="DT503">
        <v>547.03</v>
      </c>
      <c r="DU503">
        <v>547.03</v>
      </c>
      <c r="DV503">
        <v>8418.1098968507595</v>
      </c>
    </row>
    <row r="504" spans="106:126">
      <c r="DB504" t="s">
        <v>699</v>
      </c>
      <c r="DC504" t="s">
        <v>699</v>
      </c>
      <c r="DD504" t="s">
        <v>97</v>
      </c>
      <c r="DE504">
        <v>22.5</v>
      </c>
      <c r="DF504">
        <v>22.5</v>
      </c>
      <c r="DG504">
        <v>1</v>
      </c>
      <c r="DH504">
        <v>1</v>
      </c>
      <c r="DI504">
        <v>83.42</v>
      </c>
      <c r="DJ504">
        <v>45</v>
      </c>
      <c r="DK504">
        <v>45</v>
      </c>
      <c r="DL504">
        <v>6325.02</v>
      </c>
      <c r="DM504">
        <v>6325.02</v>
      </c>
      <c r="DN504">
        <v>562.23</v>
      </c>
      <c r="DO504">
        <v>562.23</v>
      </c>
      <c r="DP504">
        <v>562.23</v>
      </c>
      <c r="DQ504">
        <v>562.23</v>
      </c>
      <c r="DR504">
        <v>8.7100000000000009</v>
      </c>
      <c r="DS504">
        <v>8.7100000000000009</v>
      </c>
      <c r="DT504">
        <v>665.39</v>
      </c>
      <c r="DU504">
        <v>665.39</v>
      </c>
      <c r="DV504">
        <v>10194.918939167501</v>
      </c>
    </row>
    <row r="505" spans="106:126">
      <c r="DB505" t="s">
        <v>700</v>
      </c>
      <c r="DC505" t="s">
        <v>700</v>
      </c>
      <c r="DD505" t="s">
        <v>97</v>
      </c>
      <c r="DE505">
        <v>22.5</v>
      </c>
      <c r="DF505">
        <v>22.5</v>
      </c>
      <c r="DG505">
        <v>1.2</v>
      </c>
      <c r="DH505">
        <v>1.2</v>
      </c>
      <c r="DI505">
        <v>98.53</v>
      </c>
      <c r="DJ505">
        <v>54</v>
      </c>
      <c r="DK505">
        <v>54</v>
      </c>
      <c r="DL505">
        <v>7305.19</v>
      </c>
      <c r="DM505">
        <v>7305.19</v>
      </c>
      <c r="DN505">
        <v>649.36</v>
      </c>
      <c r="DO505">
        <v>649.36</v>
      </c>
      <c r="DP505">
        <v>649.36</v>
      </c>
      <c r="DQ505">
        <v>649.36</v>
      </c>
      <c r="DR505">
        <v>8.61</v>
      </c>
      <c r="DS505">
        <v>8.61</v>
      </c>
      <c r="DT505">
        <v>776.62</v>
      </c>
      <c r="DU505">
        <v>776.62</v>
      </c>
      <c r="DV505">
        <v>11787.4647971013</v>
      </c>
    </row>
    <row r="506" spans="106:126">
      <c r="DB506" t="s">
        <v>701</v>
      </c>
      <c r="DC506" t="s">
        <v>701</v>
      </c>
      <c r="DD506" t="s">
        <v>97</v>
      </c>
      <c r="DE506">
        <v>22.5</v>
      </c>
      <c r="DF506">
        <v>22.5</v>
      </c>
      <c r="DG506">
        <v>1.4</v>
      </c>
      <c r="DH506">
        <v>1.4</v>
      </c>
      <c r="DI506">
        <v>113.11</v>
      </c>
      <c r="DJ506">
        <v>63</v>
      </c>
      <c r="DK506">
        <v>63</v>
      </c>
      <c r="DL506">
        <v>8197.8799999999992</v>
      </c>
      <c r="DM506">
        <v>8197.8799999999992</v>
      </c>
      <c r="DN506">
        <v>728.71</v>
      </c>
      <c r="DO506">
        <v>728.71</v>
      </c>
      <c r="DP506">
        <v>728.71</v>
      </c>
      <c r="DQ506">
        <v>728.71</v>
      </c>
      <c r="DR506">
        <v>8.51</v>
      </c>
      <c r="DS506">
        <v>8.51</v>
      </c>
      <c r="DT506">
        <v>880.86</v>
      </c>
      <c r="DU506">
        <v>880.86</v>
      </c>
      <c r="DV506">
        <v>13170.0044157227</v>
      </c>
    </row>
    <row r="507" spans="106:126">
      <c r="DB507" t="s">
        <v>702</v>
      </c>
      <c r="DC507" t="s">
        <v>702</v>
      </c>
      <c r="DD507" t="s">
        <v>97</v>
      </c>
      <c r="DE507">
        <v>25</v>
      </c>
      <c r="DF507">
        <v>25</v>
      </c>
      <c r="DG507">
        <v>0.5</v>
      </c>
      <c r="DH507">
        <v>0.5</v>
      </c>
      <c r="DI507">
        <v>48.36</v>
      </c>
      <c r="DJ507">
        <v>25</v>
      </c>
      <c r="DK507">
        <v>25</v>
      </c>
      <c r="DL507">
        <v>4805.01</v>
      </c>
      <c r="DM507">
        <v>4805.01</v>
      </c>
      <c r="DN507">
        <v>384.41</v>
      </c>
      <c r="DO507">
        <v>384.41</v>
      </c>
      <c r="DP507">
        <v>384.41</v>
      </c>
      <c r="DQ507">
        <v>384.41</v>
      </c>
      <c r="DR507">
        <v>9.9700000000000006</v>
      </c>
      <c r="DS507">
        <v>9.9700000000000006</v>
      </c>
      <c r="DT507">
        <v>442.26</v>
      </c>
      <c r="DU507">
        <v>442.26</v>
      </c>
      <c r="DV507">
        <v>7537.0575442227901</v>
      </c>
    </row>
    <row r="508" spans="106:126">
      <c r="DB508" t="s">
        <v>703</v>
      </c>
      <c r="DC508" t="s">
        <v>703</v>
      </c>
      <c r="DD508" t="s">
        <v>97</v>
      </c>
      <c r="DE508">
        <v>25</v>
      </c>
      <c r="DF508">
        <v>25</v>
      </c>
      <c r="DG508">
        <v>0.6</v>
      </c>
      <c r="DH508">
        <v>0.6</v>
      </c>
      <c r="DI508">
        <v>57.63</v>
      </c>
      <c r="DJ508">
        <v>30</v>
      </c>
      <c r="DK508">
        <v>30</v>
      </c>
      <c r="DL508">
        <v>5672</v>
      </c>
      <c r="DM508">
        <v>5672</v>
      </c>
      <c r="DN508">
        <v>453.76</v>
      </c>
      <c r="DO508">
        <v>453.76</v>
      </c>
      <c r="DP508">
        <v>453.76</v>
      </c>
      <c r="DQ508">
        <v>453.76</v>
      </c>
      <c r="DR508">
        <v>9.92</v>
      </c>
      <c r="DS508">
        <v>9.92</v>
      </c>
      <c r="DT508">
        <v>524.45000000000005</v>
      </c>
      <c r="DU508">
        <v>524.45000000000005</v>
      </c>
      <c r="DV508">
        <v>8956.4577345007001</v>
      </c>
    </row>
    <row r="509" spans="106:126">
      <c r="DB509" t="s">
        <v>704</v>
      </c>
      <c r="DC509" t="s">
        <v>704</v>
      </c>
      <c r="DD509" t="s">
        <v>97</v>
      </c>
      <c r="DE509">
        <v>25</v>
      </c>
      <c r="DF509">
        <v>25</v>
      </c>
      <c r="DG509">
        <v>0.8</v>
      </c>
      <c r="DH509">
        <v>0.8</v>
      </c>
      <c r="DI509">
        <v>75.790000000000006</v>
      </c>
      <c r="DJ509">
        <v>40</v>
      </c>
      <c r="DK509">
        <v>40</v>
      </c>
      <c r="DL509">
        <v>7315.65</v>
      </c>
      <c r="DM509">
        <v>7315.65</v>
      </c>
      <c r="DN509">
        <v>585.26</v>
      </c>
      <c r="DO509">
        <v>585.26</v>
      </c>
      <c r="DP509">
        <v>585.26</v>
      </c>
      <c r="DQ509">
        <v>585.26</v>
      </c>
      <c r="DR509">
        <v>9.82</v>
      </c>
      <c r="DS509">
        <v>9.82</v>
      </c>
      <c r="DT509">
        <v>682.67</v>
      </c>
      <c r="DU509">
        <v>682.67</v>
      </c>
      <c r="DV509">
        <v>11677.6463654787</v>
      </c>
    </row>
    <row r="510" spans="106:126">
      <c r="DB510" t="s">
        <v>705</v>
      </c>
      <c r="DC510" t="s">
        <v>705</v>
      </c>
      <c r="DD510" t="s">
        <v>97</v>
      </c>
      <c r="DE510">
        <v>25</v>
      </c>
      <c r="DF510">
        <v>25</v>
      </c>
      <c r="DG510">
        <v>1</v>
      </c>
      <c r="DH510">
        <v>1</v>
      </c>
      <c r="DI510">
        <v>93.42</v>
      </c>
      <c r="DJ510">
        <v>50</v>
      </c>
      <c r="DK510">
        <v>50</v>
      </c>
      <c r="DL510">
        <v>8841.86</v>
      </c>
      <c r="DM510">
        <v>8841.86</v>
      </c>
      <c r="DN510">
        <v>707.35</v>
      </c>
      <c r="DO510">
        <v>707.35</v>
      </c>
      <c r="DP510">
        <v>707.35</v>
      </c>
      <c r="DQ510">
        <v>707.35</v>
      </c>
      <c r="DR510">
        <v>9.73</v>
      </c>
      <c r="DS510">
        <v>9.73</v>
      </c>
      <c r="DT510">
        <v>832.79</v>
      </c>
      <c r="DU510">
        <v>832.79</v>
      </c>
      <c r="DV510">
        <v>14217.201095464499</v>
      </c>
    </row>
    <row r="511" spans="106:126">
      <c r="DB511" t="s">
        <v>706</v>
      </c>
      <c r="DC511" t="s">
        <v>706</v>
      </c>
      <c r="DD511" t="s">
        <v>97</v>
      </c>
      <c r="DE511">
        <v>25</v>
      </c>
      <c r="DF511">
        <v>25</v>
      </c>
      <c r="DG511">
        <v>1.2</v>
      </c>
      <c r="DH511">
        <v>1.2</v>
      </c>
      <c r="DI511">
        <v>110.53</v>
      </c>
      <c r="DJ511">
        <v>60</v>
      </c>
      <c r="DK511">
        <v>60</v>
      </c>
      <c r="DL511">
        <v>10254.209999999999</v>
      </c>
      <c r="DM511">
        <v>10254.209999999999</v>
      </c>
      <c r="DN511">
        <v>820.34</v>
      </c>
      <c r="DO511">
        <v>820.34</v>
      </c>
      <c r="DP511">
        <v>820.34</v>
      </c>
      <c r="DQ511">
        <v>820.34</v>
      </c>
      <c r="DR511">
        <v>9.6300000000000008</v>
      </c>
      <c r="DS511">
        <v>9.6300000000000008</v>
      </c>
      <c r="DT511">
        <v>974.94</v>
      </c>
      <c r="DU511">
        <v>974.94</v>
      </c>
      <c r="DV511">
        <v>16545.5129983855</v>
      </c>
    </row>
    <row r="512" spans="106:126">
      <c r="DB512" t="s">
        <v>707</v>
      </c>
      <c r="DC512" t="s">
        <v>707</v>
      </c>
      <c r="DD512" t="s">
        <v>97</v>
      </c>
      <c r="DE512">
        <v>25</v>
      </c>
      <c r="DF512">
        <v>25</v>
      </c>
      <c r="DG512">
        <v>1.4</v>
      </c>
      <c r="DH512">
        <v>1.4</v>
      </c>
      <c r="DI512">
        <v>127.11</v>
      </c>
      <c r="DJ512">
        <v>70</v>
      </c>
      <c r="DK512">
        <v>70</v>
      </c>
      <c r="DL512">
        <v>11556.23</v>
      </c>
      <c r="DM512">
        <v>11556.23</v>
      </c>
      <c r="DN512">
        <v>924.5</v>
      </c>
      <c r="DO512">
        <v>924.5</v>
      </c>
      <c r="DP512">
        <v>924.5</v>
      </c>
      <c r="DQ512">
        <v>924.5</v>
      </c>
      <c r="DR512">
        <v>9.5299999999999994</v>
      </c>
      <c r="DS512">
        <v>9.5299999999999994</v>
      </c>
      <c r="DT512">
        <v>1109.22</v>
      </c>
      <c r="DU512">
        <v>1109.22</v>
      </c>
      <c r="DV512">
        <v>18633.474068164302</v>
      </c>
    </row>
    <row r="513" spans="106:126">
      <c r="DB513" t="s">
        <v>708</v>
      </c>
      <c r="DC513" t="s">
        <v>708</v>
      </c>
      <c r="DD513" t="s">
        <v>97</v>
      </c>
      <c r="DE513">
        <v>27.5</v>
      </c>
      <c r="DF513">
        <v>27.5</v>
      </c>
      <c r="DG513">
        <v>0.5</v>
      </c>
      <c r="DH513">
        <v>0.5</v>
      </c>
      <c r="DI513">
        <v>53.36</v>
      </c>
      <c r="DJ513">
        <v>27.5</v>
      </c>
      <c r="DK513">
        <v>27.5</v>
      </c>
      <c r="DL513">
        <v>6443.2</v>
      </c>
      <c r="DM513">
        <v>6443.2</v>
      </c>
      <c r="DN513">
        <v>468.6</v>
      </c>
      <c r="DO513">
        <v>468.6</v>
      </c>
      <c r="DP513">
        <v>468.6</v>
      </c>
      <c r="DQ513">
        <v>468.6</v>
      </c>
      <c r="DR513">
        <v>10.99</v>
      </c>
      <c r="DS513">
        <v>10.99</v>
      </c>
      <c r="DT513">
        <v>538.02</v>
      </c>
      <c r="DU513">
        <v>538.02</v>
      </c>
      <c r="DV513">
        <v>10073.4939801572</v>
      </c>
    </row>
    <row r="514" spans="106:126">
      <c r="DB514" t="s">
        <v>709</v>
      </c>
      <c r="DC514" t="s">
        <v>709</v>
      </c>
      <c r="DD514" t="s">
        <v>97</v>
      </c>
      <c r="DE514">
        <v>27.5</v>
      </c>
      <c r="DF514">
        <v>27.5</v>
      </c>
      <c r="DG514">
        <v>0.6</v>
      </c>
      <c r="DH514">
        <v>0.6</v>
      </c>
      <c r="DI514">
        <v>63.63</v>
      </c>
      <c r="DJ514">
        <v>33</v>
      </c>
      <c r="DK514">
        <v>33</v>
      </c>
      <c r="DL514">
        <v>7617.53</v>
      </c>
      <c r="DM514">
        <v>7617.53</v>
      </c>
      <c r="DN514">
        <v>554.01</v>
      </c>
      <c r="DO514">
        <v>554.01</v>
      </c>
      <c r="DP514">
        <v>554.01</v>
      </c>
      <c r="DQ514">
        <v>554.01</v>
      </c>
      <c r="DR514">
        <v>10.94</v>
      </c>
      <c r="DS514">
        <v>10.94</v>
      </c>
      <c r="DT514">
        <v>638.71</v>
      </c>
      <c r="DU514">
        <v>638.71</v>
      </c>
      <c r="DV514">
        <v>11986.158998936</v>
      </c>
    </row>
    <row r="515" spans="106:126">
      <c r="DB515" t="s">
        <v>710</v>
      </c>
      <c r="DC515" t="s">
        <v>710</v>
      </c>
      <c r="DD515" t="s">
        <v>97</v>
      </c>
      <c r="DE515">
        <v>27.5</v>
      </c>
      <c r="DF515">
        <v>27.5</v>
      </c>
      <c r="DG515">
        <v>0.8</v>
      </c>
      <c r="DH515">
        <v>0.8</v>
      </c>
      <c r="DI515">
        <v>83.79</v>
      </c>
      <c r="DJ515">
        <v>44</v>
      </c>
      <c r="DK515">
        <v>44</v>
      </c>
      <c r="DL515">
        <v>9855.94</v>
      </c>
      <c r="DM515">
        <v>9855.94</v>
      </c>
      <c r="DN515">
        <v>716.8</v>
      </c>
      <c r="DO515">
        <v>716.8</v>
      </c>
      <c r="DP515">
        <v>716.8</v>
      </c>
      <c r="DQ515">
        <v>716.8</v>
      </c>
      <c r="DR515">
        <v>10.85</v>
      </c>
      <c r="DS515">
        <v>10.85</v>
      </c>
      <c r="DT515">
        <v>833.31</v>
      </c>
      <c r="DU515">
        <v>833.31</v>
      </c>
      <c r="DV515">
        <v>15676.957910593799</v>
      </c>
    </row>
    <row r="516" spans="106:126">
      <c r="DB516" t="s">
        <v>711</v>
      </c>
      <c r="DC516" t="s">
        <v>711</v>
      </c>
      <c r="DD516" t="s">
        <v>97</v>
      </c>
      <c r="DE516">
        <v>27.5</v>
      </c>
      <c r="DF516">
        <v>27.5</v>
      </c>
      <c r="DG516">
        <v>1</v>
      </c>
      <c r="DH516">
        <v>1</v>
      </c>
      <c r="DI516">
        <v>103.42</v>
      </c>
      <c r="DJ516">
        <v>55</v>
      </c>
      <c r="DK516">
        <v>55</v>
      </c>
      <c r="DL516">
        <v>11950.66</v>
      </c>
      <c r="DM516">
        <v>11950.66</v>
      </c>
      <c r="DN516">
        <v>869.14</v>
      </c>
      <c r="DO516">
        <v>869.14</v>
      </c>
      <c r="DP516">
        <v>869.14</v>
      </c>
      <c r="DQ516">
        <v>869.14</v>
      </c>
      <c r="DR516">
        <v>10.75</v>
      </c>
      <c r="DS516">
        <v>10.75</v>
      </c>
      <c r="DT516">
        <v>1018.95</v>
      </c>
      <c r="DU516">
        <v>1018.95</v>
      </c>
      <c r="DV516">
        <v>19161.076568501299</v>
      </c>
    </row>
    <row r="517" spans="106:126">
      <c r="DB517" t="s">
        <v>712</v>
      </c>
      <c r="DC517" t="s">
        <v>712</v>
      </c>
      <c r="DD517" t="s">
        <v>97</v>
      </c>
      <c r="DE517">
        <v>27.5</v>
      </c>
      <c r="DF517">
        <v>27.5</v>
      </c>
      <c r="DG517">
        <v>1.2</v>
      </c>
      <c r="DH517">
        <v>1.2</v>
      </c>
      <c r="DI517">
        <v>122.53</v>
      </c>
      <c r="DJ517">
        <v>66</v>
      </c>
      <c r="DK517">
        <v>66</v>
      </c>
      <c r="DL517">
        <v>13905.64</v>
      </c>
      <c r="DM517">
        <v>13905.64</v>
      </c>
      <c r="DN517">
        <v>1011.32</v>
      </c>
      <c r="DO517">
        <v>1011.32</v>
      </c>
      <c r="DP517">
        <v>1011.32</v>
      </c>
      <c r="DQ517">
        <v>1011.32</v>
      </c>
      <c r="DR517">
        <v>10.65</v>
      </c>
      <c r="DS517">
        <v>10.65</v>
      </c>
      <c r="DT517">
        <v>1195.75</v>
      </c>
      <c r="DU517">
        <v>1195.75</v>
      </c>
      <c r="DV517">
        <v>22405.8208379389</v>
      </c>
    </row>
    <row r="518" spans="106:126">
      <c r="DB518" t="s">
        <v>713</v>
      </c>
      <c r="DC518" t="s">
        <v>713</v>
      </c>
      <c r="DD518" t="s">
        <v>97</v>
      </c>
      <c r="DE518">
        <v>27.5</v>
      </c>
      <c r="DF518">
        <v>27.5</v>
      </c>
      <c r="DG518">
        <v>1.4</v>
      </c>
      <c r="DH518">
        <v>1.4</v>
      </c>
      <c r="DI518">
        <v>141.11000000000001</v>
      </c>
      <c r="DJ518">
        <v>77</v>
      </c>
      <c r="DK518">
        <v>77</v>
      </c>
      <c r="DL518">
        <v>15724.81</v>
      </c>
      <c r="DM518">
        <v>15724.81</v>
      </c>
      <c r="DN518">
        <v>1143.6300000000001</v>
      </c>
      <c r="DO518">
        <v>1143.6300000000001</v>
      </c>
      <c r="DP518">
        <v>1143.6300000000001</v>
      </c>
      <c r="DQ518">
        <v>1143.6300000000001</v>
      </c>
      <c r="DR518">
        <v>10.56</v>
      </c>
      <c r="DS518">
        <v>10.56</v>
      </c>
      <c r="DT518">
        <v>1363.84</v>
      </c>
      <c r="DU518">
        <v>1363.84</v>
      </c>
      <c r="DV518">
        <v>25378.838691344899</v>
      </c>
    </row>
    <row r="519" spans="106:126">
      <c r="DB519" t="s">
        <v>714</v>
      </c>
      <c r="DC519" t="s">
        <v>714</v>
      </c>
      <c r="DD519" t="s">
        <v>97</v>
      </c>
      <c r="DE519">
        <v>30</v>
      </c>
      <c r="DF519">
        <v>30</v>
      </c>
      <c r="DG519">
        <v>0.6</v>
      </c>
      <c r="DH519">
        <v>0.6</v>
      </c>
      <c r="DI519">
        <v>69.63</v>
      </c>
      <c r="DJ519">
        <v>36</v>
      </c>
      <c r="DK519">
        <v>36</v>
      </c>
      <c r="DL519">
        <v>9963.67</v>
      </c>
      <c r="DM519">
        <v>9963.67</v>
      </c>
      <c r="DN519">
        <v>664.25</v>
      </c>
      <c r="DO519">
        <v>664.25</v>
      </c>
      <c r="DP519">
        <v>664.25</v>
      </c>
      <c r="DQ519">
        <v>664.25</v>
      </c>
      <c r="DR519">
        <v>11.96</v>
      </c>
      <c r="DS519">
        <v>11.96</v>
      </c>
      <c r="DT519">
        <v>764.23</v>
      </c>
      <c r="DU519">
        <v>764.23</v>
      </c>
      <c r="DV519">
        <v>15628.842523700399</v>
      </c>
    </row>
    <row r="520" spans="106:126">
      <c r="DB520" t="s">
        <v>715</v>
      </c>
      <c r="DC520" t="s">
        <v>715</v>
      </c>
      <c r="DD520" t="s">
        <v>97</v>
      </c>
      <c r="DE520">
        <v>30</v>
      </c>
      <c r="DF520">
        <v>30</v>
      </c>
      <c r="DG520">
        <v>0.8</v>
      </c>
      <c r="DH520">
        <v>0.8</v>
      </c>
      <c r="DI520">
        <v>91.79</v>
      </c>
      <c r="DJ520">
        <v>48</v>
      </c>
      <c r="DK520">
        <v>48</v>
      </c>
      <c r="DL520">
        <v>12925.07</v>
      </c>
      <c r="DM520">
        <v>12925.07</v>
      </c>
      <c r="DN520">
        <v>861.68</v>
      </c>
      <c r="DO520">
        <v>861.68</v>
      </c>
      <c r="DP520">
        <v>861.68</v>
      </c>
      <c r="DQ520">
        <v>861.68</v>
      </c>
      <c r="DR520">
        <v>11.87</v>
      </c>
      <c r="DS520">
        <v>11.87</v>
      </c>
      <c r="DT520">
        <v>998.95</v>
      </c>
      <c r="DU520">
        <v>998.95</v>
      </c>
      <c r="DV520">
        <v>20491.0336004741</v>
      </c>
    </row>
    <row r="521" spans="106:126">
      <c r="DB521" t="s">
        <v>716</v>
      </c>
      <c r="DC521" t="s">
        <v>716</v>
      </c>
      <c r="DD521" t="s">
        <v>97</v>
      </c>
      <c r="DE521">
        <v>30</v>
      </c>
      <c r="DF521">
        <v>30</v>
      </c>
      <c r="DG521">
        <v>1</v>
      </c>
      <c r="DH521">
        <v>1</v>
      </c>
      <c r="DI521">
        <v>113.42</v>
      </c>
      <c r="DJ521">
        <v>60</v>
      </c>
      <c r="DK521">
        <v>60</v>
      </c>
      <c r="DL521">
        <v>15713.9</v>
      </c>
      <c r="DM521">
        <v>15713.9</v>
      </c>
      <c r="DN521">
        <v>1047.5999999999999</v>
      </c>
      <c r="DO521">
        <v>1047.5999999999999</v>
      </c>
      <c r="DP521">
        <v>1047.5999999999999</v>
      </c>
      <c r="DQ521">
        <v>1047.5999999999999</v>
      </c>
      <c r="DR521">
        <v>11.77</v>
      </c>
      <c r="DS521">
        <v>11.77</v>
      </c>
      <c r="DT521">
        <v>1223.8599999999999</v>
      </c>
      <c r="DU521">
        <v>1223.8599999999999</v>
      </c>
      <c r="DV521">
        <v>25120.258760714602</v>
      </c>
    </row>
    <row r="522" spans="106:126">
      <c r="DB522" t="s">
        <v>717</v>
      </c>
      <c r="DC522" t="s">
        <v>717</v>
      </c>
      <c r="DD522" t="s">
        <v>97</v>
      </c>
      <c r="DE522">
        <v>30</v>
      </c>
      <c r="DF522">
        <v>30</v>
      </c>
      <c r="DG522">
        <v>1.2</v>
      </c>
      <c r="DH522">
        <v>1.2</v>
      </c>
      <c r="DI522">
        <v>134.53</v>
      </c>
      <c r="DJ522">
        <v>72</v>
      </c>
      <c r="DK522">
        <v>72</v>
      </c>
      <c r="DL522">
        <v>18334.490000000002</v>
      </c>
      <c r="DM522">
        <v>18334.490000000002</v>
      </c>
      <c r="DN522">
        <v>1222.3</v>
      </c>
      <c r="DO522">
        <v>1222.3</v>
      </c>
      <c r="DP522">
        <v>1222.3</v>
      </c>
      <c r="DQ522">
        <v>1222.3</v>
      </c>
      <c r="DR522">
        <v>11.67</v>
      </c>
      <c r="DS522">
        <v>11.67</v>
      </c>
      <c r="DT522">
        <v>1439.07</v>
      </c>
      <c r="DU522">
        <v>1439.07</v>
      </c>
      <c r="DV522">
        <v>29480.788191555301</v>
      </c>
    </row>
    <row r="523" spans="106:126">
      <c r="DB523" t="s">
        <v>718</v>
      </c>
      <c r="DC523" t="s">
        <v>718</v>
      </c>
      <c r="DD523" t="s">
        <v>97</v>
      </c>
      <c r="DE523">
        <v>30</v>
      </c>
      <c r="DF523">
        <v>30</v>
      </c>
      <c r="DG523">
        <v>1.4</v>
      </c>
      <c r="DH523">
        <v>1.4</v>
      </c>
      <c r="DI523">
        <v>155.11000000000001</v>
      </c>
      <c r="DJ523">
        <v>84</v>
      </c>
      <c r="DK523">
        <v>84</v>
      </c>
      <c r="DL523">
        <v>20791.11</v>
      </c>
      <c r="DM523">
        <v>20791.11</v>
      </c>
      <c r="DN523">
        <v>1386.08</v>
      </c>
      <c r="DO523">
        <v>1386.08</v>
      </c>
      <c r="DP523">
        <v>1386.08</v>
      </c>
      <c r="DQ523">
        <v>1386.08</v>
      </c>
      <c r="DR523">
        <v>11.58</v>
      </c>
      <c r="DS523">
        <v>11.58</v>
      </c>
      <c r="DT523">
        <v>1644.7</v>
      </c>
      <c r="DU523">
        <v>1644.7</v>
      </c>
      <c r="DV523">
        <v>33537.109795755903</v>
      </c>
    </row>
    <row r="524" spans="106:126">
      <c r="DB524" t="s">
        <v>719</v>
      </c>
      <c r="DC524" t="s">
        <v>719</v>
      </c>
      <c r="DD524" t="s">
        <v>97</v>
      </c>
      <c r="DE524">
        <v>30</v>
      </c>
      <c r="DF524">
        <v>30</v>
      </c>
      <c r="DG524">
        <v>1.6</v>
      </c>
      <c r="DH524">
        <v>1.6</v>
      </c>
      <c r="DI524">
        <v>175.17</v>
      </c>
      <c r="DJ524">
        <v>96</v>
      </c>
      <c r="DK524">
        <v>96</v>
      </c>
      <c r="DL524">
        <v>23088.02</v>
      </c>
      <c r="DM524">
        <v>23088.02</v>
      </c>
      <c r="DN524">
        <v>1539.21</v>
      </c>
      <c r="DO524">
        <v>1539.21</v>
      </c>
      <c r="DP524">
        <v>1539.21</v>
      </c>
      <c r="DQ524">
        <v>1539.21</v>
      </c>
      <c r="DR524">
        <v>11.48</v>
      </c>
      <c r="DS524">
        <v>11.48</v>
      </c>
      <c r="DT524">
        <v>1840.89</v>
      </c>
      <c r="DU524">
        <v>1840.89</v>
      </c>
      <c r="DV524">
        <v>37254.2097291104</v>
      </c>
    </row>
    <row r="525" spans="106:126">
      <c r="DB525" t="s">
        <v>720</v>
      </c>
      <c r="DC525" t="s">
        <v>720</v>
      </c>
      <c r="DD525" t="s">
        <v>97</v>
      </c>
      <c r="DE525">
        <v>30</v>
      </c>
      <c r="DF525">
        <v>30</v>
      </c>
      <c r="DG525">
        <v>1.8</v>
      </c>
      <c r="DH525">
        <v>1.8</v>
      </c>
      <c r="DI525">
        <v>194.7</v>
      </c>
      <c r="DJ525">
        <v>108</v>
      </c>
      <c r="DK525">
        <v>108</v>
      </c>
      <c r="DL525">
        <v>25229.41</v>
      </c>
      <c r="DM525">
        <v>25229.41</v>
      </c>
      <c r="DN525">
        <v>1681.97</v>
      </c>
      <c r="DO525">
        <v>1681.97</v>
      </c>
      <c r="DP525">
        <v>1681.97</v>
      </c>
      <c r="DQ525">
        <v>1681.97</v>
      </c>
      <c r="DR525">
        <v>11.38</v>
      </c>
      <c r="DS525">
        <v>11.38</v>
      </c>
      <c r="DT525">
        <v>2027.73</v>
      </c>
      <c r="DU525">
        <v>2027.73</v>
      </c>
      <c r="DV525">
        <v>40597.889362047899</v>
      </c>
    </row>
    <row r="526" spans="106:126">
      <c r="DB526" t="s">
        <v>721</v>
      </c>
      <c r="DC526" t="s">
        <v>721</v>
      </c>
      <c r="DD526" t="s">
        <v>97</v>
      </c>
      <c r="DE526">
        <v>30</v>
      </c>
      <c r="DF526">
        <v>30</v>
      </c>
      <c r="DG526">
        <v>2</v>
      </c>
      <c r="DH526">
        <v>2</v>
      </c>
      <c r="DI526">
        <v>213.7</v>
      </c>
      <c r="DJ526">
        <v>120</v>
      </c>
      <c r="DK526">
        <v>120</v>
      </c>
      <c r="DL526">
        <v>27219.42</v>
      </c>
      <c r="DM526">
        <v>27219.42</v>
      </c>
      <c r="DN526">
        <v>1814.63</v>
      </c>
      <c r="DO526">
        <v>1814.63</v>
      </c>
      <c r="DP526">
        <v>1814.63</v>
      </c>
      <c r="DQ526">
        <v>1814.63</v>
      </c>
      <c r="DR526">
        <v>11.29</v>
      </c>
      <c r="DS526">
        <v>11.29</v>
      </c>
      <c r="DT526">
        <v>2205.36</v>
      </c>
      <c r="DU526">
        <v>2205.36</v>
      </c>
      <c r="DV526">
        <v>43535.124304880002</v>
      </c>
    </row>
    <row r="527" spans="106:126">
      <c r="DB527" t="s">
        <v>722</v>
      </c>
      <c r="DC527" t="s">
        <v>722</v>
      </c>
      <c r="DD527" t="s">
        <v>97</v>
      </c>
      <c r="DE527">
        <v>32.5</v>
      </c>
      <c r="DF527">
        <v>32.5</v>
      </c>
      <c r="DG527">
        <v>0.6</v>
      </c>
      <c r="DH527">
        <v>0.6</v>
      </c>
      <c r="DI527">
        <v>75.63</v>
      </c>
      <c r="DJ527">
        <v>39</v>
      </c>
      <c r="DK527">
        <v>39</v>
      </c>
      <c r="DL527">
        <v>12747.91</v>
      </c>
      <c r="DM527">
        <v>12747.91</v>
      </c>
      <c r="DN527">
        <v>784.49</v>
      </c>
      <c r="DO527">
        <v>784.49</v>
      </c>
      <c r="DP527">
        <v>784.49</v>
      </c>
      <c r="DQ527">
        <v>784.49</v>
      </c>
      <c r="DR527">
        <v>12.98</v>
      </c>
      <c r="DS527">
        <v>12.98</v>
      </c>
      <c r="DT527">
        <v>901</v>
      </c>
      <c r="DU527">
        <v>901</v>
      </c>
      <c r="DV527">
        <v>19940.756706697099</v>
      </c>
    </row>
    <row r="528" spans="106:126">
      <c r="DB528" t="s">
        <v>723</v>
      </c>
      <c r="DC528" t="s">
        <v>723</v>
      </c>
      <c r="DD528" t="s">
        <v>97</v>
      </c>
      <c r="DE528">
        <v>32.5</v>
      </c>
      <c r="DF528">
        <v>32.5</v>
      </c>
      <c r="DG528">
        <v>0.8</v>
      </c>
      <c r="DH528">
        <v>0.8</v>
      </c>
      <c r="DI528">
        <v>99.79</v>
      </c>
      <c r="DJ528">
        <v>52</v>
      </c>
      <c r="DK528">
        <v>52</v>
      </c>
      <c r="DL528">
        <v>16573.060000000001</v>
      </c>
      <c r="DM528">
        <v>16573.060000000001</v>
      </c>
      <c r="DN528">
        <v>1019.89</v>
      </c>
      <c r="DO528">
        <v>1019.89</v>
      </c>
      <c r="DP528">
        <v>1019.89</v>
      </c>
      <c r="DQ528">
        <v>1019.89</v>
      </c>
      <c r="DR528">
        <v>12.89</v>
      </c>
      <c r="DS528">
        <v>12.89</v>
      </c>
      <c r="DT528">
        <v>1179.5899999999999</v>
      </c>
      <c r="DU528">
        <v>1179.5899999999999</v>
      </c>
      <c r="DV528">
        <v>26194.8661080686</v>
      </c>
    </row>
    <row r="529" spans="106:126">
      <c r="DB529" t="s">
        <v>724</v>
      </c>
      <c r="DC529" t="s">
        <v>724</v>
      </c>
      <c r="DD529" t="s">
        <v>97</v>
      </c>
      <c r="DE529">
        <v>32.5</v>
      </c>
      <c r="DF529">
        <v>32.5</v>
      </c>
      <c r="DG529">
        <v>1</v>
      </c>
      <c r="DH529">
        <v>1</v>
      </c>
      <c r="DI529">
        <v>123.42</v>
      </c>
      <c r="DJ529">
        <v>65</v>
      </c>
      <c r="DK529">
        <v>65</v>
      </c>
      <c r="DL529">
        <v>20194.099999999999</v>
      </c>
      <c r="DM529">
        <v>20194.099999999999</v>
      </c>
      <c r="DN529">
        <v>1242.72</v>
      </c>
      <c r="DO529">
        <v>1242.72</v>
      </c>
      <c r="DP529">
        <v>1242.72</v>
      </c>
      <c r="DQ529">
        <v>1242.72</v>
      </c>
      <c r="DR529">
        <v>12.79</v>
      </c>
      <c r="DS529">
        <v>12.79</v>
      </c>
      <c r="DT529">
        <v>1447.51</v>
      </c>
      <c r="DU529">
        <v>1447.51</v>
      </c>
      <c r="DV529">
        <v>32188.473362536301</v>
      </c>
    </row>
    <row r="530" spans="106:126">
      <c r="DB530" t="s">
        <v>725</v>
      </c>
      <c r="DC530" t="s">
        <v>725</v>
      </c>
      <c r="DD530" t="s">
        <v>97</v>
      </c>
      <c r="DE530">
        <v>32.5</v>
      </c>
      <c r="DF530">
        <v>32.5</v>
      </c>
      <c r="DG530">
        <v>1.2</v>
      </c>
      <c r="DH530">
        <v>1.2</v>
      </c>
      <c r="DI530">
        <v>146.53</v>
      </c>
      <c r="DJ530">
        <v>78</v>
      </c>
      <c r="DK530">
        <v>78</v>
      </c>
      <c r="DL530">
        <v>23615.74</v>
      </c>
      <c r="DM530">
        <v>23615.74</v>
      </c>
      <c r="DN530">
        <v>1453.28</v>
      </c>
      <c r="DO530">
        <v>1453.28</v>
      </c>
      <c r="DP530">
        <v>1453.28</v>
      </c>
      <c r="DQ530">
        <v>1453.28</v>
      </c>
      <c r="DR530">
        <v>12.7</v>
      </c>
      <c r="DS530">
        <v>12.7</v>
      </c>
      <c r="DT530">
        <v>1704.88</v>
      </c>
      <c r="DU530">
        <v>1704.88</v>
      </c>
      <c r="DV530">
        <v>37882.849177441101</v>
      </c>
    </row>
    <row r="531" spans="106:126">
      <c r="DB531" t="s">
        <v>726</v>
      </c>
      <c r="DC531" t="s">
        <v>726</v>
      </c>
      <c r="DD531" t="s">
        <v>97</v>
      </c>
      <c r="DE531">
        <v>32.5</v>
      </c>
      <c r="DF531">
        <v>32.5</v>
      </c>
      <c r="DG531">
        <v>1.4</v>
      </c>
      <c r="DH531">
        <v>1.4</v>
      </c>
      <c r="DI531">
        <v>169.11</v>
      </c>
      <c r="DJ531">
        <v>91</v>
      </c>
      <c r="DK531">
        <v>91</v>
      </c>
      <c r="DL531">
        <v>26842.639999999999</v>
      </c>
      <c r="DM531">
        <v>26842.639999999999</v>
      </c>
      <c r="DN531">
        <v>1651.86</v>
      </c>
      <c r="DO531">
        <v>1651.86</v>
      </c>
      <c r="DP531">
        <v>1651.86</v>
      </c>
      <c r="DQ531">
        <v>1651.86</v>
      </c>
      <c r="DR531">
        <v>12.6</v>
      </c>
      <c r="DS531">
        <v>12.6</v>
      </c>
      <c r="DT531">
        <v>1951.82</v>
      </c>
      <c r="DU531">
        <v>1951.82</v>
      </c>
      <c r="DV531">
        <v>43239.381999531099</v>
      </c>
    </row>
    <row r="532" spans="106:126">
      <c r="DB532" t="s">
        <v>727</v>
      </c>
      <c r="DC532" t="s">
        <v>727</v>
      </c>
      <c r="DD532" t="s">
        <v>97</v>
      </c>
      <c r="DE532">
        <v>32.5</v>
      </c>
      <c r="DF532">
        <v>32.5</v>
      </c>
      <c r="DG532">
        <v>1.6</v>
      </c>
      <c r="DH532">
        <v>1.6</v>
      </c>
      <c r="DI532">
        <v>191.17</v>
      </c>
      <c r="DJ532">
        <v>104</v>
      </c>
      <c r="DK532">
        <v>104</v>
      </c>
      <c r="DL532">
        <v>29879.43</v>
      </c>
      <c r="DM532">
        <v>29879.43</v>
      </c>
      <c r="DN532">
        <v>1838.74</v>
      </c>
      <c r="DO532">
        <v>1838.74</v>
      </c>
      <c r="DP532">
        <v>1838.74</v>
      </c>
      <c r="DQ532">
        <v>1838.74</v>
      </c>
      <c r="DR532">
        <v>12.5</v>
      </c>
      <c r="DS532">
        <v>12.5</v>
      </c>
      <c r="DT532">
        <v>2188.44</v>
      </c>
      <c r="DU532">
        <v>2188.44</v>
      </c>
      <c r="DV532">
        <v>48219.823992747602</v>
      </c>
    </row>
    <row r="533" spans="106:126">
      <c r="DB533" t="s">
        <v>728</v>
      </c>
      <c r="DC533" t="s">
        <v>728</v>
      </c>
      <c r="DD533" t="s">
        <v>97</v>
      </c>
      <c r="DE533">
        <v>32.5</v>
      </c>
      <c r="DF533">
        <v>32.5</v>
      </c>
      <c r="DG533">
        <v>1.8</v>
      </c>
      <c r="DH533">
        <v>1.8</v>
      </c>
      <c r="DI533">
        <v>212.7</v>
      </c>
      <c r="DJ533">
        <v>117</v>
      </c>
      <c r="DK533">
        <v>117</v>
      </c>
      <c r="DL533">
        <v>32730.67</v>
      </c>
      <c r="DM533">
        <v>32730.67</v>
      </c>
      <c r="DN533">
        <v>2014.2</v>
      </c>
      <c r="DO533">
        <v>2014.2</v>
      </c>
      <c r="DP533">
        <v>2014.2</v>
      </c>
      <c r="DQ533">
        <v>2014.2</v>
      </c>
      <c r="DR533">
        <v>12.4</v>
      </c>
      <c r="DS533">
        <v>12.4</v>
      </c>
      <c r="DT533">
        <v>2414.87</v>
      </c>
      <c r="DU533">
        <v>2414.87</v>
      </c>
      <c r="DV533">
        <v>52786.566061248202</v>
      </c>
    </row>
    <row r="534" spans="106:126">
      <c r="DB534" t="s">
        <v>729</v>
      </c>
      <c r="DC534" t="s">
        <v>729</v>
      </c>
      <c r="DD534" t="s">
        <v>97</v>
      </c>
      <c r="DE534">
        <v>32.5</v>
      </c>
      <c r="DF534">
        <v>32.5</v>
      </c>
      <c r="DG534">
        <v>2</v>
      </c>
      <c r="DH534">
        <v>2</v>
      </c>
      <c r="DI534">
        <v>233.7</v>
      </c>
      <c r="DJ534">
        <v>130</v>
      </c>
      <c r="DK534">
        <v>130</v>
      </c>
      <c r="DL534">
        <v>35400.89</v>
      </c>
      <c r="DM534">
        <v>35400.89</v>
      </c>
      <c r="DN534">
        <v>2178.52</v>
      </c>
      <c r="DO534">
        <v>2178.52</v>
      </c>
      <c r="DP534">
        <v>2178.52</v>
      </c>
      <c r="DQ534">
        <v>2178.52</v>
      </c>
      <c r="DR534">
        <v>12.31</v>
      </c>
      <c r="DS534">
        <v>12.31</v>
      </c>
      <c r="DT534">
        <v>2631.23</v>
      </c>
      <c r="DU534">
        <v>2631.23</v>
      </c>
      <c r="DV534">
        <v>56902.9459992923</v>
      </c>
    </row>
    <row r="535" spans="106:126">
      <c r="DB535" t="s">
        <v>730</v>
      </c>
      <c r="DC535" t="s">
        <v>730</v>
      </c>
      <c r="DD535" t="s">
        <v>97</v>
      </c>
      <c r="DE535">
        <v>35</v>
      </c>
      <c r="DF535">
        <v>35</v>
      </c>
      <c r="DG535">
        <v>0.6</v>
      </c>
      <c r="DH535">
        <v>0.6</v>
      </c>
      <c r="DI535">
        <v>81.63</v>
      </c>
      <c r="DJ535">
        <v>42</v>
      </c>
      <c r="DK535">
        <v>42</v>
      </c>
      <c r="DL535">
        <v>16007.75</v>
      </c>
      <c r="DM535">
        <v>16007.75</v>
      </c>
      <c r="DN535">
        <v>914.73</v>
      </c>
      <c r="DO535">
        <v>914.73</v>
      </c>
      <c r="DP535">
        <v>914.73</v>
      </c>
      <c r="DQ535">
        <v>914.73</v>
      </c>
      <c r="DR535">
        <v>14</v>
      </c>
      <c r="DS535">
        <v>14</v>
      </c>
      <c r="DT535">
        <v>1049.01</v>
      </c>
      <c r="DU535">
        <v>1049.01</v>
      </c>
      <c r="DV535">
        <v>24978.150425931599</v>
      </c>
    </row>
    <row r="536" spans="106:126">
      <c r="DB536" t="s">
        <v>731</v>
      </c>
      <c r="DC536" t="s">
        <v>731</v>
      </c>
      <c r="DD536" t="s">
        <v>97</v>
      </c>
      <c r="DE536">
        <v>35</v>
      </c>
      <c r="DF536">
        <v>35</v>
      </c>
      <c r="DG536">
        <v>0.8</v>
      </c>
      <c r="DH536">
        <v>0.8</v>
      </c>
      <c r="DI536">
        <v>107.79</v>
      </c>
      <c r="DJ536">
        <v>56</v>
      </c>
      <c r="DK536">
        <v>56</v>
      </c>
      <c r="DL536">
        <v>20849.89</v>
      </c>
      <c r="DM536">
        <v>20849.89</v>
      </c>
      <c r="DN536">
        <v>1191.43</v>
      </c>
      <c r="DO536">
        <v>1191.43</v>
      </c>
      <c r="DP536">
        <v>1191.43</v>
      </c>
      <c r="DQ536">
        <v>1191.43</v>
      </c>
      <c r="DR536">
        <v>13.91</v>
      </c>
      <c r="DS536">
        <v>13.91</v>
      </c>
      <c r="DT536">
        <v>1375.23</v>
      </c>
      <c r="DU536">
        <v>1375.23</v>
      </c>
      <c r="DV536">
        <v>32863.450338376402</v>
      </c>
    </row>
    <row r="537" spans="106:126">
      <c r="DB537" t="s">
        <v>732</v>
      </c>
      <c r="DC537" t="s">
        <v>732</v>
      </c>
      <c r="DD537" t="s">
        <v>97</v>
      </c>
      <c r="DE537">
        <v>35</v>
      </c>
      <c r="DF537">
        <v>35</v>
      </c>
      <c r="DG537">
        <v>1</v>
      </c>
      <c r="DH537">
        <v>1</v>
      </c>
      <c r="DI537">
        <v>133.41999999999999</v>
      </c>
      <c r="DJ537">
        <v>70</v>
      </c>
      <c r="DK537">
        <v>70</v>
      </c>
      <c r="DL537">
        <v>25453.75</v>
      </c>
      <c r="DM537">
        <v>25453.75</v>
      </c>
      <c r="DN537">
        <v>1454.5</v>
      </c>
      <c r="DO537">
        <v>1454.5</v>
      </c>
      <c r="DP537">
        <v>1454.5</v>
      </c>
      <c r="DQ537">
        <v>1454.5</v>
      </c>
      <c r="DR537">
        <v>13.81</v>
      </c>
      <c r="DS537">
        <v>13.81</v>
      </c>
      <c r="DT537">
        <v>1689.92</v>
      </c>
      <c r="DU537">
        <v>1689.92</v>
      </c>
      <c r="DV537">
        <v>40459.453594500403</v>
      </c>
    </row>
    <row r="538" spans="106:126">
      <c r="DB538" t="s">
        <v>733</v>
      </c>
      <c r="DC538" t="s">
        <v>733</v>
      </c>
      <c r="DD538" t="s">
        <v>97</v>
      </c>
      <c r="DE538">
        <v>35</v>
      </c>
      <c r="DF538">
        <v>35</v>
      </c>
      <c r="DG538">
        <v>1.2</v>
      </c>
      <c r="DH538">
        <v>1.2</v>
      </c>
      <c r="DI538">
        <v>158.53</v>
      </c>
      <c r="DJ538">
        <v>84</v>
      </c>
      <c r="DK538">
        <v>84</v>
      </c>
      <c r="DL538">
        <v>29824.41</v>
      </c>
      <c r="DM538">
        <v>29824.41</v>
      </c>
      <c r="DN538">
        <v>1704.26</v>
      </c>
      <c r="DO538">
        <v>1704.26</v>
      </c>
      <c r="DP538">
        <v>1704.26</v>
      </c>
      <c r="DQ538">
        <v>1704.26</v>
      </c>
      <c r="DR538">
        <v>13.72</v>
      </c>
      <c r="DS538">
        <v>13.72</v>
      </c>
      <c r="DT538">
        <v>1993.2</v>
      </c>
      <c r="DU538">
        <v>1993.2</v>
      </c>
      <c r="DV538">
        <v>47724.458670627697</v>
      </c>
    </row>
    <row r="539" spans="106:126">
      <c r="DB539" t="s">
        <v>734</v>
      </c>
      <c r="DC539" t="s">
        <v>734</v>
      </c>
      <c r="DD539" t="s">
        <v>97</v>
      </c>
      <c r="DE539">
        <v>35</v>
      </c>
      <c r="DF539">
        <v>35</v>
      </c>
      <c r="DG539">
        <v>1.4</v>
      </c>
      <c r="DH539">
        <v>1.4</v>
      </c>
      <c r="DI539">
        <v>183.11</v>
      </c>
      <c r="DJ539">
        <v>98</v>
      </c>
      <c r="DK539">
        <v>98</v>
      </c>
      <c r="DL539">
        <v>33966.9</v>
      </c>
      <c r="DM539">
        <v>33966.9</v>
      </c>
      <c r="DN539">
        <v>1940.97</v>
      </c>
      <c r="DO539">
        <v>1940.97</v>
      </c>
      <c r="DP539">
        <v>1940.97</v>
      </c>
      <c r="DQ539">
        <v>1940.97</v>
      </c>
      <c r="DR539">
        <v>13.62</v>
      </c>
      <c r="DS539">
        <v>13.62</v>
      </c>
      <c r="DT539">
        <v>2285.19</v>
      </c>
      <c r="DU539">
        <v>2285.19</v>
      </c>
      <c r="DV539">
        <v>54616.799728336598</v>
      </c>
    </row>
    <row r="540" spans="106:126">
      <c r="DB540" t="s">
        <v>735</v>
      </c>
      <c r="DC540" t="s">
        <v>735</v>
      </c>
      <c r="DD540" t="s">
        <v>97</v>
      </c>
      <c r="DE540">
        <v>35</v>
      </c>
      <c r="DF540">
        <v>35</v>
      </c>
      <c r="DG540">
        <v>1.6</v>
      </c>
      <c r="DH540">
        <v>1.6</v>
      </c>
      <c r="DI540">
        <v>207.17</v>
      </c>
      <c r="DJ540">
        <v>112</v>
      </c>
      <c r="DK540">
        <v>112</v>
      </c>
      <c r="DL540">
        <v>37886.230000000003</v>
      </c>
      <c r="DM540">
        <v>37886.230000000003</v>
      </c>
      <c r="DN540">
        <v>2164.9299999999998</v>
      </c>
      <c r="DO540">
        <v>2164.9299999999998</v>
      </c>
      <c r="DP540">
        <v>2164.9299999999998</v>
      </c>
      <c r="DQ540">
        <v>2164.9299999999998</v>
      </c>
      <c r="DR540">
        <v>13.52</v>
      </c>
      <c r="DS540">
        <v>13.52</v>
      </c>
      <c r="DT540">
        <v>2566</v>
      </c>
      <c r="DU540">
        <v>2566</v>
      </c>
      <c r="DV540">
        <v>61095.065258289003</v>
      </c>
    </row>
    <row r="541" spans="106:126">
      <c r="DB541" t="s">
        <v>736</v>
      </c>
      <c r="DC541" t="s">
        <v>736</v>
      </c>
      <c r="DD541" t="s">
        <v>97</v>
      </c>
      <c r="DE541">
        <v>35</v>
      </c>
      <c r="DF541">
        <v>35</v>
      </c>
      <c r="DG541">
        <v>1.8</v>
      </c>
      <c r="DH541">
        <v>1.8</v>
      </c>
      <c r="DI541">
        <v>230.7</v>
      </c>
      <c r="DJ541">
        <v>126</v>
      </c>
      <c r="DK541">
        <v>126</v>
      </c>
      <c r="DL541">
        <v>41587.35</v>
      </c>
      <c r="DM541">
        <v>41587.35</v>
      </c>
      <c r="DN541">
        <v>2376.42</v>
      </c>
      <c r="DO541">
        <v>2376.42</v>
      </c>
      <c r="DP541">
        <v>2376.42</v>
      </c>
      <c r="DQ541">
        <v>2376.42</v>
      </c>
      <c r="DR541">
        <v>13.43</v>
      </c>
      <c r="DS541">
        <v>13.43</v>
      </c>
      <c r="DT541">
        <v>2835.77</v>
      </c>
      <c r="DU541">
        <v>2835.77</v>
      </c>
      <c r="DV541">
        <v>67118.340398057</v>
      </c>
    </row>
    <row r="542" spans="106:126">
      <c r="DB542" t="s">
        <v>737</v>
      </c>
      <c r="DC542" t="s">
        <v>737</v>
      </c>
      <c r="DD542" t="s">
        <v>97</v>
      </c>
      <c r="DE542">
        <v>35</v>
      </c>
      <c r="DF542">
        <v>35</v>
      </c>
      <c r="DG542">
        <v>2</v>
      </c>
      <c r="DH542">
        <v>2</v>
      </c>
      <c r="DI542">
        <v>253.7</v>
      </c>
      <c r="DJ542">
        <v>140</v>
      </c>
      <c r="DK542">
        <v>140</v>
      </c>
      <c r="DL542">
        <v>45075.16</v>
      </c>
      <c r="DM542">
        <v>45075.16</v>
      </c>
      <c r="DN542">
        <v>2575.73</v>
      </c>
      <c r="DO542">
        <v>2575.73</v>
      </c>
      <c r="DP542">
        <v>2575.73</v>
      </c>
      <c r="DQ542">
        <v>2575.73</v>
      </c>
      <c r="DR542">
        <v>13.33</v>
      </c>
      <c r="DS542">
        <v>13.33</v>
      </c>
      <c r="DT542">
        <v>3094.6</v>
      </c>
      <c r="DU542">
        <v>3094.6</v>
      </c>
      <c r="DV542">
        <v>72646.475969465901</v>
      </c>
    </row>
    <row r="543" spans="106:126">
      <c r="DB543" t="s">
        <v>738</v>
      </c>
      <c r="DC543" t="s">
        <v>738</v>
      </c>
      <c r="DD543" t="s">
        <v>97</v>
      </c>
      <c r="DE543">
        <v>37.5</v>
      </c>
      <c r="DF543">
        <v>37.5</v>
      </c>
      <c r="DG543">
        <v>0.8</v>
      </c>
      <c r="DH543">
        <v>0.8</v>
      </c>
      <c r="DI543">
        <v>115.79</v>
      </c>
      <c r="DJ543">
        <v>60</v>
      </c>
      <c r="DK543">
        <v>60</v>
      </c>
      <c r="DL543">
        <v>25805.58</v>
      </c>
      <c r="DM543">
        <v>25805.58</v>
      </c>
      <c r="DN543">
        <v>1376.3</v>
      </c>
      <c r="DO543">
        <v>1376.3</v>
      </c>
      <c r="DP543">
        <v>1376.3</v>
      </c>
      <c r="DQ543">
        <v>1376.3</v>
      </c>
      <c r="DR543">
        <v>14.93</v>
      </c>
      <c r="DS543">
        <v>14.93</v>
      </c>
      <c r="DT543">
        <v>1585.87</v>
      </c>
      <c r="DU543">
        <v>1585.87</v>
      </c>
      <c r="DV543">
        <v>40571.782638655299</v>
      </c>
    </row>
    <row r="544" spans="106:126">
      <c r="DB544" t="s">
        <v>739</v>
      </c>
      <c r="DC544" t="s">
        <v>739</v>
      </c>
      <c r="DD544" t="s">
        <v>97</v>
      </c>
      <c r="DE544">
        <v>37.5</v>
      </c>
      <c r="DF544">
        <v>37.5</v>
      </c>
      <c r="DG544">
        <v>1</v>
      </c>
      <c r="DH544">
        <v>1</v>
      </c>
      <c r="DI544">
        <v>143.41999999999999</v>
      </c>
      <c r="DJ544">
        <v>75</v>
      </c>
      <c r="DK544">
        <v>75</v>
      </c>
      <c r="DL544">
        <v>31555.35</v>
      </c>
      <c r="DM544">
        <v>31555.35</v>
      </c>
      <c r="DN544">
        <v>1682.96</v>
      </c>
      <c r="DO544">
        <v>1682.96</v>
      </c>
      <c r="DP544">
        <v>1682.96</v>
      </c>
      <c r="DQ544">
        <v>1682.96</v>
      </c>
      <c r="DR544">
        <v>14.83</v>
      </c>
      <c r="DS544">
        <v>14.83</v>
      </c>
      <c r="DT544">
        <v>1951.07</v>
      </c>
      <c r="DU544">
        <v>1951.07</v>
      </c>
      <c r="DV544">
        <v>50026.937501157503</v>
      </c>
    </row>
    <row r="545" spans="106:126">
      <c r="DB545" t="s">
        <v>740</v>
      </c>
      <c r="DC545" t="s">
        <v>740</v>
      </c>
      <c r="DD545" t="s">
        <v>97</v>
      </c>
      <c r="DE545">
        <v>37.5</v>
      </c>
      <c r="DF545">
        <v>37.5</v>
      </c>
      <c r="DG545">
        <v>1.2</v>
      </c>
      <c r="DH545">
        <v>1.2</v>
      </c>
      <c r="DI545">
        <v>170.53</v>
      </c>
      <c r="DJ545">
        <v>90</v>
      </c>
      <c r="DK545">
        <v>90</v>
      </c>
      <c r="DL545">
        <v>37035.480000000003</v>
      </c>
      <c r="DM545">
        <v>37035.480000000003</v>
      </c>
      <c r="DN545">
        <v>1975.23</v>
      </c>
      <c r="DO545">
        <v>1975.23</v>
      </c>
      <c r="DP545">
        <v>1975.23</v>
      </c>
      <c r="DQ545">
        <v>1975.23</v>
      </c>
      <c r="DR545">
        <v>14.74</v>
      </c>
      <c r="DS545">
        <v>14.74</v>
      </c>
      <c r="DT545">
        <v>2304.0100000000002</v>
      </c>
      <c r="DU545">
        <v>2304.0100000000002</v>
      </c>
      <c r="DV545">
        <v>59118.084725236004</v>
      </c>
    </row>
    <row r="546" spans="106:126">
      <c r="DB546" t="s">
        <v>741</v>
      </c>
      <c r="DC546" t="s">
        <v>741</v>
      </c>
      <c r="DD546" t="s">
        <v>97</v>
      </c>
      <c r="DE546">
        <v>37.5</v>
      </c>
      <c r="DF546">
        <v>37.5</v>
      </c>
      <c r="DG546">
        <v>1.4</v>
      </c>
      <c r="DH546">
        <v>1.4</v>
      </c>
      <c r="DI546">
        <v>197.11</v>
      </c>
      <c r="DJ546">
        <v>105</v>
      </c>
      <c r="DK546">
        <v>105</v>
      </c>
      <c r="DL546">
        <v>42251.38</v>
      </c>
      <c r="DM546">
        <v>42251.38</v>
      </c>
      <c r="DN546">
        <v>2253.41</v>
      </c>
      <c r="DO546">
        <v>2253.41</v>
      </c>
      <c r="DP546">
        <v>2253.41</v>
      </c>
      <c r="DQ546">
        <v>2253.41</v>
      </c>
      <c r="DR546">
        <v>14.64</v>
      </c>
      <c r="DS546">
        <v>14.64</v>
      </c>
      <c r="DT546">
        <v>2644.8</v>
      </c>
      <c r="DU546">
        <v>2644.8</v>
      </c>
      <c r="DV546">
        <v>67800.538738825504</v>
      </c>
    </row>
    <row r="547" spans="106:126">
      <c r="DB547" t="s">
        <v>742</v>
      </c>
      <c r="DC547" t="s">
        <v>742</v>
      </c>
      <c r="DD547" t="s">
        <v>97</v>
      </c>
      <c r="DE547">
        <v>37.5</v>
      </c>
      <c r="DF547">
        <v>37.5</v>
      </c>
      <c r="DG547">
        <v>1.6</v>
      </c>
      <c r="DH547">
        <v>1.6</v>
      </c>
      <c r="DI547">
        <v>223.17</v>
      </c>
      <c r="DJ547">
        <v>120</v>
      </c>
      <c r="DK547">
        <v>120</v>
      </c>
      <c r="DL547">
        <v>47208.43</v>
      </c>
      <c r="DM547">
        <v>47208.43</v>
      </c>
      <c r="DN547">
        <v>2517.79</v>
      </c>
      <c r="DO547">
        <v>2517.79</v>
      </c>
      <c r="DP547">
        <v>2517.79</v>
      </c>
      <c r="DQ547">
        <v>2517.79</v>
      </c>
      <c r="DR547">
        <v>14.54</v>
      </c>
      <c r="DS547">
        <v>14.54</v>
      </c>
      <c r="DT547">
        <v>2973.56</v>
      </c>
      <c r="DU547">
        <v>2973.56</v>
      </c>
      <c r="DV547">
        <v>76029.777673384597</v>
      </c>
    </row>
    <row r="548" spans="106:126">
      <c r="DB548" t="s">
        <v>743</v>
      </c>
      <c r="DC548" t="s">
        <v>743</v>
      </c>
      <c r="DD548" t="s">
        <v>97</v>
      </c>
      <c r="DE548">
        <v>37.5</v>
      </c>
      <c r="DF548">
        <v>37.5</v>
      </c>
      <c r="DG548">
        <v>1.8</v>
      </c>
      <c r="DH548">
        <v>1.8</v>
      </c>
      <c r="DI548">
        <v>248.7</v>
      </c>
      <c r="DJ548">
        <v>135</v>
      </c>
      <c r="DK548">
        <v>135</v>
      </c>
      <c r="DL548">
        <v>51911.96</v>
      </c>
      <c r="DM548">
        <v>51911.96</v>
      </c>
      <c r="DN548">
        <v>2768.64</v>
      </c>
      <c r="DO548">
        <v>2768.64</v>
      </c>
      <c r="DP548">
        <v>2768.64</v>
      </c>
      <c r="DQ548">
        <v>2768.64</v>
      </c>
      <c r="DR548">
        <v>14.45</v>
      </c>
      <c r="DS548">
        <v>14.45</v>
      </c>
      <c r="DT548">
        <v>3290.42</v>
      </c>
      <c r="DU548">
        <v>3290.42</v>
      </c>
      <c r="DV548">
        <v>83761.659554326499</v>
      </c>
    </row>
    <row r="549" spans="106:126">
      <c r="DB549" t="s">
        <v>744</v>
      </c>
      <c r="DC549" t="s">
        <v>744</v>
      </c>
      <c r="DD549" t="s">
        <v>97</v>
      </c>
      <c r="DE549">
        <v>37.5</v>
      </c>
      <c r="DF549">
        <v>37.5</v>
      </c>
      <c r="DG549">
        <v>2</v>
      </c>
      <c r="DH549">
        <v>2</v>
      </c>
      <c r="DI549">
        <v>273.7</v>
      </c>
      <c r="DJ549">
        <v>150</v>
      </c>
      <c r="DK549">
        <v>150</v>
      </c>
      <c r="DL549">
        <v>56367.24</v>
      </c>
      <c r="DM549">
        <v>56367.24</v>
      </c>
      <c r="DN549">
        <v>3006.26</v>
      </c>
      <c r="DO549">
        <v>3006.26</v>
      </c>
      <c r="DP549">
        <v>3006.26</v>
      </c>
      <c r="DQ549">
        <v>3006.26</v>
      </c>
      <c r="DR549">
        <v>14.35</v>
      </c>
      <c r="DS549">
        <v>14.35</v>
      </c>
      <c r="DT549">
        <v>3595.48</v>
      </c>
      <c r="DU549">
        <v>3595.48</v>
      </c>
      <c r="DV549">
        <v>90952.660471461</v>
      </c>
    </row>
    <row r="550" spans="106:126">
      <c r="DB550" t="s">
        <v>745</v>
      </c>
      <c r="DC550" t="s">
        <v>745</v>
      </c>
      <c r="DD550" t="s">
        <v>97</v>
      </c>
      <c r="DE550">
        <v>40</v>
      </c>
      <c r="DF550">
        <v>40</v>
      </c>
      <c r="DG550">
        <v>0.8</v>
      </c>
      <c r="DH550">
        <v>0.8</v>
      </c>
      <c r="DI550">
        <v>123.79</v>
      </c>
      <c r="DJ550">
        <v>64</v>
      </c>
      <c r="DK550">
        <v>64</v>
      </c>
      <c r="DL550">
        <v>31490.11</v>
      </c>
      <c r="DM550">
        <v>31490.11</v>
      </c>
      <c r="DN550">
        <v>1574.51</v>
      </c>
      <c r="DO550">
        <v>1574.51</v>
      </c>
      <c r="DP550">
        <v>1574.51</v>
      </c>
      <c r="DQ550">
        <v>1574.51</v>
      </c>
      <c r="DR550">
        <v>15.95</v>
      </c>
      <c r="DS550">
        <v>15.95</v>
      </c>
      <c r="DT550">
        <v>1811.51</v>
      </c>
      <c r="DU550">
        <v>1811.51</v>
      </c>
      <c r="DV550">
        <v>49394.860321818502</v>
      </c>
    </row>
    <row r="551" spans="106:126">
      <c r="DB551" t="s">
        <v>746</v>
      </c>
      <c r="DC551" t="s">
        <v>746</v>
      </c>
      <c r="DD551" t="s">
        <v>97</v>
      </c>
      <c r="DE551">
        <v>40</v>
      </c>
      <c r="DF551">
        <v>40</v>
      </c>
      <c r="DG551">
        <v>1</v>
      </c>
      <c r="DH551">
        <v>1</v>
      </c>
      <c r="DI551">
        <v>153.41999999999999</v>
      </c>
      <c r="DJ551">
        <v>80</v>
      </c>
      <c r="DK551">
        <v>80</v>
      </c>
      <c r="DL551">
        <v>38561.410000000003</v>
      </c>
      <c r="DM551">
        <v>38561.410000000003</v>
      </c>
      <c r="DN551">
        <v>1928.08</v>
      </c>
      <c r="DO551">
        <v>1928.08</v>
      </c>
      <c r="DP551">
        <v>1928.08</v>
      </c>
      <c r="DQ551">
        <v>1928.08</v>
      </c>
      <c r="DR551">
        <v>15.85</v>
      </c>
      <c r="DS551">
        <v>15.85</v>
      </c>
      <c r="DT551">
        <v>2230.98</v>
      </c>
      <c r="DU551">
        <v>2230.98</v>
      </c>
      <c r="DV551">
        <v>60984.666333717803</v>
      </c>
    </row>
    <row r="552" spans="106:126">
      <c r="DB552" t="s">
        <v>747</v>
      </c>
      <c r="DC552" t="s">
        <v>747</v>
      </c>
      <c r="DD552" t="s">
        <v>97</v>
      </c>
      <c r="DE552">
        <v>40</v>
      </c>
      <c r="DF552">
        <v>40</v>
      </c>
      <c r="DG552">
        <v>1.2</v>
      </c>
      <c r="DH552">
        <v>1.2</v>
      </c>
      <c r="DI552">
        <v>182.53</v>
      </c>
      <c r="DJ552">
        <v>96</v>
      </c>
      <c r="DK552">
        <v>96</v>
      </c>
      <c r="DL552">
        <v>45323.97</v>
      </c>
      <c r="DM552">
        <v>45323.97</v>
      </c>
      <c r="DN552">
        <v>2266.1999999999998</v>
      </c>
      <c r="DO552">
        <v>2266.1999999999998</v>
      </c>
      <c r="DP552">
        <v>2266.1999999999998</v>
      </c>
      <c r="DQ552">
        <v>2266.1999999999998</v>
      </c>
      <c r="DR552">
        <v>15.76</v>
      </c>
      <c r="DS552">
        <v>15.76</v>
      </c>
      <c r="DT552">
        <v>2637.33</v>
      </c>
      <c r="DU552">
        <v>2637.33</v>
      </c>
      <c r="DV552">
        <v>72176.204090551197</v>
      </c>
    </row>
    <row r="553" spans="106:126">
      <c r="DB553" t="s">
        <v>748</v>
      </c>
      <c r="DC553" t="s">
        <v>748</v>
      </c>
      <c r="DD553" t="s">
        <v>97</v>
      </c>
      <c r="DE553">
        <v>40</v>
      </c>
      <c r="DF553">
        <v>40</v>
      </c>
      <c r="DG553">
        <v>1.4</v>
      </c>
      <c r="DH553">
        <v>1.4</v>
      </c>
      <c r="DI553">
        <v>211.11</v>
      </c>
      <c r="DJ553">
        <v>112</v>
      </c>
      <c r="DK553">
        <v>112</v>
      </c>
      <c r="DL553">
        <v>51783.59</v>
      </c>
      <c r="DM553">
        <v>51783.59</v>
      </c>
      <c r="DN553">
        <v>2589.1799999999998</v>
      </c>
      <c r="DO553">
        <v>2589.1799999999998</v>
      </c>
      <c r="DP553">
        <v>2589.1799999999998</v>
      </c>
      <c r="DQ553">
        <v>2589.1799999999998</v>
      </c>
      <c r="DR553">
        <v>15.66</v>
      </c>
      <c r="DS553">
        <v>15.66</v>
      </c>
      <c r="DT553">
        <v>3030.67</v>
      </c>
      <c r="DU553">
        <v>3030.67</v>
      </c>
      <c r="DV553">
        <v>82921.795298869096</v>
      </c>
    </row>
    <row r="554" spans="106:126">
      <c r="DB554" t="s">
        <v>749</v>
      </c>
      <c r="DC554" t="s">
        <v>749</v>
      </c>
      <c r="DD554" t="s">
        <v>97</v>
      </c>
      <c r="DE554">
        <v>40</v>
      </c>
      <c r="DF554">
        <v>40</v>
      </c>
      <c r="DG554">
        <v>1.6</v>
      </c>
      <c r="DH554">
        <v>1.6</v>
      </c>
      <c r="DI554">
        <v>239.17</v>
      </c>
      <c r="DJ554">
        <v>128</v>
      </c>
      <c r="DK554">
        <v>128</v>
      </c>
      <c r="DL554">
        <v>57946.03</v>
      </c>
      <c r="DM554">
        <v>57946.03</v>
      </c>
      <c r="DN554">
        <v>2897.31</v>
      </c>
      <c r="DO554">
        <v>2897.31</v>
      </c>
      <c r="DP554">
        <v>2897.31</v>
      </c>
      <c r="DQ554">
        <v>2897.31</v>
      </c>
      <c r="DR554">
        <v>15.57</v>
      </c>
      <c r="DS554">
        <v>15.57</v>
      </c>
      <c r="DT554">
        <v>3411.12</v>
      </c>
      <c r="DU554">
        <v>3411.12</v>
      </c>
      <c r="DV554">
        <v>93173.849099236395</v>
      </c>
    </row>
    <row r="555" spans="106:126">
      <c r="DB555" t="s">
        <v>750</v>
      </c>
      <c r="DC555" t="s">
        <v>750</v>
      </c>
      <c r="DD555" t="s">
        <v>97</v>
      </c>
      <c r="DE555">
        <v>40</v>
      </c>
      <c r="DF555">
        <v>40</v>
      </c>
      <c r="DG555">
        <v>1.8</v>
      </c>
      <c r="DH555">
        <v>1.8</v>
      </c>
      <c r="DI555">
        <v>266.7</v>
      </c>
      <c r="DJ555">
        <v>144</v>
      </c>
      <c r="DK555">
        <v>144</v>
      </c>
      <c r="DL555">
        <v>63816.99</v>
      </c>
      <c r="DM555">
        <v>63816.99</v>
      </c>
      <c r="DN555">
        <v>3190.85</v>
      </c>
      <c r="DO555">
        <v>3190.85</v>
      </c>
      <c r="DP555">
        <v>3190.85</v>
      </c>
      <c r="DQ555">
        <v>3190.85</v>
      </c>
      <c r="DR555">
        <v>15.47</v>
      </c>
      <c r="DS555">
        <v>15.47</v>
      </c>
      <c r="DT555">
        <v>3778.81</v>
      </c>
      <c r="DU555">
        <v>3778.81</v>
      </c>
      <c r="DV555">
        <v>102885.056960968</v>
      </c>
    </row>
    <row r="556" spans="106:126">
      <c r="DB556" t="s">
        <v>751</v>
      </c>
      <c r="DC556" t="s">
        <v>751</v>
      </c>
      <c r="DD556" t="s">
        <v>97</v>
      </c>
      <c r="DE556">
        <v>40</v>
      </c>
      <c r="DF556">
        <v>40</v>
      </c>
      <c r="DG556">
        <v>2</v>
      </c>
      <c r="DH556">
        <v>2</v>
      </c>
      <c r="DI556">
        <v>293.7</v>
      </c>
      <c r="DJ556">
        <v>160</v>
      </c>
      <c r="DK556">
        <v>160</v>
      </c>
      <c r="DL556">
        <v>69402.13</v>
      </c>
      <c r="DM556">
        <v>69402.13</v>
      </c>
      <c r="DN556">
        <v>3470.11</v>
      </c>
      <c r="DO556">
        <v>3470.11</v>
      </c>
      <c r="DP556">
        <v>3470.11</v>
      </c>
      <c r="DQ556">
        <v>3470.11</v>
      </c>
      <c r="DR556">
        <v>15.37</v>
      </c>
      <c r="DS556">
        <v>15.37</v>
      </c>
      <c r="DT556">
        <v>4133.8500000000004</v>
      </c>
      <c r="DU556">
        <v>4133.8500000000004</v>
      </c>
      <c r="DV556">
        <v>112008.605958642</v>
      </c>
    </row>
    <row r="557" spans="106:126">
      <c r="DB557" t="s">
        <v>752</v>
      </c>
      <c r="DC557" t="s">
        <v>752</v>
      </c>
      <c r="DD557" t="s">
        <v>97</v>
      </c>
      <c r="DE557">
        <v>45</v>
      </c>
      <c r="DF557">
        <v>45</v>
      </c>
      <c r="DG557">
        <v>1</v>
      </c>
      <c r="DH557">
        <v>1</v>
      </c>
      <c r="DI557">
        <v>173.42</v>
      </c>
      <c r="DJ557">
        <v>90</v>
      </c>
      <c r="DK557">
        <v>90</v>
      </c>
      <c r="DL557">
        <v>55536.88</v>
      </c>
      <c r="DM557">
        <v>55536.88</v>
      </c>
      <c r="DN557">
        <v>2468.31</v>
      </c>
      <c r="DO557">
        <v>2468.31</v>
      </c>
      <c r="DP557">
        <v>2468.31</v>
      </c>
      <c r="DQ557">
        <v>2468.31</v>
      </c>
      <c r="DR557">
        <v>17.899999999999999</v>
      </c>
      <c r="DS557">
        <v>17.899999999999999</v>
      </c>
      <c r="DT557">
        <v>2847.04</v>
      </c>
      <c r="DU557">
        <v>2847.04</v>
      </c>
      <c r="DV557">
        <v>87445.834126860893</v>
      </c>
    </row>
    <row r="558" spans="106:126">
      <c r="DB558" t="s">
        <v>753</v>
      </c>
      <c r="DC558" t="s">
        <v>753</v>
      </c>
      <c r="DD558" t="s">
        <v>97</v>
      </c>
      <c r="DE558">
        <v>45</v>
      </c>
      <c r="DF558">
        <v>45</v>
      </c>
      <c r="DG558">
        <v>1.2</v>
      </c>
      <c r="DH558">
        <v>1.2</v>
      </c>
      <c r="DI558">
        <v>206.53</v>
      </c>
      <c r="DJ558">
        <v>108</v>
      </c>
      <c r="DK558">
        <v>108</v>
      </c>
      <c r="DL558">
        <v>65433.18</v>
      </c>
      <c r="DM558">
        <v>65433.18</v>
      </c>
      <c r="DN558">
        <v>2908.15</v>
      </c>
      <c r="DO558">
        <v>2908.15</v>
      </c>
      <c r="DP558">
        <v>2908.15</v>
      </c>
      <c r="DQ558">
        <v>2908.15</v>
      </c>
      <c r="DR558">
        <v>17.8</v>
      </c>
      <c r="DS558">
        <v>17.8</v>
      </c>
      <c r="DT558">
        <v>3371.45</v>
      </c>
      <c r="DU558">
        <v>3371.45</v>
      </c>
      <c r="DV558">
        <v>103735.85760240001</v>
      </c>
    </row>
    <row r="559" spans="106:126">
      <c r="DB559" t="s">
        <v>754</v>
      </c>
      <c r="DC559" t="s">
        <v>754</v>
      </c>
      <c r="DD559" t="s">
        <v>97</v>
      </c>
      <c r="DE559">
        <v>45</v>
      </c>
      <c r="DF559">
        <v>45</v>
      </c>
      <c r="DG559">
        <v>1.4</v>
      </c>
      <c r="DH559">
        <v>1.4</v>
      </c>
      <c r="DI559">
        <v>239.11</v>
      </c>
      <c r="DJ559">
        <v>126</v>
      </c>
      <c r="DK559">
        <v>126</v>
      </c>
      <c r="DL559">
        <v>74941.19</v>
      </c>
      <c r="DM559">
        <v>74941.19</v>
      </c>
      <c r="DN559">
        <v>3330.72</v>
      </c>
      <c r="DO559">
        <v>3330.72</v>
      </c>
      <c r="DP559">
        <v>3330.72</v>
      </c>
      <c r="DQ559">
        <v>3330.72</v>
      </c>
      <c r="DR559">
        <v>17.7</v>
      </c>
      <c r="DS559">
        <v>17.7</v>
      </c>
      <c r="DT559">
        <v>3881.15</v>
      </c>
      <c r="DU559">
        <v>3881.15</v>
      </c>
      <c r="DV559">
        <v>119501.711353604</v>
      </c>
    </row>
    <row r="560" spans="106:126">
      <c r="DB560" t="s">
        <v>755</v>
      </c>
      <c r="DC560" t="s">
        <v>755</v>
      </c>
      <c r="DD560" t="s">
        <v>97</v>
      </c>
      <c r="DE560">
        <v>45</v>
      </c>
      <c r="DF560">
        <v>45</v>
      </c>
      <c r="DG560">
        <v>1.6</v>
      </c>
      <c r="DH560">
        <v>1.6</v>
      </c>
      <c r="DI560">
        <v>271.17</v>
      </c>
      <c r="DJ560">
        <v>144</v>
      </c>
      <c r="DK560">
        <v>144</v>
      </c>
      <c r="DL560">
        <v>84067.43</v>
      </c>
      <c r="DM560">
        <v>84067.43</v>
      </c>
      <c r="DN560">
        <v>3736.34</v>
      </c>
      <c r="DO560">
        <v>3736.34</v>
      </c>
      <c r="DP560">
        <v>3736.34</v>
      </c>
      <c r="DQ560">
        <v>3736.34</v>
      </c>
      <c r="DR560">
        <v>17.61</v>
      </c>
      <c r="DS560">
        <v>17.61</v>
      </c>
      <c r="DT560">
        <v>4376.24</v>
      </c>
      <c r="DU560">
        <v>4376.24</v>
      </c>
      <c r="DV560">
        <v>134689.75834961201</v>
      </c>
    </row>
    <row r="561" spans="106:126">
      <c r="DB561" t="s">
        <v>756</v>
      </c>
      <c r="DC561" t="s">
        <v>756</v>
      </c>
      <c r="DD561" t="s">
        <v>97</v>
      </c>
      <c r="DE561">
        <v>45</v>
      </c>
      <c r="DF561">
        <v>45</v>
      </c>
      <c r="DG561">
        <v>1.8</v>
      </c>
      <c r="DH561">
        <v>1.8</v>
      </c>
      <c r="DI561">
        <v>302.7</v>
      </c>
      <c r="DJ561">
        <v>162</v>
      </c>
      <c r="DK561">
        <v>162</v>
      </c>
      <c r="DL561">
        <v>92818.34</v>
      </c>
      <c r="DM561">
        <v>92818.34</v>
      </c>
      <c r="DN561">
        <v>4125.26</v>
      </c>
      <c r="DO561">
        <v>4125.26</v>
      </c>
      <c r="DP561">
        <v>4125.26</v>
      </c>
      <c r="DQ561">
        <v>4125.26</v>
      </c>
      <c r="DR561">
        <v>17.510000000000002</v>
      </c>
      <c r="DS561">
        <v>17.510000000000002</v>
      </c>
      <c r="DT561">
        <v>4856.8500000000004</v>
      </c>
      <c r="DU561">
        <v>4856.8500000000004</v>
      </c>
      <c r="DV561">
        <v>149246.490219748</v>
      </c>
    </row>
    <row r="562" spans="106:126">
      <c r="DB562" t="s">
        <v>757</v>
      </c>
      <c r="DC562" t="s">
        <v>757</v>
      </c>
      <c r="DD562" t="s">
        <v>97</v>
      </c>
      <c r="DE562">
        <v>45</v>
      </c>
      <c r="DF562">
        <v>45</v>
      </c>
      <c r="DG562">
        <v>2</v>
      </c>
      <c r="DH562">
        <v>2</v>
      </c>
      <c r="DI562">
        <v>333.7</v>
      </c>
      <c r="DJ562">
        <v>180</v>
      </c>
      <c r="DK562">
        <v>180</v>
      </c>
      <c r="DL562">
        <v>101200.35</v>
      </c>
      <c r="DM562">
        <v>101200.35</v>
      </c>
      <c r="DN562">
        <v>4497.8</v>
      </c>
      <c r="DO562">
        <v>4497.8</v>
      </c>
      <c r="DP562">
        <v>4497.8</v>
      </c>
      <c r="DQ562">
        <v>4497.8</v>
      </c>
      <c r="DR562">
        <v>17.41</v>
      </c>
      <c r="DS562">
        <v>17.41</v>
      </c>
      <c r="DT562">
        <v>5323.1</v>
      </c>
      <c r="DU562">
        <v>5323.1</v>
      </c>
      <c r="DV562">
        <v>163118.70302668001</v>
      </c>
    </row>
    <row r="563" spans="106:126">
      <c r="DB563" t="s">
        <v>758</v>
      </c>
      <c r="DC563" t="s">
        <v>758</v>
      </c>
      <c r="DD563" t="s">
        <v>97</v>
      </c>
      <c r="DE563">
        <v>50</v>
      </c>
      <c r="DF563">
        <v>50</v>
      </c>
      <c r="DG563">
        <v>1</v>
      </c>
      <c r="DH563">
        <v>1</v>
      </c>
      <c r="DI563">
        <v>193.42</v>
      </c>
      <c r="DJ563">
        <v>100</v>
      </c>
      <c r="DK563">
        <v>100</v>
      </c>
      <c r="DL563">
        <v>76880.160000000003</v>
      </c>
      <c r="DM563">
        <v>76880.160000000003</v>
      </c>
      <c r="DN563">
        <v>3075.21</v>
      </c>
      <c r="DO563">
        <v>3075.21</v>
      </c>
      <c r="DP563">
        <v>3075.21</v>
      </c>
      <c r="DQ563">
        <v>3075.21</v>
      </c>
      <c r="DR563">
        <v>19.940000000000001</v>
      </c>
      <c r="DS563">
        <v>19.940000000000001</v>
      </c>
      <c r="DT563">
        <v>3538.1</v>
      </c>
      <c r="DU563">
        <v>3538.1</v>
      </c>
      <c r="DV563">
        <v>120592.920707565</v>
      </c>
    </row>
    <row r="564" spans="106:126">
      <c r="DB564" t="s">
        <v>759</v>
      </c>
      <c r="DC564" t="s">
        <v>759</v>
      </c>
      <c r="DD564" t="s">
        <v>97</v>
      </c>
      <c r="DE564">
        <v>50</v>
      </c>
      <c r="DF564">
        <v>50</v>
      </c>
      <c r="DG564">
        <v>1.2</v>
      </c>
      <c r="DH564">
        <v>1.2</v>
      </c>
      <c r="DI564">
        <v>230.53</v>
      </c>
      <c r="DJ564">
        <v>120</v>
      </c>
      <c r="DK564">
        <v>120</v>
      </c>
      <c r="DL564">
        <v>90752.04</v>
      </c>
      <c r="DM564">
        <v>90752.04</v>
      </c>
      <c r="DN564">
        <v>3630.09</v>
      </c>
      <c r="DO564">
        <v>3630.09</v>
      </c>
      <c r="DP564">
        <v>3630.09</v>
      </c>
      <c r="DQ564">
        <v>3630.09</v>
      </c>
      <c r="DR564">
        <v>19.84</v>
      </c>
      <c r="DS564">
        <v>19.84</v>
      </c>
      <c r="DT564">
        <v>4195.58</v>
      </c>
      <c r="DU564">
        <v>4195.58</v>
      </c>
      <c r="DV564">
        <v>143303.323752011</v>
      </c>
    </row>
    <row r="565" spans="106:126">
      <c r="DB565" t="s">
        <v>760</v>
      </c>
      <c r="DC565" t="s">
        <v>760</v>
      </c>
      <c r="DD565" t="s">
        <v>97</v>
      </c>
      <c r="DE565">
        <v>50</v>
      </c>
      <c r="DF565">
        <v>50</v>
      </c>
      <c r="DG565">
        <v>1.4</v>
      </c>
      <c r="DH565">
        <v>1.4</v>
      </c>
      <c r="DI565">
        <v>267.11</v>
      </c>
      <c r="DJ565">
        <v>140</v>
      </c>
      <c r="DK565">
        <v>140</v>
      </c>
      <c r="DL565">
        <v>104139.7</v>
      </c>
      <c r="DM565">
        <v>104139.7</v>
      </c>
      <c r="DN565">
        <v>4165.59</v>
      </c>
      <c r="DO565">
        <v>4165.59</v>
      </c>
      <c r="DP565">
        <v>4165.59</v>
      </c>
      <c r="DQ565">
        <v>4165.59</v>
      </c>
      <c r="DR565">
        <v>19.75</v>
      </c>
      <c r="DS565">
        <v>19.75</v>
      </c>
      <c r="DT565">
        <v>4836.63</v>
      </c>
      <c r="DU565">
        <v>4836.63</v>
      </c>
      <c r="DV565">
        <v>165406.329484794</v>
      </c>
    </row>
    <row r="566" spans="106:126">
      <c r="DB566" t="s">
        <v>761</v>
      </c>
      <c r="DC566" t="s">
        <v>761</v>
      </c>
      <c r="DD566" t="s">
        <v>97</v>
      </c>
      <c r="DE566">
        <v>50</v>
      </c>
      <c r="DF566">
        <v>50</v>
      </c>
      <c r="DG566">
        <v>1.6</v>
      </c>
      <c r="DH566">
        <v>1.6</v>
      </c>
      <c r="DI566">
        <v>303.17</v>
      </c>
      <c r="DJ566">
        <v>160</v>
      </c>
      <c r="DK566">
        <v>160</v>
      </c>
      <c r="DL566">
        <v>117050.41</v>
      </c>
      <c r="DM566">
        <v>117050.41</v>
      </c>
      <c r="DN566">
        <v>4682.0200000000004</v>
      </c>
      <c r="DO566">
        <v>4682.0200000000004</v>
      </c>
      <c r="DP566">
        <v>4682.0200000000004</v>
      </c>
      <c r="DQ566">
        <v>4682.0200000000004</v>
      </c>
      <c r="DR566">
        <v>19.649999999999999</v>
      </c>
      <c r="DS566">
        <v>19.649999999999999</v>
      </c>
      <c r="DT566">
        <v>5461.36</v>
      </c>
      <c r="DU566">
        <v>5461.36</v>
      </c>
      <c r="DV566">
        <v>186842.34184765999</v>
      </c>
    </row>
    <row r="567" spans="106:126">
      <c r="DB567" t="s">
        <v>762</v>
      </c>
      <c r="DC567" t="s">
        <v>762</v>
      </c>
      <c r="DD567" t="s">
        <v>97</v>
      </c>
      <c r="DE567">
        <v>50</v>
      </c>
      <c r="DF567">
        <v>50</v>
      </c>
      <c r="DG567">
        <v>1.8</v>
      </c>
      <c r="DH567">
        <v>1.8</v>
      </c>
      <c r="DI567">
        <v>338.7</v>
      </c>
      <c r="DJ567">
        <v>180</v>
      </c>
      <c r="DK567">
        <v>180</v>
      </c>
      <c r="DL567">
        <v>129491.39</v>
      </c>
      <c r="DM567">
        <v>129491.39</v>
      </c>
      <c r="DN567">
        <v>5179.66</v>
      </c>
      <c r="DO567">
        <v>5179.66</v>
      </c>
      <c r="DP567">
        <v>5179.66</v>
      </c>
      <c r="DQ567">
        <v>5179.66</v>
      </c>
      <c r="DR567">
        <v>19.55</v>
      </c>
      <c r="DS567">
        <v>19.55</v>
      </c>
      <c r="DT567">
        <v>6069.89</v>
      </c>
      <c r="DU567">
        <v>6069.89</v>
      </c>
      <c r="DV567">
        <v>207551.77803819501</v>
      </c>
    </row>
    <row r="568" spans="106:126">
      <c r="DB568" t="s">
        <v>763</v>
      </c>
      <c r="DC568" t="s">
        <v>763</v>
      </c>
      <c r="DD568" t="s">
        <v>97</v>
      </c>
      <c r="DE568">
        <v>50</v>
      </c>
      <c r="DF568">
        <v>50</v>
      </c>
      <c r="DG568">
        <v>2</v>
      </c>
      <c r="DH568">
        <v>2</v>
      </c>
      <c r="DI568">
        <v>373.7</v>
      </c>
      <c r="DJ568">
        <v>200</v>
      </c>
      <c r="DK568">
        <v>200</v>
      </c>
      <c r="DL568">
        <v>141469.79999999999</v>
      </c>
      <c r="DM568">
        <v>141469.79999999999</v>
      </c>
      <c r="DN568">
        <v>5658.8</v>
      </c>
      <c r="DO568">
        <v>5658.8</v>
      </c>
      <c r="DP568">
        <v>5658.8</v>
      </c>
      <c r="DQ568">
        <v>5658.8</v>
      </c>
      <c r="DR568">
        <v>19.46</v>
      </c>
      <c r="DS568">
        <v>19.46</v>
      </c>
      <c r="DT568">
        <v>6662.35</v>
      </c>
      <c r="DU568">
        <v>6662.35</v>
      </c>
      <c r="DV568">
        <v>227475.21752743301</v>
      </c>
    </row>
  </sheetData>
  <mergeCells count="13">
    <mergeCell ref="BK1:BK3"/>
    <mergeCell ref="BL1:BO1"/>
    <mergeCell ref="BP1:BQ2"/>
    <mergeCell ref="CC1:CJ1"/>
    <mergeCell ref="BL2:BM2"/>
    <mergeCell ref="BN2:BO2"/>
    <mergeCell ref="CC2:CC3"/>
    <mergeCell ref="BP3:BP4"/>
    <mergeCell ref="BI1:BJ4"/>
    <mergeCell ref="K1:O2"/>
    <mergeCell ref="V1:Z2"/>
    <mergeCell ref="AV1:AX1"/>
    <mergeCell ref="AZ1:BB1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00000"/>
  </sheetPr>
  <dimension ref="A1:GZ1656"/>
  <sheetViews>
    <sheetView showGridLines="0" tabSelected="1" topLeftCell="AZ11" zoomScale="130" zoomScaleNormal="130" zoomScaleSheetLayoutView="100" workbookViewId="0">
      <selection activeCell="BJ29" sqref="BJ29"/>
    </sheetView>
  </sheetViews>
  <sheetFormatPr defaultColWidth="7.28515625" defaultRowHeight="12.75"/>
  <cols>
    <col min="1" max="1" width="1.5703125" style="1" customWidth="1"/>
    <col min="2" max="2" width="9.28515625" style="1" bestFit="1" customWidth="1"/>
    <col min="3" max="3" width="7.28515625" style="1"/>
    <col min="4" max="4" width="8.42578125" style="1" bestFit="1" customWidth="1"/>
    <col min="5" max="5" width="8.28515625" style="1" bestFit="1" customWidth="1"/>
    <col min="6" max="7" width="7.28515625" style="1"/>
    <col min="8" max="9" width="8.5703125" style="1" customWidth="1"/>
    <col min="10" max="10" width="7.7109375" style="1" customWidth="1"/>
    <col min="11" max="12" width="8.140625" style="1" customWidth="1"/>
    <col min="13" max="13" width="8.140625" style="1" bestFit="1" customWidth="1"/>
    <col min="14" max="14" width="7.7109375" style="1" customWidth="1"/>
    <col min="15" max="15" width="15" style="1" bestFit="1" customWidth="1"/>
    <col min="16" max="16" width="7.28515625" style="1" hidden="1" customWidth="1"/>
    <col min="17" max="17" width="7.28515625" style="1" customWidth="1"/>
    <col min="18" max="25" width="7.28515625" style="1" hidden="1" customWidth="1"/>
    <col min="26" max="26" width="2.85546875" style="25" customWidth="1"/>
    <col min="27" max="27" width="11.85546875" style="68" customWidth="1"/>
    <col min="28" max="28" width="5.7109375" style="7" customWidth="1"/>
    <col min="29" max="30" width="5.28515625" style="26" customWidth="1"/>
    <col min="31" max="34" width="5.28515625" style="7" customWidth="1"/>
    <col min="35" max="41" width="5.28515625" style="6" customWidth="1"/>
    <col min="42" max="42" width="6" style="6" customWidth="1"/>
    <col min="43" max="43" width="5.28515625" style="6" customWidth="1"/>
    <col min="44" max="44" width="5.7109375" style="172" customWidth="1"/>
    <col min="45" max="50" width="5.28515625" style="142" customWidth="1"/>
    <col min="51" max="51" width="5.28515625" style="7" customWidth="1"/>
    <col min="52" max="52" width="5.28515625" style="6" customWidth="1"/>
    <col min="53" max="53" width="5.28515625" style="7" customWidth="1"/>
    <col min="54" max="59" width="5.28515625" style="6" customWidth="1"/>
    <col min="60" max="68" width="5.28515625" style="123" customWidth="1"/>
    <col min="69" max="69" width="5.7109375" style="7" customWidth="1"/>
    <col min="70" max="76" width="5.28515625" style="142" customWidth="1"/>
    <col min="77" max="78" width="5.28515625" style="19" customWidth="1"/>
    <col min="79" max="79" width="5.28515625" style="20" customWidth="1"/>
    <col min="80" max="80" width="5.28515625" style="139" customWidth="1"/>
    <col min="81" max="81" width="5.28515625" style="20" customWidth="1"/>
    <col min="82" max="82" width="5.7109375" style="53" customWidth="1"/>
    <col min="83" max="83" width="5.28515625" style="53" customWidth="1"/>
    <col min="84" max="84" width="6.140625" style="53" customWidth="1"/>
    <col min="85" max="92" width="5.28515625" style="53" customWidth="1"/>
    <col min="93" max="94" width="5.28515625" style="132" customWidth="1"/>
    <col min="95" max="95" width="5.28515625" style="111" customWidth="1"/>
    <col min="96" max="96" width="5.28515625" style="104" customWidth="1"/>
    <col min="97" max="97" width="5.28515625" style="22" customWidth="1"/>
    <col min="98" max="100" width="5.28515625" style="132" customWidth="1"/>
    <col min="101" max="101" width="5.28515625" style="111" customWidth="1"/>
    <col min="102" max="102" width="5.28515625" style="104" customWidth="1"/>
    <col min="103" max="103" width="7.28515625" style="1" hidden="1" customWidth="1"/>
    <col min="104" max="104" width="2.85546875" style="25" customWidth="1"/>
    <col min="105" max="105" width="11.85546875" style="68" customWidth="1"/>
    <col min="106" max="106" width="5.7109375" style="7" customWidth="1"/>
    <col min="107" max="108" width="5.28515625" style="26" customWidth="1"/>
    <col min="109" max="112" width="5.28515625" style="7" customWidth="1"/>
    <col min="113" max="119" width="5.28515625" style="6" hidden="1" customWidth="1"/>
    <col min="120" max="120" width="6" style="6" hidden="1" customWidth="1"/>
    <col min="121" max="121" width="5.28515625" style="6" hidden="1" customWidth="1"/>
    <col min="122" max="122" width="5.7109375" style="172" customWidth="1"/>
    <col min="123" max="128" width="5.28515625" style="142" customWidth="1"/>
    <col min="129" max="129" width="5.28515625" style="7" customWidth="1"/>
    <col min="130" max="130" width="5.28515625" style="6" customWidth="1"/>
    <col min="131" max="131" width="5.28515625" style="7" customWidth="1"/>
    <col min="132" max="133" width="5.28515625" style="6" customWidth="1"/>
    <col min="134" max="137" width="5.28515625" style="6" hidden="1" customWidth="1"/>
    <col min="138" max="146" width="5.28515625" style="123" hidden="1" customWidth="1"/>
    <col min="147" max="147" width="5.7109375" style="7" hidden="1" customWidth="1"/>
    <col min="148" max="152" width="5.28515625" style="142" hidden="1" customWidth="1"/>
    <col min="153" max="154" width="5.28515625" style="142" customWidth="1"/>
    <col min="155" max="156" width="5.28515625" style="19" customWidth="1"/>
    <col min="157" max="157" width="5.28515625" style="20" customWidth="1"/>
    <col min="158" max="158" width="5.28515625" style="139" customWidth="1"/>
    <col min="159" max="159" width="5.28515625" style="20" customWidth="1"/>
    <col min="160" max="160" width="5.7109375" style="53" customWidth="1"/>
    <col min="161" max="161" width="5.28515625" style="53" customWidth="1"/>
    <col min="162" max="162" width="6.140625" style="53" customWidth="1"/>
    <col min="163" max="164" width="5.28515625" style="53" customWidth="1"/>
    <col min="165" max="166" width="5.28515625" style="53" hidden="1" customWidth="1"/>
    <col min="167" max="168" width="5.28515625" style="53" customWidth="1"/>
    <col min="169" max="170" width="5.28515625" style="53" hidden="1" customWidth="1"/>
    <col min="171" max="172" width="5.28515625" style="132" customWidth="1"/>
    <col min="173" max="173" width="5.28515625" style="111" customWidth="1"/>
    <col min="174" max="174" width="5.28515625" style="104" customWidth="1"/>
    <col min="175" max="175" width="5.28515625" style="22" customWidth="1"/>
    <col min="176" max="177" width="5.28515625" style="132" hidden="1" customWidth="1"/>
    <col min="178" max="178" width="5.28515625" style="132" customWidth="1"/>
    <col min="179" max="179" width="5.28515625" style="111" customWidth="1"/>
    <col min="180" max="180" width="5.28515625" style="104" customWidth="1"/>
    <col min="181" max="181" width="7.28515625" style="1" hidden="1" customWidth="1"/>
    <col min="182" max="182" width="2.85546875" style="25" customWidth="1"/>
    <col min="183" max="207" width="0" style="1" hidden="1" customWidth="1"/>
    <col min="208" max="208" width="2.85546875" style="25" customWidth="1"/>
    <col min="209" max="16384" width="7.28515625" style="1"/>
  </cols>
  <sheetData>
    <row r="1" spans="2:208" ht="12.75" hidden="1" customHeight="1">
      <c r="AA1" s="131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69"/>
      <c r="AY1" s="157"/>
      <c r="AZ1" s="104"/>
      <c r="BA1" s="157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DA1" s="131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69"/>
      <c r="DY1" s="157"/>
      <c r="DZ1" s="104"/>
      <c r="EA1" s="157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</row>
    <row r="2" spans="2:208" ht="12.75" hidden="1" customHeight="1">
      <c r="AA2" s="131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69"/>
      <c r="AY2" s="157"/>
      <c r="AZ2" s="104"/>
      <c r="BA2" s="157"/>
      <c r="BB2" s="104"/>
      <c r="BC2" s="104"/>
      <c r="BD2" s="104"/>
      <c r="BE2" s="104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  <c r="CC2" s="104"/>
      <c r="CD2" s="104"/>
      <c r="CE2" s="104"/>
      <c r="CF2" s="104"/>
      <c r="CG2" s="104"/>
      <c r="CH2" s="104"/>
      <c r="CI2" s="104"/>
      <c r="CJ2" s="104"/>
      <c r="CK2" s="104"/>
      <c r="CL2" s="104"/>
      <c r="CM2" s="104"/>
      <c r="CN2" s="104"/>
      <c r="DA2" s="131"/>
      <c r="DB2" s="104"/>
      <c r="DC2" s="104"/>
      <c r="DD2" s="104"/>
      <c r="DE2" s="104"/>
      <c r="DF2" s="104"/>
      <c r="DG2" s="104"/>
      <c r="DH2" s="104"/>
      <c r="DI2" s="104"/>
      <c r="DJ2" s="104"/>
      <c r="DK2" s="104"/>
      <c r="DL2" s="104"/>
      <c r="DM2" s="104"/>
      <c r="DN2" s="104"/>
      <c r="DO2" s="104"/>
      <c r="DP2" s="104"/>
      <c r="DQ2" s="104"/>
      <c r="DR2" s="169"/>
      <c r="DY2" s="157"/>
      <c r="DZ2" s="104"/>
      <c r="EA2" s="157"/>
      <c r="EB2" s="104"/>
      <c r="EC2" s="104"/>
      <c r="ED2" s="104"/>
      <c r="EE2" s="104"/>
      <c r="EF2" s="104"/>
      <c r="EG2" s="104"/>
      <c r="EH2" s="104"/>
      <c r="EI2" s="104"/>
      <c r="EJ2" s="104"/>
      <c r="EK2" s="104"/>
      <c r="EL2" s="104"/>
      <c r="EM2" s="104"/>
      <c r="EN2" s="104"/>
      <c r="EO2" s="104"/>
      <c r="EP2" s="104"/>
      <c r="EQ2" s="104"/>
      <c r="ER2" s="104"/>
      <c r="ES2" s="104"/>
      <c r="ET2" s="104"/>
      <c r="EU2" s="104"/>
      <c r="EV2" s="104"/>
      <c r="EW2" s="104"/>
      <c r="EX2" s="104"/>
      <c r="EY2" s="104"/>
      <c r="EZ2" s="104"/>
      <c r="FA2" s="104"/>
      <c r="FB2" s="104"/>
      <c r="FC2" s="104"/>
      <c r="FD2" s="104"/>
      <c r="FE2" s="104"/>
      <c r="FF2" s="104"/>
      <c r="FG2" s="104"/>
      <c r="FH2" s="104"/>
      <c r="FI2" s="104"/>
      <c r="FJ2" s="104"/>
      <c r="FK2" s="104"/>
      <c r="FL2" s="104"/>
      <c r="FM2" s="104"/>
      <c r="FN2" s="104"/>
    </row>
    <row r="3" spans="2:208" ht="12.75" hidden="1" customHeight="1">
      <c r="AA3" s="131"/>
      <c r="AB3" s="104"/>
      <c r="AC3" s="104"/>
      <c r="AD3" s="104"/>
      <c r="AE3" s="104"/>
      <c r="AF3" s="104"/>
      <c r="AG3" s="104"/>
      <c r="AH3" s="104"/>
      <c r="AI3" s="104"/>
      <c r="AJ3" s="104"/>
      <c r="AK3" s="104"/>
      <c r="AL3" s="104"/>
      <c r="AM3" s="104"/>
      <c r="AN3" s="104"/>
      <c r="AO3" s="104"/>
      <c r="AP3" s="104"/>
      <c r="AQ3" s="104"/>
      <c r="AR3" s="169"/>
      <c r="AY3" s="157"/>
      <c r="AZ3" s="104"/>
      <c r="BA3" s="157"/>
      <c r="BB3" s="104"/>
      <c r="BC3" s="104"/>
      <c r="BD3" s="104"/>
      <c r="BE3" s="104"/>
      <c r="BF3" s="104"/>
      <c r="BG3" s="104"/>
      <c r="BH3" s="104"/>
      <c r="BI3" s="104"/>
      <c r="BJ3" s="104"/>
      <c r="BK3" s="104"/>
      <c r="BL3" s="104"/>
      <c r="BM3" s="104"/>
      <c r="BN3" s="104"/>
      <c r="BO3" s="104"/>
      <c r="BP3" s="104"/>
      <c r="BQ3" s="104"/>
      <c r="BR3" s="104"/>
      <c r="BS3" s="104"/>
      <c r="BT3" s="104"/>
      <c r="BU3" s="104"/>
      <c r="BV3" s="104"/>
      <c r="BW3" s="104"/>
      <c r="BX3" s="104"/>
      <c r="BY3" s="104"/>
      <c r="BZ3" s="104"/>
      <c r="CA3" s="104"/>
      <c r="CB3" s="104"/>
      <c r="CC3" s="104"/>
      <c r="CD3" s="104"/>
      <c r="CE3" s="104"/>
      <c r="CF3" s="104"/>
      <c r="CG3" s="104"/>
      <c r="CH3" s="104"/>
      <c r="CI3" s="104"/>
      <c r="CJ3" s="104"/>
      <c r="CK3" s="104"/>
      <c r="CL3" s="104"/>
      <c r="CM3" s="104"/>
      <c r="CN3" s="104"/>
      <c r="DA3" s="131"/>
      <c r="DB3" s="104"/>
      <c r="DC3" s="104"/>
      <c r="DD3" s="104"/>
      <c r="DE3" s="104"/>
      <c r="DF3" s="104"/>
      <c r="DG3" s="104"/>
      <c r="DH3" s="104"/>
      <c r="DI3" s="104"/>
      <c r="DJ3" s="104"/>
      <c r="DK3" s="104"/>
      <c r="DL3" s="104"/>
      <c r="DM3" s="104"/>
      <c r="DN3" s="104"/>
      <c r="DO3" s="104"/>
      <c r="DP3" s="104"/>
      <c r="DQ3" s="104"/>
      <c r="DR3" s="169"/>
      <c r="DY3" s="157"/>
      <c r="DZ3" s="104"/>
      <c r="EA3" s="157"/>
      <c r="EB3" s="104"/>
      <c r="EC3" s="104"/>
      <c r="ED3" s="104"/>
      <c r="EE3" s="104"/>
      <c r="EF3" s="104"/>
      <c r="EG3" s="104"/>
      <c r="EH3" s="104"/>
      <c r="EI3" s="104"/>
      <c r="EJ3" s="104"/>
      <c r="EK3" s="104"/>
      <c r="EL3" s="104"/>
      <c r="EM3" s="104"/>
      <c r="EN3" s="104"/>
      <c r="EO3" s="104"/>
      <c r="EP3" s="104"/>
      <c r="EQ3" s="104"/>
      <c r="ER3" s="104"/>
      <c r="ES3" s="104"/>
      <c r="ET3" s="104"/>
      <c r="EU3" s="104"/>
      <c r="EV3" s="104"/>
      <c r="EW3" s="104"/>
      <c r="EX3" s="104"/>
      <c r="EY3" s="104"/>
      <c r="EZ3" s="104"/>
      <c r="FA3" s="104"/>
      <c r="FB3" s="104"/>
      <c r="FC3" s="104"/>
      <c r="FD3" s="104"/>
      <c r="FE3" s="104"/>
      <c r="FF3" s="104"/>
      <c r="FG3" s="104"/>
      <c r="FH3" s="104"/>
      <c r="FI3" s="104"/>
      <c r="FJ3" s="104"/>
      <c r="FK3" s="104"/>
      <c r="FL3" s="104"/>
      <c r="FM3" s="104"/>
      <c r="FN3" s="104"/>
    </row>
    <row r="4" spans="2:208" ht="12.75" hidden="1" customHeight="1">
      <c r="AA4" s="131"/>
      <c r="AB4" s="104"/>
      <c r="AC4" s="104"/>
      <c r="AD4" s="104"/>
      <c r="AE4" s="104"/>
      <c r="AF4" s="104"/>
      <c r="AG4" s="104"/>
      <c r="AH4" s="104"/>
      <c r="AI4" s="104"/>
      <c r="AJ4" s="104"/>
      <c r="AK4" s="104"/>
      <c r="AL4" s="104"/>
      <c r="AM4" s="104"/>
      <c r="AN4" s="104"/>
      <c r="AO4" s="104"/>
      <c r="AP4" s="104"/>
      <c r="AQ4" s="104"/>
      <c r="AR4" s="169"/>
      <c r="AY4" s="157"/>
      <c r="AZ4" s="104"/>
      <c r="BA4" s="157"/>
      <c r="BB4" s="104"/>
      <c r="BC4" s="104"/>
      <c r="BD4" s="104"/>
      <c r="BE4" s="104"/>
      <c r="BF4" s="104"/>
      <c r="BG4" s="104"/>
      <c r="BH4" s="104"/>
      <c r="BI4" s="104"/>
      <c r="BJ4" s="104"/>
      <c r="BK4" s="104"/>
      <c r="BL4" s="104"/>
      <c r="BM4" s="104"/>
      <c r="BN4" s="104"/>
      <c r="BO4" s="104"/>
      <c r="BP4" s="104"/>
      <c r="BQ4" s="104"/>
      <c r="BR4" s="104"/>
      <c r="BS4" s="104"/>
      <c r="BT4" s="104"/>
      <c r="BU4" s="104"/>
      <c r="BV4" s="104"/>
      <c r="BW4" s="104"/>
      <c r="BX4" s="104"/>
      <c r="BY4" s="104"/>
      <c r="BZ4" s="104"/>
      <c r="CA4" s="104"/>
      <c r="CB4" s="104"/>
      <c r="CC4" s="104"/>
      <c r="CD4" s="104"/>
      <c r="CE4" s="104"/>
      <c r="CF4" s="104"/>
      <c r="CG4" s="104"/>
      <c r="CH4" s="104"/>
      <c r="CI4" s="104"/>
      <c r="CJ4" s="104"/>
      <c r="CK4" s="104"/>
      <c r="CL4" s="104"/>
      <c r="CM4" s="104"/>
      <c r="CN4" s="104"/>
      <c r="DA4" s="131"/>
      <c r="DB4" s="104"/>
      <c r="DC4" s="104"/>
      <c r="DD4" s="104"/>
      <c r="DE4" s="104"/>
      <c r="DF4" s="104"/>
      <c r="DG4" s="104"/>
      <c r="DH4" s="104"/>
      <c r="DI4" s="104"/>
      <c r="DJ4" s="104"/>
      <c r="DK4" s="104"/>
      <c r="DL4" s="104"/>
      <c r="DM4" s="104"/>
      <c r="DN4" s="104"/>
      <c r="DO4" s="104"/>
      <c r="DP4" s="104"/>
      <c r="DQ4" s="104"/>
      <c r="DR4" s="169"/>
      <c r="DY4" s="157"/>
      <c r="DZ4" s="104"/>
      <c r="EA4" s="157"/>
      <c r="EB4" s="104"/>
      <c r="EC4" s="104"/>
      <c r="ED4" s="104"/>
      <c r="EE4" s="104"/>
      <c r="EF4" s="104"/>
      <c r="EG4" s="104"/>
      <c r="EH4" s="104"/>
      <c r="EI4" s="104"/>
      <c r="EJ4" s="104"/>
      <c r="EK4" s="104"/>
      <c r="EL4" s="104"/>
      <c r="EM4" s="104"/>
      <c r="EN4" s="104"/>
      <c r="EO4" s="104"/>
      <c r="EP4" s="104"/>
      <c r="EQ4" s="104"/>
      <c r="ER4" s="104"/>
      <c r="ES4" s="104"/>
      <c r="ET4" s="104"/>
      <c r="EU4" s="104"/>
      <c r="EV4" s="104"/>
      <c r="EW4" s="104"/>
      <c r="EX4" s="104"/>
      <c r="EY4" s="104"/>
      <c r="EZ4" s="104"/>
      <c r="FA4" s="104"/>
      <c r="FB4" s="104"/>
      <c r="FC4" s="104"/>
      <c r="FD4" s="104"/>
      <c r="FE4" s="104"/>
      <c r="FF4" s="104"/>
      <c r="FG4" s="104"/>
      <c r="FH4" s="104"/>
      <c r="FI4" s="104"/>
      <c r="FJ4" s="104"/>
      <c r="FK4" s="104"/>
      <c r="FL4" s="104"/>
      <c r="FM4" s="104"/>
      <c r="FN4" s="104"/>
    </row>
    <row r="5" spans="2:208" ht="12.75" hidden="1" customHeight="1">
      <c r="AA5" s="131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69"/>
      <c r="AY5" s="157"/>
      <c r="AZ5" s="104"/>
      <c r="BA5" s="157"/>
      <c r="BB5" s="104"/>
      <c r="BC5" s="104"/>
      <c r="BD5" s="104"/>
      <c r="BE5" s="104"/>
      <c r="BF5" s="104"/>
      <c r="BG5" s="104"/>
      <c r="BH5" s="104"/>
      <c r="BI5" s="104"/>
      <c r="BJ5" s="104"/>
      <c r="BK5" s="104"/>
      <c r="BL5" s="104"/>
      <c r="BM5" s="104"/>
      <c r="BN5" s="104"/>
      <c r="BO5" s="104"/>
      <c r="BP5" s="104"/>
      <c r="BQ5" s="104"/>
      <c r="BR5" s="104"/>
      <c r="BS5" s="104"/>
      <c r="BT5" s="104"/>
      <c r="BU5" s="104"/>
      <c r="BV5" s="104"/>
      <c r="BW5" s="104"/>
      <c r="BX5" s="104"/>
      <c r="BY5" s="104"/>
      <c r="BZ5" s="104"/>
      <c r="CA5" s="104"/>
      <c r="CB5" s="104"/>
      <c r="CC5" s="104"/>
      <c r="CD5" s="104"/>
      <c r="CE5" s="104"/>
      <c r="CF5" s="104"/>
      <c r="CG5" s="104"/>
      <c r="CH5" s="104"/>
      <c r="CI5" s="104"/>
      <c r="CJ5" s="104"/>
      <c r="CK5" s="104"/>
      <c r="CL5" s="104"/>
      <c r="CM5" s="104"/>
      <c r="CN5" s="104"/>
      <c r="DA5" s="131"/>
      <c r="DB5" s="104"/>
      <c r="DC5" s="104"/>
      <c r="DD5" s="104"/>
      <c r="DE5" s="104"/>
      <c r="DF5" s="104"/>
      <c r="DG5" s="104"/>
      <c r="DH5" s="104"/>
      <c r="DI5" s="104"/>
      <c r="DJ5" s="104"/>
      <c r="DK5" s="104"/>
      <c r="DL5" s="104"/>
      <c r="DM5" s="104"/>
      <c r="DN5" s="104"/>
      <c r="DO5" s="104"/>
      <c r="DP5" s="104"/>
      <c r="DQ5" s="104"/>
      <c r="DR5" s="169"/>
      <c r="DY5" s="157"/>
      <c r="DZ5" s="104"/>
      <c r="EA5" s="157"/>
      <c r="EB5" s="104"/>
      <c r="EC5" s="104"/>
      <c r="ED5" s="104"/>
      <c r="EE5" s="104"/>
      <c r="EF5" s="104"/>
      <c r="EG5" s="104"/>
      <c r="EH5" s="104"/>
      <c r="EI5" s="104"/>
      <c r="EJ5" s="104"/>
      <c r="EK5" s="104"/>
      <c r="EL5" s="104"/>
      <c r="EM5" s="104"/>
      <c r="EN5" s="104"/>
      <c r="EO5" s="104"/>
      <c r="EP5" s="104"/>
      <c r="EQ5" s="104"/>
      <c r="ER5" s="104"/>
      <c r="ES5" s="104"/>
      <c r="ET5" s="104"/>
      <c r="EU5" s="104"/>
      <c r="EV5" s="104"/>
      <c r="EW5" s="104"/>
      <c r="EX5" s="104"/>
      <c r="EY5" s="104"/>
      <c r="EZ5" s="104"/>
      <c r="FA5" s="104"/>
      <c r="FB5" s="104"/>
      <c r="FC5" s="104"/>
      <c r="FD5" s="104"/>
      <c r="FE5" s="104"/>
      <c r="FF5" s="104"/>
      <c r="FG5" s="104"/>
      <c r="FH5" s="104"/>
      <c r="FI5" s="104"/>
      <c r="FJ5" s="104"/>
      <c r="FK5" s="104"/>
      <c r="FL5" s="104"/>
      <c r="FM5" s="104"/>
      <c r="FN5" s="104"/>
    </row>
    <row r="6" spans="2:208" ht="12.75" hidden="1" customHeight="1">
      <c r="AA6" s="131"/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69"/>
      <c r="AY6" s="157"/>
      <c r="AZ6" s="104"/>
      <c r="BA6" s="157"/>
      <c r="BB6" s="104"/>
      <c r="BC6" s="104"/>
      <c r="BD6" s="104"/>
      <c r="BE6" s="104"/>
      <c r="BF6" s="104"/>
      <c r="BG6" s="104"/>
      <c r="BH6" s="104"/>
      <c r="BI6" s="104"/>
      <c r="BJ6" s="104"/>
      <c r="BK6" s="104"/>
      <c r="BL6" s="104"/>
      <c r="BM6" s="104"/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A6" s="104"/>
      <c r="CB6" s="104"/>
      <c r="CC6" s="104"/>
      <c r="CD6" s="104"/>
      <c r="CE6" s="104"/>
      <c r="CF6" s="104"/>
      <c r="CG6" s="104"/>
      <c r="CH6" s="104"/>
      <c r="CI6" s="104"/>
      <c r="CJ6" s="104"/>
      <c r="CK6" s="104"/>
      <c r="CL6" s="104"/>
      <c r="CM6" s="104"/>
      <c r="CN6" s="104"/>
      <c r="DA6" s="131"/>
      <c r="DB6" s="104"/>
      <c r="DC6" s="104"/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DQ6" s="104"/>
      <c r="DR6" s="169"/>
      <c r="DY6" s="157"/>
      <c r="DZ6" s="104"/>
      <c r="EA6" s="157"/>
      <c r="EB6" s="104"/>
      <c r="EC6" s="104"/>
      <c r="ED6" s="104"/>
      <c r="EE6" s="104"/>
      <c r="EF6" s="104"/>
      <c r="EG6" s="104"/>
      <c r="EH6" s="104"/>
      <c r="EI6" s="104"/>
      <c r="EJ6" s="104"/>
      <c r="EK6" s="104"/>
      <c r="EL6" s="104"/>
      <c r="EM6" s="104"/>
      <c r="EN6" s="104"/>
      <c r="EO6" s="104"/>
      <c r="EP6" s="104"/>
      <c r="EQ6" s="104"/>
      <c r="ER6" s="104"/>
      <c r="ES6" s="104"/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G6" s="104"/>
      <c r="FH6" s="104"/>
      <c r="FI6" s="104"/>
      <c r="FJ6" s="104"/>
      <c r="FK6" s="104"/>
      <c r="FL6" s="104"/>
      <c r="FM6" s="104"/>
      <c r="FN6" s="104"/>
    </row>
    <row r="7" spans="2:208" ht="12.75" hidden="1" customHeight="1">
      <c r="AA7" s="131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69"/>
      <c r="AY7" s="157"/>
      <c r="AZ7" s="104"/>
      <c r="BA7" s="157"/>
      <c r="BB7" s="104"/>
      <c r="BC7" s="104"/>
      <c r="BD7" s="104"/>
      <c r="BE7" s="104"/>
      <c r="BF7" s="104"/>
      <c r="BG7" s="104"/>
      <c r="BH7" s="104"/>
      <c r="BI7" s="104"/>
      <c r="BJ7" s="104"/>
      <c r="BK7" s="104"/>
      <c r="BL7" s="104"/>
      <c r="BM7" s="104"/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CA7" s="104"/>
      <c r="CB7" s="104"/>
      <c r="CC7" s="104"/>
      <c r="CD7" s="104"/>
      <c r="CE7" s="104"/>
      <c r="CF7" s="104"/>
      <c r="CG7" s="104"/>
      <c r="CH7" s="104"/>
      <c r="CI7" s="104"/>
      <c r="CJ7" s="104"/>
      <c r="CK7" s="104"/>
      <c r="CL7" s="104"/>
      <c r="CM7" s="104"/>
      <c r="CN7" s="104"/>
      <c r="DA7" s="131"/>
      <c r="DB7" s="104"/>
      <c r="DC7" s="104"/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DQ7" s="104"/>
      <c r="DR7" s="169"/>
      <c r="DY7" s="157"/>
      <c r="DZ7" s="104"/>
      <c r="EA7" s="157"/>
      <c r="EB7" s="104"/>
      <c r="EC7" s="104"/>
      <c r="ED7" s="104"/>
      <c r="EE7" s="104"/>
      <c r="EF7" s="104"/>
      <c r="EG7" s="104"/>
      <c r="EH7" s="104"/>
      <c r="EI7" s="104"/>
      <c r="EJ7" s="104"/>
      <c r="EK7" s="104"/>
      <c r="EL7" s="104"/>
      <c r="EM7" s="104"/>
      <c r="EN7" s="104"/>
      <c r="EO7" s="104"/>
      <c r="EP7" s="104"/>
      <c r="EQ7" s="104"/>
      <c r="ER7" s="104"/>
      <c r="ES7" s="104"/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FG7" s="104"/>
      <c r="FH7" s="104"/>
      <c r="FI7" s="104"/>
      <c r="FJ7" s="104"/>
      <c r="FK7" s="104"/>
      <c r="FL7" s="104"/>
      <c r="FM7" s="104"/>
      <c r="FN7" s="104"/>
    </row>
    <row r="8" spans="2:208" ht="12.75" hidden="1" customHeight="1">
      <c r="AA8" s="131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69"/>
      <c r="AY8" s="157"/>
      <c r="AZ8" s="104"/>
      <c r="BA8" s="157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DA8" s="131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69"/>
      <c r="DY8" s="157"/>
      <c r="DZ8" s="104"/>
      <c r="EA8" s="157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</row>
    <row r="9" spans="2:208" ht="12.75" hidden="1" customHeight="1">
      <c r="AA9" s="131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69"/>
      <c r="AS9" s="154"/>
      <c r="AT9" s="154"/>
      <c r="AU9" s="154"/>
      <c r="AV9" s="154"/>
      <c r="AW9" s="154"/>
      <c r="AX9" s="154"/>
      <c r="AY9" s="157"/>
      <c r="AZ9" s="104"/>
      <c r="BA9" s="157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4"/>
      <c r="CJ9" s="104"/>
      <c r="CK9" s="104"/>
      <c r="CL9" s="104"/>
      <c r="CM9" s="104"/>
      <c r="CN9" s="104"/>
      <c r="DA9" s="131"/>
      <c r="DB9" s="104"/>
      <c r="DC9" s="104"/>
      <c r="DD9" s="104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69"/>
      <c r="DS9" s="154"/>
      <c r="DT9" s="154"/>
      <c r="DU9" s="154"/>
      <c r="DV9" s="154"/>
      <c r="DW9" s="154"/>
      <c r="DX9" s="154"/>
      <c r="DY9" s="157"/>
      <c r="DZ9" s="104"/>
      <c r="EA9" s="157"/>
      <c r="EB9" s="104"/>
      <c r="EC9" s="104"/>
      <c r="ED9" s="104"/>
      <c r="EE9" s="104"/>
      <c r="EF9" s="104"/>
      <c r="EG9" s="104"/>
      <c r="EH9" s="104"/>
      <c r="EI9" s="104"/>
      <c r="EJ9" s="104"/>
      <c r="EK9" s="104"/>
      <c r="EL9" s="104"/>
      <c r="EM9" s="104"/>
      <c r="EN9" s="104"/>
      <c r="EO9" s="104"/>
      <c r="EP9" s="104"/>
      <c r="EQ9" s="104"/>
      <c r="ER9" s="104"/>
      <c r="ES9" s="104"/>
      <c r="ET9" s="104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K9" s="104"/>
      <c r="FL9" s="104"/>
      <c r="FM9" s="104"/>
      <c r="FN9" s="104"/>
    </row>
    <row r="10" spans="2:208" ht="29.25" hidden="1" customHeight="1">
      <c r="AA10" s="131"/>
      <c r="AB10" s="104"/>
      <c r="AC10" s="104"/>
      <c r="AD10" s="104"/>
      <c r="AE10" s="104"/>
      <c r="AF10" s="104"/>
      <c r="AG10" s="104"/>
      <c r="AH10" s="104"/>
      <c r="AI10" s="104"/>
      <c r="AJ10" s="104"/>
      <c r="AK10" s="104"/>
      <c r="AL10" s="104"/>
      <c r="AM10" s="104"/>
      <c r="AN10" s="104"/>
      <c r="AO10" s="104"/>
      <c r="AP10" s="104"/>
      <c r="AQ10" s="104"/>
      <c r="AR10" s="169"/>
      <c r="AS10" s="155"/>
      <c r="AT10" s="155"/>
      <c r="AU10" s="155"/>
      <c r="AV10" s="155"/>
      <c r="AW10" s="155"/>
      <c r="AX10" s="155"/>
      <c r="AY10" s="157"/>
      <c r="AZ10" s="104"/>
      <c r="BA10" s="157"/>
      <c r="BB10" s="104"/>
      <c r="BC10" s="104"/>
      <c r="BD10" s="104"/>
      <c r="BE10" s="104"/>
      <c r="BF10" s="104"/>
      <c r="BG10" s="104"/>
      <c r="BH10" s="104"/>
      <c r="BI10" s="104"/>
      <c r="BJ10" s="104"/>
      <c r="BK10" s="104"/>
      <c r="BL10" s="104"/>
      <c r="BM10" s="104"/>
      <c r="BN10" s="104"/>
      <c r="BO10" s="104"/>
      <c r="BP10" s="104"/>
      <c r="BQ10" s="104"/>
      <c r="BR10" s="104"/>
      <c r="BS10" s="104"/>
      <c r="BT10" s="104"/>
      <c r="BU10" s="104"/>
      <c r="BV10" s="104"/>
      <c r="BW10" s="104"/>
      <c r="BX10" s="104"/>
      <c r="BY10" s="104"/>
      <c r="BZ10" s="104"/>
      <c r="CA10" s="104"/>
      <c r="CB10" s="104"/>
      <c r="CC10" s="104"/>
      <c r="CD10" s="104"/>
      <c r="CE10" s="104"/>
      <c r="CF10" s="104"/>
      <c r="CG10" s="104"/>
      <c r="CH10" s="104"/>
      <c r="CI10" s="104"/>
      <c r="CJ10" s="104"/>
      <c r="CK10" s="104"/>
      <c r="CL10" s="104"/>
      <c r="CM10" s="104"/>
      <c r="CN10" s="104"/>
      <c r="DA10" s="131"/>
      <c r="DB10" s="104"/>
      <c r="DC10" s="104"/>
      <c r="DD10" s="104"/>
      <c r="DE10" s="104"/>
      <c r="DF10" s="104"/>
      <c r="DG10" s="104"/>
      <c r="DH10" s="104"/>
      <c r="DI10" s="104"/>
      <c r="DJ10" s="104"/>
      <c r="DK10" s="104"/>
      <c r="DL10" s="104"/>
      <c r="DM10" s="104"/>
      <c r="DN10" s="104"/>
      <c r="DO10" s="104"/>
      <c r="DP10" s="104"/>
      <c r="DQ10" s="104"/>
      <c r="DR10" s="169"/>
      <c r="DS10" s="155"/>
      <c r="DT10" s="155"/>
      <c r="DU10" s="155"/>
      <c r="DV10" s="155"/>
      <c r="DW10" s="155"/>
      <c r="DX10" s="155"/>
      <c r="DY10" s="157"/>
      <c r="DZ10" s="104"/>
      <c r="EA10" s="157"/>
      <c r="EB10" s="104"/>
      <c r="EC10" s="104"/>
      <c r="ED10" s="104"/>
      <c r="EE10" s="104"/>
      <c r="EF10" s="104"/>
      <c r="EG10" s="104"/>
      <c r="EH10" s="104"/>
      <c r="EI10" s="104"/>
      <c r="EJ10" s="104"/>
      <c r="EK10" s="104"/>
      <c r="EL10" s="104"/>
      <c r="EM10" s="104"/>
      <c r="EN10" s="104"/>
      <c r="EO10" s="104"/>
      <c r="EP10" s="104"/>
      <c r="EQ10" s="104"/>
      <c r="ER10" s="104"/>
      <c r="ES10" s="104"/>
      <c r="ET10" s="104"/>
      <c r="EU10" s="104"/>
      <c r="EV10" s="104"/>
      <c r="EW10" s="104"/>
      <c r="EX10" s="104"/>
      <c r="EY10" s="104"/>
      <c r="EZ10" s="104"/>
      <c r="FA10" s="104"/>
      <c r="FB10" s="104"/>
      <c r="FC10" s="104"/>
      <c r="FD10" s="104"/>
      <c r="FE10" s="104"/>
      <c r="FF10" s="104"/>
      <c r="FG10" s="104"/>
      <c r="FH10" s="104"/>
      <c r="FI10" s="104"/>
      <c r="FJ10" s="104"/>
      <c r="FK10" s="104"/>
      <c r="FL10" s="104"/>
      <c r="FM10" s="104"/>
      <c r="FN10" s="104"/>
    </row>
    <row r="11" spans="2:208" ht="20.25" customHeight="1">
      <c r="B11" s="236" t="s">
        <v>87</v>
      </c>
      <c r="C11" s="237"/>
      <c r="D11" s="237"/>
      <c r="E11" s="237"/>
      <c r="F11" s="237"/>
      <c r="G11" s="237"/>
      <c r="H11" s="237"/>
      <c r="I11" s="237"/>
      <c r="J11" s="237"/>
      <c r="K11" s="240" t="str">
        <f>F15&amp;"x"&amp;F16&amp;"x"&amp;F17&amp;IF(F17=F18,"","x"&amp;F18)</f>
        <v>200x200x8x7</v>
      </c>
      <c r="L11" s="240"/>
      <c r="M11" s="240"/>
      <c r="N11" s="241"/>
      <c r="O11" s="2"/>
      <c r="Z11" s="31">
        <f>MAX(COUNTA(#REF!)+21,23)</f>
        <v>23</v>
      </c>
      <c r="AA11" s="192" t="s">
        <v>951</v>
      </c>
      <c r="AB11" s="193"/>
      <c r="AC11" s="193"/>
      <c r="AD11" s="193"/>
      <c r="AE11" s="193"/>
      <c r="AF11" s="193"/>
      <c r="AG11" s="193"/>
      <c r="AH11" s="193"/>
      <c r="AI11" s="193"/>
      <c r="AJ11" s="193"/>
      <c r="AK11" s="193"/>
      <c r="AL11" s="193"/>
      <c r="AM11" s="193"/>
      <c r="AN11" s="193"/>
      <c r="AO11" s="193"/>
      <c r="AP11" s="193"/>
      <c r="AQ11" s="193"/>
      <c r="AR11" s="193"/>
      <c r="AS11" s="193"/>
      <c r="AT11" s="193"/>
      <c r="AU11" s="193"/>
      <c r="AV11" s="193"/>
      <c r="AW11" s="193"/>
      <c r="AX11" s="193"/>
      <c r="AY11" s="193"/>
      <c r="AZ11" s="193"/>
      <c r="BA11" s="193"/>
      <c r="BB11" s="193"/>
      <c r="BC11" s="193"/>
      <c r="BD11" s="193"/>
      <c r="BE11" s="193"/>
      <c r="BF11" s="193"/>
      <c r="BG11" s="193"/>
      <c r="BH11" s="193"/>
      <c r="BI11" s="193"/>
      <c r="BJ11" s="193"/>
      <c r="BK11" s="193"/>
      <c r="BL11" s="193"/>
      <c r="BM11" s="193"/>
      <c r="BN11" s="193"/>
      <c r="BO11" s="193"/>
      <c r="BP11" s="193"/>
      <c r="BQ11" s="193"/>
      <c r="BR11" s="193"/>
      <c r="BS11" s="193"/>
      <c r="BT11" s="193"/>
      <c r="BU11" s="193"/>
      <c r="BV11" s="193"/>
      <c r="BW11" s="193"/>
      <c r="BX11" s="193"/>
      <c r="BY11" s="193"/>
      <c r="BZ11" s="193"/>
      <c r="CA11" s="193"/>
      <c r="CB11" s="193"/>
      <c r="CC11" s="193"/>
      <c r="CD11" s="193"/>
      <c r="CE11" s="193"/>
      <c r="CF11" s="193"/>
      <c r="CG11" s="193"/>
      <c r="CH11" s="193"/>
      <c r="CI11" s="193"/>
      <c r="CJ11" s="193"/>
      <c r="CK11" s="193"/>
      <c r="CL11" s="193"/>
      <c r="CM11" s="193"/>
      <c r="CN11" s="193"/>
      <c r="CO11" s="193"/>
      <c r="CP11" s="193"/>
      <c r="CQ11" s="193"/>
      <c r="CR11" s="193"/>
      <c r="CS11" s="193"/>
      <c r="CT11" s="193"/>
      <c r="CU11" s="193"/>
      <c r="CV11" s="193"/>
      <c r="CW11" s="193"/>
      <c r="CX11" s="193"/>
      <c r="CZ11" s="31">
        <f>MAX(COUNTA(#REF!)+21,23)</f>
        <v>23</v>
      </c>
      <c r="DA11" s="192" t="s">
        <v>951</v>
      </c>
      <c r="DB11" s="193"/>
      <c r="DC11" s="193"/>
      <c r="DD11" s="193"/>
      <c r="DE11" s="193"/>
      <c r="DF11" s="193"/>
      <c r="DG11" s="193"/>
      <c r="DH11" s="193"/>
      <c r="DI11" s="193"/>
      <c r="DJ11" s="193"/>
      <c r="DK11" s="193"/>
      <c r="DL11" s="193"/>
      <c r="DM11" s="193"/>
      <c r="DN11" s="193"/>
      <c r="DO11" s="193"/>
      <c r="DP11" s="193"/>
      <c r="DQ11" s="193"/>
      <c r="DR11" s="193"/>
      <c r="DS11" s="193"/>
      <c r="DT11" s="193"/>
      <c r="DU11" s="193"/>
      <c r="DV11" s="193"/>
      <c r="DW11" s="193"/>
      <c r="DX11" s="193"/>
      <c r="DY11" s="193"/>
      <c r="DZ11" s="193"/>
      <c r="EA11" s="193"/>
      <c r="EB11" s="193"/>
      <c r="EC11" s="193"/>
      <c r="ED11" s="193"/>
      <c r="EE11" s="193"/>
      <c r="EF11" s="193"/>
      <c r="EG11" s="193"/>
      <c r="EH11" s="193"/>
      <c r="EI11" s="193"/>
      <c r="EJ11" s="193"/>
      <c r="EK11" s="193"/>
      <c r="EL11" s="193"/>
      <c r="EM11" s="193"/>
      <c r="EN11" s="193"/>
      <c r="EO11" s="193"/>
      <c r="EP11" s="193"/>
      <c r="EQ11" s="193"/>
      <c r="ER11" s="193"/>
      <c r="ES11" s="193"/>
      <c r="ET11" s="193"/>
      <c r="EU11" s="193"/>
      <c r="EV11" s="193"/>
      <c r="EW11" s="193"/>
      <c r="EX11" s="193"/>
      <c r="EY11" s="193"/>
      <c r="EZ11" s="193"/>
      <c r="FA11" s="193"/>
      <c r="FB11" s="193"/>
      <c r="FC11" s="193"/>
      <c r="FD11" s="193"/>
      <c r="FE11" s="193"/>
      <c r="FF11" s="193"/>
      <c r="FG11" s="193"/>
      <c r="FH11" s="193"/>
      <c r="FI11" s="193"/>
      <c r="FJ11" s="193"/>
      <c r="FK11" s="193"/>
      <c r="FL11" s="193"/>
      <c r="FM11" s="193"/>
      <c r="FN11" s="193"/>
      <c r="FO11" s="193"/>
      <c r="FP11" s="193"/>
      <c r="FQ11" s="193"/>
      <c r="FR11" s="193"/>
      <c r="FS11" s="193"/>
      <c r="FT11" s="193"/>
      <c r="FU11" s="193"/>
      <c r="FV11" s="193"/>
      <c r="FW11" s="193"/>
      <c r="FX11" s="193"/>
      <c r="FZ11" s="31">
        <f>MAX(COUNTA(#REF!)+21,23)</f>
        <v>23</v>
      </c>
      <c r="GZ11" s="31">
        <f>MAX(COUNTA(#REF!)+21,23)</f>
        <v>23</v>
      </c>
    </row>
    <row r="12" spans="2:208" ht="12.75" customHeight="1">
      <c r="B12" s="238"/>
      <c r="C12" s="239"/>
      <c r="D12" s="239"/>
      <c r="E12" s="239"/>
      <c r="F12" s="239"/>
      <c r="G12" s="239"/>
      <c r="H12" s="239"/>
      <c r="I12" s="239"/>
      <c r="J12" s="239"/>
      <c r="K12" s="242"/>
      <c r="L12" s="242"/>
      <c r="M12" s="242"/>
      <c r="N12" s="243"/>
      <c r="Z12" s="32"/>
      <c r="AA12" s="194" t="s">
        <v>946</v>
      </c>
      <c r="AB12" s="195"/>
      <c r="AC12" s="195"/>
      <c r="AD12" s="195"/>
      <c r="AE12" s="195"/>
      <c r="AF12" s="195"/>
      <c r="AG12" s="195"/>
      <c r="AH12" s="195"/>
      <c r="AI12" s="195"/>
      <c r="AJ12" s="195"/>
      <c r="AK12" s="195"/>
      <c r="AL12" s="195"/>
      <c r="AM12" s="195"/>
      <c r="AN12" s="195"/>
      <c r="AO12" s="195"/>
      <c r="AP12" s="195"/>
      <c r="AQ12" s="195"/>
      <c r="AR12" s="195"/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95"/>
      <c r="BV12" s="195"/>
      <c r="BW12" s="195"/>
      <c r="BX12" s="195"/>
      <c r="BY12" s="195"/>
      <c r="BZ12" s="195"/>
      <c r="CA12" s="195"/>
      <c r="CB12" s="195"/>
      <c r="CC12" s="195"/>
      <c r="CD12" s="195"/>
      <c r="CE12" s="195"/>
      <c r="CF12" s="195"/>
      <c r="CG12" s="195"/>
      <c r="CH12" s="195"/>
      <c r="CI12" s="195"/>
      <c r="CJ12" s="195"/>
      <c r="CK12" s="195"/>
      <c r="CL12" s="195"/>
      <c r="CM12" s="195"/>
      <c r="CN12" s="195"/>
      <c r="CO12" s="195"/>
      <c r="CP12" s="195"/>
      <c r="CQ12" s="195"/>
      <c r="CR12" s="195"/>
      <c r="CS12" s="195"/>
      <c r="CT12" s="195"/>
      <c r="CU12" s="195"/>
      <c r="CV12" s="195"/>
      <c r="CW12" s="195"/>
      <c r="CX12" s="195"/>
      <c r="CZ12" s="32"/>
      <c r="DA12" s="194" t="s">
        <v>946</v>
      </c>
      <c r="DB12" s="195"/>
      <c r="DC12" s="195"/>
      <c r="DD12" s="195"/>
      <c r="DE12" s="195"/>
      <c r="DF12" s="195"/>
      <c r="DG12" s="195"/>
      <c r="DH12" s="195"/>
      <c r="DI12" s="195"/>
      <c r="DJ12" s="195"/>
      <c r="DK12" s="195"/>
      <c r="DL12" s="195"/>
      <c r="DM12" s="195"/>
      <c r="DN12" s="195"/>
      <c r="DO12" s="195"/>
      <c r="DP12" s="195"/>
      <c r="DQ12" s="195"/>
      <c r="DR12" s="195"/>
      <c r="DS12" s="195"/>
      <c r="DT12" s="195"/>
      <c r="DU12" s="195"/>
      <c r="DV12" s="195"/>
      <c r="DW12" s="195"/>
      <c r="DX12" s="195"/>
      <c r="DY12" s="195"/>
      <c r="DZ12" s="195"/>
      <c r="EA12" s="195"/>
      <c r="EB12" s="195"/>
      <c r="EC12" s="195"/>
      <c r="ED12" s="195"/>
      <c r="EE12" s="195"/>
      <c r="EF12" s="195"/>
      <c r="EG12" s="195"/>
      <c r="EH12" s="195"/>
      <c r="EI12" s="195"/>
      <c r="EJ12" s="195"/>
      <c r="EK12" s="195"/>
      <c r="EL12" s="195"/>
      <c r="EM12" s="195"/>
      <c r="EN12" s="195"/>
      <c r="EO12" s="195"/>
      <c r="EP12" s="195"/>
      <c r="EQ12" s="195"/>
      <c r="ER12" s="195"/>
      <c r="ES12" s="195"/>
      <c r="ET12" s="195"/>
      <c r="EU12" s="195"/>
      <c r="EV12" s="195"/>
      <c r="EW12" s="195"/>
      <c r="EX12" s="195"/>
      <c r="EY12" s="195"/>
      <c r="EZ12" s="195"/>
      <c r="FA12" s="195"/>
      <c r="FB12" s="195"/>
      <c r="FC12" s="195"/>
      <c r="FD12" s="195"/>
      <c r="FE12" s="195"/>
      <c r="FF12" s="195"/>
      <c r="FG12" s="195"/>
      <c r="FH12" s="195"/>
      <c r="FI12" s="195"/>
      <c r="FJ12" s="195"/>
      <c r="FK12" s="195"/>
      <c r="FL12" s="195"/>
      <c r="FM12" s="195"/>
      <c r="FN12" s="195"/>
      <c r="FO12" s="195"/>
      <c r="FP12" s="195"/>
      <c r="FQ12" s="195"/>
      <c r="FR12" s="195"/>
      <c r="FS12" s="195"/>
      <c r="FT12" s="195"/>
      <c r="FU12" s="195"/>
      <c r="FV12" s="195"/>
      <c r="FW12" s="195"/>
      <c r="FX12" s="195"/>
      <c r="FZ12" s="32"/>
      <c r="GZ12" s="32"/>
    </row>
    <row r="13" spans="2:208" ht="15" customHeight="1">
      <c r="B13" s="244" t="s">
        <v>0</v>
      </c>
      <c r="C13" s="245"/>
      <c r="D13" s="245"/>
      <c r="E13" s="93"/>
      <c r="F13" s="93"/>
      <c r="G13" s="93"/>
      <c r="H13" s="93"/>
      <c r="I13" s="93"/>
      <c r="J13" s="93"/>
      <c r="K13" s="93"/>
      <c r="L13" s="93"/>
      <c r="M13" s="93"/>
      <c r="N13" s="8"/>
      <c r="AA13" s="9" t="s">
        <v>863</v>
      </c>
      <c r="AB13" s="156"/>
      <c r="AC13" s="157"/>
      <c r="AD13" s="157"/>
      <c r="AE13" s="132"/>
      <c r="AF13" s="132"/>
      <c r="AG13" s="132"/>
      <c r="AH13" s="132"/>
      <c r="AI13" s="22"/>
      <c r="AJ13" s="22"/>
      <c r="AK13" s="22"/>
      <c r="AL13" s="22"/>
      <c r="AM13" s="22"/>
      <c r="AN13" s="22"/>
      <c r="AO13" s="22"/>
      <c r="AP13" s="22"/>
      <c r="AQ13" s="22"/>
      <c r="AR13" s="170"/>
      <c r="AS13" s="158"/>
      <c r="AT13" s="158"/>
      <c r="AU13" s="158"/>
      <c r="AV13" s="158"/>
      <c r="AW13" s="158"/>
      <c r="AX13" s="158"/>
      <c r="AY13" s="132"/>
      <c r="AZ13" s="22"/>
      <c r="BA13" s="132"/>
      <c r="BB13" s="22"/>
      <c r="BC13" s="22"/>
      <c r="BD13" s="22"/>
      <c r="BE13" s="22"/>
      <c r="BF13" s="22"/>
      <c r="BG13" s="22"/>
      <c r="BH13" s="104"/>
      <c r="BI13" s="104"/>
      <c r="BJ13" s="104"/>
      <c r="BK13" s="104"/>
      <c r="BL13" s="104"/>
      <c r="BM13" s="104"/>
      <c r="BN13" s="104"/>
      <c r="BO13" s="104"/>
      <c r="BP13" s="104"/>
      <c r="BQ13" s="132"/>
      <c r="BR13" s="158"/>
      <c r="BS13" s="158"/>
      <c r="BT13" s="158"/>
      <c r="BU13" s="158"/>
      <c r="BV13" s="158"/>
      <c r="BW13" s="158"/>
      <c r="BX13" s="158"/>
      <c r="BY13" s="133"/>
      <c r="BZ13" s="133"/>
      <c r="CA13" s="53"/>
      <c r="CB13" s="130"/>
      <c r="CC13" s="53"/>
      <c r="DA13" s="9" t="s">
        <v>863</v>
      </c>
      <c r="DB13" s="156"/>
      <c r="DC13" s="157"/>
      <c r="DD13" s="157"/>
      <c r="DE13" s="132"/>
      <c r="DF13" s="132"/>
      <c r="DG13" s="132"/>
      <c r="DH13" s="132"/>
      <c r="DI13" s="22"/>
      <c r="DJ13" s="22"/>
      <c r="DK13" s="22"/>
      <c r="DL13" s="22"/>
      <c r="DM13" s="22"/>
      <c r="DN13" s="22"/>
      <c r="DO13" s="22"/>
      <c r="DP13" s="22"/>
      <c r="DQ13" s="22"/>
      <c r="DR13" s="170"/>
      <c r="DS13" s="158"/>
      <c r="DT13" s="158"/>
      <c r="DU13" s="158"/>
      <c r="DV13" s="158"/>
      <c r="DW13" s="158"/>
      <c r="DX13" s="158"/>
      <c r="DY13" s="132"/>
      <c r="DZ13" s="22"/>
      <c r="EA13" s="132"/>
      <c r="EB13" s="22"/>
      <c r="EC13" s="22"/>
      <c r="ED13" s="22"/>
      <c r="EE13" s="22"/>
      <c r="EF13" s="22"/>
      <c r="EG13" s="22"/>
      <c r="EH13" s="104"/>
      <c r="EI13" s="104"/>
      <c r="EJ13" s="104"/>
      <c r="EK13" s="104"/>
      <c r="EL13" s="104"/>
      <c r="EM13" s="104"/>
      <c r="EN13" s="104"/>
      <c r="EO13" s="104"/>
      <c r="EP13" s="104"/>
      <c r="EQ13" s="132"/>
      <c r="ER13" s="158"/>
      <c r="ES13" s="158"/>
      <c r="ET13" s="158"/>
      <c r="EU13" s="158"/>
      <c r="EV13" s="158"/>
      <c r="EW13" s="158"/>
      <c r="EX13" s="158"/>
      <c r="EY13" s="133"/>
      <c r="EZ13" s="133"/>
      <c r="FA13" s="53"/>
      <c r="FB13" s="130"/>
      <c r="FC13" s="53"/>
    </row>
    <row r="14" spans="2:208" ht="14.25">
      <c r="B14" s="9" t="s">
        <v>23</v>
      </c>
      <c r="C14" s="93"/>
      <c r="D14" s="93"/>
      <c r="E14" s="93"/>
      <c r="F14" s="93"/>
      <c r="G14" s="93"/>
      <c r="H14" s="94"/>
      <c r="I14" s="95"/>
      <c r="J14" s="93"/>
      <c r="K14" s="4"/>
      <c r="L14" s="4"/>
      <c r="M14" s="4"/>
      <c r="N14" s="8"/>
      <c r="AA14" s="12"/>
      <c r="AB14" s="225" t="s">
        <v>864</v>
      </c>
      <c r="AC14" s="225"/>
      <c r="AD14" s="53" t="s">
        <v>865</v>
      </c>
      <c r="AE14" s="225">
        <f>$B$27</f>
        <v>206000</v>
      </c>
      <c r="AF14" s="225"/>
      <c r="AG14" s="53" t="s">
        <v>39</v>
      </c>
      <c r="AH14" s="53"/>
      <c r="AI14" s="22"/>
      <c r="AJ14" s="22"/>
      <c r="AK14" s="22"/>
      <c r="AL14" s="22"/>
      <c r="AM14" s="22"/>
      <c r="AN14" s="22"/>
      <c r="AO14" s="22"/>
      <c r="AP14" s="22"/>
      <c r="AQ14" s="22"/>
      <c r="AR14" s="170"/>
      <c r="AS14" s="133"/>
      <c r="AT14" s="158"/>
      <c r="AU14" s="158"/>
      <c r="AV14" s="53"/>
      <c r="AW14" s="150"/>
      <c r="AX14" s="53"/>
      <c r="AY14" s="132"/>
      <c r="AZ14" s="22"/>
      <c r="BA14" s="132"/>
      <c r="BB14" s="22"/>
      <c r="BC14" s="22"/>
      <c r="BD14" s="22"/>
      <c r="BE14" s="22"/>
      <c r="BF14" s="22"/>
      <c r="BG14" s="22"/>
      <c r="BH14" s="104"/>
      <c r="BI14" s="104"/>
      <c r="BJ14" s="104"/>
      <c r="BK14" s="104"/>
      <c r="BL14" s="104"/>
      <c r="BM14" s="104"/>
      <c r="BN14" s="104"/>
      <c r="BO14" s="104"/>
      <c r="BP14" s="104"/>
      <c r="BQ14" s="133"/>
      <c r="BR14" s="158"/>
      <c r="BS14" s="158"/>
      <c r="BT14" s="158"/>
      <c r="BU14" s="158"/>
      <c r="BV14" s="158"/>
      <c r="BW14" s="158"/>
      <c r="BX14" s="158"/>
      <c r="BY14" s="158"/>
      <c r="BZ14" s="53"/>
      <c r="CA14" s="133" t="s">
        <v>866</v>
      </c>
      <c r="CB14" s="158"/>
      <c r="CC14" s="158"/>
      <c r="CD14" s="53" t="s">
        <v>867</v>
      </c>
      <c r="CE14" s="150">
        <f>AE16*AC16</f>
        <v>205.71428571428569</v>
      </c>
      <c r="CF14" s="150"/>
      <c r="CG14" s="53" t="s">
        <v>39</v>
      </c>
      <c r="DA14" s="12"/>
      <c r="DB14" s="225" t="s">
        <v>864</v>
      </c>
      <c r="DC14" s="225"/>
      <c r="DD14" s="53" t="s">
        <v>865</v>
      </c>
      <c r="DE14" s="225">
        <f>$B$27</f>
        <v>206000</v>
      </c>
      <c r="DF14" s="225"/>
      <c r="DG14" s="53" t="s">
        <v>39</v>
      </c>
      <c r="DH14" s="53"/>
      <c r="DI14" s="22"/>
      <c r="DJ14" s="22"/>
      <c r="DK14" s="22"/>
      <c r="DL14" s="22"/>
      <c r="DM14" s="22"/>
      <c r="DN14" s="22"/>
      <c r="DO14" s="22"/>
      <c r="DP14" s="22"/>
      <c r="DQ14" s="22"/>
      <c r="DR14" s="170"/>
      <c r="DS14" s="133"/>
      <c r="DT14" s="158"/>
      <c r="DU14" s="158"/>
      <c r="DV14" s="53"/>
      <c r="DW14" s="150"/>
      <c r="DX14" s="53"/>
      <c r="DY14" s="132"/>
      <c r="DZ14" s="22"/>
      <c r="EA14" s="132"/>
      <c r="EB14" s="22"/>
      <c r="EC14" s="22"/>
      <c r="ED14" s="22"/>
      <c r="EE14" s="22"/>
      <c r="EF14" s="22"/>
      <c r="EG14" s="22"/>
      <c r="EH14" s="104"/>
      <c r="EI14" s="104"/>
      <c r="EJ14" s="104"/>
      <c r="EK14" s="104"/>
      <c r="EL14" s="104"/>
      <c r="EM14" s="104"/>
      <c r="EN14" s="104"/>
      <c r="EO14" s="104"/>
      <c r="EP14" s="104"/>
      <c r="EQ14" s="133"/>
      <c r="ER14" s="158"/>
      <c r="ES14" s="158"/>
      <c r="ET14" s="158"/>
      <c r="EU14" s="158"/>
      <c r="EV14" s="158"/>
      <c r="EW14" s="158"/>
      <c r="EX14" s="158"/>
      <c r="EY14" s="158"/>
      <c r="EZ14" s="53"/>
      <c r="FA14" s="133" t="s">
        <v>866</v>
      </c>
      <c r="FB14" s="158"/>
      <c r="FC14" s="158"/>
      <c r="FD14" s="53" t="s">
        <v>867</v>
      </c>
      <c r="FE14" s="150">
        <f>DE16*DC16</f>
        <v>205.71428571428569</v>
      </c>
      <c r="FF14" s="150"/>
      <c r="FG14" s="53" t="s">
        <v>39</v>
      </c>
    </row>
    <row r="15" spans="2:208" ht="14.25">
      <c r="B15" s="10" t="s">
        <v>766</v>
      </c>
      <c r="C15" s="93"/>
      <c r="D15" s="93"/>
      <c r="E15" s="94" t="s">
        <v>52</v>
      </c>
      <c r="F15" s="96">
        <v>200</v>
      </c>
      <c r="G15" s="93" t="s">
        <v>1</v>
      </c>
      <c r="H15" s="94"/>
      <c r="I15" s="95"/>
      <c r="J15" s="93"/>
      <c r="K15" s="4"/>
      <c r="L15" s="4"/>
      <c r="M15" s="4"/>
      <c r="N15" s="8"/>
      <c r="AA15" s="12"/>
      <c r="AB15" s="225" t="str">
        <f>$C$24</f>
        <v>CCT38</v>
      </c>
      <c r="AC15" s="225"/>
      <c r="AD15" s="53" t="s">
        <v>868</v>
      </c>
      <c r="AE15" s="225">
        <f>$C$27</f>
        <v>240</v>
      </c>
      <c r="AF15" s="225"/>
      <c r="AG15" s="53" t="s">
        <v>39</v>
      </c>
      <c r="AH15" s="53"/>
      <c r="AI15" s="22"/>
      <c r="AJ15" s="22"/>
      <c r="AK15" s="22"/>
      <c r="AL15" s="22"/>
      <c r="AM15" s="22"/>
      <c r="AN15" s="22"/>
      <c r="AO15" s="22"/>
      <c r="AP15" s="22"/>
      <c r="AQ15" s="22"/>
      <c r="AR15" s="170"/>
      <c r="AS15" s="133"/>
      <c r="AT15" s="158"/>
      <c r="AU15" s="158"/>
      <c r="AV15" s="53"/>
      <c r="AW15" s="150"/>
      <c r="AX15" s="53"/>
      <c r="AY15" s="132"/>
      <c r="AZ15" s="22"/>
      <c r="BA15" s="132"/>
      <c r="BB15" s="22"/>
      <c r="BC15" s="22"/>
      <c r="BD15" s="22"/>
      <c r="BE15" s="22"/>
      <c r="BF15" s="22"/>
      <c r="BG15" s="22"/>
      <c r="BH15" s="104"/>
      <c r="BI15" s="104"/>
      <c r="BJ15" s="104"/>
      <c r="BK15" s="104"/>
      <c r="BL15" s="104"/>
      <c r="BM15" s="104"/>
      <c r="BN15" s="104"/>
      <c r="BO15" s="104"/>
      <c r="BP15" s="104"/>
      <c r="BQ15" s="133"/>
      <c r="BR15" s="158"/>
      <c r="BS15" s="158"/>
      <c r="BT15" s="158"/>
      <c r="BU15" s="158"/>
      <c r="BV15" s="158"/>
      <c r="BW15" s="158"/>
      <c r="BX15" s="158"/>
      <c r="BY15" s="158"/>
      <c r="BZ15" s="53"/>
      <c r="CA15" s="133" t="s">
        <v>869</v>
      </c>
      <c r="CB15" s="158"/>
      <c r="CC15" s="158"/>
      <c r="CD15" s="53" t="s">
        <v>870</v>
      </c>
      <c r="CE15" s="150">
        <f>AE17*AC16</f>
        <v>119.3142857142857</v>
      </c>
      <c r="CF15" s="150"/>
      <c r="CG15" s="53" t="s">
        <v>39</v>
      </c>
      <c r="DA15" s="12"/>
      <c r="DB15" s="225" t="str">
        <f>$C$24</f>
        <v>CCT38</v>
      </c>
      <c r="DC15" s="225"/>
      <c r="DD15" s="53" t="s">
        <v>868</v>
      </c>
      <c r="DE15" s="225">
        <f>$C$27</f>
        <v>240</v>
      </c>
      <c r="DF15" s="225"/>
      <c r="DG15" s="53" t="s">
        <v>39</v>
      </c>
      <c r="DH15" s="53"/>
      <c r="DI15" s="22"/>
      <c r="DJ15" s="22"/>
      <c r="DK15" s="22"/>
      <c r="DL15" s="22"/>
      <c r="DM15" s="22"/>
      <c r="DN15" s="22"/>
      <c r="DO15" s="22"/>
      <c r="DP15" s="22"/>
      <c r="DQ15" s="22"/>
      <c r="DR15" s="170"/>
      <c r="DS15" s="133"/>
      <c r="DT15" s="158"/>
      <c r="DU15" s="158"/>
      <c r="DV15" s="53"/>
      <c r="DW15" s="150"/>
      <c r="DX15" s="53"/>
      <c r="DY15" s="132"/>
      <c r="DZ15" s="22"/>
      <c r="EA15" s="132"/>
      <c r="EB15" s="22"/>
      <c r="EC15" s="22"/>
      <c r="ED15" s="22"/>
      <c r="EE15" s="22"/>
      <c r="EF15" s="22"/>
      <c r="EG15" s="22"/>
      <c r="EH15" s="104"/>
      <c r="EI15" s="104"/>
      <c r="EJ15" s="104"/>
      <c r="EK15" s="104"/>
      <c r="EL15" s="104"/>
      <c r="EM15" s="104"/>
      <c r="EN15" s="104"/>
      <c r="EO15" s="104"/>
      <c r="EP15" s="104"/>
      <c r="EQ15" s="133"/>
      <c r="ER15" s="158"/>
      <c r="ES15" s="158"/>
      <c r="ET15" s="158"/>
      <c r="EU15" s="158"/>
      <c r="EV15" s="158"/>
      <c r="EW15" s="158"/>
      <c r="EX15" s="158"/>
      <c r="EY15" s="158"/>
      <c r="EZ15" s="53"/>
      <c r="FA15" s="133" t="s">
        <v>869</v>
      </c>
      <c r="FB15" s="158"/>
      <c r="FC15" s="158"/>
      <c r="FD15" s="53" t="s">
        <v>870</v>
      </c>
      <c r="FE15" s="150">
        <f>DE17*DC16</f>
        <v>119.3142857142857</v>
      </c>
      <c r="FF15" s="150"/>
      <c r="FG15" s="53" t="s">
        <v>39</v>
      </c>
    </row>
    <row r="16" spans="2:208" ht="14.25">
      <c r="B16" s="10" t="s">
        <v>767</v>
      </c>
      <c r="C16" s="93"/>
      <c r="D16" s="93"/>
      <c r="E16" s="94" t="s">
        <v>768</v>
      </c>
      <c r="F16" s="97">
        <v>200</v>
      </c>
      <c r="G16" s="93" t="s">
        <v>1</v>
      </c>
      <c r="H16" s="94"/>
      <c r="I16" s="95"/>
      <c r="J16" s="93"/>
      <c r="K16" s="4"/>
      <c r="L16" s="4"/>
      <c r="M16" s="4"/>
      <c r="N16" s="8"/>
      <c r="AA16" s="12"/>
      <c r="AB16" s="159" t="s">
        <v>871</v>
      </c>
      <c r="AC16" s="53">
        <f>$F$27</f>
        <v>0.9</v>
      </c>
      <c r="AD16" s="53" t="s">
        <v>872</v>
      </c>
      <c r="AE16" s="224">
        <f>AE15/AC17</f>
        <v>228.57142857142856</v>
      </c>
      <c r="AF16" s="224"/>
      <c r="AG16" s="53" t="s">
        <v>39</v>
      </c>
      <c r="AH16" s="53"/>
      <c r="AI16" s="22"/>
      <c r="AJ16" s="22"/>
      <c r="AK16" s="22"/>
      <c r="AL16" s="22"/>
      <c r="AM16" s="22"/>
      <c r="AN16" s="22"/>
      <c r="AO16" s="22"/>
      <c r="AP16" s="22"/>
      <c r="AQ16" s="22"/>
      <c r="AR16" s="170"/>
      <c r="AS16" s="133"/>
      <c r="AT16" s="158"/>
      <c r="AU16" s="158"/>
      <c r="AV16" s="53"/>
      <c r="AW16" s="150"/>
      <c r="AX16" s="53"/>
      <c r="AY16" s="132"/>
      <c r="AZ16" s="22"/>
      <c r="BA16" s="132"/>
      <c r="BB16" s="22"/>
      <c r="BC16" s="22"/>
      <c r="BD16" s="22"/>
      <c r="BE16" s="22"/>
      <c r="BF16" s="22"/>
      <c r="BG16" s="22"/>
      <c r="BH16" s="104"/>
      <c r="BI16" s="104"/>
      <c r="BJ16" s="104"/>
      <c r="BK16" s="104"/>
      <c r="BL16" s="104"/>
      <c r="BM16" s="104"/>
      <c r="BN16" s="104"/>
      <c r="BO16" s="104"/>
      <c r="BP16" s="104"/>
      <c r="BQ16" s="133"/>
      <c r="BR16" s="158"/>
      <c r="BS16" s="158"/>
      <c r="BT16" s="158"/>
      <c r="BU16" s="158"/>
      <c r="BV16" s="158"/>
      <c r="BW16" s="158"/>
      <c r="BX16" s="158"/>
      <c r="BY16" s="158"/>
      <c r="BZ16" s="53"/>
      <c r="CA16" s="133" t="s">
        <v>873</v>
      </c>
      <c r="CB16" s="158"/>
      <c r="CC16" s="158"/>
      <c r="CD16" s="53" t="s">
        <v>874</v>
      </c>
      <c r="CE16" s="150">
        <f>1.15*AE16*AC16</f>
        <v>236.57142857142856</v>
      </c>
      <c r="CF16" s="150"/>
      <c r="CG16" s="53" t="s">
        <v>39</v>
      </c>
      <c r="DA16" s="12"/>
      <c r="DB16" s="159" t="s">
        <v>871</v>
      </c>
      <c r="DC16" s="53">
        <f>$F$27</f>
        <v>0.9</v>
      </c>
      <c r="DD16" s="53" t="s">
        <v>872</v>
      </c>
      <c r="DE16" s="224">
        <f>DE15/DC17</f>
        <v>228.57142857142856</v>
      </c>
      <c r="DF16" s="224"/>
      <c r="DG16" s="53" t="s">
        <v>39</v>
      </c>
      <c r="DH16" s="53"/>
      <c r="DI16" s="22"/>
      <c r="DJ16" s="22"/>
      <c r="DK16" s="22"/>
      <c r="DL16" s="22"/>
      <c r="DM16" s="22"/>
      <c r="DN16" s="22"/>
      <c r="DO16" s="22"/>
      <c r="DP16" s="22"/>
      <c r="DQ16" s="22"/>
      <c r="DR16" s="170"/>
      <c r="DS16" s="133"/>
      <c r="DT16" s="158"/>
      <c r="DU16" s="158"/>
      <c r="DV16" s="53"/>
      <c r="DW16" s="150"/>
      <c r="DX16" s="53"/>
      <c r="DY16" s="132"/>
      <c r="DZ16" s="22"/>
      <c r="EA16" s="132"/>
      <c r="EB16" s="22"/>
      <c r="EC16" s="22"/>
      <c r="ED16" s="22"/>
      <c r="EE16" s="22"/>
      <c r="EF16" s="22"/>
      <c r="EG16" s="22"/>
      <c r="EH16" s="104"/>
      <c r="EI16" s="104"/>
      <c r="EJ16" s="104"/>
      <c r="EK16" s="104"/>
      <c r="EL16" s="104"/>
      <c r="EM16" s="104"/>
      <c r="EN16" s="104"/>
      <c r="EO16" s="104"/>
      <c r="EP16" s="104"/>
      <c r="EQ16" s="133"/>
      <c r="ER16" s="158"/>
      <c r="ES16" s="158"/>
      <c r="ET16" s="158"/>
      <c r="EU16" s="158"/>
      <c r="EV16" s="158"/>
      <c r="EW16" s="158"/>
      <c r="EX16" s="158"/>
      <c r="EY16" s="158"/>
      <c r="EZ16" s="53"/>
      <c r="FA16" s="133" t="s">
        <v>873</v>
      </c>
      <c r="FB16" s="158"/>
      <c r="FC16" s="158"/>
      <c r="FD16" s="53" t="s">
        <v>874</v>
      </c>
      <c r="FE16" s="150">
        <f>1.15*DE16*DC16</f>
        <v>236.57142857142856</v>
      </c>
      <c r="FF16" s="150"/>
      <c r="FG16" s="53" t="s">
        <v>39</v>
      </c>
    </row>
    <row r="17" spans="2:180" ht="14.25">
      <c r="B17" s="10" t="s">
        <v>764</v>
      </c>
      <c r="C17" s="93"/>
      <c r="D17" s="93"/>
      <c r="E17" s="94" t="s">
        <v>769</v>
      </c>
      <c r="F17" s="97">
        <v>8</v>
      </c>
      <c r="G17" s="93" t="s">
        <v>1</v>
      </c>
      <c r="H17" s="94"/>
      <c r="I17" s="95"/>
      <c r="J17" s="93"/>
      <c r="K17" s="4"/>
      <c r="L17" s="4"/>
      <c r="M17" s="4"/>
      <c r="N17" s="8"/>
      <c r="AA17" s="12"/>
      <c r="AB17" s="159" t="s">
        <v>875</v>
      </c>
      <c r="AC17" s="53">
        <f>$E$27</f>
        <v>1.05</v>
      </c>
      <c r="AD17" s="53" t="s">
        <v>876</v>
      </c>
      <c r="AE17" s="224">
        <f>0.58*AE15/AC17</f>
        <v>132.57142857142856</v>
      </c>
      <c r="AF17" s="224"/>
      <c r="AG17" s="53" t="s">
        <v>39</v>
      </c>
      <c r="AH17" s="53"/>
      <c r="AI17" s="22"/>
      <c r="AJ17" s="22"/>
      <c r="AK17" s="22"/>
      <c r="AL17" s="22"/>
      <c r="AM17" s="22"/>
      <c r="AN17" s="22"/>
      <c r="AO17" s="22"/>
      <c r="AP17" s="22"/>
      <c r="AQ17" s="22"/>
      <c r="AR17" s="170"/>
      <c r="AS17" s="158"/>
      <c r="AT17" s="158"/>
      <c r="AU17" s="158"/>
      <c r="AV17" s="158"/>
      <c r="AW17" s="158"/>
      <c r="AX17" s="158"/>
      <c r="AY17" s="132"/>
      <c r="AZ17" s="22"/>
      <c r="BA17" s="132"/>
      <c r="BB17" s="22"/>
      <c r="BC17" s="22"/>
      <c r="BD17" s="22"/>
      <c r="BE17" s="22"/>
      <c r="BF17" s="22"/>
      <c r="BG17" s="22"/>
      <c r="BH17" s="104"/>
      <c r="BI17" s="104"/>
      <c r="BJ17" s="104"/>
      <c r="BK17" s="104"/>
      <c r="BL17" s="104"/>
      <c r="BM17" s="104"/>
      <c r="BN17" s="104"/>
      <c r="BO17" s="104"/>
      <c r="BP17" s="104"/>
      <c r="BQ17" s="132"/>
      <c r="BR17" s="158"/>
      <c r="BS17" s="158"/>
      <c r="BT17" s="158"/>
      <c r="BU17" s="158"/>
      <c r="BV17" s="158"/>
      <c r="BW17" s="158"/>
      <c r="BX17" s="158"/>
      <c r="BY17" s="53"/>
      <c r="BZ17" s="133"/>
      <c r="CA17" s="53"/>
      <c r="CB17" s="130"/>
      <c r="CC17" s="53"/>
      <c r="DA17" s="12"/>
      <c r="DB17" s="159" t="s">
        <v>875</v>
      </c>
      <c r="DC17" s="53">
        <f>$E$27</f>
        <v>1.05</v>
      </c>
      <c r="DD17" s="53" t="s">
        <v>876</v>
      </c>
      <c r="DE17" s="224">
        <f>0.58*DE15/DC17</f>
        <v>132.57142857142856</v>
      </c>
      <c r="DF17" s="224"/>
      <c r="DG17" s="53" t="s">
        <v>39</v>
      </c>
      <c r="DH17" s="53"/>
      <c r="DI17" s="22"/>
      <c r="DJ17" s="22"/>
      <c r="DK17" s="22"/>
      <c r="DL17" s="22"/>
      <c r="DM17" s="22"/>
      <c r="DN17" s="22"/>
      <c r="DO17" s="22"/>
      <c r="DP17" s="22"/>
      <c r="DQ17" s="22"/>
      <c r="DR17" s="170"/>
      <c r="DS17" s="158"/>
      <c r="DT17" s="158"/>
      <c r="DU17" s="158"/>
      <c r="DV17" s="158"/>
      <c r="DW17" s="158"/>
      <c r="DX17" s="158"/>
      <c r="DY17" s="132"/>
      <c r="DZ17" s="22"/>
      <c r="EA17" s="132"/>
      <c r="EB17" s="22"/>
      <c r="EC17" s="22"/>
      <c r="ED17" s="22"/>
      <c r="EE17" s="22"/>
      <c r="EF17" s="22"/>
      <c r="EG17" s="22"/>
      <c r="EH17" s="104"/>
      <c r="EI17" s="104"/>
      <c r="EJ17" s="104"/>
      <c r="EK17" s="104"/>
      <c r="EL17" s="104"/>
      <c r="EM17" s="104"/>
      <c r="EN17" s="104"/>
      <c r="EO17" s="104"/>
      <c r="EP17" s="104"/>
      <c r="EQ17" s="132"/>
      <c r="ER17" s="158"/>
      <c r="ES17" s="158"/>
      <c r="ET17" s="158"/>
      <c r="EU17" s="158"/>
      <c r="EV17" s="158"/>
      <c r="EW17" s="158"/>
      <c r="EX17" s="158"/>
      <c r="EY17" s="53"/>
      <c r="EZ17" s="133"/>
      <c r="FA17" s="53"/>
      <c r="FB17" s="130"/>
      <c r="FC17" s="53"/>
    </row>
    <row r="18" spans="2:180" ht="14.25">
      <c r="B18" s="10" t="s">
        <v>765</v>
      </c>
      <c r="C18" s="93"/>
      <c r="D18" s="93"/>
      <c r="E18" s="94" t="s">
        <v>770</v>
      </c>
      <c r="F18" s="97">
        <v>7</v>
      </c>
      <c r="G18" s="93" t="s">
        <v>1</v>
      </c>
      <c r="H18" s="94"/>
      <c r="I18" s="95"/>
      <c r="J18" s="93"/>
      <c r="K18" s="4"/>
      <c r="L18" s="4"/>
      <c r="M18" s="4"/>
      <c r="N18" s="8"/>
      <c r="AA18" s="134" t="s">
        <v>877</v>
      </c>
      <c r="AB18" s="160"/>
      <c r="AC18" s="161"/>
      <c r="AD18" s="161"/>
      <c r="AE18" s="148"/>
      <c r="AF18" s="148"/>
      <c r="AG18" s="148"/>
      <c r="AH18" s="148"/>
      <c r="AI18" s="163"/>
      <c r="AJ18" s="163"/>
      <c r="AK18" s="91"/>
      <c r="AL18" s="91"/>
      <c r="AM18" s="91"/>
      <c r="AN18" s="91"/>
      <c r="AO18" s="91"/>
      <c r="AP18" s="91"/>
      <c r="AQ18" s="91"/>
      <c r="AR18" s="171"/>
      <c r="AS18" s="155"/>
      <c r="AT18" s="155"/>
      <c r="AU18" s="155"/>
      <c r="AV18" s="155"/>
      <c r="AW18" s="155"/>
      <c r="AX18" s="155"/>
      <c r="AY18" s="148"/>
      <c r="AZ18" s="91"/>
      <c r="BA18" s="148"/>
      <c r="BB18" s="91"/>
      <c r="BC18" s="91"/>
      <c r="BD18" s="91"/>
      <c r="BE18" s="91"/>
      <c r="BF18" s="91"/>
      <c r="BG18" s="91"/>
      <c r="BH18" s="92"/>
      <c r="BI18" s="92"/>
      <c r="BJ18" s="92"/>
      <c r="BK18" s="92"/>
      <c r="BL18" s="92"/>
      <c r="BM18" s="92"/>
      <c r="BN18" s="92"/>
      <c r="BO18" s="92"/>
      <c r="BP18" s="92"/>
      <c r="BQ18" s="148"/>
      <c r="BR18" s="155"/>
      <c r="BS18" s="155"/>
      <c r="BT18" s="155"/>
      <c r="BU18" s="155"/>
      <c r="BV18" s="155"/>
      <c r="BW18" s="155"/>
      <c r="BX18" s="155"/>
      <c r="BY18" s="135"/>
      <c r="BZ18" s="136"/>
      <c r="CA18" s="135"/>
      <c r="CB18" s="137"/>
      <c r="CC18" s="135"/>
      <c r="DA18" s="134" t="s">
        <v>877</v>
      </c>
      <c r="DB18" s="160"/>
      <c r="DC18" s="161"/>
      <c r="DD18" s="161"/>
      <c r="DE18" s="148"/>
      <c r="DF18" s="148"/>
      <c r="DG18" s="148"/>
      <c r="DH18" s="148"/>
      <c r="DI18" s="163"/>
      <c r="DJ18" s="163"/>
      <c r="DK18" s="91"/>
      <c r="DL18" s="91"/>
      <c r="DM18" s="91"/>
      <c r="DN18" s="91"/>
      <c r="DO18" s="91"/>
      <c r="DP18" s="91"/>
      <c r="DQ18" s="91"/>
      <c r="DR18" s="171"/>
      <c r="DS18" s="155"/>
      <c r="DT18" s="155"/>
      <c r="DU18" s="155"/>
      <c r="DV18" s="155"/>
      <c r="DW18" s="155"/>
      <c r="DX18" s="155"/>
      <c r="DY18" s="148"/>
      <c r="DZ18" s="91"/>
      <c r="EA18" s="148"/>
      <c r="EB18" s="91"/>
      <c r="EC18" s="91"/>
      <c r="ED18" s="91"/>
      <c r="EE18" s="91"/>
      <c r="EF18" s="91"/>
      <c r="EG18" s="91"/>
      <c r="EH18" s="92"/>
      <c r="EI18" s="92"/>
      <c r="EJ18" s="92"/>
      <c r="EK18" s="92"/>
      <c r="EL18" s="92"/>
      <c r="EM18" s="92"/>
      <c r="EN18" s="92"/>
      <c r="EO18" s="92"/>
      <c r="EP18" s="92"/>
      <c r="EQ18" s="148"/>
      <c r="ER18" s="155"/>
      <c r="ES18" s="155"/>
      <c r="ET18" s="155"/>
      <c r="EU18" s="155"/>
      <c r="EV18" s="155"/>
      <c r="EW18" s="155"/>
      <c r="EX18" s="155"/>
      <c r="EY18" s="135"/>
      <c r="EZ18" s="136"/>
      <c r="FA18" s="135"/>
      <c r="FB18" s="137"/>
      <c r="FC18" s="135"/>
    </row>
    <row r="19" spans="2:180" ht="15" customHeight="1">
      <c r="B19" s="10" t="s">
        <v>771</v>
      </c>
      <c r="C19" s="93"/>
      <c r="D19" s="93"/>
      <c r="E19" s="94" t="s">
        <v>772</v>
      </c>
      <c r="F19" s="98">
        <f>F16-2*F18</f>
        <v>186</v>
      </c>
      <c r="G19" s="93" t="s">
        <v>1</v>
      </c>
      <c r="H19" s="94"/>
      <c r="I19" s="95"/>
      <c r="J19" s="93"/>
      <c r="K19" s="4"/>
      <c r="L19" s="4"/>
      <c r="M19" s="4"/>
      <c r="N19" s="8"/>
      <c r="AA19" s="196" t="s">
        <v>878</v>
      </c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  <c r="AL19" s="197"/>
      <c r="AM19" s="197"/>
      <c r="AN19" s="197"/>
      <c r="AO19" s="197"/>
      <c r="AP19" s="197"/>
      <c r="AQ19" s="197"/>
      <c r="AR19" s="197"/>
      <c r="AS19" s="197"/>
      <c r="AT19" s="197"/>
      <c r="AU19" s="197"/>
      <c r="AV19" s="197"/>
      <c r="AW19" s="197"/>
      <c r="AX19" s="197"/>
      <c r="AY19" s="165"/>
      <c r="AZ19" s="151"/>
      <c r="BA19" s="165"/>
      <c r="BB19" s="151"/>
      <c r="BC19" s="151"/>
      <c r="BD19" s="151"/>
      <c r="BE19" s="151"/>
      <c r="BF19" s="151"/>
      <c r="BG19" s="151"/>
      <c r="BH19" s="167"/>
      <c r="BI19" s="167"/>
      <c r="BJ19" s="167"/>
      <c r="BK19" s="167"/>
      <c r="BL19" s="167"/>
      <c r="BM19" s="167"/>
      <c r="BN19" s="167"/>
      <c r="BO19" s="167"/>
      <c r="BP19" s="167"/>
      <c r="BQ19" s="151"/>
      <c r="BR19" s="151"/>
      <c r="BS19" s="151"/>
      <c r="BT19" s="151"/>
      <c r="BU19" s="151"/>
      <c r="BV19" s="151"/>
      <c r="BW19" s="196" t="s">
        <v>893</v>
      </c>
      <c r="BX19" s="197"/>
      <c r="BY19" s="197"/>
      <c r="BZ19" s="197"/>
      <c r="CA19" s="197"/>
      <c r="CB19" s="197"/>
      <c r="CC19" s="198"/>
      <c r="CD19" s="202" t="s">
        <v>895</v>
      </c>
      <c r="CE19" s="203"/>
      <c r="CF19" s="203"/>
      <c r="CG19" s="204"/>
      <c r="CH19" s="202" t="s">
        <v>947</v>
      </c>
      <c r="CI19" s="203"/>
      <c r="CJ19" s="203"/>
      <c r="CK19" s="203"/>
      <c r="CL19" s="204"/>
      <c r="CM19" s="202" t="s">
        <v>948</v>
      </c>
      <c r="CN19" s="203"/>
      <c r="CO19" s="203"/>
      <c r="CP19" s="203"/>
      <c r="CQ19" s="203"/>
      <c r="CR19" s="204"/>
      <c r="CS19" s="202" t="s">
        <v>941</v>
      </c>
      <c r="CT19" s="203"/>
      <c r="CU19" s="203"/>
      <c r="CV19" s="203"/>
      <c r="CW19" s="203"/>
      <c r="CX19" s="203"/>
      <c r="DA19" s="196" t="s">
        <v>878</v>
      </c>
      <c r="DB19" s="197"/>
      <c r="DC19" s="197"/>
      <c r="DD19" s="197"/>
      <c r="DE19" s="197"/>
      <c r="DF19" s="197"/>
      <c r="DG19" s="197"/>
      <c r="DH19" s="197"/>
      <c r="DI19" s="197"/>
      <c r="DJ19" s="197"/>
      <c r="DK19" s="197"/>
      <c r="DL19" s="197"/>
      <c r="DM19" s="197"/>
      <c r="DN19" s="197"/>
      <c r="DO19" s="197"/>
      <c r="DP19" s="197"/>
      <c r="DQ19" s="197"/>
      <c r="DR19" s="197"/>
      <c r="DS19" s="197"/>
      <c r="DT19" s="197"/>
      <c r="DU19" s="197"/>
      <c r="DV19" s="197"/>
      <c r="DW19" s="197"/>
      <c r="DX19" s="197"/>
      <c r="DY19" s="165"/>
      <c r="DZ19" s="151"/>
      <c r="EA19" s="165"/>
      <c r="EB19" s="151"/>
      <c r="EC19" s="151"/>
      <c r="ED19" s="151"/>
      <c r="EE19" s="151"/>
      <c r="EF19" s="151"/>
      <c r="EG19" s="151"/>
      <c r="EH19" s="167"/>
      <c r="EI19" s="167"/>
      <c r="EJ19" s="167"/>
      <c r="EK19" s="167"/>
      <c r="EL19" s="167"/>
      <c r="EM19" s="167"/>
      <c r="EN19" s="167"/>
      <c r="EO19" s="167"/>
      <c r="EP19" s="167"/>
      <c r="EQ19" s="151"/>
      <c r="ER19" s="151"/>
      <c r="ES19" s="151"/>
      <c r="ET19" s="151"/>
      <c r="EU19" s="151"/>
      <c r="EV19" s="151"/>
      <c r="EW19" s="196" t="s">
        <v>893</v>
      </c>
      <c r="EX19" s="197"/>
      <c r="EY19" s="197"/>
      <c r="EZ19" s="197"/>
      <c r="FA19" s="197"/>
      <c r="FB19" s="197"/>
      <c r="FC19" s="198"/>
      <c r="FD19" s="202" t="s">
        <v>895</v>
      </c>
      <c r="FE19" s="203"/>
      <c r="FF19" s="203"/>
      <c r="FG19" s="204"/>
      <c r="FH19" s="202" t="s">
        <v>947</v>
      </c>
      <c r="FI19" s="203"/>
      <c r="FJ19" s="203"/>
      <c r="FK19" s="203"/>
      <c r="FL19" s="204"/>
      <c r="FM19" s="202" t="s">
        <v>948</v>
      </c>
      <c r="FN19" s="203"/>
      <c r="FO19" s="203"/>
      <c r="FP19" s="203"/>
      <c r="FQ19" s="203"/>
      <c r="FR19" s="204"/>
      <c r="FS19" s="202" t="s">
        <v>941</v>
      </c>
      <c r="FT19" s="203"/>
      <c r="FU19" s="203"/>
      <c r="FV19" s="203"/>
      <c r="FW19" s="203"/>
      <c r="FX19" s="203"/>
    </row>
    <row r="20" spans="2:180" ht="12.75" customHeight="1">
      <c r="B20" s="10" t="s">
        <v>773</v>
      </c>
      <c r="C20" s="93"/>
      <c r="D20" s="93"/>
      <c r="E20" s="94" t="s">
        <v>61</v>
      </c>
      <c r="F20" s="97">
        <v>3</v>
      </c>
      <c r="G20" s="93" t="s">
        <v>776</v>
      </c>
      <c r="H20" s="4"/>
      <c r="I20" s="4"/>
      <c r="J20" s="4"/>
      <c r="K20" s="4"/>
      <c r="L20" s="4"/>
      <c r="M20" s="4"/>
      <c r="N20" s="11"/>
      <c r="O20" s="3"/>
      <c r="AA20" s="199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00"/>
      <c r="AP20" s="200"/>
      <c r="AQ20" s="200"/>
      <c r="AR20" s="200"/>
      <c r="AS20" s="200"/>
      <c r="AT20" s="200"/>
      <c r="AU20" s="200"/>
      <c r="AV20" s="200"/>
      <c r="AW20" s="200"/>
      <c r="AX20" s="200"/>
      <c r="AY20" s="166"/>
      <c r="AZ20" s="152"/>
      <c r="BA20" s="166"/>
      <c r="BB20" s="152"/>
      <c r="BC20" s="152"/>
      <c r="BD20" s="152"/>
      <c r="BE20" s="152"/>
      <c r="BF20" s="152"/>
      <c r="BG20" s="152"/>
      <c r="BH20" s="168"/>
      <c r="BI20" s="168"/>
      <c r="BJ20" s="168"/>
      <c r="BK20" s="168"/>
      <c r="BL20" s="168"/>
      <c r="BM20" s="168"/>
      <c r="BN20" s="168"/>
      <c r="BO20" s="168"/>
      <c r="BP20" s="168"/>
      <c r="BQ20" s="152"/>
      <c r="BR20" s="152"/>
      <c r="BS20" s="152"/>
      <c r="BT20" s="152"/>
      <c r="BU20" s="152"/>
      <c r="BV20" s="152"/>
      <c r="BW20" s="199"/>
      <c r="BX20" s="200"/>
      <c r="BY20" s="200"/>
      <c r="BZ20" s="200"/>
      <c r="CA20" s="200"/>
      <c r="CB20" s="200"/>
      <c r="CC20" s="201"/>
      <c r="CD20" s="205"/>
      <c r="CE20" s="206"/>
      <c r="CF20" s="206"/>
      <c r="CG20" s="207"/>
      <c r="CH20" s="205"/>
      <c r="CI20" s="206"/>
      <c r="CJ20" s="206"/>
      <c r="CK20" s="206"/>
      <c r="CL20" s="207"/>
      <c r="CM20" s="205"/>
      <c r="CN20" s="206"/>
      <c r="CO20" s="206"/>
      <c r="CP20" s="206"/>
      <c r="CQ20" s="206"/>
      <c r="CR20" s="207"/>
      <c r="CS20" s="205"/>
      <c r="CT20" s="206"/>
      <c r="CU20" s="206"/>
      <c r="CV20" s="206"/>
      <c r="CW20" s="206"/>
      <c r="CX20" s="206"/>
      <c r="DA20" s="199"/>
      <c r="DB20" s="200"/>
      <c r="DC20" s="200"/>
      <c r="DD20" s="200"/>
      <c r="DE20" s="200"/>
      <c r="DF20" s="200"/>
      <c r="DG20" s="200"/>
      <c r="DH20" s="200"/>
      <c r="DI20" s="200"/>
      <c r="DJ20" s="200"/>
      <c r="DK20" s="200"/>
      <c r="DL20" s="200"/>
      <c r="DM20" s="200"/>
      <c r="DN20" s="200"/>
      <c r="DO20" s="200"/>
      <c r="DP20" s="200"/>
      <c r="DQ20" s="200"/>
      <c r="DR20" s="200"/>
      <c r="DS20" s="200"/>
      <c r="DT20" s="200"/>
      <c r="DU20" s="200"/>
      <c r="DV20" s="200"/>
      <c r="DW20" s="200"/>
      <c r="DX20" s="200"/>
      <c r="DY20" s="166"/>
      <c r="DZ20" s="152"/>
      <c r="EA20" s="166"/>
      <c r="EB20" s="152"/>
      <c r="EC20" s="152"/>
      <c r="ED20" s="152"/>
      <c r="EE20" s="152"/>
      <c r="EF20" s="152"/>
      <c r="EG20" s="152"/>
      <c r="EH20" s="168"/>
      <c r="EI20" s="168"/>
      <c r="EJ20" s="168"/>
      <c r="EK20" s="168"/>
      <c r="EL20" s="168"/>
      <c r="EM20" s="168"/>
      <c r="EN20" s="168"/>
      <c r="EO20" s="168"/>
      <c r="EP20" s="168"/>
      <c r="EQ20" s="152"/>
      <c r="ER20" s="152"/>
      <c r="ES20" s="152"/>
      <c r="ET20" s="152"/>
      <c r="EU20" s="152"/>
      <c r="EV20" s="152"/>
      <c r="EW20" s="199"/>
      <c r="EX20" s="200"/>
      <c r="EY20" s="200"/>
      <c r="EZ20" s="200"/>
      <c r="FA20" s="200"/>
      <c r="FB20" s="200"/>
      <c r="FC20" s="201"/>
      <c r="FD20" s="205"/>
      <c r="FE20" s="206"/>
      <c r="FF20" s="206"/>
      <c r="FG20" s="207"/>
      <c r="FH20" s="205"/>
      <c r="FI20" s="206"/>
      <c r="FJ20" s="206"/>
      <c r="FK20" s="206"/>
      <c r="FL20" s="207"/>
      <c r="FM20" s="205"/>
      <c r="FN20" s="206"/>
      <c r="FO20" s="206"/>
      <c r="FP20" s="206"/>
      <c r="FQ20" s="206"/>
      <c r="FR20" s="207"/>
      <c r="FS20" s="205"/>
      <c r="FT20" s="206"/>
      <c r="FU20" s="206"/>
      <c r="FV20" s="206"/>
      <c r="FW20" s="206"/>
      <c r="FX20" s="206"/>
    </row>
    <row r="21" spans="2:180" ht="14.25" customHeight="1">
      <c r="B21" s="10" t="s">
        <v>60</v>
      </c>
      <c r="C21" s="93"/>
      <c r="D21" s="93"/>
      <c r="E21" s="94" t="s">
        <v>774</v>
      </c>
      <c r="F21" s="97">
        <f>F20*I21</f>
        <v>3</v>
      </c>
      <c r="G21" s="93" t="s">
        <v>776</v>
      </c>
      <c r="H21" s="140" t="s">
        <v>69</v>
      </c>
      <c r="I21" s="141">
        <f>VLOOKUP(J21,Cal!$E$97:$F$102,2,FALSE)</f>
        <v>1</v>
      </c>
      <c r="J21" s="143" t="s">
        <v>63</v>
      </c>
      <c r="K21" s="4"/>
      <c r="L21" s="4"/>
      <c r="M21" s="4"/>
      <c r="N21" s="11"/>
      <c r="R21" s="78"/>
      <c r="S21" s="78"/>
      <c r="T21" s="78"/>
      <c r="AA21" s="221" t="s">
        <v>125</v>
      </c>
      <c r="AB21" s="210" t="s">
        <v>44</v>
      </c>
      <c r="AC21" s="147" t="s">
        <v>32</v>
      </c>
      <c r="AD21" s="147" t="s">
        <v>852</v>
      </c>
      <c r="AE21" s="145" t="s">
        <v>97</v>
      </c>
      <c r="AF21" s="145" t="s">
        <v>883</v>
      </c>
      <c r="AG21" s="145" t="s">
        <v>881</v>
      </c>
      <c r="AH21" s="145" t="s">
        <v>882</v>
      </c>
      <c r="AI21" s="145" t="s">
        <v>24</v>
      </c>
      <c r="AJ21" s="145" t="s">
        <v>900</v>
      </c>
      <c r="AK21" s="145" t="s">
        <v>901</v>
      </c>
      <c r="AL21" s="145" t="s">
        <v>902</v>
      </c>
      <c r="AM21" s="145" t="s">
        <v>903</v>
      </c>
      <c r="AN21" s="145" t="s">
        <v>904</v>
      </c>
      <c r="AO21" s="208" t="s">
        <v>851</v>
      </c>
      <c r="AP21" s="145" t="s">
        <v>886</v>
      </c>
      <c r="AQ21" s="146" t="s">
        <v>779</v>
      </c>
      <c r="AR21" s="210" t="s">
        <v>45</v>
      </c>
      <c r="AS21" s="153" t="s">
        <v>35</v>
      </c>
      <c r="AT21" s="153" t="s">
        <v>905</v>
      </c>
      <c r="AU21" s="153" t="s">
        <v>906</v>
      </c>
      <c r="AV21" s="153" t="s">
        <v>907</v>
      </c>
      <c r="AW21" s="153" t="s">
        <v>908</v>
      </c>
      <c r="AX21" s="153" t="s">
        <v>36</v>
      </c>
      <c r="AY21" s="222" t="s">
        <v>909</v>
      </c>
      <c r="AZ21" s="147" t="s">
        <v>884</v>
      </c>
      <c r="BA21" s="211" t="s">
        <v>910</v>
      </c>
      <c r="BB21" s="147" t="s">
        <v>885</v>
      </c>
      <c r="BC21" s="145" t="s">
        <v>911</v>
      </c>
      <c r="BD21" s="196" t="s">
        <v>912</v>
      </c>
      <c r="BE21" s="211" t="s">
        <v>913</v>
      </c>
      <c r="BF21" s="145" t="s">
        <v>914</v>
      </c>
      <c r="BG21" s="196" t="s">
        <v>915</v>
      </c>
      <c r="BH21" s="213" t="s">
        <v>916</v>
      </c>
      <c r="BI21" s="213" t="s">
        <v>917</v>
      </c>
      <c r="BJ21" s="213" t="s">
        <v>919</v>
      </c>
      <c r="BK21" s="213" t="s">
        <v>918</v>
      </c>
      <c r="BL21" s="213" t="s">
        <v>896</v>
      </c>
      <c r="BM21" s="213" t="s">
        <v>920</v>
      </c>
      <c r="BN21" s="213" t="s">
        <v>921</v>
      </c>
      <c r="BO21" s="213" t="s">
        <v>922</v>
      </c>
      <c r="BP21" s="213" t="s">
        <v>923</v>
      </c>
      <c r="BQ21" s="210" t="s">
        <v>924</v>
      </c>
      <c r="BR21" s="211" t="s">
        <v>891</v>
      </c>
      <c r="BS21" s="215" t="s">
        <v>925</v>
      </c>
      <c r="BT21" s="211" t="s">
        <v>889</v>
      </c>
      <c r="BU21" s="211" t="s">
        <v>926</v>
      </c>
      <c r="BV21" s="211" t="s">
        <v>927</v>
      </c>
      <c r="BW21" s="220" t="s">
        <v>928</v>
      </c>
      <c r="BX21" s="211" t="s">
        <v>929</v>
      </c>
      <c r="BY21" s="211" t="s">
        <v>930</v>
      </c>
      <c r="BZ21" s="211" t="s">
        <v>931</v>
      </c>
      <c r="CA21" s="211" t="s">
        <v>932</v>
      </c>
      <c r="CB21" s="211" t="s">
        <v>892</v>
      </c>
      <c r="CC21" s="210" t="s">
        <v>894</v>
      </c>
      <c r="CD21" s="215" t="s">
        <v>897</v>
      </c>
      <c r="CE21" s="210" t="s">
        <v>894</v>
      </c>
      <c r="CF21" s="215" t="s">
        <v>898</v>
      </c>
      <c r="CG21" s="210" t="s">
        <v>894</v>
      </c>
      <c r="CH21" s="208" t="s">
        <v>938</v>
      </c>
      <c r="CI21" s="208" t="s">
        <v>939</v>
      </c>
      <c r="CJ21" s="208" t="s">
        <v>940</v>
      </c>
      <c r="CK21" s="211" t="s">
        <v>892</v>
      </c>
      <c r="CL21" s="210" t="s">
        <v>894</v>
      </c>
      <c r="CM21" s="208" t="s">
        <v>899</v>
      </c>
      <c r="CN21" s="208" t="s">
        <v>935</v>
      </c>
      <c r="CO21" s="216" t="s">
        <v>936</v>
      </c>
      <c r="CP21" s="216" t="s">
        <v>937</v>
      </c>
      <c r="CQ21" s="211" t="s">
        <v>892</v>
      </c>
      <c r="CR21" s="210" t="s">
        <v>894</v>
      </c>
      <c r="CS21" s="222" t="s">
        <v>942</v>
      </c>
      <c r="CT21" s="211" t="s">
        <v>943</v>
      </c>
      <c r="CU21" s="226" t="s">
        <v>944</v>
      </c>
      <c r="CV21" s="227" t="s">
        <v>945</v>
      </c>
      <c r="CW21" s="211" t="s">
        <v>892</v>
      </c>
      <c r="CX21" s="210" t="s">
        <v>894</v>
      </c>
      <c r="DA21" s="221" t="s">
        <v>125</v>
      </c>
      <c r="DB21" s="210" t="s">
        <v>44</v>
      </c>
      <c r="DC21" s="147" t="s">
        <v>32</v>
      </c>
      <c r="DD21" s="147" t="s">
        <v>852</v>
      </c>
      <c r="DE21" s="145" t="s">
        <v>97</v>
      </c>
      <c r="DF21" s="145" t="s">
        <v>883</v>
      </c>
      <c r="DG21" s="145" t="s">
        <v>881</v>
      </c>
      <c r="DH21" s="145" t="s">
        <v>882</v>
      </c>
      <c r="DI21" s="145" t="s">
        <v>24</v>
      </c>
      <c r="DJ21" s="145" t="s">
        <v>900</v>
      </c>
      <c r="DK21" s="145" t="s">
        <v>901</v>
      </c>
      <c r="DL21" s="145" t="s">
        <v>902</v>
      </c>
      <c r="DM21" s="145" t="s">
        <v>903</v>
      </c>
      <c r="DN21" s="145" t="s">
        <v>904</v>
      </c>
      <c r="DO21" s="208" t="s">
        <v>851</v>
      </c>
      <c r="DP21" s="145" t="s">
        <v>886</v>
      </c>
      <c r="DQ21" s="146" t="s">
        <v>779</v>
      </c>
      <c r="DR21" s="210" t="s">
        <v>45</v>
      </c>
      <c r="DS21" s="153" t="s">
        <v>35</v>
      </c>
      <c r="DT21" s="153" t="s">
        <v>905</v>
      </c>
      <c r="DU21" s="153" t="s">
        <v>906</v>
      </c>
      <c r="DV21" s="153" t="s">
        <v>907</v>
      </c>
      <c r="DW21" s="153" t="s">
        <v>908</v>
      </c>
      <c r="DX21" s="153" t="s">
        <v>36</v>
      </c>
      <c r="DY21" s="222" t="s">
        <v>909</v>
      </c>
      <c r="DZ21" s="147" t="s">
        <v>884</v>
      </c>
      <c r="EA21" s="211" t="s">
        <v>910</v>
      </c>
      <c r="EB21" s="147" t="s">
        <v>885</v>
      </c>
      <c r="EC21" s="145" t="s">
        <v>911</v>
      </c>
      <c r="ED21" s="196" t="s">
        <v>912</v>
      </c>
      <c r="EE21" s="211" t="s">
        <v>913</v>
      </c>
      <c r="EF21" s="145" t="s">
        <v>914</v>
      </c>
      <c r="EG21" s="196" t="s">
        <v>915</v>
      </c>
      <c r="EH21" s="213" t="s">
        <v>916</v>
      </c>
      <c r="EI21" s="213" t="s">
        <v>917</v>
      </c>
      <c r="EJ21" s="213" t="s">
        <v>919</v>
      </c>
      <c r="EK21" s="213" t="s">
        <v>918</v>
      </c>
      <c r="EL21" s="213" t="s">
        <v>896</v>
      </c>
      <c r="EM21" s="213" t="s">
        <v>920</v>
      </c>
      <c r="EN21" s="213" t="s">
        <v>921</v>
      </c>
      <c r="EO21" s="213" t="s">
        <v>922</v>
      </c>
      <c r="EP21" s="213" t="s">
        <v>923</v>
      </c>
      <c r="EQ21" s="210" t="s">
        <v>924</v>
      </c>
      <c r="ER21" s="211" t="s">
        <v>891</v>
      </c>
      <c r="ES21" s="215" t="s">
        <v>925</v>
      </c>
      <c r="ET21" s="211" t="s">
        <v>889</v>
      </c>
      <c r="EU21" s="211" t="s">
        <v>926</v>
      </c>
      <c r="EV21" s="211" t="s">
        <v>927</v>
      </c>
      <c r="EW21" s="220" t="s">
        <v>928</v>
      </c>
      <c r="EX21" s="211" t="s">
        <v>929</v>
      </c>
      <c r="EY21" s="211" t="s">
        <v>930</v>
      </c>
      <c r="EZ21" s="211" t="s">
        <v>931</v>
      </c>
      <c r="FA21" s="211" t="s">
        <v>932</v>
      </c>
      <c r="FB21" s="211" t="s">
        <v>892</v>
      </c>
      <c r="FC21" s="210" t="s">
        <v>894</v>
      </c>
      <c r="FD21" s="215" t="s">
        <v>897</v>
      </c>
      <c r="FE21" s="210" t="s">
        <v>894</v>
      </c>
      <c r="FF21" s="215" t="s">
        <v>898</v>
      </c>
      <c r="FG21" s="210" t="s">
        <v>894</v>
      </c>
      <c r="FH21" s="208" t="s">
        <v>938</v>
      </c>
      <c r="FI21" s="208" t="s">
        <v>939</v>
      </c>
      <c r="FJ21" s="208" t="s">
        <v>940</v>
      </c>
      <c r="FK21" s="211" t="s">
        <v>892</v>
      </c>
      <c r="FL21" s="210" t="s">
        <v>894</v>
      </c>
      <c r="FM21" s="208" t="s">
        <v>899</v>
      </c>
      <c r="FN21" s="208" t="s">
        <v>935</v>
      </c>
      <c r="FO21" s="216" t="s">
        <v>936</v>
      </c>
      <c r="FP21" s="216" t="s">
        <v>937</v>
      </c>
      <c r="FQ21" s="211" t="s">
        <v>892</v>
      </c>
      <c r="FR21" s="210" t="s">
        <v>894</v>
      </c>
      <c r="FS21" s="222" t="s">
        <v>942</v>
      </c>
      <c r="FT21" s="211" t="s">
        <v>943</v>
      </c>
      <c r="FU21" s="226" t="s">
        <v>944</v>
      </c>
      <c r="FV21" s="227" t="s">
        <v>945</v>
      </c>
      <c r="FW21" s="211" t="s">
        <v>892</v>
      </c>
      <c r="FX21" s="210" t="s">
        <v>894</v>
      </c>
    </row>
    <row r="22" spans="2:180" ht="15">
      <c r="B22" s="10"/>
      <c r="C22" s="93"/>
      <c r="D22" s="93"/>
      <c r="E22" s="94" t="s">
        <v>775</v>
      </c>
      <c r="F22" s="97">
        <f>F20*I22</f>
        <v>6</v>
      </c>
      <c r="G22" s="93" t="s">
        <v>776</v>
      </c>
      <c r="H22" s="140" t="s">
        <v>70</v>
      </c>
      <c r="I22" s="141">
        <f>VLOOKUP(J22,Cal!$E$97:$F$102,2,FALSE)</f>
        <v>2</v>
      </c>
      <c r="J22" s="143" t="s">
        <v>66</v>
      </c>
      <c r="K22" s="4"/>
      <c r="L22" s="4"/>
      <c r="M22" s="4"/>
      <c r="N22" s="11"/>
      <c r="R22" s="78"/>
      <c r="S22" s="78"/>
      <c r="T22" s="78"/>
      <c r="AA22" s="221"/>
      <c r="AB22" s="210"/>
      <c r="AC22" s="147" t="s">
        <v>43</v>
      </c>
      <c r="AD22" s="147" t="s">
        <v>43</v>
      </c>
      <c r="AE22" s="145" t="s">
        <v>879</v>
      </c>
      <c r="AF22" s="145" t="s">
        <v>879</v>
      </c>
      <c r="AG22" s="145" t="s">
        <v>1</v>
      </c>
      <c r="AH22" s="145" t="s">
        <v>1</v>
      </c>
      <c r="AI22" s="145" t="s">
        <v>888</v>
      </c>
      <c r="AJ22" s="145" t="s">
        <v>933</v>
      </c>
      <c r="AK22" s="145" t="s">
        <v>933</v>
      </c>
      <c r="AL22" s="145" t="s">
        <v>934</v>
      </c>
      <c r="AM22" s="145" t="s">
        <v>934</v>
      </c>
      <c r="AN22" s="145" t="s">
        <v>934</v>
      </c>
      <c r="AO22" s="209"/>
      <c r="AP22" s="145" t="s">
        <v>887</v>
      </c>
      <c r="AQ22" s="145" t="s">
        <v>888</v>
      </c>
      <c r="AR22" s="210"/>
      <c r="AS22" s="153" t="s">
        <v>880</v>
      </c>
      <c r="AT22" s="153" t="s">
        <v>880</v>
      </c>
      <c r="AU22" s="153" t="s">
        <v>880</v>
      </c>
      <c r="AV22" s="153" t="s">
        <v>855</v>
      </c>
      <c r="AW22" s="153" t="s">
        <v>855</v>
      </c>
      <c r="AX22" s="153" t="s">
        <v>855</v>
      </c>
      <c r="AY22" s="223"/>
      <c r="AZ22" s="147" t="s">
        <v>43</v>
      </c>
      <c r="BA22" s="212"/>
      <c r="BB22" s="147" t="s">
        <v>43</v>
      </c>
      <c r="BC22" s="145" t="s">
        <v>1</v>
      </c>
      <c r="BD22" s="199"/>
      <c r="BE22" s="212"/>
      <c r="BF22" s="145" t="s">
        <v>1</v>
      </c>
      <c r="BG22" s="199"/>
      <c r="BH22" s="214"/>
      <c r="BI22" s="214"/>
      <c r="BJ22" s="214"/>
      <c r="BK22" s="214"/>
      <c r="BL22" s="214"/>
      <c r="BM22" s="214"/>
      <c r="BN22" s="214"/>
      <c r="BO22" s="214"/>
      <c r="BP22" s="214"/>
      <c r="BQ22" s="210"/>
      <c r="BR22" s="212"/>
      <c r="BS22" s="209"/>
      <c r="BT22" s="212"/>
      <c r="BU22" s="212"/>
      <c r="BV22" s="212"/>
      <c r="BW22" s="212"/>
      <c r="BX22" s="212"/>
      <c r="BY22" s="212"/>
      <c r="BZ22" s="212"/>
      <c r="CA22" s="212"/>
      <c r="CB22" s="212"/>
      <c r="CC22" s="210"/>
      <c r="CD22" s="209"/>
      <c r="CE22" s="210"/>
      <c r="CF22" s="209"/>
      <c r="CG22" s="210"/>
      <c r="CH22" s="209"/>
      <c r="CI22" s="209"/>
      <c r="CJ22" s="209"/>
      <c r="CK22" s="212"/>
      <c r="CL22" s="210"/>
      <c r="CM22" s="209"/>
      <c r="CN22" s="209"/>
      <c r="CO22" s="217"/>
      <c r="CP22" s="217"/>
      <c r="CQ22" s="212"/>
      <c r="CR22" s="210"/>
      <c r="CS22" s="223"/>
      <c r="CT22" s="212"/>
      <c r="CU22" s="217"/>
      <c r="CV22" s="223"/>
      <c r="CW22" s="212"/>
      <c r="CX22" s="210"/>
      <c r="DA22" s="221"/>
      <c r="DB22" s="210"/>
      <c r="DC22" s="147" t="s">
        <v>43</v>
      </c>
      <c r="DD22" s="147" t="s">
        <v>43</v>
      </c>
      <c r="DE22" s="145" t="s">
        <v>879</v>
      </c>
      <c r="DF22" s="145" t="s">
        <v>879</v>
      </c>
      <c r="DG22" s="145" t="s">
        <v>1</v>
      </c>
      <c r="DH22" s="145" t="s">
        <v>1</v>
      </c>
      <c r="DI22" s="145" t="s">
        <v>888</v>
      </c>
      <c r="DJ22" s="145" t="s">
        <v>933</v>
      </c>
      <c r="DK22" s="145" t="s">
        <v>933</v>
      </c>
      <c r="DL22" s="145" t="s">
        <v>934</v>
      </c>
      <c r="DM22" s="145" t="s">
        <v>934</v>
      </c>
      <c r="DN22" s="145" t="s">
        <v>934</v>
      </c>
      <c r="DO22" s="209"/>
      <c r="DP22" s="145" t="s">
        <v>887</v>
      </c>
      <c r="DQ22" s="145" t="s">
        <v>888</v>
      </c>
      <c r="DR22" s="210"/>
      <c r="DS22" s="153" t="s">
        <v>880</v>
      </c>
      <c r="DT22" s="153" t="s">
        <v>880</v>
      </c>
      <c r="DU22" s="153" t="s">
        <v>880</v>
      </c>
      <c r="DV22" s="153" t="s">
        <v>855</v>
      </c>
      <c r="DW22" s="153" t="s">
        <v>855</v>
      </c>
      <c r="DX22" s="153" t="s">
        <v>855</v>
      </c>
      <c r="DY22" s="223"/>
      <c r="DZ22" s="147" t="s">
        <v>43</v>
      </c>
      <c r="EA22" s="212"/>
      <c r="EB22" s="147" t="s">
        <v>43</v>
      </c>
      <c r="EC22" s="145" t="s">
        <v>1</v>
      </c>
      <c r="ED22" s="199"/>
      <c r="EE22" s="212"/>
      <c r="EF22" s="145" t="s">
        <v>1</v>
      </c>
      <c r="EG22" s="199"/>
      <c r="EH22" s="214"/>
      <c r="EI22" s="214"/>
      <c r="EJ22" s="214"/>
      <c r="EK22" s="214"/>
      <c r="EL22" s="214"/>
      <c r="EM22" s="214"/>
      <c r="EN22" s="214"/>
      <c r="EO22" s="214"/>
      <c r="EP22" s="214"/>
      <c r="EQ22" s="210"/>
      <c r="ER22" s="212"/>
      <c r="ES22" s="209"/>
      <c r="ET22" s="212"/>
      <c r="EU22" s="212"/>
      <c r="EV22" s="212"/>
      <c r="EW22" s="212"/>
      <c r="EX22" s="212"/>
      <c r="EY22" s="212"/>
      <c r="EZ22" s="212"/>
      <c r="FA22" s="212"/>
      <c r="FB22" s="212"/>
      <c r="FC22" s="210"/>
      <c r="FD22" s="209"/>
      <c r="FE22" s="210"/>
      <c r="FF22" s="209"/>
      <c r="FG22" s="210"/>
      <c r="FH22" s="209"/>
      <c r="FI22" s="209"/>
      <c r="FJ22" s="209"/>
      <c r="FK22" s="212"/>
      <c r="FL22" s="210"/>
      <c r="FM22" s="209"/>
      <c r="FN22" s="209"/>
      <c r="FO22" s="217"/>
      <c r="FP22" s="217"/>
      <c r="FQ22" s="212"/>
      <c r="FR22" s="210"/>
      <c r="FS22" s="223"/>
      <c r="FT22" s="212"/>
      <c r="FU22" s="217"/>
      <c r="FV22" s="223"/>
      <c r="FW22" s="212"/>
      <c r="FX22" s="210"/>
    </row>
    <row r="23" spans="2:180" ht="15" customHeight="1">
      <c r="B23" s="9" t="s">
        <v>37</v>
      </c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8"/>
      <c r="AA23" s="68" t="s">
        <v>952</v>
      </c>
      <c r="AB23" s="7" t="s">
        <v>949</v>
      </c>
      <c r="AC23" s="26">
        <v>0</v>
      </c>
      <c r="AD23" s="26">
        <v>4.5999999999999996</v>
      </c>
      <c r="AE23" s="7">
        <v>250</v>
      </c>
      <c r="AF23" s="7">
        <v>100</v>
      </c>
      <c r="AG23" s="7">
        <v>8</v>
      </c>
      <c r="AH23" s="7">
        <v>8</v>
      </c>
      <c r="AI23" s="125">
        <f>_xll.DCEPropSectTube(AE23, AF23, AG23, AH23, "Area")/100</f>
        <v>53.44</v>
      </c>
      <c r="AJ23" s="16">
        <f>_xll.DCEPropSectTube(AE23, AF23, AG23, AH23, "Ix")/10000</f>
        <v>927.56053333333318</v>
      </c>
      <c r="AK23" s="6">
        <f>_xll.DCEPropSectTube(AE23, AF23, AG23, AH23, "Iy")/10000</f>
        <v>4051.8005333333326</v>
      </c>
      <c r="AL23" s="6">
        <f>_xll.DCEPropSectTube(AE23, AF23, AG23, AH23, "Wx")/1000</f>
        <v>185.51210666666663</v>
      </c>
      <c r="AM23" s="16">
        <f>_xll.DCEPropSectTube(AE23, AF23, AG23, AH23, "Wy")/1000</f>
        <v>324.14404266666662</v>
      </c>
      <c r="AN23" s="16">
        <f>_xll.DCEPropSectTube(AE23, AF23, AG23, AH23, "Sx")/1000</f>
        <v>106.11199999999999</v>
      </c>
      <c r="AO23" s="125">
        <f>_xll.DCEPropBoxQuat(AE23, AF23, AG23, AH23, "k")*1000</f>
        <v>12.519372742975225</v>
      </c>
      <c r="AP23" s="16">
        <f>_xll.DCEPropBoxQuat(AE23, AF23, AG23, AH23, "Iw")/1000000</f>
        <v>13392.857142857143</v>
      </c>
      <c r="AQ23" s="125">
        <f>_xll.DCEPropBoxQuat(AE23, AF23, AG23, AH23, "wmax")/100</f>
        <v>26.785714285714285</v>
      </c>
      <c r="AR23" s="164" t="s">
        <v>950</v>
      </c>
      <c r="AS23" s="142">
        <v>-15.546207945704431</v>
      </c>
      <c r="AT23" s="142">
        <v>2.1890000000000001</v>
      </c>
      <c r="AU23" s="142">
        <v>0.16</v>
      </c>
      <c r="AV23" s="142">
        <v>0</v>
      </c>
      <c r="AW23" s="142">
        <v>0</v>
      </c>
      <c r="AX23" s="144">
        <v>0</v>
      </c>
      <c r="AY23" s="142">
        <v>1</v>
      </c>
      <c r="AZ23" s="125">
        <f>AY23*AD23</f>
        <v>4.5999999999999996</v>
      </c>
      <c r="BA23" s="142">
        <v>2</v>
      </c>
      <c r="BB23" s="125">
        <f>BA23*AD23</f>
        <v>9.1999999999999993</v>
      </c>
      <c r="BC23" s="16">
        <f>SQRT(AJ23/AI23)*10</f>
        <v>41.661788137553131</v>
      </c>
      <c r="BD23" s="125">
        <f>(AZ23*1000/BC23)*SQRT($D$27/$B$27)</f>
        <v>3.6778777266097271</v>
      </c>
      <c r="BE23" s="125">
        <f>ABS(AV23*AI23/(AS23*AL23)*100)</f>
        <v>0</v>
      </c>
      <c r="BF23" s="16">
        <f>SQRT(AK23/AI23)*10</f>
        <v>87.074462822622692</v>
      </c>
      <c r="BG23" s="125">
        <f>(BB23*1000/BF23)*SQRT($D$27/$B$27)</f>
        <v>3.5194466362422467</v>
      </c>
      <c r="BH23" s="123">
        <f>ABS(AW23*AI23/(AS23*AM23)*100)</f>
        <v>0</v>
      </c>
      <c r="BI23" s="123">
        <f>_xll.DCETCVN5575PhuLucD2Eta(BS23, BE23, BD23)</f>
        <v>1.4586546728068326</v>
      </c>
      <c r="BJ23" s="123">
        <f>_xll.DCETCVN5575PhuLucD2Eta(BS23, BH23, BG23)</f>
        <v>1.4776664036509304</v>
      </c>
      <c r="BK23" s="123">
        <f>BI23*BE23</f>
        <v>0</v>
      </c>
      <c r="BL23" s="123">
        <f>IF(AND(AV23=0),_xll.DCETCVN5575FactorPhi7121(BD23,"a"),noisuy2chieu(BK23,BD23,Data!$EA$2:$FB$24))</f>
        <v>0.55567247193298075</v>
      </c>
      <c r="BM23" s="123">
        <f>BJ23*BH23</f>
        <v>0</v>
      </c>
      <c r="BN23" s="123" cm="1">
        <f t="array" ref="BN23">IF(AND(AW23=0,AJ23&gt;AK23),_xll.DCETCVN5575FactorPhi7121(BG23,"a"),noisuy2chieu(BM23,BG23,Data!$EA$2:$FB$24))</f>
        <v>3.5194466114044189</v>
      </c>
      <c r="BO23" s="123">
        <f>IF(BD23&lt;=1,1,1-0.1*ABS(AS23)*1000*BD23^2/(AI23*100*$D$27))</f>
        <v>0.98278406342931734</v>
      </c>
      <c r="BP23" s="123">
        <f>IF(BG23&lt;=1,1,1-0.1*ABS(AS23)*1000*BG23^2/(AI23*100*$D$27))</f>
        <v>0.98423533125487006</v>
      </c>
      <c r="BQ23" s="125">
        <f>ABS(AS23)/(AI23*$D$27)*10</f>
        <v>1.2727294117226215E-2</v>
      </c>
      <c r="BR23" s="16">
        <f>IF(BQ23&gt;0.1,104,105)</f>
        <v>105</v>
      </c>
      <c r="BS23" s="123">
        <f>(AE23*AH23)/(2*AG23*(AF23-2*AH23))</f>
        <v>1.4880952380952381</v>
      </c>
      <c r="BT23" s="19">
        <f>IF(BR23=104,1.5,1)</f>
        <v>1</v>
      </c>
      <c r="BU23" s="139">
        <f>_xll.TCVN5575AnnexEHeSoCx(3,BS23)</f>
        <v>1.0553571428571429</v>
      </c>
      <c r="BV23" s="139">
        <f>_xll.TCVN5575AnnexEHeSoCy(3,BS23)</f>
        <v>1.2241666666666668</v>
      </c>
      <c r="BW23" s="123">
        <f>_xll.Bimoment(AX23, AO23, AC23, AD23, $O$81)</f>
        <v>0</v>
      </c>
      <c r="BX23" s="123">
        <f>(ABS(AS23)/(AI23*$L$47)*10)^BT23</f>
        <v>1.4141437908029127E-2</v>
      </c>
      <c r="BY23" s="123">
        <f>ABS(AV23)/(IF(BR23=104,BU23,1)*AL23*$L$47)*1000</f>
        <v>0</v>
      </c>
      <c r="BZ23" s="123">
        <f>ABS(AW23)/(IF(BR23=104,BV23,1)*AM23*$L$47)*1000</f>
        <v>0</v>
      </c>
      <c r="CA23" s="123">
        <f>IFERROR(ABS(BW23)*AQ23/(AP23*$L$47)*100000,0)</f>
        <v>0</v>
      </c>
      <c r="CB23" s="123">
        <f>BX23+BY23+BZ23+CA23</f>
        <v>1.4141437908029127E-2</v>
      </c>
      <c r="CC23" s="6" t="str">
        <f>IF(CB23&lt;=1,"OK","Check")</f>
        <v>OK</v>
      </c>
      <c r="CD23" s="123" t="str">
        <f>IF(AV23=0,"-",ABS(AS23)*1000/(BN23*AI23*100*$D$27*$F$27)+ABS(AV23)*1000000/(BU23*BO23*AL23*1000*$D$27*$F$27))</f>
        <v>-</v>
      </c>
      <c r="CE23" s="6" t="str">
        <f>IF(OR(CD23&lt;=1,CD23="-"),"OK","Check")</f>
        <v>OK</v>
      </c>
      <c r="CF23" s="123" t="str">
        <f>IF(AW23=0,"-",ABS(AS23)*1000/(BL23*AI23*100*$D$27*$F$27)+ABS(AW23)*1000000/(BV23*BP23*AM23*1000*$D$27*$F$27))</f>
        <v>-</v>
      </c>
      <c r="CG23" s="6" t="str">
        <f>IF(OR(CF23&lt;=1,CF23="-"),"OK","Check")</f>
        <v>OK</v>
      </c>
      <c r="CH23" s="6">
        <f>IF(BG23&lt;=1,1.2,MIN(1+0.2*BG23,1.6))</f>
        <v>1.6</v>
      </c>
      <c r="CI23" s="6">
        <f>CH23-0.01*(5.3+1.3*BD23)*MIN(BE23,5)</f>
        <v>1.6</v>
      </c>
      <c r="CJ23" s="6">
        <f>((AE23-2*AG23)/AH23)*SQRT($D$27/$B$27)</f>
        <v>0.97432362114648263</v>
      </c>
      <c r="CK23" s="123">
        <f>CJ23/CI23</f>
        <v>0.6089522632165516</v>
      </c>
      <c r="CL23" s="6" t="str">
        <f>IF(CK23&lt;=1,"OK","Check")</f>
        <v>OK</v>
      </c>
      <c r="CM23" s="6">
        <f>IF(BE23&lt;1,MIN(MAX(1.2,1+0.2*BD23),1.6),"-")</f>
        <v>1.6</v>
      </c>
      <c r="CN23" s="6">
        <f>IF(BD23&lt;2,1.3+0.15*BD23^2,MIN(1.2+0.35*BD23,3.1))</f>
        <v>2.4872572043134045</v>
      </c>
      <c r="CO23" s="138">
        <f>IF(BE23&lt;1,CM23+BE23*(CN23-CM23),CN23)</f>
        <v>1.6</v>
      </c>
      <c r="CP23" s="138">
        <f>((AF23-2*AH23)/AG23)*SQRT($D$27/$B$27)</f>
        <v>0.34975719733463478</v>
      </c>
      <c r="CQ23" s="123">
        <f>CP23/CO23</f>
        <v>0.21859824833414673</v>
      </c>
      <c r="CR23" s="6" t="str">
        <f>IF(CQ23&lt;=1,"OK","Check")</f>
        <v>OK</v>
      </c>
      <c r="CS23" s="6">
        <f>MAX(AZ23*1000/BC23,BB23*1000/BF23)</f>
        <v>110.41292766437091</v>
      </c>
      <c r="CT23" s="139">
        <f>MAX(BL23,BN23)</f>
        <v>3.5194466114044189</v>
      </c>
      <c r="CU23" s="139">
        <f>MAX(ABS(AS23)*1000/(CT23*AI23*100*$D$27*$F$27),0.5)</f>
        <v>0.5</v>
      </c>
      <c r="CV23" s="76">
        <f>180-60*CU23</f>
        <v>150</v>
      </c>
      <c r="CW23" s="123">
        <f>CS23/CV23</f>
        <v>0.73608618442913942</v>
      </c>
      <c r="CX23" s="6" t="str">
        <f>IF(CW23&lt;=1,"OK","Check")</f>
        <v>OK</v>
      </c>
      <c r="DA23" s="68" t="s">
        <v>952</v>
      </c>
      <c r="DB23" s="7" t="s">
        <v>949</v>
      </c>
      <c r="DC23" s="26">
        <v>3.8</v>
      </c>
      <c r="DD23" s="26">
        <v>4.5999999999999996</v>
      </c>
      <c r="DE23" s="7">
        <v>250</v>
      </c>
      <c r="DF23" s="7">
        <v>100</v>
      </c>
      <c r="DG23" s="7">
        <v>8</v>
      </c>
      <c r="DH23" s="7">
        <v>8</v>
      </c>
      <c r="DI23" s="125">
        <v>53.44</v>
      </c>
      <c r="DJ23" s="16">
        <v>927.56053333333318</v>
      </c>
      <c r="DK23" s="6">
        <v>4051.8005333333326</v>
      </c>
      <c r="DL23" s="6">
        <v>185.51210666666663</v>
      </c>
      <c r="DM23" s="16">
        <v>324.14404266666662</v>
      </c>
      <c r="DN23" s="16">
        <v>106.11199999999999</v>
      </c>
      <c r="DO23" s="125">
        <v>12.519372742975225</v>
      </c>
      <c r="DP23" s="16">
        <v>13392.857142857143</v>
      </c>
      <c r="DQ23" s="125">
        <v>26.785714285714285</v>
      </c>
      <c r="DR23" s="164" t="s">
        <v>950</v>
      </c>
      <c r="DS23" s="142">
        <v>-13.670797785363849</v>
      </c>
      <c r="DT23" s="142">
        <v>2.1890000000000001</v>
      </c>
      <c r="DU23" s="142">
        <v>0.16</v>
      </c>
      <c r="DV23" s="142">
        <v>0.60899999999999999</v>
      </c>
      <c r="DW23" s="142">
        <v>8.3170000000000002</v>
      </c>
      <c r="DX23" s="144">
        <v>0</v>
      </c>
      <c r="DY23" s="142">
        <v>1</v>
      </c>
      <c r="DZ23" s="125">
        <v>4.5999999999999996</v>
      </c>
      <c r="EA23" s="142">
        <v>2</v>
      </c>
      <c r="EB23" s="125">
        <v>9.1999999999999993</v>
      </c>
      <c r="EC23" s="16">
        <v>41.661788137553131</v>
      </c>
      <c r="ED23" s="125">
        <v>3.6393648566717673</v>
      </c>
      <c r="EE23" s="125">
        <v>1.2832687704675176</v>
      </c>
      <c r="EF23" s="16">
        <v>87.074462822622692</v>
      </c>
      <c r="EG23" s="125">
        <v>3.4825927763179441</v>
      </c>
      <c r="EH23" s="123">
        <v>10.0300072583355</v>
      </c>
      <c r="EI23" s="123">
        <v>1.4283550054507135</v>
      </c>
      <c r="EJ23" s="123">
        <v>0.70348144473641105</v>
      </c>
      <c r="EK23" s="123">
        <v>1.8329633716358615</v>
      </c>
      <c r="EL23" s="123">
        <v>0.28867727518081665</v>
      </c>
      <c r="EM23" s="123">
        <v>7.0559239968105469</v>
      </c>
      <c r="EN23" s="123">
        <v>0.13667705655097961</v>
      </c>
      <c r="EO23" s="123">
        <v>0.98486090058968467</v>
      </c>
      <c r="EP23" s="123">
        <v>0.98613709534050931</v>
      </c>
      <c r="EQ23" s="125">
        <v>1.1430068858001054E-2</v>
      </c>
      <c r="ER23" s="16">
        <v>105</v>
      </c>
      <c r="ES23" s="123">
        <v>1.4880952380952381</v>
      </c>
      <c r="ET23" s="19">
        <v>1</v>
      </c>
      <c r="EU23" s="139">
        <v>1.0553571428571429</v>
      </c>
      <c r="EV23" s="139">
        <v>1.2241666666666668</v>
      </c>
      <c r="EW23" s="123">
        <v>0</v>
      </c>
      <c r="EX23" s="123">
        <v>1.270007650889006E-2</v>
      </c>
      <c r="EY23" s="123">
        <v>1.6297611566406748E-2</v>
      </c>
      <c r="EZ23" s="123">
        <v>0.12738185956558346</v>
      </c>
      <c r="FA23" s="123">
        <v>0</v>
      </c>
      <c r="FB23" s="123">
        <v>0.15637954764088027</v>
      </c>
      <c r="FC23" s="6" t="s">
        <v>977</v>
      </c>
      <c r="FD23" s="123">
        <v>0.10860045328687155</v>
      </c>
      <c r="FE23" s="6" t="s">
        <v>977</v>
      </c>
      <c r="FF23" s="123">
        <v>0.1495128038952685</v>
      </c>
      <c r="FG23" s="6" t="s">
        <v>977</v>
      </c>
      <c r="FH23" s="6">
        <v>1.6</v>
      </c>
      <c r="FI23" s="6">
        <v>1.4712730727214713</v>
      </c>
      <c r="FJ23" s="6">
        <v>0.96412099841457199</v>
      </c>
      <c r="FK23" s="123">
        <v>0.65529711396892465</v>
      </c>
      <c r="FL23" s="6" t="s">
        <v>977</v>
      </c>
      <c r="FM23" s="6" t="s">
        <v>978</v>
      </c>
      <c r="FN23" s="6">
        <v>2.4737776998351184</v>
      </c>
      <c r="FO23" s="138">
        <v>2.4737776998351184</v>
      </c>
      <c r="FP23" s="138">
        <v>0.34609471737958997</v>
      </c>
      <c r="FQ23" s="123">
        <v>0.13990534291042311</v>
      </c>
      <c r="FR23" s="6" t="s">
        <v>977</v>
      </c>
      <c r="FS23" s="6">
        <v>110.41292766437091</v>
      </c>
      <c r="FT23" s="139">
        <v>0.28867727518081665</v>
      </c>
      <c r="FU23" s="139">
        <v>0.5</v>
      </c>
      <c r="FV23" s="76">
        <v>150</v>
      </c>
      <c r="FW23" s="123">
        <v>0.73608618442913942</v>
      </c>
      <c r="FX23" s="6" t="s">
        <v>977</v>
      </c>
    </row>
    <row r="24" spans="2:180" ht="15.75" customHeight="1">
      <c r="B24" s="34" t="s">
        <v>21</v>
      </c>
      <c r="C24" s="231" t="s">
        <v>1004</v>
      </c>
      <c r="D24" s="232"/>
      <c r="E24" s="246" t="s">
        <v>30</v>
      </c>
      <c r="F24" s="247"/>
      <c r="G24" s="233" t="s">
        <v>25</v>
      </c>
      <c r="H24" s="234"/>
      <c r="I24" s="234"/>
      <c r="J24" s="234"/>
      <c r="K24" s="234"/>
      <c r="L24" s="234"/>
      <c r="M24" s="234"/>
      <c r="N24" s="235"/>
      <c r="AI24" s="125"/>
      <c r="AJ24" s="16"/>
      <c r="AM24" s="16"/>
      <c r="AN24" s="16"/>
      <c r="AO24" s="125"/>
      <c r="AP24" s="16"/>
      <c r="AQ24" s="125"/>
      <c r="AR24" s="164"/>
      <c r="AY24" s="142"/>
      <c r="AZ24" s="125"/>
      <c r="BA24" s="142"/>
      <c r="BB24" s="125"/>
      <c r="BC24" s="16"/>
      <c r="BD24" s="125"/>
      <c r="BE24" s="125"/>
      <c r="BF24" s="16"/>
      <c r="BG24" s="125"/>
      <c r="BQ24" s="125"/>
      <c r="BR24" s="16"/>
      <c r="BS24" s="123"/>
      <c r="BT24" s="19"/>
      <c r="BU24" s="139"/>
      <c r="BV24" s="139"/>
      <c r="BW24" s="123"/>
      <c r="BX24" s="123"/>
      <c r="BY24" s="123"/>
      <c r="BZ24" s="123"/>
      <c r="CA24" s="123"/>
      <c r="CB24" s="123"/>
      <c r="CC24" s="6"/>
      <c r="CD24" s="123"/>
      <c r="CE24" s="6"/>
      <c r="CF24" s="123"/>
      <c r="CG24" s="6"/>
      <c r="CH24" s="6"/>
      <c r="CI24" s="6"/>
      <c r="CJ24" s="6"/>
      <c r="CK24" s="123"/>
      <c r="CL24" s="6"/>
      <c r="CM24" s="6"/>
      <c r="CN24" s="6"/>
      <c r="CO24" s="138"/>
      <c r="CP24" s="138"/>
      <c r="CQ24" s="123"/>
      <c r="CR24" s="6"/>
      <c r="CS24" s="6"/>
      <c r="CT24" s="139"/>
      <c r="CU24" s="139"/>
      <c r="CV24" s="76"/>
      <c r="CW24" s="123"/>
      <c r="CX24" s="6"/>
      <c r="DA24" s="68" t="s">
        <v>952</v>
      </c>
      <c r="DB24" s="7" t="s">
        <v>953</v>
      </c>
      <c r="DC24" s="26">
        <v>3.8</v>
      </c>
      <c r="DD24" s="26">
        <v>4.5999999999999996</v>
      </c>
      <c r="DE24" s="7">
        <v>250</v>
      </c>
      <c r="DF24" s="7">
        <v>100</v>
      </c>
      <c r="DG24" s="7">
        <v>8</v>
      </c>
      <c r="DH24" s="7">
        <v>8</v>
      </c>
      <c r="DI24" s="125">
        <v>53.44</v>
      </c>
      <c r="DJ24" s="16">
        <v>927.56053333333318</v>
      </c>
      <c r="DK24" s="6">
        <v>4051.8005333333326</v>
      </c>
      <c r="DL24" s="6">
        <v>185.51210666666663</v>
      </c>
      <c r="DM24" s="16">
        <v>324.14404266666662</v>
      </c>
      <c r="DN24" s="16">
        <v>106.11199999999999</v>
      </c>
      <c r="DO24" s="125">
        <v>12.519372742975225</v>
      </c>
      <c r="DP24" s="16">
        <v>13392.857142857143</v>
      </c>
      <c r="DQ24" s="125">
        <v>26.785714285714285</v>
      </c>
      <c r="DR24" s="164" t="s">
        <v>950</v>
      </c>
      <c r="DS24" s="142">
        <v>-15.272378252933873</v>
      </c>
      <c r="DT24" s="142">
        <v>1.633</v>
      </c>
      <c r="DU24" s="142">
        <v>3.5000000000000003E-2</v>
      </c>
      <c r="DV24" s="142">
        <v>0.13300000000000001</v>
      </c>
      <c r="DW24" s="142">
        <v>6.2060000000000004</v>
      </c>
      <c r="DX24" s="142">
        <v>0</v>
      </c>
      <c r="DY24" s="142">
        <v>1</v>
      </c>
      <c r="DZ24" s="125">
        <v>4.5999999999999996</v>
      </c>
      <c r="EA24" s="142">
        <v>2</v>
      </c>
      <c r="EB24" s="125">
        <v>9.1999999999999993</v>
      </c>
      <c r="EC24" s="16">
        <v>41.661788137553131</v>
      </c>
      <c r="ED24" s="125">
        <v>3.6393648566717673</v>
      </c>
      <c r="EE24" s="125">
        <v>0.25086447287798491</v>
      </c>
      <c r="EF24" s="16">
        <v>87.074462822622692</v>
      </c>
      <c r="EG24" s="125">
        <v>3.4825927763179441</v>
      </c>
      <c r="EH24" s="123">
        <v>6.6993629129476222</v>
      </c>
      <c r="EI24" s="123">
        <v>1.4564495168391818</v>
      </c>
      <c r="EJ24" s="123">
        <v>0.70348144473641105</v>
      </c>
      <c r="EK24" s="123">
        <v>0.36537144031525715</v>
      </c>
      <c r="EL24" s="123">
        <v>0.47197654843330383</v>
      </c>
      <c r="EM24" s="123">
        <v>4.7128775008139243</v>
      </c>
      <c r="EN24" s="123">
        <v>0.17891888320446014</v>
      </c>
      <c r="EO24" s="123">
        <v>0.98308730359170116</v>
      </c>
      <c r="EP24" s="123">
        <v>0.98451300889910232</v>
      </c>
      <c r="EQ24" s="125">
        <v>1.2769140308941083E-2</v>
      </c>
      <c r="ER24" s="16">
        <v>105</v>
      </c>
      <c r="ES24" s="123">
        <v>1.4880952380952381</v>
      </c>
      <c r="ET24" s="19">
        <v>1</v>
      </c>
      <c r="EU24" s="139">
        <v>1.0553571428571429</v>
      </c>
      <c r="EV24" s="139">
        <v>1.2241666666666668</v>
      </c>
      <c r="EW24" s="123">
        <v>0</v>
      </c>
      <c r="EX24" s="123">
        <v>1.4187933676601202E-2</v>
      </c>
      <c r="EY24" s="123">
        <v>3.5592485030083712E-3</v>
      </c>
      <c r="EZ24" s="123">
        <v>9.5050116684382707E-2</v>
      </c>
      <c r="FA24" s="123">
        <v>0</v>
      </c>
      <c r="FB24" s="123">
        <v>0.11279729886399228</v>
      </c>
      <c r="FC24" s="6" t="s">
        <v>977</v>
      </c>
      <c r="FD24" s="123">
        <v>8.2728708391900191E-2</v>
      </c>
      <c r="FE24" s="6" t="s">
        <v>977</v>
      </c>
      <c r="FF24" s="123">
        <v>0.1089268260222193</v>
      </c>
      <c r="FG24" s="6" t="s">
        <v>977</v>
      </c>
      <c r="FH24" s="6">
        <v>1.6</v>
      </c>
      <c r="FI24" s="6">
        <v>1.5748353474345318</v>
      </c>
      <c r="FJ24" s="6">
        <v>0.96412099841457199</v>
      </c>
      <c r="FK24" s="123">
        <v>0.61220431709585554</v>
      </c>
      <c r="FL24" s="6" t="s">
        <v>977</v>
      </c>
      <c r="FM24" s="6">
        <v>1.6</v>
      </c>
      <c r="FN24" s="6">
        <v>2.4737776998351184</v>
      </c>
      <c r="FO24" s="138">
        <v>1.8191997820816752</v>
      </c>
      <c r="FP24" s="138">
        <v>0.34609471737958997</v>
      </c>
      <c r="FQ24" s="123">
        <v>0.19024557983596527</v>
      </c>
      <c r="FR24" s="6" t="s">
        <v>977</v>
      </c>
      <c r="FS24" s="6">
        <v>110.41292766437091</v>
      </c>
      <c r="FT24" s="139">
        <v>0.47197654843330383</v>
      </c>
      <c r="FU24" s="139">
        <v>0.5</v>
      </c>
      <c r="FV24" s="76">
        <v>150</v>
      </c>
      <c r="FW24" s="123">
        <v>0.73608618442913942</v>
      </c>
      <c r="FX24" s="6" t="s">
        <v>977</v>
      </c>
    </row>
    <row r="25" spans="2:180" ht="14.25">
      <c r="B25" s="6" t="s">
        <v>18</v>
      </c>
      <c r="C25" s="6" t="s">
        <v>20</v>
      </c>
      <c r="D25" s="6" t="s">
        <v>178</v>
      </c>
      <c r="E25" s="248" t="s">
        <v>22</v>
      </c>
      <c r="F25" s="248" t="s">
        <v>31</v>
      </c>
      <c r="G25" s="6" t="s">
        <v>24</v>
      </c>
      <c r="H25" s="6" t="s">
        <v>789</v>
      </c>
      <c r="I25" s="6" t="s">
        <v>790</v>
      </c>
      <c r="J25" s="6" t="s">
        <v>791</v>
      </c>
      <c r="K25" s="6" t="s">
        <v>792</v>
      </c>
      <c r="L25" s="6" t="s">
        <v>777</v>
      </c>
      <c r="M25" s="6" t="s">
        <v>778</v>
      </c>
      <c r="N25" s="27" t="s">
        <v>779</v>
      </c>
      <c r="AI25" s="125"/>
      <c r="AJ25" s="16"/>
      <c r="AM25" s="16"/>
      <c r="AN25" s="16"/>
      <c r="AO25" s="125"/>
      <c r="AP25" s="16"/>
      <c r="AQ25" s="125"/>
      <c r="AR25" s="164"/>
      <c r="AY25" s="142"/>
      <c r="AZ25" s="125"/>
      <c r="BA25" s="142"/>
      <c r="BB25" s="125"/>
      <c r="BC25" s="16"/>
      <c r="BD25" s="125"/>
      <c r="BE25" s="125"/>
      <c r="BF25" s="16"/>
      <c r="BG25" s="125"/>
      <c r="BQ25" s="125"/>
      <c r="BR25" s="16"/>
      <c r="BS25" s="123"/>
      <c r="BT25" s="19"/>
      <c r="BU25" s="139"/>
      <c r="BV25" s="139"/>
      <c r="BW25" s="123"/>
      <c r="BX25" s="123"/>
      <c r="BY25" s="123"/>
      <c r="BZ25" s="123"/>
      <c r="CA25" s="123"/>
      <c r="CB25" s="123"/>
      <c r="CC25" s="6"/>
      <c r="CD25" s="123"/>
      <c r="CE25" s="6"/>
      <c r="CF25" s="123"/>
      <c r="CG25" s="6"/>
      <c r="CH25" s="6"/>
      <c r="CI25" s="6"/>
      <c r="CJ25" s="6"/>
      <c r="CK25" s="123"/>
      <c r="CL25" s="6"/>
      <c r="CM25" s="6"/>
      <c r="CN25" s="6"/>
      <c r="CO25" s="138"/>
      <c r="CP25" s="138"/>
      <c r="CQ25" s="123"/>
      <c r="CR25" s="6"/>
      <c r="CS25" s="6"/>
      <c r="CT25" s="139"/>
      <c r="CU25" s="139"/>
      <c r="CV25" s="76"/>
      <c r="CW25" s="123"/>
      <c r="CX25" s="6"/>
      <c r="DA25" s="68" t="s">
        <v>952</v>
      </c>
      <c r="DB25" s="7" t="s">
        <v>954</v>
      </c>
      <c r="DC25" s="26">
        <v>3.8</v>
      </c>
      <c r="DD25" s="26">
        <v>4.5999999999999996</v>
      </c>
      <c r="DE25" s="7">
        <v>250</v>
      </c>
      <c r="DF25" s="7">
        <v>100</v>
      </c>
      <c r="DG25" s="7">
        <v>8</v>
      </c>
      <c r="DH25" s="7">
        <v>8</v>
      </c>
      <c r="DI25" s="125">
        <v>53.44</v>
      </c>
      <c r="DJ25" s="16">
        <v>927.56053333333318</v>
      </c>
      <c r="DK25" s="6">
        <v>4051.8005333333326</v>
      </c>
      <c r="DL25" s="6">
        <v>185.51210666666663</v>
      </c>
      <c r="DM25" s="16">
        <v>324.14404266666662</v>
      </c>
      <c r="DN25" s="16">
        <v>106.11199999999999</v>
      </c>
      <c r="DO25" s="125">
        <v>12.519372742975225</v>
      </c>
      <c r="DP25" s="16">
        <v>13392.857142857143</v>
      </c>
      <c r="DQ25" s="125">
        <v>26.785714285714285</v>
      </c>
      <c r="DR25" s="164" t="s">
        <v>950</v>
      </c>
      <c r="DS25" s="142">
        <v>-9.8891308148929404</v>
      </c>
      <c r="DT25" s="142">
        <v>0.66800000000000004</v>
      </c>
      <c r="DU25" s="142">
        <v>2E-3</v>
      </c>
      <c r="DV25" s="142">
        <v>8.9999999999999993E-3</v>
      </c>
      <c r="DW25" s="142">
        <v>2.5390000000000001</v>
      </c>
      <c r="DX25" s="142">
        <v>0</v>
      </c>
      <c r="DY25" s="142">
        <v>1</v>
      </c>
      <c r="DZ25" s="125">
        <v>4.5999999999999996</v>
      </c>
      <c r="EA25" s="142">
        <v>2</v>
      </c>
      <c r="EB25" s="125">
        <v>9.1999999999999993</v>
      </c>
      <c r="EC25" s="16">
        <v>41.661788137553131</v>
      </c>
      <c r="ED25" s="125">
        <v>3.6393648566717673</v>
      </c>
      <c r="EE25" s="125">
        <v>2.6216733525157004E-2</v>
      </c>
      <c r="EF25" s="16">
        <v>87.074462822622692</v>
      </c>
      <c r="EG25" s="125">
        <v>3.4825927763179441</v>
      </c>
      <c r="EH25" s="123">
        <v>4.2328510295808552</v>
      </c>
      <c r="EI25" s="123">
        <v>1.4625627890198358</v>
      </c>
      <c r="EJ25" s="123">
        <v>1.3536296922607263</v>
      </c>
      <c r="EK25" s="123">
        <v>3.8343618903543458E-2</v>
      </c>
      <c r="EL25" s="123">
        <v>2.4602138996124268</v>
      </c>
      <c r="EM25" s="123">
        <v>5.7297128365570318</v>
      </c>
      <c r="EN25" s="123">
        <v>0.15831775963306427</v>
      </c>
      <c r="EO25" s="123">
        <v>0.98904873462113818</v>
      </c>
      <c r="EP25" s="123">
        <v>0.98997190362958443</v>
      </c>
      <c r="EQ25" s="125">
        <v>8.2682406641272684E-3</v>
      </c>
      <c r="ER25" s="16">
        <v>105</v>
      </c>
      <c r="ES25" s="123">
        <v>1.4880952380952381</v>
      </c>
      <c r="ET25" s="19">
        <v>1</v>
      </c>
      <c r="EU25" s="139">
        <v>1.0553571428571429</v>
      </c>
      <c r="EV25" s="139">
        <v>1.2241666666666668</v>
      </c>
      <c r="EW25" s="123">
        <v>0</v>
      </c>
      <c r="EX25" s="123">
        <v>9.1869340712525203E-3</v>
      </c>
      <c r="EY25" s="123">
        <v>2.4085140245921303E-4</v>
      </c>
      <c r="EZ25" s="123">
        <v>3.888692334219266E-2</v>
      </c>
      <c r="FA25" s="123">
        <v>0</v>
      </c>
      <c r="FB25" s="123">
        <v>4.8314708815904397E-2</v>
      </c>
      <c r="FC25" s="6" t="s">
        <v>977</v>
      </c>
      <c r="FD25" s="123">
        <v>5.8259194052372246E-2</v>
      </c>
      <c r="FE25" s="6" t="s">
        <v>977</v>
      </c>
      <c r="FF25" s="123">
        <v>3.5822017835396111E-2</v>
      </c>
      <c r="FG25" s="6" t="s">
        <v>977</v>
      </c>
      <c r="FH25" s="6">
        <v>1.6</v>
      </c>
      <c r="FI25" s="6">
        <v>1.5973701537607403</v>
      </c>
      <c r="FJ25" s="6">
        <v>0.96412099841457199</v>
      </c>
      <c r="FK25" s="123">
        <v>0.60356768038059971</v>
      </c>
      <c r="FL25" s="6" t="s">
        <v>977</v>
      </c>
      <c r="FM25" s="6">
        <v>1.6</v>
      </c>
      <c r="FN25" s="6">
        <v>2.4737776998351184</v>
      </c>
      <c r="FO25" s="138">
        <v>1.6229075971168021</v>
      </c>
      <c r="FP25" s="138">
        <v>0.34609471737958997</v>
      </c>
      <c r="FQ25" s="123">
        <v>0.2132559598552925</v>
      </c>
      <c r="FR25" s="6" t="s">
        <v>977</v>
      </c>
      <c r="FS25" s="6">
        <v>110.41292766437091</v>
      </c>
      <c r="FT25" s="139">
        <v>2.4602138996124268</v>
      </c>
      <c r="FU25" s="139">
        <v>0.5</v>
      </c>
      <c r="FV25" s="76">
        <v>150</v>
      </c>
      <c r="FW25" s="123">
        <v>0.73608618442913942</v>
      </c>
      <c r="FX25" s="6" t="s">
        <v>977</v>
      </c>
    </row>
    <row r="26" spans="2:180" ht="15">
      <c r="B26" s="6" t="s">
        <v>39</v>
      </c>
      <c r="C26" s="6" t="s">
        <v>39</v>
      </c>
      <c r="D26" s="6" t="s">
        <v>39</v>
      </c>
      <c r="E26" s="249"/>
      <c r="F26" s="249"/>
      <c r="G26" s="14" t="s">
        <v>40</v>
      </c>
      <c r="H26" s="15" t="s">
        <v>26</v>
      </c>
      <c r="I26" s="15" t="s">
        <v>26</v>
      </c>
      <c r="J26" s="15" t="s">
        <v>27</v>
      </c>
      <c r="K26" s="15" t="s">
        <v>27</v>
      </c>
      <c r="L26" s="15" t="s">
        <v>27</v>
      </c>
      <c r="M26" s="15" t="s">
        <v>780</v>
      </c>
      <c r="N26" s="15" t="s">
        <v>40</v>
      </c>
      <c r="AI26" s="125"/>
      <c r="AJ26" s="16"/>
      <c r="AM26" s="16"/>
      <c r="AN26" s="16"/>
      <c r="AO26" s="125"/>
      <c r="AP26" s="16"/>
      <c r="AQ26" s="125"/>
      <c r="AR26" s="164"/>
      <c r="AY26" s="142"/>
      <c r="AZ26" s="125"/>
      <c r="BA26" s="142"/>
      <c r="BB26" s="125"/>
      <c r="BC26" s="16"/>
      <c r="BD26" s="125"/>
      <c r="BE26" s="125"/>
      <c r="BF26" s="16"/>
      <c r="BG26" s="125"/>
      <c r="BQ26" s="125"/>
      <c r="BR26" s="16"/>
      <c r="BS26" s="123"/>
      <c r="BT26" s="19"/>
      <c r="BU26" s="139"/>
      <c r="BV26" s="139"/>
      <c r="BW26" s="123"/>
      <c r="BX26" s="123"/>
      <c r="BY26" s="123"/>
      <c r="BZ26" s="123"/>
      <c r="CA26" s="123"/>
      <c r="CB26" s="123"/>
      <c r="CC26" s="6"/>
      <c r="CD26" s="123"/>
      <c r="CE26" s="6"/>
      <c r="CF26" s="123"/>
      <c r="CG26" s="6"/>
      <c r="CH26" s="6"/>
      <c r="CI26" s="6"/>
      <c r="CJ26" s="6"/>
      <c r="CK26" s="123"/>
      <c r="CL26" s="6"/>
      <c r="CM26" s="6"/>
      <c r="CN26" s="6"/>
      <c r="CO26" s="138"/>
      <c r="CP26" s="138"/>
      <c r="CQ26" s="123"/>
      <c r="CR26" s="6"/>
      <c r="CS26" s="6"/>
      <c r="CT26" s="139"/>
      <c r="CU26" s="139"/>
      <c r="CV26" s="76"/>
      <c r="CW26" s="123"/>
      <c r="CX26" s="6"/>
      <c r="DA26" s="68" t="s">
        <v>952</v>
      </c>
      <c r="DB26" s="7" t="s">
        <v>955</v>
      </c>
      <c r="DC26" s="26">
        <v>3.8</v>
      </c>
      <c r="DD26" s="26">
        <v>4.5999999999999996</v>
      </c>
      <c r="DE26" s="7">
        <v>250</v>
      </c>
      <c r="DF26" s="7">
        <v>100</v>
      </c>
      <c r="DG26" s="7">
        <v>8</v>
      </c>
      <c r="DH26" s="7">
        <v>8</v>
      </c>
      <c r="DI26" s="125">
        <v>53.44</v>
      </c>
      <c r="DJ26" s="16">
        <v>927.56053333333318</v>
      </c>
      <c r="DK26" s="6">
        <v>4051.8005333333326</v>
      </c>
      <c r="DL26" s="6">
        <v>185.51210666666663</v>
      </c>
      <c r="DM26" s="16">
        <v>324.14404266666662</v>
      </c>
      <c r="DN26" s="16">
        <v>106.11199999999999</v>
      </c>
      <c r="DO26" s="125">
        <v>12.519372742975225</v>
      </c>
      <c r="DP26" s="16">
        <v>13392.857142857143</v>
      </c>
      <c r="DQ26" s="125">
        <v>26.785714285714285</v>
      </c>
      <c r="DR26" s="164" t="s">
        <v>950</v>
      </c>
      <c r="DS26" s="142">
        <v>-12.611205248033494</v>
      </c>
      <c r="DT26" s="142">
        <v>1.17</v>
      </c>
      <c r="DU26" s="142">
        <v>0</v>
      </c>
      <c r="DV26" s="142">
        <v>0</v>
      </c>
      <c r="DW26" s="142">
        <v>4.4459999999999997</v>
      </c>
      <c r="DX26" s="142">
        <v>0</v>
      </c>
      <c r="DY26" s="142">
        <v>1</v>
      </c>
      <c r="DZ26" s="125">
        <v>4.5999999999999996</v>
      </c>
      <c r="EA26" s="142">
        <v>2</v>
      </c>
      <c r="EB26" s="125">
        <v>9.1999999999999993</v>
      </c>
      <c r="EC26" s="16">
        <v>41.661788137553131</v>
      </c>
      <c r="ED26" s="125">
        <v>3.6393648566717673</v>
      </c>
      <c r="EE26" s="125">
        <v>0</v>
      </c>
      <c r="EF26" s="16">
        <v>87.074462822622692</v>
      </c>
      <c r="EG26" s="125">
        <v>3.4825927763179441</v>
      </c>
      <c r="EH26" s="123">
        <v>5.8122096296129762</v>
      </c>
      <c r="EI26" s="123">
        <v>1.4632762171993878</v>
      </c>
      <c r="EJ26" s="123">
        <v>0.70348144473641105</v>
      </c>
      <c r="EK26" s="123">
        <v>0</v>
      </c>
      <c r="EL26" s="123">
        <v>0.56377850411735253</v>
      </c>
      <c r="EM26" s="123">
        <v>4.0887816273510174</v>
      </c>
      <c r="EN26" s="123">
        <v>0.19599802792072296</v>
      </c>
      <c r="EO26" s="123">
        <v>0.98603429785653962</v>
      </c>
      <c r="EP26" s="123">
        <v>0.98721157764604417</v>
      </c>
      <c r="EQ26" s="125">
        <v>1.05441501388992E-2</v>
      </c>
      <c r="ER26" s="16">
        <v>105</v>
      </c>
      <c r="ES26" s="123">
        <v>1.4880952380952381</v>
      </c>
      <c r="ET26" s="19">
        <v>1</v>
      </c>
      <c r="EU26" s="139">
        <v>1.0553571428571429</v>
      </c>
      <c r="EV26" s="139">
        <v>1.2241666666666668</v>
      </c>
      <c r="EW26" s="123">
        <v>0</v>
      </c>
      <c r="EX26" s="123">
        <v>1.1715722376554666E-2</v>
      </c>
      <c r="EY26" s="123">
        <v>0</v>
      </c>
      <c r="EZ26" s="123">
        <v>6.8094234414883242E-2</v>
      </c>
      <c r="FA26" s="123">
        <v>0</v>
      </c>
      <c r="FB26" s="123">
        <v>7.9809956791437903E-2</v>
      </c>
      <c r="FC26" s="6" t="s">
        <v>977</v>
      </c>
      <c r="FD26" s="123">
        <v>5.9774695188736425E-2</v>
      </c>
      <c r="FE26" s="6" t="s">
        <v>977</v>
      </c>
      <c r="FF26" s="123">
        <v>7.7126259299655012E-2</v>
      </c>
      <c r="FG26" s="6" t="s">
        <v>977</v>
      </c>
      <c r="FH26" s="6">
        <v>1.6</v>
      </c>
      <c r="FI26" s="6">
        <v>1.6</v>
      </c>
      <c r="FJ26" s="6">
        <v>0.96412099841457199</v>
      </c>
      <c r="FK26" s="123">
        <v>0.60257562400910747</v>
      </c>
      <c r="FL26" s="6" t="s">
        <v>977</v>
      </c>
      <c r="FM26" s="6">
        <v>1.6</v>
      </c>
      <c r="FN26" s="6">
        <v>2.4737776998351184</v>
      </c>
      <c r="FO26" s="138">
        <v>1.6</v>
      </c>
      <c r="FP26" s="138">
        <v>0.34609471737958997</v>
      </c>
      <c r="FQ26" s="123">
        <v>0.21630919836224372</v>
      </c>
      <c r="FR26" s="6" t="s">
        <v>977</v>
      </c>
      <c r="FS26" s="6">
        <v>110.41292766437091</v>
      </c>
      <c r="FT26" s="139">
        <v>0.56377850411735253</v>
      </c>
      <c r="FU26" s="139">
        <v>0.5</v>
      </c>
      <c r="FV26" s="76">
        <v>150</v>
      </c>
      <c r="FW26" s="123">
        <v>0.73608618442913942</v>
      </c>
      <c r="FX26" s="6" t="s">
        <v>977</v>
      </c>
    </row>
    <row r="27" spans="2:180" ht="15" customHeight="1">
      <c r="B27" s="20">
        <f>VLOOKUP(C24,Data!$A$3:$D$99,2,FALSE)</f>
        <v>206000</v>
      </c>
      <c r="C27" s="6">
        <f>VLOOKUP(C24,Data!$A$3:$D$99,3,FALSE)</f>
        <v>240</v>
      </c>
      <c r="D27" s="76">
        <f>C27/E27</f>
        <v>228.57142857142856</v>
      </c>
      <c r="E27" s="20">
        <f>VLOOKUP(C24,Data!$A$3:$E$99,5,FALSE)</f>
        <v>1.05</v>
      </c>
      <c r="F27" s="7">
        <v>0.9</v>
      </c>
      <c r="G27" s="125">
        <f>2*(F15*F18+F19*F17)/100</f>
        <v>57.76</v>
      </c>
      <c r="H27" s="121">
        <f>2*(F17*F19^3/12+F15*F18^3/12+F15*F18*(F19/2+F18/2)^2)/10000</f>
        <v>3466.5541333333335</v>
      </c>
      <c r="I27" s="121">
        <f>2*(F18*F15^3/12+F19*F17^3/12+F19*F17*(F15/2-F17/2)^2)/10000</f>
        <v>3677.6021333333338</v>
      </c>
      <c r="J27" s="16">
        <f>H27/(F16/20)</f>
        <v>346.65541333333334</v>
      </c>
      <c r="K27" s="16">
        <f>I27/(F15/20)</f>
        <v>367.76021333333335</v>
      </c>
      <c r="L27" s="16">
        <f>(2*F17*(F19/2)*(F19/4)+F15*F18*(F19/2+F18/2))/1000</f>
        <v>204.292</v>
      </c>
      <c r="M27" s="121">
        <f>(F15^2*F16^2/24*(F15*F17-F16*F18)^2/(F15*F17+F16*F18)^2*(F15*F18+F16*F17))/1000000</f>
        <v>888.8888888888888</v>
      </c>
      <c r="N27" s="16">
        <f>ABS(F15*F16/4*(F15*F17-F16*F18)/(F15*F17+F16*F18))/100</f>
        <v>6.6666666666666661</v>
      </c>
      <c r="AI27" s="125"/>
      <c r="AJ27" s="16"/>
      <c r="AM27" s="16"/>
      <c r="AN27" s="16"/>
      <c r="AO27" s="125"/>
      <c r="AP27" s="16"/>
      <c r="AQ27" s="125"/>
      <c r="AR27" s="164"/>
      <c r="AY27" s="142"/>
      <c r="AZ27" s="125"/>
      <c r="BA27" s="142"/>
      <c r="BB27" s="125"/>
      <c r="BC27" s="16"/>
      <c r="BD27" s="125"/>
      <c r="BE27" s="125"/>
      <c r="BF27" s="16"/>
      <c r="BG27" s="125"/>
      <c r="BQ27" s="125"/>
      <c r="BR27" s="16"/>
      <c r="BS27" s="123"/>
      <c r="BT27" s="19"/>
      <c r="BU27" s="139"/>
      <c r="BV27" s="139"/>
      <c r="BW27" s="123"/>
      <c r="BX27" s="123"/>
      <c r="BY27" s="123"/>
      <c r="BZ27" s="123"/>
      <c r="CA27" s="123"/>
      <c r="CB27" s="123"/>
      <c r="CC27" s="6"/>
      <c r="CD27" s="123"/>
      <c r="CE27" s="6"/>
      <c r="CF27" s="123"/>
      <c r="CG27" s="6"/>
      <c r="CH27" s="6"/>
      <c r="CI27" s="6"/>
      <c r="CJ27" s="6"/>
      <c r="CK27" s="123"/>
      <c r="CL27" s="6"/>
      <c r="CM27" s="6"/>
      <c r="CN27" s="6"/>
      <c r="CO27" s="138"/>
      <c r="CP27" s="138"/>
      <c r="CQ27" s="123"/>
      <c r="CR27" s="6"/>
      <c r="CS27" s="6"/>
      <c r="CT27" s="139"/>
      <c r="CU27" s="139"/>
      <c r="CV27" s="76"/>
      <c r="CW27" s="123"/>
      <c r="CX27" s="6"/>
      <c r="DA27" s="68" t="s">
        <v>952</v>
      </c>
      <c r="DB27" s="7" t="s">
        <v>956</v>
      </c>
      <c r="DC27" s="26">
        <v>3.8</v>
      </c>
      <c r="DD27" s="26">
        <v>4.5999999999999996</v>
      </c>
      <c r="DE27" s="7">
        <v>250</v>
      </c>
      <c r="DF27" s="7">
        <v>100</v>
      </c>
      <c r="DG27" s="7">
        <v>8</v>
      </c>
      <c r="DH27" s="7">
        <v>8</v>
      </c>
      <c r="DI27" s="125">
        <v>53.44</v>
      </c>
      <c r="DJ27" s="16">
        <v>927.56053333333318</v>
      </c>
      <c r="DK27" s="6">
        <v>4051.8005333333326</v>
      </c>
      <c r="DL27" s="6">
        <v>185.51210666666663</v>
      </c>
      <c r="DM27" s="16">
        <v>324.14404266666662</v>
      </c>
      <c r="DN27" s="16">
        <v>106.11199999999999</v>
      </c>
      <c r="DO27" s="125">
        <v>12.519372742975225</v>
      </c>
      <c r="DP27" s="16">
        <v>13392.857142857143</v>
      </c>
      <c r="DQ27" s="125">
        <v>26.785714285714285</v>
      </c>
      <c r="DR27" s="164" t="s">
        <v>950</v>
      </c>
      <c r="DS27" s="142">
        <v>-9.8891308148929404</v>
      </c>
      <c r="DT27" s="142">
        <v>0.66800000000000004</v>
      </c>
      <c r="DU27" s="142">
        <v>2E-3</v>
      </c>
      <c r="DV27" s="142">
        <v>8.9999999999999993E-3</v>
      </c>
      <c r="DW27" s="142">
        <v>2.5390000000000001</v>
      </c>
      <c r="DX27" s="142">
        <v>0</v>
      </c>
      <c r="DY27" s="142">
        <v>1</v>
      </c>
      <c r="DZ27" s="125">
        <v>4.5999999999999996</v>
      </c>
      <c r="EA27" s="142">
        <v>2</v>
      </c>
      <c r="EB27" s="125">
        <v>9.1999999999999993</v>
      </c>
      <c r="EC27" s="16">
        <v>41.661788137553131</v>
      </c>
      <c r="ED27" s="125">
        <v>3.6393648566717673</v>
      </c>
      <c r="EE27" s="125">
        <v>2.6216733525157004E-2</v>
      </c>
      <c r="EF27" s="16">
        <v>87.074462822622692</v>
      </c>
      <c r="EG27" s="125">
        <v>3.4825927763179441</v>
      </c>
      <c r="EH27" s="123">
        <v>4.2328510295808552</v>
      </c>
      <c r="EI27" s="123">
        <v>1.4625627890198358</v>
      </c>
      <c r="EJ27" s="123">
        <v>1.3536296922607263</v>
      </c>
      <c r="EK27" s="123">
        <v>3.8343618903543458E-2</v>
      </c>
      <c r="EL27" s="123">
        <v>2.4602138996124268</v>
      </c>
      <c r="EM27" s="123">
        <v>5.7297128365570318</v>
      </c>
      <c r="EN27" s="123">
        <v>0.15831775963306427</v>
      </c>
      <c r="EO27" s="123">
        <v>0.98904873462113818</v>
      </c>
      <c r="EP27" s="123">
        <v>0.98997190362958443</v>
      </c>
      <c r="EQ27" s="125">
        <v>8.2682406641272684E-3</v>
      </c>
      <c r="ER27" s="16">
        <v>105</v>
      </c>
      <c r="ES27" s="123">
        <v>1.4880952380952381</v>
      </c>
      <c r="ET27" s="19">
        <v>1</v>
      </c>
      <c r="EU27" s="139">
        <v>1.0553571428571429</v>
      </c>
      <c r="EV27" s="139">
        <v>1.2241666666666668</v>
      </c>
      <c r="EW27" s="123">
        <v>0</v>
      </c>
      <c r="EX27" s="123">
        <v>9.1869340712525203E-3</v>
      </c>
      <c r="EY27" s="123">
        <v>2.4085140245921303E-4</v>
      </c>
      <c r="EZ27" s="123">
        <v>3.888692334219266E-2</v>
      </c>
      <c r="FA27" s="123">
        <v>0</v>
      </c>
      <c r="FB27" s="123">
        <v>4.8314708815904397E-2</v>
      </c>
      <c r="FC27" s="6" t="s">
        <v>977</v>
      </c>
      <c r="FD27" s="123">
        <v>5.8259194052372246E-2</v>
      </c>
      <c r="FE27" s="6" t="s">
        <v>977</v>
      </c>
      <c r="FF27" s="123">
        <v>3.5822017835396111E-2</v>
      </c>
      <c r="FG27" s="6" t="s">
        <v>977</v>
      </c>
      <c r="FH27" s="6">
        <v>1.6</v>
      </c>
      <c r="FI27" s="6">
        <v>1.5973701537607403</v>
      </c>
      <c r="FJ27" s="6">
        <v>0.96412099841457199</v>
      </c>
      <c r="FK27" s="123">
        <v>0.60356768038059971</v>
      </c>
      <c r="FL27" s="6" t="s">
        <v>977</v>
      </c>
      <c r="FM27" s="6">
        <v>1.6</v>
      </c>
      <c r="FN27" s="6">
        <v>2.4737776998351184</v>
      </c>
      <c r="FO27" s="138">
        <v>1.6229075971168021</v>
      </c>
      <c r="FP27" s="138">
        <v>0.34609471737958997</v>
      </c>
      <c r="FQ27" s="123">
        <v>0.2132559598552925</v>
      </c>
      <c r="FR27" s="6" t="s">
        <v>977</v>
      </c>
      <c r="FS27" s="6">
        <v>110.41292766437091</v>
      </c>
      <c r="FT27" s="139">
        <v>2.4602138996124268</v>
      </c>
      <c r="FU27" s="139">
        <v>0.5</v>
      </c>
      <c r="FV27" s="76">
        <v>150</v>
      </c>
      <c r="FW27" s="123">
        <v>0.73608618442913942</v>
      </c>
      <c r="FX27" s="6" t="s">
        <v>977</v>
      </c>
    </row>
    <row r="28" spans="2:180">
      <c r="B28" s="9" t="s">
        <v>38</v>
      </c>
      <c r="C28" s="4"/>
      <c r="D28" s="4"/>
      <c r="E28" s="4"/>
      <c r="F28" s="4"/>
      <c r="G28" s="4"/>
      <c r="H28" s="4"/>
      <c r="I28" s="4"/>
      <c r="J28" s="4"/>
      <c r="K28" s="4"/>
      <c r="L28" s="99"/>
      <c r="M28" s="4"/>
      <c r="N28" s="11"/>
      <c r="AI28" s="125"/>
      <c r="AJ28" s="16"/>
      <c r="AM28" s="16"/>
      <c r="AN28" s="16"/>
      <c r="AO28" s="125"/>
      <c r="AP28" s="16"/>
      <c r="AQ28" s="125"/>
      <c r="AR28" s="164"/>
      <c r="AY28" s="142"/>
      <c r="AZ28" s="125"/>
      <c r="BA28" s="142"/>
      <c r="BB28" s="125"/>
      <c r="BC28" s="16"/>
      <c r="BD28" s="125"/>
      <c r="BE28" s="125"/>
      <c r="BF28" s="16"/>
      <c r="BG28" s="125"/>
      <c r="BQ28" s="125"/>
      <c r="BR28" s="16"/>
      <c r="BS28" s="123"/>
      <c r="BT28" s="19"/>
      <c r="BU28" s="139"/>
      <c r="BV28" s="139"/>
      <c r="BW28" s="123"/>
      <c r="BX28" s="123"/>
      <c r="BY28" s="123"/>
      <c r="BZ28" s="123"/>
      <c r="CA28" s="123"/>
      <c r="CB28" s="123"/>
      <c r="CC28" s="6"/>
      <c r="CD28" s="123"/>
      <c r="CE28" s="6"/>
      <c r="CF28" s="123"/>
      <c r="CG28" s="6"/>
      <c r="CH28" s="6"/>
      <c r="CI28" s="6"/>
      <c r="CJ28" s="6"/>
      <c r="CK28" s="123"/>
      <c r="CL28" s="6"/>
      <c r="CM28" s="6"/>
      <c r="CN28" s="6"/>
      <c r="CO28" s="138"/>
      <c r="CP28" s="138"/>
      <c r="CQ28" s="123"/>
      <c r="CR28" s="6"/>
      <c r="CS28" s="6"/>
      <c r="CT28" s="139"/>
      <c r="CU28" s="139"/>
      <c r="CV28" s="76"/>
      <c r="CW28" s="123"/>
      <c r="CX28" s="6"/>
      <c r="DA28" s="68" t="s">
        <v>952</v>
      </c>
      <c r="DB28" s="7" t="s">
        <v>957</v>
      </c>
      <c r="DC28" s="26">
        <v>3.8</v>
      </c>
      <c r="DD28" s="26">
        <v>4.5999999999999996</v>
      </c>
      <c r="DE28" s="7">
        <v>250</v>
      </c>
      <c r="DF28" s="7">
        <v>100</v>
      </c>
      <c r="DG28" s="7">
        <v>8</v>
      </c>
      <c r="DH28" s="7">
        <v>8</v>
      </c>
      <c r="DI28" s="125">
        <v>53.44</v>
      </c>
      <c r="DJ28" s="16">
        <v>927.56053333333318</v>
      </c>
      <c r="DK28" s="6">
        <v>4051.8005333333326</v>
      </c>
      <c r="DL28" s="6">
        <v>185.51210666666663</v>
      </c>
      <c r="DM28" s="16">
        <v>324.14404266666662</v>
      </c>
      <c r="DN28" s="16">
        <v>106.11199999999999</v>
      </c>
      <c r="DO28" s="125">
        <v>12.519372742975225</v>
      </c>
      <c r="DP28" s="16">
        <v>13392.857142857143</v>
      </c>
      <c r="DQ28" s="125">
        <v>26.785714285714285</v>
      </c>
      <c r="DR28" s="164" t="s">
        <v>950</v>
      </c>
      <c r="DS28" s="142">
        <v>-15.272378252933846</v>
      </c>
      <c r="DT28" s="142">
        <v>1.633</v>
      </c>
      <c r="DU28" s="142">
        <v>3.5000000000000003E-2</v>
      </c>
      <c r="DV28" s="142">
        <v>0.13300000000000001</v>
      </c>
      <c r="DW28" s="142">
        <v>6.2060000000000004</v>
      </c>
      <c r="DX28" s="142">
        <v>0</v>
      </c>
      <c r="DY28" s="142">
        <v>1</v>
      </c>
      <c r="DZ28" s="125">
        <v>4.5999999999999996</v>
      </c>
      <c r="EA28" s="142">
        <v>2</v>
      </c>
      <c r="EB28" s="125">
        <v>9.1999999999999993</v>
      </c>
      <c r="EC28" s="16">
        <v>41.661788137553131</v>
      </c>
      <c r="ED28" s="125">
        <v>3.6393648566717673</v>
      </c>
      <c r="EE28" s="125">
        <v>0.25086447287798536</v>
      </c>
      <c r="EF28" s="16">
        <v>87.074462822622692</v>
      </c>
      <c r="EG28" s="125">
        <v>3.4825927763179441</v>
      </c>
      <c r="EH28" s="123">
        <v>6.6993629129476346</v>
      </c>
      <c r="EI28" s="123">
        <v>1.4564495168391818</v>
      </c>
      <c r="EJ28" s="123">
        <v>0.70348144473641105</v>
      </c>
      <c r="EK28" s="123">
        <v>0.36537144031525781</v>
      </c>
      <c r="EL28" s="123">
        <v>0.47197654843330383</v>
      </c>
      <c r="EM28" s="123">
        <v>4.7128775008139332</v>
      </c>
      <c r="EN28" s="123">
        <v>0.17891888320446014</v>
      </c>
      <c r="EO28" s="123">
        <v>0.98308730359170116</v>
      </c>
      <c r="EP28" s="123">
        <v>0.98451300889910232</v>
      </c>
      <c r="EQ28" s="125">
        <v>1.2769140308941059E-2</v>
      </c>
      <c r="ER28" s="16">
        <v>105</v>
      </c>
      <c r="ES28" s="123">
        <v>1.4880952380952381</v>
      </c>
      <c r="ET28" s="19">
        <v>1</v>
      </c>
      <c r="EU28" s="139">
        <v>1.0553571428571429</v>
      </c>
      <c r="EV28" s="139">
        <v>1.2241666666666668</v>
      </c>
      <c r="EW28" s="123">
        <v>0</v>
      </c>
      <c r="EX28" s="123">
        <v>1.4187933676601178E-2</v>
      </c>
      <c r="EY28" s="123">
        <v>3.5592485030083712E-3</v>
      </c>
      <c r="EZ28" s="123">
        <v>9.5050116684382707E-2</v>
      </c>
      <c r="FA28" s="123">
        <v>0</v>
      </c>
      <c r="FB28" s="123">
        <v>0.11279729886399226</v>
      </c>
      <c r="FC28" s="6" t="s">
        <v>977</v>
      </c>
      <c r="FD28" s="123">
        <v>8.2728708391900052E-2</v>
      </c>
      <c r="FE28" s="6" t="s">
        <v>977</v>
      </c>
      <c r="FF28" s="123">
        <v>0.10892682602221924</v>
      </c>
      <c r="FG28" s="6" t="s">
        <v>977</v>
      </c>
      <c r="FH28" s="6">
        <v>1.6</v>
      </c>
      <c r="FI28" s="6">
        <v>1.5748353474345318</v>
      </c>
      <c r="FJ28" s="6">
        <v>0.96412099841457199</v>
      </c>
      <c r="FK28" s="123">
        <v>0.61220431709585554</v>
      </c>
      <c r="FL28" s="6" t="s">
        <v>977</v>
      </c>
      <c r="FM28" s="6">
        <v>1.6</v>
      </c>
      <c r="FN28" s="6">
        <v>2.4737776998351184</v>
      </c>
      <c r="FO28" s="138">
        <v>1.8191997820816757</v>
      </c>
      <c r="FP28" s="138">
        <v>0.34609471737958997</v>
      </c>
      <c r="FQ28" s="123">
        <v>0.19024557983596524</v>
      </c>
      <c r="FR28" s="6" t="s">
        <v>977</v>
      </c>
      <c r="FS28" s="6">
        <v>110.41292766437091</v>
      </c>
      <c r="FT28" s="139">
        <v>0.47197654843330383</v>
      </c>
      <c r="FU28" s="139">
        <v>0.5</v>
      </c>
      <c r="FV28" s="76">
        <v>150</v>
      </c>
      <c r="FW28" s="123">
        <v>0.73608618442913942</v>
      </c>
      <c r="FX28" s="6" t="s">
        <v>977</v>
      </c>
    </row>
    <row r="29" spans="2:180" ht="15" customHeight="1">
      <c r="B29" s="250" t="s">
        <v>44</v>
      </c>
      <c r="C29" s="252" t="s">
        <v>45</v>
      </c>
      <c r="D29" s="252"/>
      <c r="E29" s="23" t="s">
        <v>32</v>
      </c>
      <c r="F29" s="6" t="s">
        <v>35</v>
      </c>
      <c r="G29" s="6" t="s">
        <v>795</v>
      </c>
      <c r="H29" s="6" t="s">
        <v>796</v>
      </c>
      <c r="I29" s="6" t="s">
        <v>793</v>
      </c>
      <c r="J29" s="6" t="s">
        <v>794</v>
      </c>
      <c r="K29" s="6" t="s">
        <v>36</v>
      </c>
      <c r="L29" s="6" t="s">
        <v>73</v>
      </c>
      <c r="M29" s="6" t="s">
        <v>74</v>
      </c>
      <c r="N29" s="6" t="s">
        <v>97</v>
      </c>
      <c r="AI29" s="125"/>
      <c r="AJ29" s="16"/>
      <c r="AM29" s="16"/>
      <c r="AN29" s="16"/>
      <c r="AO29" s="125"/>
      <c r="AP29" s="16"/>
      <c r="AQ29" s="125"/>
      <c r="AR29" s="164"/>
      <c r="AY29" s="142"/>
      <c r="AZ29" s="125"/>
      <c r="BA29" s="142"/>
      <c r="BB29" s="125"/>
      <c r="BC29" s="16"/>
      <c r="BD29" s="125"/>
      <c r="BE29" s="125"/>
      <c r="BF29" s="16"/>
      <c r="BG29" s="125"/>
      <c r="BQ29" s="125"/>
      <c r="BR29" s="16"/>
      <c r="BS29" s="123"/>
      <c r="BT29" s="19"/>
      <c r="BU29" s="139"/>
      <c r="BV29" s="139"/>
      <c r="BW29" s="123"/>
      <c r="BX29" s="123"/>
      <c r="BY29" s="123"/>
      <c r="BZ29" s="123"/>
      <c r="CA29" s="123"/>
      <c r="CB29" s="123"/>
      <c r="CC29" s="6"/>
      <c r="CD29" s="123"/>
      <c r="CE29" s="6"/>
      <c r="CF29" s="123"/>
      <c r="CG29" s="6"/>
      <c r="CH29" s="6"/>
      <c r="CI29" s="6"/>
      <c r="CJ29" s="6"/>
      <c r="CK29" s="123"/>
      <c r="CL29" s="6"/>
      <c r="CM29" s="6"/>
      <c r="CN29" s="6"/>
      <c r="CO29" s="138"/>
      <c r="CP29" s="138"/>
      <c r="CQ29" s="123"/>
      <c r="CR29" s="6"/>
      <c r="CS29" s="6"/>
      <c r="CT29" s="139"/>
      <c r="CU29" s="139"/>
      <c r="CV29" s="76"/>
      <c r="CW29" s="123"/>
      <c r="CX29" s="6"/>
      <c r="DA29" s="68" t="s">
        <v>952</v>
      </c>
      <c r="DB29" s="7" t="s">
        <v>958</v>
      </c>
      <c r="DC29" s="26">
        <v>3.8</v>
      </c>
      <c r="DD29" s="26">
        <v>4.5999999999999996</v>
      </c>
      <c r="DE29" s="7">
        <v>250</v>
      </c>
      <c r="DF29" s="7">
        <v>100</v>
      </c>
      <c r="DG29" s="7">
        <v>8</v>
      </c>
      <c r="DH29" s="7">
        <v>8</v>
      </c>
      <c r="DI29" s="125">
        <v>53.44</v>
      </c>
      <c r="DJ29" s="16">
        <v>927.56053333333318</v>
      </c>
      <c r="DK29" s="6">
        <v>4051.8005333333326</v>
      </c>
      <c r="DL29" s="6">
        <v>185.51210666666663</v>
      </c>
      <c r="DM29" s="16">
        <v>324.14404266666662</v>
      </c>
      <c r="DN29" s="16">
        <v>106.11199999999999</v>
      </c>
      <c r="DO29" s="125">
        <v>12.519372742975225</v>
      </c>
      <c r="DP29" s="16">
        <v>13392.857142857143</v>
      </c>
      <c r="DQ29" s="125">
        <v>26.785714285714285</v>
      </c>
      <c r="DR29" s="164" t="s">
        <v>950</v>
      </c>
      <c r="DS29" s="142">
        <v>-13.67079778536386</v>
      </c>
      <c r="DT29" s="142">
        <v>2.1890000000000001</v>
      </c>
      <c r="DU29" s="142">
        <v>0.16</v>
      </c>
      <c r="DV29" s="142">
        <v>0.60899999999999999</v>
      </c>
      <c r="DW29" s="142">
        <v>8.3170000000000002</v>
      </c>
      <c r="DX29" s="142">
        <v>0</v>
      </c>
      <c r="DY29" s="142">
        <v>1</v>
      </c>
      <c r="DZ29" s="125">
        <v>4.5999999999999996</v>
      </c>
      <c r="EA29" s="142">
        <v>2</v>
      </c>
      <c r="EB29" s="125">
        <v>9.1999999999999993</v>
      </c>
      <c r="EC29" s="16">
        <v>41.661788137553131</v>
      </c>
      <c r="ED29" s="125">
        <v>3.6393648566717673</v>
      </c>
      <c r="EE29" s="125">
        <v>1.2832687704675168</v>
      </c>
      <c r="EF29" s="16">
        <v>87.074462822622692</v>
      </c>
      <c r="EG29" s="125">
        <v>3.4825927763179441</v>
      </c>
      <c r="EH29" s="123">
        <v>10.030007258335491</v>
      </c>
      <c r="EI29" s="123">
        <v>1.4283550054507137</v>
      </c>
      <c r="EJ29" s="123">
        <v>0.70348144473641105</v>
      </c>
      <c r="EK29" s="123">
        <v>1.8329633716358606</v>
      </c>
      <c r="EL29" s="123">
        <v>0.28867727518081665</v>
      </c>
      <c r="EM29" s="123">
        <v>7.0559239968105407</v>
      </c>
      <c r="EN29" s="123">
        <v>0.13667705655097961</v>
      </c>
      <c r="EO29" s="123">
        <v>0.98486090058968467</v>
      </c>
      <c r="EP29" s="123">
        <v>0.98613709534050931</v>
      </c>
      <c r="EQ29" s="125">
        <v>1.1430068858001062E-2</v>
      </c>
      <c r="ER29" s="16">
        <v>105</v>
      </c>
      <c r="ES29" s="123">
        <v>1.4880952380952381</v>
      </c>
      <c r="ET29" s="19">
        <v>1</v>
      </c>
      <c r="EU29" s="139">
        <v>1.0553571428571429</v>
      </c>
      <c r="EV29" s="139">
        <v>1.2241666666666668</v>
      </c>
      <c r="EW29" s="123">
        <v>0</v>
      </c>
      <c r="EX29" s="123">
        <v>1.270007650889007E-2</v>
      </c>
      <c r="EY29" s="123">
        <v>1.6297611566406748E-2</v>
      </c>
      <c r="EZ29" s="123">
        <v>0.12738185956558346</v>
      </c>
      <c r="FA29" s="123">
        <v>0</v>
      </c>
      <c r="FB29" s="123">
        <v>0.15637954764088027</v>
      </c>
      <c r="FC29" s="6" t="s">
        <v>977</v>
      </c>
      <c r="FD29" s="123">
        <v>0.10860045328687162</v>
      </c>
      <c r="FE29" s="6" t="s">
        <v>977</v>
      </c>
      <c r="FF29" s="123">
        <v>0.14951280389526853</v>
      </c>
      <c r="FG29" s="6" t="s">
        <v>977</v>
      </c>
      <c r="FH29" s="6">
        <v>1.6</v>
      </c>
      <c r="FI29" s="6">
        <v>1.4712730727214713</v>
      </c>
      <c r="FJ29" s="6">
        <v>0.96412099841457199</v>
      </c>
      <c r="FK29" s="123">
        <v>0.65529711396892465</v>
      </c>
      <c r="FL29" s="6" t="s">
        <v>977</v>
      </c>
      <c r="FM29" s="6" t="s">
        <v>978</v>
      </c>
      <c r="FN29" s="6">
        <v>2.4737776998351184</v>
      </c>
      <c r="FO29" s="138">
        <v>2.4737776998351184</v>
      </c>
      <c r="FP29" s="138">
        <v>0.34609471737958997</v>
      </c>
      <c r="FQ29" s="123">
        <v>0.13990534291042311</v>
      </c>
      <c r="FR29" s="6" t="s">
        <v>977</v>
      </c>
      <c r="FS29" s="6">
        <v>110.41292766437091</v>
      </c>
      <c r="FT29" s="139">
        <v>0.28867727518081665</v>
      </c>
      <c r="FU29" s="139">
        <v>0.5</v>
      </c>
      <c r="FV29" s="76">
        <v>150</v>
      </c>
      <c r="FW29" s="123">
        <v>0.73608618442913942</v>
      </c>
      <c r="FX29" s="6" t="s">
        <v>977</v>
      </c>
    </row>
    <row r="30" spans="2:180" ht="15">
      <c r="B30" s="251"/>
      <c r="C30" s="252"/>
      <c r="D30" s="252"/>
      <c r="E30" s="20" t="s">
        <v>43</v>
      </c>
      <c r="F30" s="6" t="s">
        <v>34</v>
      </c>
      <c r="G30" s="6" t="s">
        <v>34</v>
      </c>
      <c r="H30" s="6" t="s">
        <v>34</v>
      </c>
      <c r="I30" s="6" t="s">
        <v>33</v>
      </c>
      <c r="J30" s="6" t="s">
        <v>33</v>
      </c>
      <c r="K30" s="6" t="s">
        <v>33</v>
      </c>
      <c r="L30" s="6" t="s">
        <v>1</v>
      </c>
      <c r="M30" s="6" t="s">
        <v>1</v>
      </c>
      <c r="N30" s="6" t="s">
        <v>781</v>
      </c>
      <c r="AI30" s="125"/>
      <c r="AJ30" s="16"/>
      <c r="AM30" s="16"/>
      <c r="AN30" s="16"/>
      <c r="AO30" s="125"/>
      <c r="AP30" s="16"/>
      <c r="AQ30" s="125"/>
      <c r="AR30" s="164"/>
      <c r="AY30" s="142"/>
      <c r="AZ30" s="125"/>
      <c r="BA30" s="142"/>
      <c r="BB30" s="125"/>
      <c r="BC30" s="16"/>
      <c r="BD30" s="125"/>
      <c r="BE30" s="125"/>
      <c r="BF30" s="16"/>
      <c r="BG30" s="125"/>
      <c r="BQ30" s="125"/>
      <c r="BR30" s="16"/>
      <c r="BS30" s="123"/>
      <c r="BT30" s="19"/>
      <c r="BU30" s="139"/>
      <c r="BV30" s="139"/>
      <c r="BW30" s="123"/>
      <c r="BX30" s="123"/>
      <c r="BY30" s="123"/>
      <c r="BZ30" s="123"/>
      <c r="CA30" s="123"/>
      <c r="CB30" s="123"/>
      <c r="CC30" s="6"/>
      <c r="CD30" s="123"/>
      <c r="CE30" s="6"/>
      <c r="CF30" s="123"/>
      <c r="CG30" s="6"/>
      <c r="CH30" s="6"/>
      <c r="CI30" s="6"/>
      <c r="CJ30" s="6"/>
      <c r="CK30" s="123"/>
      <c r="CL30" s="6"/>
      <c r="CM30" s="6"/>
      <c r="CN30" s="6"/>
      <c r="CO30" s="138"/>
      <c r="CP30" s="138"/>
      <c r="CQ30" s="123"/>
      <c r="CR30" s="6"/>
      <c r="CS30" s="6"/>
      <c r="CT30" s="139"/>
      <c r="CU30" s="139"/>
      <c r="CV30" s="76"/>
      <c r="CW30" s="123"/>
      <c r="CX30" s="6"/>
      <c r="DA30" s="68" t="s">
        <v>952</v>
      </c>
      <c r="DB30" s="7" t="s">
        <v>959</v>
      </c>
      <c r="DC30" s="26">
        <v>3.8</v>
      </c>
      <c r="DD30" s="26">
        <v>4.5999999999999996</v>
      </c>
      <c r="DE30" s="7">
        <v>250</v>
      </c>
      <c r="DF30" s="7">
        <v>100</v>
      </c>
      <c r="DG30" s="7">
        <v>8</v>
      </c>
      <c r="DH30" s="7">
        <v>8</v>
      </c>
      <c r="DI30" s="125">
        <v>53.44</v>
      </c>
      <c r="DJ30" s="16">
        <v>927.56053333333318</v>
      </c>
      <c r="DK30" s="6">
        <v>4051.8005333333326</v>
      </c>
      <c r="DL30" s="6">
        <v>185.51210666666663</v>
      </c>
      <c r="DM30" s="16">
        <v>324.14404266666662</v>
      </c>
      <c r="DN30" s="16">
        <v>106.11199999999999</v>
      </c>
      <c r="DO30" s="125">
        <v>12.519372742975225</v>
      </c>
      <c r="DP30" s="16">
        <v>13392.857142857143</v>
      </c>
      <c r="DQ30" s="125">
        <v>26.785714285714285</v>
      </c>
      <c r="DR30" s="164" t="s">
        <v>950</v>
      </c>
      <c r="DS30" s="142">
        <v>-48.534093312026009</v>
      </c>
      <c r="DT30" s="142">
        <v>1.514</v>
      </c>
      <c r="DU30" s="142">
        <v>3.1E-2</v>
      </c>
      <c r="DV30" s="142">
        <v>0.11700000000000001</v>
      </c>
      <c r="DW30" s="142">
        <v>5.7549999999999999</v>
      </c>
      <c r="DX30" s="142">
        <v>0</v>
      </c>
      <c r="DY30" s="142">
        <v>1</v>
      </c>
      <c r="DZ30" s="125">
        <v>4.5999999999999996</v>
      </c>
      <c r="EA30" s="142">
        <v>2</v>
      </c>
      <c r="EB30" s="125">
        <v>9.1999999999999993</v>
      </c>
      <c r="EC30" s="16">
        <v>41.661788137553131</v>
      </c>
      <c r="ED30" s="125">
        <v>3.6393648566717673</v>
      </c>
      <c r="EE30" s="125">
        <v>6.9443744918336395E-2</v>
      </c>
      <c r="EF30" s="16">
        <v>87.074462822622692</v>
      </c>
      <c r="EG30" s="125">
        <v>3.4825927763179441</v>
      </c>
      <c r="EH30" s="123">
        <v>1.9549101990400823</v>
      </c>
      <c r="EI30" s="123">
        <v>1.4613864652029838</v>
      </c>
      <c r="EJ30" s="123">
        <v>1.4227609696883836</v>
      </c>
      <c r="EK30" s="123">
        <v>0.1014841489166653</v>
      </c>
      <c r="EL30" s="123">
        <v>0.56352031230926514</v>
      </c>
      <c r="EM30" s="123">
        <v>2.7813699304399786</v>
      </c>
      <c r="EN30" s="123">
        <v>0.24490194022655487</v>
      </c>
      <c r="EO30" s="123">
        <v>0.94625313935760735</v>
      </c>
      <c r="EP30" s="123">
        <v>0.95078388848383255</v>
      </c>
      <c r="EQ30" s="125">
        <v>4.0579053046269686E-2</v>
      </c>
      <c r="ER30" s="16">
        <v>105</v>
      </c>
      <c r="ES30" s="123">
        <v>1.4880952380952381</v>
      </c>
      <c r="ET30" s="19">
        <v>1</v>
      </c>
      <c r="EU30" s="139">
        <v>1.0553571428571429</v>
      </c>
      <c r="EV30" s="139">
        <v>1.2241666666666668</v>
      </c>
      <c r="EW30" s="123">
        <v>0</v>
      </c>
      <c r="EX30" s="123">
        <v>4.5087836718077423E-2</v>
      </c>
      <c r="EY30" s="123">
        <v>3.1310682319697701E-3</v>
      </c>
      <c r="EZ30" s="123">
        <v>8.814267185282347E-2</v>
      </c>
      <c r="FA30" s="123">
        <v>0</v>
      </c>
      <c r="FB30" s="123">
        <v>0.13636157680287067</v>
      </c>
      <c r="FC30" s="6" t="s">
        <v>977</v>
      </c>
      <c r="FD30" s="123">
        <v>0.18724102174268509</v>
      </c>
      <c r="FE30" s="6" t="s">
        <v>977</v>
      </c>
      <c r="FF30" s="123">
        <v>0.15574030653516835</v>
      </c>
      <c r="FG30" s="6" t="s">
        <v>977</v>
      </c>
      <c r="FH30" s="6">
        <v>1.6</v>
      </c>
      <c r="FI30" s="6">
        <v>1.5930339768972992</v>
      </c>
      <c r="FJ30" s="6">
        <v>0.96412099841457199</v>
      </c>
      <c r="FK30" s="123">
        <v>0.6052105682594161</v>
      </c>
      <c r="FL30" s="6" t="s">
        <v>977</v>
      </c>
      <c r="FM30" s="6">
        <v>1.6</v>
      </c>
      <c r="FN30" s="6">
        <v>2.4737776998351184</v>
      </c>
      <c r="FO30" s="138">
        <v>1.6606783957026807</v>
      </c>
      <c r="FP30" s="138">
        <v>0.34609471737958997</v>
      </c>
      <c r="FQ30" s="123">
        <v>0.20840562403604182</v>
      </c>
      <c r="FR30" s="6" t="s">
        <v>977</v>
      </c>
      <c r="FS30" s="6">
        <v>110.41292766437091</v>
      </c>
      <c r="FT30" s="139">
        <v>0.56352031230926514</v>
      </c>
      <c r="FU30" s="139">
        <v>0.5</v>
      </c>
      <c r="FV30" s="76">
        <v>150</v>
      </c>
      <c r="FW30" s="123">
        <v>0.73608618442913942</v>
      </c>
      <c r="FX30" s="6" t="s">
        <v>977</v>
      </c>
    </row>
    <row r="31" spans="2:180" ht="15" customHeight="1">
      <c r="B31" s="7">
        <v>408</v>
      </c>
      <c r="C31" s="253" t="s">
        <v>50</v>
      </c>
      <c r="D31" s="253"/>
      <c r="E31" s="26">
        <v>1</v>
      </c>
      <c r="F31" s="26">
        <v>-219</v>
      </c>
      <c r="G31" s="26">
        <v>5.7400017074193716E-4</v>
      </c>
      <c r="H31" s="26">
        <v>0</v>
      </c>
      <c r="I31" s="26">
        <v>11.25</v>
      </c>
      <c r="J31" s="26">
        <v>5</v>
      </c>
      <c r="K31" s="26">
        <v>1</v>
      </c>
      <c r="L31" s="19">
        <f>I31*1000/F31</f>
        <v>-51.369863013698627</v>
      </c>
      <c r="M31" s="19">
        <f>J31*1000/F31</f>
        <v>-22.831050228310502</v>
      </c>
      <c r="N31" s="79">
        <f>ABS(N86)</f>
        <v>8.3703857847324901E-3</v>
      </c>
      <c r="AI31" s="125"/>
      <c r="AJ31" s="16"/>
      <c r="AM31" s="16"/>
      <c r="AN31" s="16"/>
      <c r="AO31" s="125"/>
      <c r="AP31" s="16"/>
      <c r="AQ31" s="125"/>
      <c r="AR31" s="164"/>
      <c r="AY31" s="142"/>
      <c r="AZ31" s="125"/>
      <c r="BA31" s="142"/>
      <c r="BB31" s="125"/>
      <c r="BC31" s="16"/>
      <c r="BD31" s="125"/>
      <c r="BE31" s="125"/>
      <c r="BF31" s="16"/>
      <c r="BG31" s="125"/>
      <c r="BQ31" s="125"/>
      <c r="BR31" s="16"/>
      <c r="BS31" s="123"/>
      <c r="BT31" s="19"/>
      <c r="BU31" s="139"/>
      <c r="BV31" s="139"/>
      <c r="BW31" s="123"/>
      <c r="BX31" s="123"/>
      <c r="BY31" s="123"/>
      <c r="BZ31" s="123"/>
      <c r="CA31" s="123"/>
      <c r="CB31" s="123"/>
      <c r="CC31" s="6"/>
      <c r="CD31" s="123"/>
      <c r="CE31" s="6"/>
      <c r="CF31" s="123"/>
      <c r="CG31" s="6"/>
      <c r="CH31" s="6"/>
      <c r="CI31" s="6"/>
      <c r="CJ31" s="6"/>
      <c r="CK31" s="123"/>
      <c r="CL31" s="6"/>
      <c r="CM31" s="6"/>
      <c r="CN31" s="6"/>
      <c r="CO31" s="138"/>
      <c r="CP31" s="138"/>
      <c r="CQ31" s="123"/>
      <c r="CR31" s="6"/>
      <c r="CS31" s="6"/>
      <c r="CT31" s="139"/>
      <c r="CU31" s="139"/>
      <c r="CV31" s="76"/>
      <c r="CW31" s="123"/>
      <c r="CX31" s="6"/>
      <c r="DA31" s="68" t="s">
        <v>952</v>
      </c>
      <c r="DB31" s="7" t="s">
        <v>960</v>
      </c>
      <c r="DC31" s="26">
        <v>3.8</v>
      </c>
      <c r="DD31" s="26">
        <v>4.5999999999999996</v>
      </c>
      <c r="DE31" s="7">
        <v>250</v>
      </c>
      <c r="DF31" s="7">
        <v>100</v>
      </c>
      <c r="DG31" s="7">
        <v>8</v>
      </c>
      <c r="DH31" s="7">
        <v>8</v>
      </c>
      <c r="DI31" s="125">
        <v>53.44</v>
      </c>
      <c r="DJ31" s="16">
        <v>927.56053333333318</v>
      </c>
      <c r="DK31" s="6">
        <v>4051.8005333333326</v>
      </c>
      <c r="DL31" s="6">
        <v>185.51210666666663</v>
      </c>
      <c r="DM31" s="16">
        <v>324.14404266666662</v>
      </c>
      <c r="DN31" s="16">
        <v>106.11199999999999</v>
      </c>
      <c r="DO31" s="125">
        <v>12.519372742975225</v>
      </c>
      <c r="DP31" s="16">
        <v>13392.857142857143</v>
      </c>
      <c r="DQ31" s="125">
        <v>26.785714285714285</v>
      </c>
      <c r="DR31" s="164" t="s">
        <v>950</v>
      </c>
      <c r="DS31" s="142">
        <v>-45.405058441562204</v>
      </c>
      <c r="DT31" s="142">
        <v>0.746</v>
      </c>
      <c r="DU31" s="142">
        <v>2.8000000000000001E-2</v>
      </c>
      <c r="DV31" s="142">
        <v>0.108</v>
      </c>
      <c r="DW31" s="142">
        <v>2.8340000000000001</v>
      </c>
      <c r="DX31" s="142">
        <v>0</v>
      </c>
      <c r="DY31" s="142">
        <v>1</v>
      </c>
      <c r="DZ31" s="125">
        <v>4.5999999999999996</v>
      </c>
      <c r="EA31" s="142">
        <v>2</v>
      </c>
      <c r="EB31" s="125">
        <v>9.1999999999999993</v>
      </c>
      <c r="EC31" s="16">
        <v>41.661788137553131</v>
      </c>
      <c r="ED31" s="125">
        <v>3.6393648566717673</v>
      </c>
      <c r="EE31" s="125">
        <v>6.8519424822186453E-2</v>
      </c>
      <c r="EF31" s="16">
        <v>87.074462822622692</v>
      </c>
      <c r="EG31" s="125">
        <v>3.4825927763179441</v>
      </c>
      <c r="EH31" s="123">
        <v>1.0290204652080657</v>
      </c>
      <c r="EI31" s="123">
        <v>1.4614116184511137</v>
      </c>
      <c r="EJ31" s="123">
        <v>1.4508600050973788</v>
      </c>
      <c r="EK31" s="123">
        <v>0.10013508352473091</v>
      </c>
      <c r="EL31" s="123">
        <v>0.5640873908996582</v>
      </c>
      <c r="EM31" s="123">
        <v>1.4929646373970813</v>
      </c>
      <c r="EN31" s="123">
        <v>0.32710099220275879</v>
      </c>
      <c r="EO31" s="123">
        <v>0.94971824583537345</v>
      </c>
      <c r="EP31" s="123">
        <v>0.9539568936563545</v>
      </c>
      <c r="EQ31" s="125">
        <v>3.7962886485253158E-2</v>
      </c>
      <c r="ER31" s="16">
        <v>105</v>
      </c>
      <c r="ES31" s="123">
        <v>1.4880952380952381</v>
      </c>
      <c r="ET31" s="19">
        <v>1</v>
      </c>
      <c r="EU31" s="139">
        <v>1.0553571428571429</v>
      </c>
      <c r="EV31" s="139">
        <v>1.2241666666666668</v>
      </c>
      <c r="EW31" s="123">
        <v>0</v>
      </c>
      <c r="EX31" s="123">
        <v>4.2180984983614611E-2</v>
      </c>
      <c r="EY31" s="123">
        <v>2.8902168295105567E-3</v>
      </c>
      <c r="EZ31" s="123">
        <v>4.3405096790773541E-2</v>
      </c>
      <c r="FA31" s="123">
        <v>0</v>
      </c>
      <c r="FB31" s="123">
        <v>8.8476298603898718E-2</v>
      </c>
      <c r="FC31" s="6" t="s">
        <v>977</v>
      </c>
      <c r="FD31" s="123">
        <v>0.1318376189025762</v>
      </c>
      <c r="FE31" s="6" t="s">
        <v>977</v>
      </c>
      <c r="FF31" s="123">
        <v>0.11194558519927753</v>
      </c>
      <c r="FG31" s="6" t="s">
        <v>977</v>
      </c>
      <c r="FH31" s="6">
        <v>1.6</v>
      </c>
      <c r="FI31" s="6">
        <v>1.5931266970573603</v>
      </c>
      <c r="FJ31" s="6">
        <v>0.96412099841457199</v>
      </c>
      <c r="FK31" s="123">
        <v>0.60517534493357306</v>
      </c>
      <c r="FL31" s="6" t="s">
        <v>977</v>
      </c>
      <c r="FM31" s="6">
        <v>1.6</v>
      </c>
      <c r="FN31" s="6">
        <v>2.4737776998351184</v>
      </c>
      <c r="FO31" s="138">
        <v>1.6598707454151556</v>
      </c>
      <c r="FP31" s="138">
        <v>0.34609471737958997</v>
      </c>
      <c r="FQ31" s="123">
        <v>0.20850702883677072</v>
      </c>
      <c r="FR31" s="6" t="s">
        <v>977</v>
      </c>
      <c r="FS31" s="6">
        <v>110.41292766437091</v>
      </c>
      <c r="FT31" s="139">
        <v>0.5640873908996582</v>
      </c>
      <c r="FU31" s="139">
        <v>0.5</v>
      </c>
      <c r="FV31" s="76">
        <v>150</v>
      </c>
      <c r="FW31" s="123">
        <v>0.73608618442913942</v>
      </c>
      <c r="FX31" s="6" t="s">
        <v>977</v>
      </c>
    </row>
    <row r="32" spans="2:180">
      <c r="B32" s="12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11"/>
      <c r="AI32" s="125"/>
      <c r="AJ32" s="16"/>
      <c r="AM32" s="16"/>
      <c r="AN32" s="16"/>
      <c r="AO32" s="125"/>
      <c r="AP32" s="16"/>
      <c r="AQ32" s="125"/>
      <c r="AR32" s="164"/>
      <c r="AY32" s="142"/>
      <c r="AZ32" s="125"/>
      <c r="BA32" s="142"/>
      <c r="BB32" s="125"/>
      <c r="BC32" s="16"/>
      <c r="BD32" s="125"/>
      <c r="BE32" s="125"/>
      <c r="BF32" s="16"/>
      <c r="BG32" s="125"/>
      <c r="BQ32" s="125"/>
      <c r="BR32" s="16"/>
      <c r="BS32" s="123"/>
      <c r="BT32" s="19"/>
      <c r="BU32" s="139"/>
      <c r="BV32" s="139"/>
      <c r="BW32" s="123"/>
      <c r="BX32" s="123"/>
      <c r="BY32" s="123"/>
      <c r="BZ32" s="123"/>
      <c r="CA32" s="123"/>
      <c r="CB32" s="123"/>
      <c r="CC32" s="6"/>
      <c r="CD32" s="123"/>
      <c r="CE32" s="6"/>
      <c r="CF32" s="123"/>
      <c r="CG32" s="6"/>
      <c r="CH32" s="6"/>
      <c r="CI32" s="6"/>
      <c r="CJ32" s="6"/>
      <c r="CK32" s="123"/>
      <c r="CL32" s="6"/>
      <c r="CM32" s="6"/>
      <c r="CN32" s="6"/>
      <c r="CO32" s="138"/>
      <c r="CP32" s="138"/>
      <c r="CQ32" s="123"/>
      <c r="CR32" s="6"/>
      <c r="CS32" s="6"/>
      <c r="CT32" s="139"/>
      <c r="CU32" s="139"/>
      <c r="CV32" s="76"/>
      <c r="CW32" s="123"/>
      <c r="CX32" s="6"/>
      <c r="DA32" s="68" t="s">
        <v>952</v>
      </c>
      <c r="DB32" s="7" t="s">
        <v>961</v>
      </c>
      <c r="DC32" s="26">
        <v>3.8</v>
      </c>
      <c r="DD32" s="26">
        <v>4.5999999999999996</v>
      </c>
      <c r="DE32" s="7">
        <v>250</v>
      </c>
      <c r="DF32" s="7">
        <v>100</v>
      </c>
      <c r="DG32" s="7">
        <v>8</v>
      </c>
      <c r="DH32" s="7">
        <v>8</v>
      </c>
      <c r="DI32" s="125">
        <v>53.44</v>
      </c>
      <c r="DJ32" s="16">
        <v>927.56053333333318</v>
      </c>
      <c r="DK32" s="6">
        <v>4051.8005333333326</v>
      </c>
      <c r="DL32" s="6">
        <v>185.51210666666663</v>
      </c>
      <c r="DM32" s="16">
        <v>324.14404266666662</v>
      </c>
      <c r="DN32" s="16">
        <v>106.11199999999999</v>
      </c>
      <c r="DO32" s="125">
        <v>12.519372742975225</v>
      </c>
      <c r="DP32" s="16">
        <v>13392.857142857143</v>
      </c>
      <c r="DQ32" s="125">
        <v>26.785714285714285</v>
      </c>
      <c r="DR32" s="164" t="s">
        <v>950</v>
      </c>
      <c r="DS32" s="142">
        <v>-21.640808569083045</v>
      </c>
      <c r="DT32" s="142">
        <v>3.2069999999999999</v>
      </c>
      <c r="DU32" s="142">
        <v>0</v>
      </c>
      <c r="DV32" s="142">
        <v>0</v>
      </c>
      <c r="DW32" s="142">
        <v>12.188000000000001</v>
      </c>
      <c r="DX32" s="142">
        <v>0</v>
      </c>
      <c r="DY32" s="142">
        <v>1</v>
      </c>
      <c r="DZ32" s="125">
        <v>4.5999999999999996</v>
      </c>
      <c r="EA32" s="142">
        <v>2</v>
      </c>
      <c r="EB32" s="125">
        <v>9.1999999999999993</v>
      </c>
      <c r="EC32" s="16">
        <v>41.661788137553131</v>
      </c>
      <c r="ED32" s="125">
        <v>3.6393648566717673</v>
      </c>
      <c r="EE32" s="125">
        <v>0</v>
      </c>
      <c r="EF32" s="16">
        <v>87.074462822622692</v>
      </c>
      <c r="EG32" s="125">
        <v>3.4825927763179441</v>
      </c>
      <c r="EH32" s="123">
        <v>9.2851167184341765</v>
      </c>
      <c r="EI32" s="123">
        <v>1.4632762171993878</v>
      </c>
      <c r="EJ32" s="123">
        <v>0.70348144473641105</v>
      </c>
      <c r="EK32" s="123">
        <v>0</v>
      </c>
      <c r="EL32" s="123">
        <v>0.56377850411735253</v>
      </c>
      <c r="EM32" s="123">
        <v>6.5319073236302785</v>
      </c>
      <c r="EN32" s="123">
        <v>0.14487022161483765</v>
      </c>
      <c r="EO32" s="123">
        <v>0.9760348768674123</v>
      </c>
      <c r="EP32" s="123">
        <v>0.97805508715309386</v>
      </c>
      <c r="EQ32" s="125">
        <v>1.8093745220360238E-2</v>
      </c>
      <c r="ER32" s="16">
        <v>105</v>
      </c>
      <c r="ES32" s="123">
        <v>1.4880952380952381</v>
      </c>
      <c r="ET32" s="19">
        <v>1</v>
      </c>
      <c r="EU32" s="139">
        <v>1.0553571428571429</v>
      </c>
      <c r="EV32" s="139">
        <v>1.2241666666666668</v>
      </c>
      <c r="EW32" s="123">
        <v>0</v>
      </c>
      <c r="EX32" s="123">
        <v>2.0104161355955816E-2</v>
      </c>
      <c r="EY32" s="123">
        <v>0</v>
      </c>
      <c r="EZ32" s="123">
        <v>0.18666948471628364</v>
      </c>
      <c r="FA32" s="123">
        <v>0</v>
      </c>
      <c r="FB32" s="123">
        <v>0.20677364607223947</v>
      </c>
      <c r="FC32" s="6" t="s">
        <v>977</v>
      </c>
      <c r="FD32" s="123">
        <v>0.13877359426843552</v>
      </c>
      <c r="FE32" s="6" t="s">
        <v>977</v>
      </c>
      <c r="FF32" s="123">
        <v>0.19156806185957134</v>
      </c>
      <c r="FG32" s="6" t="s">
        <v>977</v>
      </c>
      <c r="FH32" s="6">
        <v>1.6</v>
      </c>
      <c r="FI32" s="6">
        <v>1.6</v>
      </c>
      <c r="FJ32" s="6">
        <v>0.96412099841457199</v>
      </c>
      <c r="FK32" s="123">
        <v>0.60257562400910747</v>
      </c>
      <c r="FL32" s="6" t="s">
        <v>977</v>
      </c>
      <c r="FM32" s="6">
        <v>1.6</v>
      </c>
      <c r="FN32" s="6">
        <v>2.4737776998351184</v>
      </c>
      <c r="FO32" s="138">
        <v>1.6</v>
      </c>
      <c r="FP32" s="138">
        <v>0.34609471737958997</v>
      </c>
      <c r="FQ32" s="123">
        <v>0.21630919836224372</v>
      </c>
      <c r="FR32" s="6" t="s">
        <v>977</v>
      </c>
      <c r="FS32" s="6">
        <v>110.41292766437091</v>
      </c>
      <c r="FT32" s="139">
        <v>0.56377850411735253</v>
      </c>
      <c r="FU32" s="139">
        <v>0.5</v>
      </c>
      <c r="FV32" s="76">
        <v>150</v>
      </c>
      <c r="FW32" s="123">
        <v>0.73608618442913942</v>
      </c>
      <c r="FX32" s="6" t="s">
        <v>977</v>
      </c>
    </row>
    <row r="33" spans="1:208">
      <c r="B33" s="244" t="s">
        <v>28</v>
      </c>
      <c r="C33" s="245"/>
      <c r="D33" s="245"/>
      <c r="E33" s="4"/>
      <c r="F33" s="4"/>
      <c r="G33" s="4"/>
      <c r="H33" s="4"/>
      <c r="I33" s="4"/>
      <c r="J33" s="4"/>
      <c r="K33" s="4"/>
      <c r="L33" s="4"/>
      <c r="M33" s="93"/>
      <c r="N33" s="8"/>
      <c r="AI33" s="125"/>
      <c r="AJ33" s="16"/>
      <c r="AM33" s="16"/>
      <c r="AN33" s="16"/>
      <c r="AO33" s="125"/>
      <c r="AP33" s="16"/>
      <c r="AQ33" s="125"/>
      <c r="AR33" s="164"/>
      <c r="AY33" s="142"/>
      <c r="AZ33" s="125"/>
      <c r="BA33" s="142"/>
      <c r="BB33" s="125"/>
      <c r="BC33" s="16"/>
      <c r="BD33" s="125"/>
      <c r="BE33" s="125"/>
      <c r="BF33" s="16"/>
      <c r="BG33" s="125"/>
      <c r="BQ33" s="125"/>
      <c r="BR33" s="16"/>
      <c r="BS33" s="123"/>
      <c r="BT33" s="19"/>
      <c r="BU33" s="139"/>
      <c r="BV33" s="139"/>
      <c r="BW33" s="123"/>
      <c r="BX33" s="123"/>
      <c r="BY33" s="123"/>
      <c r="BZ33" s="123"/>
      <c r="CA33" s="123"/>
      <c r="CB33" s="123"/>
      <c r="CC33" s="6"/>
      <c r="CD33" s="123"/>
      <c r="CE33" s="6"/>
      <c r="CF33" s="123"/>
      <c r="CG33" s="6"/>
      <c r="CH33" s="6"/>
      <c r="CI33" s="6"/>
      <c r="CJ33" s="6"/>
      <c r="CK33" s="123"/>
      <c r="CL33" s="6"/>
      <c r="CM33" s="6"/>
      <c r="CN33" s="6"/>
      <c r="CO33" s="138"/>
      <c r="CP33" s="138"/>
      <c r="CQ33" s="123"/>
      <c r="CR33" s="6"/>
      <c r="CS33" s="6"/>
      <c r="CT33" s="139"/>
      <c r="CU33" s="139"/>
      <c r="CV33" s="76"/>
      <c r="CW33" s="123"/>
      <c r="CX33" s="6"/>
      <c r="DA33" s="68" t="s">
        <v>952</v>
      </c>
      <c r="DB33" s="7" t="s">
        <v>962</v>
      </c>
      <c r="DC33" s="26">
        <v>3.8</v>
      </c>
      <c r="DD33" s="26">
        <v>4.5999999999999996</v>
      </c>
      <c r="DE33" s="7">
        <v>250</v>
      </c>
      <c r="DF33" s="7">
        <v>100</v>
      </c>
      <c r="DG33" s="7">
        <v>8</v>
      </c>
      <c r="DH33" s="7">
        <v>8</v>
      </c>
      <c r="DI33" s="125">
        <v>53.44</v>
      </c>
      <c r="DJ33" s="16">
        <v>927.56053333333318</v>
      </c>
      <c r="DK33" s="6">
        <v>4051.8005333333326</v>
      </c>
      <c r="DL33" s="6">
        <v>185.51210666666663</v>
      </c>
      <c r="DM33" s="16">
        <v>324.14404266666662</v>
      </c>
      <c r="DN33" s="16">
        <v>106.11199999999999</v>
      </c>
      <c r="DO33" s="125">
        <v>12.519372742975225</v>
      </c>
      <c r="DP33" s="16">
        <v>13392.857142857143</v>
      </c>
      <c r="DQ33" s="125">
        <v>26.785714285714285</v>
      </c>
      <c r="DR33" s="164" t="s">
        <v>950</v>
      </c>
      <c r="DS33" s="142">
        <v>-13.933094580682209</v>
      </c>
      <c r="DT33" s="142">
        <v>0.93</v>
      </c>
      <c r="DU33" s="142">
        <v>9.5000000000000001E-2</v>
      </c>
      <c r="DV33" s="142">
        <v>0.35899999999999999</v>
      </c>
      <c r="DW33" s="142">
        <v>3.5350000000000001</v>
      </c>
      <c r="DX33" s="142">
        <v>0</v>
      </c>
      <c r="DY33" s="142">
        <v>1</v>
      </c>
      <c r="DZ33" s="125">
        <v>4.5999999999999996</v>
      </c>
      <c r="EA33" s="142">
        <v>2</v>
      </c>
      <c r="EB33" s="125">
        <v>9.1999999999999993</v>
      </c>
      <c r="EC33" s="16">
        <v>41.661788137553131</v>
      </c>
      <c r="ED33" s="125">
        <v>3.6393648566717673</v>
      </c>
      <c r="EE33" s="125">
        <v>0.74223436076101368</v>
      </c>
      <c r="EF33" s="16">
        <v>87.074462822622692</v>
      </c>
      <c r="EG33" s="125">
        <v>3.4825927763179441</v>
      </c>
      <c r="EH33" s="123">
        <v>4.1828302306075047</v>
      </c>
      <c r="EI33" s="123">
        <v>1.4430780140826438</v>
      </c>
      <c r="EJ33" s="123">
        <v>1.3551477306946567</v>
      </c>
      <c r="EK33" s="123">
        <v>1.0711020873109043</v>
      </c>
      <c r="EL33" s="123">
        <v>0.35566404461860657</v>
      </c>
      <c r="EM33" s="123">
        <v>5.6683528948887671</v>
      </c>
      <c r="EN33" s="123">
        <v>0.15942223370075226</v>
      </c>
      <c r="EO33" s="123">
        <v>0.98457043200682093</v>
      </c>
      <c r="EP33" s="123">
        <v>0.98587111265807348</v>
      </c>
      <c r="EQ33" s="125">
        <v>1.1649373574433304E-2</v>
      </c>
      <c r="ER33" s="16">
        <v>105</v>
      </c>
      <c r="ES33" s="123">
        <v>1.4880952380952381</v>
      </c>
      <c r="ET33" s="19">
        <v>1</v>
      </c>
      <c r="EU33" s="139">
        <v>1.0553571428571429</v>
      </c>
      <c r="EV33" s="139">
        <v>1.2241666666666668</v>
      </c>
      <c r="EW33" s="123">
        <v>0</v>
      </c>
      <c r="EX33" s="123">
        <v>1.2943748416037005E-2</v>
      </c>
      <c r="EY33" s="123">
        <v>9.6072948314286106E-3</v>
      </c>
      <c r="EZ33" s="123">
        <v>5.4141502171977572E-2</v>
      </c>
      <c r="FA33" s="123">
        <v>0</v>
      </c>
      <c r="FB33" s="123">
        <v>7.6692545419443189E-2</v>
      </c>
      <c r="FC33" s="6" t="s">
        <v>977</v>
      </c>
      <c r="FD33" s="123">
        <v>9.0437634716338075E-2</v>
      </c>
      <c r="FE33" s="6" t="s">
        <v>977</v>
      </c>
      <c r="FF33" s="123">
        <v>8.1254256090892735E-2</v>
      </c>
      <c r="FG33" s="6" t="s">
        <v>977</v>
      </c>
      <c r="FH33" s="6">
        <v>1.6</v>
      </c>
      <c r="FI33" s="6">
        <v>1.5255451774560842</v>
      </c>
      <c r="FJ33" s="6">
        <v>0.96412099841457199</v>
      </c>
      <c r="FK33" s="123">
        <v>0.63198456044565487</v>
      </c>
      <c r="FL33" s="6" t="s">
        <v>977</v>
      </c>
      <c r="FM33" s="6">
        <v>1.6</v>
      </c>
      <c r="FN33" s="6">
        <v>2.4737776998351184</v>
      </c>
      <c r="FO33" s="138">
        <v>2.248547832484348</v>
      </c>
      <c r="FP33" s="138">
        <v>0.34609471737958997</v>
      </c>
      <c r="FQ33" s="123">
        <v>0.15391921505054268</v>
      </c>
      <c r="FR33" s="6" t="s">
        <v>977</v>
      </c>
      <c r="FS33" s="6">
        <v>110.41292766437091</v>
      </c>
      <c r="FT33" s="139">
        <v>0.35566404461860657</v>
      </c>
      <c r="FU33" s="139">
        <v>0.5</v>
      </c>
      <c r="FV33" s="76">
        <v>150</v>
      </c>
      <c r="FW33" s="123">
        <v>0.73608618442913942</v>
      </c>
      <c r="FX33" s="6" t="s">
        <v>977</v>
      </c>
    </row>
    <row r="34" spans="1:208" s="4" customFormat="1" ht="15">
      <c r="A34" s="1"/>
      <c r="B34" s="100" t="s">
        <v>782</v>
      </c>
      <c r="F34" s="101" t="s">
        <v>797</v>
      </c>
      <c r="G34" s="102">
        <f>SQRT(H27/G27)*10</f>
        <v>77.470329113087672</v>
      </c>
      <c r="H34" s="4" t="s">
        <v>1</v>
      </c>
      <c r="K34" s="101" t="s">
        <v>800</v>
      </c>
      <c r="L34" s="102">
        <f>SQRT(I27/G27)*10</f>
        <v>79.793732238343566</v>
      </c>
      <c r="M34" s="4" t="s">
        <v>1</v>
      </c>
      <c r="N34" s="1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5"/>
      <c r="AA34" s="68"/>
      <c r="AB34" s="7"/>
      <c r="AC34" s="26"/>
      <c r="AD34" s="26"/>
      <c r="AE34" s="7"/>
      <c r="AF34" s="7"/>
      <c r="AG34" s="7"/>
      <c r="AH34" s="7"/>
      <c r="AI34" s="125"/>
      <c r="AJ34" s="16"/>
      <c r="AK34" s="6"/>
      <c r="AL34" s="6"/>
      <c r="AM34" s="16"/>
      <c r="AN34" s="16"/>
      <c r="AO34" s="125"/>
      <c r="AP34" s="16"/>
      <c r="AQ34" s="125"/>
      <c r="AR34" s="164"/>
      <c r="AS34" s="142"/>
      <c r="AT34" s="142"/>
      <c r="AU34" s="142"/>
      <c r="AV34" s="142"/>
      <c r="AW34" s="142"/>
      <c r="AX34" s="142"/>
      <c r="AY34" s="142"/>
      <c r="AZ34" s="125"/>
      <c r="BA34" s="142"/>
      <c r="BB34" s="125"/>
      <c r="BC34" s="16"/>
      <c r="BD34" s="125"/>
      <c r="BE34" s="125"/>
      <c r="BF34" s="16"/>
      <c r="BG34" s="125"/>
      <c r="BH34" s="123"/>
      <c r="BI34" s="123"/>
      <c r="BJ34" s="123"/>
      <c r="BK34" s="123"/>
      <c r="BL34" s="123"/>
      <c r="BM34" s="123"/>
      <c r="BN34" s="123"/>
      <c r="BO34" s="123"/>
      <c r="BP34" s="123"/>
      <c r="BQ34" s="125"/>
      <c r="BR34" s="16"/>
      <c r="BS34" s="123"/>
      <c r="BT34" s="19"/>
      <c r="BU34" s="139"/>
      <c r="BV34" s="139"/>
      <c r="BW34" s="123"/>
      <c r="BX34" s="123"/>
      <c r="BY34" s="123"/>
      <c r="BZ34" s="123"/>
      <c r="CA34" s="123"/>
      <c r="CB34" s="123"/>
      <c r="CC34" s="6"/>
      <c r="CD34" s="123"/>
      <c r="CE34" s="6"/>
      <c r="CF34" s="123"/>
      <c r="CG34" s="6"/>
      <c r="CH34" s="6"/>
      <c r="CI34" s="6"/>
      <c r="CJ34" s="6"/>
      <c r="CK34" s="123"/>
      <c r="CL34" s="6"/>
      <c r="CM34" s="6"/>
      <c r="CN34" s="6"/>
      <c r="CO34" s="138"/>
      <c r="CP34" s="138"/>
      <c r="CQ34" s="123"/>
      <c r="CR34" s="6"/>
      <c r="CS34" s="6"/>
      <c r="CT34" s="139"/>
      <c r="CU34" s="139"/>
      <c r="CV34" s="76"/>
      <c r="CW34" s="123"/>
      <c r="CX34" s="6"/>
      <c r="CY34" s="1"/>
      <c r="CZ34" s="25"/>
      <c r="DA34" s="68" t="s">
        <v>952</v>
      </c>
      <c r="DB34" s="7" t="s">
        <v>963</v>
      </c>
      <c r="DC34" s="26">
        <v>3.8</v>
      </c>
      <c r="DD34" s="26">
        <v>4.5999999999999996</v>
      </c>
      <c r="DE34" s="7">
        <v>250</v>
      </c>
      <c r="DF34" s="7">
        <v>100</v>
      </c>
      <c r="DG34" s="7">
        <v>8</v>
      </c>
      <c r="DH34" s="7">
        <v>8</v>
      </c>
      <c r="DI34" s="125">
        <v>53.44</v>
      </c>
      <c r="DJ34" s="16">
        <v>927.56053333333318</v>
      </c>
      <c r="DK34" s="6">
        <v>4051.8005333333326</v>
      </c>
      <c r="DL34" s="6">
        <v>185.51210666666663</v>
      </c>
      <c r="DM34" s="16">
        <v>324.14404266666662</v>
      </c>
      <c r="DN34" s="16">
        <v>106.11199999999999</v>
      </c>
      <c r="DO34" s="125">
        <v>12.519372742975225</v>
      </c>
      <c r="DP34" s="16">
        <v>13392.857142857143</v>
      </c>
      <c r="DQ34" s="125">
        <v>26.785714285714285</v>
      </c>
      <c r="DR34" s="164" t="s">
        <v>950</v>
      </c>
      <c r="DS34" s="142">
        <v>-48.534093312026009</v>
      </c>
      <c r="DT34" s="142">
        <v>1.514</v>
      </c>
      <c r="DU34" s="142">
        <v>3.1E-2</v>
      </c>
      <c r="DV34" s="142">
        <v>0.11700000000000001</v>
      </c>
      <c r="DW34" s="142">
        <v>5.7549999999999999</v>
      </c>
      <c r="DX34" s="142">
        <v>0</v>
      </c>
      <c r="DY34" s="142">
        <v>1</v>
      </c>
      <c r="DZ34" s="125">
        <v>4.5999999999999996</v>
      </c>
      <c r="EA34" s="142">
        <v>2</v>
      </c>
      <c r="EB34" s="125">
        <v>9.1999999999999993</v>
      </c>
      <c r="EC34" s="16">
        <v>41.661788137553131</v>
      </c>
      <c r="ED34" s="125">
        <v>3.6393648566717673</v>
      </c>
      <c r="EE34" s="125">
        <v>6.9443744918336395E-2</v>
      </c>
      <c r="EF34" s="16">
        <v>87.074462822622692</v>
      </c>
      <c r="EG34" s="125">
        <v>3.4825927763179441</v>
      </c>
      <c r="EH34" s="123">
        <v>1.9549101990400823</v>
      </c>
      <c r="EI34" s="123">
        <v>1.4613864652029838</v>
      </c>
      <c r="EJ34" s="123">
        <v>1.4227609696883836</v>
      </c>
      <c r="EK34" s="123">
        <v>0.1014841489166653</v>
      </c>
      <c r="EL34" s="123">
        <v>0.56352031230926514</v>
      </c>
      <c r="EM34" s="123">
        <v>2.7813699304399786</v>
      </c>
      <c r="EN34" s="123">
        <v>0.24490194022655487</v>
      </c>
      <c r="EO34" s="123">
        <v>0.94625313935760735</v>
      </c>
      <c r="EP34" s="123">
        <v>0.95078388848383255</v>
      </c>
      <c r="EQ34" s="125">
        <v>4.0579053046269686E-2</v>
      </c>
      <c r="ER34" s="16">
        <v>105</v>
      </c>
      <c r="ES34" s="123">
        <v>1.4880952380952381</v>
      </c>
      <c r="ET34" s="19">
        <v>1</v>
      </c>
      <c r="EU34" s="139">
        <v>1.0553571428571429</v>
      </c>
      <c r="EV34" s="139">
        <v>1.2241666666666668</v>
      </c>
      <c r="EW34" s="123">
        <v>0</v>
      </c>
      <c r="EX34" s="123">
        <v>4.5087836718077423E-2</v>
      </c>
      <c r="EY34" s="123">
        <v>3.1310682319697701E-3</v>
      </c>
      <c r="EZ34" s="123">
        <v>8.814267185282347E-2</v>
      </c>
      <c r="FA34" s="123">
        <v>0</v>
      </c>
      <c r="FB34" s="123">
        <v>0.13636157680287067</v>
      </c>
      <c r="FC34" s="6" t="s">
        <v>977</v>
      </c>
      <c r="FD34" s="123">
        <v>0.18724102174268509</v>
      </c>
      <c r="FE34" s="6" t="s">
        <v>977</v>
      </c>
      <c r="FF34" s="123">
        <v>0.15574030653516835</v>
      </c>
      <c r="FG34" s="6" t="s">
        <v>977</v>
      </c>
      <c r="FH34" s="6">
        <v>1.6</v>
      </c>
      <c r="FI34" s="6">
        <v>1.5930339768972992</v>
      </c>
      <c r="FJ34" s="6">
        <v>0.96412099841457199</v>
      </c>
      <c r="FK34" s="123">
        <v>0.6052105682594161</v>
      </c>
      <c r="FL34" s="6" t="s">
        <v>977</v>
      </c>
      <c r="FM34" s="6">
        <v>1.6</v>
      </c>
      <c r="FN34" s="6">
        <v>2.4737776998351184</v>
      </c>
      <c r="FO34" s="138">
        <v>1.6606783957026807</v>
      </c>
      <c r="FP34" s="138">
        <v>0.34609471737958997</v>
      </c>
      <c r="FQ34" s="123">
        <v>0.20840562403604182</v>
      </c>
      <c r="FR34" s="6" t="s">
        <v>977</v>
      </c>
      <c r="FS34" s="6">
        <v>110.41292766437091</v>
      </c>
      <c r="FT34" s="139">
        <v>0.56352031230926514</v>
      </c>
      <c r="FU34" s="139">
        <v>0.5</v>
      </c>
      <c r="FV34" s="76">
        <v>150</v>
      </c>
      <c r="FW34" s="123">
        <v>0.73608618442913942</v>
      </c>
      <c r="FX34" s="6" t="s">
        <v>977</v>
      </c>
      <c r="FY34" s="1"/>
      <c r="FZ34" s="25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25"/>
    </row>
    <row r="35" spans="1:208" s="4" customFormat="1" ht="15.75">
      <c r="A35" s="1"/>
      <c r="B35" s="100" t="s">
        <v>848</v>
      </c>
      <c r="F35" s="103" t="s">
        <v>798</v>
      </c>
      <c r="G35" s="104">
        <f>(F21*1000/G34)*SQRT(D27/B27)</f>
        <v>1.289921302180367</v>
      </c>
      <c r="K35" s="103" t="s">
        <v>801</v>
      </c>
      <c r="L35" s="104">
        <f>(F22*1000/L34)*SQRT(D27/B27)</f>
        <v>2.504723742245901</v>
      </c>
      <c r="N35" s="1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25"/>
      <c r="AA35" s="68"/>
      <c r="AB35" s="7"/>
      <c r="AC35" s="26"/>
      <c r="AD35" s="26"/>
      <c r="AE35" s="7"/>
      <c r="AF35" s="7"/>
      <c r="AG35" s="7"/>
      <c r="AH35" s="7"/>
      <c r="AI35" s="125"/>
      <c r="AJ35" s="16"/>
      <c r="AK35" s="6"/>
      <c r="AL35" s="6"/>
      <c r="AM35" s="16"/>
      <c r="AN35" s="16"/>
      <c r="AO35" s="125"/>
      <c r="AP35" s="16"/>
      <c r="AQ35" s="125"/>
      <c r="AR35" s="164"/>
      <c r="AS35" s="142"/>
      <c r="AT35" s="142"/>
      <c r="AU35" s="142"/>
      <c r="AV35" s="142"/>
      <c r="AW35" s="142"/>
      <c r="AX35" s="142"/>
      <c r="AY35" s="142"/>
      <c r="AZ35" s="125"/>
      <c r="BA35" s="142"/>
      <c r="BB35" s="125"/>
      <c r="BC35" s="16"/>
      <c r="BD35" s="125"/>
      <c r="BE35" s="125"/>
      <c r="BF35" s="16"/>
      <c r="BG35" s="125"/>
      <c r="BH35" s="123"/>
      <c r="BI35" s="123"/>
      <c r="BJ35" s="123"/>
      <c r="BK35" s="123"/>
      <c r="BL35" s="123"/>
      <c r="BM35" s="123"/>
      <c r="BN35" s="123"/>
      <c r="BO35" s="123"/>
      <c r="BP35" s="123"/>
      <c r="BQ35" s="125"/>
      <c r="BR35" s="16"/>
      <c r="BS35" s="123"/>
      <c r="BT35" s="19"/>
      <c r="BU35" s="139"/>
      <c r="BV35" s="139"/>
      <c r="BW35" s="123"/>
      <c r="BX35" s="123"/>
      <c r="BY35" s="123"/>
      <c r="BZ35" s="123"/>
      <c r="CA35" s="123"/>
      <c r="CB35" s="123"/>
      <c r="CC35" s="6"/>
      <c r="CD35" s="123"/>
      <c r="CE35" s="6"/>
      <c r="CF35" s="123"/>
      <c r="CG35" s="6"/>
      <c r="CH35" s="6"/>
      <c r="CI35" s="6"/>
      <c r="CJ35" s="6"/>
      <c r="CK35" s="123"/>
      <c r="CL35" s="6"/>
      <c r="CM35" s="6"/>
      <c r="CN35" s="6"/>
      <c r="CO35" s="138"/>
      <c r="CP35" s="138"/>
      <c r="CQ35" s="123"/>
      <c r="CR35" s="6"/>
      <c r="CS35" s="6"/>
      <c r="CT35" s="139"/>
      <c r="CU35" s="139"/>
      <c r="CV35" s="76"/>
      <c r="CW35" s="123"/>
      <c r="CX35" s="6"/>
      <c r="CY35" s="1"/>
      <c r="CZ35" s="25"/>
      <c r="DA35" s="68" t="s">
        <v>952</v>
      </c>
      <c r="DB35" s="7" t="s">
        <v>964</v>
      </c>
      <c r="DC35" s="26">
        <v>3.8</v>
      </c>
      <c r="DD35" s="26">
        <v>4.5999999999999996</v>
      </c>
      <c r="DE35" s="7">
        <v>250</v>
      </c>
      <c r="DF35" s="7">
        <v>100</v>
      </c>
      <c r="DG35" s="7">
        <v>8</v>
      </c>
      <c r="DH35" s="7">
        <v>8</v>
      </c>
      <c r="DI35" s="125">
        <v>53.44</v>
      </c>
      <c r="DJ35" s="16">
        <v>927.56053333333318</v>
      </c>
      <c r="DK35" s="6">
        <v>4051.8005333333326</v>
      </c>
      <c r="DL35" s="6">
        <v>185.51210666666663</v>
      </c>
      <c r="DM35" s="16">
        <v>324.14404266666662</v>
      </c>
      <c r="DN35" s="16">
        <v>106.11199999999999</v>
      </c>
      <c r="DO35" s="125">
        <v>12.519372742975225</v>
      </c>
      <c r="DP35" s="16">
        <v>13392.857142857143</v>
      </c>
      <c r="DQ35" s="125">
        <v>26.785714285714285</v>
      </c>
      <c r="DR35" s="164" t="s">
        <v>950</v>
      </c>
      <c r="DS35" s="142">
        <v>-45.405058441562204</v>
      </c>
      <c r="DT35" s="142">
        <v>0.746</v>
      </c>
      <c r="DU35" s="142">
        <v>2.8000000000000001E-2</v>
      </c>
      <c r="DV35" s="142">
        <v>0.108</v>
      </c>
      <c r="DW35" s="142">
        <v>2.8340000000000001</v>
      </c>
      <c r="DX35" s="142">
        <v>0</v>
      </c>
      <c r="DY35" s="142">
        <v>1</v>
      </c>
      <c r="DZ35" s="125">
        <v>4.5999999999999996</v>
      </c>
      <c r="EA35" s="142">
        <v>2</v>
      </c>
      <c r="EB35" s="125">
        <v>9.1999999999999993</v>
      </c>
      <c r="EC35" s="16">
        <v>41.661788137553131</v>
      </c>
      <c r="ED35" s="125">
        <v>3.6393648566717673</v>
      </c>
      <c r="EE35" s="125">
        <v>6.8519424822186453E-2</v>
      </c>
      <c r="EF35" s="16">
        <v>87.074462822622692</v>
      </c>
      <c r="EG35" s="125">
        <v>3.4825927763179441</v>
      </c>
      <c r="EH35" s="123">
        <v>1.0290204652080657</v>
      </c>
      <c r="EI35" s="123">
        <v>1.4614116184511137</v>
      </c>
      <c r="EJ35" s="123">
        <v>1.4508600050973788</v>
      </c>
      <c r="EK35" s="123">
        <v>0.10013508352473091</v>
      </c>
      <c r="EL35" s="123">
        <v>0.5640873908996582</v>
      </c>
      <c r="EM35" s="123">
        <v>1.4929646373970813</v>
      </c>
      <c r="EN35" s="123">
        <v>0.32710099220275879</v>
      </c>
      <c r="EO35" s="123">
        <v>0.94971824583537345</v>
      </c>
      <c r="EP35" s="123">
        <v>0.9539568936563545</v>
      </c>
      <c r="EQ35" s="125">
        <v>3.7962886485253158E-2</v>
      </c>
      <c r="ER35" s="16">
        <v>105</v>
      </c>
      <c r="ES35" s="123">
        <v>1.4880952380952381</v>
      </c>
      <c r="ET35" s="19">
        <v>1</v>
      </c>
      <c r="EU35" s="139">
        <v>1.0553571428571429</v>
      </c>
      <c r="EV35" s="139">
        <v>1.2241666666666668</v>
      </c>
      <c r="EW35" s="123">
        <v>0</v>
      </c>
      <c r="EX35" s="123">
        <v>4.2180984983614611E-2</v>
      </c>
      <c r="EY35" s="123">
        <v>2.8902168295105567E-3</v>
      </c>
      <c r="EZ35" s="123">
        <v>4.3405096790773541E-2</v>
      </c>
      <c r="FA35" s="123">
        <v>0</v>
      </c>
      <c r="FB35" s="123">
        <v>8.8476298603898718E-2</v>
      </c>
      <c r="FC35" s="6" t="s">
        <v>977</v>
      </c>
      <c r="FD35" s="123">
        <v>0.1318376189025762</v>
      </c>
      <c r="FE35" s="6" t="s">
        <v>977</v>
      </c>
      <c r="FF35" s="123">
        <v>0.11194558519927753</v>
      </c>
      <c r="FG35" s="6" t="s">
        <v>977</v>
      </c>
      <c r="FH35" s="6">
        <v>1.6</v>
      </c>
      <c r="FI35" s="6">
        <v>1.5931266970573603</v>
      </c>
      <c r="FJ35" s="6">
        <v>0.96412099841457199</v>
      </c>
      <c r="FK35" s="123">
        <v>0.60517534493357306</v>
      </c>
      <c r="FL35" s="6" t="s">
        <v>977</v>
      </c>
      <c r="FM35" s="6">
        <v>1.6</v>
      </c>
      <c r="FN35" s="6">
        <v>2.4737776998351184</v>
      </c>
      <c r="FO35" s="138">
        <v>1.6598707454151556</v>
      </c>
      <c r="FP35" s="138">
        <v>0.34609471737958997</v>
      </c>
      <c r="FQ35" s="123">
        <v>0.20850702883677072</v>
      </c>
      <c r="FR35" s="6" t="s">
        <v>977</v>
      </c>
      <c r="FS35" s="6">
        <v>110.41292766437091</v>
      </c>
      <c r="FT35" s="139">
        <v>0.5640873908996582</v>
      </c>
      <c r="FU35" s="139">
        <v>0.5</v>
      </c>
      <c r="FV35" s="76">
        <v>150</v>
      </c>
      <c r="FW35" s="123">
        <v>0.73608618442913942</v>
      </c>
      <c r="FX35" s="6" t="s">
        <v>977</v>
      </c>
      <c r="FY35" s="1"/>
      <c r="FZ35" s="25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25"/>
    </row>
    <row r="36" spans="1:208" s="4" customFormat="1" ht="14.25">
      <c r="A36" s="1"/>
      <c r="B36" s="100" t="s">
        <v>783</v>
      </c>
      <c r="D36" s="101"/>
      <c r="F36" s="101" t="s">
        <v>799</v>
      </c>
      <c r="G36" s="105">
        <f>I31*G27/(ABS(F31)*J27)*100</f>
        <v>0.85592873313019258</v>
      </c>
      <c r="K36" s="101" t="s">
        <v>802</v>
      </c>
      <c r="L36" s="105">
        <f>J31*G27/(ABS(F31)*K27)*100</f>
        <v>0.35858187301842293</v>
      </c>
      <c r="N36" s="1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25"/>
      <c r="AA36" s="68"/>
      <c r="AB36" s="7"/>
      <c r="AC36" s="26"/>
      <c r="AD36" s="26"/>
      <c r="AE36" s="7"/>
      <c r="AF36" s="7"/>
      <c r="AG36" s="7"/>
      <c r="AH36" s="7"/>
      <c r="AI36" s="125"/>
      <c r="AJ36" s="16"/>
      <c r="AK36" s="6"/>
      <c r="AL36" s="6"/>
      <c r="AM36" s="16"/>
      <c r="AN36" s="16"/>
      <c r="AO36" s="125"/>
      <c r="AP36" s="16"/>
      <c r="AQ36" s="125"/>
      <c r="AR36" s="164"/>
      <c r="AS36" s="142"/>
      <c r="AT36" s="142"/>
      <c r="AU36" s="142"/>
      <c r="AV36" s="142"/>
      <c r="AW36" s="142"/>
      <c r="AX36" s="142"/>
      <c r="AY36" s="142"/>
      <c r="AZ36" s="125"/>
      <c r="BA36" s="142"/>
      <c r="BB36" s="125"/>
      <c r="BC36" s="16"/>
      <c r="BD36" s="125"/>
      <c r="BE36" s="125"/>
      <c r="BF36" s="16"/>
      <c r="BG36" s="125"/>
      <c r="BH36" s="123"/>
      <c r="BI36" s="123"/>
      <c r="BJ36" s="123"/>
      <c r="BK36" s="123"/>
      <c r="BL36" s="123"/>
      <c r="BM36" s="123"/>
      <c r="BN36" s="123"/>
      <c r="BO36" s="123"/>
      <c r="BP36" s="123"/>
      <c r="BQ36" s="125"/>
      <c r="BR36" s="16"/>
      <c r="BS36" s="123"/>
      <c r="BT36" s="19"/>
      <c r="BU36" s="139"/>
      <c r="BV36" s="139"/>
      <c r="BW36" s="123"/>
      <c r="BX36" s="123"/>
      <c r="BY36" s="123"/>
      <c r="BZ36" s="123"/>
      <c r="CA36" s="123"/>
      <c r="CB36" s="123"/>
      <c r="CC36" s="6"/>
      <c r="CD36" s="123"/>
      <c r="CE36" s="6"/>
      <c r="CF36" s="123"/>
      <c r="CG36" s="6"/>
      <c r="CH36" s="6"/>
      <c r="CI36" s="6"/>
      <c r="CJ36" s="6"/>
      <c r="CK36" s="123"/>
      <c r="CL36" s="6"/>
      <c r="CM36" s="6"/>
      <c r="CN36" s="6"/>
      <c r="CO36" s="138"/>
      <c r="CP36" s="138"/>
      <c r="CQ36" s="123"/>
      <c r="CR36" s="6"/>
      <c r="CS36" s="6"/>
      <c r="CT36" s="139"/>
      <c r="CU36" s="139"/>
      <c r="CV36" s="76"/>
      <c r="CW36" s="123"/>
      <c r="CX36" s="6"/>
      <c r="CY36" s="1"/>
      <c r="CZ36" s="25"/>
      <c r="DA36" s="68" t="s">
        <v>952</v>
      </c>
      <c r="DB36" s="7" t="s">
        <v>965</v>
      </c>
      <c r="DC36" s="26">
        <v>3.8</v>
      </c>
      <c r="DD36" s="26">
        <v>4.5999999999999996</v>
      </c>
      <c r="DE36" s="7">
        <v>250</v>
      </c>
      <c r="DF36" s="7">
        <v>100</v>
      </c>
      <c r="DG36" s="7">
        <v>8</v>
      </c>
      <c r="DH36" s="7">
        <v>8</v>
      </c>
      <c r="DI36" s="125">
        <v>53.44</v>
      </c>
      <c r="DJ36" s="16">
        <v>927.56053333333318</v>
      </c>
      <c r="DK36" s="6">
        <v>4051.8005333333326</v>
      </c>
      <c r="DL36" s="6">
        <v>185.51210666666663</v>
      </c>
      <c r="DM36" s="16">
        <v>324.14404266666662</v>
      </c>
      <c r="DN36" s="16">
        <v>106.11199999999999</v>
      </c>
      <c r="DO36" s="125">
        <v>12.519372742975225</v>
      </c>
      <c r="DP36" s="16">
        <v>13392.857142857143</v>
      </c>
      <c r="DQ36" s="125">
        <v>26.785714285714285</v>
      </c>
      <c r="DR36" s="164" t="s">
        <v>950</v>
      </c>
      <c r="DS36" s="142">
        <v>-44.030783619065971</v>
      </c>
      <c r="DT36" s="142">
        <v>1.887</v>
      </c>
      <c r="DU36" s="142">
        <v>8.0000000000000002E-3</v>
      </c>
      <c r="DV36" s="142">
        <v>3.1E-2</v>
      </c>
      <c r="DW36" s="142">
        <v>7.1719999999999997</v>
      </c>
      <c r="DX36" s="142">
        <v>0</v>
      </c>
      <c r="DY36" s="142">
        <v>1</v>
      </c>
      <c r="DZ36" s="125">
        <v>4.5999999999999996</v>
      </c>
      <c r="EA36" s="142">
        <v>2</v>
      </c>
      <c r="EB36" s="125">
        <v>9.1999999999999993</v>
      </c>
      <c r="EC36" s="16">
        <v>41.661788137553131</v>
      </c>
      <c r="ED36" s="125">
        <v>3.6393648566717673</v>
      </c>
      <c r="EE36" s="125">
        <v>2.0281471955788936E-2</v>
      </c>
      <c r="EF36" s="16">
        <v>87.074462822622692</v>
      </c>
      <c r="EG36" s="125">
        <v>3.4825927763179441</v>
      </c>
      <c r="EH36" s="123">
        <v>2.6854203236530725</v>
      </c>
      <c r="EI36" s="123">
        <v>1.4627243035293582</v>
      </c>
      <c r="EJ36" s="123">
        <v>1.400591342887171</v>
      </c>
      <c r="EK36" s="123">
        <v>2.9666201941081584E-2</v>
      </c>
      <c r="EL36" s="123">
        <v>2.7270636558532715</v>
      </c>
      <c r="EM36" s="123">
        <v>3.7611764573217581</v>
      </c>
      <c r="EN36" s="123">
        <v>0.20730902254581451</v>
      </c>
      <c r="EO36" s="123">
        <v>0.9512401235985819</v>
      </c>
      <c r="EP36" s="123">
        <v>0.95535048027355995</v>
      </c>
      <c r="EQ36" s="125">
        <v>3.6813863868024016E-2</v>
      </c>
      <c r="ER36" s="16">
        <v>105</v>
      </c>
      <c r="ES36" s="123">
        <v>1.4880952380952381</v>
      </c>
      <c r="ET36" s="19">
        <v>1</v>
      </c>
      <c r="EU36" s="139">
        <v>1.0553571428571429</v>
      </c>
      <c r="EV36" s="139">
        <v>1.2241666666666668</v>
      </c>
      <c r="EW36" s="123">
        <v>0</v>
      </c>
      <c r="EX36" s="123">
        <v>4.0904293186693343E-2</v>
      </c>
      <c r="EY36" s="123">
        <v>8.2959927513728945E-4</v>
      </c>
      <c r="EZ36" s="123">
        <v>0.10984522024821022</v>
      </c>
      <c r="FA36" s="123">
        <v>0</v>
      </c>
      <c r="FB36" s="123">
        <v>0.15157911271004085</v>
      </c>
      <c r="FC36" s="6" t="s">
        <v>977</v>
      </c>
      <c r="FD36" s="123">
        <v>0.19813710131244577</v>
      </c>
      <c r="FE36" s="6" t="s">
        <v>977</v>
      </c>
      <c r="FF36" s="123">
        <v>0.10892367358347591</v>
      </c>
      <c r="FG36" s="6" t="s">
        <v>977</v>
      </c>
      <c r="FH36" s="6">
        <v>1.6</v>
      </c>
      <c r="FI36" s="6">
        <v>1.5979655301947362</v>
      </c>
      <c r="FJ36" s="6">
        <v>0.96412099841457199</v>
      </c>
      <c r="FK36" s="123">
        <v>0.60334280070301594</v>
      </c>
      <c r="FL36" s="6" t="s">
        <v>977</v>
      </c>
      <c r="FM36" s="6">
        <v>1.6</v>
      </c>
      <c r="FN36" s="6">
        <v>2.4737776998351184</v>
      </c>
      <c r="FO36" s="138">
        <v>1.6177214979147998</v>
      </c>
      <c r="FP36" s="138">
        <v>0.34609471737958997</v>
      </c>
      <c r="FQ36" s="123">
        <v>0.21393961681642787</v>
      </c>
      <c r="FR36" s="6" t="s">
        <v>977</v>
      </c>
      <c r="FS36" s="6">
        <v>110.41292766437091</v>
      </c>
      <c r="FT36" s="139">
        <v>2.7270636558532715</v>
      </c>
      <c r="FU36" s="139">
        <v>0.5</v>
      </c>
      <c r="FV36" s="76">
        <v>150</v>
      </c>
      <c r="FW36" s="123">
        <v>0.73608618442913942</v>
      </c>
      <c r="FX36" s="6" t="s">
        <v>977</v>
      </c>
      <c r="FY36" s="1"/>
      <c r="FZ36" s="25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25"/>
    </row>
    <row r="37" spans="1:208" s="4" customFormat="1">
      <c r="A37" s="1"/>
      <c r="B37" s="100" t="s">
        <v>856</v>
      </c>
      <c r="N37" s="1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25"/>
      <c r="AA37" s="68"/>
      <c r="AB37" s="7"/>
      <c r="AC37" s="26"/>
      <c r="AD37" s="26"/>
      <c r="AE37" s="7"/>
      <c r="AF37" s="7"/>
      <c r="AG37" s="7"/>
      <c r="AH37" s="7"/>
      <c r="AI37" s="125"/>
      <c r="AJ37" s="16"/>
      <c r="AK37" s="6"/>
      <c r="AL37" s="6"/>
      <c r="AM37" s="16"/>
      <c r="AN37" s="16"/>
      <c r="AO37" s="125"/>
      <c r="AP37" s="16"/>
      <c r="AQ37" s="125"/>
      <c r="AR37" s="164"/>
      <c r="AS37" s="142"/>
      <c r="AT37" s="142"/>
      <c r="AU37" s="142"/>
      <c r="AV37" s="142"/>
      <c r="AW37" s="142"/>
      <c r="AX37" s="142"/>
      <c r="AY37" s="142"/>
      <c r="AZ37" s="125"/>
      <c r="BA37" s="142"/>
      <c r="BB37" s="125"/>
      <c r="BC37" s="16"/>
      <c r="BD37" s="125"/>
      <c r="BE37" s="125"/>
      <c r="BF37" s="16"/>
      <c r="BG37" s="125"/>
      <c r="BH37" s="123"/>
      <c r="BI37" s="123"/>
      <c r="BJ37" s="123"/>
      <c r="BK37" s="123"/>
      <c r="BL37" s="123"/>
      <c r="BM37" s="123"/>
      <c r="BN37" s="123"/>
      <c r="BO37" s="123"/>
      <c r="BP37" s="123"/>
      <c r="BQ37" s="125"/>
      <c r="BR37" s="16"/>
      <c r="BS37" s="123"/>
      <c r="BT37" s="19"/>
      <c r="BU37" s="139"/>
      <c r="BV37" s="139"/>
      <c r="BW37" s="123"/>
      <c r="BX37" s="123"/>
      <c r="BY37" s="123"/>
      <c r="BZ37" s="123"/>
      <c r="CA37" s="123"/>
      <c r="CB37" s="123"/>
      <c r="CC37" s="6"/>
      <c r="CD37" s="123"/>
      <c r="CE37" s="6"/>
      <c r="CF37" s="123"/>
      <c r="CG37" s="6"/>
      <c r="CH37" s="6"/>
      <c r="CI37" s="6"/>
      <c r="CJ37" s="6"/>
      <c r="CK37" s="123"/>
      <c r="CL37" s="6"/>
      <c r="CM37" s="6"/>
      <c r="CN37" s="6"/>
      <c r="CO37" s="138"/>
      <c r="CP37" s="138"/>
      <c r="CQ37" s="123"/>
      <c r="CR37" s="6"/>
      <c r="CS37" s="6"/>
      <c r="CT37" s="139"/>
      <c r="CU37" s="139"/>
      <c r="CV37" s="76"/>
      <c r="CW37" s="123"/>
      <c r="CX37" s="6"/>
      <c r="CY37" s="1"/>
      <c r="CZ37" s="25"/>
      <c r="DA37" s="68" t="s">
        <v>952</v>
      </c>
      <c r="DB37" s="7" t="s">
        <v>966</v>
      </c>
      <c r="DC37" s="26">
        <v>3.8</v>
      </c>
      <c r="DD37" s="26">
        <v>4.5999999999999996</v>
      </c>
      <c r="DE37" s="7">
        <v>250</v>
      </c>
      <c r="DF37" s="7">
        <v>100</v>
      </c>
      <c r="DG37" s="7">
        <v>8</v>
      </c>
      <c r="DH37" s="7">
        <v>8</v>
      </c>
      <c r="DI37" s="125">
        <v>53.44</v>
      </c>
      <c r="DJ37" s="16">
        <v>927.56053333333318</v>
      </c>
      <c r="DK37" s="6">
        <v>4051.8005333333326</v>
      </c>
      <c r="DL37" s="6">
        <v>185.51210666666663</v>
      </c>
      <c r="DM37" s="16">
        <v>324.14404266666662</v>
      </c>
      <c r="DN37" s="16">
        <v>106.11199999999999</v>
      </c>
      <c r="DO37" s="125">
        <v>12.519372742975225</v>
      </c>
      <c r="DP37" s="16">
        <v>13392.857142857143</v>
      </c>
      <c r="DQ37" s="125">
        <v>26.785714285714285</v>
      </c>
      <c r="DR37" s="164" t="s">
        <v>950</v>
      </c>
      <c r="DS37" s="142">
        <v>-46.517062612630241</v>
      </c>
      <c r="DT37" s="142">
        <v>1.923</v>
      </c>
      <c r="DU37" s="142">
        <v>0</v>
      </c>
      <c r="DV37" s="142">
        <v>0</v>
      </c>
      <c r="DW37" s="142">
        <v>7.3070000000000004</v>
      </c>
      <c r="DX37" s="142">
        <v>0</v>
      </c>
      <c r="DY37" s="142">
        <v>1</v>
      </c>
      <c r="DZ37" s="125">
        <v>4.5999999999999996</v>
      </c>
      <c r="EA37" s="142">
        <v>2</v>
      </c>
      <c r="EB37" s="125">
        <v>9.1999999999999993</v>
      </c>
      <c r="EC37" s="16">
        <v>41.661788137553131</v>
      </c>
      <c r="ED37" s="125">
        <v>3.6393648566717673</v>
      </c>
      <c r="EE37" s="125">
        <v>0</v>
      </c>
      <c r="EF37" s="16">
        <v>87.074462822622692</v>
      </c>
      <c r="EG37" s="125">
        <v>3.4825927763179441</v>
      </c>
      <c r="EH37" s="123">
        <v>2.5897344246327272</v>
      </c>
      <c r="EI37" s="123">
        <v>1.4632762171993878</v>
      </c>
      <c r="EJ37" s="123">
        <v>1.4034952323747307</v>
      </c>
      <c r="EK37" s="123">
        <v>0</v>
      </c>
      <c r="EL37" s="123">
        <v>0.56377850411735253</v>
      </c>
      <c r="EM37" s="123">
        <v>3.6346799180887492</v>
      </c>
      <c r="EN37" s="123">
        <v>0.21188931167125702</v>
      </c>
      <c r="EO37" s="123">
        <v>0.94848680770317406</v>
      </c>
      <c r="EP37" s="123">
        <v>0.95282926321031158</v>
      </c>
      <c r="EQ37" s="125">
        <v>3.8892626244793733E-2</v>
      </c>
      <c r="ER37" s="16">
        <v>105</v>
      </c>
      <c r="ES37" s="123">
        <v>1.4880952380952381</v>
      </c>
      <c r="ET37" s="19">
        <v>1</v>
      </c>
      <c r="EU37" s="139">
        <v>1.0553571428571429</v>
      </c>
      <c r="EV37" s="139">
        <v>1.2241666666666668</v>
      </c>
      <c r="EW37" s="123">
        <v>0</v>
      </c>
      <c r="EX37" s="123">
        <v>4.3214029160881927E-2</v>
      </c>
      <c r="EY37" s="123">
        <v>0</v>
      </c>
      <c r="EZ37" s="123">
        <v>0.11191285894501843</v>
      </c>
      <c r="FA37" s="123">
        <v>0</v>
      </c>
      <c r="FB37" s="123">
        <v>0.15512688810590036</v>
      </c>
      <c r="FC37" s="6" t="s">
        <v>977</v>
      </c>
      <c r="FD37" s="123">
        <v>0.20394624353647348</v>
      </c>
      <c r="FE37" s="6" t="s">
        <v>977</v>
      </c>
      <c r="FF37" s="123">
        <v>0.17259616494569124</v>
      </c>
      <c r="FG37" s="6" t="s">
        <v>977</v>
      </c>
      <c r="FH37" s="6">
        <v>1.6</v>
      </c>
      <c r="FI37" s="6">
        <v>1.6</v>
      </c>
      <c r="FJ37" s="6">
        <v>0.96412099841457199</v>
      </c>
      <c r="FK37" s="123">
        <v>0.60257562400910747</v>
      </c>
      <c r="FL37" s="6" t="s">
        <v>977</v>
      </c>
      <c r="FM37" s="6">
        <v>1.6</v>
      </c>
      <c r="FN37" s="6">
        <v>2.4737776998351184</v>
      </c>
      <c r="FO37" s="138">
        <v>1.6</v>
      </c>
      <c r="FP37" s="138">
        <v>0.34609471737958997</v>
      </c>
      <c r="FQ37" s="123">
        <v>0.21630919836224372</v>
      </c>
      <c r="FR37" s="6" t="s">
        <v>977</v>
      </c>
      <c r="FS37" s="6">
        <v>110.41292766437091</v>
      </c>
      <c r="FT37" s="139">
        <v>0.56377850411735253</v>
      </c>
      <c r="FU37" s="139">
        <v>0.5</v>
      </c>
      <c r="FV37" s="76">
        <v>150</v>
      </c>
      <c r="FW37" s="123">
        <v>0.73608618442913942</v>
      </c>
      <c r="FX37" s="6" t="s">
        <v>977</v>
      </c>
      <c r="FY37" s="1"/>
      <c r="FZ37" s="25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25"/>
    </row>
    <row r="38" spans="1:208">
      <c r="B38" s="28" t="s">
        <v>179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11"/>
      <c r="AI38" s="125"/>
      <c r="AJ38" s="16"/>
      <c r="AM38" s="16"/>
      <c r="AN38" s="16"/>
      <c r="AO38" s="125"/>
      <c r="AP38" s="16"/>
      <c r="AQ38" s="125"/>
      <c r="AR38" s="164"/>
      <c r="AY38" s="142"/>
      <c r="AZ38" s="125"/>
      <c r="BA38" s="142"/>
      <c r="BB38" s="125"/>
      <c r="BC38" s="16"/>
      <c r="BD38" s="125"/>
      <c r="BE38" s="125"/>
      <c r="BF38" s="16"/>
      <c r="BG38" s="125"/>
      <c r="BQ38" s="125"/>
      <c r="BR38" s="16"/>
      <c r="BS38" s="123"/>
      <c r="BT38" s="19"/>
      <c r="BU38" s="139"/>
      <c r="BV38" s="139"/>
      <c r="BW38" s="123"/>
      <c r="BX38" s="123"/>
      <c r="BY38" s="123"/>
      <c r="BZ38" s="123"/>
      <c r="CA38" s="123"/>
      <c r="CB38" s="123"/>
      <c r="CC38" s="6"/>
      <c r="CD38" s="123"/>
      <c r="CE38" s="6"/>
      <c r="CF38" s="123"/>
      <c r="CG38" s="6"/>
      <c r="CH38" s="6"/>
      <c r="CI38" s="6"/>
      <c r="CJ38" s="6"/>
      <c r="CK38" s="123"/>
      <c r="CL38" s="6"/>
      <c r="CM38" s="6"/>
      <c r="CN38" s="6"/>
      <c r="CO38" s="138"/>
      <c r="CP38" s="138"/>
      <c r="CQ38" s="123"/>
      <c r="CR38" s="6"/>
      <c r="CS38" s="6"/>
      <c r="CT38" s="139"/>
      <c r="CU38" s="139"/>
      <c r="CV38" s="76"/>
      <c r="CW38" s="123"/>
      <c r="CX38" s="6"/>
      <c r="DA38" s="68" t="s">
        <v>952</v>
      </c>
      <c r="DB38" s="7" t="s">
        <v>967</v>
      </c>
      <c r="DC38" s="26">
        <v>3.8</v>
      </c>
      <c r="DD38" s="26">
        <v>4.5999999999999996</v>
      </c>
      <c r="DE38" s="7">
        <v>250</v>
      </c>
      <c r="DF38" s="7">
        <v>100</v>
      </c>
      <c r="DG38" s="7">
        <v>8</v>
      </c>
      <c r="DH38" s="7">
        <v>8</v>
      </c>
      <c r="DI38" s="125">
        <v>53.44</v>
      </c>
      <c r="DJ38" s="16">
        <v>927.56053333333318</v>
      </c>
      <c r="DK38" s="6">
        <v>4051.8005333333326</v>
      </c>
      <c r="DL38" s="6">
        <v>185.51210666666663</v>
      </c>
      <c r="DM38" s="16">
        <v>324.14404266666662</v>
      </c>
      <c r="DN38" s="16">
        <v>106.11199999999999</v>
      </c>
      <c r="DO38" s="125">
        <v>12.519372742975225</v>
      </c>
      <c r="DP38" s="16">
        <v>13392.857142857143</v>
      </c>
      <c r="DQ38" s="125">
        <v>26.785714285714285</v>
      </c>
      <c r="DR38" s="164" t="s">
        <v>950</v>
      </c>
      <c r="DS38" s="142">
        <v>-44.030783619065964</v>
      </c>
      <c r="DT38" s="142">
        <v>1.887</v>
      </c>
      <c r="DU38" s="142">
        <v>8.0000000000000002E-3</v>
      </c>
      <c r="DV38" s="142">
        <v>3.1E-2</v>
      </c>
      <c r="DW38" s="142">
        <v>7.1719999999999997</v>
      </c>
      <c r="DX38" s="142">
        <v>0</v>
      </c>
      <c r="DY38" s="142">
        <v>1</v>
      </c>
      <c r="DZ38" s="125">
        <v>4.5999999999999996</v>
      </c>
      <c r="EA38" s="142">
        <v>2</v>
      </c>
      <c r="EB38" s="125">
        <v>9.1999999999999993</v>
      </c>
      <c r="EC38" s="16">
        <v>41.661788137553131</v>
      </c>
      <c r="ED38" s="125">
        <v>3.6393648566717673</v>
      </c>
      <c r="EE38" s="125">
        <v>2.0281471955788936E-2</v>
      </c>
      <c r="EF38" s="16">
        <v>87.074462822622692</v>
      </c>
      <c r="EG38" s="125">
        <v>3.4825927763179441</v>
      </c>
      <c r="EH38" s="123">
        <v>2.6854203236530729</v>
      </c>
      <c r="EI38" s="123">
        <v>1.4627243035293582</v>
      </c>
      <c r="EJ38" s="123">
        <v>1.400591342887171</v>
      </c>
      <c r="EK38" s="123">
        <v>2.9666201941081584E-2</v>
      </c>
      <c r="EL38" s="123">
        <v>2.7270636558532715</v>
      </c>
      <c r="EM38" s="123">
        <v>3.761176457321759</v>
      </c>
      <c r="EN38" s="123">
        <v>0.20730902254581451</v>
      </c>
      <c r="EO38" s="123">
        <v>0.9512401235985819</v>
      </c>
      <c r="EP38" s="123">
        <v>0.95535048027355995</v>
      </c>
      <c r="EQ38" s="125">
        <v>3.6813863868024009E-2</v>
      </c>
      <c r="ER38" s="16">
        <v>105</v>
      </c>
      <c r="ES38" s="123">
        <v>1.4880952380952381</v>
      </c>
      <c r="ET38" s="19">
        <v>1</v>
      </c>
      <c r="EU38" s="139">
        <v>1.0553571428571429</v>
      </c>
      <c r="EV38" s="139">
        <v>1.2241666666666668</v>
      </c>
      <c r="EW38" s="123">
        <v>0</v>
      </c>
      <c r="EX38" s="123">
        <v>4.0904293186693343E-2</v>
      </c>
      <c r="EY38" s="123">
        <v>8.2959927513728945E-4</v>
      </c>
      <c r="EZ38" s="123">
        <v>0.10984522024821022</v>
      </c>
      <c r="FA38" s="123">
        <v>0</v>
      </c>
      <c r="FB38" s="123">
        <v>0.15157911271004085</v>
      </c>
      <c r="FC38" s="6" t="s">
        <v>977</v>
      </c>
      <c r="FD38" s="123">
        <v>0.19813710131244575</v>
      </c>
      <c r="FE38" s="6" t="s">
        <v>977</v>
      </c>
      <c r="FF38" s="123">
        <v>0.10892367358347591</v>
      </c>
      <c r="FG38" s="6" t="s">
        <v>977</v>
      </c>
      <c r="FH38" s="6">
        <v>1.6</v>
      </c>
      <c r="FI38" s="6">
        <v>1.5979655301947362</v>
      </c>
      <c r="FJ38" s="6">
        <v>0.96412099841457199</v>
      </c>
      <c r="FK38" s="123">
        <v>0.60334280070301594</v>
      </c>
      <c r="FL38" s="6" t="s">
        <v>977</v>
      </c>
      <c r="FM38" s="6">
        <v>1.6</v>
      </c>
      <c r="FN38" s="6">
        <v>2.4737776998351184</v>
      </c>
      <c r="FO38" s="138">
        <v>1.6177214979147998</v>
      </c>
      <c r="FP38" s="138">
        <v>0.34609471737958997</v>
      </c>
      <c r="FQ38" s="123">
        <v>0.21393961681642787</v>
      </c>
      <c r="FR38" s="6" t="s">
        <v>977</v>
      </c>
      <c r="FS38" s="6">
        <v>110.41292766437091</v>
      </c>
      <c r="FT38" s="139">
        <v>2.7270636558532715</v>
      </c>
      <c r="FU38" s="139">
        <v>0.5</v>
      </c>
      <c r="FV38" s="76">
        <v>150</v>
      </c>
      <c r="FW38" s="123">
        <v>0.73608618442913942</v>
      </c>
      <c r="FX38" s="6" t="s">
        <v>977</v>
      </c>
    </row>
    <row r="39" spans="1:208" ht="14.25">
      <c r="B39" s="10"/>
      <c r="C39" s="4"/>
      <c r="D39" s="101" t="s">
        <v>890</v>
      </c>
      <c r="E39" s="106">
        <f>ABS(F31)/(G27*D27)*10</f>
        <v>0.16588036703601108</v>
      </c>
      <c r="F39" s="42" t="str">
        <f>IF(E39&gt;0.1,"&gt; 0.1","≤ 0.1")</f>
        <v>&gt; 0.1</v>
      </c>
      <c r="G39" s="107" t="s">
        <v>180</v>
      </c>
      <c r="H39" s="4"/>
      <c r="I39" s="4"/>
      <c r="J39" s="101" t="s">
        <v>860</v>
      </c>
      <c r="K39" s="128">
        <f>IF(E39&gt;0.1,104,105)</f>
        <v>104</v>
      </c>
      <c r="L39" s="4"/>
      <c r="M39" s="4"/>
      <c r="N39" s="8"/>
      <c r="AB39" s="149"/>
      <c r="AC39" s="162"/>
      <c r="AD39" s="162"/>
      <c r="AE39" s="149"/>
      <c r="AF39" s="149"/>
      <c r="AG39" s="149"/>
      <c r="AH39" s="149"/>
      <c r="AI39" s="125"/>
      <c r="AJ39" s="16"/>
      <c r="AM39" s="16"/>
      <c r="AN39" s="16"/>
      <c r="AO39" s="125"/>
      <c r="AP39" s="16"/>
      <c r="AQ39" s="125"/>
      <c r="AR39" s="164"/>
      <c r="AY39" s="142"/>
      <c r="AZ39" s="125"/>
      <c r="BA39" s="142"/>
      <c r="BB39" s="125"/>
      <c r="BC39" s="16"/>
      <c r="BD39" s="125"/>
      <c r="BE39" s="125"/>
      <c r="BF39" s="16"/>
      <c r="BG39" s="125"/>
      <c r="BQ39" s="125"/>
      <c r="BR39" s="16"/>
      <c r="BS39" s="123"/>
      <c r="BT39" s="19"/>
      <c r="BU39" s="139"/>
      <c r="BV39" s="139"/>
      <c r="BW39" s="123"/>
      <c r="BX39" s="123"/>
      <c r="BY39" s="123"/>
      <c r="BZ39" s="123"/>
      <c r="CA39" s="123"/>
      <c r="CB39" s="123"/>
      <c r="CC39" s="6"/>
      <c r="CD39" s="123"/>
      <c r="CE39" s="6"/>
      <c r="CF39" s="123"/>
      <c r="CG39" s="6"/>
      <c r="CH39" s="6"/>
      <c r="CI39" s="6"/>
      <c r="CJ39" s="6"/>
      <c r="CK39" s="123"/>
      <c r="CL39" s="6"/>
      <c r="CM39" s="6"/>
      <c r="CN39" s="6"/>
      <c r="CO39" s="138"/>
      <c r="CP39" s="138"/>
      <c r="CQ39" s="123"/>
      <c r="CR39" s="6"/>
      <c r="CS39" s="6"/>
      <c r="CT39" s="139"/>
      <c r="CU39" s="139"/>
      <c r="CV39" s="76"/>
      <c r="CW39" s="123"/>
      <c r="CX39" s="6"/>
      <c r="DA39" s="68" t="s">
        <v>952</v>
      </c>
      <c r="DB39" s="149" t="s">
        <v>968</v>
      </c>
      <c r="DC39" s="162">
        <v>3.8</v>
      </c>
      <c r="DD39" s="162">
        <v>4.5999999999999996</v>
      </c>
      <c r="DE39" s="149">
        <v>250</v>
      </c>
      <c r="DF39" s="149">
        <v>100</v>
      </c>
      <c r="DG39" s="149">
        <v>8</v>
      </c>
      <c r="DH39" s="149">
        <v>8</v>
      </c>
      <c r="DI39" s="125">
        <v>53.44</v>
      </c>
      <c r="DJ39" s="16">
        <v>927.56053333333318</v>
      </c>
      <c r="DK39" s="6">
        <v>4051.8005333333326</v>
      </c>
      <c r="DL39" s="6">
        <v>185.51210666666663</v>
      </c>
      <c r="DM39" s="16">
        <v>324.14404266666662</v>
      </c>
      <c r="DN39" s="16">
        <v>106.11199999999999</v>
      </c>
      <c r="DO39" s="125">
        <v>12.519372742975225</v>
      </c>
      <c r="DP39" s="16">
        <v>13392.857142857143</v>
      </c>
      <c r="DQ39" s="125">
        <v>26.785714285714285</v>
      </c>
      <c r="DR39" s="164" t="s">
        <v>950</v>
      </c>
      <c r="DS39" s="142">
        <v>-37.429295558371813</v>
      </c>
      <c r="DT39" s="142">
        <v>1.748</v>
      </c>
      <c r="DU39" s="142">
        <v>0</v>
      </c>
      <c r="DV39" s="142">
        <v>0</v>
      </c>
      <c r="DW39" s="142">
        <v>6.6420000000000003</v>
      </c>
      <c r="DX39" s="142">
        <v>0</v>
      </c>
      <c r="DY39" s="142">
        <v>1</v>
      </c>
      <c r="DZ39" s="125">
        <v>4.5999999999999996</v>
      </c>
      <c r="EA39" s="142">
        <v>2</v>
      </c>
      <c r="EB39" s="125">
        <v>9.1999999999999993</v>
      </c>
      <c r="EC39" s="16">
        <v>41.661788137553131</v>
      </c>
      <c r="ED39" s="125">
        <v>3.6393648566717673</v>
      </c>
      <c r="EE39" s="125">
        <v>0</v>
      </c>
      <c r="EF39" s="16">
        <v>87.074462822622692</v>
      </c>
      <c r="EG39" s="125">
        <v>3.4825927763179441</v>
      </c>
      <c r="EH39" s="123">
        <v>2.9256045513320803</v>
      </c>
      <c r="EI39" s="123">
        <v>1.4632762171993878</v>
      </c>
      <c r="EJ39" s="123">
        <v>1.3933021972452788</v>
      </c>
      <c r="EK39" s="123">
        <v>0</v>
      </c>
      <c r="EL39" s="123">
        <v>0.56377850411735253</v>
      </c>
      <c r="EM39" s="123">
        <v>4.0762512496417758</v>
      </c>
      <c r="EN39" s="123">
        <v>0.19637393951416016</v>
      </c>
      <c r="EO39" s="123">
        <v>0.95855063945698016</v>
      </c>
      <c r="EP39" s="123">
        <v>0.96204473477377261</v>
      </c>
      <c r="EQ39" s="125">
        <v>3.1294400828362219E-2</v>
      </c>
      <c r="ER39" s="16">
        <v>105</v>
      </c>
      <c r="ES39" s="123">
        <v>1.4880952380952381</v>
      </c>
      <c r="ET39" s="19">
        <v>1</v>
      </c>
      <c r="EU39" s="139">
        <v>1.0553571428571429</v>
      </c>
      <c r="EV39" s="139">
        <v>1.2241666666666668</v>
      </c>
      <c r="EW39" s="123">
        <v>0</v>
      </c>
      <c r="EX39" s="123">
        <v>3.4771556475958018E-2</v>
      </c>
      <c r="EY39" s="123">
        <v>0</v>
      </c>
      <c r="EZ39" s="123">
        <v>0.10172782388296325</v>
      </c>
      <c r="FA39" s="123">
        <v>0</v>
      </c>
      <c r="FB39" s="123">
        <v>0.13649938035892129</v>
      </c>
      <c r="FC39" s="6" t="s">
        <v>977</v>
      </c>
      <c r="FD39" s="123">
        <v>0.17706808022482387</v>
      </c>
      <c r="FE39" s="6" t="s">
        <v>977</v>
      </c>
      <c r="FF39" s="123">
        <v>0.1480540752444631</v>
      </c>
      <c r="FG39" s="6" t="s">
        <v>977</v>
      </c>
      <c r="FH39" s="6">
        <v>1.6</v>
      </c>
      <c r="FI39" s="6">
        <v>1.6</v>
      </c>
      <c r="FJ39" s="6">
        <v>0.96412099841457199</v>
      </c>
      <c r="FK39" s="123">
        <v>0.60257562400910747</v>
      </c>
      <c r="FL39" s="6" t="s">
        <v>977</v>
      </c>
      <c r="FM39" s="6">
        <v>1.6</v>
      </c>
      <c r="FN39" s="6">
        <v>2.4737776998351184</v>
      </c>
      <c r="FO39" s="138">
        <v>1.6</v>
      </c>
      <c r="FP39" s="138">
        <v>0.34609471737958997</v>
      </c>
      <c r="FQ39" s="123">
        <v>0.21630919836224372</v>
      </c>
      <c r="FR39" s="6" t="s">
        <v>977</v>
      </c>
      <c r="FS39" s="6">
        <v>110.41292766437091</v>
      </c>
      <c r="FT39" s="139">
        <v>0.56377850411735253</v>
      </c>
      <c r="FU39" s="139">
        <v>0.5</v>
      </c>
      <c r="FV39" s="76">
        <v>150</v>
      </c>
      <c r="FW39" s="123">
        <v>0.73608618442913942</v>
      </c>
      <c r="FX39" s="6" t="s">
        <v>977</v>
      </c>
    </row>
    <row r="40" spans="1:208">
      <c r="B40" s="35"/>
      <c r="C40" s="108"/>
      <c r="D40" s="4"/>
      <c r="E40" s="4"/>
      <c r="F40" s="4"/>
      <c r="G40" s="4"/>
      <c r="H40" s="4"/>
      <c r="I40" s="4"/>
      <c r="J40" s="4"/>
      <c r="K40" s="103"/>
      <c r="L40" s="4"/>
      <c r="M40" s="42"/>
      <c r="N40" s="109"/>
      <c r="AI40" s="125"/>
      <c r="AJ40" s="16"/>
      <c r="AM40" s="16"/>
      <c r="AN40" s="16"/>
      <c r="AO40" s="125"/>
      <c r="AP40" s="16"/>
      <c r="AQ40" s="125"/>
      <c r="AR40" s="164"/>
      <c r="AY40" s="142"/>
      <c r="AZ40" s="125"/>
      <c r="BA40" s="142"/>
      <c r="BB40" s="125"/>
      <c r="BC40" s="16"/>
      <c r="BD40" s="125"/>
      <c r="BE40" s="125"/>
      <c r="BF40" s="16"/>
      <c r="BG40" s="125"/>
      <c r="BQ40" s="125"/>
      <c r="BR40" s="16"/>
      <c r="BS40" s="123"/>
      <c r="BT40" s="19"/>
      <c r="BU40" s="139"/>
      <c r="BV40" s="139"/>
      <c r="BW40" s="123"/>
      <c r="BX40" s="123"/>
      <c r="BY40" s="123"/>
      <c r="BZ40" s="123"/>
      <c r="CA40" s="123"/>
      <c r="CB40" s="123"/>
      <c r="CC40" s="6"/>
      <c r="CD40" s="123"/>
      <c r="CE40" s="6"/>
      <c r="CF40" s="123"/>
      <c r="CG40" s="6"/>
      <c r="CH40" s="6"/>
      <c r="CI40" s="6"/>
      <c r="CJ40" s="6"/>
      <c r="CK40" s="123"/>
      <c r="CL40" s="6"/>
      <c r="CM40" s="6"/>
      <c r="CN40" s="6"/>
      <c r="CO40" s="138"/>
      <c r="CP40" s="138"/>
      <c r="CQ40" s="123"/>
      <c r="CR40" s="6"/>
      <c r="CS40" s="6"/>
      <c r="CT40" s="139"/>
      <c r="CU40" s="139"/>
      <c r="CV40" s="76"/>
      <c r="CW40" s="123"/>
      <c r="CX40" s="6"/>
      <c r="DA40" s="68" t="s">
        <v>952</v>
      </c>
      <c r="DB40" s="7" t="s">
        <v>969</v>
      </c>
      <c r="DC40" s="26">
        <v>3.8</v>
      </c>
      <c r="DD40" s="26">
        <v>4.5999999999999996</v>
      </c>
      <c r="DE40" s="7">
        <v>250</v>
      </c>
      <c r="DF40" s="7">
        <v>100</v>
      </c>
      <c r="DG40" s="7">
        <v>8</v>
      </c>
      <c r="DH40" s="7">
        <v>8</v>
      </c>
      <c r="DI40" s="125">
        <v>53.44</v>
      </c>
      <c r="DJ40" s="16">
        <v>927.56053333333318</v>
      </c>
      <c r="DK40" s="6">
        <v>4051.8005333333326</v>
      </c>
      <c r="DL40" s="6">
        <v>185.51210666666663</v>
      </c>
      <c r="DM40" s="16">
        <v>324.14404266666662</v>
      </c>
      <c r="DN40" s="16">
        <v>106.11199999999999</v>
      </c>
      <c r="DO40" s="125">
        <v>12.519372742975225</v>
      </c>
      <c r="DP40" s="16">
        <v>13392.857142857143</v>
      </c>
      <c r="DQ40" s="125">
        <v>26.785714285714285</v>
      </c>
      <c r="DR40" s="164" t="s">
        <v>950</v>
      </c>
      <c r="DS40" s="142">
        <v>-13.673874552188897</v>
      </c>
      <c r="DT40" s="142">
        <v>2.0409999999999999</v>
      </c>
      <c r="DU40" s="142">
        <v>0.219</v>
      </c>
      <c r="DV40" s="142">
        <v>0.83299999999999996</v>
      </c>
      <c r="DW40" s="142">
        <v>7.7539999999999996</v>
      </c>
      <c r="DX40" s="142">
        <v>0</v>
      </c>
      <c r="DY40" s="142">
        <v>1</v>
      </c>
      <c r="DZ40" s="125">
        <v>4.5999999999999996</v>
      </c>
      <c r="EA40" s="142">
        <v>2</v>
      </c>
      <c r="EB40" s="125">
        <v>9.1999999999999993</v>
      </c>
      <c r="EC40" s="16">
        <v>41.661788137553131</v>
      </c>
      <c r="ED40" s="125">
        <v>3.6393648566717673</v>
      </c>
      <c r="EE40" s="125">
        <v>1.7548807189009992</v>
      </c>
      <c r="EF40" s="16">
        <v>87.074462822622692</v>
      </c>
      <c r="EG40" s="125">
        <v>3.4825927763179441</v>
      </c>
      <c r="EH40" s="123">
        <v>9.3489451249208937</v>
      </c>
      <c r="EI40" s="123">
        <v>1.4155211696296714</v>
      </c>
      <c r="EJ40" s="123">
        <v>0.70348144473641105</v>
      </c>
      <c r="EK40" s="123">
        <v>2.4840708077793012</v>
      </c>
      <c r="EL40" s="123">
        <v>0.25163251161575317</v>
      </c>
      <c r="EM40" s="123">
        <v>6.5768094232407774</v>
      </c>
      <c r="EN40" s="123">
        <v>0.14414866268634796</v>
      </c>
      <c r="EO40" s="123">
        <v>0.98485749336506201</v>
      </c>
      <c r="EP40" s="123">
        <v>0.98613397533787117</v>
      </c>
      <c r="EQ40" s="125">
        <v>1.1432641323574935E-2</v>
      </c>
      <c r="ER40" s="16">
        <v>105</v>
      </c>
      <c r="ES40" s="123">
        <v>1.4880952380952381</v>
      </c>
      <c r="ET40" s="19">
        <v>1</v>
      </c>
      <c r="EU40" s="139">
        <v>1.0553571428571429</v>
      </c>
      <c r="EV40" s="139">
        <v>1.2241666666666668</v>
      </c>
      <c r="EW40" s="123">
        <v>0</v>
      </c>
      <c r="EX40" s="123">
        <v>1.2702934803972147E-2</v>
      </c>
      <c r="EY40" s="123">
        <v>2.2292135360947166E-2</v>
      </c>
      <c r="EZ40" s="123">
        <v>0.11875904040778335</v>
      </c>
      <c r="FA40" s="123">
        <v>0</v>
      </c>
      <c r="FB40" s="123">
        <v>0.15375411057270266</v>
      </c>
      <c r="FC40" s="6" t="s">
        <v>977</v>
      </c>
      <c r="FD40" s="123">
        <v>0.10957145380380742</v>
      </c>
      <c r="FE40" s="6" t="s">
        <v>977</v>
      </c>
      <c r="FF40" s="123">
        <v>0.14885832625949152</v>
      </c>
      <c r="FG40" s="6" t="s">
        <v>977</v>
      </c>
      <c r="FH40" s="6">
        <v>1.6</v>
      </c>
      <c r="FI40" s="6">
        <v>1.4239648560899978</v>
      </c>
      <c r="FJ40" s="6">
        <v>0.96412099841457199</v>
      </c>
      <c r="FK40" s="123">
        <v>0.67706797277420827</v>
      </c>
      <c r="FL40" s="6" t="s">
        <v>977</v>
      </c>
      <c r="FM40" s="6" t="s">
        <v>978</v>
      </c>
      <c r="FN40" s="6">
        <v>2.4737776998351184</v>
      </c>
      <c r="FO40" s="138">
        <v>2.4737776998351184</v>
      </c>
      <c r="FP40" s="138">
        <v>0.34609471737958997</v>
      </c>
      <c r="FQ40" s="123">
        <v>0.13990534291042311</v>
      </c>
      <c r="FR40" s="6" t="s">
        <v>977</v>
      </c>
      <c r="FS40" s="6">
        <v>110.41292766437091</v>
      </c>
      <c r="FT40" s="139">
        <v>0.25163251161575317</v>
      </c>
      <c r="FU40" s="139">
        <v>0.5</v>
      </c>
      <c r="FV40" s="76">
        <v>150</v>
      </c>
      <c r="FW40" s="123">
        <v>0.73608618442913942</v>
      </c>
      <c r="FX40" s="6" t="s">
        <v>977</v>
      </c>
    </row>
    <row r="41" spans="1:208">
      <c r="B41" s="10"/>
      <c r="C41" s="108"/>
      <c r="D41" s="4"/>
      <c r="E41" s="4"/>
      <c r="F41" s="4"/>
      <c r="G41" s="4"/>
      <c r="H41" s="4"/>
      <c r="I41" s="4"/>
      <c r="J41" s="4"/>
      <c r="K41" s="103"/>
      <c r="L41" s="106"/>
      <c r="M41" s="42"/>
      <c r="N41" s="110"/>
      <c r="AI41" s="125"/>
      <c r="AJ41" s="16"/>
      <c r="AM41" s="16"/>
      <c r="AN41" s="16"/>
      <c r="AO41" s="125"/>
      <c r="AP41" s="16"/>
      <c r="AQ41" s="125"/>
      <c r="AR41" s="164"/>
      <c r="AY41" s="142"/>
      <c r="AZ41" s="125"/>
      <c r="BA41" s="142"/>
      <c r="BB41" s="125"/>
      <c r="BC41" s="16"/>
      <c r="BD41" s="125"/>
      <c r="BE41" s="125"/>
      <c r="BF41" s="16"/>
      <c r="BG41" s="125"/>
      <c r="BQ41" s="125"/>
      <c r="BR41" s="16"/>
      <c r="BS41" s="123"/>
      <c r="BT41" s="19"/>
      <c r="BU41" s="139"/>
      <c r="BV41" s="139"/>
      <c r="BW41" s="123"/>
      <c r="BX41" s="123"/>
      <c r="BY41" s="123"/>
      <c r="BZ41" s="123"/>
      <c r="CA41" s="123"/>
      <c r="CB41" s="123"/>
      <c r="CC41" s="6"/>
      <c r="CD41" s="123"/>
      <c r="CE41" s="6"/>
      <c r="CF41" s="123"/>
      <c r="CG41" s="6"/>
      <c r="CH41" s="6"/>
      <c r="CI41" s="6"/>
      <c r="CJ41" s="6"/>
      <c r="CK41" s="123"/>
      <c r="CL41" s="6"/>
      <c r="CM41" s="6"/>
      <c r="CN41" s="6"/>
      <c r="CO41" s="138"/>
      <c r="CP41" s="138"/>
      <c r="CQ41" s="123"/>
      <c r="CR41" s="6"/>
      <c r="CS41" s="6"/>
      <c r="CT41" s="139"/>
      <c r="CU41" s="139"/>
      <c r="CV41" s="76"/>
      <c r="CW41" s="123"/>
      <c r="CX41" s="6"/>
      <c r="DA41" s="68" t="s">
        <v>952</v>
      </c>
      <c r="DB41" s="7" t="s">
        <v>970</v>
      </c>
      <c r="DC41" s="26">
        <v>3.8</v>
      </c>
      <c r="DD41" s="26">
        <v>4.5999999999999996</v>
      </c>
      <c r="DE41" s="7">
        <v>250</v>
      </c>
      <c r="DF41" s="7">
        <v>100</v>
      </c>
      <c r="DG41" s="7">
        <v>8</v>
      </c>
      <c r="DH41" s="7">
        <v>8</v>
      </c>
      <c r="DI41" s="125">
        <v>53.44</v>
      </c>
      <c r="DJ41" s="16">
        <v>927.56053333333318</v>
      </c>
      <c r="DK41" s="6">
        <v>4051.8005333333326</v>
      </c>
      <c r="DL41" s="6">
        <v>185.51210666666663</v>
      </c>
      <c r="DM41" s="16">
        <v>324.14404266666662</v>
      </c>
      <c r="DN41" s="16">
        <v>106.11199999999999</v>
      </c>
      <c r="DO41" s="125">
        <v>12.519372742975225</v>
      </c>
      <c r="DP41" s="16">
        <v>13392.857142857143</v>
      </c>
      <c r="DQ41" s="125">
        <v>26.785714285714285</v>
      </c>
      <c r="DR41" s="164" t="s">
        <v>950</v>
      </c>
      <c r="DS41" s="142">
        <v>-13.673874552188883</v>
      </c>
      <c r="DT41" s="142">
        <v>2.0409999999999999</v>
      </c>
      <c r="DU41" s="142">
        <v>0.219</v>
      </c>
      <c r="DV41" s="142">
        <v>0.83299999999999996</v>
      </c>
      <c r="DW41" s="142">
        <v>7.7539999999999996</v>
      </c>
      <c r="DX41" s="142">
        <v>0</v>
      </c>
      <c r="DY41" s="142">
        <v>1</v>
      </c>
      <c r="DZ41" s="125">
        <v>4.5999999999999996</v>
      </c>
      <c r="EA41" s="142">
        <v>2</v>
      </c>
      <c r="EB41" s="125">
        <v>9.1999999999999993</v>
      </c>
      <c r="EC41" s="16">
        <v>41.661788137553131</v>
      </c>
      <c r="ED41" s="125">
        <v>3.6393648566717673</v>
      </c>
      <c r="EE41" s="125">
        <v>1.7548807189010012</v>
      </c>
      <c r="EF41" s="16">
        <v>87.074462822622692</v>
      </c>
      <c r="EG41" s="125">
        <v>3.4825927763179441</v>
      </c>
      <c r="EH41" s="123">
        <v>9.3489451249209008</v>
      </c>
      <c r="EI41" s="123">
        <v>1.4155211696296714</v>
      </c>
      <c r="EJ41" s="123">
        <v>0.70348144473641105</v>
      </c>
      <c r="EK41" s="123">
        <v>2.4840708077793039</v>
      </c>
      <c r="EL41" s="123">
        <v>0.25163251161575317</v>
      </c>
      <c r="EM41" s="123">
        <v>6.5768094232407819</v>
      </c>
      <c r="EN41" s="123">
        <v>0.14414866268634796</v>
      </c>
      <c r="EO41" s="123">
        <v>0.98485749336506201</v>
      </c>
      <c r="EP41" s="123">
        <v>0.98613397533787117</v>
      </c>
      <c r="EQ41" s="125">
        <v>1.1432641323574921E-2</v>
      </c>
      <c r="ER41" s="16">
        <v>105</v>
      </c>
      <c r="ES41" s="123">
        <v>1.4880952380952381</v>
      </c>
      <c r="ET41" s="19">
        <v>1</v>
      </c>
      <c r="EU41" s="139">
        <v>1.0553571428571429</v>
      </c>
      <c r="EV41" s="139">
        <v>1.2241666666666668</v>
      </c>
      <c r="EW41" s="123">
        <v>0</v>
      </c>
      <c r="EX41" s="123">
        <v>1.2702934803972134E-2</v>
      </c>
      <c r="EY41" s="123">
        <v>2.2292135360947166E-2</v>
      </c>
      <c r="EZ41" s="123">
        <v>0.11875904040778335</v>
      </c>
      <c r="FA41" s="123">
        <v>0</v>
      </c>
      <c r="FB41" s="123">
        <v>0.15375411057270266</v>
      </c>
      <c r="FC41" s="6" t="s">
        <v>977</v>
      </c>
      <c r="FD41" s="123">
        <v>0.10957145380380734</v>
      </c>
      <c r="FE41" s="6" t="s">
        <v>977</v>
      </c>
      <c r="FF41" s="123">
        <v>0.14885832625949147</v>
      </c>
      <c r="FG41" s="6" t="s">
        <v>977</v>
      </c>
      <c r="FH41" s="6">
        <v>1.6</v>
      </c>
      <c r="FI41" s="6">
        <v>1.4239648560899976</v>
      </c>
      <c r="FJ41" s="6">
        <v>0.96412099841457199</v>
      </c>
      <c r="FK41" s="123">
        <v>0.67706797277420838</v>
      </c>
      <c r="FL41" s="6" t="s">
        <v>977</v>
      </c>
      <c r="FM41" s="6" t="s">
        <v>978</v>
      </c>
      <c r="FN41" s="6">
        <v>2.4737776998351184</v>
      </c>
      <c r="FO41" s="138">
        <v>2.4737776998351184</v>
      </c>
      <c r="FP41" s="138">
        <v>0.34609471737958997</v>
      </c>
      <c r="FQ41" s="123">
        <v>0.13990534291042311</v>
      </c>
      <c r="FR41" s="6" t="s">
        <v>977</v>
      </c>
      <c r="FS41" s="6">
        <v>110.41292766437091</v>
      </c>
      <c r="FT41" s="139">
        <v>0.25163251161575317</v>
      </c>
      <c r="FU41" s="139">
        <v>0.5</v>
      </c>
      <c r="FV41" s="76">
        <v>150</v>
      </c>
      <c r="FW41" s="123">
        <v>0.73608618442913942</v>
      </c>
      <c r="FX41" s="6" t="s">
        <v>977</v>
      </c>
    </row>
    <row r="42" spans="1:208">
      <c r="B42" s="10"/>
      <c r="C42" s="108"/>
      <c r="D42" s="4"/>
      <c r="E42" s="4"/>
      <c r="F42" s="4"/>
      <c r="G42" s="4"/>
      <c r="H42" s="4"/>
      <c r="I42" s="4"/>
      <c r="J42" s="4"/>
      <c r="K42" s="103"/>
      <c r="L42" s="106"/>
      <c r="M42" s="42"/>
      <c r="N42" s="110"/>
      <c r="AI42" s="125"/>
      <c r="AJ42" s="16"/>
      <c r="AM42" s="16"/>
      <c r="AN42" s="16"/>
      <c r="AO42" s="125"/>
      <c r="AP42" s="16"/>
      <c r="AQ42" s="125"/>
      <c r="AR42" s="164"/>
      <c r="AY42" s="142"/>
      <c r="AZ42" s="125"/>
      <c r="BA42" s="142"/>
      <c r="BB42" s="125"/>
      <c r="BC42" s="16"/>
      <c r="BD42" s="125"/>
      <c r="BE42" s="125"/>
      <c r="BF42" s="16"/>
      <c r="BG42" s="125"/>
      <c r="BQ42" s="125"/>
      <c r="BR42" s="16"/>
      <c r="BS42" s="123"/>
      <c r="BT42" s="19"/>
      <c r="BU42" s="139"/>
      <c r="BV42" s="139"/>
      <c r="BW42" s="123"/>
      <c r="BX42" s="123"/>
      <c r="BY42" s="123"/>
      <c r="BZ42" s="123"/>
      <c r="CA42" s="123"/>
      <c r="CB42" s="123"/>
      <c r="CC42" s="6"/>
      <c r="CD42" s="123"/>
      <c r="CE42" s="6"/>
      <c r="CF42" s="123"/>
      <c r="CG42" s="6"/>
      <c r="CH42" s="6"/>
      <c r="CI42" s="6"/>
      <c r="CJ42" s="6"/>
      <c r="CK42" s="123"/>
      <c r="CL42" s="6"/>
      <c r="CM42" s="6"/>
      <c r="CN42" s="6"/>
      <c r="CO42" s="138"/>
      <c r="CP42" s="138"/>
      <c r="CQ42" s="123"/>
      <c r="CR42" s="6"/>
      <c r="CS42" s="6"/>
      <c r="CT42" s="139"/>
      <c r="CU42" s="139"/>
      <c r="CV42" s="76"/>
      <c r="CW42" s="123"/>
      <c r="CX42" s="6"/>
      <c r="DA42" s="68" t="s">
        <v>952</v>
      </c>
      <c r="DB42" s="7" t="s">
        <v>971</v>
      </c>
      <c r="DC42" s="26">
        <v>3.8</v>
      </c>
      <c r="DD42" s="26">
        <v>4.5999999999999996</v>
      </c>
      <c r="DE42" s="7">
        <v>250</v>
      </c>
      <c r="DF42" s="7">
        <v>100</v>
      </c>
      <c r="DG42" s="7">
        <v>8</v>
      </c>
      <c r="DH42" s="7">
        <v>8</v>
      </c>
      <c r="DI42" s="125">
        <v>53.44</v>
      </c>
      <c r="DJ42" s="16">
        <v>927.56053333333318</v>
      </c>
      <c r="DK42" s="6">
        <v>4051.8005333333326</v>
      </c>
      <c r="DL42" s="6">
        <v>185.51210666666663</v>
      </c>
      <c r="DM42" s="16">
        <v>324.14404266666662</v>
      </c>
      <c r="DN42" s="16">
        <v>106.11199999999999</v>
      </c>
      <c r="DO42" s="125">
        <v>12.519372742975225</v>
      </c>
      <c r="DP42" s="16">
        <v>13392.857142857143</v>
      </c>
      <c r="DQ42" s="125">
        <v>26.785714285714285</v>
      </c>
      <c r="DR42" s="164" t="s">
        <v>950</v>
      </c>
      <c r="DS42" s="142">
        <v>-21.374804737061961</v>
      </c>
      <c r="DT42" s="142">
        <v>3.218</v>
      </c>
      <c r="DU42" s="142">
        <v>0.115</v>
      </c>
      <c r="DV42" s="142">
        <v>0.436</v>
      </c>
      <c r="DW42" s="142">
        <v>12.23</v>
      </c>
      <c r="DX42" s="142">
        <v>0</v>
      </c>
      <c r="DY42" s="142">
        <v>1</v>
      </c>
      <c r="DZ42" s="125">
        <v>4.5999999999999996</v>
      </c>
      <c r="EA42" s="142">
        <v>2</v>
      </c>
      <c r="EB42" s="125">
        <v>9.1999999999999993</v>
      </c>
      <c r="EC42" s="16">
        <v>41.661788137553131</v>
      </c>
      <c r="ED42" s="125">
        <v>3.6393648566717673</v>
      </c>
      <c r="EE42" s="125">
        <v>0.5875955869206172</v>
      </c>
      <c r="EF42" s="16">
        <v>87.074462822622692</v>
      </c>
      <c r="EG42" s="125">
        <v>3.4825927763179441</v>
      </c>
      <c r="EH42" s="123">
        <v>9.4330623754058731</v>
      </c>
      <c r="EI42" s="123">
        <v>1.4472861530868124</v>
      </c>
      <c r="EJ42" s="123">
        <v>0.70348144473641105</v>
      </c>
      <c r="EK42" s="123">
        <v>0.85041895656512778</v>
      </c>
      <c r="EL42" s="123">
        <v>0.38103446364402771</v>
      </c>
      <c r="EM42" s="123">
        <v>6.6359843481392051</v>
      </c>
      <c r="EN42" s="123">
        <v>0.14319773018360138</v>
      </c>
      <c r="EO42" s="123">
        <v>0.97632945063843279</v>
      </c>
      <c r="EP42" s="123">
        <v>0.97832482896482009</v>
      </c>
      <c r="EQ42" s="125">
        <v>1.7871341073636023E-2</v>
      </c>
      <c r="ER42" s="16">
        <v>105</v>
      </c>
      <c r="ES42" s="123">
        <v>1.4880952380952381</v>
      </c>
      <c r="ET42" s="19">
        <v>1</v>
      </c>
      <c r="EU42" s="139">
        <v>1.0553571428571429</v>
      </c>
      <c r="EV42" s="139">
        <v>1.2241666666666668</v>
      </c>
      <c r="EW42" s="123">
        <v>0</v>
      </c>
      <c r="EX42" s="123">
        <v>1.9857045637373359E-2</v>
      </c>
      <c r="EY42" s="123">
        <v>1.1667912385801877E-2</v>
      </c>
      <c r="EZ42" s="123">
        <v>0.18731275008862397</v>
      </c>
      <c r="FA42" s="123">
        <v>0</v>
      </c>
      <c r="FB42" s="123">
        <v>0.2188377081117992</v>
      </c>
      <c r="FC42" s="6" t="s">
        <v>977</v>
      </c>
      <c r="FD42" s="123">
        <v>0.14999265144546389</v>
      </c>
      <c r="FE42" s="6" t="s">
        <v>977</v>
      </c>
      <c r="FF42" s="123">
        <v>0.20851602470352948</v>
      </c>
      <c r="FG42" s="6" t="s">
        <v>977</v>
      </c>
      <c r="FH42" s="6">
        <v>1.6</v>
      </c>
      <c r="FI42" s="6">
        <v>1.5410572624165413</v>
      </c>
      <c r="FJ42" s="6">
        <v>0.96412099841457199</v>
      </c>
      <c r="FK42" s="123">
        <v>0.62562308483120732</v>
      </c>
      <c r="FL42" s="6" t="s">
        <v>977</v>
      </c>
      <c r="FM42" s="6">
        <v>1.6</v>
      </c>
      <c r="FN42" s="6">
        <v>2.4737776998351184</v>
      </c>
      <c r="FO42" s="138">
        <v>2.1134279203727635</v>
      </c>
      <c r="FP42" s="138">
        <v>0.34609471737958997</v>
      </c>
      <c r="FQ42" s="123">
        <v>0.16375988697951255</v>
      </c>
      <c r="FR42" s="6" t="s">
        <v>977</v>
      </c>
      <c r="FS42" s="6">
        <v>110.41292766437091</v>
      </c>
      <c r="FT42" s="139">
        <v>0.38103446364402771</v>
      </c>
      <c r="FU42" s="139">
        <v>0.5</v>
      </c>
      <c r="FV42" s="76">
        <v>150</v>
      </c>
      <c r="FW42" s="123">
        <v>0.73608618442913942</v>
      </c>
      <c r="FX42" s="6" t="s">
        <v>977</v>
      </c>
    </row>
    <row r="43" spans="1:208" ht="14.25">
      <c r="B43" s="10"/>
      <c r="C43" s="108"/>
      <c r="D43" s="103" t="s">
        <v>181</v>
      </c>
      <c r="E43" s="22">
        <v>1.5</v>
      </c>
      <c r="F43" s="103" t="s">
        <v>53</v>
      </c>
      <c r="G43" s="115">
        <f>F57</f>
        <v>1.128279569892473</v>
      </c>
      <c r="H43" s="103" t="s">
        <v>54</v>
      </c>
      <c r="I43" s="115">
        <f>H57</f>
        <v>1.1140860215053763</v>
      </c>
      <c r="J43" s="4"/>
      <c r="K43" s="103"/>
      <c r="L43" s="106"/>
      <c r="M43" s="42"/>
      <c r="N43" s="8"/>
      <c r="AI43" s="125"/>
      <c r="AJ43" s="16"/>
      <c r="AM43" s="16"/>
      <c r="AN43" s="16"/>
      <c r="AO43" s="125"/>
      <c r="AP43" s="16"/>
      <c r="AQ43" s="125"/>
      <c r="AR43" s="164"/>
      <c r="AY43" s="142"/>
      <c r="AZ43" s="125"/>
      <c r="BA43" s="142"/>
      <c r="BB43" s="125"/>
      <c r="BC43" s="16"/>
      <c r="BD43" s="125"/>
      <c r="BE43" s="125"/>
      <c r="BF43" s="16"/>
      <c r="BG43" s="125"/>
      <c r="BQ43" s="125"/>
      <c r="BR43" s="16"/>
      <c r="BS43" s="123"/>
      <c r="BT43" s="19"/>
      <c r="BU43" s="139"/>
      <c r="BV43" s="139"/>
      <c r="BW43" s="123"/>
      <c r="BX43" s="123"/>
      <c r="BY43" s="123"/>
      <c r="BZ43" s="123"/>
      <c r="CA43" s="123"/>
      <c r="CB43" s="123"/>
      <c r="CC43" s="6"/>
      <c r="CD43" s="123"/>
      <c r="CE43" s="6"/>
      <c r="CF43" s="123"/>
      <c r="CG43" s="6"/>
      <c r="CH43" s="6"/>
      <c r="CI43" s="6"/>
      <c r="CJ43" s="6"/>
      <c r="CK43" s="123"/>
      <c r="CL43" s="6"/>
      <c r="CM43" s="6"/>
      <c r="CN43" s="6"/>
      <c r="CO43" s="138"/>
      <c r="CP43" s="138"/>
      <c r="CQ43" s="123"/>
      <c r="CR43" s="6"/>
      <c r="CS43" s="6"/>
      <c r="CT43" s="139"/>
      <c r="CU43" s="139"/>
      <c r="CV43" s="76"/>
      <c r="CW43" s="123"/>
      <c r="CX43" s="6"/>
      <c r="DA43" s="68" t="s">
        <v>952</v>
      </c>
      <c r="DB43" s="7" t="s">
        <v>972</v>
      </c>
      <c r="DC43" s="26">
        <v>3.8</v>
      </c>
      <c r="DD43" s="26">
        <v>4.5999999999999996</v>
      </c>
      <c r="DE43" s="7">
        <v>250</v>
      </c>
      <c r="DF43" s="7">
        <v>100</v>
      </c>
      <c r="DG43" s="7">
        <v>8</v>
      </c>
      <c r="DH43" s="7">
        <v>8</v>
      </c>
      <c r="DI43" s="125">
        <v>53.44</v>
      </c>
      <c r="DJ43" s="16">
        <v>927.56053333333318</v>
      </c>
      <c r="DK43" s="6">
        <v>4051.8005333333326</v>
      </c>
      <c r="DL43" s="6">
        <v>185.51210666666663</v>
      </c>
      <c r="DM43" s="16">
        <v>324.14404266666662</v>
      </c>
      <c r="DN43" s="16">
        <v>106.11199999999999</v>
      </c>
      <c r="DO43" s="125">
        <v>12.519372742975225</v>
      </c>
      <c r="DP43" s="16">
        <v>13392.857142857143</v>
      </c>
      <c r="DQ43" s="125">
        <v>26.785714285714285</v>
      </c>
      <c r="DR43" s="164" t="s">
        <v>950</v>
      </c>
      <c r="DS43" s="142">
        <v>-21.374804737061972</v>
      </c>
      <c r="DT43" s="142">
        <v>3.218</v>
      </c>
      <c r="DU43" s="142">
        <v>0.115</v>
      </c>
      <c r="DV43" s="142">
        <v>0.436</v>
      </c>
      <c r="DW43" s="142">
        <v>12.23</v>
      </c>
      <c r="DX43" s="142">
        <v>0</v>
      </c>
      <c r="DY43" s="142">
        <v>1</v>
      </c>
      <c r="DZ43" s="125">
        <v>4.5999999999999996</v>
      </c>
      <c r="EA43" s="142">
        <v>2</v>
      </c>
      <c r="EB43" s="125">
        <v>9.1999999999999993</v>
      </c>
      <c r="EC43" s="16">
        <v>41.661788137553131</v>
      </c>
      <c r="ED43" s="125">
        <v>3.6393648566717673</v>
      </c>
      <c r="EE43" s="125">
        <v>0.58759558692061697</v>
      </c>
      <c r="EF43" s="16">
        <v>87.074462822622692</v>
      </c>
      <c r="EG43" s="125">
        <v>3.4825927763179441</v>
      </c>
      <c r="EH43" s="123">
        <v>9.4330623754058713</v>
      </c>
      <c r="EI43" s="123">
        <v>1.4472861530868124</v>
      </c>
      <c r="EJ43" s="123">
        <v>0.70348144473641105</v>
      </c>
      <c r="EK43" s="123">
        <v>0.85041895656512745</v>
      </c>
      <c r="EL43" s="123">
        <v>0.38103446364402771</v>
      </c>
      <c r="EM43" s="123">
        <v>6.6359843481392042</v>
      </c>
      <c r="EN43" s="123">
        <v>0.14319773018360138</v>
      </c>
      <c r="EO43" s="123">
        <v>0.97632945063843279</v>
      </c>
      <c r="EP43" s="123">
        <v>0.97832482896482009</v>
      </c>
      <c r="EQ43" s="125">
        <v>1.787134107363603E-2</v>
      </c>
      <c r="ER43" s="16">
        <v>105</v>
      </c>
      <c r="ES43" s="123">
        <v>1.4880952380952381</v>
      </c>
      <c r="ET43" s="19">
        <v>1</v>
      </c>
      <c r="EU43" s="139">
        <v>1.0553571428571429</v>
      </c>
      <c r="EV43" s="139">
        <v>1.2241666666666668</v>
      </c>
      <c r="EW43" s="123">
        <v>0</v>
      </c>
      <c r="EX43" s="123">
        <v>1.9857045637373366E-2</v>
      </c>
      <c r="EY43" s="123">
        <v>1.1667912385801877E-2</v>
      </c>
      <c r="EZ43" s="123">
        <v>0.18731275008862397</v>
      </c>
      <c r="FA43" s="123">
        <v>0</v>
      </c>
      <c r="FB43" s="123">
        <v>0.2188377081117992</v>
      </c>
      <c r="FC43" s="6" t="s">
        <v>977</v>
      </c>
      <c r="FD43" s="123">
        <v>0.14999265144546398</v>
      </c>
      <c r="FE43" s="6" t="s">
        <v>977</v>
      </c>
      <c r="FF43" s="123">
        <v>0.20851602470352948</v>
      </c>
      <c r="FG43" s="6" t="s">
        <v>977</v>
      </c>
      <c r="FH43" s="6">
        <v>1.6</v>
      </c>
      <c r="FI43" s="6">
        <v>1.5410572624165413</v>
      </c>
      <c r="FJ43" s="6">
        <v>0.96412099841457199</v>
      </c>
      <c r="FK43" s="123">
        <v>0.62562308483120732</v>
      </c>
      <c r="FL43" s="6" t="s">
        <v>977</v>
      </c>
      <c r="FM43" s="6">
        <v>1.6</v>
      </c>
      <c r="FN43" s="6">
        <v>2.4737776998351184</v>
      </c>
      <c r="FO43" s="138">
        <v>2.1134279203727631</v>
      </c>
      <c r="FP43" s="138">
        <v>0.34609471737958997</v>
      </c>
      <c r="FQ43" s="123">
        <v>0.16375988697951258</v>
      </c>
      <c r="FR43" s="6" t="s">
        <v>977</v>
      </c>
      <c r="FS43" s="6">
        <v>110.41292766437091</v>
      </c>
      <c r="FT43" s="139">
        <v>0.38103446364402771</v>
      </c>
      <c r="FU43" s="139">
        <v>0.5</v>
      </c>
      <c r="FV43" s="76">
        <v>150</v>
      </c>
      <c r="FW43" s="123">
        <v>0.73608618442913942</v>
      </c>
      <c r="FX43" s="6" t="s">
        <v>977</v>
      </c>
    </row>
    <row r="44" spans="1:208">
      <c r="B44" s="10"/>
      <c r="C44" s="108"/>
      <c r="D44" s="4"/>
      <c r="E44" s="4"/>
      <c r="F44" s="4"/>
      <c r="G44" s="4"/>
      <c r="H44" s="4"/>
      <c r="I44" s="4"/>
      <c r="J44" s="4"/>
      <c r="K44" s="103"/>
      <c r="L44" s="106"/>
      <c r="M44" s="42"/>
      <c r="N44" s="8"/>
      <c r="AI44" s="125"/>
      <c r="AJ44" s="16"/>
      <c r="AM44" s="16"/>
      <c r="AN44" s="16"/>
      <c r="AO44" s="125"/>
      <c r="AP44" s="16"/>
      <c r="AQ44" s="125"/>
      <c r="AR44" s="164"/>
      <c r="AY44" s="142"/>
      <c r="AZ44" s="125"/>
      <c r="BA44" s="142"/>
      <c r="BB44" s="125"/>
      <c r="BC44" s="16"/>
      <c r="BD44" s="125"/>
      <c r="BE44" s="125"/>
      <c r="BF44" s="16"/>
      <c r="BG44" s="125"/>
      <c r="BQ44" s="125"/>
      <c r="BR44" s="16"/>
      <c r="BS44" s="123"/>
      <c r="BT44" s="19"/>
      <c r="BU44" s="139"/>
      <c r="BV44" s="139"/>
      <c r="BW44" s="123"/>
      <c r="BX44" s="123"/>
      <c r="BY44" s="123"/>
      <c r="BZ44" s="123"/>
      <c r="CA44" s="123"/>
      <c r="CB44" s="123"/>
      <c r="CC44" s="6"/>
      <c r="CD44" s="123"/>
      <c r="CE44" s="6"/>
      <c r="CF44" s="123"/>
      <c r="CG44" s="6"/>
      <c r="CH44" s="6"/>
      <c r="CI44" s="6"/>
      <c r="CJ44" s="6"/>
      <c r="CK44" s="123"/>
      <c r="CL44" s="6"/>
      <c r="CM44" s="6"/>
      <c r="CN44" s="6"/>
      <c r="CO44" s="138"/>
      <c r="CP44" s="138"/>
      <c r="CQ44" s="123"/>
      <c r="CR44" s="6"/>
      <c r="CS44" s="6"/>
      <c r="CT44" s="139"/>
      <c r="CU44" s="139"/>
      <c r="CV44" s="76"/>
      <c r="CW44" s="123"/>
      <c r="CX44" s="6"/>
      <c r="DA44" s="68" t="s">
        <v>952</v>
      </c>
      <c r="DB44" s="7" t="s">
        <v>973</v>
      </c>
      <c r="DC44" s="26">
        <v>3.8</v>
      </c>
      <c r="DD44" s="26">
        <v>4.5999999999999996</v>
      </c>
      <c r="DE44" s="7">
        <v>250</v>
      </c>
      <c r="DF44" s="7">
        <v>100</v>
      </c>
      <c r="DG44" s="7">
        <v>8</v>
      </c>
      <c r="DH44" s="7">
        <v>8</v>
      </c>
      <c r="DI44" s="125">
        <v>53.44</v>
      </c>
      <c r="DJ44" s="16">
        <v>927.56053333333318</v>
      </c>
      <c r="DK44" s="6">
        <v>4051.8005333333326</v>
      </c>
      <c r="DL44" s="6">
        <v>185.51210666666663</v>
      </c>
      <c r="DM44" s="16">
        <v>324.14404266666662</v>
      </c>
      <c r="DN44" s="16">
        <v>106.11199999999999</v>
      </c>
      <c r="DO44" s="125">
        <v>12.519372742975225</v>
      </c>
      <c r="DP44" s="16">
        <v>13392.857142857143</v>
      </c>
      <c r="DQ44" s="125">
        <v>26.785714285714285</v>
      </c>
      <c r="DR44" s="164" t="s">
        <v>950</v>
      </c>
      <c r="DS44" s="142">
        <v>-37.429295558371805</v>
      </c>
      <c r="DT44" s="142">
        <v>1.748</v>
      </c>
      <c r="DU44" s="142">
        <v>0</v>
      </c>
      <c r="DV44" s="142">
        <v>0</v>
      </c>
      <c r="DW44" s="142">
        <v>6.6420000000000003</v>
      </c>
      <c r="DX44" s="142">
        <v>0</v>
      </c>
      <c r="DY44" s="142">
        <v>1</v>
      </c>
      <c r="DZ44" s="125">
        <v>4.5999999999999996</v>
      </c>
      <c r="EA44" s="142">
        <v>2</v>
      </c>
      <c r="EB44" s="125">
        <v>9.1999999999999993</v>
      </c>
      <c r="EC44" s="16">
        <v>41.661788137553131</v>
      </c>
      <c r="ED44" s="125">
        <v>3.6393648566717673</v>
      </c>
      <c r="EE44" s="125">
        <v>0</v>
      </c>
      <c r="EF44" s="16">
        <v>87.074462822622692</v>
      </c>
      <c r="EG44" s="125">
        <v>3.4825927763179441</v>
      </c>
      <c r="EH44" s="123">
        <v>2.9256045513320807</v>
      </c>
      <c r="EI44" s="123">
        <v>1.4632762171993878</v>
      </c>
      <c r="EJ44" s="123">
        <v>1.3933021972452786</v>
      </c>
      <c r="EK44" s="123">
        <v>0</v>
      </c>
      <c r="EL44" s="123">
        <v>0.56377850411735253</v>
      </c>
      <c r="EM44" s="123">
        <v>4.0762512496417758</v>
      </c>
      <c r="EN44" s="123">
        <v>0.19637393951416016</v>
      </c>
      <c r="EO44" s="123">
        <v>0.95855063945698016</v>
      </c>
      <c r="EP44" s="123">
        <v>0.96204473477377261</v>
      </c>
      <c r="EQ44" s="125">
        <v>3.1294400828362212E-2</v>
      </c>
      <c r="ER44" s="16">
        <v>105</v>
      </c>
      <c r="ES44" s="123">
        <v>1.4880952380952381</v>
      </c>
      <c r="ET44" s="19">
        <v>1</v>
      </c>
      <c r="EU44" s="139">
        <v>1.0553571428571429</v>
      </c>
      <c r="EV44" s="139">
        <v>1.2241666666666668</v>
      </c>
      <c r="EW44" s="123">
        <v>0</v>
      </c>
      <c r="EX44" s="123">
        <v>3.4771556475958011E-2</v>
      </c>
      <c r="EY44" s="123">
        <v>0</v>
      </c>
      <c r="EZ44" s="123">
        <v>0.10172782388296325</v>
      </c>
      <c r="FA44" s="123">
        <v>0</v>
      </c>
      <c r="FB44" s="123">
        <v>0.13649938035892126</v>
      </c>
      <c r="FC44" s="6" t="s">
        <v>977</v>
      </c>
      <c r="FD44" s="123">
        <v>0.17706808022482382</v>
      </c>
      <c r="FE44" s="6" t="s">
        <v>977</v>
      </c>
      <c r="FF44" s="123">
        <v>0.14805407524446307</v>
      </c>
      <c r="FG44" s="6" t="s">
        <v>977</v>
      </c>
      <c r="FH44" s="6">
        <v>1.6</v>
      </c>
      <c r="FI44" s="6">
        <v>1.6</v>
      </c>
      <c r="FJ44" s="6">
        <v>0.96412099841457199</v>
      </c>
      <c r="FK44" s="123">
        <v>0.60257562400910747</v>
      </c>
      <c r="FL44" s="6" t="s">
        <v>977</v>
      </c>
      <c r="FM44" s="6">
        <v>1.6</v>
      </c>
      <c r="FN44" s="6">
        <v>2.4737776998351184</v>
      </c>
      <c r="FO44" s="138">
        <v>1.6</v>
      </c>
      <c r="FP44" s="138">
        <v>0.34609471737958997</v>
      </c>
      <c r="FQ44" s="123">
        <v>0.21630919836224372</v>
      </c>
      <c r="FR44" s="6" t="s">
        <v>977</v>
      </c>
      <c r="FS44" s="6">
        <v>110.41292766437091</v>
      </c>
      <c r="FT44" s="139">
        <v>0.56377850411735253</v>
      </c>
      <c r="FU44" s="139">
        <v>0.5</v>
      </c>
      <c r="FV44" s="76">
        <v>150</v>
      </c>
      <c r="FW44" s="123">
        <v>0.73608618442913942</v>
      </c>
      <c r="FX44" s="6" t="s">
        <v>977</v>
      </c>
    </row>
    <row r="45" spans="1:208">
      <c r="B45" s="10"/>
      <c r="C45" s="108"/>
      <c r="D45" s="4"/>
      <c r="E45" s="4"/>
      <c r="F45" s="4"/>
      <c r="G45" s="4"/>
      <c r="H45" s="4"/>
      <c r="I45" s="4"/>
      <c r="J45" s="4"/>
      <c r="K45" s="103"/>
      <c r="L45" s="106"/>
      <c r="M45" s="42"/>
      <c r="N45" s="8"/>
      <c r="AI45" s="125"/>
      <c r="AJ45" s="16"/>
      <c r="AM45" s="16"/>
      <c r="AN45" s="16"/>
      <c r="AO45" s="125"/>
      <c r="AP45" s="16"/>
      <c r="AQ45" s="125"/>
      <c r="AR45" s="164"/>
      <c r="AY45" s="142"/>
      <c r="AZ45" s="125"/>
      <c r="BA45" s="142"/>
      <c r="BB45" s="125"/>
      <c r="BC45" s="16"/>
      <c r="BD45" s="125"/>
      <c r="BE45" s="125"/>
      <c r="BF45" s="16"/>
      <c r="BG45" s="125"/>
      <c r="BQ45" s="125"/>
      <c r="BR45" s="16"/>
      <c r="BS45" s="123"/>
      <c r="BT45" s="19"/>
      <c r="BU45" s="139"/>
      <c r="BV45" s="139"/>
      <c r="BW45" s="123"/>
      <c r="BX45" s="123"/>
      <c r="BY45" s="123"/>
      <c r="BZ45" s="123"/>
      <c r="CA45" s="123"/>
      <c r="CB45" s="123"/>
      <c r="CC45" s="6"/>
      <c r="CD45" s="123"/>
      <c r="CE45" s="6"/>
      <c r="CF45" s="123"/>
      <c r="CG45" s="6"/>
      <c r="CH45" s="6"/>
      <c r="CI45" s="6"/>
      <c r="CJ45" s="6"/>
      <c r="CK45" s="123"/>
      <c r="CL45" s="6"/>
      <c r="CM45" s="6"/>
      <c r="CN45" s="6"/>
      <c r="CO45" s="138"/>
      <c r="CP45" s="138"/>
      <c r="CQ45" s="123"/>
      <c r="CR45" s="6"/>
      <c r="CS45" s="6"/>
      <c r="CT45" s="139"/>
      <c r="CU45" s="139"/>
      <c r="CV45" s="76"/>
      <c r="CW45" s="123"/>
      <c r="CX45" s="6"/>
      <c r="DA45" s="68" t="s">
        <v>952</v>
      </c>
      <c r="DB45" s="7" t="s">
        <v>974</v>
      </c>
      <c r="DC45" s="26">
        <v>3.8</v>
      </c>
      <c r="DD45" s="26">
        <v>4.5999999999999996</v>
      </c>
      <c r="DE45" s="7">
        <v>250</v>
      </c>
      <c r="DF45" s="7">
        <v>100</v>
      </c>
      <c r="DG45" s="7">
        <v>8</v>
      </c>
      <c r="DH45" s="7">
        <v>8</v>
      </c>
      <c r="DI45" s="125">
        <v>53.44</v>
      </c>
      <c r="DJ45" s="16">
        <v>927.56053333333318</v>
      </c>
      <c r="DK45" s="6">
        <v>4051.8005333333326</v>
      </c>
      <c r="DL45" s="6">
        <v>185.51210666666663</v>
      </c>
      <c r="DM45" s="16">
        <v>324.14404266666662</v>
      </c>
      <c r="DN45" s="16">
        <v>106.11199999999999</v>
      </c>
      <c r="DO45" s="125">
        <v>12.519372742975225</v>
      </c>
      <c r="DP45" s="16">
        <v>13392.857142857143</v>
      </c>
      <c r="DQ45" s="125">
        <v>26.785714285714285</v>
      </c>
      <c r="DR45" s="164" t="s">
        <v>950</v>
      </c>
      <c r="DS45" s="142">
        <v>-30.370973180167852</v>
      </c>
      <c r="DT45" s="142">
        <v>2.6469999999999998</v>
      </c>
      <c r="DU45" s="142">
        <v>7.0999999999999994E-2</v>
      </c>
      <c r="DV45" s="142">
        <v>0.26900000000000002</v>
      </c>
      <c r="DW45" s="142">
        <v>10.058999999999999</v>
      </c>
      <c r="DX45" s="142">
        <v>0</v>
      </c>
      <c r="DY45" s="142">
        <v>1</v>
      </c>
      <c r="DZ45" s="125">
        <v>4.5999999999999996</v>
      </c>
      <c r="EA45" s="142">
        <v>2</v>
      </c>
      <c r="EB45" s="125">
        <v>9.1999999999999993</v>
      </c>
      <c r="EC45" s="16">
        <v>41.661788137553131</v>
      </c>
      <c r="ED45" s="125">
        <v>3.6393648566717673</v>
      </c>
      <c r="EE45" s="125">
        <v>0.25514541235974675</v>
      </c>
      <c r="EF45" s="16">
        <v>87.074462822622692</v>
      </c>
      <c r="EG45" s="125">
        <v>3.4825927763179441</v>
      </c>
      <c r="EH45" s="123">
        <v>5.4604005920187708</v>
      </c>
      <c r="EI45" s="123">
        <v>1.4563330209050749</v>
      </c>
      <c r="EJ45" s="123">
        <v>0.70348144473641105</v>
      </c>
      <c r="EK45" s="123">
        <v>0.37157668915194103</v>
      </c>
      <c r="EL45" s="123">
        <v>0.47041037678718567</v>
      </c>
      <c r="EM45" s="123">
        <v>3.8412904973129192</v>
      </c>
      <c r="EN45" s="123">
        <v>0.20440816879272461</v>
      </c>
      <c r="EO45" s="123">
        <v>0.96636705557485181</v>
      </c>
      <c r="EP45" s="123">
        <v>0.96920224318851556</v>
      </c>
      <c r="EQ45" s="125">
        <v>2.5392981461950764E-2</v>
      </c>
      <c r="ER45" s="16">
        <v>105</v>
      </c>
      <c r="ES45" s="123">
        <v>1.4880952380952381</v>
      </c>
      <c r="ET45" s="19">
        <v>1</v>
      </c>
      <c r="EU45" s="139">
        <v>1.0553571428571429</v>
      </c>
      <c r="EV45" s="139">
        <v>1.2241666666666668</v>
      </c>
      <c r="EW45" s="123">
        <v>0</v>
      </c>
      <c r="EX45" s="123">
        <v>2.821442384661196E-2</v>
      </c>
      <c r="EY45" s="123">
        <v>7.1987808068364805E-3</v>
      </c>
      <c r="EZ45" s="123">
        <v>0.15406205667550846</v>
      </c>
      <c r="FA45" s="123">
        <v>0</v>
      </c>
      <c r="FB45" s="123">
        <v>0.1894752613289569</v>
      </c>
      <c r="FC45" s="6" t="s">
        <v>977</v>
      </c>
      <c r="FD45" s="123">
        <v>0.14508840602261489</v>
      </c>
      <c r="FE45" s="6" t="s">
        <v>977</v>
      </c>
      <c r="FF45" s="123">
        <v>0.18982795374762318</v>
      </c>
      <c r="FG45" s="6" t="s">
        <v>977</v>
      </c>
      <c r="FH45" s="6">
        <v>1.6</v>
      </c>
      <c r="FI45" s="6">
        <v>1.5744059189328534</v>
      </c>
      <c r="FJ45" s="6">
        <v>0.96412099841457199</v>
      </c>
      <c r="FK45" s="123">
        <v>0.61237129943468582</v>
      </c>
      <c r="FL45" s="6" t="s">
        <v>977</v>
      </c>
      <c r="FM45" s="6">
        <v>1.6</v>
      </c>
      <c r="FN45" s="6">
        <v>2.4737776998351184</v>
      </c>
      <c r="FO45" s="138">
        <v>1.8229403715351824</v>
      </c>
      <c r="FP45" s="138">
        <v>0.34609471737958997</v>
      </c>
      <c r="FQ45" s="123">
        <v>0.18985520469225639</v>
      </c>
      <c r="FR45" s="6" t="s">
        <v>977</v>
      </c>
      <c r="FS45" s="6">
        <v>110.41292766437091</v>
      </c>
      <c r="FT45" s="139">
        <v>0.47041037678718567</v>
      </c>
      <c r="FU45" s="139">
        <v>0.5</v>
      </c>
      <c r="FV45" s="76">
        <v>150</v>
      </c>
      <c r="FW45" s="123">
        <v>0.73608618442913942</v>
      </c>
      <c r="FX45" s="6" t="s">
        <v>977</v>
      </c>
    </row>
    <row r="46" spans="1:208">
      <c r="B46" s="10"/>
      <c r="C46" s="108"/>
      <c r="D46" s="4"/>
      <c r="E46" s="4"/>
      <c r="F46" s="4"/>
      <c r="G46" s="4"/>
      <c r="H46" s="4"/>
      <c r="I46" s="4"/>
      <c r="J46" s="4"/>
      <c r="K46" s="103"/>
      <c r="L46" s="106"/>
      <c r="M46" s="42"/>
      <c r="N46" s="8"/>
      <c r="AI46" s="125"/>
      <c r="AJ46" s="16"/>
      <c r="AM46" s="16"/>
      <c r="AN46" s="16"/>
      <c r="AO46" s="125"/>
      <c r="AP46" s="16"/>
      <c r="AQ46" s="125"/>
      <c r="AR46" s="164"/>
      <c r="AY46" s="142"/>
      <c r="AZ46" s="125"/>
      <c r="BA46" s="142"/>
      <c r="BB46" s="125"/>
      <c r="BC46" s="16"/>
      <c r="BD46" s="125"/>
      <c r="BE46" s="125"/>
      <c r="BF46" s="16"/>
      <c r="BG46" s="125"/>
      <c r="BQ46" s="125"/>
      <c r="BR46" s="16"/>
      <c r="BS46" s="123"/>
      <c r="BT46" s="19"/>
      <c r="BU46" s="139"/>
      <c r="BV46" s="139"/>
      <c r="BW46" s="123"/>
      <c r="BX46" s="123"/>
      <c r="BY46" s="123"/>
      <c r="BZ46" s="123"/>
      <c r="CA46" s="123"/>
      <c r="CB46" s="123"/>
      <c r="CC46" s="6"/>
      <c r="CD46" s="123"/>
      <c r="CE46" s="6"/>
      <c r="CF46" s="123"/>
      <c r="CG46" s="6"/>
      <c r="CH46" s="6"/>
      <c r="CI46" s="6"/>
      <c r="CJ46" s="6"/>
      <c r="CK46" s="123"/>
      <c r="CL46" s="6"/>
      <c r="CM46" s="6"/>
      <c r="CN46" s="6"/>
      <c r="CO46" s="138"/>
      <c r="CP46" s="138"/>
      <c r="CQ46" s="123"/>
      <c r="CR46" s="6"/>
      <c r="CS46" s="6"/>
      <c r="CT46" s="139"/>
      <c r="CU46" s="139"/>
      <c r="CV46" s="76"/>
      <c r="CW46" s="123"/>
      <c r="CX46" s="6"/>
      <c r="DA46" s="68" t="s">
        <v>952</v>
      </c>
      <c r="DB46" s="7" t="s">
        <v>975</v>
      </c>
      <c r="DC46" s="26">
        <v>3.8</v>
      </c>
      <c r="DD46" s="26">
        <v>4.5999999999999996</v>
      </c>
      <c r="DE46" s="7">
        <v>250</v>
      </c>
      <c r="DF46" s="7">
        <v>100</v>
      </c>
      <c r="DG46" s="7">
        <v>8</v>
      </c>
      <c r="DH46" s="7">
        <v>8</v>
      </c>
      <c r="DI46" s="125">
        <v>53.44</v>
      </c>
      <c r="DJ46" s="16">
        <v>927.56053333333318</v>
      </c>
      <c r="DK46" s="6">
        <v>4051.8005333333326</v>
      </c>
      <c r="DL46" s="6">
        <v>185.51210666666663</v>
      </c>
      <c r="DM46" s="16">
        <v>324.14404266666662</v>
      </c>
      <c r="DN46" s="16">
        <v>106.11199999999999</v>
      </c>
      <c r="DO46" s="125">
        <v>12.519372742975225</v>
      </c>
      <c r="DP46" s="16">
        <v>13392.857142857143</v>
      </c>
      <c r="DQ46" s="125">
        <v>26.785714285714285</v>
      </c>
      <c r="DR46" s="164" t="s">
        <v>950</v>
      </c>
      <c r="DS46" s="142">
        <v>-30.370973180167873</v>
      </c>
      <c r="DT46" s="142">
        <v>2.6469999999999998</v>
      </c>
      <c r="DU46" s="142">
        <v>7.0999999999999994E-2</v>
      </c>
      <c r="DV46" s="142">
        <v>0.26900000000000002</v>
      </c>
      <c r="DW46" s="142">
        <v>10.058999999999999</v>
      </c>
      <c r="DX46" s="142">
        <v>0</v>
      </c>
      <c r="DY46" s="142">
        <v>1</v>
      </c>
      <c r="DZ46" s="125">
        <v>4.5999999999999996</v>
      </c>
      <c r="EA46" s="142">
        <v>2</v>
      </c>
      <c r="EB46" s="125">
        <v>9.1999999999999993</v>
      </c>
      <c r="EC46" s="16">
        <v>41.661788137553131</v>
      </c>
      <c r="ED46" s="125">
        <v>3.6393648566717673</v>
      </c>
      <c r="EE46" s="125">
        <v>0.25514541235974653</v>
      </c>
      <c r="EF46" s="16">
        <v>87.074462822622692</v>
      </c>
      <c r="EG46" s="125">
        <v>3.4825927763179441</v>
      </c>
      <c r="EH46" s="123">
        <v>5.4604005920187664</v>
      </c>
      <c r="EI46" s="123">
        <v>1.4563330209050749</v>
      </c>
      <c r="EJ46" s="123">
        <v>0.70348144473641105</v>
      </c>
      <c r="EK46" s="123">
        <v>0.3715766891519407</v>
      </c>
      <c r="EL46" s="123">
        <v>0.47041037678718567</v>
      </c>
      <c r="EM46" s="123">
        <v>3.8412904973129161</v>
      </c>
      <c r="EN46" s="123">
        <v>0.20440816879272461</v>
      </c>
      <c r="EO46" s="123">
        <v>0.96636705557485181</v>
      </c>
      <c r="EP46" s="123">
        <v>0.96920224318851556</v>
      </c>
      <c r="EQ46" s="125">
        <v>2.5392981461950785E-2</v>
      </c>
      <c r="ER46" s="16">
        <v>105</v>
      </c>
      <c r="ES46" s="123">
        <v>1.4880952380952381</v>
      </c>
      <c r="ET46" s="19">
        <v>1</v>
      </c>
      <c r="EU46" s="139">
        <v>1.0553571428571429</v>
      </c>
      <c r="EV46" s="139">
        <v>1.2241666666666668</v>
      </c>
      <c r="EW46" s="123">
        <v>0</v>
      </c>
      <c r="EX46" s="123">
        <v>2.8214423846611984E-2</v>
      </c>
      <c r="EY46" s="123">
        <v>7.1987808068364805E-3</v>
      </c>
      <c r="EZ46" s="123">
        <v>0.15406205667550846</v>
      </c>
      <c r="FA46" s="123">
        <v>0</v>
      </c>
      <c r="FB46" s="123">
        <v>0.18947526132895692</v>
      </c>
      <c r="FC46" s="6" t="s">
        <v>977</v>
      </c>
      <c r="FD46" s="123">
        <v>0.145088406022615</v>
      </c>
      <c r="FE46" s="6" t="s">
        <v>977</v>
      </c>
      <c r="FF46" s="123">
        <v>0.18982795374762321</v>
      </c>
      <c r="FG46" s="6" t="s">
        <v>977</v>
      </c>
      <c r="FH46" s="6">
        <v>1.6</v>
      </c>
      <c r="FI46" s="6">
        <v>1.5744059189328534</v>
      </c>
      <c r="FJ46" s="6">
        <v>0.96412099841457199</v>
      </c>
      <c r="FK46" s="123">
        <v>0.61237129943468582</v>
      </c>
      <c r="FL46" s="6" t="s">
        <v>977</v>
      </c>
      <c r="FM46" s="6">
        <v>1.6</v>
      </c>
      <c r="FN46" s="6">
        <v>2.4737776998351184</v>
      </c>
      <c r="FO46" s="138">
        <v>1.8229403715351822</v>
      </c>
      <c r="FP46" s="138">
        <v>0.34609471737958997</v>
      </c>
      <c r="FQ46" s="123">
        <v>0.18985520469225642</v>
      </c>
      <c r="FR46" s="6" t="s">
        <v>977</v>
      </c>
      <c r="FS46" s="6">
        <v>110.41292766437091</v>
      </c>
      <c r="FT46" s="139">
        <v>0.47041037678718567</v>
      </c>
      <c r="FU46" s="139">
        <v>0.5</v>
      </c>
      <c r="FV46" s="76">
        <v>150</v>
      </c>
      <c r="FW46" s="123">
        <v>0.73608618442913942</v>
      </c>
      <c r="FX46" s="6" t="s">
        <v>977</v>
      </c>
    </row>
    <row r="47" spans="1:208" ht="14.25">
      <c r="B47" s="10" t="s">
        <v>29</v>
      </c>
      <c r="C47" s="4"/>
      <c r="D47" s="4"/>
      <c r="E47" s="4"/>
      <c r="F47" s="4"/>
      <c r="G47" s="4"/>
      <c r="H47" s="4"/>
      <c r="I47" s="4"/>
      <c r="J47" s="4"/>
      <c r="K47" s="94" t="s">
        <v>51</v>
      </c>
      <c r="L47" s="111">
        <f>D27*F27</f>
        <v>205.71428571428569</v>
      </c>
      <c r="M47" s="93" t="s">
        <v>39</v>
      </c>
      <c r="N47" s="8"/>
      <c r="AI47" s="125"/>
      <c r="AJ47" s="16"/>
      <c r="AM47" s="16"/>
      <c r="AN47" s="16"/>
      <c r="AO47" s="125"/>
      <c r="AP47" s="16"/>
      <c r="AQ47" s="125"/>
      <c r="AR47" s="164"/>
      <c r="AY47" s="142"/>
      <c r="AZ47" s="125"/>
      <c r="BA47" s="142"/>
      <c r="BB47" s="125"/>
      <c r="BC47" s="16"/>
      <c r="BD47" s="125"/>
      <c r="BE47" s="125"/>
      <c r="BF47" s="16"/>
      <c r="BG47" s="125"/>
      <c r="BQ47" s="125"/>
      <c r="BR47" s="16"/>
      <c r="BS47" s="123"/>
      <c r="BT47" s="19"/>
      <c r="BU47" s="139"/>
      <c r="BV47" s="139"/>
      <c r="BW47" s="123"/>
      <c r="BX47" s="123"/>
      <c r="BY47" s="123"/>
      <c r="BZ47" s="123"/>
      <c r="CA47" s="123"/>
      <c r="CB47" s="123"/>
      <c r="CC47" s="6"/>
      <c r="CD47" s="123"/>
      <c r="CE47" s="6"/>
      <c r="CF47" s="123"/>
      <c r="CG47" s="6"/>
      <c r="CH47" s="6"/>
      <c r="CI47" s="6"/>
      <c r="CJ47" s="6"/>
      <c r="CK47" s="123"/>
      <c r="CL47" s="6"/>
      <c r="CM47" s="6"/>
      <c r="CN47" s="6"/>
      <c r="CO47" s="138"/>
      <c r="CP47" s="138"/>
      <c r="CQ47" s="123"/>
      <c r="CR47" s="6"/>
      <c r="CS47" s="6"/>
      <c r="CT47" s="139"/>
      <c r="CU47" s="139"/>
      <c r="CV47" s="76"/>
      <c r="CW47" s="123"/>
      <c r="CX47" s="6"/>
      <c r="DA47" s="68" t="s">
        <v>952</v>
      </c>
      <c r="DB47" s="7" t="s">
        <v>976</v>
      </c>
      <c r="DC47" s="26">
        <v>3.8</v>
      </c>
      <c r="DD47" s="26">
        <v>4.5999999999999996</v>
      </c>
      <c r="DE47" s="7">
        <v>250</v>
      </c>
      <c r="DF47" s="7">
        <v>100</v>
      </c>
      <c r="DG47" s="7">
        <v>8</v>
      </c>
      <c r="DH47" s="7">
        <v>8</v>
      </c>
      <c r="DI47" s="125">
        <v>53.44</v>
      </c>
      <c r="DJ47" s="16">
        <v>927.56053333333318</v>
      </c>
      <c r="DK47" s="6">
        <v>4051.8005333333326</v>
      </c>
      <c r="DL47" s="6">
        <v>185.51210666666663</v>
      </c>
      <c r="DM47" s="16">
        <v>324.14404266666662</v>
      </c>
      <c r="DN47" s="16">
        <v>106.11199999999999</v>
      </c>
      <c r="DO47" s="125">
        <v>12.519372742975225</v>
      </c>
      <c r="DP47" s="16">
        <v>13392.857142857143</v>
      </c>
      <c r="DQ47" s="125">
        <v>26.785714285714285</v>
      </c>
      <c r="DR47" s="164" t="s">
        <v>950</v>
      </c>
      <c r="DS47" s="142">
        <v>-13.933094580682187</v>
      </c>
      <c r="DT47" s="142">
        <v>0.93</v>
      </c>
      <c r="DU47" s="142">
        <v>9.5000000000000001E-2</v>
      </c>
      <c r="DV47" s="142">
        <v>0.35899999999999999</v>
      </c>
      <c r="DW47" s="142">
        <v>3.5350000000000001</v>
      </c>
      <c r="DX47" s="142">
        <v>0</v>
      </c>
      <c r="DY47" s="142">
        <v>1</v>
      </c>
      <c r="DZ47" s="125">
        <v>4.5999999999999996</v>
      </c>
      <c r="EA47" s="142">
        <v>2</v>
      </c>
      <c r="EB47" s="125">
        <v>9.1999999999999993</v>
      </c>
      <c r="EC47" s="16">
        <v>41.661788137553131</v>
      </c>
      <c r="ED47" s="125">
        <v>3.6393648566717673</v>
      </c>
      <c r="EE47" s="125">
        <v>0.74223436076101479</v>
      </c>
      <c r="EF47" s="16">
        <v>87.074462822622692</v>
      </c>
      <c r="EG47" s="125">
        <v>3.4825927763179441</v>
      </c>
      <c r="EH47" s="123">
        <v>4.1828302306075109</v>
      </c>
      <c r="EI47" s="123">
        <v>1.4430780140826438</v>
      </c>
      <c r="EJ47" s="123">
        <v>1.3551477306946564</v>
      </c>
      <c r="EK47" s="123">
        <v>1.0711020873109058</v>
      </c>
      <c r="EL47" s="123">
        <v>0.35566404461860657</v>
      </c>
      <c r="EM47" s="123">
        <v>5.6683528948887751</v>
      </c>
      <c r="EN47" s="123">
        <v>0.15942223370075226</v>
      </c>
      <c r="EO47" s="123">
        <v>0.98457043200682093</v>
      </c>
      <c r="EP47" s="123">
        <v>0.98587111265807348</v>
      </c>
      <c r="EQ47" s="125">
        <v>1.1649373574433287E-2</v>
      </c>
      <c r="ER47" s="16">
        <v>105</v>
      </c>
      <c r="ES47" s="123">
        <v>1.4880952380952381</v>
      </c>
      <c r="ET47" s="19">
        <v>1</v>
      </c>
      <c r="EU47" s="139">
        <v>1.0553571428571429</v>
      </c>
      <c r="EV47" s="139">
        <v>1.2241666666666668</v>
      </c>
      <c r="EW47" s="123">
        <v>0</v>
      </c>
      <c r="EX47" s="123">
        <v>1.2943748416036984E-2</v>
      </c>
      <c r="EY47" s="123">
        <v>9.6072948314286106E-3</v>
      </c>
      <c r="EZ47" s="123">
        <v>5.4141502171977572E-2</v>
      </c>
      <c r="FA47" s="123">
        <v>0</v>
      </c>
      <c r="FB47" s="123">
        <v>7.6692545419443175E-2</v>
      </c>
      <c r="FC47" s="6" t="s">
        <v>977</v>
      </c>
      <c r="FD47" s="123">
        <v>9.043763471633795E-2</v>
      </c>
      <c r="FE47" s="6" t="s">
        <v>977</v>
      </c>
      <c r="FF47" s="123">
        <v>8.1254256090892679E-2</v>
      </c>
      <c r="FG47" s="6" t="s">
        <v>977</v>
      </c>
      <c r="FH47" s="6">
        <v>1.6</v>
      </c>
      <c r="FI47" s="6">
        <v>1.525545177456084</v>
      </c>
      <c r="FJ47" s="6">
        <v>0.96412099841457199</v>
      </c>
      <c r="FK47" s="123">
        <v>0.63198456044565499</v>
      </c>
      <c r="FL47" s="6" t="s">
        <v>977</v>
      </c>
      <c r="FM47" s="6">
        <v>1.6</v>
      </c>
      <c r="FN47" s="6">
        <v>2.4737776998351184</v>
      </c>
      <c r="FO47" s="138">
        <v>2.2485478324843489</v>
      </c>
      <c r="FP47" s="138">
        <v>0.34609471737958997</v>
      </c>
      <c r="FQ47" s="123">
        <v>0.15391921505054262</v>
      </c>
      <c r="FR47" s="6" t="s">
        <v>977</v>
      </c>
      <c r="FS47" s="6">
        <v>110.41292766437091</v>
      </c>
      <c r="FT47" s="139">
        <v>0.35566404461860657</v>
      </c>
      <c r="FU47" s="139">
        <v>0.5</v>
      </c>
      <c r="FV47" s="76">
        <v>150</v>
      </c>
      <c r="FW47" s="123">
        <v>0.73608618442913942</v>
      </c>
      <c r="FX47" s="6" t="s">
        <v>977</v>
      </c>
    </row>
    <row r="48" spans="1:208" ht="14.25">
      <c r="B48" s="10" t="s">
        <v>55</v>
      </c>
      <c r="C48" s="4"/>
      <c r="D48" s="4"/>
      <c r="E48" s="4"/>
      <c r="F48" s="4"/>
      <c r="G48" s="4"/>
      <c r="H48" s="4"/>
      <c r="I48" s="4"/>
      <c r="J48" s="4"/>
      <c r="K48" s="94" t="s">
        <v>56</v>
      </c>
      <c r="L48" s="104">
        <f>(ABS(F31)/(G27*L47)*10)^IF(K39=104,E43,1)</f>
        <v>7.9127731884045982E-2</v>
      </c>
      <c r="M48" s="93"/>
      <c r="N48" s="8"/>
      <c r="AI48" s="125"/>
      <c r="AJ48" s="16"/>
      <c r="AM48" s="16"/>
      <c r="AN48" s="16"/>
      <c r="AO48" s="125"/>
      <c r="AP48" s="16"/>
      <c r="AQ48" s="125"/>
      <c r="AR48" s="164"/>
      <c r="AY48" s="142"/>
      <c r="AZ48" s="125"/>
      <c r="BA48" s="142"/>
      <c r="BB48" s="125"/>
      <c r="BC48" s="16"/>
      <c r="BD48" s="125"/>
      <c r="BE48" s="125"/>
      <c r="BF48" s="16"/>
      <c r="BG48" s="125"/>
      <c r="BQ48" s="125"/>
      <c r="BR48" s="16"/>
      <c r="BS48" s="123"/>
      <c r="BT48" s="19"/>
      <c r="BU48" s="139"/>
      <c r="BV48" s="139"/>
      <c r="BW48" s="123"/>
      <c r="BX48" s="123"/>
      <c r="BY48" s="123"/>
      <c r="BZ48" s="123"/>
      <c r="CA48" s="123"/>
      <c r="CB48" s="123"/>
      <c r="CC48" s="6"/>
      <c r="CD48" s="123"/>
      <c r="CE48" s="6"/>
      <c r="CF48" s="123"/>
      <c r="CG48" s="6"/>
      <c r="CH48" s="6"/>
      <c r="CI48" s="6"/>
      <c r="CJ48" s="6"/>
      <c r="CK48" s="123"/>
      <c r="CL48" s="6"/>
      <c r="CM48" s="6"/>
      <c r="CN48" s="6"/>
      <c r="CO48" s="138"/>
      <c r="CP48" s="138"/>
      <c r="CQ48" s="123"/>
      <c r="CR48" s="6"/>
      <c r="CS48" s="6"/>
      <c r="CT48" s="139"/>
      <c r="CU48" s="139"/>
      <c r="CV48" s="76"/>
      <c r="CW48" s="123"/>
      <c r="CX48" s="6"/>
      <c r="DI48" s="125"/>
      <c r="DJ48" s="16"/>
      <c r="DM48" s="16"/>
      <c r="DN48" s="16"/>
      <c r="DO48" s="125"/>
      <c r="DP48" s="16"/>
      <c r="DQ48" s="125"/>
      <c r="DR48" s="164"/>
      <c r="DY48" s="142"/>
      <c r="DZ48" s="125"/>
      <c r="EA48" s="142"/>
      <c r="EB48" s="125"/>
      <c r="EC48" s="16"/>
      <c r="ED48" s="125"/>
      <c r="EE48" s="125"/>
      <c r="EF48" s="16"/>
      <c r="EG48" s="125"/>
      <c r="EQ48" s="125"/>
      <c r="ER48" s="16"/>
      <c r="ES48" s="123"/>
      <c r="ET48" s="19"/>
      <c r="EU48" s="139"/>
      <c r="EV48" s="139"/>
      <c r="EW48" s="123"/>
      <c r="EX48" s="123"/>
      <c r="EY48" s="123"/>
      <c r="EZ48" s="123"/>
      <c r="FA48" s="123"/>
      <c r="FB48" s="123"/>
      <c r="FC48" s="6"/>
      <c r="FD48" s="123"/>
      <c r="FE48" s="6"/>
      <c r="FF48" s="123"/>
      <c r="FG48" s="6"/>
      <c r="FH48" s="6"/>
      <c r="FI48" s="6"/>
      <c r="FJ48" s="6"/>
      <c r="FK48" s="123"/>
      <c r="FL48" s="6"/>
      <c r="FM48" s="6"/>
      <c r="FN48" s="6"/>
      <c r="FO48" s="138"/>
      <c r="FP48" s="138"/>
      <c r="FQ48" s="123"/>
      <c r="FR48" s="6"/>
      <c r="FS48" s="6"/>
      <c r="FT48" s="139"/>
      <c r="FU48" s="139"/>
      <c r="FV48" s="76"/>
      <c r="FW48" s="123"/>
      <c r="FX48" s="6"/>
    </row>
    <row r="49" spans="2:180" ht="14.25">
      <c r="B49" s="10" t="s">
        <v>71</v>
      </c>
      <c r="C49" s="4"/>
      <c r="D49" s="4"/>
      <c r="E49" s="4"/>
      <c r="F49" s="4"/>
      <c r="G49" s="4"/>
      <c r="H49" s="4"/>
      <c r="I49" s="4"/>
      <c r="J49" s="4"/>
      <c r="K49" s="94" t="s">
        <v>57</v>
      </c>
      <c r="L49" s="104">
        <f>ABS(I31)/(J27*L47*IF(K39=104,G43,1))*1000</f>
        <v>0.13982130768631262</v>
      </c>
      <c r="M49" s="93"/>
      <c r="N49" s="8"/>
      <c r="AI49" s="125"/>
      <c r="AJ49" s="16"/>
      <c r="AM49" s="16"/>
      <c r="AN49" s="16"/>
      <c r="AO49" s="125"/>
      <c r="AP49" s="16"/>
      <c r="AQ49" s="125"/>
      <c r="AR49" s="164"/>
      <c r="AY49" s="142"/>
      <c r="AZ49" s="125"/>
      <c r="BA49" s="142"/>
      <c r="BB49" s="125"/>
      <c r="BC49" s="16"/>
      <c r="BD49" s="125"/>
      <c r="BE49" s="125"/>
      <c r="BF49" s="16"/>
      <c r="BG49" s="125"/>
      <c r="BQ49" s="125"/>
      <c r="BR49" s="16"/>
      <c r="BS49" s="123"/>
      <c r="BT49" s="19"/>
      <c r="BU49" s="139"/>
      <c r="BV49" s="139"/>
      <c r="BW49" s="123"/>
      <c r="BX49" s="123"/>
      <c r="BY49" s="123"/>
      <c r="BZ49" s="123"/>
      <c r="CA49" s="123"/>
      <c r="CB49" s="123"/>
      <c r="CC49" s="6"/>
      <c r="CD49" s="123"/>
      <c r="CE49" s="6"/>
      <c r="CF49" s="123"/>
      <c r="CG49" s="6"/>
      <c r="CH49" s="6"/>
      <c r="CI49" s="6"/>
      <c r="CJ49" s="6"/>
      <c r="CK49" s="123"/>
      <c r="CL49" s="6"/>
      <c r="CM49" s="6"/>
      <c r="CN49" s="6"/>
      <c r="CO49" s="138"/>
      <c r="CP49" s="138"/>
      <c r="CQ49" s="123"/>
      <c r="CR49" s="6"/>
      <c r="CS49" s="6"/>
      <c r="CT49" s="139"/>
      <c r="CU49" s="139"/>
      <c r="CV49" s="76"/>
      <c r="CW49" s="123"/>
      <c r="CX49" s="6"/>
      <c r="DI49" s="125"/>
      <c r="DJ49" s="16"/>
      <c r="DM49" s="16"/>
      <c r="DN49" s="16"/>
      <c r="DO49" s="125"/>
      <c r="DP49" s="16"/>
      <c r="DQ49" s="125"/>
      <c r="DR49" s="164"/>
      <c r="DY49" s="142"/>
      <c r="DZ49" s="125"/>
      <c r="EA49" s="142"/>
      <c r="EB49" s="125"/>
      <c r="EC49" s="16"/>
      <c r="ED49" s="125"/>
      <c r="EE49" s="125"/>
      <c r="EF49" s="16"/>
      <c r="EG49" s="125"/>
      <c r="EQ49" s="125"/>
      <c r="ER49" s="16"/>
      <c r="ES49" s="123"/>
      <c r="ET49" s="19"/>
      <c r="EU49" s="139"/>
      <c r="EV49" s="139"/>
      <c r="EW49" s="123"/>
      <c r="EX49" s="123"/>
      <c r="EY49" s="123"/>
      <c r="EZ49" s="123"/>
      <c r="FA49" s="123"/>
      <c r="FB49" s="123"/>
      <c r="FC49" s="6"/>
      <c r="FD49" s="123"/>
      <c r="FE49" s="6"/>
      <c r="FF49" s="123"/>
      <c r="FG49" s="6"/>
      <c r="FH49" s="6"/>
      <c r="FI49" s="6"/>
      <c r="FJ49" s="6"/>
      <c r="FK49" s="123"/>
      <c r="FL49" s="6"/>
      <c r="FM49" s="6"/>
      <c r="FN49" s="6"/>
      <c r="FO49" s="138"/>
      <c r="FP49" s="138"/>
      <c r="FQ49" s="123"/>
      <c r="FR49" s="6"/>
      <c r="FS49" s="6"/>
      <c r="FT49" s="139"/>
      <c r="FU49" s="139"/>
      <c r="FV49" s="76"/>
      <c r="FW49" s="123"/>
      <c r="FX49" s="6"/>
    </row>
    <row r="50" spans="2:180" ht="14.25">
      <c r="B50" s="10" t="s">
        <v>72</v>
      </c>
      <c r="C50" s="4"/>
      <c r="D50" s="4"/>
      <c r="E50" s="4"/>
      <c r="F50" s="4"/>
      <c r="G50" s="4"/>
      <c r="H50" s="4"/>
      <c r="I50" s="4"/>
      <c r="J50" s="4"/>
      <c r="K50" s="94" t="s">
        <v>58</v>
      </c>
      <c r="L50" s="104">
        <f>ABS(J31)/(K27*L47*IF(K39=104,I43,1))*1000</f>
        <v>5.932286053377879E-2</v>
      </c>
      <c r="M50" s="93"/>
      <c r="N50" s="8"/>
      <c r="AI50" s="125"/>
      <c r="AJ50" s="16"/>
      <c r="AM50" s="16"/>
      <c r="AN50" s="16"/>
      <c r="AO50" s="125"/>
      <c r="AP50" s="16"/>
      <c r="AQ50" s="125"/>
      <c r="AR50" s="164"/>
      <c r="AY50" s="142"/>
      <c r="AZ50" s="125"/>
      <c r="BA50" s="142"/>
      <c r="BB50" s="125"/>
      <c r="BC50" s="16"/>
      <c r="BD50" s="125"/>
      <c r="BE50" s="125"/>
      <c r="BF50" s="16"/>
      <c r="BG50" s="125"/>
      <c r="BQ50" s="125"/>
      <c r="BR50" s="16"/>
      <c r="BS50" s="123"/>
      <c r="BT50" s="19"/>
      <c r="BU50" s="139"/>
      <c r="BV50" s="139"/>
      <c r="BW50" s="123"/>
      <c r="BX50" s="123"/>
      <c r="BY50" s="123"/>
      <c r="BZ50" s="123"/>
      <c r="CA50" s="123"/>
      <c r="CB50" s="123"/>
      <c r="CC50" s="6"/>
      <c r="CD50" s="123"/>
      <c r="CE50" s="6"/>
      <c r="CF50" s="123"/>
      <c r="CG50" s="6"/>
      <c r="CH50" s="6"/>
      <c r="CI50" s="6"/>
      <c r="CJ50" s="6"/>
      <c r="CK50" s="123"/>
      <c r="CL50" s="6"/>
      <c r="CM50" s="6"/>
      <c r="CN50" s="6"/>
      <c r="CO50" s="138"/>
      <c r="CP50" s="138"/>
      <c r="CQ50" s="123"/>
      <c r="CR50" s="6"/>
      <c r="CS50" s="6"/>
      <c r="CT50" s="139"/>
      <c r="CU50" s="139"/>
      <c r="CV50" s="76"/>
      <c r="CW50" s="123"/>
      <c r="CX50" s="6"/>
      <c r="DI50" s="125"/>
      <c r="DJ50" s="16"/>
      <c r="DM50" s="16"/>
      <c r="DN50" s="16"/>
      <c r="DO50" s="125"/>
      <c r="DP50" s="16"/>
      <c r="DQ50" s="125"/>
      <c r="DR50" s="164"/>
      <c r="DY50" s="142"/>
      <c r="DZ50" s="125"/>
      <c r="EA50" s="142"/>
      <c r="EB50" s="125"/>
      <c r="EC50" s="16"/>
      <c r="ED50" s="125"/>
      <c r="EE50" s="125"/>
      <c r="EF50" s="16"/>
      <c r="EG50" s="125"/>
      <c r="EQ50" s="125"/>
      <c r="ER50" s="16"/>
      <c r="ES50" s="123"/>
      <c r="ET50" s="19"/>
      <c r="EU50" s="139"/>
      <c r="EV50" s="139"/>
      <c r="EW50" s="123"/>
      <c r="EX50" s="123"/>
      <c r="EY50" s="123"/>
      <c r="EZ50" s="123"/>
      <c r="FA50" s="123"/>
      <c r="FB50" s="123"/>
      <c r="FC50" s="6"/>
      <c r="FD50" s="123"/>
      <c r="FE50" s="6"/>
      <c r="FF50" s="123"/>
      <c r="FG50" s="6"/>
      <c r="FH50" s="6"/>
      <c r="FI50" s="6"/>
      <c r="FJ50" s="6"/>
      <c r="FK50" s="123"/>
      <c r="FL50" s="6"/>
      <c r="FM50" s="6"/>
      <c r="FN50" s="6"/>
      <c r="FO50" s="138"/>
      <c r="FP50" s="138"/>
      <c r="FQ50" s="123"/>
      <c r="FR50" s="6"/>
      <c r="FS50" s="6"/>
      <c r="FT50" s="139"/>
      <c r="FU50" s="139"/>
      <c r="FV50" s="76"/>
      <c r="FW50" s="123"/>
      <c r="FX50" s="6"/>
    </row>
    <row r="51" spans="2:180" ht="14.25">
      <c r="B51" s="10" t="s">
        <v>861</v>
      </c>
      <c r="C51" s="4"/>
      <c r="D51" s="4"/>
      <c r="E51" s="4"/>
      <c r="F51" s="4"/>
      <c r="G51" s="4"/>
      <c r="H51" s="4"/>
      <c r="I51" s="4"/>
      <c r="J51" s="4"/>
      <c r="K51" s="129" t="s">
        <v>862</v>
      </c>
      <c r="L51" s="130">
        <f>IFERROR(ABS(N31)*N27/(M27*$L$47)*100000,0)</f>
        <v>3.0517031506837208E-2</v>
      </c>
      <c r="M51" s="93"/>
      <c r="N51" s="8"/>
      <c r="AI51" s="125"/>
      <c r="AJ51" s="16"/>
      <c r="AM51" s="16"/>
      <c r="AN51" s="16"/>
      <c r="AO51" s="125"/>
      <c r="AP51" s="16"/>
      <c r="AQ51" s="125"/>
      <c r="AR51" s="164"/>
      <c r="AY51" s="142"/>
      <c r="AZ51" s="125"/>
      <c r="BA51" s="142"/>
      <c r="BB51" s="125"/>
      <c r="BC51" s="16"/>
      <c r="BD51" s="125"/>
      <c r="BE51" s="125"/>
      <c r="BF51" s="16"/>
      <c r="BG51" s="125"/>
      <c r="BQ51" s="125"/>
      <c r="BR51" s="16"/>
      <c r="BS51" s="123"/>
      <c r="BT51" s="19"/>
      <c r="BU51" s="139"/>
      <c r="BV51" s="139"/>
      <c r="BW51" s="123"/>
      <c r="BX51" s="123"/>
      <c r="BY51" s="123"/>
      <c r="BZ51" s="123"/>
      <c r="CA51" s="123"/>
      <c r="CB51" s="123"/>
      <c r="CC51" s="6"/>
      <c r="CD51" s="123"/>
      <c r="CE51" s="6"/>
      <c r="CF51" s="123"/>
      <c r="CG51" s="6"/>
      <c r="CH51" s="6"/>
      <c r="CI51" s="6"/>
      <c r="CJ51" s="6"/>
      <c r="CK51" s="123"/>
      <c r="CL51" s="6"/>
      <c r="CM51" s="6"/>
      <c r="CN51" s="6"/>
      <c r="CO51" s="138"/>
      <c r="CP51" s="138"/>
      <c r="CQ51" s="123"/>
      <c r="CR51" s="6"/>
      <c r="CS51" s="6"/>
      <c r="CT51" s="139"/>
      <c r="CU51" s="139"/>
      <c r="CV51" s="76"/>
      <c r="CW51" s="123"/>
      <c r="CX51" s="6"/>
      <c r="DI51" s="125"/>
      <c r="DJ51" s="16"/>
      <c r="DM51" s="16"/>
      <c r="DN51" s="16"/>
      <c r="DO51" s="125"/>
      <c r="DP51" s="16"/>
      <c r="DQ51" s="125"/>
      <c r="DR51" s="164"/>
      <c r="DY51" s="142"/>
      <c r="DZ51" s="125"/>
      <c r="EA51" s="142"/>
      <c r="EB51" s="125"/>
      <c r="EC51" s="16"/>
      <c r="ED51" s="125"/>
      <c r="EE51" s="125"/>
      <c r="EF51" s="16"/>
      <c r="EG51" s="125"/>
      <c r="EQ51" s="125"/>
      <c r="ER51" s="16"/>
      <c r="ES51" s="123"/>
      <c r="ET51" s="19"/>
      <c r="EU51" s="139"/>
      <c r="EV51" s="139"/>
      <c r="EW51" s="123"/>
      <c r="EX51" s="123"/>
      <c r="EY51" s="123"/>
      <c r="EZ51" s="123"/>
      <c r="FA51" s="123"/>
      <c r="FB51" s="123"/>
      <c r="FC51" s="6"/>
      <c r="FD51" s="123"/>
      <c r="FE51" s="6"/>
      <c r="FF51" s="123"/>
      <c r="FG51" s="6"/>
      <c r="FH51" s="6"/>
      <c r="FI51" s="6"/>
      <c r="FJ51" s="6"/>
      <c r="FK51" s="123"/>
      <c r="FL51" s="6"/>
      <c r="FM51" s="6"/>
      <c r="FN51" s="6"/>
      <c r="FO51" s="138"/>
      <c r="FP51" s="138"/>
      <c r="FQ51" s="123"/>
      <c r="FR51" s="6"/>
      <c r="FS51" s="6"/>
      <c r="FT51" s="139"/>
      <c r="FU51" s="139"/>
      <c r="FV51" s="76"/>
      <c r="FW51" s="123"/>
      <c r="FX51" s="6"/>
    </row>
    <row r="52" spans="2:180">
      <c r="B52" s="10" t="s">
        <v>59</v>
      </c>
      <c r="C52" s="4"/>
      <c r="D52" s="4"/>
      <c r="E52" s="4"/>
      <c r="F52" s="4"/>
      <c r="G52" s="4"/>
      <c r="H52" s="4"/>
      <c r="I52" s="4"/>
      <c r="J52" s="4"/>
      <c r="K52" s="94"/>
      <c r="L52" s="112">
        <f>SUM(L48:L51)</f>
        <v>0.30878893161097459</v>
      </c>
      <c r="M52" s="114" t="s">
        <v>180</v>
      </c>
      <c r="N52" s="87" t="str">
        <f>IF(L52&lt;=1,"OK","Check")</f>
        <v>OK</v>
      </c>
      <c r="AI52" s="125"/>
      <c r="AJ52" s="16"/>
      <c r="AM52" s="16"/>
      <c r="AN52" s="16"/>
      <c r="AO52" s="125"/>
      <c r="AP52" s="16"/>
      <c r="AQ52" s="125"/>
      <c r="AR52" s="164"/>
      <c r="AY52" s="142"/>
      <c r="AZ52" s="125"/>
      <c r="BA52" s="142"/>
      <c r="BB52" s="125"/>
      <c r="BC52" s="16"/>
      <c r="BD52" s="125"/>
      <c r="BE52" s="125"/>
      <c r="BF52" s="16"/>
      <c r="BG52" s="125"/>
      <c r="BQ52" s="125"/>
      <c r="BR52" s="16"/>
      <c r="BS52" s="123"/>
      <c r="BT52" s="19"/>
      <c r="BU52" s="139"/>
      <c r="BV52" s="139"/>
      <c r="BW52" s="123"/>
      <c r="BX52" s="123"/>
      <c r="BY52" s="123"/>
      <c r="BZ52" s="123"/>
      <c r="CA52" s="123"/>
      <c r="CB52" s="123"/>
      <c r="CC52" s="6"/>
      <c r="CD52" s="123"/>
      <c r="CE52" s="6"/>
      <c r="CF52" s="123"/>
      <c r="CG52" s="6"/>
      <c r="CH52" s="6"/>
      <c r="CI52" s="6"/>
      <c r="CJ52" s="6"/>
      <c r="CK52" s="123"/>
      <c r="CL52" s="6"/>
      <c r="CM52" s="6"/>
      <c r="CN52" s="6"/>
      <c r="CO52" s="138"/>
      <c r="CP52" s="138"/>
      <c r="CQ52" s="123"/>
      <c r="CR52" s="6"/>
      <c r="CS52" s="6"/>
      <c r="CT52" s="139"/>
      <c r="CU52" s="139"/>
      <c r="CV52" s="76"/>
      <c r="CW52" s="123"/>
      <c r="CX52" s="6"/>
      <c r="DI52" s="125"/>
      <c r="DJ52" s="16"/>
      <c r="DM52" s="16"/>
      <c r="DN52" s="16"/>
      <c r="DO52" s="125"/>
      <c r="DP52" s="16"/>
      <c r="DQ52" s="125"/>
      <c r="DR52" s="164"/>
      <c r="DY52" s="142"/>
      <c r="DZ52" s="125"/>
      <c r="EA52" s="142"/>
      <c r="EB52" s="125"/>
      <c r="EC52" s="16"/>
      <c r="ED52" s="125"/>
      <c r="EE52" s="125"/>
      <c r="EF52" s="16"/>
      <c r="EG52" s="125"/>
      <c r="EQ52" s="125"/>
      <c r="ER52" s="16"/>
      <c r="ES52" s="123"/>
      <c r="ET52" s="19"/>
      <c r="EU52" s="139"/>
      <c r="EV52" s="139"/>
      <c r="EW52" s="123"/>
      <c r="EX52" s="123"/>
      <c r="EY52" s="123"/>
      <c r="EZ52" s="123"/>
      <c r="FA52" s="123"/>
      <c r="FB52" s="123"/>
      <c r="FC52" s="6"/>
      <c r="FD52" s="123"/>
      <c r="FE52" s="6"/>
      <c r="FF52" s="123"/>
      <c r="FG52" s="6"/>
      <c r="FH52" s="6"/>
      <c r="FI52" s="6"/>
      <c r="FJ52" s="6"/>
      <c r="FK52" s="123"/>
      <c r="FL52" s="6"/>
      <c r="FM52" s="6"/>
      <c r="FN52" s="6"/>
      <c r="FO52" s="138"/>
      <c r="FP52" s="138"/>
      <c r="FQ52" s="123"/>
      <c r="FR52" s="6"/>
      <c r="FS52" s="6"/>
      <c r="FT52" s="139"/>
      <c r="FU52" s="139"/>
      <c r="FV52" s="76"/>
      <c r="FW52" s="123"/>
      <c r="FX52" s="6"/>
    </row>
    <row r="53" spans="2:180">
      <c r="B53" s="28" t="s">
        <v>840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11"/>
      <c r="AI53" s="125"/>
      <c r="AJ53" s="16"/>
      <c r="AM53" s="16"/>
      <c r="AN53" s="16"/>
      <c r="AO53" s="125"/>
      <c r="AP53" s="16"/>
      <c r="AQ53" s="125"/>
      <c r="AR53" s="164"/>
      <c r="AY53" s="142"/>
      <c r="AZ53" s="125"/>
      <c r="BA53" s="142"/>
      <c r="BB53" s="125"/>
      <c r="BC53" s="16"/>
      <c r="BD53" s="125"/>
      <c r="BE53" s="125"/>
      <c r="BF53" s="16"/>
      <c r="BG53" s="125"/>
      <c r="BQ53" s="125"/>
      <c r="BR53" s="16"/>
      <c r="BS53" s="123"/>
      <c r="BT53" s="19"/>
      <c r="BU53" s="139"/>
      <c r="BV53" s="139"/>
      <c r="BW53" s="123"/>
      <c r="BX53" s="123"/>
      <c r="BY53" s="123"/>
      <c r="BZ53" s="123"/>
      <c r="CA53" s="123"/>
      <c r="CB53" s="123"/>
      <c r="CC53" s="6"/>
      <c r="CD53" s="123"/>
      <c r="CE53" s="6"/>
      <c r="CF53" s="123"/>
      <c r="CG53" s="6"/>
      <c r="CH53" s="6"/>
      <c r="CI53" s="6"/>
      <c r="CJ53" s="6"/>
      <c r="CK53" s="123"/>
      <c r="CL53" s="6"/>
      <c r="CM53" s="6"/>
      <c r="CN53" s="6"/>
      <c r="CO53" s="138"/>
      <c r="CP53" s="138"/>
      <c r="CQ53" s="123"/>
      <c r="CR53" s="6"/>
      <c r="CS53" s="6"/>
      <c r="CT53" s="139"/>
      <c r="CU53" s="139"/>
      <c r="CV53" s="76"/>
      <c r="CW53" s="123"/>
      <c r="CX53" s="6"/>
      <c r="DI53" s="125"/>
      <c r="DJ53" s="16"/>
      <c r="DM53" s="16"/>
      <c r="DN53" s="16"/>
      <c r="DO53" s="125"/>
      <c r="DP53" s="16"/>
      <c r="DQ53" s="125"/>
      <c r="DR53" s="164"/>
      <c r="DY53" s="142"/>
      <c r="DZ53" s="125"/>
      <c r="EA53" s="142"/>
      <c r="EB53" s="125"/>
      <c r="EC53" s="16"/>
      <c r="ED53" s="125"/>
      <c r="EE53" s="125"/>
      <c r="EF53" s="16"/>
      <c r="EG53" s="125"/>
      <c r="EQ53" s="125"/>
      <c r="ER53" s="16"/>
      <c r="ES53" s="123"/>
      <c r="ET53" s="19"/>
      <c r="EU53" s="139"/>
      <c r="EV53" s="139"/>
      <c r="EW53" s="123"/>
      <c r="EX53" s="123"/>
      <c r="EY53" s="123"/>
      <c r="EZ53" s="123"/>
      <c r="FA53" s="123"/>
      <c r="FB53" s="123"/>
      <c r="FC53" s="6"/>
      <c r="FD53" s="123"/>
      <c r="FE53" s="6"/>
      <c r="FF53" s="123"/>
      <c r="FG53" s="6"/>
      <c r="FH53" s="6"/>
      <c r="FI53" s="6"/>
      <c r="FJ53" s="6"/>
      <c r="FK53" s="123"/>
      <c r="FL53" s="6"/>
      <c r="FM53" s="6"/>
      <c r="FN53" s="6"/>
      <c r="FO53" s="138"/>
      <c r="FP53" s="138"/>
      <c r="FQ53" s="123"/>
      <c r="FR53" s="6"/>
      <c r="FS53" s="6"/>
      <c r="FT53" s="139"/>
      <c r="FU53" s="139"/>
      <c r="FV53" s="76"/>
      <c r="FW53" s="123"/>
      <c r="FX53" s="6"/>
    </row>
    <row r="54" spans="2:180">
      <c r="B54" s="9" t="s">
        <v>841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11"/>
      <c r="AI54" s="125"/>
      <c r="AJ54" s="16"/>
      <c r="AM54" s="16"/>
      <c r="AN54" s="16"/>
      <c r="AO54" s="125"/>
      <c r="AP54" s="16"/>
      <c r="AQ54" s="125"/>
      <c r="AR54" s="164"/>
      <c r="AY54" s="142"/>
      <c r="AZ54" s="125"/>
      <c r="BA54" s="142"/>
      <c r="BB54" s="125"/>
      <c r="BC54" s="16"/>
      <c r="BD54" s="125"/>
      <c r="BE54" s="125"/>
      <c r="BF54" s="16"/>
      <c r="BG54" s="125"/>
      <c r="BQ54" s="125"/>
      <c r="BR54" s="16"/>
      <c r="BS54" s="123"/>
      <c r="BT54" s="19"/>
      <c r="BU54" s="139"/>
      <c r="BV54" s="139"/>
      <c r="BW54" s="123"/>
      <c r="BX54" s="123"/>
      <c r="BY54" s="123"/>
      <c r="BZ54" s="123"/>
      <c r="CA54" s="123"/>
      <c r="CB54" s="123"/>
      <c r="CC54" s="6"/>
      <c r="CD54" s="123"/>
      <c r="CE54" s="6"/>
      <c r="CF54" s="123"/>
      <c r="CG54" s="6"/>
      <c r="CH54" s="6"/>
      <c r="CI54" s="6"/>
      <c r="CJ54" s="6"/>
      <c r="CK54" s="123"/>
      <c r="CL54" s="6"/>
      <c r="CM54" s="6"/>
      <c r="CN54" s="6"/>
      <c r="CO54" s="138"/>
      <c r="CP54" s="138"/>
      <c r="CQ54" s="123"/>
      <c r="CR54" s="6"/>
      <c r="CS54" s="6"/>
      <c r="CT54" s="139"/>
      <c r="CU54" s="139"/>
      <c r="CV54" s="76"/>
      <c r="CW54" s="123"/>
      <c r="CX54" s="6"/>
      <c r="DI54" s="125"/>
      <c r="DJ54" s="16"/>
      <c r="DM54" s="16"/>
      <c r="DN54" s="16"/>
      <c r="DO54" s="125"/>
      <c r="DP54" s="16"/>
      <c r="DQ54" s="125"/>
      <c r="DR54" s="164"/>
      <c r="DY54" s="142"/>
      <c r="DZ54" s="125"/>
      <c r="EA54" s="142"/>
      <c r="EB54" s="125"/>
      <c r="EC54" s="16"/>
      <c r="ED54" s="125"/>
      <c r="EE54" s="125"/>
      <c r="EF54" s="16"/>
      <c r="EG54" s="125"/>
      <c r="EQ54" s="125"/>
      <c r="ER54" s="16"/>
      <c r="ES54" s="123"/>
      <c r="ET54" s="19"/>
      <c r="EU54" s="139"/>
      <c r="EV54" s="139"/>
      <c r="EW54" s="123"/>
      <c r="EX54" s="123"/>
      <c r="EY54" s="123"/>
      <c r="EZ54" s="123"/>
      <c r="FA54" s="123"/>
      <c r="FB54" s="123"/>
      <c r="FC54" s="6"/>
      <c r="FD54" s="123"/>
      <c r="FE54" s="6"/>
      <c r="FF54" s="123"/>
      <c r="FG54" s="6"/>
      <c r="FH54" s="6"/>
      <c r="FI54" s="6"/>
      <c r="FJ54" s="6"/>
      <c r="FK54" s="123"/>
      <c r="FL54" s="6"/>
      <c r="FM54" s="6"/>
      <c r="FN54" s="6"/>
      <c r="FO54" s="138"/>
      <c r="FP54" s="138"/>
      <c r="FQ54" s="123"/>
      <c r="FR54" s="6"/>
      <c r="FS54" s="6"/>
      <c r="FT54" s="139"/>
      <c r="FU54" s="139"/>
      <c r="FV54" s="76"/>
      <c r="FW54" s="123"/>
      <c r="FX54" s="6"/>
    </row>
    <row r="55" spans="2:180" ht="14.25">
      <c r="B55" s="86" t="s">
        <v>857</v>
      </c>
      <c r="C55" s="101" t="s">
        <v>814</v>
      </c>
      <c r="D55" s="105">
        <f>(F15*F18)/(2*F17*F19)</f>
        <v>0.47043010752688175</v>
      </c>
      <c r="E55" s="113" t="s">
        <v>858</v>
      </c>
      <c r="F55" s="105" cm="1">
        <f t="array" ref="F55">_xll.DCETCVN5575PhuLucD2Eta(D55, G36, G35)</f>
        <v>1.5333973486726362</v>
      </c>
      <c r="G55" s="101" t="s">
        <v>817</v>
      </c>
      <c r="H55" s="127">
        <f>F55*G36</f>
        <v>1.3124788500345657</v>
      </c>
      <c r="I55" s="113" t="s">
        <v>859</v>
      </c>
      <c r="J55" s="105" cm="1">
        <f t="array" ref="J55">_xll.DCETCVN5575PhuLucD2Eta(D55, L36, L35)</f>
        <v>1.4620197397364689</v>
      </c>
      <c r="K55" s="101" t="s">
        <v>819</v>
      </c>
      <c r="L55" s="127">
        <f>J55*L36</f>
        <v>0.52425377666461026</v>
      </c>
      <c r="M55" s="4"/>
      <c r="N55" s="11"/>
      <c r="AI55" s="125"/>
      <c r="AJ55" s="16"/>
      <c r="AM55" s="16"/>
      <c r="AN55" s="16"/>
      <c r="AO55" s="125"/>
      <c r="AP55" s="16"/>
      <c r="AQ55" s="125"/>
      <c r="AR55" s="164"/>
      <c r="AY55" s="142"/>
      <c r="AZ55" s="125"/>
      <c r="BA55" s="142"/>
      <c r="BB55" s="125"/>
      <c r="BC55" s="16"/>
      <c r="BD55" s="125"/>
      <c r="BE55" s="125"/>
      <c r="BF55" s="16"/>
      <c r="BG55" s="125"/>
      <c r="BQ55" s="125"/>
      <c r="BR55" s="16"/>
      <c r="BS55" s="123"/>
      <c r="BT55" s="19"/>
      <c r="BU55" s="139"/>
      <c r="BV55" s="139"/>
      <c r="BW55" s="123"/>
      <c r="BX55" s="123"/>
      <c r="BY55" s="123"/>
      <c r="BZ55" s="123"/>
      <c r="CA55" s="123"/>
      <c r="CB55" s="123"/>
      <c r="CC55" s="6"/>
      <c r="CD55" s="123"/>
      <c r="CE55" s="6"/>
      <c r="CF55" s="123"/>
      <c r="CG55" s="6"/>
      <c r="CH55" s="6"/>
      <c r="CI55" s="6"/>
      <c r="CJ55" s="6"/>
      <c r="CK55" s="123"/>
      <c r="CL55" s="6"/>
      <c r="CM55" s="6"/>
      <c r="CN55" s="6"/>
      <c r="CO55" s="138"/>
      <c r="CP55" s="138"/>
      <c r="CQ55" s="123"/>
      <c r="CR55" s="6"/>
      <c r="CS55" s="6"/>
      <c r="CT55" s="139"/>
      <c r="CU55" s="139"/>
      <c r="CV55" s="76"/>
      <c r="CW55" s="123"/>
      <c r="CX55" s="6"/>
      <c r="DI55" s="125"/>
      <c r="DJ55" s="16"/>
      <c r="DM55" s="16"/>
      <c r="DN55" s="16"/>
      <c r="DO55" s="125"/>
      <c r="DP55" s="16"/>
      <c r="DQ55" s="125"/>
      <c r="DR55" s="164"/>
      <c r="DY55" s="142"/>
      <c r="DZ55" s="125"/>
      <c r="EA55" s="142"/>
      <c r="EB55" s="125"/>
      <c r="EC55" s="16"/>
      <c r="ED55" s="125"/>
      <c r="EE55" s="125"/>
      <c r="EF55" s="16"/>
      <c r="EG55" s="125"/>
      <c r="EQ55" s="125"/>
      <c r="ER55" s="16"/>
      <c r="ES55" s="123"/>
      <c r="ET55" s="19"/>
      <c r="EU55" s="139"/>
      <c r="EV55" s="139"/>
      <c r="EW55" s="123"/>
      <c r="EX55" s="123"/>
      <c r="EY55" s="123"/>
      <c r="EZ55" s="123"/>
      <c r="FA55" s="123"/>
      <c r="FB55" s="123"/>
      <c r="FC55" s="6"/>
      <c r="FD55" s="123"/>
      <c r="FE55" s="6"/>
      <c r="FF55" s="123"/>
      <c r="FG55" s="6"/>
      <c r="FH55" s="6"/>
      <c r="FI55" s="6"/>
      <c r="FJ55" s="6"/>
      <c r="FK55" s="123"/>
      <c r="FL55" s="6"/>
      <c r="FM55" s="6"/>
      <c r="FN55" s="6"/>
      <c r="FO55" s="138"/>
      <c r="FP55" s="138"/>
      <c r="FQ55" s="123"/>
      <c r="FR55" s="6"/>
      <c r="FS55" s="6"/>
      <c r="FT55" s="139"/>
      <c r="FU55" s="139"/>
      <c r="FV55" s="76"/>
      <c r="FW55" s="123"/>
      <c r="FX55" s="6"/>
    </row>
    <row r="56" spans="2:180" ht="14.25">
      <c r="B56" s="86" t="s">
        <v>822</v>
      </c>
      <c r="C56" s="4"/>
      <c r="D56" s="4"/>
      <c r="E56" s="103" t="s">
        <v>75</v>
      </c>
      <c r="F56" s="105">
        <f>G35</f>
        <v>1.289921302180367</v>
      </c>
      <c r="G56" s="113" t="s">
        <v>818</v>
      </c>
      <c r="H56" s="105" cm="1">
        <f t="array" ref="H56">IF(AND(I31=0),_xll.DCETCVN5575FactorPhi7121(F56,"a"),noisuy2chieu(H55,F56,Data!$EA$2:$FB$24))</f>
        <v>0.56002169847488403</v>
      </c>
      <c r="I56" s="103" t="s">
        <v>820</v>
      </c>
      <c r="J56" s="105">
        <f>L35</f>
        <v>2.504723742245901</v>
      </c>
      <c r="K56" s="113" t="s">
        <v>821</v>
      </c>
      <c r="L56" s="105" cm="1">
        <f t="array" ref="L56">IF(AND(J31=0,H27&gt;I27),_xll.DCETCVN5575FactorPhi7121(J56,"a"),noisuy2chieu(L55,J56,Data!$EA$2:$FB$24))</f>
        <v>0.58045458793640137</v>
      </c>
      <c r="M56" s="4"/>
      <c r="N56" s="11"/>
      <c r="AI56" s="125"/>
      <c r="AJ56" s="16"/>
      <c r="AM56" s="16"/>
      <c r="AN56" s="16"/>
      <c r="AO56" s="125"/>
      <c r="AP56" s="16"/>
      <c r="AQ56" s="125"/>
      <c r="AR56" s="164"/>
      <c r="AY56" s="142"/>
      <c r="AZ56" s="125"/>
      <c r="BA56" s="142"/>
      <c r="BB56" s="125"/>
      <c r="BC56" s="16"/>
      <c r="BD56" s="125"/>
      <c r="BE56" s="125"/>
      <c r="BF56" s="16"/>
      <c r="BG56" s="125"/>
      <c r="BQ56" s="125"/>
      <c r="BR56" s="16"/>
      <c r="BS56" s="123"/>
      <c r="BT56" s="19"/>
      <c r="BU56" s="139"/>
      <c r="BV56" s="139"/>
      <c r="BW56" s="123"/>
      <c r="BX56" s="123"/>
      <c r="BY56" s="123"/>
      <c r="BZ56" s="123"/>
      <c r="CA56" s="123"/>
      <c r="CB56" s="123"/>
      <c r="CC56" s="6"/>
      <c r="CD56" s="123"/>
      <c r="CE56" s="6"/>
      <c r="CF56" s="123"/>
      <c r="CG56" s="6"/>
      <c r="CH56" s="6"/>
      <c r="CI56" s="6"/>
      <c r="CJ56" s="6"/>
      <c r="CK56" s="123"/>
      <c r="CL56" s="6"/>
      <c r="CM56" s="6"/>
      <c r="CN56" s="6"/>
      <c r="CO56" s="138"/>
      <c r="CP56" s="138"/>
      <c r="CQ56" s="123"/>
      <c r="CR56" s="6"/>
      <c r="CS56" s="6"/>
      <c r="CT56" s="139"/>
      <c r="CU56" s="139"/>
      <c r="CV56" s="76"/>
      <c r="CW56" s="123"/>
      <c r="CX56" s="6"/>
      <c r="DI56" s="125"/>
      <c r="DJ56" s="16"/>
      <c r="DM56" s="16"/>
      <c r="DN56" s="16"/>
      <c r="DO56" s="125"/>
      <c r="DP56" s="16"/>
      <c r="DQ56" s="125"/>
      <c r="DR56" s="164"/>
      <c r="DY56" s="142"/>
      <c r="DZ56" s="125"/>
      <c r="EA56" s="142"/>
      <c r="EB56" s="125"/>
      <c r="EC56" s="16"/>
      <c r="ED56" s="125"/>
      <c r="EE56" s="125"/>
      <c r="EF56" s="16"/>
      <c r="EG56" s="125"/>
      <c r="EQ56" s="125"/>
      <c r="ER56" s="16"/>
      <c r="ES56" s="123"/>
      <c r="ET56" s="19"/>
      <c r="EU56" s="139"/>
      <c r="EV56" s="139"/>
      <c r="EW56" s="123"/>
      <c r="EX56" s="123"/>
      <c r="EY56" s="123"/>
      <c r="EZ56" s="123"/>
      <c r="FA56" s="123"/>
      <c r="FB56" s="123"/>
      <c r="FC56" s="6"/>
      <c r="FD56" s="123"/>
      <c r="FE56" s="6"/>
      <c r="FF56" s="123"/>
      <c r="FG56" s="6"/>
      <c r="FH56" s="6"/>
      <c r="FI56" s="6"/>
      <c r="FJ56" s="6"/>
      <c r="FK56" s="123"/>
      <c r="FL56" s="6"/>
      <c r="FM56" s="6"/>
      <c r="FN56" s="6"/>
      <c r="FO56" s="138"/>
      <c r="FP56" s="138"/>
      <c r="FQ56" s="123"/>
      <c r="FR56" s="6"/>
      <c r="FS56" s="6"/>
      <c r="FT56" s="139"/>
      <c r="FU56" s="139"/>
      <c r="FV56" s="76"/>
      <c r="FW56" s="123"/>
      <c r="FX56" s="6"/>
    </row>
    <row r="57" spans="2:180" ht="14.25">
      <c r="B57" s="10"/>
      <c r="C57" s="4"/>
      <c r="D57" s="4"/>
      <c r="E57" s="101" t="s">
        <v>823</v>
      </c>
      <c r="F57" s="105" cm="1">
        <f t="array" ref="F57">_xll.TCVN5575AnnexEHeSoCx(3,D55)</f>
        <v>1.128279569892473</v>
      </c>
      <c r="G57" s="101" t="s">
        <v>824</v>
      </c>
      <c r="H57" s="105" cm="1">
        <f t="array" ref="H57">_xll.TCVN5575AnnexEHeSoCy(3,D55)</f>
        <v>1.1140860215053763</v>
      </c>
      <c r="I57" s="113" t="s">
        <v>825</v>
      </c>
      <c r="J57" s="105">
        <f>IF(F56&lt;=1,1,1-0.1*ABS(F31)*1000*F56^2/(G27*100*D27))</f>
        <v>0.97239921605998902</v>
      </c>
      <c r="K57" s="113" t="s">
        <v>826</v>
      </c>
      <c r="L57" s="105">
        <f>IF(J56&lt;=1,1,1-0.1*ABS(F31)*1000*J56^2/(G27*100*D27))</f>
        <v>0.89593261241257482</v>
      </c>
      <c r="M57" s="4"/>
      <c r="N57" s="11"/>
      <c r="AI57" s="125"/>
      <c r="AJ57" s="16"/>
      <c r="AM57" s="16"/>
      <c r="AN57" s="16"/>
      <c r="AO57" s="125"/>
      <c r="AP57" s="16"/>
      <c r="AQ57" s="125"/>
      <c r="AR57" s="164"/>
      <c r="AY57" s="142"/>
      <c r="AZ57" s="125"/>
      <c r="BA57" s="142"/>
      <c r="BB57" s="125"/>
      <c r="BC57" s="16"/>
      <c r="BD57" s="125"/>
      <c r="BE57" s="125"/>
      <c r="BF57" s="16"/>
      <c r="BG57" s="125"/>
      <c r="BQ57" s="125"/>
      <c r="BR57" s="16"/>
      <c r="BS57" s="123"/>
      <c r="BT57" s="19"/>
      <c r="BU57" s="139"/>
      <c r="BV57" s="139"/>
      <c r="BW57" s="123"/>
      <c r="BX57" s="123"/>
      <c r="BY57" s="123"/>
      <c r="BZ57" s="123"/>
      <c r="CA57" s="123"/>
      <c r="CB57" s="123"/>
      <c r="CC57" s="6"/>
      <c r="CD57" s="123"/>
      <c r="CE57" s="6"/>
      <c r="CF57" s="123"/>
      <c r="CG57" s="6"/>
      <c r="CH57" s="6"/>
      <c r="CI57" s="6"/>
      <c r="CJ57" s="6"/>
      <c r="CK57" s="123"/>
      <c r="CL57" s="6"/>
      <c r="CM57" s="6"/>
      <c r="CN57" s="6"/>
      <c r="CO57" s="138"/>
      <c r="CP57" s="138"/>
      <c r="CQ57" s="123"/>
      <c r="CR57" s="6"/>
      <c r="CS57" s="6"/>
      <c r="CT57" s="139"/>
      <c r="CU57" s="139"/>
      <c r="CV57" s="76"/>
      <c r="CW57" s="123"/>
      <c r="CX57" s="6"/>
      <c r="DI57" s="125"/>
      <c r="DJ57" s="16"/>
      <c r="DM57" s="16"/>
      <c r="DN57" s="16"/>
      <c r="DO57" s="125"/>
      <c r="DP57" s="16"/>
      <c r="DQ57" s="125"/>
      <c r="DR57" s="164"/>
      <c r="DY57" s="142"/>
      <c r="DZ57" s="125"/>
      <c r="EA57" s="142"/>
      <c r="EB57" s="125"/>
      <c r="EC57" s="16"/>
      <c r="ED57" s="125"/>
      <c r="EE57" s="125"/>
      <c r="EF57" s="16"/>
      <c r="EG57" s="125"/>
      <c r="EQ57" s="125"/>
      <c r="ER57" s="16"/>
      <c r="ES57" s="123"/>
      <c r="ET57" s="19"/>
      <c r="EU57" s="139"/>
      <c r="EV57" s="139"/>
      <c r="EW57" s="123"/>
      <c r="EX57" s="123"/>
      <c r="EY57" s="123"/>
      <c r="EZ57" s="123"/>
      <c r="FA57" s="123"/>
      <c r="FB57" s="123"/>
      <c r="FC57" s="6"/>
      <c r="FD57" s="123"/>
      <c r="FE57" s="6"/>
      <c r="FF57" s="123"/>
      <c r="FG57" s="6"/>
      <c r="FH57" s="6"/>
      <c r="FI57" s="6"/>
      <c r="FJ57" s="6"/>
      <c r="FK57" s="123"/>
      <c r="FL57" s="6"/>
      <c r="FM57" s="6"/>
      <c r="FN57" s="6"/>
      <c r="FO57" s="138"/>
      <c r="FP57" s="138"/>
      <c r="FQ57" s="123"/>
      <c r="FR57" s="6"/>
      <c r="FS57" s="6"/>
      <c r="FT57" s="139"/>
      <c r="FU57" s="139"/>
      <c r="FV57" s="76"/>
      <c r="FW57" s="123"/>
      <c r="FX57" s="6"/>
    </row>
    <row r="58" spans="2:180">
      <c r="B58" s="10"/>
      <c r="C58" s="4"/>
      <c r="D58" s="4"/>
      <c r="E58" s="4"/>
      <c r="F58" s="4"/>
      <c r="G58" s="4" t="s">
        <v>827</v>
      </c>
      <c r="H58" s="4"/>
      <c r="I58" s="4"/>
      <c r="J58" s="4"/>
      <c r="K58" s="101" t="s">
        <v>830</v>
      </c>
      <c r="L58" s="112">
        <f>IF(I31=0,"-",ABS(F31)*1000/(L56*G27*100*D27*F27)+ABS(I31)*1000000/(F57*J57*J27*1000*$D$27*$F$27))</f>
        <v>0.46131963509971619</v>
      </c>
      <c r="M58" s="114" t="s">
        <v>180</v>
      </c>
      <c r="N58" s="18" t="str">
        <f>IF(L58="-","",IF(L58&lt;=1,"OK","Check"))</f>
        <v>OK</v>
      </c>
      <c r="AI58" s="125"/>
      <c r="AJ58" s="16"/>
      <c r="AM58" s="16"/>
      <c r="AN58" s="16"/>
      <c r="AO58" s="125"/>
      <c r="AP58" s="16"/>
      <c r="AQ58" s="125"/>
      <c r="AR58" s="164"/>
      <c r="AY58" s="142"/>
      <c r="AZ58" s="125"/>
      <c r="BA58" s="142"/>
      <c r="BB58" s="125"/>
      <c r="BC58" s="16"/>
      <c r="BD58" s="125"/>
      <c r="BE58" s="125"/>
      <c r="BF58" s="16"/>
      <c r="BG58" s="125"/>
      <c r="BQ58" s="125"/>
      <c r="BR58" s="16"/>
      <c r="BS58" s="123"/>
      <c r="BT58" s="19"/>
      <c r="BU58" s="139"/>
      <c r="BV58" s="139"/>
      <c r="BW58" s="123"/>
      <c r="BX58" s="123"/>
      <c r="BY58" s="123"/>
      <c r="BZ58" s="123"/>
      <c r="CA58" s="123"/>
      <c r="CB58" s="123"/>
      <c r="CC58" s="6"/>
      <c r="CD58" s="123"/>
      <c r="CE58" s="6"/>
      <c r="CF58" s="123"/>
      <c r="CG58" s="6"/>
      <c r="CH58" s="6"/>
      <c r="CI58" s="6"/>
      <c r="CJ58" s="6"/>
      <c r="CK58" s="123"/>
      <c r="CL58" s="6"/>
      <c r="CM58" s="6"/>
      <c r="CN58" s="6"/>
      <c r="CO58" s="138"/>
      <c r="CP58" s="138"/>
      <c r="CQ58" s="123"/>
      <c r="CR58" s="6"/>
      <c r="CS58" s="6"/>
      <c r="CT58" s="139"/>
      <c r="CU58" s="139"/>
      <c r="CV58" s="76"/>
      <c r="CW58" s="123"/>
      <c r="CX58" s="6"/>
      <c r="DI58" s="125"/>
      <c r="DJ58" s="16"/>
      <c r="DM58" s="16"/>
      <c r="DN58" s="16"/>
      <c r="DO58" s="125"/>
      <c r="DP58" s="16"/>
      <c r="DQ58" s="125"/>
      <c r="DR58" s="164"/>
      <c r="DY58" s="142"/>
      <c r="DZ58" s="125"/>
      <c r="EA58" s="142"/>
      <c r="EB58" s="125"/>
      <c r="EC58" s="16"/>
      <c r="ED58" s="125"/>
      <c r="EE58" s="125"/>
      <c r="EF58" s="16"/>
      <c r="EG58" s="125"/>
      <c r="EQ58" s="125"/>
      <c r="ER58" s="16"/>
      <c r="ES58" s="123"/>
      <c r="ET58" s="19"/>
      <c r="EU58" s="139"/>
      <c r="EV58" s="139"/>
      <c r="EW58" s="123"/>
      <c r="EX58" s="123"/>
      <c r="EY58" s="123"/>
      <c r="EZ58" s="123"/>
      <c r="FA58" s="123"/>
      <c r="FB58" s="123"/>
      <c r="FC58" s="6"/>
      <c r="FD58" s="123"/>
      <c r="FE58" s="6"/>
      <c r="FF58" s="123"/>
      <c r="FG58" s="6"/>
      <c r="FH58" s="6"/>
      <c r="FI58" s="6"/>
      <c r="FJ58" s="6"/>
      <c r="FK58" s="123"/>
      <c r="FL58" s="6"/>
      <c r="FM58" s="6"/>
      <c r="FN58" s="6"/>
      <c r="FO58" s="138"/>
      <c r="FP58" s="138"/>
      <c r="FQ58" s="123"/>
      <c r="FR58" s="6"/>
      <c r="FS58" s="6"/>
      <c r="FT58" s="139"/>
      <c r="FU58" s="139"/>
      <c r="FV58" s="76"/>
      <c r="FW58" s="123"/>
      <c r="FX58" s="6"/>
    </row>
    <row r="59" spans="2:180">
      <c r="B59" s="10"/>
      <c r="C59" s="4"/>
      <c r="D59" s="4"/>
      <c r="E59" s="4"/>
      <c r="F59" s="4"/>
      <c r="G59" s="4" t="s">
        <v>828</v>
      </c>
      <c r="H59" s="4"/>
      <c r="I59" s="4"/>
      <c r="J59" s="4"/>
      <c r="K59" s="4"/>
      <c r="L59" s="115"/>
      <c r="M59" s="4"/>
      <c r="N59" s="11"/>
      <c r="AI59" s="125"/>
      <c r="AJ59" s="16"/>
      <c r="AM59" s="16"/>
      <c r="AN59" s="16"/>
      <c r="AO59" s="125"/>
      <c r="AP59" s="16"/>
      <c r="AQ59" s="125"/>
      <c r="AR59" s="164"/>
      <c r="AY59" s="142"/>
      <c r="AZ59" s="125"/>
      <c r="BA59" s="142"/>
      <c r="BB59" s="125"/>
      <c r="BC59" s="16"/>
      <c r="BD59" s="125"/>
      <c r="BE59" s="125"/>
      <c r="BF59" s="16"/>
      <c r="BG59" s="125"/>
      <c r="BQ59" s="125"/>
      <c r="BR59" s="16"/>
      <c r="BS59" s="123"/>
      <c r="BT59" s="19"/>
      <c r="BU59" s="139"/>
      <c r="BV59" s="139"/>
      <c r="BW59" s="123"/>
      <c r="BX59" s="123"/>
      <c r="BY59" s="123"/>
      <c r="BZ59" s="123"/>
      <c r="CA59" s="123"/>
      <c r="CB59" s="123"/>
      <c r="CC59" s="6"/>
      <c r="CD59" s="123"/>
      <c r="CE59" s="6"/>
      <c r="CF59" s="123"/>
      <c r="CG59" s="6"/>
      <c r="CH59" s="6"/>
      <c r="CI59" s="6"/>
      <c r="CJ59" s="6"/>
      <c r="CK59" s="123"/>
      <c r="CL59" s="6"/>
      <c r="CM59" s="6"/>
      <c r="CN59" s="6"/>
      <c r="CO59" s="138"/>
      <c r="CP59" s="138"/>
      <c r="CQ59" s="123"/>
      <c r="CR59" s="6"/>
      <c r="CS59" s="6"/>
      <c r="CT59" s="139"/>
      <c r="CU59" s="139"/>
      <c r="CV59" s="76"/>
      <c r="CW59" s="123"/>
      <c r="CX59" s="6"/>
      <c r="DI59" s="125"/>
      <c r="DJ59" s="16"/>
      <c r="DM59" s="16"/>
      <c r="DN59" s="16"/>
      <c r="DO59" s="125"/>
      <c r="DP59" s="16"/>
      <c r="DQ59" s="125"/>
      <c r="DR59" s="164"/>
      <c r="DY59" s="142"/>
      <c r="DZ59" s="125"/>
      <c r="EA59" s="142"/>
      <c r="EB59" s="125"/>
      <c r="EC59" s="16"/>
      <c r="ED59" s="125"/>
      <c r="EE59" s="125"/>
      <c r="EF59" s="16"/>
      <c r="EG59" s="125"/>
      <c r="EQ59" s="125"/>
      <c r="ER59" s="16"/>
      <c r="ES59" s="123"/>
      <c r="ET59" s="19"/>
      <c r="EU59" s="139"/>
      <c r="EV59" s="139"/>
      <c r="EW59" s="123"/>
      <c r="EX59" s="123"/>
      <c r="EY59" s="123"/>
      <c r="EZ59" s="123"/>
      <c r="FA59" s="123"/>
      <c r="FB59" s="123"/>
      <c r="FC59" s="6"/>
      <c r="FD59" s="123"/>
      <c r="FE59" s="6"/>
      <c r="FF59" s="123"/>
      <c r="FG59" s="6"/>
      <c r="FH59" s="6"/>
      <c r="FI59" s="6"/>
      <c r="FJ59" s="6"/>
      <c r="FK59" s="123"/>
      <c r="FL59" s="6"/>
      <c r="FM59" s="6"/>
      <c r="FN59" s="6"/>
      <c r="FO59" s="138"/>
      <c r="FP59" s="138"/>
      <c r="FQ59" s="123"/>
      <c r="FR59" s="6"/>
      <c r="FS59" s="6"/>
      <c r="FT59" s="139"/>
      <c r="FU59" s="139"/>
      <c r="FV59" s="76"/>
      <c r="FW59" s="123"/>
      <c r="FX59" s="6"/>
    </row>
    <row r="60" spans="2:180">
      <c r="B60" s="43"/>
      <c r="C60" s="4"/>
      <c r="D60" s="4"/>
      <c r="E60" s="4"/>
      <c r="F60" s="4"/>
      <c r="G60" s="4" t="s">
        <v>829</v>
      </c>
      <c r="H60" s="4"/>
      <c r="I60" s="4"/>
      <c r="J60" s="4"/>
      <c r="K60" s="101" t="s">
        <v>831</v>
      </c>
      <c r="L60" s="112">
        <f>IF(J31=0,"-",ABS(F31)*1000/(H56*G27*100*D27*F27)+ABS(J31)*1000000/(H57*L57*K27*1000*$D$27*$F$27))</f>
        <v>0.39532848964477918</v>
      </c>
      <c r="M60" s="114" t="s">
        <v>180</v>
      </c>
      <c r="N60" s="18" t="str">
        <f>IF(L60="-","",IF(L60&lt;=1,"OK","Check"))</f>
        <v>OK</v>
      </c>
      <c r="AI60" s="125"/>
      <c r="AJ60" s="16"/>
      <c r="AM60" s="16"/>
      <c r="AN60" s="16"/>
      <c r="AO60" s="125"/>
      <c r="AP60" s="16"/>
      <c r="AQ60" s="125"/>
      <c r="AR60" s="164"/>
      <c r="AY60" s="142"/>
      <c r="AZ60" s="125"/>
      <c r="BA60" s="142"/>
      <c r="BB60" s="125"/>
      <c r="BC60" s="16"/>
      <c r="BD60" s="125"/>
      <c r="BE60" s="125"/>
      <c r="BF60" s="16"/>
      <c r="BG60" s="125"/>
      <c r="BQ60" s="125"/>
      <c r="BR60" s="16"/>
      <c r="BS60" s="123"/>
      <c r="BT60" s="19"/>
      <c r="BU60" s="139"/>
      <c r="BV60" s="139"/>
      <c r="BW60" s="123"/>
      <c r="BX60" s="123"/>
      <c r="BY60" s="123"/>
      <c r="BZ60" s="123"/>
      <c r="CA60" s="123"/>
      <c r="CB60" s="123"/>
      <c r="CC60" s="6"/>
      <c r="CD60" s="123"/>
      <c r="CE60" s="6"/>
      <c r="CF60" s="123"/>
      <c r="CG60" s="6"/>
      <c r="CH60" s="6"/>
      <c r="CI60" s="6"/>
      <c r="CJ60" s="6"/>
      <c r="CK60" s="123"/>
      <c r="CL60" s="6"/>
      <c r="CM60" s="6"/>
      <c r="CN60" s="6"/>
      <c r="CO60" s="138"/>
      <c r="CP60" s="138"/>
      <c r="CQ60" s="123"/>
      <c r="CR60" s="6"/>
      <c r="CS60" s="6"/>
      <c r="CT60" s="139"/>
      <c r="CU60" s="139"/>
      <c r="CV60" s="76"/>
      <c r="CW60" s="123"/>
      <c r="CX60" s="6"/>
      <c r="DI60" s="125"/>
      <c r="DJ60" s="16"/>
      <c r="DM60" s="16"/>
      <c r="DN60" s="16"/>
      <c r="DO60" s="125"/>
      <c r="DP60" s="16"/>
      <c r="DQ60" s="125"/>
      <c r="DR60" s="164"/>
      <c r="DY60" s="142"/>
      <c r="DZ60" s="125"/>
      <c r="EA60" s="142"/>
      <c r="EB60" s="125"/>
      <c r="EC60" s="16"/>
      <c r="ED60" s="125"/>
      <c r="EE60" s="125"/>
      <c r="EF60" s="16"/>
      <c r="EG60" s="125"/>
      <c r="EQ60" s="125"/>
      <c r="ER60" s="16"/>
      <c r="ES60" s="123"/>
      <c r="ET60" s="19"/>
      <c r="EU60" s="139"/>
      <c r="EV60" s="139"/>
      <c r="EW60" s="123"/>
      <c r="EX60" s="123"/>
      <c r="EY60" s="123"/>
      <c r="EZ60" s="123"/>
      <c r="FA60" s="123"/>
      <c r="FB60" s="123"/>
      <c r="FC60" s="6"/>
      <c r="FD60" s="123"/>
      <c r="FE60" s="6"/>
      <c r="FF60" s="123"/>
      <c r="FG60" s="6"/>
      <c r="FH60" s="6"/>
      <c r="FI60" s="6"/>
      <c r="FJ60" s="6"/>
      <c r="FK60" s="123"/>
      <c r="FL60" s="6"/>
      <c r="FM60" s="6"/>
      <c r="FN60" s="6"/>
      <c r="FO60" s="138"/>
      <c r="FP60" s="138"/>
      <c r="FQ60" s="123"/>
      <c r="FR60" s="6"/>
      <c r="FS60" s="6"/>
      <c r="FT60" s="139"/>
      <c r="FU60" s="139"/>
      <c r="FV60" s="76"/>
      <c r="FW60" s="123"/>
      <c r="FX60" s="6"/>
    </row>
    <row r="61" spans="2:180">
      <c r="B61" s="10"/>
      <c r="C61" s="4"/>
      <c r="D61" s="4"/>
      <c r="E61" s="4"/>
      <c r="F61" s="4"/>
      <c r="G61" s="4" t="s">
        <v>832</v>
      </c>
      <c r="H61" s="4"/>
      <c r="I61" s="4"/>
      <c r="J61" s="4"/>
      <c r="K61" s="94"/>
      <c r="L61" s="4"/>
      <c r="M61" s="114"/>
      <c r="N61" s="18"/>
      <c r="AI61" s="125"/>
      <c r="AJ61" s="16"/>
      <c r="AM61" s="16"/>
      <c r="AN61" s="16"/>
      <c r="AO61" s="125"/>
      <c r="AP61" s="16"/>
      <c r="AQ61" s="125"/>
      <c r="AR61" s="164"/>
      <c r="AY61" s="142"/>
      <c r="AZ61" s="125"/>
      <c r="BA61" s="142"/>
      <c r="BB61" s="125"/>
      <c r="BC61" s="16"/>
      <c r="BD61" s="125"/>
      <c r="BE61" s="125"/>
      <c r="BF61" s="16"/>
      <c r="BG61" s="125"/>
      <c r="BQ61" s="125"/>
      <c r="BR61" s="16"/>
      <c r="BS61" s="123"/>
      <c r="BT61" s="19"/>
      <c r="BU61" s="139"/>
      <c r="BV61" s="139"/>
      <c r="BW61" s="123"/>
      <c r="BX61" s="123"/>
      <c r="BY61" s="123"/>
      <c r="BZ61" s="123"/>
      <c r="CA61" s="123"/>
      <c r="CB61" s="123"/>
      <c r="CC61" s="6"/>
      <c r="CD61" s="123"/>
      <c r="CE61" s="6"/>
      <c r="CF61" s="123"/>
      <c r="CG61" s="6"/>
      <c r="CH61" s="6"/>
      <c r="CI61" s="6"/>
      <c r="CJ61" s="6"/>
      <c r="CK61" s="123"/>
      <c r="CL61" s="6"/>
      <c r="CM61" s="6"/>
      <c r="CN61" s="6"/>
      <c r="CO61" s="138"/>
      <c r="CP61" s="138"/>
      <c r="CQ61" s="123"/>
      <c r="CR61" s="6"/>
      <c r="CS61" s="6"/>
      <c r="CT61" s="139"/>
      <c r="CU61" s="139"/>
      <c r="CV61" s="76"/>
      <c r="CW61" s="123"/>
      <c r="CX61" s="6"/>
      <c r="DI61" s="125"/>
      <c r="DJ61" s="16"/>
      <c r="DM61" s="16"/>
      <c r="DN61" s="16"/>
      <c r="DO61" s="125"/>
      <c r="DP61" s="16"/>
      <c r="DQ61" s="125"/>
      <c r="DR61" s="164"/>
      <c r="DY61" s="142"/>
      <c r="DZ61" s="125"/>
      <c r="EA61" s="142"/>
      <c r="EB61" s="125"/>
      <c r="EC61" s="16"/>
      <c r="ED61" s="125"/>
      <c r="EE61" s="125"/>
      <c r="EF61" s="16"/>
      <c r="EG61" s="125"/>
      <c r="EQ61" s="125"/>
      <c r="ER61" s="16"/>
      <c r="ES61" s="123"/>
      <c r="ET61" s="19"/>
      <c r="EU61" s="139"/>
      <c r="EV61" s="139"/>
      <c r="EW61" s="123"/>
      <c r="EX61" s="123"/>
      <c r="EY61" s="123"/>
      <c r="EZ61" s="123"/>
      <c r="FA61" s="123"/>
      <c r="FB61" s="123"/>
      <c r="FC61" s="6"/>
      <c r="FD61" s="123"/>
      <c r="FE61" s="6"/>
      <c r="FF61" s="123"/>
      <c r="FG61" s="6"/>
      <c r="FH61" s="6"/>
      <c r="FI61" s="6"/>
      <c r="FJ61" s="6"/>
      <c r="FK61" s="123"/>
      <c r="FL61" s="6"/>
      <c r="FM61" s="6"/>
      <c r="FN61" s="6"/>
      <c r="FO61" s="138"/>
      <c r="FP61" s="138"/>
      <c r="FQ61" s="123"/>
      <c r="FR61" s="6"/>
      <c r="FS61" s="6"/>
      <c r="FT61" s="139"/>
      <c r="FU61" s="139"/>
      <c r="FV61" s="76"/>
      <c r="FW61" s="123"/>
      <c r="FX61" s="6"/>
    </row>
    <row r="62" spans="2:180">
      <c r="B62" s="9" t="s">
        <v>842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11"/>
      <c r="AI62" s="125"/>
      <c r="AJ62" s="16"/>
      <c r="AM62" s="16"/>
      <c r="AN62" s="16"/>
      <c r="AO62" s="125"/>
      <c r="AP62" s="16"/>
      <c r="AQ62" s="125"/>
      <c r="AR62" s="164"/>
      <c r="AY62" s="142"/>
      <c r="AZ62" s="125"/>
      <c r="BA62" s="142"/>
      <c r="BB62" s="125"/>
      <c r="BC62" s="16"/>
      <c r="BD62" s="125"/>
      <c r="BE62" s="125"/>
      <c r="BF62" s="16"/>
      <c r="BG62" s="125"/>
      <c r="BQ62" s="125"/>
      <c r="BR62" s="16"/>
      <c r="BS62" s="123"/>
      <c r="BT62" s="19"/>
      <c r="BU62" s="139"/>
      <c r="BV62" s="139"/>
      <c r="BW62" s="123"/>
      <c r="BX62" s="123"/>
      <c r="BY62" s="123"/>
      <c r="BZ62" s="123"/>
      <c r="CA62" s="123"/>
      <c r="CB62" s="123"/>
      <c r="CC62" s="6"/>
      <c r="CD62" s="123"/>
      <c r="CE62" s="6"/>
      <c r="CF62" s="123"/>
      <c r="CG62" s="6"/>
      <c r="CH62" s="6"/>
      <c r="CI62" s="6"/>
      <c r="CJ62" s="6"/>
      <c r="CK62" s="123"/>
      <c r="CL62" s="6"/>
      <c r="CM62" s="6"/>
      <c r="CN62" s="6"/>
      <c r="CO62" s="138"/>
      <c r="CP62" s="138"/>
      <c r="CQ62" s="123"/>
      <c r="CR62" s="6"/>
      <c r="CS62" s="6"/>
      <c r="CT62" s="139"/>
      <c r="CU62" s="139"/>
      <c r="CV62" s="76"/>
      <c r="CW62" s="123"/>
      <c r="CX62" s="6"/>
      <c r="DI62" s="125"/>
      <c r="DJ62" s="16"/>
      <c r="DM62" s="16"/>
      <c r="DN62" s="16"/>
      <c r="DO62" s="125"/>
      <c r="DP62" s="16"/>
      <c r="DQ62" s="125"/>
      <c r="DR62" s="164"/>
      <c r="DY62" s="142"/>
      <c r="DZ62" s="125"/>
      <c r="EA62" s="142"/>
      <c r="EB62" s="125"/>
      <c r="EC62" s="16"/>
      <c r="ED62" s="125"/>
      <c r="EE62" s="125"/>
      <c r="EF62" s="16"/>
      <c r="EG62" s="125"/>
      <c r="EQ62" s="125"/>
      <c r="ER62" s="16"/>
      <c r="ES62" s="123"/>
      <c r="ET62" s="19"/>
      <c r="EU62" s="139"/>
      <c r="EV62" s="139"/>
      <c r="EW62" s="123"/>
      <c r="EX62" s="123"/>
      <c r="EY62" s="123"/>
      <c r="EZ62" s="123"/>
      <c r="FA62" s="123"/>
      <c r="FB62" s="123"/>
      <c r="FC62" s="6"/>
      <c r="FD62" s="123"/>
      <c r="FE62" s="6"/>
      <c r="FF62" s="123"/>
      <c r="FG62" s="6"/>
      <c r="FH62" s="6"/>
      <c r="FI62" s="6"/>
      <c r="FJ62" s="6"/>
      <c r="FK62" s="123"/>
      <c r="FL62" s="6"/>
      <c r="FM62" s="6"/>
      <c r="FN62" s="6"/>
      <c r="FO62" s="138"/>
      <c r="FP62" s="138"/>
      <c r="FQ62" s="123"/>
      <c r="FR62" s="6"/>
      <c r="FS62" s="6"/>
      <c r="FT62" s="139"/>
      <c r="FU62" s="139"/>
      <c r="FV62" s="76"/>
      <c r="FW62" s="123"/>
      <c r="FX62" s="6"/>
    </row>
    <row r="63" spans="2:180" ht="14.25">
      <c r="B63" s="12"/>
      <c r="C63" s="101" t="s">
        <v>787</v>
      </c>
      <c r="D63" s="53">
        <f>F15-2*F17</f>
        <v>184</v>
      </c>
      <c r="E63" s="4" t="s">
        <v>1</v>
      </c>
      <c r="F63" s="4"/>
      <c r="G63" s="103" t="s">
        <v>820</v>
      </c>
      <c r="H63" s="104">
        <f>L35</f>
        <v>2.504723742245901</v>
      </c>
      <c r="I63" s="4"/>
      <c r="J63" s="4"/>
      <c r="K63" s="103" t="s">
        <v>784</v>
      </c>
      <c r="L63" s="22">
        <f>IF(H63&lt;=1,1.2,MIN(1+0.2*H63,1.6))</f>
        <v>1.5009447484491802</v>
      </c>
      <c r="M63" s="4" t="s">
        <v>785</v>
      </c>
      <c r="N63" s="11"/>
      <c r="AI63" s="125"/>
      <c r="AJ63" s="16"/>
      <c r="AM63" s="16"/>
      <c r="AN63" s="16"/>
      <c r="AO63" s="125"/>
      <c r="AP63" s="16"/>
      <c r="AQ63" s="125"/>
      <c r="AR63" s="164"/>
      <c r="AY63" s="142"/>
      <c r="AZ63" s="125"/>
      <c r="BA63" s="142"/>
      <c r="BB63" s="125"/>
      <c r="BC63" s="16"/>
      <c r="BD63" s="125"/>
      <c r="BE63" s="125"/>
      <c r="BF63" s="16"/>
      <c r="BG63" s="125"/>
      <c r="BQ63" s="125"/>
      <c r="BR63" s="16"/>
      <c r="BS63" s="123"/>
      <c r="BT63" s="19"/>
      <c r="BU63" s="139"/>
      <c r="BV63" s="139"/>
      <c r="BW63" s="123"/>
      <c r="BX63" s="123"/>
      <c r="BY63" s="123"/>
      <c r="BZ63" s="123"/>
      <c r="CA63" s="123"/>
      <c r="CB63" s="123"/>
      <c r="CC63" s="6"/>
      <c r="CD63" s="123"/>
      <c r="CE63" s="6"/>
      <c r="CF63" s="123"/>
      <c r="CG63" s="6"/>
      <c r="CH63" s="6"/>
      <c r="CI63" s="6"/>
      <c r="CJ63" s="6"/>
      <c r="CK63" s="123"/>
      <c r="CL63" s="6"/>
      <c r="CM63" s="6"/>
      <c r="CN63" s="6"/>
      <c r="CO63" s="138"/>
      <c r="CP63" s="138"/>
      <c r="CQ63" s="123"/>
      <c r="CR63" s="6"/>
      <c r="CS63" s="6"/>
      <c r="CT63" s="139"/>
      <c r="CU63" s="139"/>
      <c r="CV63" s="76"/>
      <c r="CW63" s="123"/>
      <c r="CX63" s="6"/>
      <c r="DI63" s="125"/>
      <c r="DJ63" s="16"/>
      <c r="DM63" s="16"/>
      <c r="DN63" s="16"/>
      <c r="DO63" s="125"/>
      <c r="DP63" s="16"/>
      <c r="DQ63" s="125"/>
      <c r="DR63" s="164"/>
      <c r="DY63" s="142"/>
      <c r="DZ63" s="125"/>
      <c r="EA63" s="142"/>
      <c r="EB63" s="125"/>
      <c r="EC63" s="16"/>
      <c r="ED63" s="125"/>
      <c r="EE63" s="125"/>
      <c r="EF63" s="16"/>
      <c r="EG63" s="125"/>
      <c r="EQ63" s="125"/>
      <c r="ER63" s="16"/>
      <c r="ES63" s="123"/>
      <c r="ET63" s="19"/>
      <c r="EU63" s="139"/>
      <c r="EV63" s="139"/>
      <c r="EW63" s="123"/>
      <c r="EX63" s="123"/>
      <c r="EY63" s="123"/>
      <c r="EZ63" s="123"/>
      <c r="FA63" s="123"/>
      <c r="FB63" s="123"/>
      <c r="FC63" s="6"/>
      <c r="FD63" s="123"/>
      <c r="FE63" s="6"/>
      <c r="FF63" s="123"/>
      <c r="FG63" s="6"/>
      <c r="FH63" s="6"/>
      <c r="FI63" s="6"/>
      <c r="FJ63" s="6"/>
      <c r="FK63" s="123"/>
      <c r="FL63" s="6"/>
      <c r="FM63" s="6"/>
      <c r="FN63" s="6"/>
      <c r="FO63" s="138"/>
      <c r="FP63" s="138"/>
      <c r="FQ63" s="123"/>
      <c r="FR63" s="6"/>
      <c r="FS63" s="6"/>
      <c r="FT63" s="139"/>
      <c r="FU63" s="139"/>
      <c r="FV63" s="76"/>
      <c r="FW63" s="123"/>
      <c r="FX63" s="6"/>
    </row>
    <row r="64" spans="2:180" ht="14.25">
      <c r="B64" s="10" t="s">
        <v>786</v>
      </c>
      <c r="C64" s="4"/>
      <c r="D64" s="4"/>
      <c r="E64" s="4"/>
      <c r="F64" s="4"/>
      <c r="G64" s="4"/>
      <c r="H64" s="4"/>
      <c r="I64" s="4"/>
      <c r="J64" s="4"/>
      <c r="K64" s="103" t="s">
        <v>803</v>
      </c>
      <c r="L64" s="104">
        <f>L63-0.01*(5.3+1.3*G35)*MIN(G36,5)</f>
        <v>1.4412274764151125</v>
      </c>
      <c r="M64" s="4"/>
      <c r="N64" s="11"/>
      <c r="AI64" s="125"/>
      <c r="AJ64" s="16"/>
      <c r="AM64" s="16"/>
      <c r="AN64" s="16"/>
      <c r="AO64" s="125"/>
      <c r="AP64" s="16"/>
      <c r="AQ64" s="125"/>
      <c r="AR64" s="164"/>
      <c r="AY64" s="142"/>
      <c r="AZ64" s="125"/>
      <c r="BA64" s="142"/>
      <c r="BB64" s="125"/>
      <c r="BC64" s="16"/>
      <c r="BD64" s="125"/>
      <c r="BE64" s="125"/>
      <c r="BF64" s="16"/>
      <c r="BG64" s="125"/>
      <c r="BQ64" s="125"/>
      <c r="BR64" s="16"/>
      <c r="BS64" s="123"/>
      <c r="BT64" s="19"/>
      <c r="BU64" s="139"/>
      <c r="BV64" s="139"/>
      <c r="BW64" s="123"/>
      <c r="BX64" s="123"/>
      <c r="BY64" s="123"/>
      <c r="BZ64" s="123"/>
      <c r="CA64" s="123"/>
      <c r="CB64" s="123"/>
      <c r="CC64" s="6"/>
      <c r="CD64" s="123"/>
      <c r="CE64" s="6"/>
      <c r="CF64" s="123"/>
      <c r="CG64" s="6"/>
      <c r="CH64" s="6"/>
      <c r="CI64" s="6"/>
      <c r="CJ64" s="6"/>
      <c r="CK64" s="123"/>
      <c r="CL64" s="6"/>
      <c r="CM64" s="6"/>
      <c r="CN64" s="6"/>
      <c r="CO64" s="138"/>
      <c r="CP64" s="138"/>
      <c r="CQ64" s="123"/>
      <c r="CR64" s="6"/>
      <c r="CS64" s="6"/>
      <c r="CT64" s="139"/>
      <c r="CU64" s="139"/>
      <c r="CV64" s="76"/>
      <c r="CW64" s="123"/>
      <c r="CX64" s="6"/>
      <c r="DI64" s="125"/>
      <c r="DJ64" s="16"/>
      <c r="DM64" s="16"/>
      <c r="DN64" s="16"/>
      <c r="DO64" s="125"/>
      <c r="DP64" s="16"/>
      <c r="DQ64" s="125"/>
      <c r="DR64" s="164"/>
      <c r="DY64" s="142"/>
      <c r="DZ64" s="125"/>
      <c r="EA64" s="142"/>
      <c r="EB64" s="125"/>
      <c r="EC64" s="16"/>
      <c r="ED64" s="125"/>
      <c r="EE64" s="125"/>
      <c r="EF64" s="16"/>
      <c r="EG64" s="125"/>
      <c r="EQ64" s="125"/>
      <c r="ER64" s="16"/>
      <c r="ES64" s="123"/>
      <c r="ET64" s="19"/>
      <c r="EU64" s="139"/>
      <c r="EV64" s="139"/>
      <c r="EW64" s="123"/>
      <c r="EX64" s="123"/>
      <c r="EY64" s="123"/>
      <c r="EZ64" s="123"/>
      <c r="FA64" s="123"/>
      <c r="FB64" s="123"/>
      <c r="FC64" s="6"/>
      <c r="FD64" s="123"/>
      <c r="FE64" s="6"/>
      <c r="FF64" s="123"/>
      <c r="FG64" s="6"/>
      <c r="FH64" s="6"/>
      <c r="FI64" s="6"/>
      <c r="FJ64" s="6"/>
      <c r="FK64" s="123"/>
      <c r="FL64" s="6"/>
      <c r="FM64" s="6"/>
      <c r="FN64" s="6"/>
      <c r="FO64" s="138"/>
      <c r="FP64" s="138"/>
      <c r="FQ64" s="123"/>
      <c r="FR64" s="6"/>
      <c r="FS64" s="6"/>
      <c r="FT64" s="139"/>
      <c r="FU64" s="139"/>
      <c r="FV64" s="76"/>
      <c r="FW64" s="123"/>
      <c r="FX64" s="6"/>
    </row>
    <row r="65" spans="2:180" ht="15.75">
      <c r="B65" s="10" t="s">
        <v>788</v>
      </c>
      <c r="C65" s="4"/>
      <c r="D65" s="4"/>
      <c r="E65" s="4"/>
      <c r="F65" s="4"/>
      <c r="G65" s="4"/>
      <c r="H65" s="4"/>
      <c r="I65" s="4"/>
      <c r="J65" s="4"/>
      <c r="K65" s="103" t="s">
        <v>804</v>
      </c>
      <c r="L65" s="104">
        <f>(D63/F18)*SQRT(D27/B27)</f>
        <v>0.87558264366765715</v>
      </c>
      <c r="M65" s="4"/>
      <c r="N65" s="11"/>
      <c r="AI65" s="125"/>
      <c r="AJ65" s="16"/>
      <c r="AM65" s="16"/>
      <c r="AN65" s="16"/>
      <c r="AO65" s="125"/>
      <c r="AP65" s="16"/>
      <c r="AQ65" s="125"/>
      <c r="AR65" s="164"/>
      <c r="AY65" s="142"/>
      <c r="AZ65" s="125"/>
      <c r="BA65" s="142"/>
      <c r="BB65" s="125"/>
      <c r="BC65" s="16"/>
      <c r="BD65" s="125"/>
      <c r="BE65" s="125"/>
      <c r="BF65" s="16"/>
      <c r="BG65" s="125"/>
      <c r="BQ65" s="125"/>
      <c r="BR65" s="16"/>
      <c r="BS65" s="123"/>
      <c r="BT65" s="19"/>
      <c r="BU65" s="139"/>
      <c r="BV65" s="139"/>
      <c r="BW65" s="123"/>
      <c r="BX65" s="123"/>
      <c r="BY65" s="123"/>
      <c r="BZ65" s="123"/>
      <c r="CA65" s="123"/>
      <c r="CB65" s="123"/>
      <c r="CC65" s="6"/>
      <c r="CD65" s="123"/>
      <c r="CE65" s="6"/>
      <c r="CF65" s="123"/>
      <c r="CG65" s="6"/>
      <c r="CH65" s="6"/>
      <c r="CI65" s="6"/>
      <c r="CJ65" s="6"/>
      <c r="CK65" s="123"/>
      <c r="CL65" s="6"/>
      <c r="CM65" s="6"/>
      <c r="CN65" s="6"/>
      <c r="CO65" s="138"/>
      <c r="CP65" s="138"/>
      <c r="CQ65" s="123"/>
      <c r="CR65" s="6"/>
      <c r="CS65" s="6"/>
      <c r="CT65" s="139"/>
      <c r="CU65" s="139"/>
      <c r="CV65" s="76"/>
      <c r="CW65" s="123"/>
      <c r="CX65" s="6"/>
      <c r="DI65" s="125"/>
      <c r="DJ65" s="16"/>
      <c r="DM65" s="16"/>
      <c r="DN65" s="16"/>
      <c r="DO65" s="125"/>
      <c r="DP65" s="16"/>
      <c r="DQ65" s="125"/>
      <c r="DR65" s="164"/>
      <c r="DY65" s="142"/>
      <c r="DZ65" s="125"/>
      <c r="EA65" s="142"/>
      <c r="EB65" s="125"/>
      <c r="EC65" s="16"/>
      <c r="ED65" s="125"/>
      <c r="EE65" s="125"/>
      <c r="EF65" s="16"/>
      <c r="EG65" s="125"/>
      <c r="EQ65" s="125"/>
      <c r="ER65" s="16"/>
      <c r="ES65" s="123"/>
      <c r="ET65" s="19"/>
      <c r="EU65" s="139"/>
      <c r="EV65" s="139"/>
      <c r="EW65" s="123"/>
      <c r="EX65" s="123"/>
      <c r="EY65" s="123"/>
      <c r="EZ65" s="123"/>
      <c r="FA65" s="123"/>
      <c r="FB65" s="123"/>
      <c r="FC65" s="6"/>
      <c r="FD65" s="123"/>
      <c r="FE65" s="6"/>
      <c r="FF65" s="123"/>
      <c r="FG65" s="6"/>
      <c r="FH65" s="6"/>
      <c r="FI65" s="6"/>
      <c r="FJ65" s="6"/>
      <c r="FK65" s="123"/>
      <c r="FL65" s="6"/>
      <c r="FM65" s="6"/>
      <c r="FN65" s="6"/>
      <c r="FO65" s="138"/>
      <c r="FP65" s="138"/>
      <c r="FQ65" s="123"/>
      <c r="FR65" s="6"/>
      <c r="FS65" s="6"/>
      <c r="FT65" s="139"/>
      <c r="FU65" s="139"/>
      <c r="FV65" s="76"/>
      <c r="FW65" s="123"/>
      <c r="FX65" s="6"/>
    </row>
    <row r="66" spans="2:180" ht="14.25">
      <c r="B66" s="43" t="s">
        <v>78</v>
      </c>
      <c r="C66" s="4"/>
      <c r="D66" s="4"/>
      <c r="E66" s="4"/>
      <c r="F66" s="4"/>
      <c r="G66" s="4"/>
      <c r="H66" s="4"/>
      <c r="I66" s="4"/>
      <c r="J66" s="4"/>
      <c r="K66" s="103" t="s">
        <v>77</v>
      </c>
      <c r="L66" s="112">
        <f>L65/L64</f>
        <v>0.60752563907924395</v>
      </c>
      <c r="M66" s="114" t="s">
        <v>180</v>
      </c>
      <c r="N66" s="18" t="str">
        <f>IF(L66&lt;=1,"OK","Check")</f>
        <v>OK</v>
      </c>
      <c r="AI66" s="125"/>
      <c r="AJ66" s="16"/>
      <c r="AM66" s="16"/>
      <c r="AN66" s="16"/>
      <c r="AO66" s="125"/>
      <c r="AP66" s="16"/>
      <c r="AQ66" s="125"/>
      <c r="AR66" s="164"/>
      <c r="AY66" s="142"/>
      <c r="AZ66" s="125"/>
      <c r="BA66" s="142"/>
      <c r="BB66" s="125"/>
      <c r="BC66" s="16"/>
      <c r="BD66" s="125"/>
      <c r="BE66" s="125"/>
      <c r="BF66" s="16"/>
      <c r="BG66" s="125"/>
      <c r="BQ66" s="125"/>
      <c r="BR66" s="16"/>
      <c r="BS66" s="123"/>
      <c r="BT66" s="19"/>
      <c r="BU66" s="139"/>
      <c r="BV66" s="139"/>
      <c r="BW66" s="123"/>
      <c r="BX66" s="123"/>
      <c r="BY66" s="123"/>
      <c r="BZ66" s="123"/>
      <c r="CA66" s="123"/>
      <c r="CB66" s="123"/>
      <c r="CC66" s="6"/>
      <c r="CD66" s="123"/>
      <c r="CE66" s="6"/>
      <c r="CF66" s="123"/>
      <c r="CG66" s="6"/>
      <c r="CH66" s="6"/>
      <c r="CI66" s="6"/>
      <c r="CJ66" s="6"/>
      <c r="CK66" s="123"/>
      <c r="CL66" s="6"/>
      <c r="CM66" s="6"/>
      <c r="CN66" s="6"/>
      <c r="CO66" s="138"/>
      <c r="CP66" s="138"/>
      <c r="CQ66" s="123"/>
      <c r="CR66" s="6"/>
      <c r="CS66" s="6"/>
      <c r="CT66" s="139"/>
      <c r="CU66" s="139"/>
      <c r="CV66" s="76"/>
      <c r="CW66" s="123"/>
      <c r="CX66" s="6"/>
      <c r="DI66" s="125"/>
      <c r="DJ66" s="16"/>
      <c r="DM66" s="16"/>
      <c r="DN66" s="16"/>
      <c r="DO66" s="125"/>
      <c r="DP66" s="16"/>
      <c r="DQ66" s="125"/>
      <c r="DR66" s="164"/>
      <c r="DY66" s="142"/>
      <c r="DZ66" s="125"/>
      <c r="EA66" s="142"/>
      <c r="EB66" s="125"/>
      <c r="EC66" s="16"/>
      <c r="ED66" s="125"/>
      <c r="EE66" s="125"/>
      <c r="EF66" s="16"/>
      <c r="EG66" s="125"/>
      <c r="EQ66" s="125"/>
      <c r="ER66" s="16"/>
      <c r="ES66" s="123"/>
      <c r="ET66" s="19"/>
      <c r="EU66" s="139"/>
      <c r="EV66" s="139"/>
      <c r="EW66" s="123"/>
      <c r="EX66" s="123"/>
      <c r="EY66" s="123"/>
      <c r="EZ66" s="123"/>
      <c r="FA66" s="123"/>
      <c r="FB66" s="123"/>
      <c r="FC66" s="6"/>
      <c r="FD66" s="123"/>
      <c r="FE66" s="6"/>
      <c r="FF66" s="123"/>
      <c r="FG66" s="6"/>
      <c r="FH66" s="6"/>
      <c r="FI66" s="6"/>
      <c r="FJ66" s="6"/>
      <c r="FK66" s="123"/>
      <c r="FL66" s="6"/>
      <c r="FM66" s="6"/>
      <c r="FN66" s="6"/>
      <c r="FO66" s="138"/>
      <c r="FP66" s="138"/>
      <c r="FQ66" s="123"/>
      <c r="FR66" s="6"/>
      <c r="FS66" s="6"/>
      <c r="FT66" s="139"/>
      <c r="FU66" s="139"/>
      <c r="FV66" s="76"/>
      <c r="FW66" s="123"/>
      <c r="FX66" s="6"/>
    </row>
    <row r="67" spans="2:180">
      <c r="B67" s="9" t="s">
        <v>843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11"/>
      <c r="AI67" s="125"/>
      <c r="AJ67" s="16"/>
      <c r="AM67" s="16"/>
      <c r="AN67" s="16"/>
      <c r="AO67" s="125"/>
      <c r="AP67" s="16"/>
      <c r="AQ67" s="125"/>
      <c r="AR67" s="164"/>
      <c r="AY67" s="142"/>
      <c r="AZ67" s="125"/>
      <c r="BA67" s="142"/>
      <c r="BB67" s="125"/>
      <c r="BC67" s="16"/>
      <c r="BD67" s="125"/>
      <c r="BE67" s="125"/>
      <c r="BF67" s="16"/>
      <c r="BG67" s="125"/>
      <c r="BQ67" s="125"/>
      <c r="BR67" s="16"/>
      <c r="BS67" s="123"/>
      <c r="BT67" s="19"/>
      <c r="BU67" s="139"/>
      <c r="BV67" s="139"/>
      <c r="BW67" s="123"/>
      <c r="BX67" s="123"/>
      <c r="BY67" s="123"/>
      <c r="BZ67" s="123"/>
      <c r="CA67" s="123"/>
      <c r="CB67" s="123"/>
      <c r="CC67" s="6"/>
      <c r="CD67" s="123"/>
      <c r="CE67" s="6"/>
      <c r="CF67" s="123"/>
      <c r="CG67" s="6"/>
      <c r="CH67" s="6"/>
      <c r="CI67" s="6"/>
      <c r="CJ67" s="6"/>
      <c r="CK67" s="123"/>
      <c r="CL67" s="6"/>
      <c r="CM67" s="6"/>
      <c r="CN67" s="6"/>
      <c r="CO67" s="138"/>
      <c r="CP67" s="138"/>
      <c r="CQ67" s="123"/>
      <c r="CR67" s="6"/>
      <c r="CS67" s="6"/>
      <c r="CT67" s="139"/>
      <c r="CU67" s="139"/>
      <c r="CV67" s="76"/>
      <c r="CW67" s="123"/>
      <c r="CX67" s="6"/>
      <c r="DI67" s="125"/>
      <c r="DJ67" s="16"/>
      <c r="DM67" s="16"/>
      <c r="DN67" s="16"/>
      <c r="DO67" s="125"/>
      <c r="DP67" s="16"/>
      <c r="DQ67" s="125"/>
      <c r="DR67" s="164"/>
      <c r="DY67" s="142"/>
      <c r="DZ67" s="125"/>
      <c r="EA67" s="142"/>
      <c r="EB67" s="125"/>
      <c r="EC67" s="16"/>
      <c r="ED67" s="125"/>
      <c r="EE67" s="125"/>
      <c r="EF67" s="16"/>
      <c r="EG67" s="125"/>
      <c r="EQ67" s="125"/>
      <c r="ER67" s="16"/>
      <c r="ES67" s="123"/>
      <c r="ET67" s="19"/>
      <c r="EU67" s="139"/>
      <c r="EV67" s="139"/>
      <c r="EW67" s="123"/>
      <c r="EX67" s="123"/>
      <c r="EY67" s="123"/>
      <c r="EZ67" s="123"/>
      <c r="FA67" s="123"/>
      <c r="FB67" s="123"/>
      <c r="FC67" s="6"/>
      <c r="FD67" s="123"/>
      <c r="FE67" s="6"/>
      <c r="FF67" s="123"/>
      <c r="FG67" s="6"/>
      <c r="FH67" s="6"/>
      <c r="FI67" s="6"/>
      <c r="FJ67" s="6"/>
      <c r="FK67" s="123"/>
      <c r="FL67" s="6"/>
      <c r="FM67" s="6"/>
      <c r="FN67" s="6"/>
      <c r="FO67" s="138"/>
      <c r="FP67" s="138"/>
      <c r="FQ67" s="123"/>
      <c r="FR67" s="6"/>
      <c r="FS67" s="6"/>
      <c r="FT67" s="139"/>
      <c r="FU67" s="139"/>
      <c r="FV67" s="76"/>
      <c r="FW67" s="123"/>
      <c r="FX67" s="6"/>
    </row>
    <row r="68" spans="2:180" ht="14.25">
      <c r="B68" s="44"/>
      <c r="C68" s="101" t="s">
        <v>813</v>
      </c>
      <c r="D68" s="53">
        <f>F16-2*F18</f>
        <v>186</v>
      </c>
      <c r="E68" s="4" t="s">
        <v>1</v>
      </c>
      <c r="F68" s="4"/>
      <c r="G68" s="103" t="s">
        <v>75</v>
      </c>
      <c r="H68" s="104">
        <f>G35</f>
        <v>1.289921302180367</v>
      </c>
      <c r="I68" s="4" t="str">
        <f>IF(H68&lt;2,"&lt; 2","&gt; 2")</f>
        <v>&lt; 2</v>
      </c>
      <c r="J68" s="4"/>
      <c r="K68" s="103" t="s">
        <v>76</v>
      </c>
      <c r="L68" s="105">
        <f>G36</f>
        <v>0.85592873313019258</v>
      </c>
      <c r="M68" s="4" t="str">
        <f>IF(L68&lt;2,"&lt; 1","&gt; 1")</f>
        <v>&lt; 1</v>
      </c>
      <c r="N68" s="11"/>
      <c r="AI68" s="125"/>
      <c r="AJ68" s="16"/>
      <c r="AM68" s="16"/>
      <c r="AN68" s="16"/>
      <c r="AO68" s="125"/>
      <c r="AP68" s="16"/>
      <c r="AQ68" s="125"/>
      <c r="AR68" s="164"/>
      <c r="AY68" s="142"/>
      <c r="AZ68" s="125"/>
      <c r="BA68" s="142"/>
      <c r="BB68" s="125"/>
      <c r="BC68" s="16"/>
      <c r="BD68" s="125"/>
      <c r="BE68" s="125"/>
      <c r="BF68" s="16"/>
      <c r="BG68" s="125"/>
      <c r="BQ68" s="125"/>
      <c r="BR68" s="16"/>
      <c r="BS68" s="123"/>
      <c r="BT68" s="19"/>
      <c r="BU68" s="139"/>
      <c r="BV68" s="139"/>
      <c r="BW68" s="123"/>
      <c r="BX68" s="123"/>
      <c r="BY68" s="123"/>
      <c r="BZ68" s="123"/>
      <c r="CA68" s="123"/>
      <c r="CB68" s="123"/>
      <c r="CC68" s="6"/>
      <c r="CD68" s="123"/>
      <c r="CE68" s="6"/>
      <c r="CF68" s="123"/>
      <c r="CG68" s="6"/>
      <c r="CH68" s="6"/>
      <c r="CI68" s="6"/>
      <c r="CJ68" s="6"/>
      <c r="CK68" s="123"/>
      <c r="CL68" s="6"/>
      <c r="CM68" s="6"/>
      <c r="CN68" s="6"/>
      <c r="CO68" s="138"/>
      <c r="CP68" s="138"/>
      <c r="CQ68" s="123"/>
      <c r="CR68" s="6"/>
      <c r="CS68" s="6"/>
      <c r="CT68" s="139"/>
      <c r="CU68" s="139"/>
      <c r="CV68" s="76"/>
      <c r="CW68" s="123"/>
      <c r="CX68" s="6"/>
      <c r="DI68" s="125"/>
      <c r="DJ68" s="16"/>
      <c r="DM68" s="16"/>
      <c r="DN68" s="16"/>
      <c r="DO68" s="125"/>
      <c r="DP68" s="16"/>
      <c r="DQ68" s="125"/>
      <c r="DR68" s="164"/>
      <c r="DY68" s="142"/>
      <c r="DZ68" s="125"/>
      <c r="EA68" s="142"/>
      <c r="EB68" s="125"/>
      <c r="EC68" s="16"/>
      <c r="ED68" s="125"/>
      <c r="EE68" s="125"/>
      <c r="EF68" s="16"/>
      <c r="EG68" s="125"/>
      <c r="EQ68" s="125"/>
      <c r="ER68" s="16"/>
      <c r="ES68" s="123"/>
      <c r="ET68" s="19"/>
      <c r="EU68" s="139"/>
      <c r="EV68" s="139"/>
      <c r="EW68" s="123"/>
      <c r="EX68" s="123"/>
      <c r="EY68" s="123"/>
      <c r="EZ68" s="123"/>
      <c r="FA68" s="123"/>
      <c r="FB68" s="123"/>
      <c r="FC68" s="6"/>
      <c r="FD68" s="123"/>
      <c r="FE68" s="6"/>
      <c r="FF68" s="123"/>
      <c r="FG68" s="6"/>
      <c r="FH68" s="6"/>
      <c r="FI68" s="6"/>
      <c r="FJ68" s="6"/>
      <c r="FK68" s="123"/>
      <c r="FL68" s="6"/>
      <c r="FM68" s="6"/>
      <c r="FN68" s="6"/>
      <c r="FO68" s="138"/>
      <c r="FP68" s="138"/>
      <c r="FQ68" s="123"/>
      <c r="FR68" s="6"/>
      <c r="FS68" s="6"/>
      <c r="FT68" s="139"/>
      <c r="FU68" s="139"/>
      <c r="FV68" s="76"/>
      <c r="FW68" s="123"/>
      <c r="FX68" s="6"/>
    </row>
    <row r="69" spans="2:180" ht="14.25">
      <c r="B69" s="43" t="s">
        <v>809</v>
      </c>
      <c r="C69" s="4"/>
      <c r="D69" s="4"/>
      <c r="E69" s="4"/>
      <c r="F69" s="4"/>
      <c r="G69" s="4"/>
      <c r="H69" s="4"/>
      <c r="I69" s="4"/>
      <c r="J69" s="4"/>
      <c r="K69" s="103" t="s">
        <v>806</v>
      </c>
      <c r="L69" s="105">
        <f>IF(L68&lt;1,MIN(MAX(1.2,1+0.2*H68),1.6),"-")</f>
        <v>1.2579842604360734</v>
      </c>
      <c r="M69" s="4"/>
      <c r="N69" s="11"/>
      <c r="AI69" s="125"/>
      <c r="AJ69" s="16"/>
      <c r="AM69" s="16"/>
      <c r="AN69" s="16"/>
      <c r="AO69" s="125"/>
      <c r="AP69" s="16"/>
      <c r="AQ69" s="125"/>
      <c r="AR69" s="164"/>
      <c r="AY69" s="142"/>
      <c r="AZ69" s="125"/>
      <c r="BA69" s="142"/>
      <c r="BB69" s="125"/>
      <c r="BC69" s="16"/>
      <c r="BD69" s="125"/>
      <c r="BE69" s="125"/>
      <c r="BF69" s="16"/>
      <c r="BG69" s="125"/>
      <c r="BQ69" s="125"/>
      <c r="BR69" s="16"/>
      <c r="BS69" s="123"/>
      <c r="BT69" s="19"/>
      <c r="BU69" s="139"/>
      <c r="BV69" s="139"/>
      <c r="BW69" s="123"/>
      <c r="BX69" s="123"/>
      <c r="BY69" s="123"/>
      <c r="BZ69" s="123"/>
      <c r="CA69" s="123"/>
      <c r="CB69" s="123"/>
      <c r="CC69" s="6"/>
      <c r="CD69" s="123"/>
      <c r="CE69" s="6"/>
      <c r="CF69" s="123"/>
      <c r="CG69" s="6"/>
      <c r="CH69" s="6"/>
      <c r="CI69" s="6"/>
      <c r="CJ69" s="6"/>
      <c r="CK69" s="123"/>
      <c r="CL69" s="6"/>
      <c r="CM69" s="6"/>
      <c r="CN69" s="6"/>
      <c r="CO69" s="138"/>
      <c r="CP69" s="138"/>
      <c r="CQ69" s="123"/>
      <c r="CR69" s="6"/>
      <c r="CS69" s="6"/>
      <c r="CT69" s="139"/>
      <c r="CU69" s="139"/>
      <c r="CV69" s="76"/>
      <c r="CW69" s="123"/>
      <c r="CX69" s="6"/>
      <c r="DI69" s="125"/>
      <c r="DJ69" s="16"/>
      <c r="DM69" s="16"/>
      <c r="DN69" s="16"/>
      <c r="DO69" s="125"/>
      <c r="DP69" s="16"/>
      <c r="DQ69" s="125"/>
      <c r="DR69" s="164"/>
      <c r="DY69" s="142"/>
      <c r="DZ69" s="125"/>
      <c r="EA69" s="142"/>
      <c r="EB69" s="125"/>
      <c r="EC69" s="16"/>
      <c r="ED69" s="125"/>
      <c r="EE69" s="125"/>
      <c r="EF69" s="16"/>
      <c r="EG69" s="125"/>
      <c r="EQ69" s="125"/>
      <c r="ER69" s="16"/>
      <c r="ES69" s="123"/>
      <c r="ET69" s="19"/>
      <c r="EU69" s="139"/>
      <c r="EV69" s="139"/>
      <c r="EW69" s="123"/>
      <c r="EX69" s="123"/>
      <c r="EY69" s="123"/>
      <c r="EZ69" s="123"/>
      <c r="FA69" s="123"/>
      <c r="FB69" s="123"/>
      <c r="FC69" s="6"/>
      <c r="FD69" s="123"/>
      <c r="FE69" s="6"/>
      <c r="FF69" s="123"/>
      <c r="FG69" s="6"/>
      <c r="FH69" s="6"/>
      <c r="FI69" s="6"/>
      <c r="FJ69" s="6"/>
      <c r="FK69" s="123"/>
      <c r="FL69" s="6"/>
      <c r="FM69" s="6"/>
      <c r="FN69" s="6"/>
      <c r="FO69" s="138"/>
      <c r="FP69" s="138"/>
      <c r="FQ69" s="123"/>
      <c r="FR69" s="6"/>
      <c r="FS69" s="6"/>
      <c r="FT69" s="139"/>
      <c r="FU69" s="139"/>
      <c r="FV69" s="76"/>
      <c r="FW69" s="123"/>
      <c r="FX69" s="6"/>
    </row>
    <row r="70" spans="2:180" ht="14.25">
      <c r="B70" s="43" t="s">
        <v>808</v>
      </c>
      <c r="C70" s="4"/>
      <c r="D70" s="4"/>
      <c r="E70" s="4"/>
      <c r="F70" s="4"/>
      <c r="G70" s="4"/>
      <c r="H70" s="4"/>
      <c r="I70" s="4"/>
      <c r="J70" s="4"/>
      <c r="K70" s="103" t="s">
        <v>807</v>
      </c>
      <c r="L70" s="105">
        <f>IF(H68&lt;2,1.3+0.15*H68^2,MIN(1.2+0.35*H68,3.1))</f>
        <v>1.5495845448728041</v>
      </c>
      <c r="M70" s="4"/>
      <c r="N70" s="11"/>
      <c r="AI70" s="125"/>
      <c r="AJ70" s="16"/>
      <c r="AM70" s="16"/>
      <c r="AN70" s="16"/>
      <c r="AO70" s="125"/>
      <c r="AP70" s="16"/>
      <c r="AQ70" s="125"/>
      <c r="AR70" s="164"/>
      <c r="AY70" s="142"/>
      <c r="AZ70" s="125"/>
      <c r="BA70" s="142"/>
      <c r="BB70" s="125"/>
      <c r="BC70" s="16"/>
      <c r="BD70" s="125"/>
      <c r="BE70" s="125"/>
      <c r="BF70" s="16"/>
      <c r="BG70" s="125"/>
      <c r="BQ70" s="125"/>
      <c r="BR70" s="16"/>
      <c r="BS70" s="123"/>
      <c r="BT70" s="19"/>
      <c r="BU70" s="139"/>
      <c r="BV70" s="139"/>
      <c r="BW70" s="123"/>
      <c r="BX70" s="123"/>
      <c r="BY70" s="123"/>
      <c r="BZ70" s="123"/>
      <c r="CA70" s="123"/>
      <c r="CB70" s="123"/>
      <c r="CC70" s="6"/>
      <c r="CD70" s="123"/>
      <c r="CE70" s="6"/>
      <c r="CF70" s="123"/>
      <c r="CG70" s="6"/>
      <c r="CH70" s="6"/>
      <c r="CI70" s="6"/>
      <c r="CJ70" s="6"/>
      <c r="CK70" s="123"/>
      <c r="CL70" s="6"/>
      <c r="CM70" s="6"/>
      <c r="CN70" s="6"/>
      <c r="CO70" s="138"/>
      <c r="CP70" s="138"/>
      <c r="CQ70" s="123"/>
      <c r="CR70" s="6"/>
      <c r="CS70" s="6"/>
      <c r="CT70" s="139"/>
      <c r="CU70" s="139"/>
      <c r="CV70" s="76"/>
      <c r="CW70" s="123"/>
      <c r="CX70" s="6"/>
      <c r="DI70" s="125"/>
      <c r="DJ70" s="16"/>
      <c r="DM70" s="16"/>
      <c r="DN70" s="16"/>
      <c r="DO70" s="125"/>
      <c r="DP70" s="16"/>
      <c r="DQ70" s="125"/>
      <c r="DR70" s="164"/>
      <c r="DY70" s="142"/>
      <c r="DZ70" s="125"/>
      <c r="EA70" s="142"/>
      <c r="EB70" s="125"/>
      <c r="EC70" s="16"/>
      <c r="ED70" s="125"/>
      <c r="EE70" s="125"/>
      <c r="EF70" s="16"/>
      <c r="EG70" s="125"/>
      <c r="EQ70" s="125"/>
      <c r="ER70" s="16"/>
      <c r="ES70" s="123"/>
      <c r="ET70" s="19"/>
      <c r="EU70" s="139"/>
      <c r="EV70" s="139"/>
      <c r="EW70" s="123"/>
      <c r="EX70" s="123"/>
      <c r="EY70" s="123"/>
      <c r="EZ70" s="123"/>
      <c r="FA70" s="123"/>
      <c r="FB70" s="123"/>
      <c r="FC70" s="6"/>
      <c r="FD70" s="123"/>
      <c r="FE70" s="6"/>
      <c r="FF70" s="123"/>
      <c r="FG70" s="6"/>
      <c r="FH70" s="6"/>
      <c r="FI70" s="6"/>
      <c r="FJ70" s="6"/>
      <c r="FK70" s="123"/>
      <c r="FL70" s="6"/>
      <c r="FM70" s="6"/>
      <c r="FN70" s="6"/>
      <c r="FO70" s="138"/>
      <c r="FP70" s="138"/>
      <c r="FQ70" s="123"/>
      <c r="FR70" s="6"/>
      <c r="FS70" s="6"/>
      <c r="FT70" s="139"/>
      <c r="FU70" s="139"/>
      <c r="FV70" s="76"/>
      <c r="FW70" s="123"/>
      <c r="FX70" s="6"/>
    </row>
    <row r="71" spans="2:180" ht="14.25">
      <c r="B71" s="43" t="s">
        <v>805</v>
      </c>
      <c r="C71" s="4"/>
      <c r="D71" s="4"/>
      <c r="E71" s="4"/>
      <c r="F71" s="4"/>
      <c r="G71" s="4"/>
      <c r="H71" s="4"/>
      <c r="I71" s="4"/>
      <c r="J71" s="4"/>
      <c r="K71" s="103" t="s">
        <v>810</v>
      </c>
      <c r="L71" s="105">
        <f>IF(L68&lt;1,L69+L68*(L70-L69),L70)</f>
        <v>1.5075733224744081</v>
      </c>
      <c r="M71" s="4"/>
      <c r="N71" s="11"/>
      <c r="AI71" s="125"/>
      <c r="AJ71" s="16"/>
      <c r="AM71" s="16"/>
      <c r="AN71" s="16"/>
      <c r="AO71" s="125"/>
      <c r="AP71" s="16"/>
      <c r="AQ71" s="125"/>
      <c r="AR71" s="164"/>
      <c r="AY71" s="142"/>
      <c r="AZ71" s="125"/>
      <c r="BA71" s="142"/>
      <c r="BB71" s="125"/>
      <c r="BC71" s="16"/>
      <c r="BD71" s="125"/>
      <c r="BE71" s="125"/>
      <c r="BF71" s="16"/>
      <c r="BG71" s="125"/>
      <c r="BQ71" s="125"/>
      <c r="BR71" s="16"/>
      <c r="BS71" s="123"/>
      <c r="BT71" s="19"/>
      <c r="BU71" s="139"/>
      <c r="BV71" s="139"/>
      <c r="BW71" s="123"/>
      <c r="BX71" s="123"/>
      <c r="BY71" s="123"/>
      <c r="BZ71" s="123"/>
      <c r="CA71" s="123"/>
      <c r="CB71" s="123"/>
      <c r="CC71" s="6"/>
      <c r="CD71" s="123"/>
      <c r="CE71" s="6"/>
      <c r="CF71" s="123"/>
      <c r="CG71" s="6"/>
      <c r="CH71" s="6"/>
      <c r="CI71" s="6"/>
      <c r="CJ71" s="6"/>
      <c r="CK71" s="123"/>
      <c r="CL71" s="6"/>
      <c r="CM71" s="6"/>
      <c r="CN71" s="6"/>
      <c r="CO71" s="138"/>
      <c r="CP71" s="138"/>
      <c r="CQ71" s="123"/>
      <c r="CR71" s="6"/>
      <c r="CS71" s="6"/>
      <c r="CT71" s="139"/>
      <c r="CU71" s="139"/>
      <c r="CV71" s="76"/>
      <c r="CW71" s="123"/>
      <c r="CX71" s="6"/>
      <c r="DI71" s="125"/>
      <c r="DJ71" s="16"/>
      <c r="DM71" s="16"/>
      <c r="DN71" s="16"/>
      <c r="DO71" s="125"/>
      <c r="DP71" s="16"/>
      <c r="DQ71" s="125"/>
      <c r="DR71" s="164"/>
      <c r="DY71" s="142"/>
      <c r="DZ71" s="125"/>
      <c r="EA71" s="142"/>
      <c r="EB71" s="125"/>
      <c r="EC71" s="16"/>
      <c r="ED71" s="125"/>
      <c r="EE71" s="125"/>
      <c r="EF71" s="16"/>
      <c r="EG71" s="125"/>
      <c r="EQ71" s="125"/>
      <c r="ER71" s="16"/>
      <c r="ES71" s="123"/>
      <c r="ET71" s="19"/>
      <c r="EU71" s="139"/>
      <c r="EV71" s="139"/>
      <c r="EW71" s="123"/>
      <c r="EX71" s="123"/>
      <c r="EY71" s="123"/>
      <c r="EZ71" s="123"/>
      <c r="FA71" s="123"/>
      <c r="FB71" s="123"/>
      <c r="FC71" s="6"/>
      <c r="FD71" s="123"/>
      <c r="FE71" s="6"/>
      <c r="FF71" s="123"/>
      <c r="FG71" s="6"/>
      <c r="FH71" s="6"/>
      <c r="FI71" s="6"/>
      <c r="FJ71" s="6"/>
      <c r="FK71" s="123"/>
      <c r="FL71" s="6"/>
      <c r="FM71" s="6"/>
      <c r="FN71" s="6"/>
      <c r="FO71" s="138"/>
      <c r="FP71" s="138"/>
      <c r="FQ71" s="123"/>
      <c r="FR71" s="6"/>
      <c r="FS71" s="6"/>
      <c r="FT71" s="139"/>
      <c r="FU71" s="139"/>
      <c r="FV71" s="76"/>
      <c r="FW71" s="123"/>
      <c r="FX71" s="6"/>
    </row>
    <row r="72" spans="2:180" ht="14.25">
      <c r="B72" s="43" t="s">
        <v>811</v>
      </c>
      <c r="C72" s="4"/>
      <c r="D72" s="4"/>
      <c r="E72" s="4"/>
      <c r="F72" s="4"/>
      <c r="G72" s="4"/>
      <c r="H72" s="4"/>
      <c r="I72" s="4"/>
      <c r="J72" s="4"/>
      <c r="K72" s="103" t="s">
        <v>812</v>
      </c>
      <c r="L72" s="105">
        <f>(D68/F17)*SQRT(D27/B27)</f>
        <v>0.77446236552669134</v>
      </c>
      <c r="M72" s="4"/>
      <c r="N72" s="11"/>
      <c r="AI72" s="125"/>
      <c r="AJ72" s="16"/>
      <c r="AM72" s="16"/>
      <c r="AN72" s="16"/>
      <c r="AO72" s="125"/>
      <c r="AP72" s="16"/>
      <c r="AQ72" s="125"/>
      <c r="AR72" s="164"/>
      <c r="AY72" s="142"/>
      <c r="AZ72" s="125"/>
      <c r="BA72" s="142"/>
      <c r="BB72" s="125"/>
      <c r="BC72" s="16"/>
      <c r="BD72" s="125"/>
      <c r="BE72" s="125"/>
      <c r="BF72" s="16"/>
      <c r="BG72" s="125"/>
      <c r="BQ72" s="125"/>
      <c r="BR72" s="16"/>
      <c r="BS72" s="123"/>
      <c r="BT72" s="19"/>
      <c r="BU72" s="139"/>
      <c r="BV72" s="139"/>
      <c r="BW72" s="123"/>
      <c r="BX72" s="123"/>
      <c r="BY72" s="123"/>
      <c r="BZ72" s="123"/>
      <c r="CA72" s="123"/>
      <c r="CB72" s="123"/>
      <c r="CC72" s="6"/>
      <c r="CD72" s="123"/>
      <c r="CE72" s="6"/>
      <c r="CF72" s="123"/>
      <c r="CG72" s="6"/>
      <c r="CH72" s="6"/>
      <c r="CI72" s="6"/>
      <c r="CJ72" s="6"/>
      <c r="CK72" s="123"/>
      <c r="CL72" s="6"/>
      <c r="CM72" s="6"/>
      <c r="CN72" s="6"/>
      <c r="CO72" s="138"/>
      <c r="CP72" s="138"/>
      <c r="CQ72" s="123"/>
      <c r="CR72" s="6"/>
      <c r="CS72" s="6"/>
      <c r="CT72" s="139"/>
      <c r="CU72" s="139"/>
      <c r="CV72" s="76"/>
      <c r="CW72" s="123"/>
      <c r="CX72" s="6"/>
      <c r="DI72" s="125"/>
      <c r="DJ72" s="16"/>
      <c r="DM72" s="16"/>
      <c r="DN72" s="16"/>
      <c r="DO72" s="125"/>
      <c r="DP72" s="16"/>
      <c r="DQ72" s="125"/>
      <c r="DR72" s="164"/>
      <c r="DY72" s="142"/>
      <c r="DZ72" s="125"/>
      <c r="EA72" s="142"/>
      <c r="EB72" s="125"/>
      <c r="EC72" s="16"/>
      <c r="ED72" s="125"/>
      <c r="EE72" s="125"/>
      <c r="EF72" s="16"/>
      <c r="EG72" s="125"/>
      <c r="EQ72" s="125"/>
      <c r="ER72" s="16"/>
      <c r="ES72" s="123"/>
      <c r="ET72" s="19"/>
      <c r="EU72" s="139"/>
      <c r="EV72" s="139"/>
      <c r="EW72" s="123"/>
      <c r="EX72" s="123"/>
      <c r="EY72" s="123"/>
      <c r="EZ72" s="123"/>
      <c r="FA72" s="123"/>
      <c r="FB72" s="123"/>
      <c r="FC72" s="6"/>
      <c r="FD72" s="123"/>
      <c r="FE72" s="6"/>
      <c r="FF72" s="123"/>
      <c r="FG72" s="6"/>
      <c r="FH72" s="6"/>
      <c r="FI72" s="6"/>
      <c r="FJ72" s="6"/>
      <c r="FK72" s="123"/>
      <c r="FL72" s="6"/>
      <c r="FM72" s="6"/>
      <c r="FN72" s="6"/>
      <c r="FO72" s="138"/>
      <c r="FP72" s="138"/>
      <c r="FQ72" s="123"/>
      <c r="FR72" s="6"/>
      <c r="FS72" s="6"/>
      <c r="FT72" s="139"/>
      <c r="FU72" s="139"/>
      <c r="FV72" s="76"/>
      <c r="FW72" s="123"/>
      <c r="FX72" s="6"/>
    </row>
    <row r="73" spans="2:180">
      <c r="B73" s="43" t="s">
        <v>78</v>
      </c>
      <c r="C73" s="4"/>
      <c r="D73" s="4"/>
      <c r="E73" s="4"/>
      <c r="F73" s="4"/>
      <c r="G73" s="4"/>
      <c r="H73" s="4"/>
      <c r="I73" s="4"/>
      <c r="J73" s="4"/>
      <c r="K73" s="103"/>
      <c r="L73" s="112">
        <f>L72/L71</f>
        <v>0.51371455967100288</v>
      </c>
      <c r="M73" s="114" t="s">
        <v>180</v>
      </c>
      <c r="N73" s="18" t="str">
        <f>IF(L73&lt;=1,"OK","Check")</f>
        <v>OK</v>
      </c>
      <c r="AI73" s="125"/>
      <c r="AJ73" s="16"/>
      <c r="AM73" s="16"/>
      <c r="AN73" s="16"/>
      <c r="AO73" s="125"/>
      <c r="AP73" s="16"/>
      <c r="AQ73" s="125"/>
      <c r="AR73" s="164"/>
      <c r="AY73" s="142"/>
      <c r="AZ73" s="125"/>
      <c r="BA73" s="142"/>
      <c r="BB73" s="125"/>
      <c r="BC73" s="16"/>
      <c r="BD73" s="125"/>
      <c r="BE73" s="125"/>
      <c r="BF73" s="16"/>
      <c r="BG73" s="125"/>
      <c r="BQ73" s="125"/>
      <c r="BR73" s="16"/>
      <c r="BS73" s="123"/>
      <c r="BT73" s="19"/>
      <c r="BU73" s="139"/>
      <c r="BV73" s="139"/>
      <c r="BW73" s="123"/>
      <c r="BX73" s="123"/>
      <c r="BY73" s="123"/>
      <c r="BZ73" s="123"/>
      <c r="CA73" s="123"/>
      <c r="CB73" s="123"/>
      <c r="CC73" s="6"/>
      <c r="CD73" s="123"/>
      <c r="CE73" s="6"/>
      <c r="CF73" s="123"/>
      <c r="CG73" s="6"/>
      <c r="CH73" s="6"/>
      <c r="CI73" s="6"/>
      <c r="CJ73" s="6"/>
      <c r="CK73" s="123"/>
      <c r="CL73" s="6"/>
      <c r="CM73" s="6"/>
      <c r="CN73" s="6"/>
      <c r="CO73" s="138"/>
      <c r="CP73" s="138"/>
      <c r="CQ73" s="123"/>
      <c r="CR73" s="6"/>
      <c r="CS73" s="6"/>
      <c r="CT73" s="139"/>
      <c r="CU73" s="139"/>
      <c r="CV73" s="76"/>
      <c r="CW73" s="123"/>
      <c r="CX73" s="6"/>
      <c r="DI73" s="125"/>
      <c r="DJ73" s="16"/>
      <c r="DM73" s="16"/>
      <c r="DN73" s="16"/>
      <c r="DO73" s="125"/>
      <c r="DP73" s="16"/>
      <c r="DQ73" s="125"/>
      <c r="DR73" s="164"/>
      <c r="DY73" s="142"/>
      <c r="DZ73" s="125"/>
      <c r="EA73" s="142"/>
      <c r="EB73" s="125"/>
      <c r="EC73" s="16"/>
      <c r="ED73" s="125"/>
      <c r="EE73" s="125"/>
      <c r="EF73" s="16"/>
      <c r="EG73" s="125"/>
      <c r="EQ73" s="125"/>
      <c r="ER73" s="16"/>
      <c r="ES73" s="123"/>
      <c r="ET73" s="19"/>
      <c r="EU73" s="139"/>
      <c r="EV73" s="139"/>
      <c r="EW73" s="123"/>
      <c r="EX73" s="123"/>
      <c r="EY73" s="123"/>
      <c r="EZ73" s="123"/>
      <c r="FA73" s="123"/>
      <c r="FB73" s="123"/>
      <c r="FC73" s="6"/>
      <c r="FD73" s="123"/>
      <c r="FE73" s="6"/>
      <c r="FF73" s="123"/>
      <c r="FG73" s="6"/>
      <c r="FH73" s="6"/>
      <c r="FI73" s="6"/>
      <c r="FJ73" s="6"/>
      <c r="FK73" s="123"/>
      <c r="FL73" s="6"/>
      <c r="FM73" s="6"/>
      <c r="FN73" s="6"/>
      <c r="FO73" s="138"/>
      <c r="FP73" s="138"/>
      <c r="FQ73" s="123"/>
      <c r="FR73" s="6"/>
      <c r="FS73" s="6"/>
      <c r="FT73" s="139"/>
      <c r="FU73" s="139"/>
      <c r="FV73" s="76"/>
      <c r="FW73" s="123"/>
      <c r="FX73" s="6"/>
    </row>
    <row r="74" spans="2:180">
      <c r="B74" s="28" t="s">
        <v>833</v>
      </c>
      <c r="C74" s="4"/>
      <c r="D74" s="4"/>
      <c r="E74" s="114"/>
      <c r="F74" s="113"/>
      <c r="G74" s="4"/>
      <c r="H74" s="113"/>
      <c r="I74" s="104"/>
      <c r="J74" s="113"/>
      <c r="K74" s="4"/>
      <c r="L74" s="101"/>
      <c r="M74" s="4"/>
      <c r="N74" s="11"/>
      <c r="AI74" s="125"/>
      <c r="AJ74" s="16"/>
      <c r="AM74" s="16"/>
      <c r="AN74" s="16"/>
      <c r="AO74" s="125"/>
      <c r="AP74" s="16"/>
      <c r="AQ74" s="125"/>
      <c r="AR74" s="164"/>
      <c r="AY74" s="142"/>
      <c r="AZ74" s="125"/>
      <c r="BA74" s="142"/>
      <c r="BB74" s="125"/>
      <c r="BC74" s="16"/>
      <c r="BD74" s="125"/>
      <c r="BE74" s="125"/>
      <c r="BF74" s="16"/>
      <c r="BG74" s="125"/>
      <c r="BQ74" s="125"/>
      <c r="BR74" s="16"/>
      <c r="BS74" s="123"/>
      <c r="BT74" s="19"/>
      <c r="BU74" s="139"/>
      <c r="BV74" s="139"/>
      <c r="BW74" s="123"/>
      <c r="BX74" s="123"/>
      <c r="BY74" s="123"/>
      <c r="BZ74" s="123"/>
      <c r="CA74" s="123"/>
      <c r="CB74" s="123"/>
      <c r="CC74" s="6"/>
      <c r="CD74" s="123"/>
      <c r="CE74" s="6"/>
      <c r="CF74" s="123"/>
      <c r="CG74" s="6"/>
      <c r="CH74" s="6"/>
      <c r="CI74" s="6"/>
      <c r="CJ74" s="6"/>
      <c r="CK74" s="123"/>
      <c r="CL74" s="6"/>
      <c r="CM74" s="6"/>
      <c r="CN74" s="6"/>
      <c r="CO74" s="138"/>
      <c r="CP74" s="138"/>
      <c r="CQ74" s="123"/>
      <c r="CR74" s="6"/>
      <c r="CS74" s="6"/>
      <c r="CT74" s="139"/>
      <c r="CU74" s="139"/>
      <c r="CV74" s="76"/>
      <c r="CW74" s="123"/>
      <c r="CX74" s="6"/>
      <c r="DI74" s="125"/>
      <c r="DJ74" s="16"/>
      <c r="DM74" s="16"/>
      <c r="DN74" s="16"/>
      <c r="DO74" s="125"/>
      <c r="DP74" s="16"/>
      <c r="DQ74" s="125"/>
      <c r="DR74" s="164"/>
      <c r="DY74" s="142"/>
      <c r="DZ74" s="125"/>
      <c r="EA74" s="142"/>
      <c r="EB74" s="125"/>
      <c r="EC74" s="16"/>
      <c r="ED74" s="125"/>
      <c r="EE74" s="125"/>
      <c r="EF74" s="16"/>
      <c r="EG74" s="125"/>
      <c r="EQ74" s="125"/>
      <c r="ER74" s="16"/>
      <c r="ES74" s="123"/>
      <c r="ET74" s="19"/>
      <c r="EU74" s="139"/>
      <c r="EV74" s="139"/>
      <c r="EW74" s="123"/>
      <c r="EX74" s="123"/>
      <c r="EY74" s="123"/>
      <c r="EZ74" s="123"/>
      <c r="FA74" s="123"/>
      <c r="FB74" s="123"/>
      <c r="FC74" s="6"/>
      <c r="FD74" s="123"/>
      <c r="FE74" s="6"/>
      <c r="FF74" s="123"/>
      <c r="FG74" s="6"/>
      <c r="FH74" s="6"/>
      <c r="FI74" s="6"/>
      <c r="FJ74" s="6"/>
      <c r="FK74" s="123"/>
      <c r="FL74" s="6"/>
      <c r="FM74" s="6"/>
      <c r="FN74" s="6"/>
      <c r="FO74" s="138"/>
      <c r="FP74" s="138"/>
      <c r="FQ74" s="123"/>
      <c r="FR74" s="6"/>
      <c r="FS74" s="6"/>
      <c r="FT74" s="139"/>
      <c r="FU74" s="139"/>
      <c r="FV74" s="76"/>
      <c r="FW74" s="123"/>
      <c r="FX74" s="6"/>
    </row>
    <row r="75" spans="2:180" ht="14.25">
      <c r="B75" s="10" t="s">
        <v>834</v>
      </c>
      <c r="C75" s="93"/>
      <c r="D75" s="93"/>
      <c r="E75" s="93"/>
      <c r="F75" s="116" t="s">
        <v>844</v>
      </c>
      <c r="G75" s="111">
        <f>F21*1000/G34</f>
        <v>38.724503101319421</v>
      </c>
      <c r="H75" s="116" t="s">
        <v>845</v>
      </c>
      <c r="I75" s="111">
        <f>F22*1000/L34</f>
        <v>75.193875905917309</v>
      </c>
      <c r="J75" s="93"/>
      <c r="K75" s="116" t="s">
        <v>846</v>
      </c>
      <c r="L75" s="117">
        <f>MAX(G75,I75)</f>
        <v>75.193875905917309</v>
      </c>
      <c r="M75" s="93"/>
      <c r="N75" s="11"/>
      <c r="AI75" s="125"/>
      <c r="AJ75" s="16"/>
      <c r="AM75" s="16"/>
      <c r="AN75" s="16"/>
      <c r="AO75" s="125"/>
      <c r="AP75" s="16"/>
      <c r="AQ75" s="125"/>
      <c r="AR75" s="164"/>
      <c r="AY75" s="142"/>
      <c r="AZ75" s="125"/>
      <c r="BA75" s="142"/>
      <c r="BB75" s="125"/>
      <c r="BC75" s="16"/>
      <c r="BD75" s="125"/>
      <c r="BE75" s="125"/>
      <c r="BF75" s="16"/>
      <c r="BG75" s="125"/>
      <c r="BQ75" s="125"/>
      <c r="BR75" s="16"/>
      <c r="BS75" s="123"/>
      <c r="BT75" s="19"/>
      <c r="BU75" s="139"/>
      <c r="BV75" s="139"/>
      <c r="BW75" s="123"/>
      <c r="BX75" s="123"/>
      <c r="BY75" s="123"/>
      <c r="BZ75" s="123"/>
      <c r="CA75" s="123"/>
      <c r="CB75" s="123"/>
      <c r="CC75" s="6"/>
      <c r="CD75" s="123"/>
      <c r="CE75" s="6"/>
      <c r="CF75" s="123"/>
      <c r="CG75" s="6"/>
      <c r="CH75" s="6"/>
      <c r="CI75" s="6"/>
      <c r="CJ75" s="6"/>
      <c r="CK75" s="123"/>
      <c r="CL75" s="6"/>
      <c r="CM75" s="6"/>
      <c r="CN75" s="6"/>
      <c r="CO75" s="138"/>
      <c r="CP75" s="138"/>
      <c r="CQ75" s="123"/>
      <c r="CR75" s="6"/>
      <c r="CS75" s="6"/>
      <c r="CT75" s="139"/>
      <c r="CU75" s="139"/>
      <c r="CV75" s="76"/>
      <c r="CW75" s="123"/>
      <c r="CX75" s="6"/>
      <c r="DI75" s="125"/>
      <c r="DJ75" s="16"/>
      <c r="DM75" s="16"/>
      <c r="DN75" s="16"/>
      <c r="DO75" s="125"/>
      <c r="DP75" s="16"/>
      <c r="DQ75" s="125"/>
      <c r="DR75" s="164"/>
      <c r="DY75" s="142"/>
      <c r="DZ75" s="125"/>
      <c r="EA75" s="142"/>
      <c r="EB75" s="125"/>
      <c r="EC75" s="16"/>
      <c r="ED75" s="125"/>
      <c r="EE75" s="125"/>
      <c r="EF75" s="16"/>
      <c r="EG75" s="125"/>
      <c r="EQ75" s="125"/>
      <c r="ER75" s="16"/>
      <c r="ES75" s="123"/>
      <c r="ET75" s="19"/>
      <c r="EU75" s="139"/>
      <c r="EV75" s="139"/>
      <c r="EW75" s="123"/>
      <c r="EX75" s="123"/>
      <c r="EY75" s="123"/>
      <c r="EZ75" s="123"/>
      <c r="FA75" s="123"/>
      <c r="FB75" s="123"/>
      <c r="FC75" s="6"/>
      <c r="FD75" s="123"/>
      <c r="FE75" s="6"/>
      <c r="FF75" s="123"/>
      <c r="FG75" s="6"/>
      <c r="FH75" s="6"/>
      <c r="FI75" s="6"/>
      <c r="FJ75" s="6"/>
      <c r="FK75" s="123"/>
      <c r="FL75" s="6"/>
      <c r="FM75" s="6"/>
      <c r="FN75" s="6"/>
      <c r="FO75" s="138"/>
      <c r="FP75" s="138"/>
      <c r="FQ75" s="123"/>
      <c r="FR75" s="6"/>
      <c r="FS75" s="6"/>
      <c r="FT75" s="139"/>
      <c r="FU75" s="139"/>
      <c r="FV75" s="76"/>
      <c r="FW75" s="123"/>
      <c r="FX75" s="6"/>
    </row>
    <row r="76" spans="2:180" ht="14.25">
      <c r="B76" s="10" t="s">
        <v>835</v>
      </c>
      <c r="C76" s="4"/>
      <c r="D76" s="4"/>
      <c r="E76" s="114"/>
      <c r="F76" s="113" t="s">
        <v>836</v>
      </c>
      <c r="G76" s="127">
        <f>MAX(H56,L56)</f>
        <v>0.58045458793640137</v>
      </c>
      <c r="H76" s="113" t="s">
        <v>837</v>
      </c>
      <c r="I76" s="111">
        <f>MAX(ABS(F31)*1000/(G76*G27*100*D27*F27),0.5)</f>
        <v>0.5</v>
      </c>
      <c r="J76" s="113"/>
      <c r="K76" s="101" t="s">
        <v>838</v>
      </c>
      <c r="L76" s="117">
        <f>180-60*I76</f>
        <v>150</v>
      </c>
      <c r="M76" s="4"/>
      <c r="N76" s="11"/>
      <c r="AI76" s="125"/>
      <c r="AJ76" s="16"/>
      <c r="AM76" s="16"/>
      <c r="AN76" s="16"/>
      <c r="AO76" s="125"/>
      <c r="AP76" s="16"/>
      <c r="AQ76" s="125"/>
      <c r="AR76" s="164"/>
      <c r="AY76" s="142"/>
      <c r="AZ76" s="125"/>
      <c r="BA76" s="142"/>
      <c r="BB76" s="125"/>
      <c r="BC76" s="16"/>
      <c r="BD76" s="125"/>
      <c r="BE76" s="125"/>
      <c r="BF76" s="16"/>
      <c r="BG76" s="125"/>
      <c r="BQ76" s="125"/>
      <c r="BR76" s="16"/>
      <c r="BS76" s="123"/>
      <c r="BT76" s="19"/>
      <c r="BU76" s="139"/>
      <c r="BV76" s="139"/>
      <c r="BW76" s="123"/>
      <c r="BX76" s="123"/>
      <c r="BY76" s="123"/>
      <c r="BZ76" s="123"/>
      <c r="CA76" s="123"/>
      <c r="CB76" s="123"/>
      <c r="CC76" s="6"/>
      <c r="CD76" s="123"/>
      <c r="CE76" s="6"/>
      <c r="CF76" s="123"/>
      <c r="CG76" s="6"/>
      <c r="CH76" s="6"/>
      <c r="CI76" s="6"/>
      <c r="CJ76" s="6"/>
      <c r="CK76" s="123"/>
      <c r="CL76" s="6"/>
      <c r="CM76" s="6"/>
      <c r="CN76" s="6"/>
      <c r="CO76" s="138"/>
      <c r="CP76" s="138"/>
      <c r="CQ76" s="123"/>
      <c r="CR76" s="6"/>
      <c r="CS76" s="6"/>
      <c r="CT76" s="139"/>
      <c r="CU76" s="139"/>
      <c r="CV76" s="76"/>
      <c r="CW76" s="123"/>
      <c r="CX76" s="6"/>
      <c r="DI76" s="125"/>
      <c r="DJ76" s="16"/>
      <c r="DM76" s="16"/>
      <c r="DN76" s="16"/>
      <c r="DO76" s="125"/>
      <c r="DP76" s="16"/>
      <c r="DQ76" s="125"/>
      <c r="DR76" s="164"/>
      <c r="DY76" s="142"/>
      <c r="DZ76" s="125"/>
      <c r="EA76" s="142"/>
      <c r="EB76" s="125"/>
      <c r="EC76" s="16"/>
      <c r="ED76" s="125"/>
      <c r="EE76" s="125"/>
      <c r="EF76" s="16"/>
      <c r="EG76" s="125"/>
      <c r="EQ76" s="125"/>
      <c r="ER76" s="16"/>
      <c r="ES76" s="123"/>
      <c r="ET76" s="19"/>
      <c r="EU76" s="139"/>
      <c r="EV76" s="139"/>
      <c r="EW76" s="123"/>
      <c r="EX76" s="123"/>
      <c r="EY76" s="123"/>
      <c r="EZ76" s="123"/>
      <c r="FA76" s="123"/>
      <c r="FB76" s="123"/>
      <c r="FC76" s="6"/>
      <c r="FD76" s="123"/>
      <c r="FE76" s="6"/>
      <c r="FF76" s="123"/>
      <c r="FG76" s="6"/>
      <c r="FH76" s="6"/>
      <c r="FI76" s="6"/>
      <c r="FJ76" s="6"/>
      <c r="FK76" s="123"/>
      <c r="FL76" s="6"/>
      <c r="FM76" s="6"/>
      <c r="FN76" s="6"/>
      <c r="FO76" s="138"/>
      <c r="FP76" s="138"/>
      <c r="FQ76" s="123"/>
      <c r="FR76" s="6"/>
      <c r="FS76" s="6"/>
      <c r="FT76" s="139"/>
      <c r="FU76" s="139"/>
      <c r="FV76" s="76"/>
      <c r="FW76" s="123"/>
      <c r="FX76" s="6"/>
    </row>
    <row r="77" spans="2:180" ht="14.25">
      <c r="B77" s="43" t="s">
        <v>78</v>
      </c>
      <c r="C77" s="4"/>
      <c r="D77" s="4"/>
      <c r="E77" s="4"/>
      <c r="F77" s="4"/>
      <c r="G77" s="4"/>
      <c r="H77" s="4"/>
      <c r="I77" s="118"/>
      <c r="J77" s="4"/>
      <c r="K77" s="113" t="s">
        <v>847</v>
      </c>
      <c r="L77" s="119">
        <f>L75/L76</f>
        <v>0.50129250603944875</v>
      </c>
      <c r="M77" s="114" t="s">
        <v>180</v>
      </c>
      <c r="N77" s="18" t="str">
        <f>IF(L77&lt;=1,"OK","Check")</f>
        <v>OK</v>
      </c>
      <c r="AI77" s="125"/>
      <c r="AJ77" s="16"/>
      <c r="AM77" s="16"/>
      <c r="AN77" s="16"/>
      <c r="AO77" s="125"/>
      <c r="AP77" s="16"/>
      <c r="AQ77" s="125"/>
      <c r="AR77" s="164"/>
      <c r="AY77" s="142"/>
      <c r="AZ77" s="125"/>
      <c r="BA77" s="142"/>
      <c r="BB77" s="125"/>
      <c r="BC77" s="16"/>
      <c r="BD77" s="125"/>
      <c r="BE77" s="125"/>
      <c r="BF77" s="16"/>
      <c r="BG77" s="125"/>
      <c r="BQ77" s="125"/>
      <c r="BR77" s="16"/>
      <c r="BS77" s="123"/>
      <c r="BT77" s="19"/>
      <c r="BU77" s="139"/>
      <c r="BV77" s="139"/>
      <c r="BW77" s="123"/>
      <c r="BX77" s="123"/>
      <c r="BY77" s="123"/>
      <c r="BZ77" s="123"/>
      <c r="CA77" s="123"/>
      <c r="CB77" s="123"/>
      <c r="CC77" s="6"/>
      <c r="CD77" s="123"/>
      <c r="CE77" s="6"/>
      <c r="CF77" s="123"/>
      <c r="CG77" s="6"/>
      <c r="CH77" s="6"/>
      <c r="CI77" s="6"/>
      <c r="CJ77" s="6"/>
      <c r="CK77" s="123"/>
      <c r="CL77" s="6"/>
      <c r="CM77" s="6"/>
      <c r="CN77" s="6"/>
      <c r="CO77" s="138"/>
      <c r="CP77" s="138"/>
      <c r="CQ77" s="123"/>
      <c r="CR77" s="6"/>
      <c r="CS77" s="6"/>
      <c r="CT77" s="139"/>
      <c r="CU77" s="139"/>
      <c r="CV77" s="76"/>
      <c r="CW77" s="123"/>
      <c r="CX77" s="6"/>
      <c r="DI77" s="125"/>
      <c r="DJ77" s="16"/>
      <c r="DM77" s="16"/>
      <c r="DN77" s="16"/>
      <c r="DO77" s="125"/>
      <c r="DP77" s="16"/>
      <c r="DQ77" s="125"/>
      <c r="DR77" s="164"/>
      <c r="DY77" s="142"/>
      <c r="DZ77" s="125"/>
      <c r="EA77" s="142"/>
      <c r="EB77" s="125"/>
      <c r="EC77" s="16"/>
      <c r="ED77" s="125"/>
      <c r="EE77" s="125"/>
      <c r="EF77" s="16"/>
      <c r="EG77" s="125"/>
      <c r="EQ77" s="125"/>
      <c r="ER77" s="16"/>
      <c r="ES77" s="123"/>
      <c r="ET77" s="19"/>
      <c r="EU77" s="139"/>
      <c r="EV77" s="139"/>
      <c r="EW77" s="123"/>
      <c r="EX77" s="123"/>
      <c r="EY77" s="123"/>
      <c r="EZ77" s="123"/>
      <c r="FA77" s="123"/>
      <c r="FB77" s="123"/>
      <c r="FC77" s="6"/>
      <c r="FD77" s="123"/>
      <c r="FE77" s="6"/>
      <c r="FF77" s="123"/>
      <c r="FG77" s="6"/>
      <c r="FH77" s="6"/>
      <c r="FI77" s="6"/>
      <c r="FJ77" s="6"/>
      <c r="FK77" s="123"/>
      <c r="FL77" s="6"/>
      <c r="FM77" s="6"/>
      <c r="FN77" s="6"/>
      <c r="FO77" s="138"/>
      <c r="FP77" s="138"/>
      <c r="FQ77" s="123"/>
      <c r="FR77" s="6"/>
      <c r="FS77" s="6"/>
      <c r="FT77" s="139"/>
      <c r="FU77" s="139"/>
      <c r="FV77" s="76"/>
      <c r="FW77" s="123"/>
      <c r="FX77" s="6"/>
    </row>
    <row r="78" spans="2:180">
      <c r="B78" s="28" t="s">
        <v>839</v>
      </c>
      <c r="C78" s="4"/>
      <c r="D78" s="4"/>
      <c r="E78" s="114"/>
      <c r="F78" s="120"/>
      <c r="G78" s="22"/>
      <c r="H78" s="22"/>
      <c r="I78" s="118"/>
      <c r="J78" s="113"/>
      <c r="K78" s="4"/>
      <c r="L78" s="101"/>
      <c r="M78" s="4"/>
      <c r="N78" s="11"/>
      <c r="AI78" s="125"/>
      <c r="AJ78" s="16"/>
      <c r="AM78" s="16"/>
      <c r="AN78" s="16"/>
      <c r="AO78" s="125"/>
      <c r="AP78" s="16"/>
      <c r="AQ78" s="125"/>
      <c r="AR78" s="164"/>
      <c r="AY78" s="142"/>
      <c r="AZ78" s="125"/>
      <c r="BA78" s="142"/>
      <c r="BB78" s="125"/>
      <c r="BC78" s="16"/>
      <c r="BD78" s="125"/>
      <c r="BE78" s="125"/>
      <c r="BF78" s="16"/>
      <c r="BG78" s="125"/>
      <c r="BQ78" s="125"/>
      <c r="BR78" s="16"/>
      <c r="BS78" s="123"/>
      <c r="BT78" s="19"/>
      <c r="BU78" s="139"/>
      <c r="BV78" s="139"/>
      <c r="BW78" s="123"/>
      <c r="BX78" s="123"/>
      <c r="BY78" s="123"/>
      <c r="BZ78" s="123"/>
      <c r="CA78" s="123"/>
      <c r="CB78" s="123"/>
      <c r="CC78" s="6"/>
      <c r="CD78" s="123"/>
      <c r="CE78" s="6"/>
      <c r="CF78" s="123"/>
      <c r="CG78" s="6"/>
      <c r="CH78" s="6"/>
      <c r="CI78" s="6"/>
      <c r="CJ78" s="6"/>
      <c r="CK78" s="123"/>
      <c r="CL78" s="6"/>
      <c r="CM78" s="6"/>
      <c r="CN78" s="6"/>
      <c r="CO78" s="138"/>
      <c r="CP78" s="138"/>
      <c r="CQ78" s="123"/>
      <c r="CR78" s="6"/>
      <c r="CS78" s="6"/>
      <c r="CT78" s="139"/>
      <c r="CU78" s="139"/>
      <c r="CV78" s="76"/>
      <c r="CW78" s="123"/>
      <c r="CX78" s="6"/>
      <c r="DI78" s="125"/>
      <c r="DJ78" s="16"/>
      <c r="DM78" s="16"/>
      <c r="DN78" s="16"/>
      <c r="DO78" s="125"/>
      <c r="DP78" s="16"/>
      <c r="DQ78" s="125"/>
      <c r="DR78" s="164"/>
      <c r="DY78" s="142"/>
      <c r="DZ78" s="125"/>
      <c r="EA78" s="142"/>
      <c r="EB78" s="125"/>
      <c r="EC78" s="16"/>
      <c r="ED78" s="125"/>
      <c r="EE78" s="125"/>
      <c r="EF78" s="16"/>
      <c r="EG78" s="125"/>
      <c r="EQ78" s="125"/>
      <c r="ER78" s="16"/>
      <c r="ES78" s="123"/>
      <c r="ET78" s="19"/>
      <c r="EU78" s="139"/>
      <c r="EV78" s="139"/>
      <c r="EW78" s="123"/>
      <c r="EX78" s="123"/>
      <c r="EY78" s="123"/>
      <c r="EZ78" s="123"/>
      <c r="FA78" s="123"/>
      <c r="FB78" s="123"/>
      <c r="FC78" s="6"/>
      <c r="FD78" s="123"/>
      <c r="FE78" s="6"/>
      <c r="FF78" s="123"/>
      <c r="FG78" s="6"/>
      <c r="FH78" s="6"/>
      <c r="FI78" s="6"/>
      <c r="FJ78" s="6"/>
      <c r="FK78" s="123"/>
      <c r="FL78" s="6"/>
      <c r="FM78" s="6"/>
      <c r="FN78" s="6"/>
      <c r="FO78" s="138"/>
      <c r="FP78" s="138"/>
      <c r="FQ78" s="123"/>
      <c r="FR78" s="6"/>
      <c r="FS78" s="6"/>
      <c r="FT78" s="139"/>
      <c r="FU78" s="139"/>
      <c r="FV78" s="76"/>
      <c r="FW78" s="123"/>
      <c r="FX78" s="6"/>
    </row>
    <row r="79" spans="2:180">
      <c r="B79" s="88"/>
      <c r="C79" s="13"/>
      <c r="D79" s="13"/>
      <c r="E79" s="89"/>
      <c r="F79" s="90"/>
      <c r="G79" s="91"/>
      <c r="H79" s="91"/>
      <c r="I79" s="92"/>
      <c r="J79" s="29"/>
      <c r="K79" s="13"/>
      <c r="L79" s="30"/>
      <c r="M79" s="13"/>
      <c r="N79" s="24"/>
      <c r="AI79" s="125"/>
      <c r="AJ79" s="16"/>
      <c r="AM79" s="16"/>
      <c r="AN79" s="16"/>
      <c r="AO79" s="125"/>
      <c r="AP79" s="16"/>
      <c r="AQ79" s="125"/>
      <c r="AR79" s="164"/>
      <c r="AY79" s="142"/>
      <c r="AZ79" s="125"/>
      <c r="BA79" s="142"/>
      <c r="BB79" s="125"/>
      <c r="BC79" s="16"/>
      <c r="BD79" s="125"/>
      <c r="BE79" s="125"/>
      <c r="BF79" s="16"/>
      <c r="BG79" s="125"/>
      <c r="BQ79" s="125"/>
      <c r="BR79" s="16"/>
      <c r="BS79" s="123"/>
      <c r="BT79" s="19"/>
      <c r="BU79" s="139"/>
      <c r="BV79" s="139"/>
      <c r="BW79" s="123"/>
      <c r="BX79" s="123"/>
      <c r="BY79" s="123"/>
      <c r="BZ79" s="123"/>
      <c r="CA79" s="123"/>
      <c r="CB79" s="123"/>
      <c r="CC79" s="6"/>
      <c r="CD79" s="123"/>
      <c r="CE79" s="6"/>
      <c r="CF79" s="123"/>
      <c r="CG79" s="6"/>
      <c r="CH79" s="6"/>
      <c r="CI79" s="6"/>
      <c r="CJ79" s="6"/>
      <c r="CK79" s="123"/>
      <c r="CL79" s="6"/>
      <c r="CM79" s="6"/>
      <c r="CN79" s="6"/>
      <c r="CO79" s="138"/>
      <c r="CP79" s="138"/>
      <c r="CQ79" s="123"/>
      <c r="CR79" s="6"/>
      <c r="CS79" s="6"/>
      <c r="CT79" s="139"/>
      <c r="CU79" s="139"/>
      <c r="CV79" s="76"/>
      <c r="CW79" s="123"/>
      <c r="CX79" s="6"/>
      <c r="DI79" s="125"/>
      <c r="DJ79" s="16"/>
      <c r="DM79" s="16"/>
      <c r="DN79" s="16"/>
      <c r="DO79" s="125"/>
      <c r="DP79" s="16"/>
      <c r="DQ79" s="125"/>
      <c r="DR79" s="164"/>
      <c r="DY79" s="142"/>
      <c r="DZ79" s="125"/>
      <c r="EA79" s="142"/>
      <c r="EB79" s="125"/>
      <c r="EC79" s="16"/>
      <c r="ED79" s="125"/>
      <c r="EE79" s="125"/>
      <c r="EF79" s="16"/>
      <c r="EG79" s="125"/>
      <c r="EQ79" s="125"/>
      <c r="ER79" s="16"/>
      <c r="ES79" s="123"/>
      <c r="ET79" s="19"/>
      <c r="EU79" s="139"/>
      <c r="EV79" s="139"/>
      <c r="EW79" s="123"/>
      <c r="EX79" s="123"/>
      <c r="EY79" s="123"/>
      <c r="EZ79" s="123"/>
      <c r="FA79" s="123"/>
      <c r="FB79" s="123"/>
      <c r="FC79" s="6"/>
      <c r="FD79" s="123"/>
      <c r="FE79" s="6"/>
      <c r="FF79" s="123"/>
      <c r="FG79" s="6"/>
      <c r="FH79" s="6"/>
      <c r="FI79" s="6"/>
      <c r="FJ79" s="6"/>
      <c r="FK79" s="123"/>
      <c r="FL79" s="6"/>
      <c r="FM79" s="6"/>
      <c r="FN79" s="6"/>
      <c r="FO79" s="138"/>
      <c r="FP79" s="138"/>
      <c r="FQ79" s="123"/>
      <c r="FR79" s="6"/>
      <c r="FS79" s="6"/>
      <c r="FT79" s="139"/>
      <c r="FU79" s="139"/>
      <c r="FV79" s="76"/>
      <c r="FW79" s="123"/>
      <c r="FX79" s="6"/>
    </row>
    <row r="80" spans="2:180" ht="18.75">
      <c r="B80" s="254" t="s">
        <v>979</v>
      </c>
      <c r="C80" s="255"/>
      <c r="D80" s="255"/>
      <c r="E80" s="255"/>
      <c r="F80" s="255"/>
      <c r="G80" s="255"/>
      <c r="H80" s="255"/>
      <c r="I80" s="255"/>
      <c r="J80" s="255"/>
      <c r="K80" s="256" t="s">
        <v>980</v>
      </c>
      <c r="L80" s="256"/>
      <c r="M80" s="256"/>
      <c r="N80" s="257"/>
      <c r="O80" s="258" t="str">
        <f>VLOOKUP(K80,$O$82:$R$86,4,FALSE)</f>
        <v>Khớp - Khớp</v>
      </c>
      <c r="P80" s="259"/>
      <c r="Q80" s="260"/>
      <c r="AI80" s="125"/>
      <c r="AJ80" s="16"/>
      <c r="AM80" s="16"/>
      <c r="AN80" s="16"/>
      <c r="AO80" s="125"/>
      <c r="AP80" s="16"/>
      <c r="AQ80" s="125"/>
      <c r="AR80" s="164"/>
      <c r="AY80" s="142"/>
      <c r="AZ80" s="125"/>
      <c r="BA80" s="142"/>
      <c r="BB80" s="125"/>
      <c r="BC80" s="16"/>
      <c r="BD80" s="125"/>
      <c r="BE80" s="125"/>
      <c r="BF80" s="16"/>
      <c r="BG80" s="125"/>
      <c r="BQ80" s="125"/>
      <c r="BR80" s="16"/>
      <c r="BS80" s="123"/>
      <c r="BT80" s="19"/>
      <c r="BU80" s="139"/>
      <c r="BV80" s="139"/>
      <c r="BW80" s="123"/>
      <c r="BX80" s="123"/>
      <c r="BY80" s="123"/>
      <c r="BZ80" s="123"/>
      <c r="CA80" s="123"/>
      <c r="CB80" s="123"/>
      <c r="CC80" s="6"/>
      <c r="CD80" s="123"/>
      <c r="CE80" s="6"/>
      <c r="CF80" s="123"/>
      <c r="CG80" s="6"/>
      <c r="CH80" s="6"/>
      <c r="CI80" s="6"/>
      <c r="CJ80" s="6"/>
      <c r="CK80" s="123"/>
      <c r="CL80" s="6"/>
      <c r="CM80" s="6"/>
      <c r="CN80" s="6"/>
      <c r="CO80" s="138"/>
      <c r="CP80" s="138"/>
      <c r="CQ80" s="123"/>
      <c r="CR80" s="6"/>
      <c r="CS80" s="6"/>
      <c r="CT80" s="139"/>
      <c r="CU80" s="139"/>
      <c r="CV80" s="76"/>
      <c r="CW80" s="123"/>
      <c r="CX80" s="6"/>
      <c r="DI80" s="125"/>
      <c r="DJ80" s="16"/>
      <c r="DM80" s="16"/>
      <c r="DN80" s="16"/>
      <c r="DO80" s="125"/>
      <c r="DP80" s="16"/>
      <c r="DQ80" s="125"/>
      <c r="DR80" s="164"/>
      <c r="DY80" s="142"/>
      <c r="DZ80" s="125"/>
      <c r="EA80" s="142"/>
      <c r="EB80" s="125"/>
      <c r="EC80" s="16"/>
      <c r="ED80" s="125"/>
      <c r="EE80" s="125"/>
      <c r="EF80" s="16"/>
      <c r="EG80" s="125"/>
      <c r="EQ80" s="125"/>
      <c r="ER80" s="16"/>
      <c r="ES80" s="123"/>
      <c r="ET80" s="19"/>
      <c r="EU80" s="139"/>
      <c r="EV80" s="139"/>
      <c r="EW80" s="123"/>
      <c r="EX80" s="123"/>
      <c r="EY80" s="123"/>
      <c r="EZ80" s="123"/>
      <c r="FA80" s="123"/>
      <c r="FB80" s="123"/>
      <c r="FC80" s="6"/>
      <c r="FD80" s="123"/>
      <c r="FE80" s="6"/>
      <c r="FF80" s="123"/>
      <c r="FG80" s="6"/>
      <c r="FH80" s="6"/>
      <c r="FI80" s="6"/>
      <c r="FJ80" s="6"/>
      <c r="FK80" s="123"/>
      <c r="FL80" s="6"/>
      <c r="FM80" s="6"/>
      <c r="FN80" s="6"/>
      <c r="FO80" s="138"/>
      <c r="FP80" s="138"/>
      <c r="FQ80" s="123"/>
      <c r="FR80" s="6"/>
      <c r="FS80" s="6"/>
      <c r="FT80" s="139"/>
      <c r="FU80" s="139"/>
      <c r="FV80" s="76"/>
      <c r="FW80" s="123"/>
      <c r="FX80" s="6"/>
    </row>
    <row r="81" spans="2:180" ht="15">
      <c r="B81" s="261"/>
      <c r="C81" s="262"/>
      <c r="D81" s="262"/>
      <c r="E81" s="262"/>
      <c r="F81" s="262"/>
      <c r="G81" s="262"/>
      <c r="H81" s="262"/>
      <c r="I81" s="262"/>
      <c r="J81" s="263"/>
      <c r="K81" s="123" t="s">
        <v>119</v>
      </c>
      <c r="L81" s="123" t="s">
        <v>852</v>
      </c>
      <c r="M81" s="123" t="s">
        <v>776</v>
      </c>
      <c r="N81" s="123" t="s">
        <v>851</v>
      </c>
      <c r="O81" s="267" t="str">
        <f>VLOOKUP(K80,$O$82:$R$86,2,FALSE)</f>
        <v>K-K</v>
      </c>
      <c r="P81" s="268"/>
      <c r="Q81" s="269"/>
      <c r="AI81" s="125"/>
      <c r="AJ81" s="16"/>
      <c r="AM81" s="16"/>
      <c r="AN81" s="16"/>
      <c r="AO81" s="125"/>
      <c r="AP81" s="16"/>
      <c r="AQ81" s="125"/>
      <c r="AR81" s="164"/>
      <c r="AY81" s="142"/>
      <c r="AZ81" s="125"/>
      <c r="BA81" s="142"/>
      <c r="BB81" s="125"/>
      <c r="BC81" s="16"/>
      <c r="BD81" s="125"/>
      <c r="BE81" s="125"/>
      <c r="BF81" s="16"/>
      <c r="BG81" s="125"/>
      <c r="BQ81" s="125"/>
      <c r="BR81" s="16"/>
      <c r="BS81" s="123"/>
      <c r="BT81" s="19"/>
      <c r="BU81" s="139"/>
      <c r="BV81" s="139"/>
      <c r="BW81" s="123"/>
      <c r="BX81" s="123"/>
      <c r="BY81" s="123"/>
      <c r="BZ81" s="123"/>
      <c r="CA81" s="123"/>
      <c r="CB81" s="123"/>
      <c r="CC81" s="6"/>
      <c r="CD81" s="123"/>
      <c r="CE81" s="6"/>
      <c r="CF81" s="123"/>
      <c r="CG81" s="6"/>
      <c r="CH81" s="6"/>
      <c r="CI81" s="6"/>
      <c r="CJ81" s="6"/>
      <c r="CK81" s="123"/>
      <c r="CL81" s="6"/>
      <c r="CM81" s="6"/>
      <c r="CN81" s="6"/>
      <c r="CO81" s="138"/>
      <c r="CP81" s="138"/>
      <c r="CQ81" s="123"/>
      <c r="CR81" s="6"/>
      <c r="CS81" s="6"/>
      <c r="CT81" s="139"/>
      <c r="CU81" s="139"/>
      <c r="CV81" s="76"/>
      <c r="CW81" s="123"/>
      <c r="CX81" s="6"/>
      <c r="DI81" s="125"/>
      <c r="DJ81" s="16"/>
      <c r="DM81" s="16"/>
      <c r="DN81" s="16"/>
      <c r="DO81" s="125"/>
      <c r="DP81" s="16"/>
      <c r="DQ81" s="125"/>
      <c r="DR81" s="164"/>
      <c r="DY81" s="142"/>
      <c r="DZ81" s="125"/>
      <c r="EA81" s="142"/>
      <c r="EB81" s="125"/>
      <c r="EC81" s="16"/>
      <c r="ED81" s="125"/>
      <c r="EE81" s="125"/>
      <c r="EF81" s="16"/>
      <c r="EG81" s="125"/>
      <c r="EQ81" s="125"/>
      <c r="ER81" s="16"/>
      <c r="ES81" s="123"/>
      <c r="ET81" s="19"/>
      <c r="EU81" s="139"/>
      <c r="EV81" s="139"/>
      <c r="EW81" s="123"/>
      <c r="EX81" s="123"/>
      <c r="EY81" s="123"/>
      <c r="EZ81" s="123"/>
      <c r="FA81" s="123"/>
      <c r="FB81" s="123"/>
      <c r="FC81" s="6"/>
      <c r="FD81" s="123"/>
      <c r="FE81" s="6"/>
      <c r="FF81" s="123"/>
      <c r="FG81" s="6"/>
      <c r="FH81" s="6"/>
      <c r="FI81" s="6"/>
      <c r="FJ81" s="6"/>
      <c r="FK81" s="123"/>
      <c r="FL81" s="6"/>
      <c r="FM81" s="6"/>
      <c r="FN81" s="6"/>
      <c r="FO81" s="138"/>
      <c r="FP81" s="138"/>
      <c r="FQ81" s="123"/>
      <c r="FR81" s="6"/>
      <c r="FS81" s="6"/>
      <c r="FT81" s="139"/>
      <c r="FU81" s="139"/>
      <c r="FV81" s="76"/>
      <c r="FW81" s="123"/>
      <c r="FX81" s="6"/>
    </row>
    <row r="82" spans="2:180">
      <c r="B82" s="264"/>
      <c r="C82" s="265"/>
      <c r="D82" s="265"/>
      <c r="E82" s="265"/>
      <c r="F82" s="265"/>
      <c r="G82" s="265"/>
      <c r="H82" s="265"/>
      <c r="I82" s="265"/>
      <c r="J82" s="266"/>
      <c r="K82" s="123" t="s">
        <v>776</v>
      </c>
      <c r="L82" s="123" t="s">
        <v>776</v>
      </c>
      <c r="M82" s="123" t="s">
        <v>855</v>
      </c>
      <c r="N82" s="123" t="s">
        <v>854</v>
      </c>
      <c r="O82" s="68" t="s">
        <v>980</v>
      </c>
      <c r="P82" s="68" t="s">
        <v>981</v>
      </c>
      <c r="Q82" s="68">
        <f>_xll.Bimoment($M$83,$N$83,$K$83,$L$83,P82)</f>
        <v>-8.3703857847324901E-3</v>
      </c>
      <c r="R82" s="1" t="s">
        <v>982</v>
      </c>
      <c r="AI82" s="125"/>
      <c r="AJ82" s="16"/>
      <c r="AM82" s="16"/>
      <c r="AN82" s="16"/>
      <c r="AO82" s="125"/>
      <c r="AP82" s="16"/>
      <c r="AQ82" s="125"/>
      <c r="AR82" s="164"/>
      <c r="AY82" s="142"/>
      <c r="AZ82" s="125"/>
      <c r="BA82" s="142"/>
      <c r="BB82" s="125"/>
      <c r="BC82" s="16"/>
      <c r="BD82" s="125"/>
      <c r="BE82" s="125"/>
      <c r="BF82" s="16"/>
      <c r="BG82" s="125"/>
      <c r="BQ82" s="125"/>
      <c r="BR82" s="16"/>
      <c r="BS82" s="123"/>
      <c r="BT82" s="19"/>
      <c r="BU82" s="139"/>
      <c r="BV82" s="139"/>
      <c r="BW82" s="123"/>
      <c r="BX82" s="123"/>
      <c r="BY82" s="123"/>
      <c r="BZ82" s="123"/>
      <c r="CA82" s="123"/>
      <c r="CB82" s="123"/>
      <c r="CC82" s="6"/>
      <c r="CD82" s="123"/>
      <c r="CE82" s="6"/>
      <c r="CF82" s="123"/>
      <c r="CG82" s="6"/>
      <c r="CH82" s="6"/>
      <c r="CI82" s="6"/>
      <c r="CJ82" s="6"/>
      <c r="CK82" s="123"/>
      <c r="CL82" s="6"/>
      <c r="CM82" s="6"/>
      <c r="CN82" s="6"/>
      <c r="CO82" s="138"/>
      <c r="CP82" s="138"/>
      <c r="CQ82" s="123"/>
      <c r="CR82" s="6"/>
      <c r="CS82" s="6"/>
      <c r="CT82" s="139"/>
      <c r="CU82" s="139"/>
      <c r="CV82" s="76"/>
      <c r="CW82" s="123"/>
      <c r="CX82" s="6"/>
      <c r="DI82" s="125"/>
      <c r="DJ82" s="16"/>
      <c r="DM82" s="16"/>
      <c r="DN82" s="16"/>
      <c r="DO82" s="125"/>
      <c r="DP82" s="16"/>
      <c r="DQ82" s="125"/>
      <c r="DR82" s="164"/>
      <c r="DY82" s="142"/>
      <c r="DZ82" s="125"/>
      <c r="EA82" s="142"/>
      <c r="EB82" s="125"/>
      <c r="EC82" s="16"/>
      <c r="ED82" s="125"/>
      <c r="EE82" s="125"/>
      <c r="EF82" s="16"/>
      <c r="EG82" s="125"/>
      <c r="EQ82" s="125"/>
      <c r="ER82" s="16"/>
      <c r="ES82" s="123"/>
      <c r="ET82" s="19"/>
      <c r="EU82" s="139"/>
      <c r="EV82" s="139"/>
      <c r="EW82" s="123"/>
      <c r="EX82" s="123"/>
      <c r="EY82" s="123"/>
      <c r="EZ82" s="123"/>
      <c r="FA82" s="123"/>
      <c r="FB82" s="123"/>
      <c r="FC82" s="6"/>
      <c r="FD82" s="123"/>
      <c r="FE82" s="6"/>
      <c r="FF82" s="123"/>
      <c r="FG82" s="6"/>
      <c r="FH82" s="6"/>
      <c r="FI82" s="6"/>
      <c r="FJ82" s="6"/>
      <c r="FK82" s="123"/>
      <c r="FL82" s="6"/>
      <c r="FM82" s="6"/>
      <c r="FN82" s="6"/>
      <c r="FO82" s="138"/>
      <c r="FP82" s="138"/>
      <c r="FQ82" s="123"/>
      <c r="FR82" s="6"/>
      <c r="FS82" s="6"/>
      <c r="FT82" s="139"/>
      <c r="FU82" s="139"/>
      <c r="FV82" s="76"/>
      <c r="FW82" s="123"/>
      <c r="FX82" s="6"/>
    </row>
    <row r="83" spans="2:180">
      <c r="B83" s="264"/>
      <c r="C83" s="265"/>
      <c r="D83" s="265"/>
      <c r="E83" s="265"/>
      <c r="F83" s="265"/>
      <c r="G83" s="265"/>
      <c r="H83" s="265"/>
      <c r="I83" s="265"/>
      <c r="J83" s="266"/>
      <c r="K83" s="123">
        <f>MIN(F20,E31)</f>
        <v>1</v>
      </c>
      <c r="L83" s="123">
        <f>F20</f>
        <v>3</v>
      </c>
      <c r="M83" s="123">
        <f>K31</f>
        <v>1</v>
      </c>
      <c r="N83" s="124">
        <f>SQRT((19.2*F17*F18)/((F15*F17+F16*F18)*(F15*F18+F16*F17)))*1000</f>
        <v>10.930080817023573</v>
      </c>
      <c r="O83" s="68" t="s">
        <v>983</v>
      </c>
      <c r="P83" s="68" t="s">
        <v>984</v>
      </c>
      <c r="Q83" s="68">
        <f>_xll.Bimoment($M$83,$N$83,$K$83,$L$83,P83)</f>
        <v>-8.3680776010853445E-3</v>
      </c>
      <c r="R83" s="1" t="s">
        <v>985</v>
      </c>
      <c r="AI83" s="125"/>
      <c r="AJ83" s="16"/>
      <c r="AM83" s="16"/>
      <c r="AN83" s="16"/>
      <c r="AO83" s="125"/>
      <c r="AP83" s="16"/>
      <c r="AQ83" s="125"/>
      <c r="AR83" s="164"/>
      <c r="AY83" s="142"/>
      <c r="AZ83" s="125"/>
      <c r="BA83" s="142"/>
      <c r="BB83" s="125"/>
      <c r="BC83" s="16"/>
      <c r="BD83" s="125"/>
      <c r="BE83" s="125"/>
      <c r="BF83" s="16"/>
      <c r="BG83" s="125"/>
      <c r="BQ83" s="125"/>
      <c r="BR83" s="16"/>
      <c r="BS83" s="123"/>
      <c r="BT83" s="19"/>
      <c r="BU83" s="139"/>
      <c r="BV83" s="139"/>
      <c r="BW83" s="123"/>
      <c r="BX83" s="123"/>
      <c r="BY83" s="123"/>
      <c r="BZ83" s="123"/>
      <c r="CA83" s="123"/>
      <c r="CB83" s="123"/>
      <c r="CC83" s="6"/>
      <c r="CD83" s="123"/>
      <c r="CE83" s="6"/>
      <c r="CF83" s="123"/>
      <c r="CG83" s="6"/>
      <c r="CH83" s="6"/>
      <c r="CI83" s="6"/>
      <c r="CJ83" s="6"/>
      <c r="CK83" s="123"/>
      <c r="CL83" s="6"/>
      <c r="CM83" s="6"/>
      <c r="CN83" s="6"/>
      <c r="CO83" s="138"/>
      <c r="CP83" s="138"/>
      <c r="CQ83" s="123"/>
      <c r="CR83" s="6"/>
      <c r="CS83" s="6"/>
      <c r="CT83" s="139"/>
      <c r="CU83" s="139"/>
      <c r="CV83" s="76"/>
      <c r="CW83" s="123"/>
      <c r="CX83" s="6"/>
      <c r="DI83" s="125"/>
      <c r="DJ83" s="16"/>
      <c r="DM83" s="16"/>
      <c r="DN83" s="16"/>
      <c r="DO83" s="125"/>
      <c r="DP83" s="16"/>
      <c r="DQ83" s="125"/>
      <c r="DR83" s="164"/>
      <c r="DY83" s="142"/>
      <c r="DZ83" s="125"/>
      <c r="EA83" s="142"/>
      <c r="EB83" s="125"/>
      <c r="EC83" s="16"/>
      <c r="ED83" s="125"/>
      <c r="EE83" s="125"/>
      <c r="EF83" s="16"/>
      <c r="EG83" s="125"/>
      <c r="EQ83" s="125"/>
      <c r="ER83" s="16"/>
      <c r="ES83" s="123"/>
      <c r="ET83" s="19"/>
      <c r="EU83" s="139"/>
      <c r="EV83" s="139"/>
      <c r="EW83" s="123"/>
      <c r="EX83" s="123"/>
      <c r="EY83" s="123"/>
      <c r="EZ83" s="123"/>
      <c r="FA83" s="123"/>
      <c r="FB83" s="123"/>
      <c r="FC83" s="6"/>
      <c r="FD83" s="123"/>
      <c r="FE83" s="6"/>
      <c r="FF83" s="123"/>
      <c r="FG83" s="6"/>
      <c r="FH83" s="6"/>
      <c r="FI83" s="6"/>
      <c r="FJ83" s="6"/>
      <c r="FK83" s="123"/>
      <c r="FL83" s="6"/>
      <c r="FM83" s="6"/>
      <c r="FN83" s="6"/>
      <c r="FO83" s="138"/>
      <c r="FP83" s="138"/>
      <c r="FQ83" s="123"/>
      <c r="FR83" s="6"/>
      <c r="FS83" s="6"/>
      <c r="FT83" s="139"/>
      <c r="FU83" s="139"/>
      <c r="FV83" s="76"/>
      <c r="FW83" s="123"/>
      <c r="FX83" s="6"/>
    </row>
    <row r="84" spans="2:180" ht="14.25">
      <c r="B84" s="264"/>
      <c r="C84" s="265"/>
      <c r="D84" s="265"/>
      <c r="E84" s="265"/>
      <c r="F84" s="265"/>
      <c r="G84" s="265"/>
      <c r="H84" s="265"/>
      <c r="I84" s="265"/>
      <c r="J84" s="266"/>
      <c r="K84" s="123" t="s">
        <v>849</v>
      </c>
      <c r="L84" s="27" t="s">
        <v>779</v>
      </c>
      <c r="M84" s="6" t="s">
        <v>850</v>
      </c>
      <c r="N84" s="123" t="s">
        <v>97</v>
      </c>
      <c r="O84" s="68" t="s">
        <v>986</v>
      </c>
      <c r="P84" s="68" t="s">
        <v>987</v>
      </c>
      <c r="Q84" s="68">
        <f>_xll.Bimoment($M$83,$N$83,$K$83,$L$83,P84)</f>
        <v>8.3680071734956313E-3</v>
      </c>
      <c r="R84" s="1" t="s">
        <v>988</v>
      </c>
      <c r="AI84" s="125"/>
      <c r="AJ84" s="16"/>
      <c r="AM84" s="16"/>
      <c r="AN84" s="16"/>
      <c r="AO84" s="125"/>
      <c r="AP84" s="16"/>
      <c r="AQ84" s="125"/>
      <c r="AR84" s="164"/>
      <c r="AY84" s="142"/>
      <c r="AZ84" s="125"/>
      <c r="BA84" s="142"/>
      <c r="BB84" s="125"/>
      <c r="BC84" s="16"/>
      <c r="BD84" s="125"/>
      <c r="BE84" s="125"/>
      <c r="BF84" s="16"/>
      <c r="BG84" s="125"/>
      <c r="BQ84" s="125"/>
      <c r="BR84" s="16"/>
      <c r="BS84" s="123"/>
      <c r="BT84" s="19"/>
      <c r="BU84" s="139"/>
      <c r="BV84" s="139"/>
      <c r="BW84" s="123"/>
      <c r="BX84" s="123"/>
      <c r="BY84" s="123"/>
      <c r="BZ84" s="123"/>
      <c r="CA84" s="123"/>
      <c r="CB84" s="123"/>
      <c r="CC84" s="6"/>
      <c r="CD84" s="123"/>
      <c r="CE84" s="6"/>
      <c r="CF84" s="123"/>
      <c r="CG84" s="6"/>
      <c r="CH84" s="6"/>
      <c r="CI84" s="6"/>
      <c r="CJ84" s="6"/>
      <c r="CK84" s="123"/>
      <c r="CL84" s="6"/>
      <c r="CM84" s="6"/>
      <c r="CN84" s="6"/>
      <c r="CO84" s="138"/>
      <c r="CP84" s="138"/>
      <c r="CQ84" s="123"/>
      <c r="CR84" s="6"/>
      <c r="CS84" s="6"/>
      <c r="CT84" s="139"/>
      <c r="CU84" s="139"/>
      <c r="CV84" s="76"/>
      <c r="CW84" s="123"/>
      <c r="CX84" s="6"/>
      <c r="DI84" s="125"/>
      <c r="DJ84" s="16"/>
      <c r="DM84" s="16"/>
      <c r="DN84" s="16"/>
      <c r="DO84" s="125"/>
      <c r="DP84" s="16"/>
      <c r="DQ84" s="125"/>
      <c r="DR84" s="164"/>
      <c r="DY84" s="142"/>
      <c r="DZ84" s="125"/>
      <c r="EA84" s="142"/>
      <c r="EB84" s="125"/>
      <c r="EC84" s="16"/>
      <c r="ED84" s="125"/>
      <c r="EE84" s="125"/>
      <c r="EF84" s="16"/>
      <c r="EG84" s="125"/>
      <c r="EQ84" s="125"/>
      <c r="ER84" s="16"/>
      <c r="ES84" s="123"/>
      <c r="ET84" s="19"/>
      <c r="EU84" s="139"/>
      <c r="EV84" s="139"/>
      <c r="EW84" s="123"/>
      <c r="EX84" s="123"/>
      <c r="EY84" s="123"/>
      <c r="EZ84" s="123"/>
      <c r="FA84" s="123"/>
      <c r="FB84" s="123"/>
      <c r="FC84" s="6"/>
      <c r="FD84" s="123"/>
      <c r="FE84" s="6"/>
      <c r="FF84" s="123"/>
      <c r="FG84" s="6"/>
      <c r="FH84" s="6"/>
      <c r="FI84" s="6"/>
      <c r="FJ84" s="6"/>
      <c r="FK84" s="123"/>
      <c r="FL84" s="6"/>
      <c r="FM84" s="6"/>
      <c r="FN84" s="6"/>
      <c r="FO84" s="138"/>
      <c r="FP84" s="138"/>
      <c r="FQ84" s="123"/>
      <c r="FR84" s="6"/>
      <c r="FS84" s="6"/>
      <c r="FT84" s="139"/>
      <c r="FU84" s="139"/>
      <c r="FV84" s="76"/>
      <c r="FW84" s="123"/>
      <c r="FX84" s="6"/>
    </row>
    <row r="85" spans="2:180" ht="15">
      <c r="B85" s="264"/>
      <c r="C85" s="265"/>
      <c r="D85" s="265"/>
      <c r="E85" s="265"/>
      <c r="F85" s="265"/>
      <c r="G85" s="265"/>
      <c r="H85" s="265"/>
      <c r="I85" s="265"/>
      <c r="J85" s="266"/>
      <c r="K85" s="123" t="s">
        <v>39</v>
      </c>
      <c r="L85" s="6" t="s">
        <v>853</v>
      </c>
      <c r="M85" s="123" t="s">
        <v>989</v>
      </c>
      <c r="N85" s="123" t="s">
        <v>990</v>
      </c>
      <c r="O85" s="68" t="s">
        <v>991</v>
      </c>
      <c r="P85" s="68" t="s">
        <v>992</v>
      </c>
      <c r="Q85" s="68">
        <f>_xll.Bimoment($M$83,$N$83,$K$83,$L$83,P85)</f>
        <v>-87014446297060.641</v>
      </c>
      <c r="R85" s="1" t="s">
        <v>993</v>
      </c>
      <c r="AI85" s="125"/>
      <c r="AJ85" s="16"/>
      <c r="AM85" s="16"/>
      <c r="AN85" s="16"/>
      <c r="AO85" s="125"/>
      <c r="AP85" s="16"/>
      <c r="AQ85" s="125"/>
      <c r="AR85" s="164"/>
      <c r="AY85" s="142"/>
      <c r="AZ85" s="125"/>
      <c r="BA85" s="142"/>
      <c r="BB85" s="125"/>
      <c r="BC85" s="16"/>
      <c r="BD85" s="125"/>
      <c r="BE85" s="125"/>
      <c r="BF85" s="16"/>
      <c r="BG85" s="125"/>
      <c r="BQ85" s="125"/>
      <c r="BR85" s="16"/>
      <c r="BS85" s="123"/>
      <c r="BT85" s="19"/>
      <c r="BU85" s="139"/>
      <c r="BV85" s="139"/>
      <c r="BW85" s="123"/>
      <c r="BX85" s="123"/>
      <c r="BY85" s="123"/>
      <c r="BZ85" s="123"/>
      <c r="CA85" s="123"/>
      <c r="CB85" s="123"/>
      <c r="CC85" s="6"/>
      <c r="CD85" s="123"/>
      <c r="CE85" s="6"/>
      <c r="CF85" s="123"/>
      <c r="CG85" s="6"/>
      <c r="CH85" s="6"/>
      <c r="CI85" s="6"/>
      <c r="CJ85" s="6"/>
      <c r="CK85" s="123"/>
      <c r="CL85" s="6"/>
      <c r="CM85" s="6"/>
      <c r="CN85" s="6"/>
      <c r="CO85" s="138"/>
      <c r="CP85" s="138"/>
      <c r="CQ85" s="123"/>
      <c r="CR85" s="6"/>
      <c r="CS85" s="6"/>
      <c r="CT85" s="139"/>
      <c r="CU85" s="139"/>
      <c r="CV85" s="76"/>
      <c r="CW85" s="123"/>
      <c r="CX85" s="6"/>
      <c r="DI85" s="125"/>
      <c r="DJ85" s="16"/>
      <c r="DM85" s="16"/>
      <c r="DN85" s="16"/>
      <c r="DO85" s="125"/>
      <c r="DP85" s="16"/>
      <c r="DQ85" s="125"/>
      <c r="DR85" s="164"/>
      <c r="DY85" s="142"/>
      <c r="DZ85" s="125"/>
      <c r="EA85" s="142"/>
      <c r="EB85" s="125"/>
      <c r="EC85" s="16"/>
      <c r="ED85" s="125"/>
      <c r="EE85" s="125"/>
      <c r="EF85" s="16"/>
      <c r="EG85" s="125"/>
      <c r="EQ85" s="125"/>
      <c r="ER85" s="16"/>
      <c r="ES85" s="123"/>
      <c r="ET85" s="19"/>
      <c r="EU85" s="139"/>
      <c r="EV85" s="139"/>
      <c r="EW85" s="123"/>
      <c r="EX85" s="123"/>
      <c r="EY85" s="123"/>
      <c r="EZ85" s="123"/>
      <c r="FA85" s="123"/>
      <c r="FB85" s="123"/>
      <c r="FC85" s="6"/>
      <c r="FD85" s="123"/>
      <c r="FE85" s="6"/>
      <c r="FF85" s="123"/>
      <c r="FG85" s="6"/>
      <c r="FH85" s="6"/>
      <c r="FI85" s="6"/>
      <c r="FJ85" s="6"/>
      <c r="FK85" s="123"/>
      <c r="FL85" s="6"/>
      <c r="FM85" s="6"/>
      <c r="FN85" s="6"/>
      <c r="FO85" s="138"/>
      <c r="FP85" s="138"/>
      <c r="FQ85" s="123"/>
      <c r="FR85" s="6"/>
      <c r="FS85" s="6"/>
      <c r="FT85" s="139"/>
      <c r="FU85" s="139"/>
      <c r="FV85" s="76"/>
      <c r="FW85" s="123"/>
      <c r="FX85" s="6"/>
    </row>
    <row r="86" spans="2:180">
      <c r="B86" s="264"/>
      <c r="C86" s="265"/>
      <c r="D86" s="265"/>
      <c r="E86" s="265"/>
      <c r="F86" s="265"/>
      <c r="G86" s="265"/>
      <c r="H86" s="265"/>
      <c r="I86" s="265"/>
      <c r="J86" s="266"/>
      <c r="K86" s="122">
        <v>79000</v>
      </c>
      <c r="L86" s="123">
        <f>N27/10000</f>
        <v>6.6666666666666664E-4</v>
      </c>
      <c r="M86" s="121">
        <f>M27/1000000000000</f>
        <v>8.8888888888888875E-10</v>
      </c>
      <c r="N86" s="123">
        <f>VLOOKUP(K80,O82:Q86,3,FALSE)</f>
        <v>-8.3703857847324901E-3</v>
      </c>
      <c r="O86" s="68" t="s">
        <v>994</v>
      </c>
      <c r="P86" s="68" t="s">
        <v>978</v>
      </c>
      <c r="Q86" s="173">
        <v>0</v>
      </c>
      <c r="AI86" s="125"/>
      <c r="AJ86" s="16"/>
      <c r="AM86" s="16"/>
      <c r="AN86" s="16"/>
      <c r="AO86" s="125"/>
      <c r="AP86" s="16"/>
      <c r="AQ86" s="125"/>
      <c r="AR86" s="164"/>
      <c r="AY86" s="142"/>
      <c r="AZ86" s="125"/>
      <c r="BA86" s="142"/>
      <c r="BB86" s="125"/>
      <c r="BC86" s="16"/>
      <c r="BD86" s="125"/>
      <c r="BE86" s="125"/>
      <c r="BF86" s="16"/>
      <c r="BG86" s="125"/>
      <c r="BQ86" s="125"/>
      <c r="BR86" s="16"/>
      <c r="BS86" s="123"/>
      <c r="BT86" s="19"/>
      <c r="BU86" s="139"/>
      <c r="BV86" s="139"/>
      <c r="BW86" s="123"/>
      <c r="BX86" s="123"/>
      <c r="BY86" s="123"/>
      <c r="BZ86" s="123"/>
      <c r="CA86" s="123"/>
      <c r="CB86" s="123"/>
      <c r="CC86" s="6"/>
      <c r="CD86" s="123"/>
      <c r="CE86" s="6"/>
      <c r="CF86" s="123"/>
      <c r="CG86" s="6"/>
      <c r="CH86" s="6"/>
      <c r="CI86" s="6"/>
      <c r="CJ86" s="6"/>
      <c r="CK86" s="123"/>
      <c r="CL86" s="6"/>
      <c r="CM86" s="6"/>
      <c r="CN86" s="6"/>
      <c r="CO86" s="138"/>
      <c r="CP86" s="138"/>
      <c r="CQ86" s="123"/>
      <c r="CR86" s="6"/>
      <c r="CS86" s="6"/>
      <c r="CT86" s="139"/>
      <c r="CU86" s="139"/>
      <c r="CV86" s="76"/>
      <c r="CW86" s="123"/>
      <c r="CX86" s="6"/>
      <c r="DI86" s="125"/>
      <c r="DJ86" s="16"/>
      <c r="DM86" s="16"/>
      <c r="DN86" s="16"/>
      <c r="DO86" s="125"/>
      <c r="DP86" s="16"/>
      <c r="DQ86" s="125"/>
      <c r="DR86" s="164"/>
      <c r="DY86" s="142"/>
      <c r="DZ86" s="125"/>
      <c r="EA86" s="142"/>
      <c r="EB86" s="125"/>
      <c r="EC86" s="16"/>
      <c r="ED86" s="125"/>
      <c r="EE86" s="125"/>
      <c r="EF86" s="16"/>
      <c r="EG86" s="125"/>
      <c r="EQ86" s="125"/>
      <c r="ER86" s="16"/>
      <c r="ES86" s="123"/>
      <c r="ET86" s="19"/>
      <c r="EU86" s="139"/>
      <c r="EV86" s="139"/>
      <c r="EW86" s="123"/>
      <c r="EX86" s="123"/>
      <c r="EY86" s="123"/>
      <c r="EZ86" s="123"/>
      <c r="FA86" s="123"/>
      <c r="FB86" s="123"/>
      <c r="FC86" s="6"/>
      <c r="FD86" s="123"/>
      <c r="FE86" s="6"/>
      <c r="FF86" s="123"/>
      <c r="FG86" s="6"/>
      <c r="FH86" s="6"/>
      <c r="FI86" s="6"/>
      <c r="FJ86" s="6"/>
      <c r="FK86" s="123"/>
      <c r="FL86" s="6"/>
      <c r="FM86" s="6"/>
      <c r="FN86" s="6"/>
      <c r="FO86" s="138"/>
      <c r="FP86" s="138"/>
      <c r="FQ86" s="123"/>
      <c r="FR86" s="6"/>
      <c r="FS86" s="6"/>
      <c r="FT86" s="139"/>
      <c r="FU86" s="139"/>
      <c r="FV86" s="76"/>
      <c r="FW86" s="123"/>
      <c r="FX86" s="6"/>
    </row>
    <row r="87" spans="2:180">
      <c r="B87" s="174" t="s">
        <v>995</v>
      </c>
      <c r="C87" s="175"/>
      <c r="D87" s="175"/>
      <c r="E87" s="175"/>
      <c r="F87" s="22"/>
      <c r="G87" s="102"/>
      <c r="H87" s="102"/>
      <c r="I87" s="105"/>
      <c r="J87" s="104"/>
      <c r="K87" s="176"/>
      <c r="L87" s="176"/>
      <c r="M87" s="176"/>
      <c r="N87" s="177"/>
      <c r="AI87" s="125"/>
      <c r="AJ87" s="16"/>
      <c r="AM87" s="16"/>
      <c r="AN87" s="16"/>
      <c r="AO87" s="125"/>
      <c r="AP87" s="16"/>
      <c r="AQ87" s="125"/>
      <c r="AR87" s="164"/>
      <c r="AY87" s="142"/>
      <c r="AZ87" s="125"/>
      <c r="BA87" s="142"/>
      <c r="BB87" s="125"/>
      <c r="BC87" s="16"/>
      <c r="BD87" s="125"/>
      <c r="BE87" s="125"/>
      <c r="BF87" s="16"/>
      <c r="BG87" s="125"/>
      <c r="BQ87" s="125"/>
      <c r="BR87" s="16"/>
      <c r="BS87" s="123"/>
      <c r="BT87" s="19"/>
      <c r="BU87" s="139"/>
      <c r="BV87" s="139"/>
      <c r="BW87" s="123"/>
      <c r="BX87" s="123"/>
      <c r="BY87" s="123"/>
      <c r="BZ87" s="123"/>
      <c r="CA87" s="123"/>
      <c r="CB87" s="123"/>
      <c r="CC87" s="6"/>
      <c r="CD87" s="123"/>
      <c r="CE87" s="6"/>
      <c r="CF87" s="123"/>
      <c r="CG87" s="6"/>
      <c r="CH87" s="6"/>
      <c r="CI87" s="6"/>
      <c r="CJ87" s="6"/>
      <c r="CK87" s="123"/>
      <c r="CL87" s="6"/>
      <c r="CM87" s="6"/>
      <c r="CN87" s="6"/>
      <c r="CO87" s="138"/>
      <c r="CP87" s="138"/>
      <c r="CQ87" s="123"/>
      <c r="CR87" s="6"/>
      <c r="CS87" s="6"/>
      <c r="CT87" s="139"/>
      <c r="CU87" s="139"/>
      <c r="CV87" s="76"/>
      <c r="CW87" s="123"/>
      <c r="CX87" s="6"/>
      <c r="DI87" s="125"/>
      <c r="DJ87" s="16"/>
      <c r="DM87" s="16"/>
      <c r="DN87" s="16"/>
      <c r="DO87" s="125"/>
      <c r="DP87" s="16"/>
      <c r="DQ87" s="125"/>
      <c r="DR87" s="164"/>
      <c r="DY87" s="142"/>
      <c r="DZ87" s="125"/>
      <c r="EA87" s="142"/>
      <c r="EB87" s="125"/>
      <c r="EC87" s="16"/>
      <c r="ED87" s="125"/>
      <c r="EE87" s="125"/>
      <c r="EF87" s="16"/>
      <c r="EG87" s="125"/>
      <c r="EQ87" s="125"/>
      <c r="ER87" s="16"/>
      <c r="ES87" s="123"/>
      <c r="ET87" s="19"/>
      <c r="EU87" s="139"/>
      <c r="EV87" s="139"/>
      <c r="EW87" s="123"/>
      <c r="EX87" s="123"/>
      <c r="EY87" s="123"/>
      <c r="EZ87" s="123"/>
      <c r="FA87" s="123"/>
      <c r="FB87" s="123"/>
      <c r="FC87" s="6"/>
      <c r="FD87" s="123"/>
      <c r="FE87" s="6"/>
      <c r="FF87" s="123"/>
      <c r="FG87" s="6"/>
      <c r="FH87" s="6"/>
      <c r="FI87" s="6"/>
      <c r="FJ87" s="6"/>
      <c r="FK87" s="123"/>
      <c r="FL87" s="6"/>
      <c r="FM87" s="6"/>
      <c r="FN87" s="6"/>
      <c r="FO87" s="138"/>
      <c r="FP87" s="138"/>
      <c r="FQ87" s="123"/>
      <c r="FR87" s="6"/>
      <c r="FS87" s="6"/>
      <c r="FT87" s="139"/>
      <c r="FU87" s="139"/>
      <c r="FV87" s="76"/>
      <c r="FW87" s="123"/>
      <c r="FX87" s="6"/>
    </row>
    <row r="88" spans="2:180">
      <c r="B88" s="86" t="s">
        <v>996</v>
      </c>
      <c r="C88" s="175"/>
      <c r="D88" s="175"/>
      <c r="E88" s="175"/>
      <c r="F88" s="22"/>
      <c r="G88" s="102"/>
      <c r="H88" s="102"/>
      <c r="I88" s="105"/>
      <c r="J88" s="104"/>
      <c r="K88" s="104"/>
      <c r="L88" s="104"/>
      <c r="M88" s="104"/>
      <c r="N88" s="178"/>
      <c r="AI88" s="125"/>
      <c r="AJ88" s="16"/>
      <c r="AM88" s="16"/>
      <c r="AN88" s="16"/>
      <c r="AO88" s="125"/>
      <c r="AP88" s="16"/>
      <c r="AQ88" s="125"/>
      <c r="AR88" s="164"/>
      <c r="AY88" s="142"/>
      <c r="AZ88" s="125"/>
      <c r="BA88" s="142"/>
      <c r="BB88" s="125"/>
      <c r="BC88" s="16"/>
      <c r="BD88" s="125"/>
      <c r="BE88" s="125"/>
      <c r="BF88" s="16"/>
      <c r="BG88" s="125"/>
      <c r="BQ88" s="125"/>
      <c r="BR88" s="16"/>
      <c r="BS88" s="123"/>
      <c r="BT88" s="19"/>
      <c r="BU88" s="139"/>
      <c r="BV88" s="139"/>
      <c r="BW88" s="123"/>
      <c r="BX88" s="123"/>
      <c r="BY88" s="123"/>
      <c r="BZ88" s="123"/>
      <c r="CA88" s="123"/>
      <c r="CB88" s="123"/>
      <c r="CC88" s="6"/>
      <c r="CD88" s="123"/>
      <c r="CE88" s="6"/>
      <c r="CF88" s="123"/>
      <c r="CG88" s="6"/>
      <c r="CH88" s="6"/>
      <c r="CI88" s="6"/>
      <c r="CJ88" s="6"/>
      <c r="CK88" s="123"/>
      <c r="CL88" s="6"/>
      <c r="CM88" s="6"/>
      <c r="CN88" s="6"/>
      <c r="CO88" s="138"/>
      <c r="CP88" s="138"/>
      <c r="CQ88" s="123"/>
      <c r="CR88" s="6"/>
      <c r="CS88" s="6"/>
      <c r="CT88" s="139"/>
      <c r="CU88" s="139"/>
      <c r="CV88" s="76"/>
      <c r="CW88" s="123"/>
      <c r="CX88" s="6"/>
      <c r="DI88" s="125"/>
      <c r="DJ88" s="16"/>
      <c r="DM88" s="16"/>
      <c r="DN88" s="16"/>
      <c r="DO88" s="125"/>
      <c r="DP88" s="16"/>
      <c r="DQ88" s="125"/>
      <c r="DR88" s="164"/>
      <c r="DY88" s="142"/>
      <c r="DZ88" s="125"/>
      <c r="EA88" s="142"/>
      <c r="EB88" s="125"/>
      <c r="EC88" s="16"/>
      <c r="ED88" s="125"/>
      <c r="EE88" s="125"/>
      <c r="EF88" s="16"/>
      <c r="EG88" s="125"/>
      <c r="EQ88" s="125"/>
      <c r="ER88" s="16"/>
      <c r="ES88" s="123"/>
      <c r="ET88" s="19"/>
      <c r="EU88" s="139"/>
      <c r="EV88" s="139"/>
      <c r="EW88" s="123"/>
      <c r="EX88" s="123"/>
      <c r="EY88" s="123"/>
      <c r="EZ88" s="123"/>
      <c r="FA88" s="123"/>
      <c r="FB88" s="123"/>
      <c r="FC88" s="6"/>
      <c r="FD88" s="123"/>
      <c r="FE88" s="6"/>
      <c r="FF88" s="123"/>
      <c r="FG88" s="6"/>
      <c r="FH88" s="6"/>
      <c r="FI88" s="6"/>
      <c r="FJ88" s="6"/>
      <c r="FK88" s="123"/>
      <c r="FL88" s="6"/>
      <c r="FM88" s="6"/>
      <c r="FN88" s="6"/>
      <c r="FO88" s="138"/>
      <c r="FP88" s="138"/>
      <c r="FQ88" s="123"/>
      <c r="FR88" s="6"/>
      <c r="FS88" s="6"/>
      <c r="FT88" s="139"/>
      <c r="FU88" s="139"/>
      <c r="FV88" s="76"/>
      <c r="FW88" s="123"/>
      <c r="FX88" s="6"/>
    </row>
    <row r="89" spans="2:180">
      <c r="B89" s="86" t="s">
        <v>997</v>
      </c>
      <c r="C89" s="175"/>
      <c r="D89" s="175"/>
      <c r="E89" s="175"/>
      <c r="F89" s="22"/>
      <c r="G89" s="102"/>
      <c r="H89" s="102"/>
      <c r="I89" s="105"/>
      <c r="J89" s="104"/>
      <c r="K89" s="104"/>
      <c r="L89" s="104"/>
      <c r="M89" s="104"/>
      <c r="N89" s="178"/>
      <c r="AI89" s="125"/>
      <c r="AJ89" s="16"/>
      <c r="AM89" s="16"/>
      <c r="AN89" s="16"/>
      <c r="AO89" s="125"/>
      <c r="AP89" s="16"/>
      <c r="AQ89" s="125"/>
      <c r="AR89" s="164"/>
      <c r="AY89" s="142"/>
      <c r="AZ89" s="125"/>
      <c r="BA89" s="142"/>
      <c r="BB89" s="125"/>
      <c r="BC89" s="16"/>
      <c r="BD89" s="125"/>
      <c r="BE89" s="125"/>
      <c r="BF89" s="16"/>
      <c r="BG89" s="125"/>
      <c r="BQ89" s="125"/>
      <c r="BR89" s="16"/>
      <c r="BS89" s="123"/>
      <c r="BT89" s="19"/>
      <c r="BU89" s="139"/>
      <c r="BV89" s="139"/>
      <c r="BW89" s="123"/>
      <c r="BX89" s="123"/>
      <c r="BY89" s="123"/>
      <c r="BZ89" s="123"/>
      <c r="CA89" s="123"/>
      <c r="CB89" s="123"/>
      <c r="CC89" s="6"/>
      <c r="CD89" s="123"/>
      <c r="CE89" s="6"/>
      <c r="CF89" s="123"/>
      <c r="CG89" s="6"/>
      <c r="CH89" s="6"/>
      <c r="CI89" s="6"/>
      <c r="CJ89" s="6"/>
      <c r="CK89" s="123"/>
      <c r="CL89" s="6"/>
      <c r="CM89" s="6"/>
      <c r="CN89" s="6"/>
      <c r="CO89" s="138"/>
      <c r="CP89" s="138"/>
      <c r="CQ89" s="123"/>
      <c r="CR89" s="6"/>
      <c r="CS89" s="6"/>
      <c r="CT89" s="139"/>
      <c r="CU89" s="139"/>
      <c r="CV89" s="76"/>
      <c r="CW89" s="123"/>
      <c r="CX89" s="6"/>
      <c r="DI89" s="125"/>
      <c r="DJ89" s="16"/>
      <c r="DM89" s="16"/>
      <c r="DN89" s="16"/>
      <c r="DO89" s="125"/>
      <c r="DP89" s="16"/>
      <c r="DQ89" s="125"/>
      <c r="DR89" s="164"/>
      <c r="DY89" s="142"/>
      <c r="DZ89" s="125"/>
      <c r="EA89" s="142"/>
      <c r="EB89" s="125"/>
      <c r="EC89" s="16"/>
      <c r="ED89" s="125"/>
      <c r="EE89" s="125"/>
      <c r="EF89" s="16"/>
      <c r="EG89" s="125"/>
      <c r="EQ89" s="125"/>
      <c r="ER89" s="16"/>
      <c r="ES89" s="123"/>
      <c r="ET89" s="19"/>
      <c r="EU89" s="139"/>
      <c r="EV89" s="139"/>
      <c r="EW89" s="123"/>
      <c r="EX89" s="123"/>
      <c r="EY89" s="123"/>
      <c r="EZ89" s="123"/>
      <c r="FA89" s="123"/>
      <c r="FB89" s="123"/>
      <c r="FC89" s="6"/>
      <c r="FD89" s="123"/>
      <c r="FE89" s="6"/>
      <c r="FF89" s="123"/>
      <c r="FG89" s="6"/>
      <c r="FH89" s="6"/>
      <c r="FI89" s="6"/>
      <c r="FJ89" s="6"/>
      <c r="FK89" s="123"/>
      <c r="FL89" s="6"/>
      <c r="FM89" s="6"/>
      <c r="FN89" s="6"/>
      <c r="FO89" s="138"/>
      <c r="FP89" s="138"/>
      <c r="FQ89" s="123"/>
      <c r="FR89" s="6"/>
      <c r="FS89" s="6"/>
      <c r="FT89" s="139"/>
      <c r="FU89" s="139"/>
      <c r="FV89" s="76"/>
      <c r="FW89" s="123"/>
      <c r="FX89" s="6"/>
    </row>
    <row r="90" spans="2:180">
      <c r="B90" s="86" t="s">
        <v>998</v>
      </c>
      <c r="C90" s="175"/>
      <c r="D90" s="175"/>
      <c r="E90" s="175"/>
      <c r="F90" s="22"/>
      <c r="G90" s="102"/>
      <c r="H90" s="102"/>
      <c r="I90" s="105"/>
      <c r="J90" s="104"/>
      <c r="K90" s="104"/>
      <c r="L90" s="104"/>
      <c r="M90" s="104"/>
      <c r="N90" s="178"/>
      <c r="AI90" s="125"/>
      <c r="AJ90" s="16"/>
      <c r="AM90" s="16"/>
      <c r="AN90" s="16"/>
      <c r="AO90" s="125"/>
      <c r="AP90" s="16"/>
      <c r="AQ90" s="125"/>
      <c r="AR90" s="164"/>
      <c r="AY90" s="142"/>
      <c r="AZ90" s="125"/>
      <c r="BA90" s="142"/>
      <c r="BB90" s="125"/>
      <c r="BC90" s="16"/>
      <c r="BD90" s="125"/>
      <c r="BE90" s="125"/>
      <c r="BF90" s="16"/>
      <c r="BG90" s="125"/>
      <c r="BQ90" s="125"/>
      <c r="BR90" s="16"/>
      <c r="BS90" s="123"/>
      <c r="BT90" s="19"/>
      <c r="BU90" s="139"/>
      <c r="BV90" s="139"/>
      <c r="BW90" s="123"/>
      <c r="BX90" s="123"/>
      <c r="BY90" s="123"/>
      <c r="BZ90" s="123"/>
      <c r="CA90" s="123"/>
      <c r="CB90" s="123"/>
      <c r="CC90" s="6"/>
      <c r="CD90" s="123"/>
      <c r="CE90" s="6"/>
      <c r="CF90" s="123"/>
      <c r="CG90" s="6"/>
      <c r="CH90" s="6"/>
      <c r="CI90" s="6"/>
      <c r="CJ90" s="6"/>
      <c r="CK90" s="123"/>
      <c r="CL90" s="6"/>
      <c r="CM90" s="6"/>
      <c r="CN90" s="6"/>
      <c r="CO90" s="138"/>
      <c r="CP90" s="138"/>
      <c r="CQ90" s="123"/>
      <c r="CR90" s="6"/>
      <c r="CS90" s="6"/>
      <c r="CT90" s="139"/>
      <c r="CU90" s="139"/>
      <c r="CV90" s="76"/>
      <c r="CW90" s="123"/>
      <c r="CX90" s="6"/>
      <c r="DI90" s="125"/>
      <c r="DJ90" s="16"/>
      <c r="DM90" s="16"/>
      <c r="DN90" s="16"/>
      <c r="DO90" s="125"/>
      <c r="DP90" s="16"/>
      <c r="DQ90" s="125"/>
      <c r="DR90" s="164"/>
      <c r="DY90" s="142"/>
      <c r="DZ90" s="125"/>
      <c r="EA90" s="142"/>
      <c r="EB90" s="125"/>
      <c r="EC90" s="16"/>
      <c r="ED90" s="125"/>
      <c r="EE90" s="125"/>
      <c r="EF90" s="16"/>
      <c r="EG90" s="125"/>
      <c r="EQ90" s="125"/>
      <c r="ER90" s="16"/>
      <c r="ES90" s="123"/>
      <c r="ET90" s="19"/>
      <c r="EU90" s="139"/>
      <c r="EV90" s="139"/>
      <c r="EW90" s="123"/>
      <c r="EX90" s="123"/>
      <c r="EY90" s="123"/>
      <c r="EZ90" s="123"/>
      <c r="FA90" s="123"/>
      <c r="FB90" s="123"/>
      <c r="FC90" s="6"/>
      <c r="FD90" s="123"/>
      <c r="FE90" s="6"/>
      <c r="FF90" s="123"/>
      <c r="FG90" s="6"/>
      <c r="FH90" s="6"/>
      <c r="FI90" s="6"/>
      <c r="FJ90" s="6"/>
      <c r="FK90" s="123"/>
      <c r="FL90" s="6"/>
      <c r="FM90" s="6"/>
      <c r="FN90" s="6"/>
      <c r="FO90" s="138"/>
      <c r="FP90" s="138"/>
      <c r="FQ90" s="123"/>
      <c r="FR90" s="6"/>
      <c r="FS90" s="6"/>
      <c r="FT90" s="139"/>
      <c r="FU90" s="139"/>
      <c r="FV90" s="76"/>
      <c r="FW90" s="123"/>
      <c r="FX90" s="6"/>
    </row>
    <row r="91" spans="2:180">
      <c r="B91" s="86" t="s">
        <v>999</v>
      </c>
      <c r="C91" s="175"/>
      <c r="D91" s="175"/>
      <c r="E91" s="175"/>
      <c r="F91" s="22"/>
      <c r="G91" s="102"/>
      <c r="H91" s="102"/>
      <c r="I91" s="105"/>
      <c r="J91" s="104"/>
      <c r="K91" s="104"/>
      <c r="L91" s="104"/>
      <c r="M91" s="104"/>
      <c r="N91" s="178"/>
      <c r="AI91" s="125"/>
      <c r="AJ91" s="16"/>
      <c r="AM91" s="16"/>
      <c r="AN91" s="16"/>
      <c r="AO91" s="125"/>
      <c r="AP91" s="16"/>
      <c r="AQ91" s="125"/>
      <c r="AR91" s="164"/>
      <c r="AY91" s="142"/>
      <c r="AZ91" s="125"/>
      <c r="BA91" s="142"/>
      <c r="BB91" s="125"/>
      <c r="BC91" s="16"/>
      <c r="BD91" s="125"/>
      <c r="BE91" s="125"/>
      <c r="BF91" s="16"/>
      <c r="BG91" s="125"/>
      <c r="BQ91" s="125"/>
      <c r="BR91" s="16"/>
      <c r="BS91" s="123"/>
      <c r="BT91" s="19"/>
      <c r="BU91" s="139"/>
      <c r="BV91" s="139"/>
      <c r="BW91" s="123"/>
      <c r="BX91" s="123"/>
      <c r="BY91" s="123"/>
      <c r="BZ91" s="123"/>
      <c r="CA91" s="123"/>
      <c r="CB91" s="123"/>
      <c r="CC91" s="6"/>
      <c r="CD91" s="123"/>
      <c r="CE91" s="6"/>
      <c r="CF91" s="123"/>
      <c r="CG91" s="6"/>
      <c r="CH91" s="6"/>
      <c r="CI91" s="6"/>
      <c r="CJ91" s="6"/>
      <c r="CK91" s="123"/>
      <c r="CL91" s="6"/>
      <c r="CM91" s="6"/>
      <c r="CN91" s="6"/>
      <c r="CO91" s="138"/>
      <c r="CP91" s="138"/>
      <c r="CQ91" s="123"/>
      <c r="CR91" s="6"/>
      <c r="CS91" s="6"/>
      <c r="CT91" s="139"/>
      <c r="CU91" s="139"/>
      <c r="CV91" s="76"/>
      <c r="CW91" s="123"/>
      <c r="CX91" s="6"/>
      <c r="DI91" s="125"/>
      <c r="DJ91" s="16"/>
      <c r="DM91" s="16"/>
      <c r="DN91" s="16"/>
      <c r="DO91" s="125"/>
      <c r="DP91" s="16"/>
      <c r="DQ91" s="125"/>
      <c r="DR91" s="164"/>
      <c r="DY91" s="142"/>
      <c r="DZ91" s="125"/>
      <c r="EA91" s="142"/>
      <c r="EB91" s="125"/>
      <c r="EC91" s="16"/>
      <c r="ED91" s="125"/>
      <c r="EE91" s="125"/>
      <c r="EF91" s="16"/>
      <c r="EG91" s="125"/>
      <c r="EQ91" s="125"/>
      <c r="ER91" s="16"/>
      <c r="ES91" s="123"/>
      <c r="ET91" s="19"/>
      <c r="EU91" s="139"/>
      <c r="EV91" s="139"/>
      <c r="EW91" s="123"/>
      <c r="EX91" s="123"/>
      <c r="EY91" s="123"/>
      <c r="EZ91" s="123"/>
      <c r="FA91" s="123"/>
      <c r="FB91" s="123"/>
      <c r="FC91" s="6"/>
      <c r="FD91" s="123"/>
      <c r="FE91" s="6"/>
      <c r="FF91" s="123"/>
      <c r="FG91" s="6"/>
      <c r="FH91" s="6"/>
      <c r="FI91" s="6"/>
      <c r="FJ91" s="6"/>
      <c r="FK91" s="123"/>
      <c r="FL91" s="6"/>
      <c r="FM91" s="6"/>
      <c r="FN91" s="6"/>
      <c r="FO91" s="138"/>
      <c r="FP91" s="138"/>
      <c r="FQ91" s="123"/>
      <c r="FR91" s="6"/>
      <c r="FS91" s="6"/>
      <c r="FT91" s="139"/>
      <c r="FU91" s="139"/>
      <c r="FV91" s="76"/>
      <c r="FW91" s="123"/>
      <c r="FX91" s="6"/>
    </row>
    <row r="92" spans="2:180">
      <c r="B92" s="179" t="s">
        <v>1000</v>
      </c>
      <c r="C92" s="180"/>
      <c r="D92" s="180"/>
      <c r="E92" s="180"/>
      <c r="F92" s="91"/>
      <c r="G92" s="181"/>
      <c r="H92" s="181"/>
      <c r="I92" s="182"/>
      <c r="J92" s="92"/>
      <c r="K92" s="92"/>
      <c r="L92" s="92"/>
      <c r="M92" s="92"/>
      <c r="N92" s="183"/>
      <c r="AI92" s="125"/>
      <c r="AJ92" s="16"/>
      <c r="AM92" s="16"/>
      <c r="AN92" s="16"/>
      <c r="AO92" s="125"/>
      <c r="AP92" s="16"/>
      <c r="AQ92" s="125"/>
      <c r="AR92" s="164"/>
      <c r="AY92" s="142"/>
      <c r="AZ92" s="125"/>
      <c r="BA92" s="142"/>
      <c r="BB92" s="125"/>
      <c r="BC92" s="16"/>
      <c r="BD92" s="125"/>
      <c r="BE92" s="125"/>
      <c r="BF92" s="16"/>
      <c r="BG92" s="125"/>
      <c r="BQ92" s="125"/>
      <c r="BR92" s="16"/>
      <c r="BS92" s="123"/>
      <c r="BT92" s="19"/>
      <c r="BU92" s="139"/>
      <c r="BV92" s="139"/>
      <c r="BW92" s="123"/>
      <c r="BX92" s="123"/>
      <c r="BY92" s="123"/>
      <c r="BZ92" s="123"/>
      <c r="CA92" s="123"/>
      <c r="CB92" s="123"/>
      <c r="CC92" s="6"/>
      <c r="CD92" s="123"/>
      <c r="CE92" s="6"/>
      <c r="CF92" s="123"/>
      <c r="CG92" s="6"/>
      <c r="CH92" s="6"/>
      <c r="CI92" s="6"/>
      <c r="CJ92" s="6"/>
      <c r="CK92" s="123"/>
      <c r="CL92" s="6"/>
      <c r="CM92" s="6"/>
      <c r="CN92" s="6"/>
      <c r="CO92" s="138"/>
      <c r="CP92" s="138"/>
      <c r="CQ92" s="123"/>
      <c r="CR92" s="6"/>
      <c r="CS92" s="6"/>
      <c r="CT92" s="139"/>
      <c r="CU92" s="139"/>
      <c r="CV92" s="76"/>
      <c r="CW92" s="123"/>
      <c r="CX92" s="6"/>
      <c r="DI92" s="125"/>
      <c r="DJ92" s="16"/>
      <c r="DM92" s="16"/>
      <c r="DN92" s="16"/>
      <c r="DO92" s="125"/>
      <c r="DP92" s="16"/>
      <c r="DQ92" s="125"/>
      <c r="DR92" s="164"/>
      <c r="DY92" s="142"/>
      <c r="DZ92" s="125"/>
      <c r="EA92" s="142"/>
      <c r="EB92" s="125"/>
      <c r="EC92" s="16"/>
      <c r="ED92" s="125"/>
      <c r="EE92" s="125"/>
      <c r="EF92" s="16"/>
      <c r="EG92" s="125"/>
      <c r="EQ92" s="125"/>
      <c r="ER92" s="16"/>
      <c r="ES92" s="123"/>
      <c r="ET92" s="19"/>
      <c r="EU92" s="139"/>
      <c r="EV92" s="139"/>
      <c r="EW92" s="123"/>
      <c r="EX92" s="123"/>
      <c r="EY92" s="123"/>
      <c r="EZ92" s="123"/>
      <c r="FA92" s="123"/>
      <c r="FB92" s="123"/>
      <c r="FC92" s="6"/>
      <c r="FD92" s="123"/>
      <c r="FE92" s="6"/>
      <c r="FF92" s="123"/>
      <c r="FG92" s="6"/>
      <c r="FH92" s="6"/>
      <c r="FI92" s="6"/>
      <c r="FJ92" s="6"/>
      <c r="FK92" s="123"/>
      <c r="FL92" s="6"/>
      <c r="FM92" s="6"/>
      <c r="FN92" s="6"/>
      <c r="FO92" s="138"/>
      <c r="FP92" s="138"/>
      <c r="FQ92" s="123"/>
      <c r="FR92" s="6"/>
      <c r="FS92" s="6"/>
      <c r="FT92" s="139"/>
      <c r="FU92" s="139"/>
      <c r="FV92" s="76"/>
      <c r="FW92" s="123"/>
      <c r="FX92" s="6"/>
    </row>
    <row r="93" spans="2:180">
      <c r="K93" s="126"/>
      <c r="AI93" s="125"/>
      <c r="AJ93" s="16"/>
      <c r="AM93" s="16"/>
      <c r="AN93" s="16"/>
      <c r="AO93" s="125"/>
      <c r="AP93" s="16"/>
      <c r="AQ93" s="125"/>
      <c r="AR93" s="164"/>
      <c r="AY93" s="142"/>
      <c r="AZ93" s="125"/>
      <c r="BA93" s="142"/>
      <c r="BB93" s="125"/>
      <c r="BC93" s="16"/>
      <c r="BD93" s="125"/>
      <c r="BE93" s="125"/>
      <c r="BF93" s="16"/>
      <c r="BG93" s="125"/>
      <c r="BQ93" s="125"/>
      <c r="BR93" s="16"/>
      <c r="BS93" s="123"/>
      <c r="BT93" s="19"/>
      <c r="BU93" s="139"/>
      <c r="BV93" s="139"/>
      <c r="BW93" s="123"/>
      <c r="BX93" s="123"/>
      <c r="BY93" s="123"/>
      <c r="BZ93" s="123"/>
      <c r="CA93" s="123"/>
      <c r="CB93" s="123"/>
      <c r="CC93" s="6"/>
      <c r="CD93" s="123"/>
      <c r="CE93" s="6"/>
      <c r="CF93" s="123"/>
      <c r="CG93" s="6"/>
      <c r="CH93" s="6"/>
      <c r="CI93" s="6"/>
      <c r="CJ93" s="6"/>
      <c r="CK93" s="123"/>
      <c r="CL93" s="6"/>
      <c r="CM93" s="6"/>
      <c r="CN93" s="6"/>
      <c r="CO93" s="138"/>
      <c r="CP93" s="138"/>
      <c r="CQ93" s="123"/>
      <c r="CR93" s="6"/>
      <c r="CS93" s="6"/>
      <c r="CT93" s="139"/>
      <c r="CU93" s="139"/>
      <c r="CV93" s="76"/>
      <c r="CW93" s="123"/>
      <c r="CX93" s="6"/>
      <c r="DI93" s="125"/>
      <c r="DJ93" s="16"/>
      <c r="DM93" s="16"/>
      <c r="DN93" s="16"/>
      <c r="DO93" s="125"/>
      <c r="DP93" s="16"/>
      <c r="DQ93" s="125"/>
      <c r="DR93" s="164"/>
      <c r="DY93" s="142"/>
      <c r="DZ93" s="125"/>
      <c r="EA93" s="142"/>
      <c r="EB93" s="125"/>
      <c r="EC93" s="16"/>
      <c r="ED93" s="125"/>
      <c r="EE93" s="125"/>
      <c r="EF93" s="16"/>
      <c r="EG93" s="125"/>
      <c r="EQ93" s="125"/>
      <c r="ER93" s="16"/>
      <c r="ES93" s="123"/>
      <c r="ET93" s="19"/>
      <c r="EU93" s="139"/>
      <c r="EV93" s="139"/>
      <c r="EW93" s="123"/>
      <c r="EX93" s="123"/>
      <c r="EY93" s="123"/>
      <c r="EZ93" s="123"/>
      <c r="FA93" s="123"/>
      <c r="FB93" s="123"/>
      <c r="FC93" s="6"/>
      <c r="FD93" s="123"/>
      <c r="FE93" s="6"/>
      <c r="FF93" s="123"/>
      <c r="FG93" s="6"/>
      <c r="FH93" s="6"/>
      <c r="FI93" s="6"/>
      <c r="FJ93" s="6"/>
      <c r="FK93" s="123"/>
      <c r="FL93" s="6"/>
      <c r="FM93" s="6"/>
      <c r="FN93" s="6"/>
      <c r="FO93" s="138"/>
      <c r="FP93" s="138"/>
      <c r="FQ93" s="123"/>
      <c r="FR93" s="6"/>
      <c r="FS93" s="6"/>
      <c r="FT93" s="139"/>
      <c r="FU93" s="139"/>
      <c r="FV93" s="76"/>
      <c r="FW93" s="123"/>
      <c r="FX93" s="6"/>
    </row>
    <row r="94" spans="2:180">
      <c r="I94" s="218"/>
      <c r="J94" s="218"/>
      <c r="AI94" s="125"/>
      <c r="AJ94" s="16"/>
      <c r="AM94" s="16"/>
      <c r="AN94" s="16"/>
      <c r="AO94" s="125"/>
      <c r="AP94" s="16"/>
      <c r="AQ94" s="125"/>
      <c r="AR94" s="164"/>
      <c r="AY94" s="142"/>
      <c r="AZ94" s="125"/>
      <c r="BA94" s="142"/>
      <c r="BB94" s="125"/>
      <c r="BC94" s="16"/>
      <c r="BD94" s="125"/>
      <c r="BE94" s="125"/>
      <c r="BF94" s="16"/>
      <c r="BG94" s="125"/>
      <c r="BQ94" s="125"/>
      <c r="BR94" s="16"/>
      <c r="BS94" s="123"/>
      <c r="BT94" s="19"/>
      <c r="BU94" s="139"/>
      <c r="BV94" s="139"/>
      <c r="BW94" s="123"/>
      <c r="BX94" s="123"/>
      <c r="BY94" s="123"/>
      <c r="BZ94" s="123"/>
      <c r="CA94" s="123"/>
      <c r="CB94" s="123"/>
      <c r="CC94" s="6"/>
      <c r="CD94" s="123"/>
      <c r="CE94" s="6"/>
      <c r="CF94" s="123"/>
      <c r="CG94" s="6"/>
      <c r="CH94" s="6"/>
      <c r="CI94" s="6"/>
      <c r="CJ94" s="6"/>
      <c r="CK94" s="123"/>
      <c r="CL94" s="6"/>
      <c r="CM94" s="6"/>
      <c r="CN94" s="6"/>
      <c r="CO94" s="138"/>
      <c r="CP94" s="138"/>
      <c r="CQ94" s="123"/>
      <c r="CR94" s="6"/>
      <c r="CS94" s="6"/>
      <c r="CT94" s="139"/>
      <c r="CU94" s="139"/>
      <c r="CV94" s="76"/>
      <c r="CW94" s="123"/>
      <c r="CX94" s="6"/>
      <c r="DI94" s="125"/>
      <c r="DJ94" s="16"/>
      <c r="DM94" s="16"/>
      <c r="DN94" s="16"/>
      <c r="DO94" s="125"/>
      <c r="DP94" s="16"/>
      <c r="DQ94" s="125"/>
      <c r="DR94" s="164"/>
      <c r="DY94" s="142"/>
      <c r="DZ94" s="125"/>
      <c r="EA94" s="142"/>
      <c r="EB94" s="125"/>
      <c r="EC94" s="16"/>
      <c r="ED94" s="125"/>
      <c r="EE94" s="125"/>
      <c r="EF94" s="16"/>
      <c r="EG94" s="125"/>
      <c r="EQ94" s="125"/>
      <c r="ER94" s="16"/>
      <c r="ES94" s="123"/>
      <c r="ET94" s="19"/>
      <c r="EU94" s="139"/>
      <c r="EV94" s="139"/>
      <c r="EW94" s="123"/>
      <c r="EX94" s="123"/>
      <c r="EY94" s="123"/>
      <c r="EZ94" s="123"/>
      <c r="FA94" s="123"/>
      <c r="FB94" s="123"/>
      <c r="FC94" s="6"/>
      <c r="FD94" s="123"/>
      <c r="FE94" s="6"/>
      <c r="FF94" s="123"/>
      <c r="FG94" s="6"/>
      <c r="FH94" s="6"/>
      <c r="FI94" s="6"/>
      <c r="FJ94" s="6"/>
      <c r="FK94" s="123"/>
      <c r="FL94" s="6"/>
      <c r="FM94" s="6"/>
      <c r="FN94" s="6"/>
      <c r="FO94" s="138"/>
      <c r="FP94" s="138"/>
      <c r="FQ94" s="123"/>
      <c r="FR94" s="6"/>
      <c r="FS94" s="6"/>
      <c r="FT94" s="139"/>
      <c r="FU94" s="139"/>
      <c r="FV94" s="76"/>
      <c r="FW94" s="123"/>
      <c r="FX94" s="6"/>
    </row>
    <row r="95" spans="2:180">
      <c r="AI95" s="125"/>
      <c r="AJ95" s="16"/>
      <c r="AM95" s="16"/>
      <c r="AN95" s="16"/>
      <c r="AO95" s="125"/>
      <c r="AP95" s="16"/>
      <c r="AQ95" s="125"/>
      <c r="AR95" s="164"/>
      <c r="AY95" s="142"/>
      <c r="AZ95" s="125"/>
      <c r="BA95" s="142"/>
      <c r="BB95" s="125"/>
      <c r="BC95" s="16"/>
      <c r="BD95" s="125"/>
      <c r="BE95" s="125"/>
      <c r="BF95" s="16"/>
      <c r="BG95" s="125"/>
      <c r="BQ95" s="125"/>
      <c r="BR95" s="16"/>
      <c r="BS95" s="123"/>
      <c r="BT95" s="19"/>
      <c r="BU95" s="139"/>
      <c r="BV95" s="139"/>
      <c r="BW95" s="123"/>
      <c r="BX95" s="123"/>
      <c r="BY95" s="123"/>
      <c r="BZ95" s="123"/>
      <c r="CA95" s="123"/>
      <c r="CB95" s="123"/>
      <c r="CC95" s="6"/>
      <c r="CD95" s="123"/>
      <c r="CE95" s="6"/>
      <c r="CF95" s="123"/>
      <c r="CG95" s="6"/>
      <c r="CH95" s="6"/>
      <c r="CI95" s="6"/>
      <c r="CJ95" s="6"/>
      <c r="CK95" s="123"/>
      <c r="CL95" s="6"/>
      <c r="CM95" s="6"/>
      <c r="CN95" s="6"/>
      <c r="CO95" s="138"/>
      <c r="CP95" s="138"/>
      <c r="CQ95" s="123"/>
      <c r="CR95" s="6"/>
      <c r="CS95" s="6"/>
      <c r="CT95" s="139"/>
      <c r="CU95" s="139"/>
      <c r="CV95" s="76"/>
      <c r="CW95" s="123"/>
      <c r="CX95" s="6"/>
      <c r="DI95" s="125"/>
      <c r="DJ95" s="16"/>
      <c r="DM95" s="16"/>
      <c r="DN95" s="16"/>
      <c r="DO95" s="125"/>
      <c r="DP95" s="16"/>
      <c r="DQ95" s="125"/>
      <c r="DR95" s="164"/>
      <c r="DY95" s="142"/>
      <c r="DZ95" s="125"/>
      <c r="EA95" s="142"/>
      <c r="EB95" s="125"/>
      <c r="EC95" s="16"/>
      <c r="ED95" s="125"/>
      <c r="EE95" s="125"/>
      <c r="EF95" s="16"/>
      <c r="EG95" s="125"/>
      <c r="EQ95" s="125"/>
      <c r="ER95" s="16"/>
      <c r="ES95" s="123"/>
      <c r="ET95" s="19"/>
      <c r="EU95" s="139"/>
      <c r="EV95" s="139"/>
      <c r="EW95" s="123"/>
      <c r="EX95" s="123"/>
      <c r="EY95" s="123"/>
      <c r="EZ95" s="123"/>
      <c r="FA95" s="123"/>
      <c r="FB95" s="123"/>
      <c r="FC95" s="6"/>
      <c r="FD95" s="123"/>
      <c r="FE95" s="6"/>
      <c r="FF95" s="123"/>
      <c r="FG95" s="6"/>
      <c r="FH95" s="6"/>
      <c r="FI95" s="6"/>
      <c r="FJ95" s="6"/>
      <c r="FK95" s="123"/>
      <c r="FL95" s="6"/>
      <c r="FM95" s="6"/>
      <c r="FN95" s="6"/>
      <c r="FO95" s="138"/>
      <c r="FP95" s="138"/>
      <c r="FQ95" s="123"/>
      <c r="FR95" s="6"/>
      <c r="FS95" s="6"/>
      <c r="FT95" s="139"/>
      <c r="FU95" s="139"/>
      <c r="FV95" s="76"/>
      <c r="FW95" s="123"/>
      <c r="FX95" s="6"/>
    </row>
    <row r="96" spans="2:180">
      <c r="B96" s="228" t="s">
        <v>62</v>
      </c>
      <c r="C96" s="229"/>
      <c r="D96" s="229"/>
      <c r="E96" s="230"/>
      <c r="F96" s="36" t="s">
        <v>30</v>
      </c>
      <c r="I96" s="219"/>
      <c r="J96" s="219"/>
      <c r="K96" s="219"/>
      <c r="AI96" s="125"/>
      <c r="AJ96" s="16"/>
      <c r="AM96" s="16"/>
      <c r="AN96" s="16"/>
      <c r="AO96" s="125"/>
      <c r="AP96" s="16"/>
      <c r="AQ96" s="125"/>
      <c r="AR96" s="164"/>
      <c r="AY96" s="142"/>
      <c r="AZ96" s="125"/>
      <c r="BA96" s="142"/>
      <c r="BB96" s="125"/>
      <c r="BC96" s="16"/>
      <c r="BD96" s="125"/>
      <c r="BE96" s="125"/>
      <c r="BF96" s="16"/>
      <c r="BG96" s="125"/>
      <c r="BQ96" s="125"/>
      <c r="BR96" s="16"/>
      <c r="BS96" s="123"/>
      <c r="BT96" s="19"/>
      <c r="BU96" s="139"/>
      <c r="BV96" s="139"/>
      <c r="BW96" s="123"/>
      <c r="BX96" s="123"/>
      <c r="BY96" s="123"/>
      <c r="BZ96" s="123"/>
      <c r="CA96" s="123"/>
      <c r="CB96" s="123"/>
      <c r="CC96" s="6"/>
      <c r="CD96" s="123"/>
      <c r="CE96" s="6"/>
      <c r="CF96" s="123"/>
      <c r="CG96" s="6"/>
      <c r="CH96" s="6"/>
      <c r="CI96" s="6"/>
      <c r="CJ96" s="6"/>
      <c r="CK96" s="123"/>
      <c r="CL96" s="6"/>
      <c r="CM96" s="6"/>
      <c r="CN96" s="6"/>
      <c r="CO96" s="138"/>
      <c r="CP96" s="138"/>
      <c r="CQ96" s="123"/>
      <c r="CR96" s="6"/>
      <c r="CS96" s="6"/>
      <c r="CT96" s="139"/>
      <c r="CU96" s="139"/>
      <c r="CV96" s="76"/>
      <c r="CW96" s="123"/>
      <c r="CX96" s="6"/>
      <c r="DI96" s="125"/>
      <c r="DJ96" s="16"/>
      <c r="DM96" s="16"/>
      <c r="DN96" s="16"/>
      <c r="DO96" s="125"/>
      <c r="DP96" s="16"/>
      <c r="DQ96" s="125"/>
      <c r="DR96" s="164"/>
      <c r="DY96" s="142"/>
      <c r="DZ96" s="125"/>
      <c r="EA96" s="142"/>
      <c r="EB96" s="125"/>
      <c r="EC96" s="16"/>
      <c r="ED96" s="125"/>
      <c r="EE96" s="125"/>
      <c r="EF96" s="16"/>
      <c r="EG96" s="125"/>
      <c r="EQ96" s="125"/>
      <c r="ER96" s="16"/>
      <c r="ES96" s="123"/>
      <c r="ET96" s="19"/>
      <c r="EU96" s="139"/>
      <c r="EV96" s="139"/>
      <c r="EW96" s="123"/>
      <c r="EX96" s="123"/>
      <c r="EY96" s="123"/>
      <c r="EZ96" s="123"/>
      <c r="FA96" s="123"/>
      <c r="FB96" s="123"/>
      <c r="FC96" s="6"/>
      <c r="FD96" s="123"/>
      <c r="FE96" s="6"/>
      <c r="FF96" s="123"/>
      <c r="FG96" s="6"/>
      <c r="FH96" s="6"/>
      <c r="FI96" s="6"/>
      <c r="FJ96" s="6"/>
      <c r="FK96" s="123"/>
      <c r="FL96" s="6"/>
      <c r="FM96" s="6"/>
      <c r="FN96" s="6"/>
      <c r="FO96" s="138"/>
      <c r="FP96" s="138"/>
      <c r="FQ96" s="123"/>
      <c r="FR96" s="6"/>
      <c r="FS96" s="6"/>
      <c r="FT96" s="139"/>
      <c r="FU96" s="139"/>
      <c r="FV96" s="76"/>
      <c r="FW96" s="123"/>
      <c r="FX96" s="6"/>
    </row>
    <row r="97" spans="2:180">
      <c r="B97" s="37"/>
      <c r="C97" s="38"/>
      <c r="D97" s="38"/>
      <c r="E97" s="39" t="s">
        <v>63</v>
      </c>
      <c r="F97" s="40">
        <v>1</v>
      </c>
      <c r="I97" s="219"/>
      <c r="J97" s="219"/>
      <c r="K97" s="219"/>
      <c r="AI97" s="125"/>
      <c r="AJ97" s="16"/>
      <c r="AM97" s="16"/>
      <c r="AN97" s="16"/>
      <c r="AO97" s="125"/>
      <c r="AP97" s="16"/>
      <c r="AQ97" s="125"/>
      <c r="AR97" s="164"/>
      <c r="AY97" s="142"/>
      <c r="AZ97" s="125"/>
      <c r="BA97" s="142"/>
      <c r="BB97" s="125"/>
      <c r="BC97" s="16"/>
      <c r="BD97" s="125"/>
      <c r="BE97" s="125"/>
      <c r="BF97" s="16"/>
      <c r="BG97" s="125"/>
      <c r="BQ97" s="125"/>
      <c r="BR97" s="16"/>
      <c r="BS97" s="123"/>
      <c r="BT97" s="19"/>
      <c r="BU97" s="139"/>
      <c r="BV97" s="139"/>
      <c r="BW97" s="123"/>
      <c r="BX97" s="123"/>
      <c r="BY97" s="123"/>
      <c r="BZ97" s="123"/>
      <c r="CA97" s="123"/>
      <c r="CB97" s="123"/>
      <c r="CC97" s="6"/>
      <c r="CD97" s="123"/>
      <c r="CE97" s="6"/>
      <c r="CF97" s="123"/>
      <c r="CG97" s="6"/>
      <c r="CH97" s="6"/>
      <c r="CI97" s="6"/>
      <c r="CJ97" s="6"/>
      <c r="CK97" s="123"/>
      <c r="CL97" s="6"/>
      <c r="CM97" s="6"/>
      <c r="CN97" s="6"/>
      <c r="CO97" s="138"/>
      <c r="CP97" s="138"/>
      <c r="CQ97" s="123"/>
      <c r="CR97" s="6"/>
      <c r="CS97" s="6"/>
      <c r="CT97" s="139"/>
      <c r="CU97" s="139"/>
      <c r="CV97" s="76"/>
      <c r="CW97" s="123"/>
      <c r="CX97" s="6"/>
      <c r="DI97" s="125"/>
      <c r="DJ97" s="16"/>
      <c r="DM97" s="16"/>
      <c r="DN97" s="16"/>
      <c r="DO97" s="125"/>
      <c r="DP97" s="16"/>
      <c r="DQ97" s="125"/>
      <c r="DR97" s="164"/>
      <c r="DY97" s="142"/>
      <c r="DZ97" s="125"/>
      <c r="EA97" s="142"/>
      <c r="EB97" s="125"/>
      <c r="EC97" s="16"/>
      <c r="ED97" s="125"/>
      <c r="EE97" s="125"/>
      <c r="EF97" s="16"/>
      <c r="EG97" s="125"/>
      <c r="EQ97" s="125"/>
      <c r="ER97" s="16"/>
      <c r="ES97" s="123"/>
      <c r="ET97" s="19"/>
      <c r="EU97" s="139"/>
      <c r="EV97" s="139"/>
      <c r="EW97" s="123"/>
      <c r="EX97" s="123"/>
      <c r="EY97" s="123"/>
      <c r="EZ97" s="123"/>
      <c r="FA97" s="123"/>
      <c r="FB97" s="123"/>
      <c r="FC97" s="6"/>
      <c r="FD97" s="123"/>
      <c r="FE97" s="6"/>
      <c r="FF97" s="123"/>
      <c r="FG97" s="6"/>
      <c r="FH97" s="6"/>
      <c r="FI97" s="6"/>
      <c r="FJ97" s="6"/>
      <c r="FK97" s="123"/>
      <c r="FL97" s="6"/>
      <c r="FM97" s="6"/>
      <c r="FN97" s="6"/>
      <c r="FO97" s="138"/>
      <c r="FP97" s="138"/>
      <c r="FQ97" s="123"/>
      <c r="FR97" s="6"/>
      <c r="FS97" s="6"/>
      <c r="FT97" s="139"/>
      <c r="FU97" s="139"/>
      <c r="FV97" s="76"/>
      <c r="FW97" s="123"/>
      <c r="FX97" s="6"/>
    </row>
    <row r="98" spans="2:180">
      <c r="B98" s="37"/>
      <c r="C98" s="38"/>
      <c r="D98" s="38"/>
      <c r="E98" s="39" t="s">
        <v>64</v>
      </c>
      <c r="F98" s="40">
        <v>0.7</v>
      </c>
      <c r="AI98" s="125"/>
      <c r="AJ98" s="16"/>
      <c r="AM98" s="16"/>
      <c r="AN98" s="16"/>
      <c r="AO98" s="125"/>
      <c r="AP98" s="16"/>
      <c r="AQ98" s="125"/>
      <c r="AR98" s="164"/>
      <c r="AY98" s="142"/>
      <c r="AZ98" s="125"/>
      <c r="BA98" s="142"/>
      <c r="BB98" s="125"/>
      <c r="BC98" s="16"/>
      <c r="BD98" s="125"/>
      <c r="BE98" s="125"/>
      <c r="BF98" s="16"/>
      <c r="BG98" s="125"/>
      <c r="BQ98" s="125"/>
      <c r="BR98" s="16"/>
      <c r="BS98" s="123"/>
      <c r="BT98" s="19"/>
      <c r="BU98" s="139"/>
      <c r="BV98" s="139"/>
      <c r="BW98" s="123"/>
      <c r="BX98" s="123"/>
      <c r="BY98" s="123"/>
      <c r="BZ98" s="123"/>
      <c r="CA98" s="123"/>
      <c r="CB98" s="123"/>
      <c r="CC98" s="6"/>
      <c r="CD98" s="123"/>
      <c r="CE98" s="6"/>
      <c r="CF98" s="123"/>
      <c r="CG98" s="6"/>
      <c r="CH98" s="6"/>
      <c r="CI98" s="6"/>
      <c r="CJ98" s="6"/>
      <c r="CK98" s="123"/>
      <c r="CL98" s="6"/>
      <c r="CM98" s="6"/>
      <c r="CN98" s="6"/>
      <c r="CO98" s="138"/>
      <c r="CP98" s="138"/>
      <c r="CQ98" s="123"/>
      <c r="CR98" s="6"/>
      <c r="CS98" s="6"/>
      <c r="CT98" s="139"/>
      <c r="CU98" s="139"/>
      <c r="CV98" s="76"/>
      <c r="CW98" s="123"/>
      <c r="CX98" s="6"/>
      <c r="DI98" s="125"/>
      <c r="DJ98" s="16"/>
      <c r="DM98" s="16"/>
      <c r="DN98" s="16"/>
      <c r="DO98" s="125"/>
      <c r="DP98" s="16"/>
      <c r="DQ98" s="125"/>
      <c r="DR98" s="164"/>
      <c r="DY98" s="142"/>
      <c r="DZ98" s="125"/>
      <c r="EA98" s="142"/>
      <c r="EB98" s="125"/>
      <c r="EC98" s="16"/>
      <c r="ED98" s="125"/>
      <c r="EE98" s="125"/>
      <c r="EF98" s="16"/>
      <c r="EG98" s="125"/>
      <c r="EQ98" s="125"/>
      <c r="ER98" s="16"/>
      <c r="ES98" s="123"/>
      <c r="ET98" s="19"/>
      <c r="EU98" s="139"/>
      <c r="EV98" s="139"/>
      <c r="EW98" s="123"/>
      <c r="EX98" s="123"/>
      <c r="EY98" s="123"/>
      <c r="EZ98" s="123"/>
      <c r="FA98" s="123"/>
      <c r="FB98" s="123"/>
      <c r="FC98" s="6"/>
      <c r="FD98" s="123"/>
      <c r="FE98" s="6"/>
      <c r="FF98" s="123"/>
      <c r="FG98" s="6"/>
      <c r="FH98" s="6"/>
      <c r="FI98" s="6"/>
      <c r="FJ98" s="6"/>
      <c r="FK98" s="123"/>
      <c r="FL98" s="6"/>
      <c r="FM98" s="6"/>
      <c r="FN98" s="6"/>
      <c r="FO98" s="138"/>
      <c r="FP98" s="138"/>
      <c r="FQ98" s="123"/>
      <c r="FR98" s="6"/>
      <c r="FS98" s="6"/>
      <c r="FT98" s="139"/>
      <c r="FU98" s="139"/>
      <c r="FV98" s="76"/>
      <c r="FW98" s="123"/>
      <c r="FX98" s="6"/>
    </row>
    <row r="99" spans="2:180">
      <c r="B99" s="37"/>
      <c r="C99" s="38"/>
      <c r="D99" s="38"/>
      <c r="E99" s="39" t="s">
        <v>65</v>
      </c>
      <c r="F99" s="40">
        <v>0.5</v>
      </c>
      <c r="AI99" s="125"/>
      <c r="AJ99" s="16"/>
      <c r="AM99" s="16"/>
      <c r="AN99" s="16"/>
      <c r="AO99" s="125"/>
      <c r="AP99" s="16"/>
      <c r="AQ99" s="125"/>
      <c r="AR99" s="164"/>
      <c r="AY99" s="142"/>
      <c r="AZ99" s="125"/>
      <c r="BA99" s="142"/>
      <c r="BB99" s="125"/>
      <c r="BC99" s="16"/>
      <c r="BD99" s="125"/>
      <c r="BE99" s="125"/>
      <c r="BF99" s="16"/>
      <c r="BG99" s="125"/>
      <c r="BQ99" s="125"/>
      <c r="BR99" s="16"/>
      <c r="BS99" s="123"/>
      <c r="BT99" s="19"/>
      <c r="BU99" s="139"/>
      <c r="BV99" s="139"/>
      <c r="BW99" s="123"/>
      <c r="BX99" s="123"/>
      <c r="BY99" s="123"/>
      <c r="BZ99" s="123"/>
      <c r="CA99" s="123"/>
      <c r="CB99" s="123"/>
      <c r="CC99" s="6"/>
      <c r="CD99" s="123"/>
      <c r="CE99" s="6"/>
      <c r="CF99" s="123"/>
      <c r="CG99" s="6"/>
      <c r="CH99" s="6"/>
      <c r="CI99" s="6"/>
      <c r="CJ99" s="6"/>
      <c r="CK99" s="123"/>
      <c r="CL99" s="6"/>
      <c r="CM99" s="6"/>
      <c r="CN99" s="6"/>
      <c r="CO99" s="138"/>
      <c r="CP99" s="138"/>
      <c r="CQ99" s="123"/>
      <c r="CR99" s="6"/>
      <c r="CS99" s="6"/>
      <c r="CT99" s="139"/>
      <c r="CU99" s="139"/>
      <c r="CV99" s="76"/>
      <c r="CW99" s="123"/>
      <c r="CX99" s="6"/>
      <c r="DI99" s="125"/>
      <c r="DJ99" s="16"/>
      <c r="DM99" s="16"/>
      <c r="DN99" s="16"/>
      <c r="DO99" s="125"/>
      <c r="DP99" s="16"/>
      <c r="DQ99" s="125"/>
      <c r="DR99" s="164"/>
      <c r="DY99" s="142"/>
      <c r="DZ99" s="125"/>
      <c r="EA99" s="142"/>
      <c r="EB99" s="125"/>
      <c r="EC99" s="16"/>
      <c r="ED99" s="125"/>
      <c r="EE99" s="125"/>
      <c r="EF99" s="16"/>
      <c r="EG99" s="125"/>
      <c r="EQ99" s="125"/>
      <c r="ER99" s="16"/>
      <c r="ES99" s="123"/>
      <c r="ET99" s="19"/>
      <c r="EU99" s="139"/>
      <c r="EV99" s="139"/>
      <c r="EW99" s="123"/>
      <c r="EX99" s="123"/>
      <c r="EY99" s="123"/>
      <c r="EZ99" s="123"/>
      <c r="FA99" s="123"/>
      <c r="FB99" s="123"/>
      <c r="FC99" s="6"/>
      <c r="FD99" s="123"/>
      <c r="FE99" s="6"/>
      <c r="FF99" s="123"/>
      <c r="FG99" s="6"/>
      <c r="FH99" s="6"/>
      <c r="FI99" s="6"/>
      <c r="FJ99" s="6"/>
      <c r="FK99" s="123"/>
      <c r="FL99" s="6"/>
      <c r="FM99" s="6"/>
      <c r="FN99" s="6"/>
      <c r="FO99" s="138"/>
      <c r="FP99" s="138"/>
      <c r="FQ99" s="123"/>
      <c r="FR99" s="6"/>
      <c r="FS99" s="6"/>
      <c r="FT99" s="139"/>
      <c r="FU99" s="139"/>
      <c r="FV99" s="76"/>
      <c r="FW99" s="123"/>
      <c r="FX99" s="6"/>
    </row>
    <row r="100" spans="2:180">
      <c r="B100" s="37"/>
      <c r="C100" s="38"/>
      <c r="D100" s="38"/>
      <c r="E100" s="41" t="s">
        <v>66</v>
      </c>
      <c r="F100" s="40">
        <v>2</v>
      </c>
      <c r="AI100" s="125"/>
      <c r="AJ100" s="16"/>
      <c r="AM100" s="16"/>
      <c r="AN100" s="16"/>
      <c r="AO100" s="125"/>
      <c r="AP100" s="16"/>
      <c r="AQ100" s="125"/>
      <c r="AR100" s="164"/>
      <c r="AY100" s="142"/>
      <c r="AZ100" s="125"/>
      <c r="BA100" s="142"/>
      <c r="BB100" s="125"/>
      <c r="BC100" s="16"/>
      <c r="BD100" s="125"/>
      <c r="BE100" s="125"/>
      <c r="BF100" s="16"/>
      <c r="BG100" s="125"/>
      <c r="BQ100" s="125"/>
      <c r="BR100" s="16"/>
      <c r="BS100" s="123"/>
      <c r="BT100" s="19"/>
      <c r="BU100" s="139"/>
      <c r="BV100" s="139"/>
      <c r="BW100" s="123"/>
      <c r="BX100" s="123"/>
      <c r="BY100" s="123"/>
      <c r="BZ100" s="123"/>
      <c r="CA100" s="123"/>
      <c r="CB100" s="123"/>
      <c r="CC100" s="6"/>
      <c r="CD100" s="123"/>
      <c r="CE100" s="6"/>
      <c r="CF100" s="123"/>
      <c r="CG100" s="6"/>
      <c r="CH100" s="6"/>
      <c r="CI100" s="6"/>
      <c r="CJ100" s="6"/>
      <c r="CK100" s="123"/>
      <c r="CL100" s="6"/>
      <c r="CM100" s="6"/>
      <c r="CN100" s="6"/>
      <c r="CO100" s="138"/>
      <c r="CP100" s="138"/>
      <c r="CQ100" s="123"/>
      <c r="CR100" s="6"/>
      <c r="CS100" s="6"/>
      <c r="CT100" s="139"/>
      <c r="CU100" s="139"/>
      <c r="CV100" s="76"/>
      <c r="CW100" s="123"/>
      <c r="CX100" s="6"/>
      <c r="DI100" s="125"/>
      <c r="DJ100" s="16"/>
      <c r="DM100" s="16"/>
      <c r="DN100" s="16"/>
      <c r="DO100" s="125"/>
      <c r="DP100" s="16"/>
      <c r="DQ100" s="125"/>
      <c r="DR100" s="164"/>
      <c r="DY100" s="142"/>
      <c r="DZ100" s="125"/>
      <c r="EA100" s="142"/>
      <c r="EB100" s="125"/>
      <c r="EC100" s="16"/>
      <c r="ED100" s="125"/>
      <c r="EE100" s="125"/>
      <c r="EF100" s="16"/>
      <c r="EG100" s="125"/>
      <c r="EQ100" s="125"/>
      <c r="ER100" s="16"/>
      <c r="ES100" s="123"/>
      <c r="ET100" s="19"/>
      <c r="EU100" s="139"/>
      <c r="EV100" s="139"/>
      <c r="EW100" s="123"/>
      <c r="EX100" s="123"/>
      <c r="EY100" s="123"/>
      <c r="EZ100" s="123"/>
      <c r="FA100" s="123"/>
      <c r="FB100" s="123"/>
      <c r="FC100" s="6"/>
      <c r="FD100" s="123"/>
      <c r="FE100" s="6"/>
      <c r="FF100" s="123"/>
      <c r="FG100" s="6"/>
      <c r="FH100" s="6"/>
      <c r="FI100" s="6"/>
      <c r="FJ100" s="6"/>
      <c r="FK100" s="123"/>
      <c r="FL100" s="6"/>
      <c r="FM100" s="6"/>
      <c r="FN100" s="6"/>
      <c r="FO100" s="138"/>
      <c r="FP100" s="138"/>
      <c r="FQ100" s="123"/>
      <c r="FR100" s="6"/>
      <c r="FS100" s="6"/>
      <c r="FT100" s="139"/>
      <c r="FU100" s="139"/>
      <c r="FV100" s="76"/>
      <c r="FW100" s="123"/>
      <c r="FX100" s="6"/>
    </row>
    <row r="101" spans="2:180">
      <c r="B101" s="33"/>
      <c r="C101" s="37"/>
      <c r="D101" s="38"/>
      <c r="E101" s="41" t="s">
        <v>67</v>
      </c>
      <c r="F101" s="40">
        <v>0.7</v>
      </c>
      <c r="AI101" s="125"/>
      <c r="AJ101" s="16"/>
      <c r="AM101" s="16"/>
      <c r="AN101" s="16"/>
      <c r="AO101" s="125"/>
      <c r="AP101" s="16"/>
      <c r="AQ101" s="125"/>
      <c r="AR101" s="164"/>
      <c r="AY101" s="142"/>
      <c r="AZ101" s="125"/>
      <c r="BA101" s="142"/>
      <c r="BB101" s="125"/>
      <c r="BC101" s="16"/>
      <c r="BD101" s="125"/>
      <c r="BE101" s="125"/>
      <c r="BF101" s="16"/>
      <c r="BG101" s="125"/>
      <c r="BQ101" s="125"/>
      <c r="BR101" s="16"/>
      <c r="BS101" s="123"/>
      <c r="BT101" s="19"/>
      <c r="BU101" s="139"/>
      <c r="BV101" s="139"/>
      <c r="BW101" s="123"/>
      <c r="BX101" s="123"/>
      <c r="BY101" s="123"/>
      <c r="BZ101" s="123"/>
      <c r="CA101" s="123"/>
      <c r="CB101" s="123"/>
      <c r="CC101" s="6"/>
      <c r="CD101" s="123"/>
      <c r="CE101" s="6"/>
      <c r="CF101" s="123"/>
      <c r="CG101" s="6"/>
      <c r="CH101" s="6"/>
      <c r="CI101" s="6"/>
      <c r="CJ101" s="6"/>
      <c r="CK101" s="123"/>
      <c r="CL101" s="6"/>
      <c r="CM101" s="6"/>
      <c r="CN101" s="6"/>
      <c r="CO101" s="138"/>
      <c r="CP101" s="138"/>
      <c r="CQ101" s="123"/>
      <c r="CR101" s="6"/>
      <c r="CS101" s="6"/>
      <c r="CT101" s="139"/>
      <c r="CU101" s="139"/>
      <c r="CV101" s="76"/>
      <c r="CW101" s="123"/>
      <c r="CX101" s="6"/>
      <c r="DI101" s="125"/>
      <c r="DJ101" s="16"/>
      <c r="DM101" s="16"/>
      <c r="DN101" s="16"/>
      <c r="DO101" s="125"/>
      <c r="DP101" s="16"/>
      <c r="DQ101" s="125"/>
      <c r="DR101" s="164"/>
      <c r="DY101" s="142"/>
      <c r="DZ101" s="125"/>
      <c r="EA101" s="142"/>
      <c r="EB101" s="125"/>
      <c r="EC101" s="16"/>
      <c r="ED101" s="125"/>
      <c r="EE101" s="125"/>
      <c r="EF101" s="16"/>
      <c r="EG101" s="125"/>
      <c r="EQ101" s="125"/>
      <c r="ER101" s="16"/>
      <c r="ES101" s="123"/>
      <c r="ET101" s="19"/>
      <c r="EU101" s="139"/>
      <c r="EV101" s="139"/>
      <c r="EW101" s="123"/>
      <c r="EX101" s="123"/>
      <c r="EY101" s="123"/>
      <c r="EZ101" s="123"/>
      <c r="FA101" s="123"/>
      <c r="FB101" s="123"/>
      <c r="FC101" s="6"/>
      <c r="FD101" s="123"/>
      <c r="FE101" s="6"/>
      <c r="FF101" s="123"/>
      <c r="FG101" s="6"/>
      <c r="FH101" s="6"/>
      <c r="FI101" s="6"/>
      <c r="FJ101" s="6"/>
      <c r="FK101" s="123"/>
      <c r="FL101" s="6"/>
      <c r="FM101" s="6"/>
      <c r="FN101" s="6"/>
      <c r="FO101" s="138"/>
      <c r="FP101" s="138"/>
      <c r="FQ101" s="123"/>
      <c r="FR101" s="6"/>
      <c r="FS101" s="6"/>
      <c r="FT101" s="139"/>
      <c r="FU101" s="139"/>
      <c r="FV101" s="76"/>
      <c r="FW101" s="123"/>
      <c r="FX101" s="6"/>
    </row>
    <row r="102" spans="2:180">
      <c r="B102" s="37"/>
      <c r="C102" s="38"/>
      <c r="D102" s="38"/>
      <c r="E102" s="39" t="s">
        <v>68</v>
      </c>
      <c r="F102" s="40">
        <v>1</v>
      </c>
      <c r="AI102" s="125"/>
      <c r="AJ102" s="16"/>
      <c r="AM102" s="16"/>
      <c r="AN102" s="16"/>
      <c r="AO102" s="125"/>
      <c r="AP102" s="16"/>
      <c r="AQ102" s="125"/>
      <c r="AR102" s="164"/>
      <c r="AY102" s="142"/>
      <c r="AZ102" s="125"/>
      <c r="BA102" s="142"/>
      <c r="BB102" s="125"/>
      <c r="BC102" s="16"/>
      <c r="BD102" s="125"/>
      <c r="BE102" s="125"/>
      <c r="BF102" s="16"/>
      <c r="BG102" s="125"/>
      <c r="BQ102" s="125"/>
      <c r="BR102" s="16"/>
      <c r="BS102" s="123"/>
      <c r="BT102" s="19"/>
      <c r="BU102" s="139"/>
      <c r="BV102" s="139"/>
      <c r="BW102" s="123"/>
      <c r="BX102" s="123"/>
      <c r="BY102" s="123"/>
      <c r="BZ102" s="123"/>
      <c r="CA102" s="123"/>
      <c r="CB102" s="123"/>
      <c r="CC102" s="6"/>
      <c r="CD102" s="123"/>
      <c r="CE102" s="6"/>
      <c r="CF102" s="123"/>
      <c r="CG102" s="6"/>
      <c r="CH102" s="6"/>
      <c r="CI102" s="6"/>
      <c r="CJ102" s="6"/>
      <c r="CK102" s="123"/>
      <c r="CL102" s="6"/>
      <c r="CM102" s="6"/>
      <c r="CN102" s="6"/>
      <c r="CO102" s="138"/>
      <c r="CP102" s="138"/>
      <c r="CQ102" s="123"/>
      <c r="CR102" s="6"/>
      <c r="CS102" s="6"/>
      <c r="CT102" s="139"/>
      <c r="CU102" s="139"/>
      <c r="CV102" s="76"/>
      <c r="CW102" s="123"/>
      <c r="CX102" s="6"/>
      <c r="DI102" s="125"/>
      <c r="DJ102" s="16"/>
      <c r="DM102" s="16"/>
      <c r="DN102" s="16"/>
      <c r="DO102" s="125"/>
      <c r="DP102" s="16"/>
      <c r="DQ102" s="125"/>
      <c r="DR102" s="164"/>
      <c r="DY102" s="142"/>
      <c r="DZ102" s="125"/>
      <c r="EA102" s="142"/>
      <c r="EB102" s="125"/>
      <c r="EC102" s="16"/>
      <c r="ED102" s="125"/>
      <c r="EE102" s="125"/>
      <c r="EF102" s="16"/>
      <c r="EG102" s="125"/>
      <c r="EQ102" s="125"/>
      <c r="ER102" s="16"/>
      <c r="ES102" s="123"/>
      <c r="ET102" s="19"/>
      <c r="EU102" s="139"/>
      <c r="EV102" s="139"/>
      <c r="EW102" s="123"/>
      <c r="EX102" s="123"/>
      <c r="EY102" s="123"/>
      <c r="EZ102" s="123"/>
      <c r="FA102" s="123"/>
      <c r="FB102" s="123"/>
      <c r="FC102" s="6"/>
      <c r="FD102" s="123"/>
      <c r="FE102" s="6"/>
      <c r="FF102" s="123"/>
      <c r="FG102" s="6"/>
      <c r="FH102" s="6"/>
      <c r="FI102" s="6"/>
      <c r="FJ102" s="6"/>
      <c r="FK102" s="123"/>
      <c r="FL102" s="6"/>
      <c r="FM102" s="6"/>
      <c r="FN102" s="6"/>
      <c r="FO102" s="138"/>
      <c r="FP102" s="138"/>
      <c r="FQ102" s="123"/>
      <c r="FR102" s="6"/>
      <c r="FS102" s="6"/>
      <c r="FT102" s="139"/>
      <c r="FU102" s="139"/>
      <c r="FV102" s="76"/>
      <c r="FW102" s="123"/>
      <c r="FX102" s="6"/>
    </row>
    <row r="103" spans="2:180">
      <c r="AI103" s="125"/>
      <c r="AJ103" s="16"/>
      <c r="AM103" s="16"/>
      <c r="AN103" s="16"/>
      <c r="AO103" s="125"/>
      <c r="AP103" s="16"/>
      <c r="AQ103" s="125"/>
      <c r="AR103" s="164"/>
      <c r="AY103" s="142"/>
      <c r="AZ103" s="125"/>
      <c r="BA103" s="142"/>
      <c r="BB103" s="125"/>
      <c r="BC103" s="16"/>
      <c r="BD103" s="125"/>
      <c r="BE103" s="125"/>
      <c r="BF103" s="16"/>
      <c r="BG103" s="125"/>
      <c r="BQ103" s="125"/>
      <c r="BR103" s="16"/>
      <c r="BS103" s="123"/>
      <c r="BT103" s="19"/>
      <c r="BU103" s="139"/>
      <c r="BV103" s="139"/>
      <c r="BW103" s="123"/>
      <c r="BX103" s="123"/>
      <c r="BY103" s="123"/>
      <c r="BZ103" s="123"/>
      <c r="CA103" s="123"/>
      <c r="CB103" s="123"/>
      <c r="CC103" s="6"/>
      <c r="CD103" s="123"/>
      <c r="CE103" s="6"/>
      <c r="CF103" s="123"/>
      <c r="CG103" s="6"/>
      <c r="CH103" s="6"/>
      <c r="CI103" s="6"/>
      <c r="CJ103" s="6"/>
      <c r="CK103" s="123"/>
      <c r="CL103" s="6"/>
      <c r="CM103" s="6"/>
      <c r="CN103" s="6"/>
      <c r="CO103" s="138"/>
      <c r="CP103" s="138"/>
      <c r="CQ103" s="123"/>
      <c r="CR103" s="6"/>
      <c r="CS103" s="6"/>
      <c r="CT103" s="139"/>
      <c r="CU103" s="139"/>
      <c r="CV103" s="76"/>
      <c r="CW103" s="123"/>
      <c r="CX103" s="6"/>
      <c r="DI103" s="125"/>
      <c r="DJ103" s="16"/>
      <c r="DM103" s="16"/>
      <c r="DN103" s="16"/>
      <c r="DO103" s="125"/>
      <c r="DP103" s="16"/>
      <c r="DQ103" s="125"/>
      <c r="DR103" s="164"/>
      <c r="DY103" s="142"/>
      <c r="DZ103" s="125"/>
      <c r="EA103" s="142"/>
      <c r="EB103" s="125"/>
      <c r="EC103" s="16"/>
      <c r="ED103" s="125"/>
      <c r="EE103" s="125"/>
      <c r="EF103" s="16"/>
      <c r="EG103" s="125"/>
      <c r="EQ103" s="125"/>
      <c r="ER103" s="16"/>
      <c r="ES103" s="123"/>
      <c r="ET103" s="19"/>
      <c r="EU103" s="139"/>
      <c r="EV103" s="139"/>
      <c r="EW103" s="123"/>
      <c r="EX103" s="123"/>
      <c r="EY103" s="123"/>
      <c r="EZ103" s="123"/>
      <c r="FA103" s="123"/>
      <c r="FB103" s="123"/>
      <c r="FC103" s="6"/>
      <c r="FD103" s="123"/>
      <c r="FE103" s="6"/>
      <c r="FF103" s="123"/>
      <c r="FG103" s="6"/>
      <c r="FH103" s="6"/>
      <c r="FI103" s="6"/>
      <c r="FJ103" s="6"/>
      <c r="FK103" s="123"/>
      <c r="FL103" s="6"/>
      <c r="FM103" s="6"/>
      <c r="FN103" s="6"/>
      <c r="FO103" s="138"/>
      <c r="FP103" s="138"/>
      <c r="FQ103" s="123"/>
      <c r="FR103" s="6"/>
      <c r="FS103" s="6"/>
      <c r="FT103" s="139"/>
      <c r="FU103" s="139"/>
      <c r="FV103" s="76"/>
      <c r="FW103" s="123"/>
      <c r="FX103" s="6"/>
    </row>
    <row r="104" spans="2:180">
      <c r="AI104" s="125"/>
      <c r="AJ104" s="16"/>
      <c r="AM104" s="16"/>
      <c r="AN104" s="16"/>
      <c r="AO104" s="125"/>
      <c r="AP104" s="16"/>
      <c r="AQ104" s="125"/>
      <c r="AR104" s="164"/>
      <c r="AY104" s="142"/>
      <c r="AZ104" s="125"/>
      <c r="BA104" s="142"/>
      <c r="BB104" s="125"/>
      <c r="BC104" s="16"/>
      <c r="BD104" s="125"/>
      <c r="BE104" s="125"/>
      <c r="BF104" s="16"/>
      <c r="BG104" s="125"/>
      <c r="BQ104" s="125"/>
      <c r="BR104" s="16"/>
      <c r="BS104" s="123"/>
      <c r="BT104" s="19"/>
      <c r="BU104" s="139"/>
      <c r="BV104" s="139"/>
      <c r="BW104" s="123"/>
      <c r="BX104" s="123"/>
      <c r="BY104" s="123"/>
      <c r="BZ104" s="123"/>
      <c r="CA104" s="123"/>
      <c r="CB104" s="123"/>
      <c r="CC104" s="6"/>
      <c r="CD104" s="123"/>
      <c r="CE104" s="6"/>
      <c r="CF104" s="123"/>
      <c r="CG104" s="6"/>
      <c r="CH104" s="6"/>
      <c r="CI104" s="6"/>
      <c r="CJ104" s="6"/>
      <c r="CK104" s="123"/>
      <c r="CL104" s="6"/>
      <c r="CM104" s="6"/>
      <c r="CN104" s="6"/>
      <c r="CO104" s="138"/>
      <c r="CP104" s="138"/>
      <c r="CQ104" s="123"/>
      <c r="CR104" s="6"/>
      <c r="CS104" s="6"/>
      <c r="CT104" s="139"/>
      <c r="CU104" s="139"/>
      <c r="CV104" s="76"/>
      <c r="CW104" s="123"/>
      <c r="CX104" s="6"/>
      <c r="DI104" s="125"/>
      <c r="DJ104" s="16"/>
      <c r="DM104" s="16"/>
      <c r="DN104" s="16"/>
      <c r="DO104" s="125"/>
      <c r="DP104" s="16"/>
      <c r="DQ104" s="125"/>
      <c r="DR104" s="164"/>
      <c r="DY104" s="142"/>
      <c r="DZ104" s="125"/>
      <c r="EA104" s="142"/>
      <c r="EB104" s="125"/>
      <c r="EC104" s="16"/>
      <c r="ED104" s="125"/>
      <c r="EE104" s="125"/>
      <c r="EF104" s="16"/>
      <c r="EG104" s="125"/>
      <c r="EQ104" s="125"/>
      <c r="ER104" s="16"/>
      <c r="ES104" s="123"/>
      <c r="ET104" s="19"/>
      <c r="EU104" s="139"/>
      <c r="EV104" s="139"/>
      <c r="EW104" s="123"/>
      <c r="EX104" s="123"/>
      <c r="EY104" s="123"/>
      <c r="EZ104" s="123"/>
      <c r="FA104" s="123"/>
      <c r="FB104" s="123"/>
      <c r="FC104" s="6"/>
      <c r="FD104" s="123"/>
      <c r="FE104" s="6"/>
      <c r="FF104" s="123"/>
      <c r="FG104" s="6"/>
      <c r="FH104" s="6"/>
      <c r="FI104" s="6"/>
      <c r="FJ104" s="6"/>
      <c r="FK104" s="123"/>
      <c r="FL104" s="6"/>
      <c r="FM104" s="6"/>
      <c r="FN104" s="6"/>
      <c r="FO104" s="138"/>
      <c r="FP104" s="138"/>
      <c r="FQ104" s="123"/>
      <c r="FR104" s="6"/>
      <c r="FS104" s="6"/>
      <c r="FT104" s="139"/>
      <c r="FU104" s="139"/>
      <c r="FV104" s="76"/>
      <c r="FW104" s="123"/>
      <c r="FX104" s="6"/>
    </row>
    <row r="105" spans="2:180">
      <c r="AI105" s="125"/>
      <c r="AJ105" s="16"/>
      <c r="AM105" s="16"/>
      <c r="AN105" s="16"/>
      <c r="AO105" s="125"/>
      <c r="AP105" s="16"/>
      <c r="AQ105" s="125"/>
      <c r="AR105" s="164"/>
      <c r="AY105" s="142"/>
      <c r="AZ105" s="125"/>
      <c r="BA105" s="142"/>
      <c r="BB105" s="125"/>
      <c r="BC105" s="16"/>
      <c r="BD105" s="125"/>
      <c r="BE105" s="125"/>
      <c r="BF105" s="16"/>
      <c r="BG105" s="125"/>
      <c r="BQ105" s="125"/>
      <c r="BR105" s="16"/>
      <c r="BS105" s="123"/>
      <c r="BT105" s="19"/>
      <c r="BU105" s="139"/>
      <c r="BV105" s="139"/>
      <c r="BW105" s="123"/>
      <c r="BX105" s="123"/>
      <c r="BY105" s="123"/>
      <c r="BZ105" s="123"/>
      <c r="CA105" s="123"/>
      <c r="CB105" s="123"/>
      <c r="CC105" s="6"/>
      <c r="CD105" s="123"/>
      <c r="CE105" s="6"/>
      <c r="CF105" s="123"/>
      <c r="CG105" s="6"/>
      <c r="CH105" s="6"/>
      <c r="CI105" s="6"/>
      <c r="CJ105" s="6"/>
      <c r="CK105" s="123"/>
      <c r="CL105" s="6"/>
      <c r="CM105" s="6"/>
      <c r="CN105" s="6"/>
      <c r="CO105" s="138"/>
      <c r="CP105" s="138"/>
      <c r="CQ105" s="123"/>
      <c r="CR105" s="6"/>
      <c r="CS105" s="6"/>
      <c r="CT105" s="139"/>
      <c r="CU105" s="139"/>
      <c r="CV105" s="76"/>
      <c r="CW105" s="123"/>
      <c r="CX105" s="6"/>
      <c r="DI105" s="125"/>
      <c r="DJ105" s="16"/>
      <c r="DM105" s="16"/>
      <c r="DN105" s="16"/>
      <c r="DO105" s="125"/>
      <c r="DP105" s="16"/>
      <c r="DQ105" s="125"/>
      <c r="DR105" s="164"/>
      <c r="DY105" s="142"/>
      <c r="DZ105" s="125"/>
      <c r="EA105" s="142"/>
      <c r="EB105" s="125"/>
      <c r="EC105" s="16"/>
      <c r="ED105" s="125"/>
      <c r="EE105" s="125"/>
      <c r="EF105" s="16"/>
      <c r="EG105" s="125"/>
      <c r="EQ105" s="125"/>
      <c r="ER105" s="16"/>
      <c r="ES105" s="123"/>
      <c r="ET105" s="19"/>
      <c r="EU105" s="139"/>
      <c r="EV105" s="139"/>
      <c r="EW105" s="123"/>
      <c r="EX105" s="123"/>
      <c r="EY105" s="123"/>
      <c r="EZ105" s="123"/>
      <c r="FA105" s="123"/>
      <c r="FB105" s="123"/>
      <c r="FC105" s="6"/>
      <c r="FD105" s="123"/>
      <c r="FE105" s="6"/>
      <c r="FF105" s="123"/>
      <c r="FG105" s="6"/>
      <c r="FH105" s="6"/>
      <c r="FI105" s="6"/>
      <c r="FJ105" s="6"/>
      <c r="FK105" s="123"/>
      <c r="FL105" s="6"/>
      <c r="FM105" s="6"/>
      <c r="FN105" s="6"/>
      <c r="FO105" s="138"/>
      <c r="FP105" s="138"/>
      <c r="FQ105" s="123"/>
      <c r="FR105" s="6"/>
      <c r="FS105" s="6"/>
      <c r="FT105" s="139"/>
      <c r="FU105" s="139"/>
      <c r="FV105" s="76"/>
      <c r="FW105" s="123"/>
      <c r="FX105" s="6"/>
    </row>
    <row r="106" spans="2:180">
      <c r="AI106" s="125"/>
      <c r="AJ106" s="16"/>
      <c r="AM106" s="16"/>
      <c r="AN106" s="16"/>
      <c r="AO106" s="125"/>
      <c r="AP106" s="16"/>
      <c r="AQ106" s="125"/>
      <c r="AR106" s="164"/>
      <c r="AY106" s="142"/>
      <c r="AZ106" s="125"/>
      <c r="BA106" s="142"/>
      <c r="BB106" s="125"/>
      <c r="BC106" s="16"/>
      <c r="BD106" s="125"/>
      <c r="BE106" s="125"/>
      <c r="BF106" s="16"/>
      <c r="BG106" s="125"/>
      <c r="BQ106" s="125"/>
      <c r="BR106" s="16"/>
      <c r="BS106" s="123"/>
      <c r="BT106" s="19"/>
      <c r="BU106" s="139"/>
      <c r="BV106" s="139"/>
      <c r="BW106" s="123"/>
      <c r="BX106" s="123"/>
      <c r="BY106" s="123"/>
      <c r="BZ106" s="123"/>
      <c r="CA106" s="123"/>
      <c r="CB106" s="123"/>
      <c r="CC106" s="6"/>
      <c r="CD106" s="123"/>
      <c r="CE106" s="6"/>
      <c r="CF106" s="123"/>
      <c r="CG106" s="6"/>
      <c r="CH106" s="6"/>
      <c r="CI106" s="6"/>
      <c r="CJ106" s="6"/>
      <c r="CK106" s="123"/>
      <c r="CL106" s="6"/>
      <c r="CM106" s="6"/>
      <c r="CN106" s="6"/>
      <c r="CO106" s="138"/>
      <c r="CP106" s="138"/>
      <c r="CQ106" s="123"/>
      <c r="CR106" s="6"/>
      <c r="CS106" s="6"/>
      <c r="CT106" s="139"/>
      <c r="CU106" s="139"/>
      <c r="CV106" s="76"/>
      <c r="CW106" s="123"/>
      <c r="CX106" s="6"/>
      <c r="DI106" s="125"/>
      <c r="DJ106" s="16"/>
      <c r="DM106" s="16"/>
      <c r="DN106" s="16"/>
      <c r="DO106" s="125"/>
      <c r="DP106" s="16"/>
      <c r="DQ106" s="125"/>
      <c r="DR106" s="164"/>
      <c r="DY106" s="142"/>
      <c r="DZ106" s="125"/>
      <c r="EA106" s="142"/>
      <c r="EB106" s="125"/>
      <c r="EC106" s="16"/>
      <c r="ED106" s="125"/>
      <c r="EE106" s="125"/>
      <c r="EF106" s="16"/>
      <c r="EG106" s="125"/>
      <c r="EQ106" s="125"/>
      <c r="ER106" s="16"/>
      <c r="ES106" s="123"/>
      <c r="ET106" s="19"/>
      <c r="EU106" s="139"/>
      <c r="EV106" s="139"/>
      <c r="EW106" s="123"/>
      <c r="EX106" s="123"/>
      <c r="EY106" s="123"/>
      <c r="EZ106" s="123"/>
      <c r="FA106" s="123"/>
      <c r="FB106" s="123"/>
      <c r="FC106" s="6"/>
      <c r="FD106" s="123"/>
      <c r="FE106" s="6"/>
      <c r="FF106" s="123"/>
      <c r="FG106" s="6"/>
      <c r="FH106" s="6"/>
      <c r="FI106" s="6"/>
      <c r="FJ106" s="6"/>
      <c r="FK106" s="123"/>
      <c r="FL106" s="6"/>
      <c r="FM106" s="6"/>
      <c r="FN106" s="6"/>
      <c r="FO106" s="138"/>
      <c r="FP106" s="138"/>
      <c r="FQ106" s="123"/>
      <c r="FR106" s="6"/>
      <c r="FS106" s="6"/>
      <c r="FT106" s="139"/>
      <c r="FU106" s="139"/>
      <c r="FV106" s="76"/>
      <c r="FW106" s="123"/>
      <c r="FX106" s="6"/>
    </row>
    <row r="107" spans="2:180">
      <c r="AI107" s="125"/>
      <c r="AJ107" s="16"/>
      <c r="AM107" s="16"/>
      <c r="AN107" s="16"/>
      <c r="AO107" s="125"/>
      <c r="AP107" s="16"/>
      <c r="AQ107" s="125"/>
      <c r="AR107" s="164"/>
      <c r="AY107" s="142"/>
      <c r="AZ107" s="125"/>
      <c r="BA107" s="142"/>
      <c r="BB107" s="125"/>
      <c r="BC107" s="16"/>
      <c r="BD107" s="125"/>
      <c r="BE107" s="125"/>
      <c r="BF107" s="16"/>
      <c r="BG107" s="125"/>
      <c r="BQ107" s="125"/>
      <c r="BR107" s="16"/>
      <c r="BS107" s="123"/>
      <c r="BT107" s="19"/>
      <c r="BU107" s="139"/>
      <c r="BV107" s="139"/>
      <c r="BW107" s="123"/>
      <c r="BX107" s="123"/>
      <c r="BY107" s="123"/>
      <c r="BZ107" s="123"/>
      <c r="CA107" s="123"/>
      <c r="CB107" s="123"/>
      <c r="CC107" s="6"/>
      <c r="CD107" s="123"/>
      <c r="CE107" s="6"/>
      <c r="CF107" s="123"/>
      <c r="CG107" s="6"/>
      <c r="CH107" s="6"/>
      <c r="CI107" s="6"/>
      <c r="CJ107" s="6"/>
      <c r="CK107" s="123"/>
      <c r="CL107" s="6"/>
      <c r="CM107" s="6"/>
      <c r="CN107" s="6"/>
      <c r="CO107" s="138"/>
      <c r="CP107" s="138"/>
      <c r="CQ107" s="123"/>
      <c r="CR107" s="6"/>
      <c r="CS107" s="6"/>
      <c r="CT107" s="139"/>
      <c r="CU107" s="139"/>
      <c r="CV107" s="76"/>
      <c r="CW107" s="123"/>
      <c r="CX107" s="6"/>
      <c r="DI107" s="125"/>
      <c r="DJ107" s="16"/>
      <c r="DM107" s="16"/>
      <c r="DN107" s="16"/>
      <c r="DO107" s="125"/>
      <c r="DP107" s="16"/>
      <c r="DQ107" s="125"/>
      <c r="DR107" s="164"/>
      <c r="DY107" s="142"/>
      <c r="DZ107" s="125"/>
      <c r="EA107" s="142"/>
      <c r="EB107" s="125"/>
      <c r="EC107" s="16"/>
      <c r="ED107" s="125"/>
      <c r="EE107" s="125"/>
      <c r="EF107" s="16"/>
      <c r="EG107" s="125"/>
      <c r="EQ107" s="125"/>
      <c r="ER107" s="16"/>
      <c r="ES107" s="123"/>
      <c r="ET107" s="19"/>
      <c r="EU107" s="139"/>
      <c r="EV107" s="139"/>
      <c r="EW107" s="123"/>
      <c r="EX107" s="123"/>
      <c r="EY107" s="123"/>
      <c r="EZ107" s="123"/>
      <c r="FA107" s="123"/>
      <c r="FB107" s="123"/>
      <c r="FC107" s="6"/>
      <c r="FD107" s="123"/>
      <c r="FE107" s="6"/>
      <c r="FF107" s="123"/>
      <c r="FG107" s="6"/>
      <c r="FH107" s="6"/>
      <c r="FI107" s="6"/>
      <c r="FJ107" s="6"/>
      <c r="FK107" s="123"/>
      <c r="FL107" s="6"/>
      <c r="FM107" s="6"/>
      <c r="FN107" s="6"/>
      <c r="FO107" s="138"/>
      <c r="FP107" s="138"/>
      <c r="FQ107" s="123"/>
      <c r="FR107" s="6"/>
      <c r="FS107" s="6"/>
      <c r="FT107" s="139"/>
      <c r="FU107" s="139"/>
      <c r="FV107" s="76"/>
      <c r="FW107" s="123"/>
      <c r="FX107" s="6"/>
    </row>
    <row r="108" spans="2:180">
      <c r="AI108" s="125"/>
      <c r="AJ108" s="16"/>
      <c r="AM108" s="16"/>
      <c r="AN108" s="16"/>
      <c r="AO108" s="125"/>
      <c r="AP108" s="16"/>
      <c r="AQ108" s="125"/>
      <c r="AR108" s="164"/>
      <c r="AY108" s="142"/>
      <c r="AZ108" s="125"/>
      <c r="BA108" s="142"/>
      <c r="BB108" s="125"/>
      <c r="BC108" s="16"/>
      <c r="BD108" s="125"/>
      <c r="BE108" s="125"/>
      <c r="BF108" s="16"/>
      <c r="BG108" s="125"/>
      <c r="BQ108" s="125"/>
      <c r="BR108" s="16"/>
      <c r="BS108" s="123"/>
      <c r="BT108" s="19"/>
      <c r="BU108" s="139"/>
      <c r="BV108" s="139"/>
      <c r="BW108" s="123"/>
      <c r="BX108" s="123"/>
      <c r="BY108" s="123"/>
      <c r="BZ108" s="123"/>
      <c r="CA108" s="123"/>
      <c r="CB108" s="123"/>
      <c r="CC108" s="6"/>
      <c r="CD108" s="123"/>
      <c r="CE108" s="6"/>
      <c r="CF108" s="123"/>
      <c r="CG108" s="6"/>
      <c r="CH108" s="6"/>
      <c r="CI108" s="6"/>
      <c r="CJ108" s="6"/>
      <c r="CK108" s="123"/>
      <c r="CL108" s="6"/>
      <c r="CM108" s="6"/>
      <c r="CN108" s="6"/>
      <c r="CO108" s="138"/>
      <c r="CP108" s="138"/>
      <c r="CQ108" s="123"/>
      <c r="CR108" s="6"/>
      <c r="CS108" s="6"/>
      <c r="CT108" s="139"/>
      <c r="CU108" s="139"/>
      <c r="CV108" s="76"/>
      <c r="CW108" s="123"/>
      <c r="CX108" s="6"/>
      <c r="DI108" s="125"/>
      <c r="DJ108" s="16"/>
      <c r="DM108" s="16"/>
      <c r="DN108" s="16"/>
      <c r="DO108" s="125"/>
      <c r="DP108" s="16"/>
      <c r="DQ108" s="125"/>
      <c r="DR108" s="164"/>
      <c r="DY108" s="142"/>
      <c r="DZ108" s="125"/>
      <c r="EA108" s="142"/>
      <c r="EB108" s="125"/>
      <c r="EC108" s="16"/>
      <c r="ED108" s="125"/>
      <c r="EE108" s="125"/>
      <c r="EF108" s="16"/>
      <c r="EG108" s="125"/>
      <c r="EQ108" s="125"/>
      <c r="ER108" s="16"/>
      <c r="ES108" s="123"/>
      <c r="ET108" s="19"/>
      <c r="EU108" s="139"/>
      <c r="EV108" s="139"/>
      <c r="EW108" s="123"/>
      <c r="EX108" s="123"/>
      <c r="EY108" s="123"/>
      <c r="EZ108" s="123"/>
      <c r="FA108" s="123"/>
      <c r="FB108" s="123"/>
      <c r="FC108" s="6"/>
      <c r="FD108" s="123"/>
      <c r="FE108" s="6"/>
      <c r="FF108" s="123"/>
      <c r="FG108" s="6"/>
      <c r="FH108" s="6"/>
      <c r="FI108" s="6"/>
      <c r="FJ108" s="6"/>
      <c r="FK108" s="123"/>
      <c r="FL108" s="6"/>
      <c r="FM108" s="6"/>
      <c r="FN108" s="6"/>
      <c r="FO108" s="138"/>
      <c r="FP108" s="138"/>
      <c r="FQ108" s="123"/>
      <c r="FR108" s="6"/>
      <c r="FS108" s="6"/>
      <c r="FT108" s="139"/>
      <c r="FU108" s="139"/>
      <c r="FV108" s="76"/>
      <c r="FW108" s="123"/>
      <c r="FX108" s="6"/>
    </row>
    <row r="109" spans="2:180">
      <c r="AI109" s="125"/>
      <c r="AJ109" s="16"/>
      <c r="AM109" s="16"/>
      <c r="AN109" s="16"/>
      <c r="AO109" s="125"/>
      <c r="AP109" s="16"/>
      <c r="AQ109" s="125"/>
      <c r="AR109" s="164"/>
      <c r="AY109" s="142"/>
      <c r="AZ109" s="125"/>
      <c r="BA109" s="142"/>
      <c r="BB109" s="125"/>
      <c r="BC109" s="16"/>
      <c r="BD109" s="125"/>
      <c r="BE109" s="125"/>
      <c r="BF109" s="16"/>
      <c r="BG109" s="125"/>
      <c r="BQ109" s="125"/>
      <c r="BR109" s="16"/>
      <c r="BS109" s="123"/>
      <c r="BT109" s="19"/>
      <c r="BU109" s="139"/>
      <c r="BV109" s="139"/>
      <c r="BW109" s="123"/>
      <c r="BX109" s="123"/>
      <c r="BY109" s="123"/>
      <c r="BZ109" s="123"/>
      <c r="CA109" s="123"/>
      <c r="CB109" s="123"/>
      <c r="CC109" s="6"/>
      <c r="CD109" s="123"/>
      <c r="CE109" s="6"/>
      <c r="CF109" s="123"/>
      <c r="CG109" s="6"/>
      <c r="CH109" s="6"/>
      <c r="CI109" s="6"/>
      <c r="CJ109" s="6"/>
      <c r="CK109" s="123"/>
      <c r="CL109" s="6"/>
      <c r="CM109" s="6"/>
      <c r="CN109" s="6"/>
      <c r="CO109" s="138"/>
      <c r="CP109" s="138"/>
      <c r="CQ109" s="123"/>
      <c r="CR109" s="6"/>
      <c r="CS109" s="6"/>
      <c r="CT109" s="139"/>
      <c r="CU109" s="139"/>
      <c r="CV109" s="76"/>
      <c r="CW109" s="123"/>
      <c r="CX109" s="6"/>
      <c r="DI109" s="125"/>
      <c r="DJ109" s="16"/>
      <c r="DM109" s="16"/>
      <c r="DN109" s="16"/>
      <c r="DO109" s="125"/>
      <c r="DP109" s="16"/>
      <c r="DQ109" s="125"/>
      <c r="DR109" s="164"/>
      <c r="DY109" s="142"/>
      <c r="DZ109" s="125"/>
      <c r="EA109" s="142"/>
      <c r="EB109" s="125"/>
      <c r="EC109" s="16"/>
      <c r="ED109" s="125"/>
      <c r="EE109" s="125"/>
      <c r="EF109" s="16"/>
      <c r="EG109" s="125"/>
      <c r="EQ109" s="125"/>
      <c r="ER109" s="16"/>
      <c r="ES109" s="123"/>
      <c r="ET109" s="19"/>
      <c r="EU109" s="139"/>
      <c r="EV109" s="139"/>
      <c r="EW109" s="123"/>
      <c r="EX109" s="123"/>
      <c r="EY109" s="123"/>
      <c r="EZ109" s="123"/>
      <c r="FA109" s="123"/>
      <c r="FB109" s="123"/>
      <c r="FC109" s="6"/>
      <c r="FD109" s="123"/>
      <c r="FE109" s="6"/>
      <c r="FF109" s="123"/>
      <c r="FG109" s="6"/>
      <c r="FH109" s="6"/>
      <c r="FI109" s="6"/>
      <c r="FJ109" s="6"/>
      <c r="FK109" s="123"/>
      <c r="FL109" s="6"/>
      <c r="FM109" s="6"/>
      <c r="FN109" s="6"/>
      <c r="FO109" s="138"/>
      <c r="FP109" s="138"/>
      <c r="FQ109" s="123"/>
      <c r="FR109" s="6"/>
      <c r="FS109" s="6"/>
      <c r="FT109" s="139"/>
      <c r="FU109" s="139"/>
      <c r="FV109" s="76"/>
      <c r="FW109" s="123"/>
      <c r="FX109" s="6"/>
    </row>
    <row r="110" spans="2:180">
      <c r="AI110" s="125"/>
      <c r="AJ110" s="16"/>
      <c r="AM110" s="16"/>
      <c r="AN110" s="16"/>
      <c r="AO110" s="125"/>
      <c r="AP110" s="16"/>
      <c r="AQ110" s="125"/>
      <c r="AR110" s="164"/>
      <c r="AY110" s="142"/>
      <c r="AZ110" s="125"/>
      <c r="BA110" s="142"/>
      <c r="BB110" s="125"/>
      <c r="BC110" s="16"/>
      <c r="BD110" s="125"/>
      <c r="BE110" s="125"/>
      <c r="BF110" s="16"/>
      <c r="BG110" s="125"/>
      <c r="BQ110" s="125"/>
      <c r="BR110" s="16"/>
      <c r="BS110" s="123"/>
      <c r="BT110" s="19"/>
      <c r="BU110" s="139"/>
      <c r="BV110" s="139"/>
      <c r="BW110" s="123"/>
      <c r="BX110" s="123"/>
      <c r="BY110" s="123"/>
      <c r="BZ110" s="123"/>
      <c r="CA110" s="123"/>
      <c r="CB110" s="123"/>
      <c r="CC110" s="6"/>
      <c r="CD110" s="123"/>
      <c r="CE110" s="6"/>
      <c r="CF110" s="123"/>
      <c r="CG110" s="6"/>
      <c r="CH110" s="6"/>
      <c r="CI110" s="6"/>
      <c r="CJ110" s="6"/>
      <c r="CK110" s="123"/>
      <c r="CL110" s="6"/>
      <c r="CM110" s="6"/>
      <c r="CN110" s="6"/>
      <c r="CO110" s="138"/>
      <c r="CP110" s="138"/>
      <c r="CQ110" s="123"/>
      <c r="CR110" s="6"/>
      <c r="CS110" s="6"/>
      <c r="CT110" s="139"/>
      <c r="CU110" s="139"/>
      <c r="CV110" s="76"/>
      <c r="CW110" s="123"/>
      <c r="CX110" s="6"/>
      <c r="DI110" s="125"/>
      <c r="DJ110" s="16"/>
      <c r="DM110" s="16"/>
      <c r="DN110" s="16"/>
      <c r="DO110" s="125"/>
      <c r="DP110" s="16"/>
      <c r="DQ110" s="125"/>
      <c r="DR110" s="164"/>
      <c r="DY110" s="142"/>
      <c r="DZ110" s="125"/>
      <c r="EA110" s="142"/>
      <c r="EB110" s="125"/>
      <c r="EC110" s="16"/>
      <c r="ED110" s="125"/>
      <c r="EE110" s="125"/>
      <c r="EF110" s="16"/>
      <c r="EG110" s="125"/>
      <c r="EQ110" s="125"/>
      <c r="ER110" s="16"/>
      <c r="ES110" s="123"/>
      <c r="ET110" s="19"/>
      <c r="EU110" s="139"/>
      <c r="EV110" s="139"/>
      <c r="EW110" s="123"/>
      <c r="EX110" s="123"/>
      <c r="EY110" s="123"/>
      <c r="EZ110" s="123"/>
      <c r="FA110" s="123"/>
      <c r="FB110" s="123"/>
      <c r="FC110" s="6"/>
      <c r="FD110" s="123"/>
      <c r="FE110" s="6"/>
      <c r="FF110" s="123"/>
      <c r="FG110" s="6"/>
      <c r="FH110" s="6"/>
      <c r="FI110" s="6"/>
      <c r="FJ110" s="6"/>
      <c r="FK110" s="123"/>
      <c r="FL110" s="6"/>
      <c r="FM110" s="6"/>
      <c r="FN110" s="6"/>
      <c r="FO110" s="138"/>
      <c r="FP110" s="138"/>
      <c r="FQ110" s="123"/>
      <c r="FR110" s="6"/>
      <c r="FS110" s="6"/>
      <c r="FT110" s="139"/>
      <c r="FU110" s="139"/>
      <c r="FV110" s="76"/>
      <c r="FW110" s="123"/>
      <c r="FX110" s="6"/>
    </row>
    <row r="111" spans="2:180">
      <c r="AI111" s="125"/>
      <c r="AJ111" s="16"/>
      <c r="AM111" s="16"/>
      <c r="AN111" s="16"/>
      <c r="AO111" s="125"/>
      <c r="AP111" s="16"/>
      <c r="AQ111" s="125"/>
      <c r="AR111" s="164"/>
      <c r="AY111" s="142"/>
      <c r="AZ111" s="125"/>
      <c r="BA111" s="142"/>
      <c r="BB111" s="125"/>
      <c r="BC111" s="16"/>
      <c r="BD111" s="125"/>
      <c r="BE111" s="125"/>
      <c r="BF111" s="16"/>
      <c r="BG111" s="125"/>
      <c r="BQ111" s="125"/>
      <c r="BR111" s="16"/>
      <c r="BS111" s="123"/>
      <c r="BT111" s="19"/>
      <c r="BU111" s="139"/>
      <c r="BV111" s="139"/>
      <c r="BW111" s="123"/>
      <c r="BX111" s="123"/>
      <c r="BY111" s="123"/>
      <c r="BZ111" s="123"/>
      <c r="CA111" s="123"/>
      <c r="CB111" s="123"/>
      <c r="CC111" s="6"/>
      <c r="CD111" s="123"/>
      <c r="CE111" s="6"/>
      <c r="CF111" s="123"/>
      <c r="CG111" s="6"/>
      <c r="CH111" s="6"/>
      <c r="CI111" s="6"/>
      <c r="CJ111" s="6"/>
      <c r="CK111" s="123"/>
      <c r="CL111" s="6"/>
      <c r="CM111" s="6"/>
      <c r="CN111" s="6"/>
      <c r="CO111" s="138"/>
      <c r="CP111" s="138"/>
      <c r="CQ111" s="123"/>
      <c r="CR111" s="6"/>
      <c r="CS111" s="6"/>
      <c r="CT111" s="139"/>
      <c r="CU111" s="139"/>
      <c r="CV111" s="76"/>
      <c r="CW111" s="123"/>
      <c r="CX111" s="6"/>
      <c r="DI111" s="125"/>
      <c r="DJ111" s="16"/>
      <c r="DM111" s="16"/>
      <c r="DN111" s="16"/>
      <c r="DO111" s="125"/>
      <c r="DP111" s="16"/>
      <c r="DQ111" s="125"/>
      <c r="DR111" s="164"/>
      <c r="DY111" s="142"/>
      <c r="DZ111" s="125"/>
      <c r="EA111" s="142"/>
      <c r="EB111" s="125"/>
      <c r="EC111" s="16"/>
      <c r="ED111" s="125"/>
      <c r="EE111" s="125"/>
      <c r="EF111" s="16"/>
      <c r="EG111" s="125"/>
      <c r="EQ111" s="125"/>
      <c r="ER111" s="16"/>
      <c r="ES111" s="123"/>
      <c r="ET111" s="19"/>
      <c r="EU111" s="139"/>
      <c r="EV111" s="139"/>
      <c r="EW111" s="123"/>
      <c r="EX111" s="123"/>
      <c r="EY111" s="123"/>
      <c r="EZ111" s="123"/>
      <c r="FA111" s="123"/>
      <c r="FB111" s="123"/>
      <c r="FC111" s="6"/>
      <c r="FD111" s="123"/>
      <c r="FE111" s="6"/>
      <c r="FF111" s="123"/>
      <c r="FG111" s="6"/>
      <c r="FH111" s="6"/>
      <c r="FI111" s="6"/>
      <c r="FJ111" s="6"/>
      <c r="FK111" s="123"/>
      <c r="FL111" s="6"/>
      <c r="FM111" s="6"/>
      <c r="FN111" s="6"/>
      <c r="FO111" s="138"/>
      <c r="FP111" s="138"/>
      <c r="FQ111" s="123"/>
      <c r="FR111" s="6"/>
      <c r="FS111" s="6"/>
      <c r="FT111" s="139"/>
      <c r="FU111" s="139"/>
      <c r="FV111" s="76"/>
      <c r="FW111" s="123"/>
      <c r="FX111" s="6"/>
    </row>
    <row r="112" spans="2:180">
      <c r="AI112" s="125"/>
      <c r="AJ112" s="16"/>
      <c r="AM112" s="16"/>
      <c r="AN112" s="16"/>
      <c r="AO112" s="125"/>
      <c r="AP112" s="16"/>
      <c r="AQ112" s="125"/>
      <c r="AR112" s="164"/>
      <c r="AY112" s="142"/>
      <c r="AZ112" s="125"/>
      <c r="BA112" s="142"/>
      <c r="BB112" s="125"/>
      <c r="BC112" s="16"/>
      <c r="BD112" s="125"/>
      <c r="BE112" s="125"/>
      <c r="BF112" s="16"/>
      <c r="BG112" s="125"/>
      <c r="BQ112" s="125"/>
      <c r="BR112" s="16"/>
      <c r="BS112" s="123"/>
      <c r="BT112" s="19"/>
      <c r="BU112" s="139"/>
      <c r="BV112" s="139"/>
      <c r="BW112" s="123"/>
      <c r="BX112" s="123"/>
      <c r="BY112" s="123"/>
      <c r="BZ112" s="123"/>
      <c r="CA112" s="123"/>
      <c r="CB112" s="123"/>
      <c r="CC112" s="6"/>
      <c r="CD112" s="123"/>
      <c r="CE112" s="6"/>
      <c r="CF112" s="123"/>
      <c r="CG112" s="6"/>
      <c r="CH112" s="6"/>
      <c r="CI112" s="6"/>
      <c r="CJ112" s="6"/>
      <c r="CK112" s="123"/>
      <c r="CL112" s="6"/>
      <c r="CM112" s="6"/>
      <c r="CN112" s="6"/>
      <c r="CO112" s="138"/>
      <c r="CP112" s="138"/>
      <c r="CQ112" s="123"/>
      <c r="CR112" s="6"/>
      <c r="CS112" s="6"/>
      <c r="CT112" s="139"/>
      <c r="CU112" s="139"/>
      <c r="CV112" s="76"/>
      <c r="CW112" s="123"/>
      <c r="CX112" s="6"/>
      <c r="DI112" s="125"/>
      <c r="DJ112" s="16"/>
      <c r="DM112" s="16"/>
      <c r="DN112" s="16"/>
      <c r="DO112" s="125"/>
      <c r="DP112" s="16"/>
      <c r="DQ112" s="125"/>
      <c r="DR112" s="164"/>
      <c r="DY112" s="142"/>
      <c r="DZ112" s="125"/>
      <c r="EA112" s="142"/>
      <c r="EB112" s="125"/>
      <c r="EC112" s="16"/>
      <c r="ED112" s="125"/>
      <c r="EE112" s="125"/>
      <c r="EF112" s="16"/>
      <c r="EG112" s="125"/>
      <c r="EQ112" s="125"/>
      <c r="ER112" s="16"/>
      <c r="ES112" s="123"/>
      <c r="ET112" s="19"/>
      <c r="EU112" s="139"/>
      <c r="EV112" s="139"/>
      <c r="EW112" s="123"/>
      <c r="EX112" s="123"/>
      <c r="EY112" s="123"/>
      <c r="EZ112" s="123"/>
      <c r="FA112" s="123"/>
      <c r="FB112" s="123"/>
      <c r="FC112" s="6"/>
      <c r="FD112" s="123"/>
      <c r="FE112" s="6"/>
      <c r="FF112" s="123"/>
      <c r="FG112" s="6"/>
      <c r="FH112" s="6"/>
      <c r="FI112" s="6"/>
      <c r="FJ112" s="6"/>
      <c r="FK112" s="123"/>
      <c r="FL112" s="6"/>
      <c r="FM112" s="6"/>
      <c r="FN112" s="6"/>
      <c r="FO112" s="138"/>
      <c r="FP112" s="138"/>
      <c r="FQ112" s="123"/>
      <c r="FR112" s="6"/>
      <c r="FS112" s="6"/>
      <c r="FT112" s="139"/>
      <c r="FU112" s="139"/>
      <c r="FV112" s="76"/>
      <c r="FW112" s="123"/>
      <c r="FX112" s="6"/>
    </row>
    <row r="113" spans="35:180">
      <c r="AI113" s="125"/>
      <c r="AJ113" s="16"/>
      <c r="AM113" s="16"/>
      <c r="AN113" s="16"/>
      <c r="AO113" s="125"/>
      <c r="AP113" s="16"/>
      <c r="AQ113" s="125"/>
      <c r="AR113" s="164"/>
      <c r="AY113" s="142"/>
      <c r="AZ113" s="125"/>
      <c r="BA113" s="142"/>
      <c r="BB113" s="125"/>
      <c r="BC113" s="16"/>
      <c r="BD113" s="125"/>
      <c r="BE113" s="125"/>
      <c r="BF113" s="16"/>
      <c r="BG113" s="125"/>
      <c r="BQ113" s="125"/>
      <c r="BR113" s="16"/>
      <c r="BS113" s="123"/>
      <c r="BT113" s="19"/>
      <c r="BU113" s="139"/>
      <c r="BV113" s="139"/>
      <c r="BW113" s="123"/>
      <c r="BX113" s="123"/>
      <c r="BY113" s="123"/>
      <c r="BZ113" s="123"/>
      <c r="CA113" s="123"/>
      <c r="CB113" s="123"/>
      <c r="CC113" s="6"/>
      <c r="CD113" s="123"/>
      <c r="CE113" s="6"/>
      <c r="CF113" s="123"/>
      <c r="CG113" s="6"/>
      <c r="CH113" s="6"/>
      <c r="CI113" s="6"/>
      <c r="CJ113" s="6"/>
      <c r="CK113" s="123"/>
      <c r="CL113" s="6"/>
      <c r="CM113" s="6"/>
      <c r="CN113" s="6"/>
      <c r="CO113" s="138"/>
      <c r="CP113" s="138"/>
      <c r="CQ113" s="123"/>
      <c r="CR113" s="6"/>
      <c r="CS113" s="6"/>
      <c r="CT113" s="139"/>
      <c r="CU113" s="139"/>
      <c r="CV113" s="76"/>
      <c r="CW113" s="123"/>
      <c r="CX113" s="6"/>
      <c r="DI113" s="125"/>
      <c r="DJ113" s="16"/>
      <c r="DM113" s="16"/>
      <c r="DN113" s="16"/>
      <c r="DO113" s="125"/>
      <c r="DP113" s="16"/>
      <c r="DQ113" s="125"/>
      <c r="DR113" s="164"/>
      <c r="DY113" s="142"/>
      <c r="DZ113" s="125"/>
      <c r="EA113" s="142"/>
      <c r="EB113" s="125"/>
      <c r="EC113" s="16"/>
      <c r="ED113" s="125"/>
      <c r="EE113" s="125"/>
      <c r="EF113" s="16"/>
      <c r="EG113" s="125"/>
      <c r="EQ113" s="125"/>
      <c r="ER113" s="16"/>
      <c r="ES113" s="123"/>
      <c r="ET113" s="19"/>
      <c r="EU113" s="139"/>
      <c r="EV113" s="139"/>
      <c r="EW113" s="123"/>
      <c r="EX113" s="123"/>
      <c r="EY113" s="123"/>
      <c r="EZ113" s="123"/>
      <c r="FA113" s="123"/>
      <c r="FB113" s="123"/>
      <c r="FC113" s="6"/>
      <c r="FD113" s="123"/>
      <c r="FE113" s="6"/>
      <c r="FF113" s="123"/>
      <c r="FG113" s="6"/>
      <c r="FH113" s="6"/>
      <c r="FI113" s="6"/>
      <c r="FJ113" s="6"/>
      <c r="FK113" s="123"/>
      <c r="FL113" s="6"/>
      <c r="FM113" s="6"/>
      <c r="FN113" s="6"/>
      <c r="FO113" s="138"/>
      <c r="FP113" s="138"/>
      <c r="FQ113" s="123"/>
      <c r="FR113" s="6"/>
      <c r="FS113" s="6"/>
      <c r="FT113" s="139"/>
      <c r="FU113" s="139"/>
      <c r="FV113" s="76"/>
      <c r="FW113" s="123"/>
      <c r="FX113" s="6"/>
    </row>
    <row r="114" spans="35:180">
      <c r="AI114" s="125"/>
      <c r="AJ114" s="16"/>
      <c r="AM114" s="16"/>
      <c r="AN114" s="16"/>
      <c r="AO114" s="125"/>
      <c r="AP114" s="16"/>
      <c r="AQ114" s="125"/>
      <c r="AR114" s="164"/>
      <c r="AY114" s="142"/>
      <c r="AZ114" s="125"/>
      <c r="BA114" s="142"/>
      <c r="BB114" s="125"/>
      <c r="BC114" s="16"/>
      <c r="BD114" s="125"/>
      <c r="BE114" s="125"/>
      <c r="BF114" s="16"/>
      <c r="BG114" s="125"/>
      <c r="BQ114" s="125"/>
      <c r="BR114" s="16"/>
      <c r="BS114" s="123"/>
      <c r="BT114" s="19"/>
      <c r="BU114" s="139"/>
      <c r="BV114" s="139"/>
      <c r="BW114" s="123"/>
      <c r="BX114" s="123"/>
      <c r="BY114" s="123"/>
      <c r="BZ114" s="123"/>
      <c r="CA114" s="123"/>
      <c r="CB114" s="123"/>
      <c r="CC114" s="6"/>
      <c r="CD114" s="123"/>
      <c r="CE114" s="6"/>
      <c r="CF114" s="123"/>
      <c r="CG114" s="6"/>
      <c r="CH114" s="6"/>
      <c r="CI114" s="6"/>
      <c r="CJ114" s="6"/>
      <c r="CK114" s="123"/>
      <c r="CL114" s="6"/>
      <c r="CM114" s="6"/>
      <c r="CN114" s="6"/>
      <c r="CO114" s="138"/>
      <c r="CP114" s="138"/>
      <c r="CQ114" s="123"/>
      <c r="CR114" s="6"/>
      <c r="CS114" s="6"/>
      <c r="CT114" s="139"/>
      <c r="CU114" s="139"/>
      <c r="CV114" s="76"/>
      <c r="CW114" s="123"/>
      <c r="CX114" s="6"/>
      <c r="DI114" s="125"/>
      <c r="DJ114" s="16"/>
      <c r="DM114" s="16"/>
      <c r="DN114" s="16"/>
      <c r="DO114" s="125"/>
      <c r="DP114" s="16"/>
      <c r="DQ114" s="125"/>
      <c r="DR114" s="164"/>
      <c r="DY114" s="142"/>
      <c r="DZ114" s="125"/>
      <c r="EA114" s="142"/>
      <c r="EB114" s="125"/>
      <c r="EC114" s="16"/>
      <c r="ED114" s="125"/>
      <c r="EE114" s="125"/>
      <c r="EF114" s="16"/>
      <c r="EG114" s="125"/>
      <c r="EQ114" s="125"/>
      <c r="ER114" s="16"/>
      <c r="ES114" s="123"/>
      <c r="ET114" s="19"/>
      <c r="EU114" s="139"/>
      <c r="EV114" s="139"/>
      <c r="EW114" s="123"/>
      <c r="EX114" s="123"/>
      <c r="EY114" s="123"/>
      <c r="EZ114" s="123"/>
      <c r="FA114" s="123"/>
      <c r="FB114" s="123"/>
      <c r="FC114" s="6"/>
      <c r="FD114" s="123"/>
      <c r="FE114" s="6"/>
      <c r="FF114" s="123"/>
      <c r="FG114" s="6"/>
      <c r="FH114" s="6"/>
      <c r="FI114" s="6"/>
      <c r="FJ114" s="6"/>
      <c r="FK114" s="123"/>
      <c r="FL114" s="6"/>
      <c r="FM114" s="6"/>
      <c r="FN114" s="6"/>
      <c r="FO114" s="138"/>
      <c r="FP114" s="138"/>
      <c r="FQ114" s="123"/>
      <c r="FR114" s="6"/>
      <c r="FS114" s="6"/>
      <c r="FT114" s="139"/>
      <c r="FU114" s="139"/>
      <c r="FV114" s="76"/>
      <c r="FW114" s="123"/>
      <c r="FX114" s="6"/>
    </row>
    <row r="115" spans="35:180">
      <c r="AI115" s="125"/>
      <c r="AJ115" s="16"/>
      <c r="AM115" s="16"/>
      <c r="AN115" s="16"/>
      <c r="AO115" s="125"/>
      <c r="AP115" s="16"/>
      <c r="AQ115" s="125"/>
      <c r="AR115" s="164"/>
      <c r="AY115" s="142"/>
      <c r="AZ115" s="125"/>
      <c r="BA115" s="142"/>
      <c r="BB115" s="125"/>
      <c r="BC115" s="16"/>
      <c r="BD115" s="125"/>
      <c r="BE115" s="125"/>
      <c r="BF115" s="16"/>
      <c r="BG115" s="125"/>
      <c r="BQ115" s="125"/>
      <c r="BR115" s="16"/>
      <c r="BS115" s="123"/>
      <c r="BT115" s="19"/>
      <c r="BU115" s="139"/>
      <c r="BV115" s="139"/>
      <c r="BW115" s="123"/>
      <c r="BX115" s="123"/>
      <c r="BY115" s="123"/>
      <c r="BZ115" s="123"/>
      <c r="CA115" s="123"/>
      <c r="CB115" s="123"/>
      <c r="CC115" s="6"/>
      <c r="CD115" s="123"/>
      <c r="CE115" s="6"/>
      <c r="CF115" s="123"/>
      <c r="CG115" s="6"/>
      <c r="CH115" s="6"/>
      <c r="CI115" s="6"/>
      <c r="CJ115" s="6"/>
      <c r="CK115" s="123"/>
      <c r="CL115" s="6"/>
      <c r="CM115" s="6"/>
      <c r="CN115" s="6"/>
      <c r="CO115" s="138"/>
      <c r="CP115" s="138"/>
      <c r="CQ115" s="123"/>
      <c r="CR115" s="6"/>
      <c r="CS115" s="6"/>
      <c r="CT115" s="139"/>
      <c r="CU115" s="139"/>
      <c r="CV115" s="76"/>
      <c r="CW115" s="123"/>
      <c r="CX115" s="6"/>
      <c r="DI115" s="125"/>
      <c r="DJ115" s="16"/>
      <c r="DM115" s="16"/>
      <c r="DN115" s="16"/>
      <c r="DO115" s="125"/>
      <c r="DP115" s="16"/>
      <c r="DQ115" s="125"/>
      <c r="DR115" s="164"/>
      <c r="DY115" s="142"/>
      <c r="DZ115" s="125"/>
      <c r="EA115" s="142"/>
      <c r="EB115" s="125"/>
      <c r="EC115" s="16"/>
      <c r="ED115" s="125"/>
      <c r="EE115" s="125"/>
      <c r="EF115" s="16"/>
      <c r="EG115" s="125"/>
      <c r="EQ115" s="125"/>
      <c r="ER115" s="16"/>
      <c r="ES115" s="123"/>
      <c r="ET115" s="19"/>
      <c r="EU115" s="139"/>
      <c r="EV115" s="139"/>
      <c r="EW115" s="123"/>
      <c r="EX115" s="123"/>
      <c r="EY115" s="123"/>
      <c r="EZ115" s="123"/>
      <c r="FA115" s="123"/>
      <c r="FB115" s="123"/>
      <c r="FC115" s="6"/>
      <c r="FD115" s="123"/>
      <c r="FE115" s="6"/>
      <c r="FF115" s="123"/>
      <c r="FG115" s="6"/>
      <c r="FH115" s="6"/>
      <c r="FI115" s="6"/>
      <c r="FJ115" s="6"/>
      <c r="FK115" s="123"/>
      <c r="FL115" s="6"/>
      <c r="FM115" s="6"/>
      <c r="FN115" s="6"/>
      <c r="FO115" s="138"/>
      <c r="FP115" s="138"/>
      <c r="FQ115" s="123"/>
      <c r="FR115" s="6"/>
      <c r="FS115" s="6"/>
      <c r="FT115" s="139"/>
      <c r="FU115" s="139"/>
      <c r="FV115" s="76"/>
      <c r="FW115" s="123"/>
      <c r="FX115" s="6"/>
    </row>
    <row r="116" spans="35:180">
      <c r="AI116" s="125"/>
      <c r="AJ116" s="16"/>
      <c r="AM116" s="16"/>
      <c r="AN116" s="16"/>
      <c r="AO116" s="125"/>
      <c r="AP116" s="16"/>
      <c r="AQ116" s="125"/>
      <c r="AR116" s="164"/>
      <c r="AY116" s="142"/>
      <c r="AZ116" s="125"/>
      <c r="BA116" s="142"/>
      <c r="BB116" s="125"/>
      <c r="BC116" s="16"/>
      <c r="BD116" s="125"/>
      <c r="BE116" s="125"/>
      <c r="BF116" s="16"/>
      <c r="BG116" s="125"/>
      <c r="BQ116" s="125"/>
      <c r="BR116" s="16"/>
      <c r="BS116" s="123"/>
      <c r="BT116" s="19"/>
      <c r="BU116" s="139"/>
      <c r="BV116" s="139"/>
      <c r="BW116" s="123"/>
      <c r="BX116" s="123"/>
      <c r="BY116" s="123"/>
      <c r="BZ116" s="123"/>
      <c r="CA116" s="123"/>
      <c r="CB116" s="123"/>
      <c r="CC116" s="6"/>
      <c r="CD116" s="123"/>
      <c r="CE116" s="6"/>
      <c r="CF116" s="123"/>
      <c r="CG116" s="6"/>
      <c r="CH116" s="6"/>
      <c r="CI116" s="6"/>
      <c r="CJ116" s="6"/>
      <c r="CK116" s="123"/>
      <c r="CL116" s="6"/>
      <c r="CM116" s="6"/>
      <c r="CN116" s="6"/>
      <c r="CO116" s="138"/>
      <c r="CP116" s="138"/>
      <c r="CQ116" s="123"/>
      <c r="CR116" s="6"/>
      <c r="CS116" s="6"/>
      <c r="CT116" s="139"/>
      <c r="CU116" s="139"/>
      <c r="CV116" s="76"/>
      <c r="CW116" s="123"/>
      <c r="CX116" s="6"/>
      <c r="DI116" s="125"/>
      <c r="DJ116" s="16"/>
      <c r="DM116" s="16"/>
      <c r="DN116" s="16"/>
      <c r="DO116" s="125"/>
      <c r="DP116" s="16"/>
      <c r="DQ116" s="125"/>
      <c r="DR116" s="164"/>
      <c r="DY116" s="142"/>
      <c r="DZ116" s="125"/>
      <c r="EA116" s="142"/>
      <c r="EB116" s="125"/>
      <c r="EC116" s="16"/>
      <c r="ED116" s="125"/>
      <c r="EE116" s="125"/>
      <c r="EF116" s="16"/>
      <c r="EG116" s="125"/>
      <c r="EQ116" s="125"/>
      <c r="ER116" s="16"/>
      <c r="ES116" s="123"/>
      <c r="ET116" s="19"/>
      <c r="EU116" s="139"/>
      <c r="EV116" s="139"/>
      <c r="EW116" s="123"/>
      <c r="EX116" s="123"/>
      <c r="EY116" s="123"/>
      <c r="EZ116" s="123"/>
      <c r="FA116" s="123"/>
      <c r="FB116" s="123"/>
      <c r="FC116" s="6"/>
      <c r="FD116" s="123"/>
      <c r="FE116" s="6"/>
      <c r="FF116" s="123"/>
      <c r="FG116" s="6"/>
      <c r="FH116" s="6"/>
      <c r="FI116" s="6"/>
      <c r="FJ116" s="6"/>
      <c r="FK116" s="123"/>
      <c r="FL116" s="6"/>
      <c r="FM116" s="6"/>
      <c r="FN116" s="6"/>
      <c r="FO116" s="138"/>
      <c r="FP116" s="138"/>
      <c r="FQ116" s="123"/>
      <c r="FR116" s="6"/>
      <c r="FS116" s="6"/>
      <c r="FT116" s="139"/>
      <c r="FU116" s="139"/>
      <c r="FV116" s="76"/>
      <c r="FW116" s="123"/>
      <c r="FX116" s="6"/>
    </row>
    <row r="117" spans="35:180">
      <c r="AI117" s="125"/>
      <c r="AJ117" s="16"/>
      <c r="AM117" s="16"/>
      <c r="AN117" s="16"/>
      <c r="AO117" s="125"/>
      <c r="AP117" s="16"/>
      <c r="AQ117" s="125"/>
      <c r="AR117" s="164"/>
      <c r="AY117" s="142"/>
      <c r="AZ117" s="125"/>
      <c r="BA117" s="142"/>
      <c r="BB117" s="125"/>
      <c r="BC117" s="16"/>
      <c r="BD117" s="125"/>
      <c r="BE117" s="125"/>
      <c r="BF117" s="16"/>
      <c r="BG117" s="125"/>
      <c r="BQ117" s="125"/>
      <c r="BR117" s="16"/>
      <c r="BS117" s="123"/>
      <c r="BT117" s="19"/>
      <c r="BU117" s="139"/>
      <c r="BV117" s="139"/>
      <c r="BW117" s="123"/>
      <c r="BX117" s="123"/>
      <c r="BY117" s="123"/>
      <c r="BZ117" s="123"/>
      <c r="CA117" s="123"/>
      <c r="CB117" s="123"/>
      <c r="CC117" s="6"/>
      <c r="CD117" s="123"/>
      <c r="CE117" s="6"/>
      <c r="CF117" s="123"/>
      <c r="CG117" s="6"/>
      <c r="CH117" s="6"/>
      <c r="CI117" s="6"/>
      <c r="CJ117" s="6"/>
      <c r="CK117" s="123"/>
      <c r="CL117" s="6"/>
      <c r="CM117" s="6"/>
      <c r="CN117" s="6"/>
      <c r="CO117" s="138"/>
      <c r="CP117" s="138"/>
      <c r="CQ117" s="123"/>
      <c r="CR117" s="6"/>
      <c r="CS117" s="6"/>
      <c r="CT117" s="139"/>
      <c r="CU117" s="139"/>
      <c r="CV117" s="76"/>
      <c r="CW117" s="123"/>
      <c r="CX117" s="6"/>
      <c r="DI117" s="125"/>
      <c r="DJ117" s="16"/>
      <c r="DM117" s="16"/>
      <c r="DN117" s="16"/>
      <c r="DO117" s="125"/>
      <c r="DP117" s="16"/>
      <c r="DQ117" s="125"/>
      <c r="DR117" s="164"/>
      <c r="DY117" s="142"/>
      <c r="DZ117" s="125"/>
      <c r="EA117" s="142"/>
      <c r="EB117" s="125"/>
      <c r="EC117" s="16"/>
      <c r="ED117" s="125"/>
      <c r="EE117" s="125"/>
      <c r="EF117" s="16"/>
      <c r="EG117" s="125"/>
      <c r="EQ117" s="125"/>
      <c r="ER117" s="16"/>
      <c r="ES117" s="123"/>
      <c r="ET117" s="19"/>
      <c r="EU117" s="139"/>
      <c r="EV117" s="139"/>
      <c r="EW117" s="123"/>
      <c r="EX117" s="123"/>
      <c r="EY117" s="123"/>
      <c r="EZ117" s="123"/>
      <c r="FA117" s="123"/>
      <c r="FB117" s="123"/>
      <c r="FC117" s="6"/>
      <c r="FD117" s="123"/>
      <c r="FE117" s="6"/>
      <c r="FF117" s="123"/>
      <c r="FG117" s="6"/>
      <c r="FH117" s="6"/>
      <c r="FI117" s="6"/>
      <c r="FJ117" s="6"/>
      <c r="FK117" s="123"/>
      <c r="FL117" s="6"/>
      <c r="FM117" s="6"/>
      <c r="FN117" s="6"/>
      <c r="FO117" s="138"/>
      <c r="FP117" s="138"/>
      <c r="FQ117" s="123"/>
      <c r="FR117" s="6"/>
      <c r="FS117" s="6"/>
      <c r="FT117" s="139"/>
      <c r="FU117" s="139"/>
      <c r="FV117" s="76"/>
      <c r="FW117" s="123"/>
      <c r="FX117" s="6"/>
    </row>
    <row r="118" spans="35:180">
      <c r="AI118" s="125"/>
      <c r="AJ118" s="16"/>
      <c r="AM118" s="16"/>
      <c r="AN118" s="16"/>
      <c r="AO118" s="125"/>
      <c r="AP118" s="16"/>
      <c r="AQ118" s="125"/>
      <c r="AR118" s="164"/>
      <c r="AY118" s="142"/>
      <c r="AZ118" s="125"/>
      <c r="BA118" s="142"/>
      <c r="BB118" s="125"/>
      <c r="BC118" s="16"/>
      <c r="BD118" s="125"/>
      <c r="BE118" s="125"/>
      <c r="BF118" s="16"/>
      <c r="BG118" s="125"/>
      <c r="BQ118" s="125"/>
      <c r="BR118" s="16"/>
      <c r="BS118" s="123"/>
      <c r="BT118" s="19"/>
      <c r="BU118" s="139"/>
      <c r="BV118" s="139"/>
      <c r="BW118" s="123"/>
      <c r="BX118" s="123"/>
      <c r="BY118" s="123"/>
      <c r="BZ118" s="123"/>
      <c r="CA118" s="123"/>
      <c r="CB118" s="123"/>
      <c r="CC118" s="6"/>
      <c r="CD118" s="123"/>
      <c r="CE118" s="6"/>
      <c r="CF118" s="123"/>
      <c r="CG118" s="6"/>
      <c r="CH118" s="6"/>
      <c r="CI118" s="6"/>
      <c r="CJ118" s="6"/>
      <c r="CK118" s="123"/>
      <c r="CL118" s="6"/>
      <c r="CM118" s="6"/>
      <c r="CN118" s="6"/>
      <c r="CO118" s="138"/>
      <c r="CP118" s="138"/>
      <c r="CQ118" s="123"/>
      <c r="CR118" s="6"/>
      <c r="CS118" s="6"/>
      <c r="CT118" s="139"/>
      <c r="CU118" s="139"/>
      <c r="CV118" s="76"/>
      <c r="CW118" s="123"/>
      <c r="CX118" s="6"/>
      <c r="DI118" s="125"/>
      <c r="DJ118" s="16"/>
      <c r="DM118" s="16"/>
      <c r="DN118" s="16"/>
      <c r="DO118" s="125"/>
      <c r="DP118" s="16"/>
      <c r="DQ118" s="125"/>
      <c r="DR118" s="164"/>
      <c r="DY118" s="142"/>
      <c r="DZ118" s="125"/>
      <c r="EA118" s="142"/>
      <c r="EB118" s="125"/>
      <c r="EC118" s="16"/>
      <c r="ED118" s="125"/>
      <c r="EE118" s="125"/>
      <c r="EF118" s="16"/>
      <c r="EG118" s="125"/>
      <c r="EQ118" s="125"/>
      <c r="ER118" s="16"/>
      <c r="ES118" s="123"/>
      <c r="ET118" s="19"/>
      <c r="EU118" s="139"/>
      <c r="EV118" s="139"/>
      <c r="EW118" s="123"/>
      <c r="EX118" s="123"/>
      <c r="EY118" s="123"/>
      <c r="EZ118" s="123"/>
      <c r="FA118" s="123"/>
      <c r="FB118" s="123"/>
      <c r="FC118" s="6"/>
      <c r="FD118" s="123"/>
      <c r="FE118" s="6"/>
      <c r="FF118" s="123"/>
      <c r="FG118" s="6"/>
      <c r="FH118" s="6"/>
      <c r="FI118" s="6"/>
      <c r="FJ118" s="6"/>
      <c r="FK118" s="123"/>
      <c r="FL118" s="6"/>
      <c r="FM118" s="6"/>
      <c r="FN118" s="6"/>
      <c r="FO118" s="138"/>
      <c r="FP118" s="138"/>
      <c r="FQ118" s="123"/>
      <c r="FR118" s="6"/>
      <c r="FS118" s="6"/>
      <c r="FT118" s="139"/>
      <c r="FU118" s="139"/>
      <c r="FV118" s="76"/>
      <c r="FW118" s="123"/>
      <c r="FX118" s="6"/>
    </row>
    <row r="119" spans="35:180">
      <c r="AI119" s="125"/>
      <c r="AJ119" s="16"/>
      <c r="AM119" s="16"/>
      <c r="AN119" s="16"/>
      <c r="AO119" s="125"/>
      <c r="AP119" s="16"/>
      <c r="AQ119" s="125"/>
      <c r="AR119" s="164"/>
      <c r="AY119" s="142"/>
      <c r="AZ119" s="125"/>
      <c r="BA119" s="142"/>
      <c r="BB119" s="125"/>
      <c r="BC119" s="16"/>
      <c r="BD119" s="125"/>
      <c r="BE119" s="125"/>
      <c r="BF119" s="16"/>
      <c r="BG119" s="125"/>
      <c r="BQ119" s="125"/>
      <c r="BR119" s="16"/>
      <c r="BS119" s="123"/>
      <c r="BT119" s="19"/>
      <c r="BU119" s="139"/>
      <c r="BV119" s="139"/>
      <c r="BW119" s="123"/>
      <c r="BX119" s="123"/>
      <c r="BY119" s="123"/>
      <c r="BZ119" s="123"/>
      <c r="CA119" s="123"/>
      <c r="CB119" s="123"/>
      <c r="CC119" s="6"/>
      <c r="CD119" s="123"/>
      <c r="CE119" s="6"/>
      <c r="CF119" s="123"/>
      <c r="CG119" s="6"/>
      <c r="CH119" s="6"/>
      <c r="CI119" s="6"/>
      <c r="CJ119" s="6"/>
      <c r="CK119" s="123"/>
      <c r="CL119" s="6"/>
      <c r="CM119" s="6"/>
      <c r="CN119" s="6"/>
      <c r="CO119" s="138"/>
      <c r="CP119" s="138"/>
      <c r="CQ119" s="123"/>
      <c r="CR119" s="6"/>
      <c r="CS119" s="6"/>
      <c r="CT119" s="139"/>
      <c r="CU119" s="139"/>
      <c r="CV119" s="76"/>
      <c r="CW119" s="123"/>
      <c r="CX119" s="6"/>
      <c r="DI119" s="125"/>
      <c r="DJ119" s="16"/>
      <c r="DM119" s="16"/>
      <c r="DN119" s="16"/>
      <c r="DO119" s="125"/>
      <c r="DP119" s="16"/>
      <c r="DQ119" s="125"/>
      <c r="DR119" s="164"/>
      <c r="DY119" s="142"/>
      <c r="DZ119" s="125"/>
      <c r="EA119" s="142"/>
      <c r="EB119" s="125"/>
      <c r="EC119" s="16"/>
      <c r="ED119" s="125"/>
      <c r="EE119" s="125"/>
      <c r="EF119" s="16"/>
      <c r="EG119" s="125"/>
      <c r="EQ119" s="125"/>
      <c r="ER119" s="16"/>
      <c r="ES119" s="123"/>
      <c r="ET119" s="19"/>
      <c r="EU119" s="139"/>
      <c r="EV119" s="139"/>
      <c r="EW119" s="123"/>
      <c r="EX119" s="123"/>
      <c r="EY119" s="123"/>
      <c r="EZ119" s="123"/>
      <c r="FA119" s="123"/>
      <c r="FB119" s="123"/>
      <c r="FC119" s="6"/>
      <c r="FD119" s="123"/>
      <c r="FE119" s="6"/>
      <c r="FF119" s="123"/>
      <c r="FG119" s="6"/>
      <c r="FH119" s="6"/>
      <c r="FI119" s="6"/>
      <c r="FJ119" s="6"/>
      <c r="FK119" s="123"/>
      <c r="FL119" s="6"/>
      <c r="FM119" s="6"/>
      <c r="FN119" s="6"/>
      <c r="FO119" s="138"/>
      <c r="FP119" s="138"/>
      <c r="FQ119" s="123"/>
      <c r="FR119" s="6"/>
      <c r="FS119" s="6"/>
      <c r="FT119" s="139"/>
      <c r="FU119" s="139"/>
      <c r="FV119" s="76"/>
      <c r="FW119" s="123"/>
      <c r="FX119" s="6"/>
    </row>
    <row r="120" spans="35:180">
      <c r="AI120" s="125"/>
      <c r="AJ120" s="16"/>
      <c r="AM120" s="16"/>
      <c r="AN120" s="16"/>
      <c r="AO120" s="125"/>
      <c r="AP120" s="16"/>
      <c r="AQ120" s="125"/>
      <c r="AR120" s="164"/>
      <c r="AY120" s="142"/>
      <c r="AZ120" s="125"/>
      <c r="BA120" s="142"/>
      <c r="BB120" s="125"/>
      <c r="BC120" s="16"/>
      <c r="BD120" s="125"/>
      <c r="BE120" s="125"/>
      <c r="BF120" s="16"/>
      <c r="BG120" s="125"/>
      <c r="BQ120" s="125"/>
      <c r="BR120" s="16"/>
      <c r="BS120" s="123"/>
      <c r="BT120" s="19"/>
      <c r="BU120" s="139"/>
      <c r="BV120" s="139"/>
      <c r="BW120" s="123"/>
      <c r="BX120" s="123"/>
      <c r="BY120" s="123"/>
      <c r="BZ120" s="123"/>
      <c r="CA120" s="123"/>
      <c r="CB120" s="123"/>
      <c r="CC120" s="6"/>
      <c r="CD120" s="123"/>
      <c r="CE120" s="6"/>
      <c r="CF120" s="123"/>
      <c r="CG120" s="6"/>
      <c r="CH120" s="6"/>
      <c r="CI120" s="6"/>
      <c r="CJ120" s="6"/>
      <c r="CK120" s="123"/>
      <c r="CL120" s="6"/>
      <c r="CM120" s="6"/>
      <c r="CN120" s="6"/>
      <c r="CO120" s="138"/>
      <c r="CP120" s="138"/>
      <c r="CQ120" s="123"/>
      <c r="CR120" s="6"/>
      <c r="CS120" s="6"/>
      <c r="CT120" s="139"/>
      <c r="CU120" s="139"/>
      <c r="CV120" s="76"/>
      <c r="CW120" s="123"/>
      <c r="CX120" s="6"/>
      <c r="DI120" s="125"/>
      <c r="DJ120" s="16"/>
      <c r="DM120" s="16"/>
      <c r="DN120" s="16"/>
      <c r="DO120" s="125"/>
      <c r="DP120" s="16"/>
      <c r="DQ120" s="125"/>
      <c r="DR120" s="164"/>
      <c r="DY120" s="142"/>
      <c r="DZ120" s="125"/>
      <c r="EA120" s="142"/>
      <c r="EB120" s="125"/>
      <c r="EC120" s="16"/>
      <c r="ED120" s="125"/>
      <c r="EE120" s="125"/>
      <c r="EF120" s="16"/>
      <c r="EG120" s="125"/>
      <c r="EQ120" s="125"/>
      <c r="ER120" s="16"/>
      <c r="ES120" s="123"/>
      <c r="ET120" s="19"/>
      <c r="EU120" s="139"/>
      <c r="EV120" s="139"/>
      <c r="EW120" s="123"/>
      <c r="EX120" s="123"/>
      <c r="EY120" s="123"/>
      <c r="EZ120" s="123"/>
      <c r="FA120" s="123"/>
      <c r="FB120" s="123"/>
      <c r="FC120" s="6"/>
      <c r="FD120" s="123"/>
      <c r="FE120" s="6"/>
      <c r="FF120" s="123"/>
      <c r="FG120" s="6"/>
      <c r="FH120" s="6"/>
      <c r="FI120" s="6"/>
      <c r="FJ120" s="6"/>
      <c r="FK120" s="123"/>
      <c r="FL120" s="6"/>
      <c r="FM120" s="6"/>
      <c r="FN120" s="6"/>
      <c r="FO120" s="138"/>
      <c r="FP120" s="138"/>
      <c r="FQ120" s="123"/>
      <c r="FR120" s="6"/>
      <c r="FS120" s="6"/>
      <c r="FT120" s="139"/>
      <c r="FU120" s="139"/>
      <c r="FV120" s="76"/>
      <c r="FW120" s="123"/>
      <c r="FX120" s="6"/>
    </row>
    <row r="121" spans="35:180">
      <c r="AI121" s="125"/>
      <c r="AJ121" s="16"/>
      <c r="AM121" s="16"/>
      <c r="AN121" s="16"/>
      <c r="AO121" s="125"/>
      <c r="AP121" s="16"/>
      <c r="AQ121" s="125"/>
      <c r="AR121" s="164"/>
      <c r="AY121" s="142"/>
      <c r="AZ121" s="125"/>
      <c r="BA121" s="142"/>
      <c r="BB121" s="125"/>
      <c r="BC121" s="16"/>
      <c r="BD121" s="125"/>
      <c r="BE121" s="125"/>
      <c r="BF121" s="16"/>
      <c r="BG121" s="125"/>
      <c r="BQ121" s="125"/>
      <c r="BR121" s="16"/>
      <c r="BS121" s="123"/>
      <c r="BT121" s="19"/>
      <c r="BU121" s="139"/>
      <c r="BV121" s="139"/>
      <c r="BW121" s="123"/>
      <c r="BX121" s="123"/>
      <c r="BY121" s="123"/>
      <c r="BZ121" s="123"/>
      <c r="CA121" s="123"/>
      <c r="CB121" s="123"/>
      <c r="CC121" s="6"/>
      <c r="CD121" s="123"/>
      <c r="CE121" s="6"/>
      <c r="CF121" s="123"/>
      <c r="CG121" s="6"/>
      <c r="CH121" s="6"/>
      <c r="CI121" s="6"/>
      <c r="CJ121" s="6"/>
      <c r="CK121" s="123"/>
      <c r="CL121" s="6"/>
      <c r="CM121" s="6"/>
      <c r="CN121" s="6"/>
      <c r="CO121" s="138"/>
      <c r="CP121" s="138"/>
      <c r="CQ121" s="123"/>
      <c r="CR121" s="6"/>
      <c r="CS121" s="6"/>
      <c r="CT121" s="139"/>
      <c r="CU121" s="139"/>
      <c r="CV121" s="76"/>
      <c r="CW121" s="123"/>
      <c r="CX121" s="6"/>
      <c r="DI121" s="125"/>
      <c r="DJ121" s="16"/>
      <c r="DM121" s="16"/>
      <c r="DN121" s="16"/>
      <c r="DO121" s="125"/>
      <c r="DP121" s="16"/>
      <c r="DQ121" s="125"/>
      <c r="DR121" s="164"/>
      <c r="DY121" s="142"/>
      <c r="DZ121" s="125"/>
      <c r="EA121" s="142"/>
      <c r="EB121" s="125"/>
      <c r="EC121" s="16"/>
      <c r="ED121" s="125"/>
      <c r="EE121" s="125"/>
      <c r="EF121" s="16"/>
      <c r="EG121" s="125"/>
      <c r="EQ121" s="125"/>
      <c r="ER121" s="16"/>
      <c r="ES121" s="123"/>
      <c r="ET121" s="19"/>
      <c r="EU121" s="139"/>
      <c r="EV121" s="139"/>
      <c r="EW121" s="123"/>
      <c r="EX121" s="123"/>
      <c r="EY121" s="123"/>
      <c r="EZ121" s="123"/>
      <c r="FA121" s="123"/>
      <c r="FB121" s="123"/>
      <c r="FC121" s="6"/>
      <c r="FD121" s="123"/>
      <c r="FE121" s="6"/>
      <c r="FF121" s="123"/>
      <c r="FG121" s="6"/>
      <c r="FH121" s="6"/>
      <c r="FI121" s="6"/>
      <c r="FJ121" s="6"/>
      <c r="FK121" s="123"/>
      <c r="FL121" s="6"/>
      <c r="FM121" s="6"/>
      <c r="FN121" s="6"/>
      <c r="FO121" s="138"/>
      <c r="FP121" s="138"/>
      <c r="FQ121" s="123"/>
      <c r="FR121" s="6"/>
      <c r="FS121" s="6"/>
      <c r="FT121" s="139"/>
      <c r="FU121" s="139"/>
      <c r="FV121" s="76"/>
      <c r="FW121" s="123"/>
      <c r="FX121" s="6"/>
    </row>
    <row r="122" spans="35:180">
      <c r="AI122" s="125"/>
      <c r="AJ122" s="16"/>
      <c r="AM122" s="16"/>
      <c r="AN122" s="16"/>
      <c r="AO122" s="125"/>
      <c r="AP122" s="16"/>
      <c r="AQ122" s="125"/>
      <c r="AR122" s="164"/>
      <c r="AY122" s="142"/>
      <c r="AZ122" s="125"/>
      <c r="BA122" s="142"/>
      <c r="BB122" s="125"/>
      <c r="BC122" s="16"/>
      <c r="BD122" s="125"/>
      <c r="BE122" s="125"/>
      <c r="BF122" s="16"/>
      <c r="BG122" s="125"/>
      <c r="BQ122" s="125"/>
      <c r="BR122" s="16"/>
      <c r="BS122" s="123"/>
      <c r="BT122" s="19"/>
      <c r="BU122" s="139"/>
      <c r="BV122" s="139"/>
      <c r="BW122" s="123"/>
      <c r="BX122" s="123"/>
      <c r="BY122" s="123"/>
      <c r="BZ122" s="123"/>
      <c r="CA122" s="123"/>
      <c r="CB122" s="123"/>
      <c r="CC122" s="6"/>
      <c r="CD122" s="123"/>
      <c r="CE122" s="6"/>
      <c r="CF122" s="123"/>
      <c r="CG122" s="6"/>
      <c r="CH122" s="6"/>
      <c r="CI122" s="6"/>
      <c r="CJ122" s="6"/>
      <c r="CK122" s="123"/>
      <c r="CL122" s="6"/>
      <c r="CM122" s="6"/>
      <c r="CN122" s="6"/>
      <c r="CO122" s="138"/>
      <c r="CP122" s="138"/>
      <c r="CQ122" s="123"/>
      <c r="CR122" s="6"/>
      <c r="CS122" s="6"/>
      <c r="CT122" s="139"/>
      <c r="CU122" s="139"/>
      <c r="CV122" s="76"/>
      <c r="CW122" s="123"/>
      <c r="CX122" s="6"/>
      <c r="DI122" s="125"/>
      <c r="DJ122" s="16"/>
      <c r="DM122" s="16"/>
      <c r="DN122" s="16"/>
      <c r="DO122" s="125"/>
      <c r="DP122" s="16"/>
      <c r="DQ122" s="125"/>
      <c r="DR122" s="164"/>
      <c r="DY122" s="142"/>
      <c r="DZ122" s="125"/>
      <c r="EA122" s="142"/>
      <c r="EB122" s="125"/>
      <c r="EC122" s="16"/>
      <c r="ED122" s="125"/>
      <c r="EE122" s="125"/>
      <c r="EF122" s="16"/>
      <c r="EG122" s="125"/>
      <c r="EQ122" s="125"/>
      <c r="ER122" s="16"/>
      <c r="ES122" s="123"/>
      <c r="ET122" s="19"/>
      <c r="EU122" s="139"/>
      <c r="EV122" s="139"/>
      <c r="EW122" s="123"/>
      <c r="EX122" s="123"/>
      <c r="EY122" s="123"/>
      <c r="EZ122" s="123"/>
      <c r="FA122" s="123"/>
      <c r="FB122" s="123"/>
      <c r="FC122" s="6"/>
      <c r="FD122" s="123"/>
      <c r="FE122" s="6"/>
      <c r="FF122" s="123"/>
      <c r="FG122" s="6"/>
      <c r="FH122" s="6"/>
      <c r="FI122" s="6"/>
      <c r="FJ122" s="6"/>
      <c r="FK122" s="123"/>
      <c r="FL122" s="6"/>
      <c r="FM122" s="6"/>
      <c r="FN122" s="6"/>
      <c r="FO122" s="138"/>
      <c r="FP122" s="138"/>
      <c r="FQ122" s="123"/>
      <c r="FR122" s="6"/>
      <c r="FS122" s="6"/>
      <c r="FT122" s="139"/>
      <c r="FU122" s="139"/>
      <c r="FV122" s="76"/>
      <c r="FW122" s="123"/>
      <c r="FX122" s="6"/>
    </row>
    <row r="123" spans="35:180">
      <c r="AI123" s="125"/>
      <c r="AJ123" s="16"/>
      <c r="AM123" s="16"/>
      <c r="AN123" s="16"/>
      <c r="AO123" s="125"/>
      <c r="AP123" s="16"/>
      <c r="AQ123" s="125"/>
      <c r="AR123" s="164"/>
      <c r="AY123" s="142"/>
      <c r="AZ123" s="125"/>
      <c r="BA123" s="142"/>
      <c r="BB123" s="125"/>
      <c r="BC123" s="16"/>
      <c r="BD123" s="125"/>
      <c r="BE123" s="125"/>
      <c r="BF123" s="16"/>
      <c r="BG123" s="125"/>
      <c r="BQ123" s="125"/>
      <c r="BR123" s="16"/>
      <c r="BS123" s="123"/>
      <c r="BT123" s="19"/>
      <c r="BU123" s="139"/>
      <c r="BV123" s="139"/>
      <c r="BW123" s="123"/>
      <c r="BX123" s="123"/>
      <c r="BY123" s="123"/>
      <c r="BZ123" s="123"/>
      <c r="CA123" s="123"/>
      <c r="CB123" s="123"/>
      <c r="CC123" s="6"/>
      <c r="CD123" s="123"/>
      <c r="CE123" s="6"/>
      <c r="CF123" s="123"/>
      <c r="CG123" s="6"/>
      <c r="CH123" s="6"/>
      <c r="CI123" s="6"/>
      <c r="CJ123" s="6"/>
      <c r="CK123" s="123"/>
      <c r="CL123" s="6"/>
      <c r="CM123" s="6"/>
      <c r="CN123" s="6"/>
      <c r="CO123" s="138"/>
      <c r="CP123" s="138"/>
      <c r="CQ123" s="123"/>
      <c r="CR123" s="6"/>
      <c r="CS123" s="6"/>
      <c r="CT123" s="139"/>
      <c r="CU123" s="139"/>
      <c r="CV123" s="76"/>
      <c r="CW123" s="123"/>
      <c r="CX123" s="6"/>
      <c r="DI123" s="125"/>
      <c r="DJ123" s="16"/>
      <c r="DM123" s="16"/>
      <c r="DN123" s="16"/>
      <c r="DO123" s="125"/>
      <c r="DP123" s="16"/>
      <c r="DQ123" s="125"/>
      <c r="DR123" s="164"/>
      <c r="DY123" s="142"/>
      <c r="DZ123" s="125"/>
      <c r="EA123" s="142"/>
      <c r="EB123" s="125"/>
      <c r="EC123" s="16"/>
      <c r="ED123" s="125"/>
      <c r="EE123" s="125"/>
      <c r="EF123" s="16"/>
      <c r="EG123" s="125"/>
      <c r="EQ123" s="125"/>
      <c r="ER123" s="16"/>
      <c r="ES123" s="123"/>
      <c r="ET123" s="19"/>
      <c r="EU123" s="139"/>
      <c r="EV123" s="139"/>
      <c r="EW123" s="123"/>
      <c r="EX123" s="123"/>
      <c r="EY123" s="123"/>
      <c r="EZ123" s="123"/>
      <c r="FA123" s="123"/>
      <c r="FB123" s="123"/>
      <c r="FC123" s="6"/>
      <c r="FD123" s="123"/>
      <c r="FE123" s="6"/>
      <c r="FF123" s="123"/>
      <c r="FG123" s="6"/>
      <c r="FH123" s="6"/>
      <c r="FI123" s="6"/>
      <c r="FJ123" s="6"/>
      <c r="FK123" s="123"/>
      <c r="FL123" s="6"/>
      <c r="FM123" s="6"/>
      <c r="FN123" s="6"/>
      <c r="FO123" s="138"/>
      <c r="FP123" s="138"/>
      <c r="FQ123" s="123"/>
      <c r="FR123" s="6"/>
      <c r="FS123" s="6"/>
      <c r="FT123" s="139"/>
      <c r="FU123" s="139"/>
      <c r="FV123" s="76"/>
      <c r="FW123" s="123"/>
      <c r="FX123" s="6"/>
    </row>
    <row r="124" spans="35:180">
      <c r="AI124" s="125"/>
      <c r="AJ124" s="16"/>
      <c r="AM124" s="16"/>
      <c r="AN124" s="16"/>
      <c r="AO124" s="125"/>
      <c r="AP124" s="16"/>
      <c r="AQ124" s="125"/>
      <c r="AR124" s="164"/>
      <c r="AY124" s="142"/>
      <c r="AZ124" s="125"/>
      <c r="BA124" s="142"/>
      <c r="BB124" s="125"/>
      <c r="BC124" s="16"/>
      <c r="BD124" s="125"/>
      <c r="BE124" s="125"/>
      <c r="BF124" s="16"/>
      <c r="BG124" s="125"/>
      <c r="BQ124" s="125"/>
      <c r="BR124" s="16"/>
      <c r="BS124" s="123"/>
      <c r="BT124" s="19"/>
      <c r="BU124" s="139"/>
      <c r="BV124" s="139"/>
      <c r="BW124" s="123"/>
      <c r="BX124" s="123"/>
      <c r="BY124" s="123"/>
      <c r="BZ124" s="123"/>
      <c r="CA124" s="123"/>
      <c r="CB124" s="123"/>
      <c r="CC124" s="6"/>
      <c r="CD124" s="123"/>
      <c r="CE124" s="6"/>
      <c r="CF124" s="123"/>
      <c r="CG124" s="6"/>
      <c r="CH124" s="6"/>
      <c r="CI124" s="6"/>
      <c r="CJ124" s="6"/>
      <c r="CK124" s="123"/>
      <c r="CL124" s="6"/>
      <c r="CM124" s="6"/>
      <c r="CN124" s="6"/>
      <c r="CO124" s="138"/>
      <c r="CP124" s="138"/>
      <c r="CQ124" s="123"/>
      <c r="CR124" s="6"/>
      <c r="CS124" s="6"/>
      <c r="CT124" s="139"/>
      <c r="CU124" s="139"/>
      <c r="CV124" s="76"/>
      <c r="CW124" s="123"/>
      <c r="CX124" s="6"/>
      <c r="DI124" s="125"/>
      <c r="DJ124" s="16"/>
      <c r="DM124" s="16"/>
      <c r="DN124" s="16"/>
      <c r="DO124" s="125"/>
      <c r="DP124" s="16"/>
      <c r="DQ124" s="125"/>
      <c r="DR124" s="164"/>
      <c r="DY124" s="142"/>
      <c r="DZ124" s="125"/>
      <c r="EA124" s="142"/>
      <c r="EB124" s="125"/>
      <c r="EC124" s="16"/>
      <c r="ED124" s="125"/>
      <c r="EE124" s="125"/>
      <c r="EF124" s="16"/>
      <c r="EG124" s="125"/>
      <c r="EQ124" s="125"/>
      <c r="ER124" s="16"/>
      <c r="ES124" s="123"/>
      <c r="ET124" s="19"/>
      <c r="EU124" s="139"/>
      <c r="EV124" s="139"/>
      <c r="EW124" s="123"/>
      <c r="EX124" s="123"/>
      <c r="EY124" s="123"/>
      <c r="EZ124" s="123"/>
      <c r="FA124" s="123"/>
      <c r="FB124" s="123"/>
      <c r="FC124" s="6"/>
      <c r="FD124" s="123"/>
      <c r="FE124" s="6"/>
      <c r="FF124" s="123"/>
      <c r="FG124" s="6"/>
      <c r="FH124" s="6"/>
      <c r="FI124" s="6"/>
      <c r="FJ124" s="6"/>
      <c r="FK124" s="123"/>
      <c r="FL124" s="6"/>
      <c r="FM124" s="6"/>
      <c r="FN124" s="6"/>
      <c r="FO124" s="138"/>
      <c r="FP124" s="138"/>
      <c r="FQ124" s="123"/>
      <c r="FR124" s="6"/>
      <c r="FS124" s="6"/>
      <c r="FT124" s="139"/>
      <c r="FU124" s="139"/>
      <c r="FV124" s="76"/>
      <c r="FW124" s="123"/>
      <c r="FX124" s="6"/>
    </row>
    <row r="125" spans="35:180">
      <c r="AI125" s="125"/>
      <c r="AJ125" s="16"/>
      <c r="AM125" s="16"/>
      <c r="AN125" s="16"/>
      <c r="AO125" s="125"/>
      <c r="AP125" s="16"/>
      <c r="AQ125" s="125"/>
      <c r="AR125" s="164"/>
      <c r="AY125" s="142"/>
      <c r="AZ125" s="125"/>
      <c r="BA125" s="142"/>
      <c r="BB125" s="125"/>
      <c r="BC125" s="16"/>
      <c r="BD125" s="125"/>
      <c r="BE125" s="125"/>
      <c r="BF125" s="16"/>
      <c r="BG125" s="125"/>
      <c r="BQ125" s="125"/>
      <c r="BR125" s="16"/>
      <c r="BS125" s="123"/>
      <c r="BT125" s="19"/>
      <c r="BU125" s="139"/>
      <c r="BV125" s="139"/>
      <c r="BW125" s="123"/>
      <c r="BX125" s="123"/>
      <c r="BY125" s="123"/>
      <c r="BZ125" s="123"/>
      <c r="CA125" s="123"/>
      <c r="CB125" s="123"/>
      <c r="CC125" s="6"/>
      <c r="CD125" s="123"/>
      <c r="CE125" s="6"/>
      <c r="CF125" s="123"/>
      <c r="CG125" s="6"/>
      <c r="CH125" s="6"/>
      <c r="CI125" s="6"/>
      <c r="CJ125" s="6"/>
      <c r="CK125" s="123"/>
      <c r="CL125" s="6"/>
      <c r="CM125" s="6"/>
      <c r="CN125" s="6"/>
      <c r="CO125" s="138"/>
      <c r="CP125" s="138"/>
      <c r="CQ125" s="123"/>
      <c r="CR125" s="6"/>
      <c r="CS125" s="6"/>
      <c r="CT125" s="139"/>
      <c r="CU125" s="139"/>
      <c r="CV125" s="76"/>
      <c r="CW125" s="123"/>
      <c r="CX125" s="6"/>
      <c r="DI125" s="125"/>
      <c r="DJ125" s="16"/>
      <c r="DM125" s="16"/>
      <c r="DN125" s="16"/>
      <c r="DO125" s="125"/>
      <c r="DP125" s="16"/>
      <c r="DQ125" s="125"/>
      <c r="DR125" s="164"/>
      <c r="DY125" s="142"/>
      <c r="DZ125" s="125"/>
      <c r="EA125" s="142"/>
      <c r="EB125" s="125"/>
      <c r="EC125" s="16"/>
      <c r="ED125" s="125"/>
      <c r="EE125" s="125"/>
      <c r="EF125" s="16"/>
      <c r="EG125" s="125"/>
      <c r="EQ125" s="125"/>
      <c r="ER125" s="16"/>
      <c r="ES125" s="123"/>
      <c r="ET125" s="19"/>
      <c r="EU125" s="139"/>
      <c r="EV125" s="139"/>
      <c r="EW125" s="123"/>
      <c r="EX125" s="123"/>
      <c r="EY125" s="123"/>
      <c r="EZ125" s="123"/>
      <c r="FA125" s="123"/>
      <c r="FB125" s="123"/>
      <c r="FC125" s="6"/>
      <c r="FD125" s="123"/>
      <c r="FE125" s="6"/>
      <c r="FF125" s="123"/>
      <c r="FG125" s="6"/>
      <c r="FH125" s="6"/>
      <c r="FI125" s="6"/>
      <c r="FJ125" s="6"/>
      <c r="FK125" s="123"/>
      <c r="FL125" s="6"/>
      <c r="FM125" s="6"/>
      <c r="FN125" s="6"/>
      <c r="FO125" s="138"/>
      <c r="FP125" s="138"/>
      <c r="FQ125" s="123"/>
      <c r="FR125" s="6"/>
      <c r="FS125" s="6"/>
      <c r="FT125" s="139"/>
      <c r="FU125" s="139"/>
      <c r="FV125" s="76"/>
      <c r="FW125" s="123"/>
      <c r="FX125" s="6"/>
    </row>
    <row r="126" spans="35:180">
      <c r="AI126" s="125"/>
      <c r="AJ126" s="16"/>
      <c r="AM126" s="16"/>
      <c r="AN126" s="16"/>
      <c r="AO126" s="125"/>
      <c r="AP126" s="16"/>
      <c r="AQ126" s="125"/>
      <c r="AR126" s="164"/>
      <c r="AY126" s="142"/>
      <c r="AZ126" s="125"/>
      <c r="BA126" s="142"/>
      <c r="BB126" s="125"/>
      <c r="BC126" s="16"/>
      <c r="BD126" s="125"/>
      <c r="BE126" s="125"/>
      <c r="BF126" s="16"/>
      <c r="BG126" s="125"/>
      <c r="BQ126" s="125"/>
      <c r="BR126" s="16"/>
      <c r="BS126" s="123"/>
      <c r="BT126" s="19"/>
      <c r="BU126" s="139"/>
      <c r="BV126" s="139"/>
      <c r="BW126" s="123"/>
      <c r="BX126" s="123"/>
      <c r="BY126" s="123"/>
      <c r="BZ126" s="123"/>
      <c r="CA126" s="123"/>
      <c r="CB126" s="123"/>
      <c r="CC126" s="6"/>
      <c r="CD126" s="123"/>
      <c r="CE126" s="6"/>
      <c r="CF126" s="123"/>
      <c r="CG126" s="6"/>
      <c r="CH126" s="6"/>
      <c r="CI126" s="6"/>
      <c r="CJ126" s="6"/>
      <c r="CK126" s="123"/>
      <c r="CL126" s="6"/>
      <c r="CM126" s="6"/>
      <c r="CN126" s="6"/>
      <c r="CO126" s="138"/>
      <c r="CP126" s="138"/>
      <c r="CQ126" s="123"/>
      <c r="CR126" s="6"/>
      <c r="CS126" s="6"/>
      <c r="CT126" s="139"/>
      <c r="CU126" s="139"/>
      <c r="CV126" s="76"/>
      <c r="CW126" s="123"/>
      <c r="CX126" s="6"/>
      <c r="DI126" s="125"/>
      <c r="DJ126" s="16"/>
      <c r="DM126" s="16"/>
      <c r="DN126" s="16"/>
      <c r="DO126" s="125"/>
      <c r="DP126" s="16"/>
      <c r="DQ126" s="125"/>
      <c r="DR126" s="164"/>
      <c r="DY126" s="142"/>
      <c r="DZ126" s="125"/>
      <c r="EA126" s="142"/>
      <c r="EB126" s="125"/>
      <c r="EC126" s="16"/>
      <c r="ED126" s="125"/>
      <c r="EE126" s="125"/>
      <c r="EF126" s="16"/>
      <c r="EG126" s="125"/>
      <c r="EQ126" s="125"/>
      <c r="ER126" s="16"/>
      <c r="ES126" s="123"/>
      <c r="ET126" s="19"/>
      <c r="EU126" s="139"/>
      <c r="EV126" s="139"/>
      <c r="EW126" s="123"/>
      <c r="EX126" s="123"/>
      <c r="EY126" s="123"/>
      <c r="EZ126" s="123"/>
      <c r="FA126" s="123"/>
      <c r="FB126" s="123"/>
      <c r="FC126" s="6"/>
      <c r="FD126" s="123"/>
      <c r="FE126" s="6"/>
      <c r="FF126" s="123"/>
      <c r="FG126" s="6"/>
      <c r="FH126" s="6"/>
      <c r="FI126" s="6"/>
      <c r="FJ126" s="6"/>
      <c r="FK126" s="123"/>
      <c r="FL126" s="6"/>
      <c r="FM126" s="6"/>
      <c r="FN126" s="6"/>
      <c r="FO126" s="138"/>
      <c r="FP126" s="138"/>
      <c r="FQ126" s="123"/>
      <c r="FR126" s="6"/>
      <c r="FS126" s="6"/>
      <c r="FT126" s="139"/>
      <c r="FU126" s="139"/>
      <c r="FV126" s="76"/>
      <c r="FW126" s="123"/>
      <c r="FX126" s="6"/>
    </row>
    <row r="127" spans="35:180">
      <c r="AI127" s="125"/>
      <c r="AJ127" s="16"/>
      <c r="AM127" s="16"/>
      <c r="AN127" s="16"/>
      <c r="AO127" s="125"/>
      <c r="AP127" s="16"/>
      <c r="AQ127" s="125"/>
      <c r="AR127" s="164"/>
      <c r="AY127" s="142"/>
      <c r="AZ127" s="125"/>
      <c r="BA127" s="142"/>
      <c r="BB127" s="125"/>
      <c r="BC127" s="16"/>
      <c r="BD127" s="125"/>
      <c r="BE127" s="125"/>
      <c r="BF127" s="16"/>
      <c r="BG127" s="125"/>
      <c r="BQ127" s="125"/>
      <c r="BR127" s="16"/>
      <c r="BS127" s="123"/>
      <c r="BT127" s="19"/>
      <c r="BU127" s="139"/>
      <c r="BV127" s="139"/>
      <c r="BW127" s="123"/>
      <c r="BX127" s="123"/>
      <c r="BY127" s="123"/>
      <c r="BZ127" s="123"/>
      <c r="CA127" s="123"/>
      <c r="CB127" s="123"/>
      <c r="CC127" s="6"/>
      <c r="CD127" s="123"/>
      <c r="CE127" s="6"/>
      <c r="CF127" s="123"/>
      <c r="CG127" s="6"/>
      <c r="CH127" s="6"/>
      <c r="CI127" s="6"/>
      <c r="CJ127" s="6"/>
      <c r="CK127" s="123"/>
      <c r="CL127" s="6"/>
      <c r="CM127" s="6"/>
      <c r="CN127" s="6"/>
      <c r="CO127" s="138"/>
      <c r="CP127" s="138"/>
      <c r="CQ127" s="123"/>
      <c r="CR127" s="6"/>
      <c r="CS127" s="6"/>
      <c r="CT127" s="139"/>
      <c r="CU127" s="139"/>
      <c r="CV127" s="76"/>
      <c r="CW127" s="123"/>
      <c r="CX127" s="6"/>
      <c r="DI127" s="125"/>
      <c r="DJ127" s="16"/>
      <c r="DM127" s="16"/>
      <c r="DN127" s="16"/>
      <c r="DO127" s="125"/>
      <c r="DP127" s="16"/>
      <c r="DQ127" s="125"/>
      <c r="DR127" s="164"/>
      <c r="DY127" s="142"/>
      <c r="DZ127" s="125"/>
      <c r="EA127" s="142"/>
      <c r="EB127" s="125"/>
      <c r="EC127" s="16"/>
      <c r="ED127" s="125"/>
      <c r="EE127" s="125"/>
      <c r="EF127" s="16"/>
      <c r="EG127" s="125"/>
      <c r="EQ127" s="125"/>
      <c r="ER127" s="16"/>
      <c r="ES127" s="123"/>
      <c r="ET127" s="19"/>
      <c r="EU127" s="139"/>
      <c r="EV127" s="139"/>
      <c r="EW127" s="123"/>
      <c r="EX127" s="123"/>
      <c r="EY127" s="123"/>
      <c r="EZ127" s="123"/>
      <c r="FA127" s="123"/>
      <c r="FB127" s="123"/>
      <c r="FC127" s="6"/>
      <c r="FD127" s="123"/>
      <c r="FE127" s="6"/>
      <c r="FF127" s="123"/>
      <c r="FG127" s="6"/>
      <c r="FH127" s="6"/>
      <c r="FI127" s="6"/>
      <c r="FJ127" s="6"/>
      <c r="FK127" s="123"/>
      <c r="FL127" s="6"/>
      <c r="FM127" s="6"/>
      <c r="FN127" s="6"/>
      <c r="FO127" s="138"/>
      <c r="FP127" s="138"/>
      <c r="FQ127" s="123"/>
      <c r="FR127" s="6"/>
      <c r="FS127" s="6"/>
      <c r="FT127" s="139"/>
      <c r="FU127" s="139"/>
      <c r="FV127" s="76"/>
      <c r="FW127" s="123"/>
      <c r="FX127" s="6"/>
    </row>
    <row r="128" spans="35:180">
      <c r="AI128" s="125"/>
      <c r="AJ128" s="16"/>
      <c r="AM128" s="16"/>
      <c r="AN128" s="16"/>
      <c r="AO128" s="125"/>
      <c r="AP128" s="16"/>
      <c r="AQ128" s="125"/>
      <c r="AR128" s="164"/>
      <c r="AY128" s="142"/>
      <c r="AZ128" s="125"/>
      <c r="BA128" s="142"/>
      <c r="BB128" s="125"/>
      <c r="BC128" s="16"/>
      <c r="BD128" s="125"/>
      <c r="BE128" s="125"/>
      <c r="BF128" s="16"/>
      <c r="BG128" s="125"/>
      <c r="BQ128" s="125"/>
      <c r="BR128" s="16"/>
      <c r="BS128" s="123"/>
      <c r="BT128" s="19"/>
      <c r="BU128" s="139"/>
      <c r="BV128" s="139"/>
      <c r="BW128" s="123"/>
      <c r="BX128" s="123"/>
      <c r="BY128" s="123"/>
      <c r="BZ128" s="123"/>
      <c r="CA128" s="123"/>
      <c r="CB128" s="123"/>
      <c r="CC128" s="6"/>
      <c r="CD128" s="123"/>
      <c r="CE128" s="6"/>
      <c r="CF128" s="123"/>
      <c r="CG128" s="6"/>
      <c r="CH128" s="6"/>
      <c r="CI128" s="6"/>
      <c r="CJ128" s="6"/>
      <c r="CK128" s="123"/>
      <c r="CL128" s="6"/>
      <c r="CM128" s="6"/>
      <c r="CN128" s="6"/>
      <c r="CO128" s="138"/>
      <c r="CP128" s="138"/>
      <c r="CQ128" s="123"/>
      <c r="CR128" s="6"/>
      <c r="CS128" s="6"/>
      <c r="CT128" s="139"/>
      <c r="CU128" s="139"/>
      <c r="CV128" s="76"/>
      <c r="CW128" s="123"/>
      <c r="CX128" s="6"/>
      <c r="DI128" s="125"/>
      <c r="DJ128" s="16"/>
      <c r="DM128" s="16"/>
      <c r="DN128" s="16"/>
      <c r="DO128" s="125"/>
      <c r="DP128" s="16"/>
      <c r="DQ128" s="125"/>
      <c r="DR128" s="164"/>
      <c r="DY128" s="142"/>
      <c r="DZ128" s="125"/>
      <c r="EA128" s="142"/>
      <c r="EB128" s="125"/>
      <c r="EC128" s="16"/>
      <c r="ED128" s="125"/>
      <c r="EE128" s="125"/>
      <c r="EF128" s="16"/>
      <c r="EG128" s="125"/>
      <c r="EQ128" s="125"/>
      <c r="ER128" s="16"/>
      <c r="ES128" s="123"/>
      <c r="ET128" s="19"/>
      <c r="EU128" s="139"/>
      <c r="EV128" s="139"/>
      <c r="EW128" s="123"/>
      <c r="EX128" s="123"/>
      <c r="EY128" s="123"/>
      <c r="EZ128" s="123"/>
      <c r="FA128" s="123"/>
      <c r="FB128" s="123"/>
      <c r="FC128" s="6"/>
      <c r="FD128" s="123"/>
      <c r="FE128" s="6"/>
      <c r="FF128" s="123"/>
      <c r="FG128" s="6"/>
      <c r="FH128" s="6"/>
      <c r="FI128" s="6"/>
      <c r="FJ128" s="6"/>
      <c r="FK128" s="123"/>
      <c r="FL128" s="6"/>
      <c r="FM128" s="6"/>
      <c r="FN128" s="6"/>
      <c r="FO128" s="138"/>
      <c r="FP128" s="138"/>
      <c r="FQ128" s="123"/>
      <c r="FR128" s="6"/>
      <c r="FS128" s="6"/>
      <c r="FT128" s="139"/>
      <c r="FU128" s="139"/>
      <c r="FV128" s="76"/>
      <c r="FW128" s="123"/>
      <c r="FX128" s="6"/>
    </row>
    <row r="129" spans="35:180">
      <c r="AI129" s="125"/>
      <c r="AJ129" s="16"/>
      <c r="AM129" s="16"/>
      <c r="AN129" s="16"/>
      <c r="AO129" s="125"/>
      <c r="AP129" s="16"/>
      <c r="AQ129" s="125"/>
      <c r="AR129" s="164"/>
      <c r="AY129" s="142"/>
      <c r="AZ129" s="125"/>
      <c r="BA129" s="142"/>
      <c r="BB129" s="125"/>
      <c r="BC129" s="16"/>
      <c r="BD129" s="125"/>
      <c r="BE129" s="125"/>
      <c r="BF129" s="16"/>
      <c r="BG129" s="125"/>
      <c r="BQ129" s="125"/>
      <c r="BR129" s="16"/>
      <c r="BS129" s="123"/>
      <c r="BT129" s="19"/>
      <c r="BU129" s="139"/>
      <c r="BV129" s="139"/>
      <c r="BW129" s="123"/>
      <c r="BX129" s="123"/>
      <c r="BY129" s="123"/>
      <c r="BZ129" s="123"/>
      <c r="CA129" s="123"/>
      <c r="CB129" s="123"/>
      <c r="CC129" s="6"/>
      <c r="CD129" s="123"/>
      <c r="CE129" s="6"/>
      <c r="CF129" s="123"/>
      <c r="CG129" s="6"/>
      <c r="CH129" s="6"/>
      <c r="CI129" s="6"/>
      <c r="CJ129" s="6"/>
      <c r="CK129" s="123"/>
      <c r="CL129" s="6"/>
      <c r="CM129" s="6"/>
      <c r="CN129" s="6"/>
      <c r="CO129" s="138"/>
      <c r="CP129" s="138"/>
      <c r="CQ129" s="123"/>
      <c r="CR129" s="6"/>
      <c r="CS129" s="6"/>
      <c r="CT129" s="139"/>
      <c r="CU129" s="139"/>
      <c r="CV129" s="76"/>
      <c r="CW129" s="123"/>
      <c r="CX129" s="6"/>
      <c r="DI129" s="125"/>
      <c r="DJ129" s="16"/>
      <c r="DM129" s="16"/>
      <c r="DN129" s="16"/>
      <c r="DO129" s="125"/>
      <c r="DP129" s="16"/>
      <c r="DQ129" s="125"/>
      <c r="DR129" s="164"/>
      <c r="DY129" s="142"/>
      <c r="DZ129" s="125"/>
      <c r="EA129" s="142"/>
      <c r="EB129" s="125"/>
      <c r="EC129" s="16"/>
      <c r="ED129" s="125"/>
      <c r="EE129" s="125"/>
      <c r="EF129" s="16"/>
      <c r="EG129" s="125"/>
      <c r="EQ129" s="125"/>
      <c r="ER129" s="16"/>
      <c r="ES129" s="123"/>
      <c r="ET129" s="19"/>
      <c r="EU129" s="139"/>
      <c r="EV129" s="139"/>
      <c r="EW129" s="123"/>
      <c r="EX129" s="123"/>
      <c r="EY129" s="123"/>
      <c r="EZ129" s="123"/>
      <c r="FA129" s="123"/>
      <c r="FB129" s="123"/>
      <c r="FC129" s="6"/>
      <c r="FD129" s="123"/>
      <c r="FE129" s="6"/>
      <c r="FF129" s="123"/>
      <c r="FG129" s="6"/>
      <c r="FH129" s="6"/>
      <c r="FI129" s="6"/>
      <c r="FJ129" s="6"/>
      <c r="FK129" s="123"/>
      <c r="FL129" s="6"/>
      <c r="FM129" s="6"/>
      <c r="FN129" s="6"/>
      <c r="FO129" s="138"/>
      <c r="FP129" s="138"/>
      <c r="FQ129" s="123"/>
      <c r="FR129" s="6"/>
      <c r="FS129" s="6"/>
      <c r="FT129" s="139"/>
      <c r="FU129" s="139"/>
      <c r="FV129" s="76"/>
      <c r="FW129" s="123"/>
      <c r="FX129" s="6"/>
    </row>
    <row r="130" spans="35:180">
      <c r="AI130" s="125"/>
      <c r="AJ130" s="16"/>
      <c r="AM130" s="16"/>
      <c r="AN130" s="16"/>
      <c r="AO130" s="125"/>
      <c r="AP130" s="16"/>
      <c r="AQ130" s="125"/>
      <c r="AR130" s="164"/>
      <c r="AY130" s="142"/>
      <c r="AZ130" s="125"/>
      <c r="BA130" s="142"/>
      <c r="BB130" s="125"/>
      <c r="BC130" s="16"/>
      <c r="BD130" s="125"/>
      <c r="BE130" s="125"/>
      <c r="BF130" s="16"/>
      <c r="BG130" s="125"/>
      <c r="BQ130" s="125"/>
      <c r="BR130" s="16"/>
      <c r="BS130" s="123"/>
      <c r="BT130" s="19"/>
      <c r="BU130" s="139"/>
      <c r="BV130" s="139"/>
      <c r="BW130" s="123"/>
      <c r="BX130" s="123"/>
      <c r="BY130" s="123"/>
      <c r="BZ130" s="123"/>
      <c r="CA130" s="123"/>
      <c r="CB130" s="123"/>
      <c r="CC130" s="6"/>
      <c r="CD130" s="123"/>
      <c r="CE130" s="6"/>
      <c r="CF130" s="123"/>
      <c r="CG130" s="6"/>
      <c r="CH130" s="6"/>
      <c r="CI130" s="6"/>
      <c r="CJ130" s="6"/>
      <c r="CK130" s="123"/>
      <c r="CL130" s="6"/>
      <c r="CM130" s="6"/>
      <c r="CN130" s="6"/>
      <c r="CO130" s="138"/>
      <c r="CP130" s="138"/>
      <c r="CQ130" s="123"/>
      <c r="CR130" s="6"/>
      <c r="CS130" s="6"/>
      <c r="CT130" s="139"/>
      <c r="CU130" s="139"/>
      <c r="CV130" s="76"/>
      <c r="CW130" s="123"/>
      <c r="CX130" s="6"/>
      <c r="DI130" s="125"/>
      <c r="DJ130" s="16"/>
      <c r="DM130" s="16"/>
      <c r="DN130" s="16"/>
      <c r="DO130" s="125"/>
      <c r="DP130" s="16"/>
      <c r="DQ130" s="125"/>
      <c r="DR130" s="164"/>
      <c r="DY130" s="142"/>
      <c r="DZ130" s="125"/>
      <c r="EA130" s="142"/>
      <c r="EB130" s="125"/>
      <c r="EC130" s="16"/>
      <c r="ED130" s="125"/>
      <c r="EE130" s="125"/>
      <c r="EF130" s="16"/>
      <c r="EG130" s="125"/>
      <c r="EQ130" s="125"/>
      <c r="ER130" s="16"/>
      <c r="ES130" s="123"/>
      <c r="ET130" s="19"/>
      <c r="EU130" s="139"/>
      <c r="EV130" s="139"/>
      <c r="EW130" s="123"/>
      <c r="EX130" s="123"/>
      <c r="EY130" s="123"/>
      <c r="EZ130" s="123"/>
      <c r="FA130" s="123"/>
      <c r="FB130" s="123"/>
      <c r="FC130" s="6"/>
      <c r="FD130" s="123"/>
      <c r="FE130" s="6"/>
      <c r="FF130" s="123"/>
      <c r="FG130" s="6"/>
      <c r="FH130" s="6"/>
      <c r="FI130" s="6"/>
      <c r="FJ130" s="6"/>
      <c r="FK130" s="123"/>
      <c r="FL130" s="6"/>
      <c r="FM130" s="6"/>
      <c r="FN130" s="6"/>
      <c r="FO130" s="138"/>
      <c r="FP130" s="138"/>
      <c r="FQ130" s="123"/>
      <c r="FR130" s="6"/>
      <c r="FS130" s="6"/>
      <c r="FT130" s="139"/>
      <c r="FU130" s="139"/>
      <c r="FV130" s="76"/>
      <c r="FW130" s="123"/>
      <c r="FX130" s="6"/>
    </row>
    <row r="131" spans="35:180">
      <c r="AI131" s="125"/>
      <c r="AJ131" s="16"/>
      <c r="AM131" s="16"/>
      <c r="AN131" s="16"/>
      <c r="AO131" s="125"/>
      <c r="AP131" s="16"/>
      <c r="AQ131" s="125"/>
      <c r="AR131" s="164"/>
      <c r="AY131" s="142"/>
      <c r="AZ131" s="125"/>
      <c r="BA131" s="142"/>
      <c r="BB131" s="125"/>
      <c r="BC131" s="16"/>
      <c r="BD131" s="125"/>
      <c r="BE131" s="125"/>
      <c r="BF131" s="16"/>
      <c r="BG131" s="125"/>
      <c r="BQ131" s="125"/>
      <c r="BR131" s="16"/>
      <c r="BS131" s="123"/>
      <c r="BT131" s="19"/>
      <c r="BU131" s="139"/>
      <c r="BV131" s="139"/>
      <c r="BW131" s="123"/>
      <c r="BX131" s="123"/>
      <c r="BY131" s="123"/>
      <c r="BZ131" s="123"/>
      <c r="CA131" s="123"/>
      <c r="CB131" s="123"/>
      <c r="CC131" s="6"/>
      <c r="CD131" s="123"/>
      <c r="CE131" s="6"/>
      <c r="CF131" s="123"/>
      <c r="CG131" s="6"/>
      <c r="CH131" s="6"/>
      <c r="CI131" s="6"/>
      <c r="CJ131" s="6"/>
      <c r="CK131" s="123"/>
      <c r="CL131" s="6"/>
      <c r="CM131" s="6"/>
      <c r="CN131" s="6"/>
      <c r="CO131" s="138"/>
      <c r="CP131" s="138"/>
      <c r="CQ131" s="123"/>
      <c r="CR131" s="6"/>
      <c r="CS131" s="6"/>
      <c r="CT131" s="139"/>
      <c r="CU131" s="139"/>
      <c r="CV131" s="76"/>
      <c r="CW131" s="123"/>
      <c r="CX131" s="6"/>
      <c r="DI131" s="125"/>
      <c r="DJ131" s="16"/>
      <c r="DM131" s="16"/>
      <c r="DN131" s="16"/>
      <c r="DO131" s="125"/>
      <c r="DP131" s="16"/>
      <c r="DQ131" s="125"/>
      <c r="DR131" s="164"/>
      <c r="DY131" s="142"/>
      <c r="DZ131" s="125"/>
      <c r="EA131" s="142"/>
      <c r="EB131" s="125"/>
      <c r="EC131" s="16"/>
      <c r="ED131" s="125"/>
      <c r="EE131" s="125"/>
      <c r="EF131" s="16"/>
      <c r="EG131" s="125"/>
      <c r="EQ131" s="125"/>
      <c r="ER131" s="16"/>
      <c r="ES131" s="123"/>
      <c r="ET131" s="19"/>
      <c r="EU131" s="139"/>
      <c r="EV131" s="139"/>
      <c r="EW131" s="123"/>
      <c r="EX131" s="123"/>
      <c r="EY131" s="123"/>
      <c r="EZ131" s="123"/>
      <c r="FA131" s="123"/>
      <c r="FB131" s="123"/>
      <c r="FC131" s="6"/>
      <c r="FD131" s="123"/>
      <c r="FE131" s="6"/>
      <c r="FF131" s="123"/>
      <c r="FG131" s="6"/>
      <c r="FH131" s="6"/>
      <c r="FI131" s="6"/>
      <c r="FJ131" s="6"/>
      <c r="FK131" s="123"/>
      <c r="FL131" s="6"/>
      <c r="FM131" s="6"/>
      <c r="FN131" s="6"/>
      <c r="FO131" s="138"/>
      <c r="FP131" s="138"/>
      <c r="FQ131" s="123"/>
      <c r="FR131" s="6"/>
      <c r="FS131" s="6"/>
      <c r="FT131" s="139"/>
      <c r="FU131" s="139"/>
      <c r="FV131" s="76"/>
      <c r="FW131" s="123"/>
      <c r="FX131" s="6"/>
    </row>
    <row r="132" spans="35:180">
      <c r="AI132" s="125"/>
      <c r="AJ132" s="16"/>
      <c r="AM132" s="16"/>
      <c r="AN132" s="16"/>
      <c r="AO132" s="125"/>
      <c r="AP132" s="16"/>
      <c r="AQ132" s="125"/>
      <c r="AR132" s="164"/>
      <c r="AY132" s="142"/>
      <c r="AZ132" s="125"/>
      <c r="BA132" s="142"/>
      <c r="BB132" s="125"/>
      <c r="BC132" s="16"/>
      <c r="BD132" s="125"/>
      <c r="BE132" s="125"/>
      <c r="BF132" s="16"/>
      <c r="BG132" s="125"/>
      <c r="BQ132" s="125"/>
      <c r="BR132" s="16"/>
      <c r="BS132" s="123"/>
      <c r="BT132" s="19"/>
      <c r="BU132" s="139"/>
      <c r="BV132" s="139"/>
      <c r="BW132" s="123"/>
      <c r="BX132" s="123"/>
      <c r="BY132" s="123"/>
      <c r="BZ132" s="123"/>
      <c r="CA132" s="123"/>
      <c r="CB132" s="123"/>
      <c r="CC132" s="6"/>
      <c r="CD132" s="123"/>
      <c r="CE132" s="6"/>
      <c r="CF132" s="123"/>
      <c r="CG132" s="6"/>
      <c r="CH132" s="6"/>
      <c r="CI132" s="6"/>
      <c r="CJ132" s="6"/>
      <c r="CK132" s="123"/>
      <c r="CL132" s="6"/>
      <c r="CM132" s="6"/>
      <c r="CN132" s="6"/>
      <c r="CO132" s="138"/>
      <c r="CP132" s="138"/>
      <c r="CQ132" s="123"/>
      <c r="CR132" s="6"/>
      <c r="CS132" s="6"/>
      <c r="CT132" s="139"/>
      <c r="CU132" s="139"/>
      <c r="CV132" s="76"/>
      <c r="CW132" s="123"/>
      <c r="CX132" s="6"/>
      <c r="DI132" s="125"/>
      <c r="DJ132" s="16"/>
      <c r="DM132" s="16"/>
      <c r="DN132" s="16"/>
      <c r="DO132" s="125"/>
      <c r="DP132" s="16"/>
      <c r="DQ132" s="125"/>
      <c r="DR132" s="164"/>
      <c r="DY132" s="142"/>
      <c r="DZ132" s="125"/>
      <c r="EA132" s="142"/>
      <c r="EB132" s="125"/>
      <c r="EC132" s="16"/>
      <c r="ED132" s="125"/>
      <c r="EE132" s="125"/>
      <c r="EF132" s="16"/>
      <c r="EG132" s="125"/>
      <c r="EQ132" s="125"/>
      <c r="ER132" s="16"/>
      <c r="ES132" s="123"/>
      <c r="ET132" s="19"/>
      <c r="EU132" s="139"/>
      <c r="EV132" s="139"/>
      <c r="EW132" s="123"/>
      <c r="EX132" s="123"/>
      <c r="EY132" s="123"/>
      <c r="EZ132" s="123"/>
      <c r="FA132" s="123"/>
      <c r="FB132" s="123"/>
      <c r="FC132" s="6"/>
      <c r="FD132" s="123"/>
      <c r="FE132" s="6"/>
      <c r="FF132" s="123"/>
      <c r="FG132" s="6"/>
      <c r="FH132" s="6"/>
      <c r="FI132" s="6"/>
      <c r="FJ132" s="6"/>
      <c r="FK132" s="123"/>
      <c r="FL132" s="6"/>
      <c r="FM132" s="6"/>
      <c r="FN132" s="6"/>
      <c r="FO132" s="138"/>
      <c r="FP132" s="138"/>
      <c r="FQ132" s="123"/>
      <c r="FR132" s="6"/>
      <c r="FS132" s="6"/>
      <c r="FT132" s="139"/>
      <c r="FU132" s="139"/>
      <c r="FV132" s="76"/>
      <c r="FW132" s="123"/>
      <c r="FX132" s="6"/>
    </row>
    <row r="133" spans="35:180">
      <c r="AI133" s="125"/>
      <c r="AJ133" s="16"/>
      <c r="AM133" s="16"/>
      <c r="AN133" s="16"/>
      <c r="AO133" s="125"/>
      <c r="AP133" s="16"/>
      <c r="AQ133" s="125"/>
      <c r="AR133" s="164"/>
      <c r="AY133" s="142"/>
      <c r="AZ133" s="125"/>
      <c r="BA133" s="142"/>
      <c r="BB133" s="125"/>
      <c r="BC133" s="16"/>
      <c r="BD133" s="125"/>
      <c r="BE133" s="125"/>
      <c r="BF133" s="16"/>
      <c r="BG133" s="125"/>
      <c r="BQ133" s="125"/>
      <c r="BR133" s="16"/>
      <c r="BS133" s="123"/>
      <c r="BT133" s="19"/>
      <c r="BU133" s="139"/>
      <c r="BV133" s="139"/>
      <c r="BW133" s="123"/>
      <c r="BX133" s="123"/>
      <c r="BY133" s="123"/>
      <c r="BZ133" s="123"/>
      <c r="CA133" s="123"/>
      <c r="CB133" s="123"/>
      <c r="CC133" s="6"/>
      <c r="CD133" s="123"/>
      <c r="CE133" s="6"/>
      <c r="CF133" s="123"/>
      <c r="CG133" s="6"/>
      <c r="CH133" s="6"/>
      <c r="CI133" s="6"/>
      <c r="CJ133" s="6"/>
      <c r="CK133" s="123"/>
      <c r="CL133" s="6"/>
      <c r="CM133" s="6"/>
      <c r="CN133" s="6"/>
      <c r="CO133" s="138"/>
      <c r="CP133" s="138"/>
      <c r="CQ133" s="123"/>
      <c r="CR133" s="6"/>
      <c r="CS133" s="6"/>
      <c r="CT133" s="139"/>
      <c r="CU133" s="139"/>
      <c r="CV133" s="76"/>
      <c r="CW133" s="123"/>
      <c r="CX133" s="6"/>
      <c r="DI133" s="125"/>
      <c r="DJ133" s="16"/>
      <c r="DM133" s="16"/>
      <c r="DN133" s="16"/>
      <c r="DO133" s="125"/>
      <c r="DP133" s="16"/>
      <c r="DQ133" s="125"/>
      <c r="DR133" s="164"/>
      <c r="DY133" s="142"/>
      <c r="DZ133" s="125"/>
      <c r="EA133" s="142"/>
      <c r="EB133" s="125"/>
      <c r="EC133" s="16"/>
      <c r="ED133" s="125"/>
      <c r="EE133" s="125"/>
      <c r="EF133" s="16"/>
      <c r="EG133" s="125"/>
      <c r="EQ133" s="125"/>
      <c r="ER133" s="16"/>
      <c r="ES133" s="123"/>
      <c r="ET133" s="19"/>
      <c r="EU133" s="139"/>
      <c r="EV133" s="139"/>
      <c r="EW133" s="123"/>
      <c r="EX133" s="123"/>
      <c r="EY133" s="123"/>
      <c r="EZ133" s="123"/>
      <c r="FA133" s="123"/>
      <c r="FB133" s="123"/>
      <c r="FC133" s="6"/>
      <c r="FD133" s="123"/>
      <c r="FE133" s="6"/>
      <c r="FF133" s="123"/>
      <c r="FG133" s="6"/>
      <c r="FH133" s="6"/>
      <c r="FI133" s="6"/>
      <c r="FJ133" s="6"/>
      <c r="FK133" s="123"/>
      <c r="FL133" s="6"/>
      <c r="FM133" s="6"/>
      <c r="FN133" s="6"/>
      <c r="FO133" s="138"/>
      <c r="FP133" s="138"/>
      <c r="FQ133" s="123"/>
      <c r="FR133" s="6"/>
      <c r="FS133" s="6"/>
      <c r="FT133" s="139"/>
      <c r="FU133" s="139"/>
      <c r="FV133" s="76"/>
      <c r="FW133" s="123"/>
      <c r="FX133" s="6"/>
    </row>
    <row r="134" spans="35:180">
      <c r="AI134" s="125"/>
      <c r="AJ134" s="16"/>
      <c r="AM134" s="16"/>
      <c r="AN134" s="16"/>
      <c r="AO134" s="125"/>
      <c r="AP134" s="16"/>
      <c r="AQ134" s="125"/>
      <c r="AR134" s="164"/>
      <c r="AY134" s="142"/>
      <c r="AZ134" s="125"/>
      <c r="BA134" s="142"/>
      <c r="BB134" s="125"/>
      <c r="BC134" s="16"/>
      <c r="BD134" s="125"/>
      <c r="BE134" s="125"/>
      <c r="BF134" s="16"/>
      <c r="BG134" s="125"/>
      <c r="BQ134" s="125"/>
      <c r="BR134" s="16"/>
      <c r="BS134" s="123"/>
      <c r="BT134" s="19"/>
      <c r="BU134" s="139"/>
      <c r="BV134" s="139"/>
      <c r="BW134" s="123"/>
      <c r="BX134" s="123"/>
      <c r="BY134" s="123"/>
      <c r="BZ134" s="123"/>
      <c r="CA134" s="123"/>
      <c r="CB134" s="123"/>
      <c r="CC134" s="6"/>
      <c r="CD134" s="123"/>
      <c r="CE134" s="6"/>
      <c r="CF134" s="123"/>
      <c r="CG134" s="6"/>
      <c r="CH134" s="6"/>
      <c r="CI134" s="6"/>
      <c r="CJ134" s="6"/>
      <c r="CK134" s="123"/>
      <c r="CL134" s="6"/>
      <c r="CM134" s="6"/>
      <c r="CN134" s="6"/>
      <c r="CO134" s="138"/>
      <c r="CP134" s="138"/>
      <c r="CQ134" s="123"/>
      <c r="CR134" s="6"/>
      <c r="CS134" s="6"/>
      <c r="CT134" s="139"/>
      <c r="CU134" s="139"/>
      <c r="CV134" s="76"/>
      <c r="CW134" s="123"/>
      <c r="CX134" s="6"/>
      <c r="DI134" s="125"/>
      <c r="DJ134" s="16"/>
      <c r="DM134" s="16"/>
      <c r="DN134" s="16"/>
      <c r="DO134" s="125"/>
      <c r="DP134" s="16"/>
      <c r="DQ134" s="125"/>
      <c r="DR134" s="164"/>
      <c r="DY134" s="142"/>
      <c r="DZ134" s="125"/>
      <c r="EA134" s="142"/>
      <c r="EB134" s="125"/>
      <c r="EC134" s="16"/>
      <c r="ED134" s="125"/>
      <c r="EE134" s="125"/>
      <c r="EF134" s="16"/>
      <c r="EG134" s="125"/>
      <c r="EQ134" s="125"/>
      <c r="ER134" s="16"/>
      <c r="ES134" s="123"/>
      <c r="ET134" s="19"/>
      <c r="EU134" s="139"/>
      <c r="EV134" s="139"/>
      <c r="EW134" s="123"/>
      <c r="EX134" s="123"/>
      <c r="EY134" s="123"/>
      <c r="EZ134" s="123"/>
      <c r="FA134" s="123"/>
      <c r="FB134" s="123"/>
      <c r="FC134" s="6"/>
      <c r="FD134" s="123"/>
      <c r="FE134" s="6"/>
      <c r="FF134" s="123"/>
      <c r="FG134" s="6"/>
      <c r="FH134" s="6"/>
      <c r="FI134" s="6"/>
      <c r="FJ134" s="6"/>
      <c r="FK134" s="123"/>
      <c r="FL134" s="6"/>
      <c r="FM134" s="6"/>
      <c r="FN134" s="6"/>
      <c r="FO134" s="138"/>
      <c r="FP134" s="138"/>
      <c r="FQ134" s="123"/>
      <c r="FR134" s="6"/>
      <c r="FS134" s="6"/>
      <c r="FT134" s="139"/>
      <c r="FU134" s="139"/>
      <c r="FV134" s="76"/>
      <c r="FW134" s="123"/>
      <c r="FX134" s="6"/>
    </row>
    <row r="135" spans="35:180">
      <c r="AI135" s="125"/>
      <c r="AJ135" s="16"/>
      <c r="AM135" s="16"/>
      <c r="AN135" s="16"/>
      <c r="AO135" s="125"/>
      <c r="AP135" s="16"/>
      <c r="AQ135" s="125"/>
      <c r="AR135" s="164"/>
      <c r="AY135" s="142"/>
      <c r="AZ135" s="125"/>
      <c r="BA135" s="142"/>
      <c r="BB135" s="125"/>
      <c r="BC135" s="16"/>
      <c r="BD135" s="125"/>
      <c r="BE135" s="125"/>
      <c r="BF135" s="16"/>
      <c r="BG135" s="125"/>
      <c r="BQ135" s="125"/>
      <c r="BR135" s="16"/>
      <c r="BS135" s="123"/>
      <c r="BT135" s="19"/>
      <c r="BU135" s="139"/>
      <c r="BV135" s="139"/>
      <c r="BW135" s="123"/>
      <c r="BX135" s="123"/>
      <c r="BY135" s="123"/>
      <c r="BZ135" s="123"/>
      <c r="CA135" s="123"/>
      <c r="CB135" s="123"/>
      <c r="CC135" s="6"/>
      <c r="CD135" s="123"/>
      <c r="CE135" s="6"/>
      <c r="CF135" s="123"/>
      <c r="CG135" s="6"/>
      <c r="CH135" s="6"/>
      <c r="CI135" s="6"/>
      <c r="CJ135" s="6"/>
      <c r="CK135" s="123"/>
      <c r="CL135" s="6"/>
      <c r="CM135" s="6"/>
      <c r="CN135" s="6"/>
      <c r="CO135" s="138"/>
      <c r="CP135" s="138"/>
      <c r="CQ135" s="123"/>
      <c r="CR135" s="6"/>
      <c r="CS135" s="6"/>
      <c r="CT135" s="139"/>
      <c r="CU135" s="139"/>
      <c r="CV135" s="76"/>
      <c r="CW135" s="123"/>
      <c r="CX135" s="6"/>
      <c r="DI135" s="125"/>
      <c r="DJ135" s="16"/>
      <c r="DM135" s="16"/>
      <c r="DN135" s="16"/>
      <c r="DO135" s="125"/>
      <c r="DP135" s="16"/>
      <c r="DQ135" s="125"/>
      <c r="DR135" s="164"/>
      <c r="DY135" s="142"/>
      <c r="DZ135" s="125"/>
      <c r="EA135" s="142"/>
      <c r="EB135" s="125"/>
      <c r="EC135" s="16"/>
      <c r="ED135" s="125"/>
      <c r="EE135" s="125"/>
      <c r="EF135" s="16"/>
      <c r="EG135" s="125"/>
      <c r="EQ135" s="125"/>
      <c r="ER135" s="16"/>
      <c r="ES135" s="123"/>
      <c r="ET135" s="19"/>
      <c r="EU135" s="139"/>
      <c r="EV135" s="139"/>
      <c r="EW135" s="123"/>
      <c r="EX135" s="123"/>
      <c r="EY135" s="123"/>
      <c r="EZ135" s="123"/>
      <c r="FA135" s="123"/>
      <c r="FB135" s="123"/>
      <c r="FC135" s="6"/>
      <c r="FD135" s="123"/>
      <c r="FE135" s="6"/>
      <c r="FF135" s="123"/>
      <c r="FG135" s="6"/>
      <c r="FH135" s="6"/>
      <c r="FI135" s="6"/>
      <c r="FJ135" s="6"/>
      <c r="FK135" s="123"/>
      <c r="FL135" s="6"/>
      <c r="FM135" s="6"/>
      <c r="FN135" s="6"/>
      <c r="FO135" s="138"/>
      <c r="FP135" s="138"/>
      <c r="FQ135" s="123"/>
      <c r="FR135" s="6"/>
      <c r="FS135" s="6"/>
      <c r="FT135" s="139"/>
      <c r="FU135" s="139"/>
      <c r="FV135" s="76"/>
      <c r="FW135" s="123"/>
      <c r="FX135" s="6"/>
    </row>
    <row r="136" spans="35:180">
      <c r="AI136" s="125"/>
      <c r="AJ136" s="16"/>
      <c r="AM136" s="16"/>
      <c r="AN136" s="16"/>
      <c r="AO136" s="125"/>
      <c r="AP136" s="16"/>
      <c r="AQ136" s="125"/>
      <c r="AR136" s="164"/>
      <c r="AY136" s="142"/>
      <c r="AZ136" s="125"/>
      <c r="BA136" s="142"/>
      <c r="BB136" s="125"/>
      <c r="BC136" s="16"/>
      <c r="BD136" s="125"/>
      <c r="BE136" s="125"/>
      <c r="BF136" s="16"/>
      <c r="BG136" s="125"/>
      <c r="BQ136" s="125"/>
      <c r="BR136" s="16"/>
      <c r="BS136" s="123"/>
      <c r="BT136" s="19"/>
      <c r="BU136" s="139"/>
      <c r="BV136" s="139"/>
      <c r="BW136" s="123"/>
      <c r="BX136" s="123"/>
      <c r="BY136" s="123"/>
      <c r="BZ136" s="123"/>
      <c r="CA136" s="123"/>
      <c r="CB136" s="123"/>
      <c r="CC136" s="6"/>
      <c r="CD136" s="123"/>
      <c r="CE136" s="6"/>
      <c r="CF136" s="123"/>
      <c r="CG136" s="6"/>
      <c r="CH136" s="6"/>
      <c r="CI136" s="6"/>
      <c r="CJ136" s="6"/>
      <c r="CK136" s="123"/>
      <c r="CL136" s="6"/>
      <c r="CM136" s="6"/>
      <c r="CN136" s="6"/>
      <c r="CO136" s="138"/>
      <c r="CP136" s="138"/>
      <c r="CQ136" s="123"/>
      <c r="CR136" s="6"/>
      <c r="CS136" s="6"/>
      <c r="CT136" s="139"/>
      <c r="CU136" s="139"/>
      <c r="CV136" s="76"/>
      <c r="CW136" s="123"/>
      <c r="CX136" s="6"/>
      <c r="DI136" s="125"/>
      <c r="DJ136" s="16"/>
      <c r="DM136" s="16"/>
      <c r="DN136" s="16"/>
      <c r="DO136" s="125"/>
      <c r="DP136" s="16"/>
      <c r="DQ136" s="125"/>
      <c r="DR136" s="164"/>
      <c r="DY136" s="142"/>
      <c r="DZ136" s="125"/>
      <c r="EA136" s="142"/>
      <c r="EB136" s="125"/>
      <c r="EC136" s="16"/>
      <c r="ED136" s="125"/>
      <c r="EE136" s="125"/>
      <c r="EF136" s="16"/>
      <c r="EG136" s="125"/>
      <c r="EQ136" s="125"/>
      <c r="ER136" s="16"/>
      <c r="ES136" s="123"/>
      <c r="ET136" s="19"/>
      <c r="EU136" s="139"/>
      <c r="EV136" s="139"/>
      <c r="EW136" s="123"/>
      <c r="EX136" s="123"/>
      <c r="EY136" s="123"/>
      <c r="EZ136" s="123"/>
      <c r="FA136" s="123"/>
      <c r="FB136" s="123"/>
      <c r="FC136" s="6"/>
      <c r="FD136" s="123"/>
      <c r="FE136" s="6"/>
      <c r="FF136" s="123"/>
      <c r="FG136" s="6"/>
      <c r="FH136" s="6"/>
      <c r="FI136" s="6"/>
      <c r="FJ136" s="6"/>
      <c r="FK136" s="123"/>
      <c r="FL136" s="6"/>
      <c r="FM136" s="6"/>
      <c r="FN136" s="6"/>
      <c r="FO136" s="138"/>
      <c r="FP136" s="138"/>
      <c r="FQ136" s="123"/>
      <c r="FR136" s="6"/>
      <c r="FS136" s="6"/>
      <c r="FT136" s="139"/>
      <c r="FU136" s="139"/>
      <c r="FV136" s="76"/>
      <c r="FW136" s="123"/>
      <c r="FX136" s="6"/>
    </row>
    <row r="137" spans="35:180">
      <c r="AI137" s="125"/>
      <c r="AJ137" s="16"/>
      <c r="AM137" s="16"/>
      <c r="AN137" s="16"/>
      <c r="AO137" s="125"/>
      <c r="AP137" s="16"/>
      <c r="AQ137" s="125"/>
      <c r="AR137" s="164"/>
      <c r="AY137" s="142"/>
      <c r="AZ137" s="125"/>
      <c r="BA137" s="142"/>
      <c r="BB137" s="125"/>
      <c r="BC137" s="16"/>
      <c r="BD137" s="125"/>
      <c r="BE137" s="125"/>
      <c r="BF137" s="16"/>
      <c r="BG137" s="125"/>
      <c r="BQ137" s="125"/>
      <c r="BR137" s="16"/>
      <c r="BS137" s="123"/>
      <c r="BT137" s="19"/>
      <c r="BU137" s="139"/>
      <c r="BV137" s="139"/>
      <c r="BW137" s="123"/>
      <c r="BX137" s="123"/>
      <c r="BY137" s="123"/>
      <c r="BZ137" s="123"/>
      <c r="CA137" s="123"/>
      <c r="CB137" s="123"/>
      <c r="CC137" s="6"/>
      <c r="CD137" s="123"/>
      <c r="CE137" s="6"/>
      <c r="CF137" s="123"/>
      <c r="CG137" s="6"/>
      <c r="CH137" s="6"/>
      <c r="CI137" s="6"/>
      <c r="CJ137" s="6"/>
      <c r="CK137" s="123"/>
      <c r="CL137" s="6"/>
      <c r="CM137" s="6"/>
      <c r="CN137" s="6"/>
      <c r="CO137" s="138"/>
      <c r="CP137" s="138"/>
      <c r="CQ137" s="123"/>
      <c r="CR137" s="6"/>
      <c r="CS137" s="6"/>
      <c r="CT137" s="139"/>
      <c r="CU137" s="139"/>
      <c r="CV137" s="76"/>
      <c r="CW137" s="123"/>
      <c r="CX137" s="6"/>
      <c r="DI137" s="125"/>
      <c r="DJ137" s="16"/>
      <c r="DM137" s="16"/>
      <c r="DN137" s="16"/>
      <c r="DO137" s="125"/>
      <c r="DP137" s="16"/>
      <c r="DQ137" s="125"/>
      <c r="DR137" s="164"/>
      <c r="DY137" s="142"/>
      <c r="DZ137" s="125"/>
      <c r="EA137" s="142"/>
      <c r="EB137" s="125"/>
      <c r="EC137" s="16"/>
      <c r="ED137" s="125"/>
      <c r="EE137" s="125"/>
      <c r="EF137" s="16"/>
      <c r="EG137" s="125"/>
      <c r="EQ137" s="125"/>
      <c r="ER137" s="16"/>
      <c r="ES137" s="123"/>
      <c r="ET137" s="19"/>
      <c r="EU137" s="139"/>
      <c r="EV137" s="139"/>
      <c r="EW137" s="123"/>
      <c r="EX137" s="123"/>
      <c r="EY137" s="123"/>
      <c r="EZ137" s="123"/>
      <c r="FA137" s="123"/>
      <c r="FB137" s="123"/>
      <c r="FC137" s="6"/>
      <c r="FD137" s="123"/>
      <c r="FE137" s="6"/>
      <c r="FF137" s="123"/>
      <c r="FG137" s="6"/>
      <c r="FH137" s="6"/>
      <c r="FI137" s="6"/>
      <c r="FJ137" s="6"/>
      <c r="FK137" s="123"/>
      <c r="FL137" s="6"/>
      <c r="FM137" s="6"/>
      <c r="FN137" s="6"/>
      <c r="FO137" s="138"/>
      <c r="FP137" s="138"/>
      <c r="FQ137" s="123"/>
      <c r="FR137" s="6"/>
      <c r="FS137" s="6"/>
      <c r="FT137" s="139"/>
      <c r="FU137" s="139"/>
      <c r="FV137" s="76"/>
      <c r="FW137" s="123"/>
      <c r="FX137" s="6"/>
    </row>
    <row r="138" spans="35:180">
      <c r="AI138" s="125"/>
      <c r="AJ138" s="16"/>
      <c r="AM138" s="16"/>
      <c r="AN138" s="16"/>
      <c r="AO138" s="125"/>
      <c r="AP138" s="16"/>
      <c r="AQ138" s="125"/>
      <c r="AR138" s="164"/>
      <c r="AY138" s="142"/>
      <c r="AZ138" s="125"/>
      <c r="BA138" s="142"/>
      <c r="BB138" s="125"/>
      <c r="BC138" s="16"/>
      <c r="BD138" s="125"/>
      <c r="BE138" s="125"/>
      <c r="BF138" s="16"/>
      <c r="BG138" s="125"/>
      <c r="BQ138" s="125"/>
      <c r="BR138" s="16"/>
      <c r="BS138" s="123"/>
      <c r="BT138" s="19"/>
      <c r="BU138" s="139"/>
      <c r="BV138" s="139"/>
      <c r="BW138" s="123"/>
      <c r="BX138" s="123"/>
      <c r="BY138" s="123"/>
      <c r="BZ138" s="123"/>
      <c r="CA138" s="123"/>
      <c r="CB138" s="123"/>
      <c r="CC138" s="6"/>
      <c r="CD138" s="123"/>
      <c r="CE138" s="6"/>
      <c r="CF138" s="123"/>
      <c r="CG138" s="6"/>
      <c r="CH138" s="6"/>
      <c r="CI138" s="6"/>
      <c r="CJ138" s="6"/>
      <c r="CK138" s="123"/>
      <c r="CL138" s="6"/>
      <c r="CM138" s="6"/>
      <c r="CN138" s="6"/>
      <c r="CO138" s="138"/>
      <c r="CP138" s="138"/>
      <c r="CQ138" s="123"/>
      <c r="CR138" s="6"/>
      <c r="CS138" s="6"/>
      <c r="CT138" s="139"/>
      <c r="CU138" s="139"/>
      <c r="CV138" s="76"/>
      <c r="CW138" s="123"/>
      <c r="CX138" s="6"/>
      <c r="DI138" s="125"/>
      <c r="DJ138" s="16"/>
      <c r="DM138" s="16"/>
      <c r="DN138" s="16"/>
      <c r="DO138" s="125"/>
      <c r="DP138" s="16"/>
      <c r="DQ138" s="125"/>
      <c r="DR138" s="164"/>
      <c r="DY138" s="142"/>
      <c r="DZ138" s="125"/>
      <c r="EA138" s="142"/>
      <c r="EB138" s="125"/>
      <c r="EC138" s="16"/>
      <c r="ED138" s="125"/>
      <c r="EE138" s="125"/>
      <c r="EF138" s="16"/>
      <c r="EG138" s="125"/>
      <c r="EQ138" s="125"/>
      <c r="ER138" s="16"/>
      <c r="ES138" s="123"/>
      <c r="ET138" s="19"/>
      <c r="EU138" s="139"/>
      <c r="EV138" s="139"/>
      <c r="EW138" s="123"/>
      <c r="EX138" s="123"/>
      <c r="EY138" s="123"/>
      <c r="EZ138" s="123"/>
      <c r="FA138" s="123"/>
      <c r="FB138" s="123"/>
      <c r="FC138" s="6"/>
      <c r="FD138" s="123"/>
      <c r="FE138" s="6"/>
      <c r="FF138" s="123"/>
      <c r="FG138" s="6"/>
      <c r="FH138" s="6"/>
      <c r="FI138" s="6"/>
      <c r="FJ138" s="6"/>
      <c r="FK138" s="123"/>
      <c r="FL138" s="6"/>
      <c r="FM138" s="6"/>
      <c r="FN138" s="6"/>
      <c r="FO138" s="138"/>
      <c r="FP138" s="138"/>
      <c r="FQ138" s="123"/>
      <c r="FR138" s="6"/>
      <c r="FS138" s="6"/>
      <c r="FT138" s="139"/>
      <c r="FU138" s="139"/>
      <c r="FV138" s="76"/>
      <c r="FW138" s="123"/>
      <c r="FX138" s="6"/>
    </row>
    <row r="139" spans="35:180">
      <c r="AI139" s="125"/>
      <c r="AJ139" s="16"/>
      <c r="AM139" s="16"/>
      <c r="AN139" s="16"/>
      <c r="AO139" s="125"/>
      <c r="AP139" s="16"/>
      <c r="AQ139" s="125"/>
      <c r="AR139" s="164"/>
      <c r="AY139" s="142"/>
      <c r="AZ139" s="125"/>
      <c r="BA139" s="142"/>
      <c r="BB139" s="125"/>
      <c r="BC139" s="16"/>
      <c r="BD139" s="125"/>
      <c r="BE139" s="125"/>
      <c r="BF139" s="16"/>
      <c r="BG139" s="125"/>
      <c r="BQ139" s="125"/>
      <c r="BR139" s="16"/>
      <c r="BS139" s="123"/>
      <c r="BT139" s="19"/>
      <c r="BU139" s="139"/>
      <c r="BV139" s="139"/>
      <c r="BW139" s="123"/>
      <c r="BX139" s="123"/>
      <c r="BY139" s="123"/>
      <c r="BZ139" s="123"/>
      <c r="CA139" s="123"/>
      <c r="CB139" s="123"/>
      <c r="CC139" s="6"/>
      <c r="CD139" s="123"/>
      <c r="CE139" s="6"/>
      <c r="CF139" s="123"/>
      <c r="CG139" s="6"/>
      <c r="CH139" s="6"/>
      <c r="CI139" s="6"/>
      <c r="CJ139" s="6"/>
      <c r="CK139" s="123"/>
      <c r="CL139" s="6"/>
      <c r="CM139" s="6"/>
      <c r="CN139" s="6"/>
      <c r="CO139" s="138"/>
      <c r="CP139" s="138"/>
      <c r="CQ139" s="123"/>
      <c r="CR139" s="6"/>
      <c r="CS139" s="6"/>
      <c r="CT139" s="139"/>
      <c r="CU139" s="139"/>
      <c r="CV139" s="76"/>
      <c r="CW139" s="123"/>
      <c r="CX139" s="6"/>
      <c r="DI139" s="125"/>
      <c r="DJ139" s="16"/>
      <c r="DM139" s="16"/>
      <c r="DN139" s="16"/>
      <c r="DO139" s="125"/>
      <c r="DP139" s="16"/>
      <c r="DQ139" s="125"/>
      <c r="DR139" s="164"/>
      <c r="DY139" s="142"/>
      <c r="DZ139" s="125"/>
      <c r="EA139" s="142"/>
      <c r="EB139" s="125"/>
      <c r="EC139" s="16"/>
      <c r="ED139" s="125"/>
      <c r="EE139" s="125"/>
      <c r="EF139" s="16"/>
      <c r="EG139" s="125"/>
      <c r="EQ139" s="125"/>
      <c r="ER139" s="16"/>
      <c r="ES139" s="123"/>
      <c r="ET139" s="19"/>
      <c r="EU139" s="139"/>
      <c r="EV139" s="139"/>
      <c r="EW139" s="123"/>
      <c r="EX139" s="123"/>
      <c r="EY139" s="123"/>
      <c r="EZ139" s="123"/>
      <c r="FA139" s="123"/>
      <c r="FB139" s="123"/>
      <c r="FC139" s="6"/>
      <c r="FD139" s="123"/>
      <c r="FE139" s="6"/>
      <c r="FF139" s="123"/>
      <c r="FG139" s="6"/>
      <c r="FH139" s="6"/>
      <c r="FI139" s="6"/>
      <c r="FJ139" s="6"/>
      <c r="FK139" s="123"/>
      <c r="FL139" s="6"/>
      <c r="FM139" s="6"/>
      <c r="FN139" s="6"/>
      <c r="FO139" s="138"/>
      <c r="FP139" s="138"/>
      <c r="FQ139" s="123"/>
      <c r="FR139" s="6"/>
      <c r="FS139" s="6"/>
      <c r="FT139" s="139"/>
      <c r="FU139" s="139"/>
      <c r="FV139" s="76"/>
      <c r="FW139" s="123"/>
      <c r="FX139" s="6"/>
    </row>
    <row r="140" spans="35:180">
      <c r="AI140" s="125"/>
      <c r="AJ140" s="16"/>
      <c r="AM140" s="16"/>
      <c r="AN140" s="16"/>
      <c r="AO140" s="125"/>
      <c r="AP140" s="16"/>
      <c r="AQ140" s="125"/>
      <c r="AR140" s="164"/>
      <c r="AY140" s="142"/>
      <c r="AZ140" s="125"/>
      <c r="BA140" s="142"/>
      <c r="BB140" s="125"/>
      <c r="BC140" s="16"/>
      <c r="BD140" s="125"/>
      <c r="BE140" s="125"/>
      <c r="BF140" s="16"/>
      <c r="BG140" s="125"/>
      <c r="BQ140" s="125"/>
      <c r="BR140" s="16"/>
      <c r="BS140" s="123"/>
      <c r="BT140" s="19"/>
      <c r="BU140" s="139"/>
      <c r="BV140" s="139"/>
      <c r="BW140" s="123"/>
      <c r="BX140" s="123"/>
      <c r="BY140" s="123"/>
      <c r="BZ140" s="123"/>
      <c r="CA140" s="123"/>
      <c r="CB140" s="123"/>
      <c r="CC140" s="6"/>
      <c r="CD140" s="123"/>
      <c r="CE140" s="6"/>
      <c r="CF140" s="123"/>
      <c r="CG140" s="6"/>
      <c r="CH140" s="6"/>
      <c r="CI140" s="6"/>
      <c r="CJ140" s="6"/>
      <c r="CK140" s="123"/>
      <c r="CL140" s="6"/>
      <c r="CM140" s="6"/>
      <c r="CN140" s="6"/>
      <c r="CO140" s="138"/>
      <c r="CP140" s="138"/>
      <c r="CQ140" s="123"/>
      <c r="CR140" s="6"/>
      <c r="CS140" s="6"/>
      <c r="CT140" s="139"/>
      <c r="CU140" s="139"/>
      <c r="CV140" s="76"/>
      <c r="CW140" s="123"/>
      <c r="CX140" s="6"/>
      <c r="DI140" s="125"/>
      <c r="DJ140" s="16"/>
      <c r="DM140" s="16"/>
      <c r="DN140" s="16"/>
      <c r="DO140" s="125"/>
      <c r="DP140" s="16"/>
      <c r="DQ140" s="125"/>
      <c r="DR140" s="164"/>
      <c r="DY140" s="142"/>
      <c r="DZ140" s="125"/>
      <c r="EA140" s="142"/>
      <c r="EB140" s="125"/>
      <c r="EC140" s="16"/>
      <c r="ED140" s="125"/>
      <c r="EE140" s="125"/>
      <c r="EF140" s="16"/>
      <c r="EG140" s="125"/>
      <c r="EQ140" s="125"/>
      <c r="ER140" s="16"/>
      <c r="ES140" s="123"/>
      <c r="ET140" s="19"/>
      <c r="EU140" s="139"/>
      <c r="EV140" s="139"/>
      <c r="EW140" s="123"/>
      <c r="EX140" s="123"/>
      <c r="EY140" s="123"/>
      <c r="EZ140" s="123"/>
      <c r="FA140" s="123"/>
      <c r="FB140" s="123"/>
      <c r="FC140" s="6"/>
      <c r="FD140" s="123"/>
      <c r="FE140" s="6"/>
      <c r="FF140" s="123"/>
      <c r="FG140" s="6"/>
      <c r="FH140" s="6"/>
      <c r="FI140" s="6"/>
      <c r="FJ140" s="6"/>
      <c r="FK140" s="123"/>
      <c r="FL140" s="6"/>
      <c r="FM140" s="6"/>
      <c r="FN140" s="6"/>
      <c r="FO140" s="138"/>
      <c r="FP140" s="138"/>
      <c r="FQ140" s="123"/>
      <c r="FR140" s="6"/>
      <c r="FS140" s="6"/>
      <c r="FT140" s="139"/>
      <c r="FU140" s="139"/>
      <c r="FV140" s="76"/>
      <c r="FW140" s="123"/>
      <c r="FX140" s="6"/>
    </row>
    <row r="141" spans="35:180">
      <c r="AI141" s="125"/>
      <c r="AJ141" s="16"/>
      <c r="AM141" s="16"/>
      <c r="AN141" s="16"/>
      <c r="AO141" s="125"/>
      <c r="AP141" s="16"/>
      <c r="AQ141" s="125"/>
      <c r="AR141" s="164"/>
      <c r="AY141" s="142"/>
      <c r="AZ141" s="125"/>
      <c r="BA141" s="142"/>
      <c r="BB141" s="125"/>
      <c r="BC141" s="16"/>
      <c r="BD141" s="125"/>
      <c r="BE141" s="125"/>
      <c r="BF141" s="16"/>
      <c r="BG141" s="125"/>
      <c r="BQ141" s="125"/>
      <c r="BR141" s="16"/>
      <c r="BS141" s="123"/>
      <c r="BT141" s="19"/>
      <c r="BU141" s="139"/>
      <c r="BV141" s="139"/>
      <c r="BW141" s="123"/>
      <c r="BX141" s="123"/>
      <c r="BY141" s="123"/>
      <c r="BZ141" s="123"/>
      <c r="CA141" s="123"/>
      <c r="CB141" s="123"/>
      <c r="CC141" s="6"/>
      <c r="CD141" s="123"/>
      <c r="CE141" s="6"/>
      <c r="CF141" s="123"/>
      <c r="CG141" s="6"/>
      <c r="CH141" s="6"/>
      <c r="CI141" s="6"/>
      <c r="CJ141" s="6"/>
      <c r="CK141" s="123"/>
      <c r="CL141" s="6"/>
      <c r="CM141" s="6"/>
      <c r="CN141" s="6"/>
      <c r="CO141" s="138"/>
      <c r="CP141" s="138"/>
      <c r="CQ141" s="123"/>
      <c r="CR141" s="6"/>
      <c r="CS141" s="6"/>
      <c r="CT141" s="139"/>
      <c r="CU141" s="139"/>
      <c r="CV141" s="76"/>
      <c r="CW141" s="123"/>
      <c r="CX141" s="6"/>
      <c r="DI141" s="125"/>
      <c r="DJ141" s="16"/>
      <c r="DM141" s="16"/>
      <c r="DN141" s="16"/>
      <c r="DO141" s="125"/>
      <c r="DP141" s="16"/>
      <c r="DQ141" s="125"/>
      <c r="DR141" s="164"/>
      <c r="DY141" s="142"/>
      <c r="DZ141" s="125"/>
      <c r="EA141" s="142"/>
      <c r="EB141" s="125"/>
      <c r="EC141" s="16"/>
      <c r="ED141" s="125"/>
      <c r="EE141" s="125"/>
      <c r="EF141" s="16"/>
      <c r="EG141" s="125"/>
      <c r="EQ141" s="125"/>
      <c r="ER141" s="16"/>
      <c r="ES141" s="123"/>
      <c r="ET141" s="19"/>
      <c r="EU141" s="139"/>
      <c r="EV141" s="139"/>
      <c r="EW141" s="123"/>
      <c r="EX141" s="123"/>
      <c r="EY141" s="123"/>
      <c r="EZ141" s="123"/>
      <c r="FA141" s="123"/>
      <c r="FB141" s="123"/>
      <c r="FC141" s="6"/>
      <c r="FD141" s="123"/>
      <c r="FE141" s="6"/>
      <c r="FF141" s="123"/>
      <c r="FG141" s="6"/>
      <c r="FH141" s="6"/>
      <c r="FI141" s="6"/>
      <c r="FJ141" s="6"/>
      <c r="FK141" s="123"/>
      <c r="FL141" s="6"/>
      <c r="FM141" s="6"/>
      <c r="FN141" s="6"/>
      <c r="FO141" s="138"/>
      <c r="FP141" s="138"/>
      <c r="FQ141" s="123"/>
      <c r="FR141" s="6"/>
      <c r="FS141" s="6"/>
      <c r="FT141" s="139"/>
      <c r="FU141" s="139"/>
      <c r="FV141" s="76"/>
      <c r="FW141" s="123"/>
      <c r="FX141" s="6"/>
    </row>
    <row r="142" spans="35:180">
      <c r="AI142" s="125"/>
      <c r="AJ142" s="16"/>
      <c r="AM142" s="16"/>
      <c r="AN142" s="16"/>
      <c r="AO142" s="125"/>
      <c r="AP142" s="16"/>
      <c r="AQ142" s="125"/>
      <c r="AR142" s="164"/>
      <c r="AY142" s="142"/>
      <c r="AZ142" s="125"/>
      <c r="BA142" s="142"/>
      <c r="BB142" s="125"/>
      <c r="BC142" s="16"/>
      <c r="BD142" s="125"/>
      <c r="BE142" s="125"/>
      <c r="BF142" s="16"/>
      <c r="BG142" s="125"/>
      <c r="BQ142" s="125"/>
      <c r="BR142" s="16"/>
      <c r="BS142" s="123"/>
      <c r="BT142" s="19"/>
      <c r="BU142" s="139"/>
      <c r="BV142" s="139"/>
      <c r="BW142" s="123"/>
      <c r="BX142" s="123"/>
      <c r="BY142" s="123"/>
      <c r="BZ142" s="123"/>
      <c r="CA142" s="123"/>
      <c r="CB142" s="123"/>
      <c r="CC142" s="6"/>
      <c r="CD142" s="123"/>
      <c r="CE142" s="6"/>
      <c r="CF142" s="123"/>
      <c r="CG142" s="6"/>
      <c r="CH142" s="6"/>
      <c r="CI142" s="6"/>
      <c r="CJ142" s="6"/>
      <c r="CK142" s="123"/>
      <c r="CL142" s="6"/>
      <c r="CM142" s="6"/>
      <c r="CN142" s="6"/>
      <c r="CO142" s="138"/>
      <c r="CP142" s="138"/>
      <c r="CQ142" s="123"/>
      <c r="CR142" s="6"/>
      <c r="CS142" s="6"/>
      <c r="CT142" s="139"/>
      <c r="CU142" s="139"/>
      <c r="CV142" s="76"/>
      <c r="CW142" s="123"/>
      <c r="CX142" s="6"/>
      <c r="DI142" s="125"/>
      <c r="DJ142" s="16"/>
      <c r="DM142" s="16"/>
      <c r="DN142" s="16"/>
      <c r="DO142" s="125"/>
      <c r="DP142" s="16"/>
      <c r="DQ142" s="125"/>
      <c r="DR142" s="164"/>
      <c r="DY142" s="142"/>
      <c r="DZ142" s="125"/>
      <c r="EA142" s="142"/>
      <c r="EB142" s="125"/>
      <c r="EC142" s="16"/>
      <c r="ED142" s="125"/>
      <c r="EE142" s="125"/>
      <c r="EF142" s="16"/>
      <c r="EG142" s="125"/>
      <c r="EQ142" s="125"/>
      <c r="ER142" s="16"/>
      <c r="ES142" s="123"/>
      <c r="ET142" s="19"/>
      <c r="EU142" s="139"/>
      <c r="EV142" s="139"/>
      <c r="EW142" s="123"/>
      <c r="EX142" s="123"/>
      <c r="EY142" s="123"/>
      <c r="EZ142" s="123"/>
      <c r="FA142" s="123"/>
      <c r="FB142" s="123"/>
      <c r="FC142" s="6"/>
      <c r="FD142" s="123"/>
      <c r="FE142" s="6"/>
      <c r="FF142" s="123"/>
      <c r="FG142" s="6"/>
      <c r="FH142" s="6"/>
      <c r="FI142" s="6"/>
      <c r="FJ142" s="6"/>
      <c r="FK142" s="123"/>
      <c r="FL142" s="6"/>
      <c r="FM142" s="6"/>
      <c r="FN142" s="6"/>
      <c r="FO142" s="138"/>
      <c r="FP142" s="138"/>
      <c r="FQ142" s="123"/>
      <c r="FR142" s="6"/>
      <c r="FS142" s="6"/>
      <c r="FT142" s="139"/>
      <c r="FU142" s="139"/>
      <c r="FV142" s="76"/>
      <c r="FW142" s="123"/>
      <c r="FX142" s="6"/>
    </row>
    <row r="143" spans="35:180">
      <c r="AI143" s="125"/>
      <c r="AJ143" s="16"/>
      <c r="AM143" s="16"/>
      <c r="AN143" s="16"/>
      <c r="AO143" s="125"/>
      <c r="AP143" s="16"/>
      <c r="AQ143" s="125"/>
      <c r="AR143" s="164"/>
      <c r="AY143" s="142"/>
      <c r="AZ143" s="125"/>
      <c r="BA143" s="142"/>
      <c r="BB143" s="125"/>
      <c r="BC143" s="16"/>
      <c r="BD143" s="125"/>
      <c r="BE143" s="125"/>
      <c r="BF143" s="16"/>
      <c r="BG143" s="125"/>
      <c r="BQ143" s="125"/>
      <c r="BR143" s="16"/>
      <c r="BS143" s="123"/>
      <c r="BT143" s="19"/>
      <c r="BU143" s="139"/>
      <c r="BV143" s="139"/>
      <c r="BW143" s="123"/>
      <c r="BX143" s="123"/>
      <c r="BY143" s="123"/>
      <c r="BZ143" s="123"/>
      <c r="CA143" s="123"/>
      <c r="CB143" s="123"/>
      <c r="CC143" s="6"/>
      <c r="CD143" s="123"/>
      <c r="CE143" s="6"/>
      <c r="CF143" s="123"/>
      <c r="CG143" s="6"/>
      <c r="CH143" s="6"/>
      <c r="CI143" s="6"/>
      <c r="CJ143" s="6"/>
      <c r="CK143" s="123"/>
      <c r="CL143" s="6"/>
      <c r="CM143" s="6"/>
      <c r="CN143" s="6"/>
      <c r="CO143" s="138"/>
      <c r="CP143" s="138"/>
      <c r="CQ143" s="123"/>
      <c r="CR143" s="6"/>
      <c r="CS143" s="6"/>
      <c r="CT143" s="139"/>
      <c r="CU143" s="139"/>
      <c r="CV143" s="76"/>
      <c r="CW143" s="123"/>
      <c r="CX143" s="6"/>
      <c r="DI143" s="125"/>
      <c r="DJ143" s="16"/>
      <c r="DM143" s="16"/>
      <c r="DN143" s="16"/>
      <c r="DO143" s="125"/>
      <c r="DP143" s="16"/>
      <c r="DQ143" s="125"/>
      <c r="DR143" s="164"/>
      <c r="DY143" s="142"/>
      <c r="DZ143" s="125"/>
      <c r="EA143" s="142"/>
      <c r="EB143" s="125"/>
      <c r="EC143" s="16"/>
      <c r="ED143" s="125"/>
      <c r="EE143" s="125"/>
      <c r="EF143" s="16"/>
      <c r="EG143" s="125"/>
      <c r="EQ143" s="125"/>
      <c r="ER143" s="16"/>
      <c r="ES143" s="123"/>
      <c r="ET143" s="19"/>
      <c r="EU143" s="139"/>
      <c r="EV143" s="139"/>
      <c r="EW143" s="123"/>
      <c r="EX143" s="123"/>
      <c r="EY143" s="123"/>
      <c r="EZ143" s="123"/>
      <c r="FA143" s="123"/>
      <c r="FB143" s="123"/>
      <c r="FC143" s="6"/>
      <c r="FD143" s="123"/>
      <c r="FE143" s="6"/>
      <c r="FF143" s="123"/>
      <c r="FG143" s="6"/>
      <c r="FH143" s="6"/>
      <c r="FI143" s="6"/>
      <c r="FJ143" s="6"/>
      <c r="FK143" s="123"/>
      <c r="FL143" s="6"/>
      <c r="FM143" s="6"/>
      <c r="FN143" s="6"/>
      <c r="FO143" s="138"/>
      <c r="FP143" s="138"/>
      <c r="FQ143" s="123"/>
      <c r="FR143" s="6"/>
      <c r="FS143" s="6"/>
      <c r="FT143" s="139"/>
      <c r="FU143" s="139"/>
      <c r="FV143" s="76"/>
      <c r="FW143" s="123"/>
      <c r="FX143" s="6"/>
    </row>
    <row r="144" spans="35:180">
      <c r="AI144" s="125"/>
      <c r="AJ144" s="16"/>
      <c r="AM144" s="16"/>
      <c r="AN144" s="16"/>
      <c r="AO144" s="125"/>
      <c r="AP144" s="16"/>
      <c r="AQ144" s="125"/>
      <c r="AR144" s="164"/>
      <c r="AY144" s="142"/>
      <c r="AZ144" s="125"/>
      <c r="BA144" s="142"/>
      <c r="BB144" s="125"/>
      <c r="BC144" s="16"/>
      <c r="BD144" s="125"/>
      <c r="BE144" s="125"/>
      <c r="BF144" s="16"/>
      <c r="BG144" s="125"/>
      <c r="BQ144" s="125"/>
      <c r="BR144" s="16"/>
      <c r="BS144" s="123"/>
      <c r="BT144" s="19"/>
      <c r="BU144" s="139"/>
      <c r="BV144" s="139"/>
      <c r="BW144" s="123"/>
      <c r="BX144" s="123"/>
      <c r="BY144" s="123"/>
      <c r="BZ144" s="123"/>
      <c r="CA144" s="123"/>
      <c r="CB144" s="123"/>
      <c r="CC144" s="6"/>
      <c r="CD144" s="123"/>
      <c r="CE144" s="6"/>
      <c r="CF144" s="123"/>
      <c r="CG144" s="6"/>
      <c r="CH144" s="6"/>
      <c r="CI144" s="6"/>
      <c r="CJ144" s="6"/>
      <c r="CK144" s="123"/>
      <c r="CL144" s="6"/>
      <c r="CM144" s="6"/>
      <c r="CN144" s="6"/>
      <c r="CO144" s="138"/>
      <c r="CP144" s="138"/>
      <c r="CQ144" s="123"/>
      <c r="CR144" s="6"/>
      <c r="CS144" s="6"/>
      <c r="CT144" s="139"/>
      <c r="CU144" s="139"/>
      <c r="CV144" s="76"/>
      <c r="CW144" s="123"/>
      <c r="CX144" s="6"/>
      <c r="DI144" s="125"/>
      <c r="DJ144" s="16"/>
      <c r="DM144" s="16"/>
      <c r="DN144" s="16"/>
      <c r="DO144" s="125"/>
      <c r="DP144" s="16"/>
      <c r="DQ144" s="125"/>
      <c r="DR144" s="164"/>
      <c r="DY144" s="142"/>
      <c r="DZ144" s="125"/>
      <c r="EA144" s="142"/>
      <c r="EB144" s="125"/>
      <c r="EC144" s="16"/>
      <c r="ED144" s="125"/>
      <c r="EE144" s="125"/>
      <c r="EF144" s="16"/>
      <c r="EG144" s="125"/>
      <c r="EQ144" s="125"/>
      <c r="ER144" s="16"/>
      <c r="ES144" s="123"/>
      <c r="ET144" s="19"/>
      <c r="EU144" s="139"/>
      <c r="EV144" s="139"/>
      <c r="EW144" s="123"/>
      <c r="EX144" s="123"/>
      <c r="EY144" s="123"/>
      <c r="EZ144" s="123"/>
      <c r="FA144" s="123"/>
      <c r="FB144" s="123"/>
      <c r="FC144" s="6"/>
      <c r="FD144" s="123"/>
      <c r="FE144" s="6"/>
      <c r="FF144" s="123"/>
      <c r="FG144" s="6"/>
      <c r="FH144" s="6"/>
      <c r="FI144" s="6"/>
      <c r="FJ144" s="6"/>
      <c r="FK144" s="123"/>
      <c r="FL144" s="6"/>
      <c r="FM144" s="6"/>
      <c r="FN144" s="6"/>
      <c r="FO144" s="138"/>
      <c r="FP144" s="138"/>
      <c r="FQ144" s="123"/>
      <c r="FR144" s="6"/>
      <c r="FS144" s="6"/>
      <c r="FT144" s="139"/>
      <c r="FU144" s="139"/>
      <c r="FV144" s="76"/>
      <c r="FW144" s="123"/>
      <c r="FX144" s="6"/>
    </row>
    <row r="145" spans="35:180">
      <c r="AI145" s="125"/>
      <c r="AJ145" s="16"/>
      <c r="AM145" s="16"/>
      <c r="AN145" s="16"/>
      <c r="AO145" s="125"/>
      <c r="AP145" s="16"/>
      <c r="AQ145" s="125"/>
      <c r="AR145" s="164"/>
      <c r="AY145" s="142"/>
      <c r="AZ145" s="125"/>
      <c r="BA145" s="142"/>
      <c r="BB145" s="125"/>
      <c r="BC145" s="16"/>
      <c r="BD145" s="125"/>
      <c r="BE145" s="125"/>
      <c r="BF145" s="16"/>
      <c r="BG145" s="125"/>
      <c r="BQ145" s="125"/>
      <c r="BR145" s="16"/>
      <c r="BS145" s="123"/>
      <c r="BT145" s="19"/>
      <c r="BU145" s="139"/>
      <c r="BV145" s="139"/>
      <c r="BW145" s="123"/>
      <c r="BX145" s="123"/>
      <c r="BY145" s="123"/>
      <c r="BZ145" s="123"/>
      <c r="CA145" s="123"/>
      <c r="CB145" s="123"/>
      <c r="CC145" s="6"/>
      <c r="CD145" s="123"/>
      <c r="CE145" s="6"/>
      <c r="CF145" s="123"/>
      <c r="CG145" s="6"/>
      <c r="CH145" s="6"/>
      <c r="CI145" s="6"/>
      <c r="CJ145" s="6"/>
      <c r="CK145" s="123"/>
      <c r="CL145" s="6"/>
      <c r="CM145" s="6"/>
      <c r="CN145" s="6"/>
      <c r="CO145" s="138"/>
      <c r="CP145" s="138"/>
      <c r="CQ145" s="123"/>
      <c r="CR145" s="6"/>
      <c r="CS145" s="6"/>
      <c r="CT145" s="139"/>
      <c r="CU145" s="139"/>
      <c r="CV145" s="76"/>
      <c r="CW145" s="123"/>
      <c r="CX145" s="6"/>
      <c r="DI145" s="125"/>
      <c r="DJ145" s="16"/>
      <c r="DM145" s="16"/>
      <c r="DN145" s="16"/>
      <c r="DO145" s="125"/>
      <c r="DP145" s="16"/>
      <c r="DQ145" s="125"/>
      <c r="DR145" s="164"/>
      <c r="DY145" s="142"/>
      <c r="DZ145" s="125"/>
      <c r="EA145" s="142"/>
      <c r="EB145" s="125"/>
      <c r="EC145" s="16"/>
      <c r="ED145" s="125"/>
      <c r="EE145" s="125"/>
      <c r="EF145" s="16"/>
      <c r="EG145" s="125"/>
      <c r="EQ145" s="125"/>
      <c r="ER145" s="16"/>
      <c r="ES145" s="123"/>
      <c r="ET145" s="19"/>
      <c r="EU145" s="139"/>
      <c r="EV145" s="139"/>
      <c r="EW145" s="123"/>
      <c r="EX145" s="123"/>
      <c r="EY145" s="123"/>
      <c r="EZ145" s="123"/>
      <c r="FA145" s="123"/>
      <c r="FB145" s="123"/>
      <c r="FC145" s="6"/>
      <c r="FD145" s="123"/>
      <c r="FE145" s="6"/>
      <c r="FF145" s="123"/>
      <c r="FG145" s="6"/>
      <c r="FH145" s="6"/>
      <c r="FI145" s="6"/>
      <c r="FJ145" s="6"/>
      <c r="FK145" s="123"/>
      <c r="FL145" s="6"/>
      <c r="FM145" s="6"/>
      <c r="FN145" s="6"/>
      <c r="FO145" s="138"/>
      <c r="FP145" s="138"/>
      <c r="FQ145" s="123"/>
      <c r="FR145" s="6"/>
      <c r="FS145" s="6"/>
      <c r="FT145" s="139"/>
      <c r="FU145" s="139"/>
      <c r="FV145" s="76"/>
      <c r="FW145" s="123"/>
      <c r="FX145" s="6"/>
    </row>
    <row r="146" spans="35:180">
      <c r="AI146" s="125"/>
      <c r="AJ146" s="16"/>
      <c r="AM146" s="16"/>
      <c r="AN146" s="16"/>
      <c r="AO146" s="125"/>
      <c r="AP146" s="16"/>
      <c r="AQ146" s="125"/>
      <c r="AR146" s="164"/>
      <c r="AY146" s="142"/>
      <c r="AZ146" s="125"/>
      <c r="BA146" s="142"/>
      <c r="BB146" s="125"/>
      <c r="BC146" s="16"/>
      <c r="BD146" s="125"/>
      <c r="BE146" s="125"/>
      <c r="BF146" s="16"/>
      <c r="BG146" s="125"/>
      <c r="BQ146" s="125"/>
      <c r="BR146" s="16"/>
      <c r="BS146" s="123"/>
      <c r="BT146" s="19"/>
      <c r="BU146" s="139"/>
      <c r="BV146" s="139"/>
      <c r="BW146" s="123"/>
      <c r="BX146" s="123"/>
      <c r="BY146" s="123"/>
      <c r="BZ146" s="123"/>
      <c r="CA146" s="123"/>
      <c r="CB146" s="123"/>
      <c r="CC146" s="6"/>
      <c r="CD146" s="123"/>
      <c r="CE146" s="6"/>
      <c r="CF146" s="123"/>
      <c r="CG146" s="6"/>
      <c r="CH146" s="6"/>
      <c r="CI146" s="6"/>
      <c r="CJ146" s="6"/>
      <c r="CK146" s="123"/>
      <c r="CL146" s="6"/>
      <c r="CM146" s="6"/>
      <c r="CN146" s="6"/>
      <c r="CO146" s="138"/>
      <c r="CP146" s="138"/>
      <c r="CQ146" s="123"/>
      <c r="CR146" s="6"/>
      <c r="CS146" s="6"/>
      <c r="CT146" s="139"/>
      <c r="CU146" s="139"/>
      <c r="CV146" s="76"/>
      <c r="CW146" s="123"/>
      <c r="CX146" s="6"/>
      <c r="DI146" s="125"/>
      <c r="DJ146" s="16"/>
      <c r="DM146" s="16"/>
      <c r="DN146" s="16"/>
      <c r="DO146" s="125"/>
      <c r="DP146" s="16"/>
      <c r="DQ146" s="125"/>
      <c r="DR146" s="164"/>
      <c r="DY146" s="142"/>
      <c r="DZ146" s="125"/>
      <c r="EA146" s="142"/>
      <c r="EB146" s="125"/>
      <c r="EC146" s="16"/>
      <c r="ED146" s="125"/>
      <c r="EE146" s="125"/>
      <c r="EF146" s="16"/>
      <c r="EG146" s="125"/>
      <c r="EQ146" s="125"/>
      <c r="ER146" s="16"/>
      <c r="ES146" s="123"/>
      <c r="ET146" s="19"/>
      <c r="EU146" s="139"/>
      <c r="EV146" s="139"/>
      <c r="EW146" s="123"/>
      <c r="EX146" s="123"/>
      <c r="EY146" s="123"/>
      <c r="EZ146" s="123"/>
      <c r="FA146" s="123"/>
      <c r="FB146" s="123"/>
      <c r="FC146" s="6"/>
      <c r="FD146" s="123"/>
      <c r="FE146" s="6"/>
      <c r="FF146" s="123"/>
      <c r="FG146" s="6"/>
      <c r="FH146" s="6"/>
      <c r="FI146" s="6"/>
      <c r="FJ146" s="6"/>
      <c r="FK146" s="123"/>
      <c r="FL146" s="6"/>
      <c r="FM146" s="6"/>
      <c r="FN146" s="6"/>
      <c r="FO146" s="138"/>
      <c r="FP146" s="138"/>
      <c r="FQ146" s="123"/>
      <c r="FR146" s="6"/>
      <c r="FS146" s="6"/>
      <c r="FT146" s="139"/>
      <c r="FU146" s="139"/>
      <c r="FV146" s="76"/>
      <c r="FW146" s="123"/>
      <c r="FX146" s="6"/>
    </row>
    <row r="147" spans="35:180">
      <c r="AI147" s="125"/>
      <c r="AJ147" s="16"/>
      <c r="AM147" s="16"/>
      <c r="AN147" s="16"/>
      <c r="AO147" s="125"/>
      <c r="AP147" s="16"/>
      <c r="AQ147" s="125"/>
      <c r="AZ147" s="125"/>
      <c r="BA147" s="142"/>
      <c r="BB147" s="125"/>
      <c r="BC147" s="16"/>
      <c r="BD147" s="125"/>
      <c r="BE147" s="125"/>
      <c r="BF147" s="16"/>
      <c r="BG147" s="125"/>
      <c r="BQ147" s="125"/>
      <c r="BR147" s="16"/>
      <c r="BS147" s="123"/>
      <c r="BT147" s="19"/>
      <c r="BU147" s="139"/>
      <c r="BV147" s="139"/>
      <c r="BW147" s="123"/>
      <c r="BX147" s="123"/>
      <c r="BY147" s="123"/>
      <c r="BZ147" s="123"/>
      <c r="CA147" s="123"/>
      <c r="CB147" s="123"/>
      <c r="CC147" s="6"/>
      <c r="CD147" s="123"/>
      <c r="CE147" s="6"/>
      <c r="CF147" s="123"/>
      <c r="CG147" s="6"/>
      <c r="CH147" s="6"/>
      <c r="CI147" s="6"/>
      <c r="CJ147" s="6"/>
      <c r="CK147" s="123"/>
      <c r="CL147" s="6"/>
      <c r="CM147" s="6"/>
      <c r="CN147" s="6"/>
      <c r="CO147" s="138"/>
      <c r="CP147" s="138"/>
      <c r="CQ147" s="123"/>
      <c r="CR147" s="6"/>
      <c r="CS147" s="6"/>
      <c r="CT147" s="139"/>
      <c r="CU147" s="139"/>
      <c r="CV147" s="76"/>
      <c r="CW147" s="123"/>
      <c r="CX147" s="6"/>
      <c r="DI147" s="125"/>
      <c r="DJ147" s="16"/>
      <c r="DM147" s="16"/>
      <c r="DN147" s="16"/>
      <c r="DO147" s="125"/>
      <c r="DP147" s="16"/>
      <c r="DQ147" s="125"/>
      <c r="DZ147" s="125"/>
      <c r="EA147" s="142"/>
      <c r="EB147" s="125"/>
      <c r="EC147" s="16"/>
      <c r="ED147" s="125"/>
      <c r="EE147" s="125"/>
      <c r="EF147" s="16"/>
      <c r="EG147" s="125"/>
      <c r="EQ147" s="125"/>
      <c r="ER147" s="16"/>
      <c r="ES147" s="123"/>
      <c r="ET147" s="19"/>
      <c r="EU147" s="139"/>
      <c r="EV147" s="139"/>
      <c r="EW147" s="123"/>
      <c r="EX147" s="123"/>
      <c r="EY147" s="123"/>
      <c r="EZ147" s="123"/>
      <c r="FA147" s="123"/>
      <c r="FB147" s="123"/>
      <c r="FC147" s="6"/>
      <c r="FD147" s="123"/>
      <c r="FE147" s="6"/>
      <c r="FF147" s="123"/>
      <c r="FG147" s="6"/>
      <c r="FH147" s="6"/>
      <c r="FI147" s="6"/>
      <c r="FJ147" s="6"/>
      <c r="FK147" s="123"/>
      <c r="FL147" s="6"/>
      <c r="FM147" s="6"/>
      <c r="FN147" s="6"/>
      <c r="FO147" s="138"/>
      <c r="FP147" s="138"/>
      <c r="FQ147" s="123"/>
      <c r="FR147" s="6"/>
      <c r="FS147" s="6"/>
      <c r="FT147" s="139"/>
      <c r="FU147" s="139"/>
      <c r="FV147" s="76"/>
      <c r="FW147" s="123"/>
      <c r="FX147" s="6"/>
    </row>
    <row r="148" spans="35:180">
      <c r="AI148" s="125"/>
      <c r="AJ148" s="16"/>
      <c r="AM148" s="16"/>
      <c r="AN148" s="16"/>
      <c r="AO148" s="125"/>
      <c r="AP148" s="16"/>
      <c r="AQ148" s="125"/>
      <c r="AZ148" s="125"/>
      <c r="BA148" s="142"/>
      <c r="BB148" s="125"/>
      <c r="BC148" s="16"/>
      <c r="BD148" s="125"/>
      <c r="BE148" s="125"/>
      <c r="BF148" s="16"/>
      <c r="BG148" s="125"/>
      <c r="BQ148" s="125"/>
      <c r="BR148" s="16"/>
      <c r="BS148" s="123"/>
      <c r="BT148" s="19"/>
      <c r="BU148" s="139"/>
      <c r="BV148" s="139"/>
      <c r="BW148" s="123"/>
      <c r="BX148" s="123"/>
      <c r="BY148" s="123"/>
      <c r="BZ148" s="123"/>
      <c r="CA148" s="123"/>
      <c r="CB148" s="123"/>
      <c r="CC148" s="6"/>
      <c r="CD148" s="123"/>
      <c r="CE148" s="6"/>
      <c r="CF148" s="123"/>
      <c r="CG148" s="6"/>
      <c r="CH148" s="6"/>
      <c r="CI148" s="6"/>
      <c r="CJ148" s="6"/>
      <c r="CK148" s="123"/>
      <c r="CL148" s="6"/>
      <c r="CM148" s="6"/>
      <c r="CN148" s="6"/>
      <c r="CO148" s="138"/>
      <c r="CP148" s="138"/>
      <c r="CQ148" s="123"/>
      <c r="CR148" s="6"/>
      <c r="CS148" s="6"/>
      <c r="CT148" s="139"/>
      <c r="CU148" s="139"/>
      <c r="CV148" s="76"/>
      <c r="CW148" s="123"/>
      <c r="CX148" s="6"/>
      <c r="DI148" s="125"/>
      <c r="DJ148" s="16"/>
      <c r="DM148" s="16"/>
      <c r="DN148" s="16"/>
      <c r="DO148" s="125"/>
      <c r="DP148" s="16"/>
      <c r="DQ148" s="125"/>
      <c r="DZ148" s="125"/>
      <c r="EA148" s="142"/>
      <c r="EB148" s="125"/>
      <c r="EC148" s="16"/>
      <c r="ED148" s="125"/>
      <c r="EE148" s="125"/>
      <c r="EF148" s="16"/>
      <c r="EG148" s="125"/>
      <c r="EQ148" s="125"/>
      <c r="ER148" s="16"/>
      <c r="ES148" s="123"/>
      <c r="ET148" s="19"/>
      <c r="EU148" s="139"/>
      <c r="EV148" s="139"/>
      <c r="EW148" s="123"/>
      <c r="EX148" s="123"/>
      <c r="EY148" s="123"/>
      <c r="EZ148" s="123"/>
      <c r="FA148" s="123"/>
      <c r="FB148" s="123"/>
      <c r="FC148" s="6"/>
      <c r="FD148" s="123"/>
      <c r="FE148" s="6"/>
      <c r="FF148" s="123"/>
      <c r="FG148" s="6"/>
      <c r="FH148" s="6"/>
      <c r="FI148" s="6"/>
      <c r="FJ148" s="6"/>
      <c r="FK148" s="123"/>
      <c r="FL148" s="6"/>
      <c r="FM148" s="6"/>
      <c r="FN148" s="6"/>
      <c r="FO148" s="138"/>
      <c r="FP148" s="138"/>
      <c r="FQ148" s="123"/>
      <c r="FR148" s="6"/>
      <c r="FS148" s="6"/>
      <c r="FT148" s="139"/>
      <c r="FU148" s="139"/>
      <c r="FV148" s="76"/>
      <c r="FW148" s="123"/>
      <c r="FX148" s="6"/>
    </row>
    <row r="149" spans="35:180">
      <c r="AI149" s="125"/>
      <c r="AJ149" s="16"/>
      <c r="AM149" s="16"/>
      <c r="AN149" s="16"/>
      <c r="AO149" s="125"/>
      <c r="AP149" s="16"/>
      <c r="AQ149" s="125"/>
      <c r="AZ149" s="125"/>
      <c r="BA149" s="142"/>
      <c r="BB149" s="125"/>
      <c r="BC149" s="16"/>
      <c r="BD149" s="125"/>
      <c r="BE149" s="125"/>
      <c r="BF149" s="16"/>
      <c r="BG149" s="125"/>
      <c r="BQ149" s="125"/>
      <c r="BR149" s="16"/>
      <c r="BS149" s="123"/>
      <c r="BT149" s="19"/>
      <c r="BU149" s="139"/>
      <c r="BV149" s="139"/>
      <c r="BW149" s="123"/>
      <c r="BX149" s="123"/>
      <c r="BY149" s="123"/>
      <c r="BZ149" s="123"/>
      <c r="CA149" s="123"/>
      <c r="CB149" s="123"/>
      <c r="CC149" s="6"/>
      <c r="CD149" s="123"/>
      <c r="CE149" s="6"/>
      <c r="CF149" s="123"/>
      <c r="CG149" s="6"/>
      <c r="CH149" s="6"/>
      <c r="CI149" s="6"/>
      <c r="CJ149" s="6"/>
      <c r="CK149" s="123"/>
      <c r="CL149" s="6"/>
      <c r="CM149" s="6"/>
      <c r="CN149" s="6"/>
      <c r="CO149" s="138"/>
      <c r="CP149" s="138"/>
      <c r="CQ149" s="123"/>
      <c r="CR149" s="6"/>
      <c r="CS149" s="6"/>
      <c r="CT149" s="139"/>
      <c r="CU149" s="139"/>
      <c r="CV149" s="76"/>
      <c r="CW149" s="123"/>
      <c r="CX149" s="6"/>
      <c r="DI149" s="125"/>
      <c r="DJ149" s="16"/>
      <c r="DM149" s="16"/>
      <c r="DN149" s="16"/>
      <c r="DO149" s="125"/>
      <c r="DP149" s="16"/>
      <c r="DQ149" s="125"/>
      <c r="DZ149" s="125"/>
      <c r="EA149" s="142"/>
      <c r="EB149" s="125"/>
      <c r="EC149" s="16"/>
      <c r="ED149" s="125"/>
      <c r="EE149" s="125"/>
      <c r="EF149" s="16"/>
      <c r="EG149" s="125"/>
      <c r="EQ149" s="125"/>
      <c r="ER149" s="16"/>
      <c r="ES149" s="123"/>
      <c r="ET149" s="19"/>
      <c r="EU149" s="139"/>
      <c r="EV149" s="139"/>
      <c r="EW149" s="123"/>
      <c r="EX149" s="123"/>
      <c r="EY149" s="123"/>
      <c r="EZ149" s="123"/>
      <c r="FA149" s="123"/>
      <c r="FB149" s="123"/>
      <c r="FC149" s="6"/>
      <c r="FD149" s="123"/>
      <c r="FE149" s="6"/>
      <c r="FF149" s="123"/>
      <c r="FG149" s="6"/>
      <c r="FH149" s="6"/>
      <c r="FI149" s="6"/>
      <c r="FJ149" s="6"/>
      <c r="FK149" s="123"/>
      <c r="FL149" s="6"/>
      <c r="FM149" s="6"/>
      <c r="FN149" s="6"/>
      <c r="FO149" s="138"/>
      <c r="FP149" s="138"/>
      <c r="FQ149" s="123"/>
      <c r="FR149" s="6"/>
      <c r="FS149" s="6"/>
      <c r="FT149" s="139"/>
      <c r="FU149" s="139"/>
      <c r="FV149" s="76"/>
      <c r="FW149" s="123"/>
      <c r="FX149" s="6"/>
    </row>
    <row r="150" spans="35:180">
      <c r="AI150" s="125"/>
      <c r="AJ150" s="16"/>
      <c r="AM150" s="16"/>
      <c r="AN150" s="16"/>
      <c r="AO150" s="125"/>
      <c r="AP150" s="16"/>
      <c r="AQ150" s="125"/>
      <c r="AZ150" s="125"/>
      <c r="BA150" s="142"/>
      <c r="BB150" s="125"/>
      <c r="BC150" s="16"/>
      <c r="BD150" s="125"/>
      <c r="BE150" s="125"/>
      <c r="BF150" s="16"/>
      <c r="BG150" s="125"/>
      <c r="BQ150" s="125"/>
      <c r="BR150" s="16"/>
      <c r="BS150" s="123"/>
      <c r="BT150" s="19"/>
      <c r="BU150" s="139"/>
      <c r="BV150" s="139"/>
      <c r="BW150" s="123"/>
      <c r="BX150" s="123"/>
      <c r="BY150" s="123"/>
      <c r="BZ150" s="123"/>
      <c r="CA150" s="123"/>
      <c r="CB150" s="123"/>
      <c r="CC150" s="6"/>
      <c r="CD150" s="123"/>
      <c r="CE150" s="6"/>
      <c r="CF150" s="123"/>
      <c r="CG150" s="6"/>
      <c r="CH150" s="6"/>
      <c r="CI150" s="6"/>
      <c r="CJ150" s="6"/>
      <c r="CK150" s="123"/>
      <c r="CL150" s="6"/>
      <c r="CM150" s="6"/>
      <c r="CN150" s="6"/>
      <c r="CO150" s="138"/>
      <c r="CP150" s="138"/>
      <c r="CQ150" s="123"/>
      <c r="CR150" s="6"/>
      <c r="CS150" s="6"/>
      <c r="CT150" s="139"/>
      <c r="CU150" s="139"/>
      <c r="CV150" s="76"/>
      <c r="CW150" s="123"/>
      <c r="CX150" s="6"/>
      <c r="DI150" s="125"/>
      <c r="DJ150" s="16"/>
      <c r="DM150" s="16"/>
      <c r="DN150" s="16"/>
      <c r="DO150" s="125"/>
      <c r="DP150" s="16"/>
      <c r="DQ150" s="125"/>
      <c r="DZ150" s="125"/>
      <c r="EA150" s="142"/>
      <c r="EB150" s="125"/>
      <c r="EC150" s="16"/>
      <c r="ED150" s="125"/>
      <c r="EE150" s="125"/>
      <c r="EF150" s="16"/>
      <c r="EG150" s="125"/>
      <c r="EQ150" s="125"/>
      <c r="ER150" s="16"/>
      <c r="ES150" s="123"/>
      <c r="ET150" s="19"/>
      <c r="EU150" s="139"/>
      <c r="EV150" s="139"/>
      <c r="EW150" s="123"/>
      <c r="EX150" s="123"/>
      <c r="EY150" s="123"/>
      <c r="EZ150" s="123"/>
      <c r="FA150" s="123"/>
      <c r="FB150" s="123"/>
      <c r="FC150" s="6"/>
      <c r="FD150" s="123"/>
      <c r="FE150" s="6"/>
      <c r="FF150" s="123"/>
      <c r="FG150" s="6"/>
      <c r="FH150" s="6"/>
      <c r="FI150" s="6"/>
      <c r="FJ150" s="6"/>
      <c r="FK150" s="123"/>
      <c r="FL150" s="6"/>
      <c r="FM150" s="6"/>
      <c r="FN150" s="6"/>
      <c r="FO150" s="138"/>
      <c r="FP150" s="138"/>
      <c r="FQ150" s="123"/>
      <c r="FR150" s="6"/>
      <c r="FS150" s="6"/>
      <c r="FT150" s="139"/>
      <c r="FU150" s="139"/>
      <c r="FV150" s="76"/>
      <c r="FW150" s="123"/>
      <c r="FX150" s="6"/>
    </row>
    <row r="151" spans="35:180">
      <c r="AI151" s="125"/>
      <c r="AJ151" s="16"/>
      <c r="AM151" s="16"/>
      <c r="AN151" s="16"/>
      <c r="AO151" s="125"/>
      <c r="AP151" s="16"/>
      <c r="AQ151" s="125"/>
      <c r="AZ151" s="125"/>
      <c r="BA151" s="142"/>
      <c r="BB151" s="125"/>
      <c r="BC151" s="16"/>
      <c r="BD151" s="125"/>
      <c r="BE151" s="125"/>
      <c r="BF151" s="16"/>
      <c r="BG151" s="125"/>
      <c r="BQ151" s="125"/>
      <c r="BR151" s="16"/>
      <c r="BS151" s="123"/>
      <c r="BT151" s="19"/>
      <c r="BU151" s="139"/>
      <c r="BV151" s="139"/>
      <c r="BW151" s="123"/>
      <c r="BX151" s="123"/>
      <c r="BY151" s="123"/>
      <c r="BZ151" s="123"/>
      <c r="CA151" s="123"/>
      <c r="CB151" s="123"/>
      <c r="CC151" s="6"/>
      <c r="CD151" s="123"/>
      <c r="CE151" s="6"/>
      <c r="CF151" s="123"/>
      <c r="CG151" s="6"/>
      <c r="CH151" s="6"/>
      <c r="CI151" s="6"/>
      <c r="CJ151" s="6"/>
      <c r="CK151" s="123"/>
      <c r="CL151" s="6"/>
      <c r="CM151" s="6"/>
      <c r="CN151" s="6"/>
      <c r="CO151" s="138"/>
      <c r="CP151" s="138"/>
      <c r="CQ151" s="123"/>
      <c r="CR151" s="6"/>
      <c r="CS151" s="6"/>
      <c r="CT151" s="139"/>
      <c r="CU151" s="139"/>
      <c r="CV151" s="76"/>
      <c r="CW151" s="123"/>
      <c r="CX151" s="6"/>
      <c r="DI151" s="125"/>
      <c r="DJ151" s="16"/>
      <c r="DM151" s="16"/>
      <c r="DN151" s="16"/>
      <c r="DO151" s="125"/>
      <c r="DP151" s="16"/>
      <c r="DQ151" s="125"/>
      <c r="DZ151" s="125"/>
      <c r="EA151" s="142"/>
      <c r="EB151" s="125"/>
      <c r="EC151" s="16"/>
      <c r="ED151" s="125"/>
      <c r="EE151" s="125"/>
      <c r="EF151" s="16"/>
      <c r="EG151" s="125"/>
      <c r="EQ151" s="125"/>
      <c r="ER151" s="16"/>
      <c r="ES151" s="123"/>
      <c r="ET151" s="19"/>
      <c r="EU151" s="139"/>
      <c r="EV151" s="139"/>
      <c r="EW151" s="123"/>
      <c r="EX151" s="123"/>
      <c r="EY151" s="123"/>
      <c r="EZ151" s="123"/>
      <c r="FA151" s="123"/>
      <c r="FB151" s="123"/>
      <c r="FC151" s="6"/>
      <c r="FD151" s="123"/>
      <c r="FE151" s="6"/>
      <c r="FF151" s="123"/>
      <c r="FG151" s="6"/>
      <c r="FH151" s="6"/>
      <c r="FI151" s="6"/>
      <c r="FJ151" s="6"/>
      <c r="FK151" s="123"/>
      <c r="FL151" s="6"/>
      <c r="FM151" s="6"/>
      <c r="FN151" s="6"/>
      <c r="FO151" s="138"/>
      <c r="FP151" s="138"/>
      <c r="FQ151" s="123"/>
      <c r="FR151" s="6"/>
      <c r="FS151" s="6"/>
      <c r="FT151" s="139"/>
      <c r="FU151" s="139"/>
      <c r="FV151" s="76"/>
      <c r="FW151" s="123"/>
      <c r="FX151" s="6"/>
    </row>
    <row r="152" spans="35:180">
      <c r="AI152" s="125"/>
      <c r="AJ152" s="16"/>
      <c r="AM152" s="16"/>
      <c r="AN152" s="16"/>
      <c r="AO152" s="125"/>
      <c r="AP152" s="16"/>
      <c r="AQ152" s="125"/>
      <c r="AZ152" s="125"/>
      <c r="BA152" s="142"/>
      <c r="BB152" s="125"/>
      <c r="BC152" s="16"/>
      <c r="BD152" s="125"/>
      <c r="BE152" s="125"/>
      <c r="BF152" s="16"/>
      <c r="BG152" s="125"/>
      <c r="BQ152" s="125"/>
      <c r="BR152" s="16"/>
      <c r="BS152" s="123"/>
      <c r="BT152" s="19"/>
      <c r="BU152" s="139"/>
      <c r="BV152" s="139"/>
      <c r="BW152" s="123"/>
      <c r="BX152" s="123"/>
      <c r="BY152" s="123"/>
      <c r="BZ152" s="123"/>
      <c r="CA152" s="123"/>
      <c r="CB152" s="123"/>
      <c r="CC152" s="6"/>
      <c r="CD152" s="123"/>
      <c r="CE152" s="6"/>
      <c r="CF152" s="123"/>
      <c r="CG152" s="6"/>
      <c r="CH152" s="6"/>
      <c r="CI152" s="6"/>
      <c r="CJ152" s="6"/>
      <c r="CK152" s="123"/>
      <c r="CL152" s="6"/>
      <c r="CM152" s="6"/>
      <c r="CN152" s="6"/>
      <c r="CO152" s="138"/>
      <c r="CP152" s="138"/>
      <c r="CQ152" s="123"/>
      <c r="CR152" s="6"/>
      <c r="CS152" s="6"/>
      <c r="CT152" s="139"/>
      <c r="CU152" s="139"/>
      <c r="CV152" s="76"/>
      <c r="CW152" s="123"/>
      <c r="CX152" s="6"/>
      <c r="DI152" s="125"/>
      <c r="DJ152" s="16"/>
      <c r="DM152" s="16"/>
      <c r="DN152" s="16"/>
      <c r="DO152" s="125"/>
      <c r="DP152" s="16"/>
      <c r="DQ152" s="125"/>
      <c r="DZ152" s="125"/>
      <c r="EA152" s="142"/>
      <c r="EB152" s="125"/>
      <c r="EC152" s="16"/>
      <c r="ED152" s="125"/>
      <c r="EE152" s="125"/>
      <c r="EF152" s="16"/>
      <c r="EG152" s="125"/>
      <c r="EQ152" s="125"/>
      <c r="ER152" s="16"/>
      <c r="ES152" s="123"/>
      <c r="ET152" s="19"/>
      <c r="EU152" s="139"/>
      <c r="EV152" s="139"/>
      <c r="EW152" s="123"/>
      <c r="EX152" s="123"/>
      <c r="EY152" s="123"/>
      <c r="EZ152" s="123"/>
      <c r="FA152" s="123"/>
      <c r="FB152" s="123"/>
      <c r="FC152" s="6"/>
      <c r="FD152" s="123"/>
      <c r="FE152" s="6"/>
      <c r="FF152" s="123"/>
      <c r="FG152" s="6"/>
      <c r="FH152" s="6"/>
      <c r="FI152" s="6"/>
      <c r="FJ152" s="6"/>
      <c r="FK152" s="123"/>
      <c r="FL152" s="6"/>
      <c r="FM152" s="6"/>
      <c r="FN152" s="6"/>
      <c r="FO152" s="138"/>
      <c r="FP152" s="138"/>
      <c r="FQ152" s="123"/>
      <c r="FR152" s="6"/>
      <c r="FS152" s="6"/>
      <c r="FT152" s="139"/>
      <c r="FU152" s="139"/>
      <c r="FV152" s="76"/>
      <c r="FW152" s="123"/>
      <c r="FX152" s="6"/>
    </row>
    <row r="153" spans="35:180">
      <c r="AI153" s="125"/>
      <c r="AJ153" s="16"/>
      <c r="AM153" s="16"/>
      <c r="AN153" s="16"/>
      <c r="AO153" s="125"/>
      <c r="AP153" s="16"/>
      <c r="AQ153" s="125"/>
      <c r="AZ153" s="125"/>
      <c r="BA153" s="142"/>
      <c r="BB153" s="125"/>
      <c r="BC153" s="16"/>
      <c r="BD153" s="125"/>
      <c r="BE153" s="125"/>
      <c r="BF153" s="16"/>
      <c r="BG153" s="125"/>
      <c r="BQ153" s="125"/>
      <c r="BR153" s="16"/>
      <c r="BS153" s="123"/>
      <c r="BT153" s="19"/>
      <c r="BU153" s="139"/>
      <c r="BV153" s="139"/>
      <c r="BW153" s="123"/>
      <c r="BX153" s="123"/>
      <c r="BY153" s="123"/>
      <c r="BZ153" s="123"/>
      <c r="CA153" s="123"/>
      <c r="CB153" s="123"/>
      <c r="CC153" s="6"/>
      <c r="CD153" s="123"/>
      <c r="CE153" s="6"/>
      <c r="CF153" s="123"/>
      <c r="CG153" s="6"/>
      <c r="CH153" s="6"/>
      <c r="CI153" s="6"/>
      <c r="CJ153" s="6"/>
      <c r="CK153" s="123"/>
      <c r="CL153" s="6"/>
      <c r="CM153" s="6"/>
      <c r="CN153" s="6"/>
      <c r="CO153" s="138"/>
      <c r="CP153" s="138"/>
      <c r="CQ153" s="123"/>
      <c r="CR153" s="6"/>
      <c r="CS153" s="6"/>
      <c r="CT153" s="139"/>
      <c r="CU153" s="139"/>
      <c r="CV153" s="76"/>
      <c r="CW153" s="123"/>
      <c r="CX153" s="6"/>
      <c r="DI153" s="125"/>
      <c r="DJ153" s="16"/>
      <c r="DM153" s="16"/>
      <c r="DN153" s="16"/>
      <c r="DO153" s="125"/>
      <c r="DP153" s="16"/>
      <c r="DQ153" s="125"/>
      <c r="DZ153" s="125"/>
      <c r="EA153" s="142"/>
      <c r="EB153" s="125"/>
      <c r="EC153" s="16"/>
      <c r="ED153" s="125"/>
      <c r="EE153" s="125"/>
      <c r="EF153" s="16"/>
      <c r="EG153" s="125"/>
      <c r="EQ153" s="125"/>
      <c r="ER153" s="16"/>
      <c r="ES153" s="123"/>
      <c r="ET153" s="19"/>
      <c r="EU153" s="139"/>
      <c r="EV153" s="139"/>
      <c r="EW153" s="123"/>
      <c r="EX153" s="123"/>
      <c r="EY153" s="123"/>
      <c r="EZ153" s="123"/>
      <c r="FA153" s="123"/>
      <c r="FB153" s="123"/>
      <c r="FC153" s="6"/>
      <c r="FD153" s="123"/>
      <c r="FE153" s="6"/>
      <c r="FF153" s="123"/>
      <c r="FG153" s="6"/>
      <c r="FH153" s="6"/>
      <c r="FI153" s="6"/>
      <c r="FJ153" s="6"/>
      <c r="FK153" s="123"/>
      <c r="FL153" s="6"/>
      <c r="FM153" s="6"/>
      <c r="FN153" s="6"/>
      <c r="FO153" s="138"/>
      <c r="FP153" s="138"/>
      <c r="FQ153" s="123"/>
      <c r="FR153" s="6"/>
      <c r="FS153" s="6"/>
      <c r="FT153" s="139"/>
      <c r="FU153" s="139"/>
      <c r="FV153" s="76"/>
      <c r="FW153" s="123"/>
      <c r="FX153" s="6"/>
    </row>
    <row r="154" spans="35:180">
      <c r="AI154" s="125"/>
      <c r="AJ154" s="16"/>
      <c r="AM154" s="16"/>
      <c r="AN154" s="16"/>
      <c r="AO154" s="125"/>
      <c r="AP154" s="16"/>
      <c r="AQ154" s="125"/>
      <c r="AZ154" s="125"/>
      <c r="BA154" s="142"/>
      <c r="BB154" s="125"/>
      <c r="BC154" s="16"/>
      <c r="BD154" s="125"/>
      <c r="BE154" s="125"/>
      <c r="BF154" s="16"/>
      <c r="BG154" s="125"/>
      <c r="BQ154" s="125"/>
      <c r="BR154" s="16"/>
      <c r="BS154" s="123"/>
      <c r="BT154" s="19"/>
      <c r="BU154" s="139"/>
      <c r="BV154" s="139"/>
      <c r="BW154" s="123"/>
      <c r="BX154" s="123"/>
      <c r="BY154" s="123"/>
      <c r="BZ154" s="123"/>
      <c r="CA154" s="123"/>
      <c r="CB154" s="123"/>
      <c r="CC154" s="6"/>
      <c r="CD154" s="123"/>
      <c r="CE154" s="6"/>
      <c r="CF154" s="123"/>
      <c r="CG154" s="6"/>
      <c r="CH154" s="6"/>
      <c r="CI154" s="6"/>
      <c r="CJ154" s="6"/>
      <c r="CK154" s="123"/>
      <c r="CL154" s="6"/>
      <c r="CM154" s="6"/>
      <c r="CN154" s="6"/>
      <c r="CO154" s="138"/>
      <c r="CP154" s="138"/>
      <c r="CQ154" s="123"/>
      <c r="CR154" s="6"/>
      <c r="CS154" s="6"/>
      <c r="CT154" s="139"/>
      <c r="CU154" s="139"/>
      <c r="CV154" s="76"/>
      <c r="CW154" s="123"/>
      <c r="CX154" s="6"/>
      <c r="DI154" s="125"/>
      <c r="DJ154" s="16"/>
      <c r="DM154" s="16"/>
      <c r="DN154" s="16"/>
      <c r="DO154" s="125"/>
      <c r="DP154" s="16"/>
      <c r="DQ154" s="125"/>
      <c r="DZ154" s="125"/>
      <c r="EA154" s="142"/>
      <c r="EB154" s="125"/>
      <c r="EC154" s="16"/>
      <c r="ED154" s="125"/>
      <c r="EE154" s="125"/>
      <c r="EF154" s="16"/>
      <c r="EG154" s="125"/>
      <c r="EQ154" s="125"/>
      <c r="ER154" s="16"/>
      <c r="ES154" s="123"/>
      <c r="ET154" s="19"/>
      <c r="EU154" s="139"/>
      <c r="EV154" s="139"/>
      <c r="EW154" s="123"/>
      <c r="EX154" s="123"/>
      <c r="EY154" s="123"/>
      <c r="EZ154" s="123"/>
      <c r="FA154" s="123"/>
      <c r="FB154" s="123"/>
      <c r="FC154" s="6"/>
      <c r="FD154" s="123"/>
      <c r="FE154" s="6"/>
      <c r="FF154" s="123"/>
      <c r="FG154" s="6"/>
      <c r="FH154" s="6"/>
      <c r="FI154" s="6"/>
      <c r="FJ154" s="6"/>
      <c r="FK154" s="123"/>
      <c r="FL154" s="6"/>
      <c r="FM154" s="6"/>
      <c r="FN154" s="6"/>
      <c r="FO154" s="138"/>
      <c r="FP154" s="138"/>
      <c r="FQ154" s="123"/>
      <c r="FR154" s="6"/>
      <c r="FS154" s="6"/>
      <c r="FT154" s="139"/>
      <c r="FU154" s="139"/>
      <c r="FV154" s="76"/>
      <c r="FW154" s="123"/>
      <c r="FX154" s="6"/>
    </row>
    <row r="155" spans="35:180">
      <c r="AI155" s="125"/>
      <c r="AJ155" s="16"/>
      <c r="AM155" s="16"/>
      <c r="AN155" s="16"/>
      <c r="AO155" s="125"/>
      <c r="AP155" s="16"/>
      <c r="AQ155" s="125"/>
      <c r="AZ155" s="125"/>
      <c r="BA155" s="142"/>
      <c r="BB155" s="125"/>
      <c r="BC155" s="16"/>
      <c r="BD155" s="125"/>
      <c r="BE155" s="125"/>
      <c r="BF155" s="16"/>
      <c r="BG155" s="125"/>
      <c r="BQ155" s="125"/>
      <c r="BR155" s="16"/>
      <c r="BS155" s="123"/>
      <c r="BT155" s="19"/>
      <c r="BU155" s="139"/>
      <c r="BV155" s="139"/>
      <c r="BW155" s="123"/>
      <c r="BX155" s="123"/>
      <c r="BY155" s="123"/>
      <c r="BZ155" s="123"/>
      <c r="CA155" s="123"/>
      <c r="CB155" s="123"/>
      <c r="CC155" s="6"/>
      <c r="CD155" s="123"/>
      <c r="CE155" s="6"/>
      <c r="CF155" s="123"/>
      <c r="CG155" s="6"/>
      <c r="CH155" s="6"/>
      <c r="CI155" s="6"/>
      <c r="CJ155" s="6"/>
      <c r="CK155" s="123"/>
      <c r="CL155" s="6"/>
      <c r="CM155" s="6"/>
      <c r="CN155" s="6"/>
      <c r="CO155" s="138"/>
      <c r="CP155" s="138"/>
      <c r="CQ155" s="123"/>
      <c r="CR155" s="6"/>
      <c r="CS155" s="6"/>
      <c r="CT155" s="139"/>
      <c r="CU155" s="139"/>
      <c r="CV155" s="76"/>
      <c r="CW155" s="123"/>
      <c r="CX155" s="6"/>
      <c r="DI155" s="125"/>
      <c r="DJ155" s="16"/>
      <c r="DM155" s="16"/>
      <c r="DN155" s="16"/>
      <c r="DO155" s="125"/>
      <c r="DP155" s="16"/>
      <c r="DQ155" s="125"/>
      <c r="DZ155" s="125"/>
      <c r="EA155" s="142"/>
      <c r="EB155" s="125"/>
      <c r="EC155" s="16"/>
      <c r="ED155" s="125"/>
      <c r="EE155" s="125"/>
      <c r="EF155" s="16"/>
      <c r="EG155" s="125"/>
      <c r="EQ155" s="125"/>
      <c r="ER155" s="16"/>
      <c r="ES155" s="123"/>
      <c r="ET155" s="19"/>
      <c r="EU155" s="139"/>
      <c r="EV155" s="139"/>
      <c r="EW155" s="123"/>
      <c r="EX155" s="123"/>
      <c r="EY155" s="123"/>
      <c r="EZ155" s="123"/>
      <c r="FA155" s="123"/>
      <c r="FB155" s="123"/>
      <c r="FC155" s="6"/>
      <c r="FD155" s="123"/>
      <c r="FE155" s="6"/>
      <c r="FF155" s="123"/>
      <c r="FG155" s="6"/>
      <c r="FH155" s="6"/>
      <c r="FI155" s="6"/>
      <c r="FJ155" s="6"/>
      <c r="FK155" s="123"/>
      <c r="FL155" s="6"/>
      <c r="FM155" s="6"/>
      <c r="FN155" s="6"/>
      <c r="FO155" s="138"/>
      <c r="FP155" s="138"/>
      <c r="FQ155" s="123"/>
      <c r="FR155" s="6"/>
      <c r="FS155" s="6"/>
      <c r="FT155" s="139"/>
      <c r="FU155" s="139"/>
      <c r="FV155" s="76"/>
      <c r="FW155" s="123"/>
      <c r="FX155" s="6"/>
    </row>
    <row r="156" spans="35:180">
      <c r="AI156" s="125"/>
      <c r="AJ156" s="16"/>
      <c r="AM156" s="16"/>
      <c r="AN156" s="16"/>
      <c r="AO156" s="125"/>
      <c r="AP156" s="16"/>
      <c r="AQ156" s="125"/>
      <c r="AZ156" s="125"/>
      <c r="BA156" s="142"/>
      <c r="BB156" s="125"/>
      <c r="BC156" s="16"/>
      <c r="BD156" s="125"/>
      <c r="BE156" s="125"/>
      <c r="BF156" s="16"/>
      <c r="BG156" s="125"/>
      <c r="BQ156" s="125"/>
      <c r="BR156" s="16"/>
      <c r="BS156" s="123"/>
      <c r="BT156" s="19"/>
      <c r="BU156" s="139"/>
      <c r="BV156" s="139"/>
      <c r="BW156" s="123"/>
      <c r="BX156" s="123"/>
      <c r="BY156" s="123"/>
      <c r="BZ156" s="123"/>
      <c r="CA156" s="123"/>
      <c r="CB156" s="123"/>
      <c r="CC156" s="6"/>
      <c r="CD156" s="123"/>
      <c r="CE156" s="6"/>
      <c r="CF156" s="123"/>
      <c r="CG156" s="6"/>
      <c r="CH156" s="6"/>
      <c r="CI156" s="6"/>
      <c r="CJ156" s="6"/>
      <c r="CK156" s="123"/>
      <c r="CL156" s="6"/>
      <c r="CM156" s="6"/>
      <c r="CN156" s="6"/>
      <c r="CO156" s="138"/>
      <c r="CP156" s="138"/>
      <c r="CQ156" s="123"/>
      <c r="CR156" s="6"/>
      <c r="CS156" s="6"/>
      <c r="CT156" s="139"/>
      <c r="CU156" s="139"/>
      <c r="CV156" s="76"/>
      <c r="CW156" s="123"/>
      <c r="CX156" s="6"/>
      <c r="DI156" s="125"/>
      <c r="DJ156" s="16"/>
      <c r="DM156" s="16"/>
      <c r="DN156" s="16"/>
      <c r="DO156" s="125"/>
      <c r="DP156" s="16"/>
      <c r="DQ156" s="125"/>
      <c r="DZ156" s="125"/>
      <c r="EA156" s="142"/>
      <c r="EB156" s="125"/>
      <c r="EC156" s="16"/>
      <c r="ED156" s="125"/>
      <c r="EE156" s="125"/>
      <c r="EF156" s="16"/>
      <c r="EG156" s="125"/>
      <c r="EQ156" s="125"/>
      <c r="ER156" s="16"/>
      <c r="ES156" s="123"/>
      <c r="ET156" s="19"/>
      <c r="EU156" s="139"/>
      <c r="EV156" s="139"/>
      <c r="EW156" s="123"/>
      <c r="EX156" s="123"/>
      <c r="EY156" s="123"/>
      <c r="EZ156" s="123"/>
      <c r="FA156" s="123"/>
      <c r="FB156" s="123"/>
      <c r="FC156" s="6"/>
      <c r="FD156" s="123"/>
      <c r="FE156" s="6"/>
      <c r="FF156" s="123"/>
      <c r="FG156" s="6"/>
      <c r="FH156" s="6"/>
      <c r="FI156" s="6"/>
      <c r="FJ156" s="6"/>
      <c r="FK156" s="123"/>
      <c r="FL156" s="6"/>
      <c r="FM156" s="6"/>
      <c r="FN156" s="6"/>
      <c r="FO156" s="138"/>
      <c r="FP156" s="138"/>
      <c r="FQ156" s="123"/>
      <c r="FR156" s="6"/>
      <c r="FS156" s="6"/>
      <c r="FT156" s="139"/>
      <c r="FU156" s="139"/>
      <c r="FV156" s="76"/>
      <c r="FW156" s="123"/>
      <c r="FX156" s="6"/>
    </row>
    <row r="157" spans="35:180">
      <c r="AI157" s="125"/>
      <c r="AJ157" s="16"/>
      <c r="AM157" s="16"/>
      <c r="AN157" s="16"/>
      <c r="AO157" s="125"/>
      <c r="AP157" s="16"/>
      <c r="AQ157" s="125"/>
      <c r="AZ157" s="125"/>
      <c r="BA157" s="142"/>
      <c r="BB157" s="125"/>
      <c r="BC157" s="16"/>
      <c r="BD157" s="125"/>
      <c r="BE157" s="125"/>
      <c r="BF157" s="16"/>
      <c r="BG157" s="125"/>
      <c r="BQ157" s="125"/>
      <c r="BR157" s="16"/>
      <c r="BS157" s="123"/>
      <c r="BT157" s="19"/>
      <c r="BU157" s="139"/>
      <c r="BV157" s="139"/>
      <c r="BW157" s="123"/>
      <c r="BX157" s="123"/>
      <c r="BY157" s="123"/>
      <c r="BZ157" s="123"/>
      <c r="CA157" s="123"/>
      <c r="CB157" s="123"/>
      <c r="CC157" s="6"/>
      <c r="CD157" s="123"/>
      <c r="CE157" s="6"/>
      <c r="CF157" s="123"/>
      <c r="CG157" s="6"/>
      <c r="CH157" s="6"/>
      <c r="CI157" s="6"/>
      <c r="CJ157" s="6"/>
      <c r="CK157" s="123"/>
      <c r="CL157" s="6"/>
      <c r="CM157" s="6"/>
      <c r="CN157" s="6"/>
      <c r="CO157" s="138"/>
      <c r="CP157" s="138"/>
      <c r="CQ157" s="123"/>
      <c r="CR157" s="6"/>
      <c r="CS157" s="6"/>
      <c r="CT157" s="139"/>
      <c r="CU157" s="139"/>
      <c r="CV157" s="76"/>
      <c r="CW157" s="123"/>
      <c r="CX157" s="6"/>
      <c r="DI157" s="125"/>
      <c r="DJ157" s="16"/>
      <c r="DM157" s="16"/>
      <c r="DN157" s="16"/>
      <c r="DO157" s="125"/>
      <c r="DP157" s="16"/>
      <c r="DQ157" s="125"/>
      <c r="DZ157" s="125"/>
      <c r="EA157" s="142"/>
      <c r="EB157" s="125"/>
      <c r="EC157" s="16"/>
      <c r="ED157" s="125"/>
      <c r="EE157" s="125"/>
      <c r="EF157" s="16"/>
      <c r="EG157" s="125"/>
      <c r="EQ157" s="125"/>
      <c r="ER157" s="16"/>
      <c r="ES157" s="123"/>
      <c r="ET157" s="19"/>
      <c r="EU157" s="139"/>
      <c r="EV157" s="139"/>
      <c r="EW157" s="123"/>
      <c r="EX157" s="123"/>
      <c r="EY157" s="123"/>
      <c r="EZ157" s="123"/>
      <c r="FA157" s="123"/>
      <c r="FB157" s="123"/>
      <c r="FC157" s="6"/>
      <c r="FD157" s="123"/>
      <c r="FE157" s="6"/>
      <c r="FF157" s="123"/>
      <c r="FG157" s="6"/>
      <c r="FH157" s="6"/>
      <c r="FI157" s="6"/>
      <c r="FJ157" s="6"/>
      <c r="FK157" s="123"/>
      <c r="FL157" s="6"/>
      <c r="FM157" s="6"/>
      <c r="FN157" s="6"/>
      <c r="FO157" s="138"/>
      <c r="FP157" s="138"/>
      <c r="FQ157" s="123"/>
      <c r="FR157" s="6"/>
      <c r="FS157" s="6"/>
      <c r="FT157" s="139"/>
      <c r="FU157" s="139"/>
      <c r="FV157" s="76"/>
      <c r="FW157" s="123"/>
      <c r="FX157" s="6"/>
    </row>
    <row r="158" spans="35:180">
      <c r="AI158" s="125"/>
      <c r="AJ158" s="16"/>
      <c r="AM158" s="16"/>
      <c r="AN158" s="16"/>
      <c r="AO158" s="125"/>
      <c r="AP158" s="16"/>
      <c r="AQ158" s="125"/>
      <c r="AZ158" s="125"/>
      <c r="BA158" s="142"/>
      <c r="BB158" s="125"/>
      <c r="BC158" s="16"/>
      <c r="BD158" s="125"/>
      <c r="BE158" s="125"/>
      <c r="BF158" s="16"/>
      <c r="BG158" s="125"/>
      <c r="BQ158" s="125"/>
      <c r="BR158" s="16"/>
      <c r="BS158" s="123"/>
      <c r="BT158" s="19"/>
      <c r="BU158" s="139"/>
      <c r="BV158" s="139"/>
      <c r="BW158" s="123"/>
      <c r="BX158" s="123"/>
      <c r="BY158" s="123"/>
      <c r="BZ158" s="123"/>
      <c r="CA158" s="123"/>
      <c r="CB158" s="123"/>
      <c r="CC158" s="6"/>
      <c r="CD158" s="123"/>
      <c r="CE158" s="6"/>
      <c r="CF158" s="123"/>
      <c r="CG158" s="6"/>
      <c r="CH158" s="6"/>
      <c r="CI158" s="6"/>
      <c r="CJ158" s="6"/>
      <c r="CK158" s="123"/>
      <c r="CL158" s="6"/>
      <c r="CM158" s="6"/>
      <c r="CN158" s="6"/>
      <c r="CO158" s="138"/>
      <c r="CP158" s="138"/>
      <c r="CQ158" s="123"/>
      <c r="CR158" s="6"/>
      <c r="CS158" s="6"/>
      <c r="CT158" s="139"/>
      <c r="CU158" s="139"/>
      <c r="CV158" s="76"/>
      <c r="CW158" s="123"/>
      <c r="CX158" s="6"/>
      <c r="DI158" s="125"/>
      <c r="DJ158" s="16"/>
      <c r="DM158" s="16"/>
      <c r="DN158" s="16"/>
      <c r="DO158" s="125"/>
      <c r="DP158" s="16"/>
      <c r="DQ158" s="125"/>
      <c r="DZ158" s="125"/>
      <c r="EA158" s="142"/>
      <c r="EB158" s="125"/>
      <c r="EC158" s="16"/>
      <c r="ED158" s="125"/>
      <c r="EE158" s="125"/>
      <c r="EF158" s="16"/>
      <c r="EG158" s="125"/>
      <c r="EQ158" s="125"/>
      <c r="ER158" s="16"/>
      <c r="ES158" s="123"/>
      <c r="ET158" s="19"/>
      <c r="EU158" s="139"/>
      <c r="EV158" s="139"/>
      <c r="EW158" s="123"/>
      <c r="EX158" s="123"/>
      <c r="EY158" s="123"/>
      <c r="EZ158" s="123"/>
      <c r="FA158" s="123"/>
      <c r="FB158" s="123"/>
      <c r="FC158" s="6"/>
      <c r="FD158" s="123"/>
      <c r="FE158" s="6"/>
      <c r="FF158" s="123"/>
      <c r="FG158" s="6"/>
      <c r="FH158" s="6"/>
      <c r="FI158" s="6"/>
      <c r="FJ158" s="6"/>
      <c r="FK158" s="123"/>
      <c r="FL158" s="6"/>
      <c r="FM158" s="6"/>
      <c r="FN158" s="6"/>
      <c r="FO158" s="138"/>
      <c r="FP158" s="138"/>
      <c r="FQ158" s="123"/>
      <c r="FR158" s="6"/>
      <c r="FS158" s="6"/>
      <c r="FT158" s="139"/>
      <c r="FU158" s="139"/>
      <c r="FV158" s="76"/>
      <c r="FW158" s="123"/>
      <c r="FX158" s="6"/>
    </row>
    <row r="159" spans="35:180">
      <c r="AI159" s="125"/>
      <c r="AJ159" s="16"/>
      <c r="AM159" s="16"/>
      <c r="AN159" s="16"/>
      <c r="AO159" s="125"/>
      <c r="AP159" s="16"/>
      <c r="AQ159" s="125"/>
      <c r="AZ159" s="125"/>
      <c r="BA159" s="142"/>
      <c r="BB159" s="125"/>
      <c r="BC159" s="16"/>
      <c r="BD159" s="125"/>
      <c r="BE159" s="125"/>
      <c r="BF159" s="16"/>
      <c r="BG159" s="125"/>
      <c r="BQ159" s="125"/>
      <c r="BR159" s="16"/>
      <c r="BS159" s="123"/>
      <c r="BT159" s="19"/>
      <c r="BU159" s="139"/>
      <c r="BV159" s="139"/>
      <c r="BW159" s="123"/>
      <c r="BX159" s="123"/>
      <c r="BY159" s="123"/>
      <c r="BZ159" s="123"/>
      <c r="CA159" s="123"/>
      <c r="CB159" s="123"/>
      <c r="CC159" s="6"/>
      <c r="CD159" s="123"/>
      <c r="CE159" s="6"/>
      <c r="CF159" s="123"/>
      <c r="CG159" s="6"/>
      <c r="CH159" s="6"/>
      <c r="CI159" s="6"/>
      <c r="CJ159" s="6"/>
      <c r="CK159" s="123"/>
      <c r="CL159" s="6"/>
      <c r="CM159" s="6"/>
      <c r="CN159" s="6"/>
      <c r="CO159" s="138"/>
      <c r="CP159" s="138"/>
      <c r="CQ159" s="123"/>
      <c r="CR159" s="6"/>
      <c r="CS159" s="6"/>
      <c r="CT159" s="139"/>
      <c r="CU159" s="139"/>
      <c r="CV159" s="76"/>
      <c r="CW159" s="123"/>
      <c r="CX159" s="6"/>
      <c r="DI159" s="125"/>
      <c r="DJ159" s="16"/>
      <c r="DM159" s="16"/>
      <c r="DN159" s="16"/>
      <c r="DO159" s="125"/>
      <c r="DP159" s="16"/>
      <c r="DQ159" s="125"/>
      <c r="DZ159" s="125"/>
      <c r="EA159" s="142"/>
      <c r="EB159" s="125"/>
      <c r="EC159" s="16"/>
      <c r="ED159" s="125"/>
      <c r="EE159" s="125"/>
      <c r="EF159" s="16"/>
      <c r="EG159" s="125"/>
      <c r="EQ159" s="125"/>
      <c r="ER159" s="16"/>
      <c r="ES159" s="123"/>
      <c r="ET159" s="19"/>
      <c r="EU159" s="139"/>
      <c r="EV159" s="139"/>
      <c r="EW159" s="123"/>
      <c r="EX159" s="123"/>
      <c r="EY159" s="123"/>
      <c r="EZ159" s="123"/>
      <c r="FA159" s="123"/>
      <c r="FB159" s="123"/>
      <c r="FC159" s="6"/>
      <c r="FD159" s="123"/>
      <c r="FE159" s="6"/>
      <c r="FF159" s="123"/>
      <c r="FG159" s="6"/>
      <c r="FH159" s="6"/>
      <c r="FI159" s="6"/>
      <c r="FJ159" s="6"/>
      <c r="FK159" s="123"/>
      <c r="FL159" s="6"/>
      <c r="FM159" s="6"/>
      <c r="FN159" s="6"/>
      <c r="FO159" s="138"/>
      <c r="FP159" s="138"/>
      <c r="FQ159" s="123"/>
      <c r="FR159" s="6"/>
      <c r="FS159" s="6"/>
      <c r="FT159" s="139"/>
      <c r="FU159" s="139"/>
      <c r="FV159" s="76"/>
      <c r="FW159" s="123"/>
      <c r="FX159" s="6"/>
    </row>
    <row r="160" spans="35:180">
      <c r="AI160" s="125"/>
      <c r="AJ160" s="16"/>
      <c r="AM160" s="16"/>
      <c r="AN160" s="16"/>
      <c r="AO160" s="125"/>
      <c r="AP160" s="16"/>
      <c r="AQ160" s="125"/>
      <c r="AZ160" s="125"/>
      <c r="BA160" s="142"/>
      <c r="BB160" s="125"/>
      <c r="BC160" s="16"/>
      <c r="BD160" s="125"/>
      <c r="BE160" s="125"/>
      <c r="BF160" s="16"/>
      <c r="BG160" s="125"/>
      <c r="BQ160" s="125"/>
      <c r="BR160" s="16"/>
      <c r="BS160" s="123"/>
      <c r="BT160" s="19"/>
      <c r="BU160" s="139"/>
      <c r="BV160" s="139"/>
      <c r="BW160" s="123"/>
      <c r="BX160" s="123"/>
      <c r="BY160" s="123"/>
      <c r="BZ160" s="123"/>
      <c r="CA160" s="123"/>
      <c r="CB160" s="123"/>
      <c r="CC160" s="6"/>
      <c r="CD160" s="123"/>
      <c r="CE160" s="6"/>
      <c r="CF160" s="123"/>
      <c r="CG160" s="6"/>
      <c r="CH160" s="6"/>
      <c r="CI160" s="6"/>
      <c r="CJ160" s="6"/>
      <c r="CK160" s="123"/>
      <c r="CL160" s="6"/>
      <c r="CM160" s="6"/>
      <c r="CN160" s="6"/>
      <c r="CO160" s="138"/>
      <c r="CP160" s="138"/>
      <c r="CQ160" s="123"/>
      <c r="CR160" s="6"/>
      <c r="CS160" s="6"/>
      <c r="CT160" s="139"/>
      <c r="CU160" s="139"/>
      <c r="CV160" s="76"/>
      <c r="CW160" s="123"/>
      <c r="CX160" s="6"/>
      <c r="DI160" s="125"/>
      <c r="DJ160" s="16"/>
      <c r="DM160" s="16"/>
      <c r="DN160" s="16"/>
      <c r="DO160" s="125"/>
      <c r="DP160" s="16"/>
      <c r="DQ160" s="125"/>
      <c r="DZ160" s="125"/>
      <c r="EA160" s="142"/>
      <c r="EB160" s="125"/>
      <c r="EC160" s="16"/>
      <c r="ED160" s="125"/>
      <c r="EE160" s="125"/>
      <c r="EF160" s="16"/>
      <c r="EG160" s="125"/>
      <c r="EQ160" s="125"/>
      <c r="ER160" s="16"/>
      <c r="ES160" s="123"/>
      <c r="ET160" s="19"/>
      <c r="EU160" s="139"/>
      <c r="EV160" s="139"/>
      <c r="EW160" s="123"/>
      <c r="EX160" s="123"/>
      <c r="EY160" s="123"/>
      <c r="EZ160" s="123"/>
      <c r="FA160" s="123"/>
      <c r="FB160" s="123"/>
      <c r="FC160" s="6"/>
      <c r="FD160" s="123"/>
      <c r="FE160" s="6"/>
      <c r="FF160" s="123"/>
      <c r="FG160" s="6"/>
      <c r="FH160" s="6"/>
      <c r="FI160" s="6"/>
      <c r="FJ160" s="6"/>
      <c r="FK160" s="123"/>
      <c r="FL160" s="6"/>
      <c r="FM160" s="6"/>
      <c r="FN160" s="6"/>
      <c r="FO160" s="138"/>
      <c r="FP160" s="138"/>
      <c r="FQ160" s="123"/>
      <c r="FR160" s="6"/>
      <c r="FS160" s="6"/>
      <c r="FT160" s="139"/>
      <c r="FU160" s="139"/>
      <c r="FV160" s="76"/>
      <c r="FW160" s="123"/>
      <c r="FX160" s="6"/>
    </row>
    <row r="161" spans="35:180">
      <c r="AI161" s="125"/>
      <c r="AJ161" s="16"/>
      <c r="AM161" s="16"/>
      <c r="AN161" s="16"/>
      <c r="AO161" s="125"/>
      <c r="AP161" s="16"/>
      <c r="AQ161" s="125"/>
      <c r="AZ161" s="125"/>
      <c r="BA161" s="142"/>
      <c r="BB161" s="125"/>
      <c r="BC161" s="16"/>
      <c r="BD161" s="125"/>
      <c r="BE161" s="125"/>
      <c r="BF161" s="16"/>
      <c r="BG161" s="125"/>
      <c r="BQ161" s="125"/>
      <c r="BR161" s="16"/>
      <c r="BS161" s="123"/>
      <c r="BT161" s="19"/>
      <c r="BU161" s="139"/>
      <c r="BV161" s="139"/>
      <c r="BW161" s="123"/>
      <c r="BX161" s="123"/>
      <c r="BY161" s="123"/>
      <c r="BZ161" s="123"/>
      <c r="CA161" s="123"/>
      <c r="CB161" s="123"/>
      <c r="CC161" s="6"/>
      <c r="CD161" s="123"/>
      <c r="CE161" s="6"/>
      <c r="CF161" s="123"/>
      <c r="CG161" s="6"/>
      <c r="CH161" s="6"/>
      <c r="CI161" s="6"/>
      <c r="CJ161" s="6"/>
      <c r="CK161" s="123"/>
      <c r="CL161" s="6"/>
      <c r="CM161" s="6"/>
      <c r="CN161" s="6"/>
      <c r="CO161" s="138"/>
      <c r="CP161" s="138"/>
      <c r="CQ161" s="123"/>
      <c r="CR161" s="6"/>
      <c r="CS161" s="6"/>
      <c r="CT161" s="139"/>
      <c r="CU161" s="139"/>
      <c r="CV161" s="76"/>
      <c r="CW161" s="123"/>
      <c r="CX161" s="6"/>
      <c r="DI161" s="125"/>
      <c r="DJ161" s="16"/>
      <c r="DM161" s="16"/>
      <c r="DN161" s="16"/>
      <c r="DO161" s="125"/>
      <c r="DP161" s="16"/>
      <c r="DQ161" s="125"/>
      <c r="DZ161" s="125"/>
      <c r="EA161" s="142"/>
      <c r="EB161" s="125"/>
      <c r="EC161" s="16"/>
      <c r="ED161" s="125"/>
      <c r="EE161" s="125"/>
      <c r="EF161" s="16"/>
      <c r="EG161" s="125"/>
      <c r="EQ161" s="125"/>
      <c r="ER161" s="16"/>
      <c r="ES161" s="123"/>
      <c r="ET161" s="19"/>
      <c r="EU161" s="139"/>
      <c r="EV161" s="139"/>
      <c r="EW161" s="123"/>
      <c r="EX161" s="123"/>
      <c r="EY161" s="123"/>
      <c r="EZ161" s="123"/>
      <c r="FA161" s="123"/>
      <c r="FB161" s="123"/>
      <c r="FC161" s="6"/>
      <c r="FD161" s="123"/>
      <c r="FE161" s="6"/>
      <c r="FF161" s="123"/>
      <c r="FG161" s="6"/>
      <c r="FH161" s="6"/>
      <c r="FI161" s="6"/>
      <c r="FJ161" s="6"/>
      <c r="FK161" s="123"/>
      <c r="FL161" s="6"/>
      <c r="FM161" s="6"/>
      <c r="FN161" s="6"/>
      <c r="FO161" s="138"/>
      <c r="FP161" s="138"/>
      <c r="FQ161" s="123"/>
      <c r="FR161" s="6"/>
      <c r="FS161" s="6"/>
      <c r="FT161" s="139"/>
      <c r="FU161" s="139"/>
      <c r="FV161" s="76"/>
      <c r="FW161" s="123"/>
      <c r="FX161" s="6"/>
    </row>
    <row r="162" spans="35:180">
      <c r="AI162" s="125"/>
      <c r="AJ162" s="16"/>
      <c r="AM162" s="16"/>
      <c r="AN162" s="16"/>
      <c r="AO162" s="125"/>
      <c r="AP162" s="16"/>
      <c r="AQ162" s="125"/>
      <c r="AZ162" s="125"/>
      <c r="BA162" s="142"/>
      <c r="BB162" s="125"/>
      <c r="BC162" s="16"/>
      <c r="BD162" s="125"/>
      <c r="BE162" s="125"/>
      <c r="BF162" s="16"/>
      <c r="BG162" s="125"/>
      <c r="BQ162" s="125"/>
      <c r="BR162" s="16"/>
      <c r="BS162" s="123"/>
      <c r="BT162" s="19"/>
      <c r="BU162" s="139"/>
      <c r="BV162" s="139"/>
      <c r="BW162" s="123"/>
      <c r="BX162" s="123"/>
      <c r="BY162" s="123"/>
      <c r="BZ162" s="123"/>
      <c r="CA162" s="123"/>
      <c r="CB162" s="123"/>
      <c r="CC162" s="6"/>
      <c r="CD162" s="123"/>
      <c r="CE162" s="6"/>
      <c r="CF162" s="123"/>
      <c r="CG162" s="6"/>
      <c r="CH162" s="6"/>
      <c r="CI162" s="6"/>
      <c r="CJ162" s="6"/>
      <c r="CK162" s="123"/>
      <c r="CL162" s="6"/>
      <c r="CM162" s="6"/>
      <c r="CN162" s="6"/>
      <c r="CO162" s="138"/>
      <c r="CP162" s="138"/>
      <c r="CQ162" s="123"/>
      <c r="CR162" s="6"/>
      <c r="CS162" s="6"/>
      <c r="CT162" s="139"/>
      <c r="CU162" s="139"/>
      <c r="CV162" s="76"/>
      <c r="CW162" s="123"/>
      <c r="CX162" s="6"/>
      <c r="DI162" s="125"/>
      <c r="DJ162" s="16"/>
      <c r="DM162" s="16"/>
      <c r="DN162" s="16"/>
      <c r="DO162" s="125"/>
      <c r="DP162" s="16"/>
      <c r="DQ162" s="125"/>
      <c r="DZ162" s="125"/>
      <c r="EA162" s="142"/>
      <c r="EB162" s="125"/>
      <c r="EC162" s="16"/>
      <c r="ED162" s="125"/>
      <c r="EE162" s="125"/>
      <c r="EF162" s="16"/>
      <c r="EG162" s="125"/>
      <c r="EQ162" s="125"/>
      <c r="ER162" s="16"/>
      <c r="ES162" s="123"/>
      <c r="ET162" s="19"/>
      <c r="EU162" s="139"/>
      <c r="EV162" s="139"/>
      <c r="EW162" s="123"/>
      <c r="EX162" s="123"/>
      <c r="EY162" s="123"/>
      <c r="EZ162" s="123"/>
      <c r="FA162" s="123"/>
      <c r="FB162" s="123"/>
      <c r="FC162" s="6"/>
      <c r="FD162" s="123"/>
      <c r="FE162" s="6"/>
      <c r="FF162" s="123"/>
      <c r="FG162" s="6"/>
      <c r="FH162" s="6"/>
      <c r="FI162" s="6"/>
      <c r="FJ162" s="6"/>
      <c r="FK162" s="123"/>
      <c r="FL162" s="6"/>
      <c r="FM162" s="6"/>
      <c r="FN162" s="6"/>
      <c r="FO162" s="138"/>
      <c r="FP162" s="138"/>
      <c r="FQ162" s="123"/>
      <c r="FR162" s="6"/>
      <c r="FS162" s="6"/>
      <c r="FT162" s="139"/>
      <c r="FU162" s="139"/>
      <c r="FV162" s="76"/>
      <c r="FW162" s="123"/>
      <c r="FX162" s="6"/>
    </row>
    <row r="163" spans="35:180">
      <c r="AI163" s="125"/>
      <c r="AJ163" s="16"/>
      <c r="AM163" s="16"/>
      <c r="AN163" s="16"/>
      <c r="AO163" s="125"/>
      <c r="AP163" s="16"/>
      <c r="AQ163" s="125"/>
      <c r="AZ163" s="125"/>
      <c r="BA163" s="142"/>
      <c r="BB163" s="125"/>
      <c r="BC163" s="16"/>
      <c r="BD163" s="125"/>
      <c r="BE163" s="125"/>
      <c r="BF163" s="16"/>
      <c r="BG163" s="125"/>
      <c r="BQ163" s="125"/>
      <c r="BR163" s="16"/>
      <c r="BS163" s="123"/>
      <c r="BT163" s="19"/>
      <c r="BU163" s="139"/>
      <c r="BV163" s="139"/>
      <c r="BW163" s="123"/>
      <c r="BX163" s="123"/>
      <c r="BY163" s="123"/>
      <c r="BZ163" s="123"/>
      <c r="CA163" s="123"/>
      <c r="CB163" s="123"/>
      <c r="CC163" s="6"/>
      <c r="CD163" s="123"/>
      <c r="CE163" s="6"/>
      <c r="CF163" s="123"/>
      <c r="CG163" s="6"/>
      <c r="CH163" s="6"/>
      <c r="CI163" s="6"/>
      <c r="CJ163" s="6"/>
      <c r="CK163" s="123"/>
      <c r="CL163" s="6"/>
      <c r="CM163" s="6"/>
      <c r="CN163" s="6"/>
      <c r="CO163" s="138"/>
      <c r="CP163" s="138"/>
      <c r="CQ163" s="123"/>
      <c r="CR163" s="6"/>
      <c r="CS163" s="6"/>
      <c r="CT163" s="139"/>
      <c r="CU163" s="139"/>
      <c r="CV163" s="76"/>
      <c r="CW163" s="123"/>
      <c r="CX163" s="6"/>
      <c r="DI163" s="125"/>
      <c r="DJ163" s="16"/>
      <c r="DM163" s="16"/>
      <c r="DN163" s="16"/>
      <c r="DO163" s="125"/>
      <c r="DP163" s="16"/>
      <c r="DQ163" s="125"/>
      <c r="DZ163" s="125"/>
      <c r="EA163" s="142"/>
      <c r="EB163" s="125"/>
      <c r="EC163" s="16"/>
      <c r="ED163" s="125"/>
      <c r="EE163" s="125"/>
      <c r="EF163" s="16"/>
      <c r="EG163" s="125"/>
      <c r="EQ163" s="125"/>
      <c r="ER163" s="16"/>
      <c r="ES163" s="123"/>
      <c r="ET163" s="19"/>
      <c r="EU163" s="139"/>
      <c r="EV163" s="139"/>
      <c r="EW163" s="123"/>
      <c r="EX163" s="123"/>
      <c r="EY163" s="123"/>
      <c r="EZ163" s="123"/>
      <c r="FA163" s="123"/>
      <c r="FB163" s="123"/>
      <c r="FC163" s="6"/>
      <c r="FD163" s="123"/>
      <c r="FE163" s="6"/>
      <c r="FF163" s="123"/>
      <c r="FG163" s="6"/>
      <c r="FH163" s="6"/>
      <c r="FI163" s="6"/>
      <c r="FJ163" s="6"/>
      <c r="FK163" s="123"/>
      <c r="FL163" s="6"/>
      <c r="FM163" s="6"/>
      <c r="FN163" s="6"/>
      <c r="FO163" s="138"/>
      <c r="FP163" s="138"/>
      <c r="FQ163" s="123"/>
      <c r="FR163" s="6"/>
      <c r="FS163" s="6"/>
      <c r="FT163" s="139"/>
      <c r="FU163" s="139"/>
      <c r="FV163" s="76"/>
      <c r="FW163" s="123"/>
      <c r="FX163" s="6"/>
    </row>
    <row r="164" spans="35:180">
      <c r="AI164" s="125"/>
      <c r="AJ164" s="16"/>
      <c r="AM164" s="16"/>
      <c r="AN164" s="16"/>
      <c r="AO164" s="125"/>
      <c r="AP164" s="16"/>
      <c r="AQ164" s="125"/>
      <c r="AZ164" s="125"/>
      <c r="BA164" s="142"/>
      <c r="BB164" s="125"/>
      <c r="BC164" s="16"/>
      <c r="BD164" s="125"/>
      <c r="BE164" s="125"/>
      <c r="BF164" s="16"/>
      <c r="BG164" s="125"/>
      <c r="BQ164" s="125"/>
      <c r="BR164" s="16"/>
      <c r="BS164" s="123"/>
      <c r="BT164" s="19"/>
      <c r="BU164" s="139"/>
      <c r="BV164" s="139"/>
      <c r="BW164" s="123"/>
      <c r="BX164" s="123"/>
      <c r="BY164" s="123"/>
      <c r="BZ164" s="123"/>
      <c r="CA164" s="123"/>
      <c r="CB164" s="123"/>
      <c r="CC164" s="6"/>
      <c r="CD164" s="123"/>
      <c r="CE164" s="6"/>
      <c r="CF164" s="123"/>
      <c r="CG164" s="6"/>
      <c r="CH164" s="6"/>
      <c r="CI164" s="6"/>
      <c r="CJ164" s="6"/>
      <c r="CK164" s="123"/>
      <c r="CL164" s="6"/>
      <c r="CM164" s="6"/>
      <c r="CN164" s="6"/>
      <c r="CO164" s="138"/>
      <c r="CP164" s="138"/>
      <c r="CQ164" s="123"/>
      <c r="CR164" s="6"/>
      <c r="CS164" s="6"/>
      <c r="CT164" s="139"/>
      <c r="CU164" s="139"/>
      <c r="CV164" s="76"/>
      <c r="CW164" s="123"/>
      <c r="CX164" s="6"/>
      <c r="DI164" s="125"/>
      <c r="DJ164" s="16"/>
      <c r="DM164" s="16"/>
      <c r="DN164" s="16"/>
      <c r="DO164" s="125"/>
      <c r="DP164" s="16"/>
      <c r="DQ164" s="125"/>
      <c r="DZ164" s="125"/>
      <c r="EA164" s="142"/>
      <c r="EB164" s="125"/>
      <c r="EC164" s="16"/>
      <c r="ED164" s="125"/>
      <c r="EE164" s="125"/>
      <c r="EF164" s="16"/>
      <c r="EG164" s="125"/>
      <c r="EQ164" s="125"/>
      <c r="ER164" s="16"/>
      <c r="ES164" s="123"/>
      <c r="ET164" s="19"/>
      <c r="EU164" s="139"/>
      <c r="EV164" s="139"/>
      <c r="EW164" s="123"/>
      <c r="EX164" s="123"/>
      <c r="EY164" s="123"/>
      <c r="EZ164" s="123"/>
      <c r="FA164" s="123"/>
      <c r="FB164" s="123"/>
      <c r="FC164" s="6"/>
      <c r="FD164" s="123"/>
      <c r="FE164" s="6"/>
      <c r="FF164" s="123"/>
      <c r="FG164" s="6"/>
      <c r="FH164" s="6"/>
      <c r="FI164" s="6"/>
      <c r="FJ164" s="6"/>
      <c r="FK164" s="123"/>
      <c r="FL164" s="6"/>
      <c r="FM164" s="6"/>
      <c r="FN164" s="6"/>
      <c r="FO164" s="138"/>
      <c r="FP164" s="138"/>
      <c r="FQ164" s="123"/>
      <c r="FR164" s="6"/>
      <c r="FS164" s="6"/>
      <c r="FT164" s="139"/>
      <c r="FU164" s="139"/>
      <c r="FV164" s="76"/>
      <c r="FW164" s="123"/>
      <c r="FX164" s="6"/>
    </row>
    <row r="165" spans="35:180">
      <c r="AI165" s="125"/>
      <c r="AJ165" s="16"/>
      <c r="AM165" s="16"/>
      <c r="AN165" s="16"/>
      <c r="AO165" s="125"/>
      <c r="AP165" s="16"/>
      <c r="AQ165" s="125"/>
      <c r="AZ165" s="125"/>
      <c r="BA165" s="142"/>
      <c r="BB165" s="125"/>
      <c r="BC165" s="16"/>
      <c r="BD165" s="125"/>
      <c r="BE165" s="125"/>
      <c r="BF165" s="16"/>
      <c r="BG165" s="125"/>
      <c r="BQ165" s="125"/>
      <c r="BR165" s="16"/>
      <c r="BS165" s="123"/>
      <c r="BT165" s="19"/>
      <c r="BU165" s="139"/>
      <c r="BV165" s="139"/>
      <c r="BW165" s="123"/>
      <c r="BX165" s="123"/>
      <c r="BY165" s="123"/>
      <c r="BZ165" s="123"/>
      <c r="CA165" s="123"/>
      <c r="CB165" s="123"/>
      <c r="CC165" s="6"/>
      <c r="CD165" s="123"/>
      <c r="CE165" s="6"/>
      <c r="CF165" s="123"/>
      <c r="CG165" s="6"/>
      <c r="CH165" s="6"/>
      <c r="CI165" s="6"/>
      <c r="CJ165" s="6"/>
      <c r="CK165" s="123"/>
      <c r="CL165" s="6"/>
      <c r="CM165" s="6"/>
      <c r="CN165" s="6"/>
      <c r="CO165" s="138"/>
      <c r="CP165" s="138"/>
      <c r="CQ165" s="123"/>
      <c r="CR165" s="6"/>
      <c r="CS165" s="6"/>
      <c r="CT165" s="139"/>
      <c r="CU165" s="139"/>
      <c r="CV165" s="76"/>
      <c r="CW165" s="123"/>
      <c r="CX165" s="6"/>
      <c r="DI165" s="125"/>
      <c r="DJ165" s="16"/>
      <c r="DM165" s="16"/>
      <c r="DN165" s="16"/>
      <c r="DO165" s="125"/>
      <c r="DP165" s="16"/>
      <c r="DQ165" s="125"/>
      <c r="DZ165" s="125"/>
      <c r="EA165" s="142"/>
      <c r="EB165" s="125"/>
      <c r="EC165" s="16"/>
      <c r="ED165" s="125"/>
      <c r="EE165" s="125"/>
      <c r="EF165" s="16"/>
      <c r="EG165" s="125"/>
      <c r="EQ165" s="125"/>
      <c r="ER165" s="16"/>
      <c r="ES165" s="123"/>
      <c r="ET165" s="19"/>
      <c r="EU165" s="139"/>
      <c r="EV165" s="139"/>
      <c r="EW165" s="123"/>
      <c r="EX165" s="123"/>
      <c r="EY165" s="123"/>
      <c r="EZ165" s="123"/>
      <c r="FA165" s="123"/>
      <c r="FB165" s="123"/>
      <c r="FC165" s="6"/>
      <c r="FD165" s="123"/>
      <c r="FE165" s="6"/>
      <c r="FF165" s="123"/>
      <c r="FG165" s="6"/>
      <c r="FH165" s="6"/>
      <c r="FI165" s="6"/>
      <c r="FJ165" s="6"/>
      <c r="FK165" s="123"/>
      <c r="FL165" s="6"/>
      <c r="FM165" s="6"/>
      <c r="FN165" s="6"/>
      <c r="FO165" s="138"/>
      <c r="FP165" s="138"/>
      <c r="FQ165" s="123"/>
      <c r="FR165" s="6"/>
      <c r="FS165" s="6"/>
      <c r="FT165" s="139"/>
      <c r="FU165" s="139"/>
      <c r="FV165" s="76"/>
      <c r="FW165" s="123"/>
      <c r="FX165" s="6"/>
    </row>
    <row r="166" spans="35:180">
      <c r="AI166" s="125"/>
      <c r="AJ166" s="16"/>
      <c r="AM166" s="16"/>
      <c r="AN166" s="16"/>
      <c r="AO166" s="125"/>
      <c r="AP166" s="16"/>
      <c r="AQ166" s="125"/>
      <c r="AZ166" s="125"/>
      <c r="BA166" s="142"/>
      <c r="BB166" s="125"/>
      <c r="BC166" s="16"/>
      <c r="BD166" s="125"/>
      <c r="BE166" s="125"/>
      <c r="BF166" s="16"/>
      <c r="BG166" s="125"/>
      <c r="BQ166" s="125"/>
      <c r="BR166" s="16"/>
      <c r="BS166" s="123"/>
      <c r="BT166" s="19"/>
      <c r="BU166" s="139"/>
      <c r="BV166" s="139"/>
      <c r="BW166" s="123"/>
      <c r="BX166" s="123"/>
      <c r="BY166" s="123"/>
      <c r="BZ166" s="123"/>
      <c r="CA166" s="123"/>
      <c r="CB166" s="123"/>
      <c r="CC166" s="6"/>
      <c r="CD166" s="123"/>
      <c r="CE166" s="6"/>
      <c r="CF166" s="123"/>
      <c r="CG166" s="6"/>
      <c r="CH166" s="6"/>
      <c r="CI166" s="6"/>
      <c r="CJ166" s="6"/>
      <c r="CK166" s="123"/>
      <c r="CL166" s="6"/>
      <c r="CM166" s="6"/>
      <c r="CN166" s="6"/>
      <c r="CO166" s="138"/>
      <c r="CP166" s="138"/>
      <c r="CQ166" s="123"/>
      <c r="CR166" s="6"/>
      <c r="CS166" s="6"/>
      <c r="CT166" s="139"/>
      <c r="CU166" s="139"/>
      <c r="CV166" s="76"/>
      <c r="CW166" s="123"/>
      <c r="CX166" s="6"/>
      <c r="DI166" s="125"/>
      <c r="DJ166" s="16"/>
      <c r="DM166" s="16"/>
      <c r="DN166" s="16"/>
      <c r="DO166" s="125"/>
      <c r="DP166" s="16"/>
      <c r="DQ166" s="125"/>
      <c r="DZ166" s="125"/>
      <c r="EA166" s="142"/>
      <c r="EB166" s="125"/>
      <c r="EC166" s="16"/>
      <c r="ED166" s="125"/>
      <c r="EE166" s="125"/>
      <c r="EF166" s="16"/>
      <c r="EG166" s="125"/>
      <c r="EQ166" s="125"/>
      <c r="ER166" s="16"/>
      <c r="ES166" s="123"/>
      <c r="ET166" s="19"/>
      <c r="EU166" s="139"/>
      <c r="EV166" s="139"/>
      <c r="EW166" s="123"/>
      <c r="EX166" s="123"/>
      <c r="EY166" s="123"/>
      <c r="EZ166" s="123"/>
      <c r="FA166" s="123"/>
      <c r="FB166" s="123"/>
      <c r="FC166" s="6"/>
      <c r="FD166" s="123"/>
      <c r="FE166" s="6"/>
      <c r="FF166" s="123"/>
      <c r="FG166" s="6"/>
      <c r="FH166" s="6"/>
      <c r="FI166" s="6"/>
      <c r="FJ166" s="6"/>
      <c r="FK166" s="123"/>
      <c r="FL166" s="6"/>
      <c r="FM166" s="6"/>
      <c r="FN166" s="6"/>
      <c r="FO166" s="138"/>
      <c r="FP166" s="138"/>
      <c r="FQ166" s="123"/>
      <c r="FR166" s="6"/>
      <c r="FS166" s="6"/>
      <c r="FT166" s="139"/>
      <c r="FU166" s="139"/>
      <c r="FV166" s="76"/>
      <c r="FW166" s="123"/>
      <c r="FX166" s="6"/>
    </row>
    <row r="167" spans="35:180">
      <c r="AI167" s="125"/>
      <c r="AJ167" s="16"/>
      <c r="AM167" s="16"/>
      <c r="AN167" s="16"/>
      <c r="AO167" s="125"/>
      <c r="AP167" s="16"/>
      <c r="AQ167" s="125"/>
      <c r="AZ167" s="125"/>
      <c r="BA167" s="142"/>
      <c r="BB167" s="125"/>
      <c r="BC167" s="16"/>
      <c r="BD167" s="125"/>
      <c r="BE167" s="125"/>
      <c r="BF167" s="16"/>
      <c r="BG167" s="125"/>
      <c r="BQ167" s="125"/>
      <c r="BR167" s="16"/>
      <c r="BS167" s="123"/>
      <c r="BT167" s="19"/>
      <c r="BU167" s="139"/>
      <c r="BV167" s="139"/>
      <c r="BW167" s="123"/>
      <c r="BX167" s="123"/>
      <c r="BY167" s="123"/>
      <c r="BZ167" s="123"/>
      <c r="CA167" s="123"/>
      <c r="CB167" s="123"/>
      <c r="CC167" s="6"/>
      <c r="CD167" s="123"/>
      <c r="CE167" s="6"/>
      <c r="CF167" s="123"/>
      <c r="CG167" s="6"/>
      <c r="CH167" s="6"/>
      <c r="CI167" s="6"/>
      <c r="CJ167" s="6"/>
      <c r="CK167" s="123"/>
      <c r="CL167" s="6"/>
      <c r="CM167" s="6"/>
      <c r="CN167" s="6"/>
      <c r="CO167" s="138"/>
      <c r="CP167" s="138"/>
      <c r="CQ167" s="123"/>
      <c r="CR167" s="6"/>
      <c r="CS167" s="6"/>
      <c r="CT167" s="139"/>
      <c r="CU167" s="139"/>
      <c r="CV167" s="76"/>
      <c r="CW167" s="123"/>
      <c r="CX167" s="6"/>
      <c r="DI167" s="125"/>
      <c r="DJ167" s="16"/>
      <c r="DM167" s="16"/>
      <c r="DN167" s="16"/>
      <c r="DO167" s="125"/>
      <c r="DP167" s="16"/>
      <c r="DQ167" s="125"/>
      <c r="DZ167" s="125"/>
      <c r="EA167" s="142"/>
      <c r="EB167" s="125"/>
      <c r="EC167" s="16"/>
      <c r="ED167" s="125"/>
      <c r="EE167" s="125"/>
      <c r="EF167" s="16"/>
      <c r="EG167" s="125"/>
      <c r="EQ167" s="125"/>
      <c r="ER167" s="16"/>
      <c r="ES167" s="123"/>
      <c r="ET167" s="19"/>
      <c r="EU167" s="139"/>
      <c r="EV167" s="139"/>
      <c r="EW167" s="123"/>
      <c r="EX167" s="123"/>
      <c r="EY167" s="123"/>
      <c r="EZ167" s="123"/>
      <c r="FA167" s="123"/>
      <c r="FB167" s="123"/>
      <c r="FC167" s="6"/>
      <c r="FD167" s="123"/>
      <c r="FE167" s="6"/>
      <c r="FF167" s="123"/>
      <c r="FG167" s="6"/>
      <c r="FH167" s="6"/>
      <c r="FI167" s="6"/>
      <c r="FJ167" s="6"/>
      <c r="FK167" s="123"/>
      <c r="FL167" s="6"/>
      <c r="FM167" s="6"/>
      <c r="FN167" s="6"/>
      <c r="FO167" s="138"/>
      <c r="FP167" s="138"/>
      <c r="FQ167" s="123"/>
      <c r="FR167" s="6"/>
      <c r="FS167" s="6"/>
      <c r="FT167" s="139"/>
      <c r="FU167" s="139"/>
      <c r="FV167" s="76"/>
      <c r="FW167" s="123"/>
      <c r="FX167" s="6"/>
    </row>
    <row r="168" spans="35:180">
      <c r="AI168" s="125"/>
      <c r="AJ168" s="16"/>
      <c r="AM168" s="16"/>
      <c r="AN168" s="16"/>
      <c r="AO168" s="125"/>
      <c r="AP168" s="16"/>
      <c r="AQ168" s="125"/>
      <c r="AZ168" s="125"/>
      <c r="BA168" s="142"/>
      <c r="BB168" s="125"/>
      <c r="BC168" s="16"/>
      <c r="BD168" s="125"/>
      <c r="BE168" s="125"/>
      <c r="BF168" s="16"/>
      <c r="BG168" s="125"/>
      <c r="BQ168" s="125"/>
      <c r="BR168" s="16"/>
      <c r="BS168" s="123"/>
      <c r="BT168" s="19"/>
      <c r="BU168" s="139"/>
      <c r="BV168" s="139"/>
      <c r="BW168" s="123"/>
      <c r="BX168" s="123"/>
      <c r="BY168" s="123"/>
      <c r="BZ168" s="123"/>
      <c r="CA168" s="123"/>
      <c r="CB168" s="123"/>
      <c r="CC168" s="6"/>
      <c r="CD168" s="123"/>
      <c r="CE168" s="6"/>
      <c r="CF168" s="123"/>
      <c r="CG168" s="6"/>
      <c r="CH168" s="6"/>
      <c r="CI168" s="6"/>
      <c r="CJ168" s="6"/>
      <c r="CK168" s="123"/>
      <c r="CL168" s="6"/>
      <c r="CM168" s="6"/>
      <c r="CN168" s="6"/>
      <c r="CO168" s="138"/>
      <c r="CP168" s="138"/>
      <c r="CQ168" s="123"/>
      <c r="CR168" s="6"/>
      <c r="CS168" s="6"/>
      <c r="CT168" s="139"/>
      <c r="CU168" s="139"/>
      <c r="CV168" s="76"/>
      <c r="CW168" s="123"/>
      <c r="CX168" s="6"/>
      <c r="DI168" s="125"/>
      <c r="DJ168" s="16"/>
      <c r="DM168" s="16"/>
      <c r="DN168" s="16"/>
      <c r="DO168" s="125"/>
      <c r="DP168" s="16"/>
      <c r="DQ168" s="125"/>
      <c r="DZ168" s="125"/>
      <c r="EA168" s="142"/>
      <c r="EB168" s="125"/>
      <c r="EC168" s="16"/>
      <c r="ED168" s="125"/>
      <c r="EE168" s="125"/>
      <c r="EF168" s="16"/>
      <c r="EG168" s="125"/>
      <c r="EQ168" s="125"/>
      <c r="ER168" s="16"/>
      <c r="ES168" s="123"/>
      <c r="ET168" s="19"/>
      <c r="EU168" s="139"/>
      <c r="EV168" s="139"/>
      <c r="EW168" s="123"/>
      <c r="EX168" s="123"/>
      <c r="EY168" s="123"/>
      <c r="EZ168" s="123"/>
      <c r="FA168" s="123"/>
      <c r="FB168" s="123"/>
      <c r="FC168" s="6"/>
      <c r="FD168" s="123"/>
      <c r="FE168" s="6"/>
      <c r="FF168" s="123"/>
      <c r="FG168" s="6"/>
      <c r="FH168" s="6"/>
      <c r="FI168" s="6"/>
      <c r="FJ168" s="6"/>
      <c r="FK168" s="123"/>
      <c r="FL168" s="6"/>
      <c r="FM168" s="6"/>
      <c r="FN168" s="6"/>
      <c r="FO168" s="138"/>
      <c r="FP168" s="138"/>
      <c r="FQ168" s="123"/>
      <c r="FR168" s="6"/>
      <c r="FS168" s="6"/>
      <c r="FT168" s="139"/>
      <c r="FU168" s="139"/>
      <c r="FV168" s="76"/>
      <c r="FW168" s="123"/>
      <c r="FX168" s="6"/>
    </row>
    <row r="169" spans="35:180">
      <c r="AI169" s="125"/>
      <c r="AJ169" s="16"/>
      <c r="AM169" s="16"/>
      <c r="AN169" s="16"/>
      <c r="AO169" s="125"/>
      <c r="AP169" s="16"/>
      <c r="AQ169" s="125"/>
      <c r="AZ169" s="125"/>
      <c r="BA169" s="142"/>
      <c r="BB169" s="125"/>
      <c r="BC169" s="16"/>
      <c r="BD169" s="125"/>
      <c r="BE169" s="125"/>
      <c r="BF169" s="16"/>
      <c r="BG169" s="125"/>
      <c r="BQ169" s="125"/>
      <c r="BR169" s="16"/>
      <c r="BS169" s="123"/>
      <c r="BT169" s="19"/>
      <c r="BU169" s="139"/>
      <c r="BV169" s="139"/>
      <c r="BW169" s="123"/>
      <c r="BX169" s="123"/>
      <c r="BY169" s="123"/>
      <c r="BZ169" s="123"/>
      <c r="CA169" s="123"/>
      <c r="CB169" s="123"/>
      <c r="CC169" s="6"/>
      <c r="CD169" s="123"/>
      <c r="CE169" s="6"/>
      <c r="CF169" s="123"/>
      <c r="CG169" s="6"/>
      <c r="CH169" s="6"/>
      <c r="CI169" s="6"/>
      <c r="CJ169" s="6"/>
      <c r="CK169" s="123"/>
      <c r="CL169" s="6"/>
      <c r="CM169" s="6"/>
      <c r="CN169" s="6"/>
      <c r="CO169" s="138"/>
      <c r="CP169" s="138"/>
      <c r="CQ169" s="123"/>
      <c r="CR169" s="6"/>
      <c r="CS169" s="6"/>
      <c r="CT169" s="139"/>
      <c r="CU169" s="139"/>
      <c r="CV169" s="76"/>
      <c r="CW169" s="123"/>
      <c r="CX169" s="6"/>
      <c r="DI169" s="125"/>
      <c r="DJ169" s="16"/>
      <c r="DM169" s="16"/>
      <c r="DN169" s="16"/>
      <c r="DO169" s="125"/>
      <c r="DP169" s="16"/>
      <c r="DQ169" s="125"/>
      <c r="DZ169" s="125"/>
      <c r="EA169" s="142"/>
      <c r="EB169" s="125"/>
      <c r="EC169" s="16"/>
      <c r="ED169" s="125"/>
      <c r="EE169" s="125"/>
      <c r="EF169" s="16"/>
      <c r="EG169" s="125"/>
      <c r="EQ169" s="125"/>
      <c r="ER169" s="16"/>
      <c r="ES169" s="123"/>
      <c r="ET169" s="19"/>
      <c r="EU169" s="139"/>
      <c r="EV169" s="139"/>
      <c r="EW169" s="123"/>
      <c r="EX169" s="123"/>
      <c r="EY169" s="123"/>
      <c r="EZ169" s="123"/>
      <c r="FA169" s="123"/>
      <c r="FB169" s="123"/>
      <c r="FC169" s="6"/>
      <c r="FD169" s="123"/>
      <c r="FE169" s="6"/>
      <c r="FF169" s="123"/>
      <c r="FG169" s="6"/>
      <c r="FH169" s="6"/>
      <c r="FI169" s="6"/>
      <c r="FJ169" s="6"/>
      <c r="FK169" s="123"/>
      <c r="FL169" s="6"/>
      <c r="FM169" s="6"/>
      <c r="FN169" s="6"/>
      <c r="FO169" s="138"/>
      <c r="FP169" s="138"/>
      <c r="FQ169" s="123"/>
      <c r="FR169" s="6"/>
      <c r="FS169" s="6"/>
      <c r="FT169" s="139"/>
      <c r="FU169" s="139"/>
      <c r="FV169" s="76"/>
      <c r="FW169" s="123"/>
      <c r="FX169" s="6"/>
    </row>
    <row r="170" spans="35:180">
      <c r="AI170" s="125"/>
      <c r="AJ170" s="16"/>
      <c r="AM170" s="16"/>
      <c r="AN170" s="16"/>
      <c r="AO170" s="125"/>
      <c r="AP170" s="16"/>
      <c r="AQ170" s="125"/>
      <c r="AZ170" s="125"/>
      <c r="BA170" s="142"/>
      <c r="BB170" s="125"/>
      <c r="BC170" s="16"/>
      <c r="BD170" s="125"/>
      <c r="BE170" s="125"/>
      <c r="BF170" s="16"/>
      <c r="BG170" s="125"/>
      <c r="BQ170" s="125"/>
      <c r="BR170" s="16"/>
      <c r="BS170" s="123"/>
      <c r="BT170" s="19"/>
      <c r="BU170" s="139"/>
      <c r="BV170" s="139"/>
      <c r="BW170" s="123"/>
      <c r="BX170" s="123"/>
      <c r="BY170" s="123"/>
      <c r="BZ170" s="123"/>
      <c r="CA170" s="123"/>
      <c r="CB170" s="123"/>
      <c r="CC170" s="6"/>
      <c r="CD170" s="123"/>
      <c r="CE170" s="6"/>
      <c r="CF170" s="123"/>
      <c r="CG170" s="6"/>
      <c r="CH170" s="6"/>
      <c r="CI170" s="6"/>
      <c r="CJ170" s="6"/>
      <c r="CK170" s="123"/>
      <c r="CL170" s="6"/>
      <c r="CM170" s="6"/>
      <c r="CN170" s="6"/>
      <c r="CO170" s="138"/>
      <c r="CP170" s="138"/>
      <c r="CQ170" s="123"/>
      <c r="CR170" s="6"/>
      <c r="CS170" s="6"/>
      <c r="CT170" s="139"/>
      <c r="CU170" s="139"/>
      <c r="CV170" s="76"/>
      <c r="CW170" s="123"/>
      <c r="CX170" s="6"/>
      <c r="DI170" s="125"/>
      <c r="DJ170" s="16"/>
      <c r="DM170" s="16"/>
      <c r="DN170" s="16"/>
      <c r="DO170" s="125"/>
      <c r="DP170" s="16"/>
      <c r="DQ170" s="125"/>
      <c r="DZ170" s="125"/>
      <c r="EA170" s="142"/>
      <c r="EB170" s="125"/>
      <c r="EC170" s="16"/>
      <c r="ED170" s="125"/>
      <c r="EE170" s="125"/>
      <c r="EF170" s="16"/>
      <c r="EG170" s="125"/>
      <c r="EQ170" s="125"/>
      <c r="ER170" s="16"/>
      <c r="ES170" s="123"/>
      <c r="ET170" s="19"/>
      <c r="EU170" s="139"/>
      <c r="EV170" s="139"/>
      <c r="EW170" s="123"/>
      <c r="EX170" s="123"/>
      <c r="EY170" s="123"/>
      <c r="EZ170" s="123"/>
      <c r="FA170" s="123"/>
      <c r="FB170" s="123"/>
      <c r="FC170" s="6"/>
      <c r="FD170" s="123"/>
      <c r="FE170" s="6"/>
      <c r="FF170" s="123"/>
      <c r="FG170" s="6"/>
      <c r="FH170" s="6"/>
      <c r="FI170" s="6"/>
      <c r="FJ170" s="6"/>
      <c r="FK170" s="123"/>
      <c r="FL170" s="6"/>
      <c r="FM170" s="6"/>
      <c r="FN170" s="6"/>
      <c r="FO170" s="138"/>
      <c r="FP170" s="138"/>
      <c r="FQ170" s="123"/>
      <c r="FR170" s="6"/>
      <c r="FS170" s="6"/>
      <c r="FT170" s="139"/>
      <c r="FU170" s="139"/>
      <c r="FV170" s="76"/>
      <c r="FW170" s="123"/>
      <c r="FX170" s="6"/>
    </row>
    <row r="171" spans="35:180">
      <c r="AI171" s="125"/>
      <c r="AJ171" s="16"/>
      <c r="AM171" s="16"/>
      <c r="AN171" s="16"/>
      <c r="AO171" s="125"/>
      <c r="AP171" s="16"/>
      <c r="AQ171" s="125"/>
      <c r="AZ171" s="125"/>
      <c r="BA171" s="142"/>
      <c r="BB171" s="125"/>
      <c r="BC171" s="16"/>
      <c r="BD171" s="125"/>
      <c r="BE171" s="125"/>
      <c r="BF171" s="16"/>
      <c r="BG171" s="125"/>
      <c r="BQ171" s="125"/>
      <c r="BR171" s="16"/>
      <c r="BS171" s="123"/>
      <c r="BT171" s="19"/>
      <c r="BU171" s="139"/>
      <c r="BV171" s="139"/>
      <c r="BW171" s="123"/>
      <c r="BX171" s="123"/>
      <c r="BY171" s="123"/>
      <c r="BZ171" s="123"/>
      <c r="CA171" s="123"/>
      <c r="CB171" s="123"/>
      <c r="CC171" s="6"/>
      <c r="CD171" s="123"/>
      <c r="CE171" s="6"/>
      <c r="CF171" s="123"/>
      <c r="CG171" s="6"/>
      <c r="CH171" s="6"/>
      <c r="CI171" s="6"/>
      <c r="CJ171" s="6"/>
      <c r="CK171" s="123"/>
      <c r="CL171" s="6"/>
      <c r="CM171" s="6"/>
      <c r="CN171" s="6"/>
      <c r="CO171" s="138"/>
      <c r="CP171" s="138"/>
      <c r="CQ171" s="123"/>
      <c r="CR171" s="6"/>
      <c r="CS171" s="6"/>
      <c r="CT171" s="139"/>
      <c r="CU171" s="139"/>
      <c r="CV171" s="76"/>
      <c r="CW171" s="123"/>
      <c r="CX171" s="6"/>
      <c r="DI171" s="125"/>
      <c r="DJ171" s="16"/>
      <c r="DM171" s="16"/>
      <c r="DN171" s="16"/>
      <c r="DO171" s="125"/>
      <c r="DP171" s="16"/>
      <c r="DQ171" s="125"/>
      <c r="DZ171" s="125"/>
      <c r="EA171" s="142"/>
      <c r="EB171" s="125"/>
      <c r="EC171" s="16"/>
      <c r="ED171" s="125"/>
      <c r="EE171" s="125"/>
      <c r="EF171" s="16"/>
      <c r="EG171" s="125"/>
      <c r="EQ171" s="125"/>
      <c r="ER171" s="16"/>
      <c r="ES171" s="123"/>
      <c r="ET171" s="19"/>
      <c r="EU171" s="139"/>
      <c r="EV171" s="139"/>
      <c r="EW171" s="123"/>
      <c r="EX171" s="123"/>
      <c r="EY171" s="123"/>
      <c r="EZ171" s="123"/>
      <c r="FA171" s="123"/>
      <c r="FB171" s="123"/>
      <c r="FC171" s="6"/>
      <c r="FD171" s="123"/>
      <c r="FE171" s="6"/>
      <c r="FF171" s="123"/>
      <c r="FG171" s="6"/>
      <c r="FH171" s="6"/>
      <c r="FI171" s="6"/>
      <c r="FJ171" s="6"/>
      <c r="FK171" s="123"/>
      <c r="FL171" s="6"/>
      <c r="FM171" s="6"/>
      <c r="FN171" s="6"/>
      <c r="FO171" s="138"/>
      <c r="FP171" s="138"/>
      <c r="FQ171" s="123"/>
      <c r="FR171" s="6"/>
      <c r="FS171" s="6"/>
      <c r="FT171" s="139"/>
      <c r="FU171" s="139"/>
      <c r="FV171" s="76"/>
      <c r="FW171" s="123"/>
      <c r="FX171" s="6"/>
    </row>
    <row r="172" spans="35:180">
      <c r="AI172" s="125"/>
      <c r="AJ172" s="16"/>
      <c r="AM172" s="16"/>
      <c r="AN172" s="16"/>
      <c r="AO172" s="125"/>
      <c r="AP172" s="16"/>
      <c r="AQ172" s="125"/>
      <c r="AZ172" s="125"/>
      <c r="BA172" s="142"/>
      <c r="BB172" s="125"/>
      <c r="BC172" s="16"/>
      <c r="BD172" s="125"/>
      <c r="BE172" s="125"/>
      <c r="BF172" s="16"/>
      <c r="BG172" s="125"/>
      <c r="BQ172" s="125"/>
      <c r="BR172" s="16"/>
      <c r="BS172" s="123"/>
      <c r="BT172" s="19"/>
      <c r="BU172" s="139"/>
      <c r="BV172" s="139"/>
      <c r="BW172" s="123"/>
      <c r="BX172" s="123"/>
      <c r="BY172" s="123"/>
      <c r="BZ172" s="123"/>
      <c r="CA172" s="123"/>
      <c r="CB172" s="123"/>
      <c r="CC172" s="6"/>
      <c r="CD172" s="123"/>
      <c r="CE172" s="6"/>
      <c r="CF172" s="123"/>
      <c r="CG172" s="6"/>
      <c r="CH172" s="6"/>
      <c r="CI172" s="6"/>
      <c r="CJ172" s="6"/>
      <c r="CK172" s="123"/>
      <c r="CL172" s="6"/>
      <c r="CM172" s="6"/>
      <c r="CN172" s="6"/>
      <c r="CO172" s="138"/>
      <c r="CP172" s="138"/>
      <c r="CQ172" s="123"/>
      <c r="CR172" s="6"/>
      <c r="CS172" s="6"/>
      <c r="CT172" s="139"/>
      <c r="CU172" s="139"/>
      <c r="CV172" s="76"/>
      <c r="CW172" s="123"/>
      <c r="CX172" s="6"/>
      <c r="DI172" s="125"/>
      <c r="DJ172" s="16"/>
      <c r="DM172" s="16"/>
      <c r="DN172" s="16"/>
      <c r="DO172" s="125"/>
      <c r="DP172" s="16"/>
      <c r="DQ172" s="125"/>
      <c r="DZ172" s="125"/>
      <c r="EA172" s="142"/>
      <c r="EB172" s="125"/>
      <c r="EC172" s="16"/>
      <c r="ED172" s="125"/>
      <c r="EE172" s="125"/>
      <c r="EF172" s="16"/>
      <c r="EG172" s="125"/>
      <c r="EQ172" s="125"/>
      <c r="ER172" s="16"/>
      <c r="ES172" s="123"/>
      <c r="ET172" s="19"/>
      <c r="EU172" s="139"/>
      <c r="EV172" s="139"/>
      <c r="EW172" s="123"/>
      <c r="EX172" s="123"/>
      <c r="EY172" s="123"/>
      <c r="EZ172" s="123"/>
      <c r="FA172" s="123"/>
      <c r="FB172" s="123"/>
      <c r="FC172" s="6"/>
      <c r="FD172" s="123"/>
      <c r="FE172" s="6"/>
      <c r="FF172" s="123"/>
      <c r="FG172" s="6"/>
      <c r="FH172" s="6"/>
      <c r="FI172" s="6"/>
      <c r="FJ172" s="6"/>
      <c r="FK172" s="123"/>
      <c r="FL172" s="6"/>
      <c r="FM172" s="6"/>
      <c r="FN172" s="6"/>
      <c r="FO172" s="138"/>
      <c r="FP172" s="138"/>
      <c r="FQ172" s="123"/>
      <c r="FR172" s="6"/>
      <c r="FS172" s="6"/>
      <c r="FT172" s="139"/>
      <c r="FU172" s="139"/>
      <c r="FV172" s="76"/>
      <c r="FW172" s="123"/>
      <c r="FX172" s="6"/>
    </row>
    <row r="173" spans="35:180">
      <c r="AI173" s="125"/>
      <c r="AJ173" s="16"/>
      <c r="AM173" s="16"/>
      <c r="AN173" s="16"/>
      <c r="AO173" s="125"/>
      <c r="AP173" s="16"/>
      <c r="AQ173" s="125"/>
      <c r="AZ173" s="125"/>
      <c r="BA173" s="142"/>
      <c r="BB173" s="125"/>
      <c r="BC173" s="16"/>
      <c r="BD173" s="125"/>
      <c r="BE173" s="125"/>
      <c r="BF173" s="16"/>
      <c r="BG173" s="125"/>
      <c r="BQ173" s="125"/>
      <c r="BR173" s="16"/>
      <c r="BS173" s="123"/>
      <c r="BT173" s="19"/>
      <c r="BU173" s="139"/>
      <c r="BV173" s="139"/>
      <c r="BW173" s="123"/>
      <c r="BX173" s="123"/>
      <c r="BY173" s="123"/>
      <c r="BZ173" s="123"/>
      <c r="CA173" s="123"/>
      <c r="CB173" s="123"/>
      <c r="CC173" s="6"/>
      <c r="CD173" s="123"/>
      <c r="CE173" s="6"/>
      <c r="CF173" s="123"/>
      <c r="CG173" s="6"/>
      <c r="CH173" s="6"/>
      <c r="CI173" s="6"/>
      <c r="CJ173" s="6"/>
      <c r="CK173" s="123"/>
      <c r="CL173" s="6"/>
      <c r="CM173" s="6"/>
      <c r="CN173" s="6"/>
      <c r="CO173" s="138"/>
      <c r="CP173" s="138"/>
      <c r="CQ173" s="123"/>
      <c r="CR173" s="6"/>
      <c r="CS173" s="6"/>
      <c r="CT173" s="139"/>
      <c r="CU173" s="139"/>
      <c r="CV173" s="76"/>
      <c r="CW173" s="123"/>
      <c r="CX173" s="6"/>
      <c r="DI173" s="125"/>
      <c r="DJ173" s="16"/>
      <c r="DM173" s="16"/>
      <c r="DN173" s="16"/>
      <c r="DO173" s="125"/>
      <c r="DP173" s="16"/>
      <c r="DQ173" s="125"/>
      <c r="DZ173" s="125"/>
      <c r="EA173" s="142"/>
      <c r="EB173" s="125"/>
      <c r="EC173" s="16"/>
      <c r="ED173" s="125"/>
      <c r="EE173" s="125"/>
      <c r="EF173" s="16"/>
      <c r="EG173" s="125"/>
      <c r="EQ173" s="125"/>
      <c r="ER173" s="16"/>
      <c r="ES173" s="123"/>
      <c r="ET173" s="19"/>
      <c r="EU173" s="139"/>
      <c r="EV173" s="139"/>
      <c r="EW173" s="123"/>
      <c r="EX173" s="123"/>
      <c r="EY173" s="123"/>
      <c r="EZ173" s="123"/>
      <c r="FA173" s="123"/>
      <c r="FB173" s="123"/>
      <c r="FC173" s="6"/>
      <c r="FD173" s="123"/>
      <c r="FE173" s="6"/>
      <c r="FF173" s="123"/>
      <c r="FG173" s="6"/>
      <c r="FH173" s="6"/>
      <c r="FI173" s="6"/>
      <c r="FJ173" s="6"/>
      <c r="FK173" s="123"/>
      <c r="FL173" s="6"/>
      <c r="FM173" s="6"/>
      <c r="FN173" s="6"/>
      <c r="FO173" s="138"/>
      <c r="FP173" s="138"/>
      <c r="FQ173" s="123"/>
      <c r="FR173" s="6"/>
      <c r="FS173" s="6"/>
      <c r="FT173" s="139"/>
      <c r="FU173" s="139"/>
      <c r="FV173" s="76"/>
      <c r="FW173" s="123"/>
      <c r="FX173" s="6"/>
    </row>
    <row r="174" spans="35:180">
      <c r="AI174" s="125"/>
      <c r="AJ174" s="16"/>
      <c r="AM174" s="16"/>
      <c r="AN174" s="16"/>
      <c r="AO174" s="125"/>
      <c r="AP174" s="16"/>
      <c r="AQ174" s="125"/>
      <c r="AZ174" s="125"/>
      <c r="BA174" s="142"/>
      <c r="BB174" s="125"/>
      <c r="BC174" s="16"/>
      <c r="BD174" s="125"/>
      <c r="BE174" s="125"/>
      <c r="BF174" s="16"/>
      <c r="BG174" s="125"/>
      <c r="BQ174" s="125"/>
      <c r="BR174" s="16"/>
      <c r="BS174" s="123"/>
      <c r="BT174" s="19"/>
      <c r="BU174" s="139"/>
      <c r="BV174" s="139"/>
      <c r="BW174" s="123"/>
      <c r="BX174" s="123"/>
      <c r="BY174" s="123"/>
      <c r="BZ174" s="123"/>
      <c r="CA174" s="123"/>
      <c r="CB174" s="123"/>
      <c r="CC174" s="6"/>
      <c r="CD174" s="123"/>
      <c r="CE174" s="6"/>
      <c r="CF174" s="123"/>
      <c r="CG174" s="6"/>
      <c r="CH174" s="6"/>
      <c r="CI174" s="6"/>
      <c r="CJ174" s="6"/>
      <c r="CK174" s="123"/>
      <c r="CL174" s="6"/>
      <c r="CM174" s="6"/>
      <c r="CN174" s="6"/>
      <c r="CO174" s="138"/>
      <c r="CP174" s="138"/>
      <c r="CQ174" s="123"/>
      <c r="CR174" s="6"/>
      <c r="CS174" s="6"/>
      <c r="CT174" s="139"/>
      <c r="CU174" s="139"/>
      <c r="CV174" s="76"/>
      <c r="CW174" s="123"/>
      <c r="CX174" s="6"/>
      <c r="DI174" s="125"/>
      <c r="DJ174" s="16"/>
      <c r="DM174" s="16"/>
      <c r="DN174" s="16"/>
      <c r="DO174" s="125"/>
      <c r="DP174" s="16"/>
      <c r="DQ174" s="125"/>
      <c r="DZ174" s="125"/>
      <c r="EA174" s="142"/>
      <c r="EB174" s="125"/>
      <c r="EC174" s="16"/>
      <c r="ED174" s="125"/>
      <c r="EE174" s="125"/>
      <c r="EF174" s="16"/>
      <c r="EG174" s="125"/>
      <c r="EQ174" s="125"/>
      <c r="ER174" s="16"/>
      <c r="ES174" s="123"/>
      <c r="ET174" s="19"/>
      <c r="EU174" s="139"/>
      <c r="EV174" s="139"/>
      <c r="EW174" s="123"/>
      <c r="EX174" s="123"/>
      <c r="EY174" s="123"/>
      <c r="EZ174" s="123"/>
      <c r="FA174" s="123"/>
      <c r="FB174" s="123"/>
      <c r="FC174" s="6"/>
      <c r="FD174" s="123"/>
      <c r="FE174" s="6"/>
      <c r="FF174" s="123"/>
      <c r="FG174" s="6"/>
      <c r="FH174" s="6"/>
      <c r="FI174" s="6"/>
      <c r="FJ174" s="6"/>
      <c r="FK174" s="123"/>
      <c r="FL174" s="6"/>
      <c r="FM174" s="6"/>
      <c r="FN174" s="6"/>
      <c r="FO174" s="138"/>
      <c r="FP174" s="138"/>
      <c r="FQ174" s="123"/>
      <c r="FR174" s="6"/>
      <c r="FS174" s="6"/>
      <c r="FT174" s="139"/>
      <c r="FU174" s="139"/>
      <c r="FV174" s="76"/>
      <c r="FW174" s="123"/>
      <c r="FX174" s="6"/>
    </row>
    <row r="175" spans="35:180">
      <c r="AI175" s="125"/>
      <c r="AJ175" s="16"/>
      <c r="AM175" s="16"/>
      <c r="AN175" s="16"/>
      <c r="AO175" s="125"/>
      <c r="AP175" s="16"/>
      <c r="AQ175" s="125"/>
      <c r="AZ175" s="125"/>
      <c r="BA175" s="142"/>
      <c r="BB175" s="125"/>
      <c r="BC175" s="16"/>
      <c r="BD175" s="125"/>
      <c r="BE175" s="125"/>
      <c r="BF175" s="16"/>
      <c r="BG175" s="125"/>
      <c r="BQ175" s="125"/>
      <c r="BR175" s="16"/>
      <c r="BS175" s="123"/>
      <c r="BT175" s="19"/>
      <c r="BU175" s="139"/>
      <c r="BV175" s="139"/>
      <c r="BW175" s="123"/>
      <c r="BX175" s="123"/>
      <c r="BY175" s="123"/>
      <c r="BZ175" s="123"/>
      <c r="CA175" s="123"/>
      <c r="CB175" s="123"/>
      <c r="CC175" s="6"/>
      <c r="CD175" s="123"/>
      <c r="CE175" s="6"/>
      <c r="CF175" s="123"/>
      <c r="CG175" s="6"/>
      <c r="CH175" s="6"/>
      <c r="CI175" s="6"/>
      <c r="CJ175" s="6"/>
      <c r="CK175" s="123"/>
      <c r="CL175" s="6"/>
      <c r="CM175" s="6"/>
      <c r="CN175" s="6"/>
      <c r="CO175" s="138"/>
      <c r="CP175" s="138"/>
      <c r="CQ175" s="123"/>
      <c r="CR175" s="6"/>
      <c r="CS175" s="6"/>
      <c r="CT175" s="139"/>
      <c r="CU175" s="139"/>
      <c r="CV175" s="76"/>
      <c r="CW175" s="123"/>
      <c r="CX175" s="6"/>
      <c r="DI175" s="125"/>
      <c r="DJ175" s="16"/>
      <c r="DM175" s="16"/>
      <c r="DN175" s="16"/>
      <c r="DO175" s="125"/>
      <c r="DP175" s="16"/>
      <c r="DQ175" s="125"/>
      <c r="DZ175" s="125"/>
      <c r="EA175" s="142"/>
      <c r="EB175" s="125"/>
      <c r="EC175" s="16"/>
      <c r="ED175" s="125"/>
      <c r="EE175" s="125"/>
      <c r="EF175" s="16"/>
      <c r="EG175" s="125"/>
      <c r="EQ175" s="125"/>
      <c r="ER175" s="16"/>
      <c r="ES175" s="123"/>
      <c r="ET175" s="19"/>
      <c r="EU175" s="139"/>
      <c r="EV175" s="139"/>
      <c r="EW175" s="123"/>
      <c r="EX175" s="123"/>
      <c r="EY175" s="123"/>
      <c r="EZ175" s="123"/>
      <c r="FA175" s="123"/>
      <c r="FB175" s="123"/>
      <c r="FC175" s="6"/>
      <c r="FD175" s="123"/>
      <c r="FE175" s="6"/>
      <c r="FF175" s="123"/>
      <c r="FG175" s="6"/>
      <c r="FH175" s="6"/>
      <c r="FI175" s="6"/>
      <c r="FJ175" s="6"/>
      <c r="FK175" s="123"/>
      <c r="FL175" s="6"/>
      <c r="FM175" s="6"/>
      <c r="FN175" s="6"/>
      <c r="FO175" s="138"/>
      <c r="FP175" s="138"/>
      <c r="FQ175" s="123"/>
      <c r="FR175" s="6"/>
      <c r="FS175" s="6"/>
      <c r="FT175" s="139"/>
      <c r="FU175" s="139"/>
      <c r="FV175" s="76"/>
      <c r="FW175" s="123"/>
      <c r="FX175" s="6"/>
    </row>
    <row r="176" spans="35:180">
      <c r="AI176" s="125"/>
      <c r="AJ176" s="16"/>
      <c r="AM176" s="16"/>
      <c r="AN176" s="16"/>
      <c r="AO176" s="125"/>
      <c r="AP176" s="16"/>
      <c r="AQ176" s="125"/>
      <c r="AZ176" s="125"/>
      <c r="BA176" s="142"/>
      <c r="BB176" s="125"/>
      <c r="BC176" s="16"/>
      <c r="BD176" s="125"/>
      <c r="BE176" s="125"/>
      <c r="BF176" s="16"/>
      <c r="BG176" s="125"/>
      <c r="BQ176" s="125"/>
      <c r="BR176" s="16"/>
      <c r="BS176" s="123"/>
      <c r="BT176" s="19"/>
      <c r="BU176" s="139"/>
      <c r="BV176" s="139"/>
      <c r="BW176" s="123"/>
      <c r="BX176" s="123"/>
      <c r="BY176" s="123"/>
      <c r="BZ176" s="123"/>
      <c r="CA176" s="123"/>
      <c r="CB176" s="123"/>
      <c r="CC176" s="6"/>
      <c r="CD176" s="123"/>
      <c r="CE176" s="6"/>
      <c r="CF176" s="123"/>
      <c r="CG176" s="6"/>
      <c r="CH176" s="6"/>
      <c r="CI176" s="6"/>
      <c r="CJ176" s="6"/>
      <c r="CK176" s="123"/>
      <c r="CL176" s="6"/>
      <c r="CM176" s="6"/>
      <c r="CN176" s="6"/>
      <c r="CO176" s="138"/>
      <c r="CP176" s="138"/>
      <c r="CQ176" s="123"/>
      <c r="CR176" s="6"/>
      <c r="CS176" s="6"/>
      <c r="CT176" s="139"/>
      <c r="CU176" s="139"/>
      <c r="CV176" s="76"/>
      <c r="CW176" s="123"/>
      <c r="CX176" s="6"/>
      <c r="DI176" s="125"/>
      <c r="DJ176" s="16"/>
      <c r="DM176" s="16"/>
      <c r="DN176" s="16"/>
      <c r="DO176" s="125"/>
      <c r="DP176" s="16"/>
      <c r="DQ176" s="125"/>
      <c r="DZ176" s="125"/>
      <c r="EA176" s="142"/>
      <c r="EB176" s="125"/>
      <c r="EC176" s="16"/>
      <c r="ED176" s="125"/>
      <c r="EE176" s="125"/>
      <c r="EF176" s="16"/>
      <c r="EG176" s="125"/>
      <c r="EQ176" s="125"/>
      <c r="ER176" s="16"/>
      <c r="ES176" s="123"/>
      <c r="ET176" s="19"/>
      <c r="EU176" s="139"/>
      <c r="EV176" s="139"/>
      <c r="EW176" s="123"/>
      <c r="EX176" s="123"/>
      <c r="EY176" s="123"/>
      <c r="EZ176" s="123"/>
      <c r="FA176" s="123"/>
      <c r="FB176" s="123"/>
      <c r="FC176" s="6"/>
      <c r="FD176" s="123"/>
      <c r="FE176" s="6"/>
      <c r="FF176" s="123"/>
      <c r="FG176" s="6"/>
      <c r="FH176" s="6"/>
      <c r="FI176" s="6"/>
      <c r="FJ176" s="6"/>
      <c r="FK176" s="123"/>
      <c r="FL176" s="6"/>
      <c r="FM176" s="6"/>
      <c r="FN176" s="6"/>
      <c r="FO176" s="138"/>
      <c r="FP176" s="138"/>
      <c r="FQ176" s="123"/>
      <c r="FR176" s="6"/>
      <c r="FS176" s="6"/>
      <c r="FT176" s="139"/>
      <c r="FU176" s="139"/>
      <c r="FV176" s="76"/>
      <c r="FW176" s="123"/>
      <c r="FX176" s="6"/>
    </row>
    <row r="177" spans="35:180">
      <c r="AI177" s="125"/>
      <c r="AJ177" s="16"/>
      <c r="AM177" s="16"/>
      <c r="AN177" s="16"/>
      <c r="AO177" s="125"/>
      <c r="AP177" s="16"/>
      <c r="AQ177" s="125"/>
      <c r="AZ177" s="125"/>
      <c r="BA177" s="142"/>
      <c r="BB177" s="125"/>
      <c r="BC177" s="16"/>
      <c r="BD177" s="125"/>
      <c r="BE177" s="125"/>
      <c r="BF177" s="16"/>
      <c r="BG177" s="125"/>
      <c r="BQ177" s="125"/>
      <c r="BR177" s="16"/>
      <c r="BS177" s="123"/>
      <c r="BT177" s="19"/>
      <c r="BU177" s="139"/>
      <c r="BV177" s="139"/>
      <c r="BW177" s="123"/>
      <c r="BX177" s="123"/>
      <c r="BY177" s="123"/>
      <c r="BZ177" s="123"/>
      <c r="CA177" s="123"/>
      <c r="CB177" s="123"/>
      <c r="CC177" s="6"/>
      <c r="CD177" s="123"/>
      <c r="CE177" s="6"/>
      <c r="CF177" s="123"/>
      <c r="CG177" s="6"/>
      <c r="CH177" s="6"/>
      <c r="CI177" s="6"/>
      <c r="CJ177" s="6"/>
      <c r="CK177" s="123"/>
      <c r="CL177" s="6"/>
      <c r="CM177" s="6"/>
      <c r="CN177" s="6"/>
      <c r="CO177" s="138"/>
      <c r="CP177" s="138"/>
      <c r="CQ177" s="123"/>
      <c r="CR177" s="6"/>
      <c r="CS177" s="6"/>
      <c r="CT177" s="139"/>
      <c r="CU177" s="139"/>
      <c r="CV177" s="76"/>
      <c r="CW177" s="123"/>
      <c r="CX177" s="6"/>
      <c r="DI177" s="125"/>
      <c r="DJ177" s="16"/>
      <c r="DM177" s="16"/>
      <c r="DN177" s="16"/>
      <c r="DO177" s="125"/>
      <c r="DP177" s="16"/>
      <c r="DQ177" s="125"/>
      <c r="DZ177" s="125"/>
      <c r="EA177" s="142"/>
      <c r="EB177" s="125"/>
      <c r="EC177" s="16"/>
      <c r="ED177" s="125"/>
      <c r="EE177" s="125"/>
      <c r="EF177" s="16"/>
      <c r="EG177" s="125"/>
      <c r="EQ177" s="125"/>
      <c r="ER177" s="16"/>
      <c r="ES177" s="123"/>
      <c r="ET177" s="19"/>
      <c r="EU177" s="139"/>
      <c r="EV177" s="139"/>
      <c r="EW177" s="123"/>
      <c r="EX177" s="123"/>
      <c r="EY177" s="123"/>
      <c r="EZ177" s="123"/>
      <c r="FA177" s="123"/>
      <c r="FB177" s="123"/>
      <c r="FC177" s="6"/>
      <c r="FD177" s="123"/>
      <c r="FE177" s="6"/>
      <c r="FF177" s="123"/>
      <c r="FG177" s="6"/>
      <c r="FH177" s="6"/>
      <c r="FI177" s="6"/>
      <c r="FJ177" s="6"/>
      <c r="FK177" s="123"/>
      <c r="FL177" s="6"/>
      <c r="FM177" s="6"/>
      <c r="FN177" s="6"/>
      <c r="FO177" s="138"/>
      <c r="FP177" s="138"/>
      <c r="FQ177" s="123"/>
      <c r="FR177" s="6"/>
      <c r="FS177" s="6"/>
      <c r="FT177" s="139"/>
      <c r="FU177" s="139"/>
      <c r="FV177" s="76"/>
      <c r="FW177" s="123"/>
      <c r="FX177" s="6"/>
    </row>
    <row r="178" spans="35:180">
      <c r="AI178" s="125"/>
      <c r="AJ178" s="16"/>
      <c r="AM178" s="16"/>
      <c r="AN178" s="16"/>
      <c r="AO178" s="125"/>
      <c r="AP178" s="16"/>
      <c r="AQ178" s="125"/>
      <c r="AZ178" s="125"/>
      <c r="BA178" s="142"/>
      <c r="BB178" s="125"/>
      <c r="BC178" s="16"/>
      <c r="BD178" s="125"/>
      <c r="BE178" s="125"/>
      <c r="BF178" s="16"/>
      <c r="BG178" s="125"/>
      <c r="BQ178" s="125"/>
      <c r="BR178" s="16"/>
      <c r="BS178" s="123"/>
      <c r="BT178" s="19"/>
      <c r="BU178" s="139"/>
      <c r="BV178" s="139"/>
      <c r="BW178" s="123"/>
      <c r="BX178" s="123"/>
      <c r="BY178" s="123"/>
      <c r="BZ178" s="123"/>
      <c r="CA178" s="123"/>
      <c r="CB178" s="123"/>
      <c r="CC178" s="6"/>
      <c r="CD178" s="123"/>
      <c r="CE178" s="6"/>
      <c r="CF178" s="123"/>
      <c r="CG178" s="6"/>
      <c r="CH178" s="6"/>
      <c r="CI178" s="6"/>
      <c r="CJ178" s="6"/>
      <c r="CK178" s="123"/>
      <c r="CL178" s="6"/>
      <c r="CM178" s="6"/>
      <c r="CN178" s="6"/>
      <c r="CO178" s="138"/>
      <c r="CP178" s="138"/>
      <c r="CQ178" s="123"/>
      <c r="CR178" s="6"/>
      <c r="CS178" s="6"/>
      <c r="CT178" s="139"/>
      <c r="CU178" s="139"/>
      <c r="CV178" s="76"/>
      <c r="CW178" s="123"/>
      <c r="CX178" s="6"/>
      <c r="DI178" s="125"/>
      <c r="DJ178" s="16"/>
      <c r="DM178" s="16"/>
      <c r="DN178" s="16"/>
      <c r="DO178" s="125"/>
      <c r="DP178" s="16"/>
      <c r="DQ178" s="125"/>
      <c r="DZ178" s="125"/>
      <c r="EA178" s="142"/>
      <c r="EB178" s="125"/>
      <c r="EC178" s="16"/>
      <c r="ED178" s="125"/>
      <c r="EE178" s="125"/>
      <c r="EF178" s="16"/>
      <c r="EG178" s="125"/>
      <c r="EQ178" s="125"/>
      <c r="ER178" s="16"/>
      <c r="ES178" s="123"/>
      <c r="ET178" s="19"/>
      <c r="EU178" s="139"/>
      <c r="EV178" s="139"/>
      <c r="EW178" s="123"/>
      <c r="EX178" s="123"/>
      <c r="EY178" s="123"/>
      <c r="EZ178" s="123"/>
      <c r="FA178" s="123"/>
      <c r="FB178" s="123"/>
      <c r="FC178" s="6"/>
      <c r="FD178" s="123"/>
      <c r="FE178" s="6"/>
      <c r="FF178" s="123"/>
      <c r="FG178" s="6"/>
      <c r="FH178" s="6"/>
      <c r="FI178" s="6"/>
      <c r="FJ178" s="6"/>
      <c r="FK178" s="123"/>
      <c r="FL178" s="6"/>
      <c r="FM178" s="6"/>
      <c r="FN178" s="6"/>
      <c r="FO178" s="138"/>
      <c r="FP178" s="138"/>
      <c r="FQ178" s="123"/>
      <c r="FR178" s="6"/>
      <c r="FS178" s="6"/>
      <c r="FT178" s="139"/>
      <c r="FU178" s="139"/>
      <c r="FV178" s="76"/>
      <c r="FW178" s="123"/>
      <c r="FX178" s="6"/>
    </row>
    <row r="179" spans="35:180">
      <c r="AI179" s="125"/>
      <c r="AJ179" s="16"/>
      <c r="AM179" s="16"/>
      <c r="AN179" s="16"/>
      <c r="AO179" s="125"/>
      <c r="AP179" s="16"/>
      <c r="AQ179" s="125"/>
      <c r="AZ179" s="125"/>
      <c r="BA179" s="142"/>
      <c r="BB179" s="125"/>
      <c r="BC179" s="16"/>
      <c r="BD179" s="125"/>
      <c r="BE179" s="125"/>
      <c r="BF179" s="16"/>
      <c r="BG179" s="125"/>
      <c r="BQ179" s="125"/>
      <c r="BR179" s="16"/>
      <c r="BS179" s="123"/>
      <c r="BT179" s="19"/>
      <c r="BU179" s="139"/>
      <c r="BV179" s="139"/>
      <c r="BW179" s="123"/>
      <c r="BX179" s="123"/>
      <c r="BY179" s="123"/>
      <c r="BZ179" s="123"/>
      <c r="CA179" s="123"/>
      <c r="CB179" s="123"/>
      <c r="CC179" s="6"/>
      <c r="CD179" s="123"/>
      <c r="CE179" s="6"/>
      <c r="CF179" s="123"/>
      <c r="CG179" s="6"/>
      <c r="CH179" s="6"/>
      <c r="CI179" s="6"/>
      <c r="CJ179" s="6"/>
      <c r="CK179" s="123"/>
      <c r="CL179" s="6"/>
      <c r="CM179" s="6"/>
      <c r="CN179" s="6"/>
      <c r="CO179" s="138"/>
      <c r="CP179" s="138"/>
      <c r="CQ179" s="123"/>
      <c r="CR179" s="6"/>
      <c r="CS179" s="6"/>
      <c r="CT179" s="139"/>
      <c r="CU179" s="139"/>
      <c r="CV179" s="76"/>
      <c r="CW179" s="123"/>
      <c r="CX179" s="6"/>
      <c r="DI179" s="125"/>
      <c r="DJ179" s="16"/>
      <c r="DM179" s="16"/>
      <c r="DN179" s="16"/>
      <c r="DO179" s="125"/>
      <c r="DP179" s="16"/>
      <c r="DQ179" s="125"/>
      <c r="DZ179" s="125"/>
      <c r="EA179" s="142"/>
      <c r="EB179" s="125"/>
      <c r="EC179" s="16"/>
      <c r="ED179" s="125"/>
      <c r="EE179" s="125"/>
      <c r="EF179" s="16"/>
      <c r="EG179" s="125"/>
      <c r="EQ179" s="125"/>
      <c r="ER179" s="16"/>
      <c r="ES179" s="123"/>
      <c r="ET179" s="19"/>
      <c r="EU179" s="139"/>
      <c r="EV179" s="139"/>
      <c r="EW179" s="123"/>
      <c r="EX179" s="123"/>
      <c r="EY179" s="123"/>
      <c r="EZ179" s="123"/>
      <c r="FA179" s="123"/>
      <c r="FB179" s="123"/>
      <c r="FC179" s="6"/>
      <c r="FD179" s="123"/>
      <c r="FE179" s="6"/>
      <c r="FF179" s="123"/>
      <c r="FG179" s="6"/>
      <c r="FH179" s="6"/>
      <c r="FI179" s="6"/>
      <c r="FJ179" s="6"/>
      <c r="FK179" s="123"/>
      <c r="FL179" s="6"/>
      <c r="FM179" s="6"/>
      <c r="FN179" s="6"/>
      <c r="FO179" s="138"/>
      <c r="FP179" s="138"/>
      <c r="FQ179" s="123"/>
      <c r="FR179" s="6"/>
      <c r="FS179" s="6"/>
      <c r="FT179" s="139"/>
      <c r="FU179" s="139"/>
      <c r="FV179" s="76"/>
      <c r="FW179" s="123"/>
      <c r="FX179" s="6"/>
    </row>
    <row r="180" spans="35:180">
      <c r="AI180" s="125"/>
      <c r="AJ180" s="16"/>
      <c r="AM180" s="16"/>
      <c r="AN180" s="16"/>
      <c r="AO180" s="125"/>
      <c r="AP180" s="16"/>
      <c r="AQ180" s="125"/>
      <c r="AZ180" s="125"/>
      <c r="BA180" s="142"/>
      <c r="BB180" s="125"/>
      <c r="BC180" s="16"/>
      <c r="BD180" s="125"/>
      <c r="BE180" s="125"/>
      <c r="BF180" s="16"/>
      <c r="BG180" s="125"/>
      <c r="BQ180" s="125"/>
      <c r="BR180" s="16"/>
      <c r="BS180" s="123"/>
      <c r="BT180" s="19"/>
      <c r="BU180" s="139"/>
      <c r="BV180" s="139"/>
      <c r="BW180" s="123"/>
      <c r="BX180" s="123"/>
      <c r="BY180" s="123"/>
      <c r="BZ180" s="123"/>
      <c r="CA180" s="123"/>
      <c r="CB180" s="123"/>
      <c r="CC180" s="6"/>
      <c r="CD180" s="123"/>
      <c r="CE180" s="6"/>
      <c r="CF180" s="123"/>
      <c r="CG180" s="6"/>
      <c r="CH180" s="6"/>
      <c r="CI180" s="6"/>
      <c r="CJ180" s="6"/>
      <c r="CK180" s="123"/>
      <c r="CL180" s="6"/>
      <c r="CM180" s="6"/>
      <c r="CN180" s="6"/>
      <c r="CO180" s="138"/>
      <c r="CP180" s="138"/>
      <c r="CQ180" s="123"/>
      <c r="CR180" s="6"/>
      <c r="CS180" s="6"/>
      <c r="CT180" s="139"/>
      <c r="CU180" s="139"/>
      <c r="CV180" s="76"/>
      <c r="CW180" s="123"/>
      <c r="CX180" s="6"/>
      <c r="DI180" s="125"/>
      <c r="DJ180" s="16"/>
      <c r="DM180" s="16"/>
      <c r="DN180" s="16"/>
      <c r="DO180" s="125"/>
      <c r="DP180" s="16"/>
      <c r="DQ180" s="125"/>
      <c r="DZ180" s="125"/>
      <c r="EA180" s="142"/>
      <c r="EB180" s="125"/>
      <c r="EC180" s="16"/>
      <c r="ED180" s="125"/>
      <c r="EE180" s="125"/>
      <c r="EF180" s="16"/>
      <c r="EG180" s="125"/>
      <c r="EQ180" s="125"/>
      <c r="ER180" s="16"/>
      <c r="ES180" s="123"/>
      <c r="ET180" s="19"/>
      <c r="EU180" s="139"/>
      <c r="EV180" s="139"/>
      <c r="EW180" s="123"/>
      <c r="EX180" s="123"/>
      <c r="EY180" s="123"/>
      <c r="EZ180" s="123"/>
      <c r="FA180" s="123"/>
      <c r="FB180" s="123"/>
      <c r="FC180" s="6"/>
      <c r="FD180" s="123"/>
      <c r="FE180" s="6"/>
      <c r="FF180" s="123"/>
      <c r="FG180" s="6"/>
      <c r="FH180" s="6"/>
      <c r="FI180" s="6"/>
      <c r="FJ180" s="6"/>
      <c r="FK180" s="123"/>
      <c r="FL180" s="6"/>
      <c r="FM180" s="6"/>
      <c r="FN180" s="6"/>
      <c r="FO180" s="138"/>
      <c r="FP180" s="138"/>
      <c r="FQ180" s="123"/>
      <c r="FR180" s="6"/>
      <c r="FS180" s="6"/>
      <c r="FT180" s="139"/>
      <c r="FU180" s="139"/>
      <c r="FV180" s="76"/>
      <c r="FW180" s="123"/>
      <c r="FX180" s="6"/>
    </row>
    <row r="181" spans="35:180">
      <c r="AI181" s="125"/>
      <c r="AJ181" s="16"/>
      <c r="AM181" s="16"/>
      <c r="AN181" s="16"/>
      <c r="AO181" s="125"/>
      <c r="AP181" s="16"/>
      <c r="AQ181" s="125"/>
      <c r="AZ181" s="125"/>
      <c r="BA181" s="142"/>
      <c r="BB181" s="125"/>
      <c r="BC181" s="16"/>
      <c r="BD181" s="125"/>
      <c r="BE181" s="125"/>
      <c r="BF181" s="16"/>
      <c r="BG181" s="125"/>
      <c r="BQ181" s="125"/>
      <c r="BR181" s="16"/>
      <c r="BS181" s="123"/>
      <c r="BT181" s="19"/>
      <c r="BU181" s="139"/>
      <c r="BV181" s="139"/>
      <c r="BW181" s="123"/>
      <c r="BX181" s="123"/>
      <c r="BY181" s="123"/>
      <c r="BZ181" s="123"/>
      <c r="CA181" s="123"/>
      <c r="CB181" s="123"/>
      <c r="CC181" s="6"/>
      <c r="CD181" s="123"/>
      <c r="CE181" s="6"/>
      <c r="CF181" s="123"/>
      <c r="CG181" s="6"/>
      <c r="CH181" s="6"/>
      <c r="CI181" s="6"/>
      <c r="CJ181" s="6"/>
      <c r="CK181" s="123"/>
      <c r="CL181" s="6"/>
      <c r="CM181" s="6"/>
      <c r="CN181" s="6"/>
      <c r="CO181" s="138"/>
      <c r="CP181" s="138"/>
      <c r="CQ181" s="123"/>
      <c r="CR181" s="6"/>
      <c r="CS181" s="6"/>
      <c r="CT181" s="139"/>
      <c r="CU181" s="139"/>
      <c r="CV181" s="76"/>
      <c r="CW181" s="123"/>
      <c r="CX181" s="6"/>
      <c r="DI181" s="125"/>
      <c r="DJ181" s="16"/>
      <c r="DM181" s="16"/>
      <c r="DN181" s="16"/>
      <c r="DO181" s="125"/>
      <c r="DP181" s="16"/>
      <c r="DQ181" s="125"/>
      <c r="DZ181" s="125"/>
      <c r="EA181" s="142"/>
      <c r="EB181" s="125"/>
      <c r="EC181" s="16"/>
      <c r="ED181" s="125"/>
      <c r="EE181" s="125"/>
      <c r="EF181" s="16"/>
      <c r="EG181" s="125"/>
      <c r="EQ181" s="125"/>
      <c r="ER181" s="16"/>
      <c r="ES181" s="123"/>
      <c r="ET181" s="19"/>
      <c r="EU181" s="139"/>
      <c r="EV181" s="139"/>
      <c r="EW181" s="123"/>
      <c r="EX181" s="123"/>
      <c r="EY181" s="123"/>
      <c r="EZ181" s="123"/>
      <c r="FA181" s="123"/>
      <c r="FB181" s="123"/>
      <c r="FC181" s="6"/>
      <c r="FD181" s="123"/>
      <c r="FE181" s="6"/>
      <c r="FF181" s="123"/>
      <c r="FG181" s="6"/>
      <c r="FH181" s="6"/>
      <c r="FI181" s="6"/>
      <c r="FJ181" s="6"/>
      <c r="FK181" s="123"/>
      <c r="FL181" s="6"/>
      <c r="FM181" s="6"/>
      <c r="FN181" s="6"/>
      <c r="FO181" s="138"/>
      <c r="FP181" s="138"/>
      <c r="FQ181" s="123"/>
      <c r="FR181" s="6"/>
      <c r="FS181" s="6"/>
      <c r="FT181" s="139"/>
      <c r="FU181" s="139"/>
      <c r="FV181" s="76"/>
      <c r="FW181" s="123"/>
      <c r="FX181" s="6"/>
    </row>
    <row r="182" spans="35:180">
      <c r="AI182" s="125"/>
      <c r="AJ182" s="16"/>
      <c r="AM182" s="16"/>
      <c r="AN182" s="16"/>
      <c r="AO182" s="125"/>
      <c r="AP182" s="16"/>
      <c r="AQ182" s="125"/>
      <c r="AZ182" s="125"/>
      <c r="BA182" s="142"/>
      <c r="BB182" s="125"/>
      <c r="BC182" s="16"/>
      <c r="BD182" s="125"/>
      <c r="BE182" s="125"/>
      <c r="BF182" s="16"/>
      <c r="BG182" s="125"/>
      <c r="BQ182" s="125"/>
      <c r="BR182" s="16"/>
      <c r="BS182" s="123"/>
      <c r="BT182" s="19"/>
      <c r="BU182" s="139"/>
      <c r="BV182" s="139"/>
      <c r="BW182" s="123"/>
      <c r="BX182" s="123"/>
      <c r="BY182" s="123"/>
      <c r="BZ182" s="123"/>
      <c r="CA182" s="123"/>
      <c r="CB182" s="123"/>
      <c r="CC182" s="6"/>
      <c r="CD182" s="123"/>
      <c r="CE182" s="6"/>
      <c r="CF182" s="123"/>
      <c r="CG182" s="6"/>
      <c r="CH182" s="6"/>
      <c r="CI182" s="6"/>
      <c r="CJ182" s="6"/>
      <c r="CK182" s="123"/>
      <c r="CL182" s="6"/>
      <c r="CM182" s="6"/>
      <c r="CN182" s="6"/>
      <c r="CO182" s="138"/>
      <c r="CP182" s="138"/>
      <c r="CQ182" s="123"/>
      <c r="CR182" s="6"/>
      <c r="CS182" s="6"/>
      <c r="CT182" s="139"/>
      <c r="CU182" s="139"/>
      <c r="CV182" s="76"/>
      <c r="CW182" s="123"/>
      <c r="CX182" s="6"/>
      <c r="DI182" s="125"/>
      <c r="DJ182" s="16"/>
      <c r="DM182" s="16"/>
      <c r="DN182" s="16"/>
      <c r="DO182" s="125"/>
      <c r="DP182" s="16"/>
      <c r="DQ182" s="125"/>
      <c r="DZ182" s="125"/>
      <c r="EA182" s="142"/>
      <c r="EB182" s="125"/>
      <c r="EC182" s="16"/>
      <c r="ED182" s="125"/>
      <c r="EE182" s="125"/>
      <c r="EF182" s="16"/>
      <c r="EG182" s="125"/>
      <c r="EQ182" s="125"/>
      <c r="ER182" s="16"/>
      <c r="ES182" s="123"/>
      <c r="ET182" s="19"/>
      <c r="EU182" s="139"/>
      <c r="EV182" s="139"/>
      <c r="EW182" s="123"/>
      <c r="EX182" s="123"/>
      <c r="EY182" s="123"/>
      <c r="EZ182" s="123"/>
      <c r="FA182" s="123"/>
      <c r="FB182" s="123"/>
      <c r="FC182" s="6"/>
      <c r="FD182" s="123"/>
      <c r="FE182" s="6"/>
      <c r="FF182" s="123"/>
      <c r="FG182" s="6"/>
      <c r="FH182" s="6"/>
      <c r="FI182" s="6"/>
      <c r="FJ182" s="6"/>
      <c r="FK182" s="123"/>
      <c r="FL182" s="6"/>
      <c r="FM182" s="6"/>
      <c r="FN182" s="6"/>
      <c r="FO182" s="138"/>
      <c r="FP182" s="138"/>
      <c r="FQ182" s="123"/>
      <c r="FR182" s="6"/>
      <c r="FS182" s="6"/>
      <c r="FT182" s="139"/>
      <c r="FU182" s="139"/>
      <c r="FV182" s="76"/>
      <c r="FW182" s="123"/>
      <c r="FX182" s="6"/>
    </row>
    <row r="183" spans="35:180">
      <c r="AI183" s="125"/>
      <c r="AJ183" s="16"/>
      <c r="AM183" s="16"/>
      <c r="AN183" s="16"/>
      <c r="AO183" s="125"/>
      <c r="AP183" s="16"/>
      <c r="AQ183" s="125"/>
      <c r="AZ183" s="125"/>
      <c r="BA183" s="142"/>
      <c r="BB183" s="125"/>
      <c r="BC183" s="16"/>
      <c r="BD183" s="125"/>
      <c r="BE183" s="125"/>
      <c r="BF183" s="16"/>
      <c r="BG183" s="125"/>
      <c r="BQ183" s="125"/>
      <c r="BR183" s="16"/>
      <c r="BS183" s="123"/>
      <c r="BT183" s="19"/>
      <c r="BU183" s="139"/>
      <c r="BV183" s="139"/>
      <c r="BW183" s="123"/>
      <c r="BX183" s="123"/>
      <c r="BY183" s="123"/>
      <c r="BZ183" s="123"/>
      <c r="CA183" s="123"/>
      <c r="CB183" s="123"/>
      <c r="CC183" s="6"/>
      <c r="CD183" s="123"/>
      <c r="CE183" s="6"/>
      <c r="CF183" s="123"/>
      <c r="CG183" s="6"/>
      <c r="CH183" s="6"/>
      <c r="CI183" s="6"/>
      <c r="CJ183" s="6"/>
      <c r="CK183" s="123"/>
      <c r="CL183" s="6"/>
      <c r="CM183" s="6"/>
      <c r="CN183" s="6"/>
      <c r="CO183" s="138"/>
      <c r="CP183" s="138"/>
      <c r="CQ183" s="123"/>
      <c r="CR183" s="6"/>
      <c r="CS183" s="6"/>
      <c r="CT183" s="139"/>
      <c r="CU183" s="139"/>
      <c r="CV183" s="76"/>
      <c r="CW183" s="123"/>
      <c r="CX183" s="6"/>
      <c r="DI183" s="125"/>
      <c r="DJ183" s="16"/>
      <c r="DM183" s="16"/>
      <c r="DN183" s="16"/>
      <c r="DO183" s="125"/>
      <c r="DP183" s="16"/>
      <c r="DQ183" s="125"/>
      <c r="DZ183" s="125"/>
      <c r="EA183" s="142"/>
      <c r="EB183" s="125"/>
      <c r="EC183" s="16"/>
      <c r="ED183" s="125"/>
      <c r="EE183" s="125"/>
      <c r="EF183" s="16"/>
      <c r="EG183" s="125"/>
      <c r="EQ183" s="125"/>
      <c r="ER183" s="16"/>
      <c r="ES183" s="123"/>
      <c r="ET183" s="19"/>
      <c r="EU183" s="139"/>
      <c r="EV183" s="139"/>
      <c r="EW183" s="123"/>
      <c r="EX183" s="123"/>
      <c r="EY183" s="123"/>
      <c r="EZ183" s="123"/>
      <c r="FA183" s="123"/>
      <c r="FB183" s="123"/>
      <c r="FC183" s="6"/>
      <c r="FD183" s="123"/>
      <c r="FE183" s="6"/>
      <c r="FF183" s="123"/>
      <c r="FG183" s="6"/>
      <c r="FH183" s="6"/>
      <c r="FI183" s="6"/>
      <c r="FJ183" s="6"/>
      <c r="FK183" s="123"/>
      <c r="FL183" s="6"/>
      <c r="FM183" s="6"/>
      <c r="FN183" s="6"/>
      <c r="FO183" s="138"/>
      <c r="FP183" s="138"/>
      <c r="FQ183" s="123"/>
      <c r="FR183" s="6"/>
      <c r="FS183" s="6"/>
      <c r="FT183" s="139"/>
      <c r="FU183" s="139"/>
      <c r="FV183" s="76"/>
      <c r="FW183" s="123"/>
      <c r="FX183" s="6"/>
    </row>
    <row r="184" spans="35:180">
      <c r="AI184" s="125"/>
      <c r="AJ184" s="16"/>
      <c r="AM184" s="16"/>
      <c r="AN184" s="16"/>
      <c r="AO184" s="125"/>
      <c r="AP184" s="16"/>
      <c r="AQ184" s="125"/>
      <c r="AZ184" s="125"/>
      <c r="BA184" s="142"/>
      <c r="BB184" s="125"/>
      <c r="BC184" s="16"/>
      <c r="BD184" s="125"/>
      <c r="BE184" s="125"/>
      <c r="BF184" s="16"/>
      <c r="BG184" s="125"/>
      <c r="BQ184" s="125"/>
      <c r="BR184" s="16"/>
      <c r="BS184" s="123"/>
      <c r="BT184" s="19"/>
      <c r="BU184" s="139"/>
      <c r="BV184" s="139"/>
      <c r="BW184" s="123"/>
      <c r="BX184" s="123"/>
      <c r="BY184" s="123"/>
      <c r="BZ184" s="123"/>
      <c r="CA184" s="123"/>
      <c r="CB184" s="123"/>
      <c r="CC184" s="6"/>
      <c r="CD184" s="123"/>
      <c r="CE184" s="6"/>
      <c r="CF184" s="123"/>
      <c r="CG184" s="6"/>
      <c r="CH184" s="6"/>
      <c r="CI184" s="6"/>
      <c r="CJ184" s="6"/>
      <c r="CK184" s="123"/>
      <c r="CL184" s="6"/>
      <c r="CM184" s="6"/>
      <c r="CN184" s="6"/>
      <c r="CO184" s="138"/>
      <c r="CP184" s="138"/>
      <c r="CQ184" s="123"/>
      <c r="CR184" s="6"/>
      <c r="CS184" s="6"/>
      <c r="CT184" s="139"/>
      <c r="CU184" s="139"/>
      <c r="CV184" s="76"/>
      <c r="CW184" s="123"/>
      <c r="CX184" s="6"/>
      <c r="DI184" s="125"/>
      <c r="DJ184" s="16"/>
      <c r="DM184" s="16"/>
      <c r="DN184" s="16"/>
      <c r="DO184" s="125"/>
      <c r="DP184" s="16"/>
      <c r="DQ184" s="125"/>
      <c r="DZ184" s="125"/>
      <c r="EA184" s="142"/>
      <c r="EB184" s="125"/>
      <c r="EC184" s="16"/>
      <c r="ED184" s="125"/>
      <c r="EE184" s="125"/>
      <c r="EF184" s="16"/>
      <c r="EG184" s="125"/>
      <c r="EQ184" s="125"/>
      <c r="ER184" s="16"/>
      <c r="ES184" s="123"/>
      <c r="ET184" s="19"/>
      <c r="EU184" s="139"/>
      <c r="EV184" s="139"/>
      <c r="EW184" s="123"/>
      <c r="EX184" s="123"/>
      <c r="EY184" s="123"/>
      <c r="EZ184" s="123"/>
      <c r="FA184" s="123"/>
      <c r="FB184" s="123"/>
      <c r="FC184" s="6"/>
      <c r="FD184" s="123"/>
      <c r="FE184" s="6"/>
      <c r="FF184" s="123"/>
      <c r="FG184" s="6"/>
      <c r="FH184" s="6"/>
      <c r="FI184" s="6"/>
      <c r="FJ184" s="6"/>
      <c r="FK184" s="123"/>
      <c r="FL184" s="6"/>
      <c r="FM184" s="6"/>
      <c r="FN184" s="6"/>
      <c r="FO184" s="138"/>
      <c r="FP184" s="138"/>
      <c r="FQ184" s="123"/>
      <c r="FR184" s="6"/>
      <c r="FS184" s="6"/>
      <c r="FT184" s="139"/>
      <c r="FU184" s="139"/>
      <c r="FV184" s="76"/>
      <c r="FW184" s="123"/>
      <c r="FX184" s="6"/>
    </row>
    <row r="185" spans="35:180">
      <c r="AI185" s="125"/>
      <c r="AJ185" s="16"/>
      <c r="AM185" s="16"/>
      <c r="AN185" s="16"/>
      <c r="AO185" s="125"/>
      <c r="AP185" s="16"/>
      <c r="AQ185" s="125"/>
      <c r="AZ185" s="125"/>
      <c r="BA185" s="142"/>
      <c r="BB185" s="125"/>
      <c r="BC185" s="16"/>
      <c r="BD185" s="125"/>
      <c r="BE185" s="125"/>
      <c r="BF185" s="16"/>
      <c r="BG185" s="125"/>
      <c r="BQ185" s="125"/>
      <c r="BR185" s="16"/>
      <c r="BS185" s="123"/>
      <c r="BT185" s="19"/>
      <c r="BU185" s="139"/>
      <c r="BV185" s="139"/>
      <c r="BW185" s="123"/>
      <c r="BX185" s="123"/>
      <c r="BY185" s="123"/>
      <c r="BZ185" s="123"/>
      <c r="CA185" s="123"/>
      <c r="CB185" s="123"/>
      <c r="CC185" s="6"/>
      <c r="CD185" s="123"/>
      <c r="CE185" s="6"/>
      <c r="CF185" s="123"/>
      <c r="CG185" s="6"/>
      <c r="CH185" s="6"/>
      <c r="CI185" s="6"/>
      <c r="CJ185" s="6"/>
      <c r="CK185" s="123"/>
      <c r="CL185" s="6"/>
      <c r="CM185" s="6"/>
      <c r="CN185" s="6"/>
      <c r="CO185" s="138"/>
      <c r="CP185" s="138"/>
      <c r="CQ185" s="123"/>
      <c r="CR185" s="6"/>
      <c r="CS185" s="6"/>
      <c r="CT185" s="139"/>
      <c r="CU185" s="139"/>
      <c r="CV185" s="76"/>
      <c r="CW185" s="123"/>
      <c r="CX185" s="6"/>
      <c r="DI185" s="125"/>
      <c r="DJ185" s="16"/>
      <c r="DM185" s="16"/>
      <c r="DN185" s="16"/>
      <c r="DO185" s="125"/>
      <c r="DP185" s="16"/>
      <c r="DQ185" s="125"/>
      <c r="DZ185" s="125"/>
      <c r="EA185" s="142"/>
      <c r="EB185" s="125"/>
      <c r="EC185" s="16"/>
      <c r="ED185" s="125"/>
      <c r="EE185" s="125"/>
      <c r="EF185" s="16"/>
      <c r="EG185" s="125"/>
      <c r="EQ185" s="125"/>
      <c r="ER185" s="16"/>
      <c r="ES185" s="123"/>
      <c r="ET185" s="19"/>
      <c r="EU185" s="139"/>
      <c r="EV185" s="139"/>
      <c r="EW185" s="123"/>
      <c r="EX185" s="123"/>
      <c r="EY185" s="123"/>
      <c r="EZ185" s="123"/>
      <c r="FA185" s="123"/>
      <c r="FB185" s="123"/>
      <c r="FC185" s="6"/>
      <c r="FD185" s="123"/>
      <c r="FE185" s="6"/>
      <c r="FF185" s="123"/>
      <c r="FG185" s="6"/>
      <c r="FH185" s="6"/>
      <c r="FI185" s="6"/>
      <c r="FJ185" s="6"/>
      <c r="FK185" s="123"/>
      <c r="FL185" s="6"/>
      <c r="FM185" s="6"/>
      <c r="FN185" s="6"/>
      <c r="FO185" s="138"/>
      <c r="FP185" s="138"/>
      <c r="FQ185" s="123"/>
      <c r="FR185" s="6"/>
      <c r="FS185" s="6"/>
      <c r="FT185" s="139"/>
      <c r="FU185" s="139"/>
      <c r="FV185" s="76"/>
      <c r="FW185" s="123"/>
      <c r="FX185" s="6"/>
    </row>
    <row r="186" spans="35:180">
      <c r="AI186" s="125"/>
      <c r="AJ186" s="16"/>
      <c r="AM186" s="16"/>
      <c r="AN186" s="16"/>
      <c r="AO186" s="125"/>
      <c r="AP186" s="16"/>
      <c r="AQ186" s="125"/>
      <c r="AZ186" s="125"/>
      <c r="BA186" s="142"/>
      <c r="BB186" s="125"/>
      <c r="BC186" s="16"/>
      <c r="BD186" s="125"/>
      <c r="BE186" s="125"/>
      <c r="BF186" s="16"/>
      <c r="BG186" s="125"/>
      <c r="BQ186" s="125"/>
      <c r="BR186" s="16"/>
      <c r="BS186" s="123"/>
      <c r="BT186" s="19"/>
      <c r="BU186" s="139"/>
      <c r="BV186" s="139"/>
      <c r="BW186" s="123"/>
      <c r="BX186" s="123"/>
      <c r="BY186" s="123"/>
      <c r="BZ186" s="123"/>
      <c r="CA186" s="123"/>
      <c r="CB186" s="123"/>
      <c r="CC186" s="6"/>
      <c r="CD186" s="123"/>
      <c r="CE186" s="6"/>
      <c r="CF186" s="123"/>
      <c r="CG186" s="6"/>
      <c r="CH186" s="6"/>
      <c r="CI186" s="6"/>
      <c r="CJ186" s="6"/>
      <c r="CK186" s="123"/>
      <c r="CL186" s="6"/>
      <c r="CM186" s="6"/>
      <c r="CN186" s="6"/>
      <c r="CO186" s="138"/>
      <c r="CP186" s="138"/>
      <c r="CQ186" s="123"/>
      <c r="CR186" s="6"/>
      <c r="CS186" s="6"/>
      <c r="CT186" s="139"/>
      <c r="CU186" s="139"/>
      <c r="CV186" s="76"/>
      <c r="CW186" s="123"/>
      <c r="CX186" s="6"/>
      <c r="DI186" s="125"/>
      <c r="DJ186" s="16"/>
      <c r="DM186" s="16"/>
      <c r="DN186" s="16"/>
      <c r="DO186" s="125"/>
      <c r="DP186" s="16"/>
      <c r="DQ186" s="125"/>
      <c r="DZ186" s="125"/>
      <c r="EA186" s="142"/>
      <c r="EB186" s="125"/>
      <c r="EC186" s="16"/>
      <c r="ED186" s="125"/>
      <c r="EE186" s="125"/>
      <c r="EF186" s="16"/>
      <c r="EG186" s="125"/>
      <c r="EQ186" s="125"/>
      <c r="ER186" s="16"/>
      <c r="ES186" s="123"/>
      <c r="ET186" s="19"/>
      <c r="EU186" s="139"/>
      <c r="EV186" s="139"/>
      <c r="EW186" s="123"/>
      <c r="EX186" s="123"/>
      <c r="EY186" s="123"/>
      <c r="EZ186" s="123"/>
      <c r="FA186" s="123"/>
      <c r="FB186" s="123"/>
      <c r="FC186" s="6"/>
      <c r="FD186" s="123"/>
      <c r="FE186" s="6"/>
      <c r="FF186" s="123"/>
      <c r="FG186" s="6"/>
      <c r="FH186" s="6"/>
      <c r="FI186" s="6"/>
      <c r="FJ186" s="6"/>
      <c r="FK186" s="123"/>
      <c r="FL186" s="6"/>
      <c r="FM186" s="6"/>
      <c r="FN186" s="6"/>
      <c r="FO186" s="138"/>
      <c r="FP186" s="138"/>
      <c r="FQ186" s="123"/>
      <c r="FR186" s="6"/>
      <c r="FS186" s="6"/>
      <c r="FT186" s="139"/>
      <c r="FU186" s="139"/>
      <c r="FV186" s="76"/>
      <c r="FW186" s="123"/>
      <c r="FX186" s="6"/>
    </row>
    <row r="187" spans="35:180">
      <c r="AI187" s="125"/>
      <c r="AJ187" s="16"/>
      <c r="AM187" s="16"/>
      <c r="AN187" s="16"/>
      <c r="AO187" s="125"/>
      <c r="AP187" s="16"/>
      <c r="AQ187" s="125"/>
      <c r="AZ187" s="125"/>
      <c r="BA187" s="142"/>
      <c r="BB187" s="125"/>
      <c r="BC187" s="16"/>
      <c r="BD187" s="125"/>
      <c r="BE187" s="125"/>
      <c r="BF187" s="16"/>
      <c r="BG187" s="125"/>
      <c r="BQ187" s="125"/>
      <c r="BR187" s="16"/>
      <c r="BS187" s="123"/>
      <c r="BT187" s="19"/>
      <c r="BU187" s="139"/>
      <c r="BV187" s="139"/>
      <c r="BW187" s="123"/>
      <c r="BX187" s="123"/>
      <c r="BY187" s="123"/>
      <c r="BZ187" s="123"/>
      <c r="CA187" s="123"/>
      <c r="CB187" s="123"/>
      <c r="CC187" s="6"/>
      <c r="CD187" s="123"/>
      <c r="CE187" s="6"/>
      <c r="CF187" s="123"/>
      <c r="CG187" s="6"/>
      <c r="CH187" s="6"/>
      <c r="CI187" s="6"/>
      <c r="CJ187" s="6"/>
      <c r="CK187" s="123"/>
      <c r="CL187" s="6"/>
      <c r="CM187" s="6"/>
      <c r="CN187" s="6"/>
      <c r="CO187" s="138"/>
      <c r="CP187" s="138"/>
      <c r="CQ187" s="123"/>
      <c r="CR187" s="6"/>
      <c r="CS187" s="6"/>
      <c r="CT187" s="139"/>
      <c r="CU187" s="139"/>
      <c r="CV187" s="76"/>
      <c r="CW187" s="123"/>
      <c r="CX187" s="6"/>
      <c r="DI187" s="125"/>
      <c r="DJ187" s="16"/>
      <c r="DM187" s="16"/>
      <c r="DN187" s="16"/>
      <c r="DO187" s="125"/>
      <c r="DP187" s="16"/>
      <c r="DQ187" s="125"/>
      <c r="DZ187" s="125"/>
      <c r="EA187" s="142"/>
      <c r="EB187" s="125"/>
      <c r="EC187" s="16"/>
      <c r="ED187" s="125"/>
      <c r="EE187" s="125"/>
      <c r="EF187" s="16"/>
      <c r="EG187" s="125"/>
      <c r="EQ187" s="125"/>
      <c r="ER187" s="16"/>
      <c r="ES187" s="123"/>
      <c r="ET187" s="19"/>
      <c r="EU187" s="139"/>
      <c r="EV187" s="139"/>
      <c r="EW187" s="123"/>
      <c r="EX187" s="123"/>
      <c r="EY187" s="123"/>
      <c r="EZ187" s="123"/>
      <c r="FA187" s="123"/>
      <c r="FB187" s="123"/>
      <c r="FC187" s="6"/>
      <c r="FD187" s="123"/>
      <c r="FE187" s="6"/>
      <c r="FF187" s="123"/>
      <c r="FG187" s="6"/>
      <c r="FH187" s="6"/>
      <c r="FI187" s="6"/>
      <c r="FJ187" s="6"/>
      <c r="FK187" s="123"/>
      <c r="FL187" s="6"/>
      <c r="FM187" s="6"/>
      <c r="FN187" s="6"/>
      <c r="FO187" s="138"/>
      <c r="FP187" s="138"/>
      <c r="FQ187" s="123"/>
      <c r="FR187" s="6"/>
      <c r="FS187" s="6"/>
      <c r="FT187" s="139"/>
      <c r="FU187" s="139"/>
      <c r="FV187" s="76"/>
      <c r="FW187" s="123"/>
      <c r="FX187" s="6"/>
    </row>
    <row r="188" spans="35:180">
      <c r="AI188" s="125"/>
      <c r="AJ188" s="16"/>
      <c r="AM188" s="16"/>
      <c r="AN188" s="16"/>
      <c r="AO188" s="125"/>
      <c r="AP188" s="16"/>
      <c r="AQ188" s="125"/>
      <c r="AZ188" s="125"/>
      <c r="BA188" s="142"/>
      <c r="BB188" s="125"/>
      <c r="BC188" s="16"/>
      <c r="BD188" s="125"/>
      <c r="BE188" s="125"/>
      <c r="BF188" s="16"/>
      <c r="BG188" s="125"/>
      <c r="BQ188" s="125"/>
      <c r="BR188" s="16"/>
      <c r="BS188" s="123"/>
      <c r="BT188" s="19"/>
      <c r="BU188" s="139"/>
      <c r="BV188" s="139"/>
      <c r="BW188" s="123"/>
      <c r="BX188" s="123"/>
      <c r="BY188" s="123"/>
      <c r="BZ188" s="123"/>
      <c r="CA188" s="123"/>
      <c r="CB188" s="123"/>
      <c r="CC188" s="6"/>
      <c r="CD188" s="123"/>
      <c r="CE188" s="6"/>
      <c r="CF188" s="123"/>
      <c r="CG188" s="6"/>
      <c r="CH188" s="6"/>
      <c r="CI188" s="6"/>
      <c r="CJ188" s="6"/>
      <c r="CK188" s="123"/>
      <c r="CL188" s="6"/>
      <c r="CM188" s="6"/>
      <c r="CN188" s="6"/>
      <c r="CO188" s="138"/>
      <c r="CP188" s="138"/>
      <c r="CQ188" s="123"/>
      <c r="CR188" s="6"/>
      <c r="CS188" s="6"/>
      <c r="CT188" s="139"/>
      <c r="CU188" s="139"/>
      <c r="CV188" s="76"/>
      <c r="CW188" s="123"/>
      <c r="CX188" s="6"/>
      <c r="DI188" s="125"/>
      <c r="DJ188" s="16"/>
      <c r="DM188" s="16"/>
      <c r="DN188" s="16"/>
      <c r="DO188" s="125"/>
      <c r="DP188" s="16"/>
      <c r="DQ188" s="125"/>
      <c r="DZ188" s="125"/>
      <c r="EA188" s="142"/>
      <c r="EB188" s="125"/>
      <c r="EC188" s="16"/>
      <c r="ED188" s="125"/>
      <c r="EE188" s="125"/>
      <c r="EF188" s="16"/>
      <c r="EG188" s="125"/>
      <c r="EQ188" s="125"/>
      <c r="ER188" s="16"/>
      <c r="ES188" s="123"/>
      <c r="ET188" s="19"/>
      <c r="EU188" s="139"/>
      <c r="EV188" s="139"/>
      <c r="EW188" s="123"/>
      <c r="EX188" s="123"/>
      <c r="EY188" s="123"/>
      <c r="EZ188" s="123"/>
      <c r="FA188" s="123"/>
      <c r="FB188" s="123"/>
      <c r="FC188" s="6"/>
      <c r="FD188" s="123"/>
      <c r="FE188" s="6"/>
      <c r="FF188" s="123"/>
      <c r="FG188" s="6"/>
      <c r="FH188" s="6"/>
      <c r="FI188" s="6"/>
      <c r="FJ188" s="6"/>
      <c r="FK188" s="123"/>
      <c r="FL188" s="6"/>
      <c r="FM188" s="6"/>
      <c r="FN188" s="6"/>
      <c r="FO188" s="138"/>
      <c r="FP188" s="138"/>
      <c r="FQ188" s="123"/>
      <c r="FR188" s="6"/>
      <c r="FS188" s="6"/>
      <c r="FT188" s="139"/>
      <c r="FU188" s="139"/>
      <c r="FV188" s="76"/>
      <c r="FW188" s="123"/>
      <c r="FX188" s="6"/>
    </row>
    <row r="189" spans="35:180">
      <c r="AI189" s="125"/>
      <c r="AJ189" s="16"/>
      <c r="AM189" s="16"/>
      <c r="AN189" s="16"/>
      <c r="AO189" s="125"/>
      <c r="AP189" s="16"/>
      <c r="AQ189" s="125"/>
      <c r="AZ189" s="125"/>
      <c r="BA189" s="142"/>
      <c r="BB189" s="125"/>
      <c r="BC189" s="16"/>
      <c r="BD189" s="125"/>
      <c r="BE189" s="125"/>
      <c r="BF189" s="16"/>
      <c r="BG189" s="125"/>
      <c r="BQ189" s="125"/>
      <c r="BR189" s="16"/>
      <c r="BS189" s="123"/>
      <c r="BT189" s="19"/>
      <c r="BU189" s="139"/>
      <c r="BV189" s="139"/>
      <c r="BW189" s="123"/>
      <c r="BX189" s="123"/>
      <c r="BY189" s="123"/>
      <c r="BZ189" s="123"/>
      <c r="CA189" s="123"/>
      <c r="CB189" s="123"/>
      <c r="CC189" s="6"/>
      <c r="CD189" s="123"/>
      <c r="CE189" s="6"/>
      <c r="CF189" s="123"/>
      <c r="CG189" s="6"/>
      <c r="CH189" s="6"/>
      <c r="CI189" s="6"/>
      <c r="CJ189" s="6"/>
      <c r="CK189" s="123"/>
      <c r="CL189" s="6"/>
      <c r="CM189" s="6"/>
      <c r="CN189" s="6"/>
      <c r="CO189" s="138"/>
      <c r="CP189" s="138"/>
      <c r="CQ189" s="123"/>
      <c r="CR189" s="6"/>
      <c r="CS189" s="6"/>
      <c r="CT189" s="139"/>
      <c r="CU189" s="139"/>
      <c r="CV189" s="76"/>
      <c r="CW189" s="123"/>
      <c r="CX189" s="6"/>
      <c r="DI189" s="125"/>
      <c r="DJ189" s="16"/>
      <c r="DM189" s="16"/>
      <c r="DN189" s="16"/>
      <c r="DO189" s="125"/>
      <c r="DP189" s="16"/>
      <c r="DQ189" s="125"/>
      <c r="DZ189" s="125"/>
      <c r="EA189" s="142"/>
      <c r="EB189" s="125"/>
      <c r="EC189" s="16"/>
      <c r="ED189" s="125"/>
      <c r="EE189" s="125"/>
      <c r="EF189" s="16"/>
      <c r="EG189" s="125"/>
      <c r="EQ189" s="125"/>
      <c r="ER189" s="16"/>
      <c r="ES189" s="123"/>
      <c r="ET189" s="19"/>
      <c r="EU189" s="139"/>
      <c r="EV189" s="139"/>
      <c r="EW189" s="123"/>
      <c r="EX189" s="123"/>
      <c r="EY189" s="123"/>
      <c r="EZ189" s="123"/>
      <c r="FA189" s="123"/>
      <c r="FB189" s="123"/>
      <c r="FC189" s="6"/>
      <c r="FD189" s="123"/>
      <c r="FE189" s="6"/>
      <c r="FF189" s="123"/>
      <c r="FG189" s="6"/>
      <c r="FH189" s="6"/>
      <c r="FI189" s="6"/>
      <c r="FJ189" s="6"/>
      <c r="FK189" s="123"/>
      <c r="FL189" s="6"/>
      <c r="FM189" s="6"/>
      <c r="FN189" s="6"/>
      <c r="FO189" s="138"/>
      <c r="FP189" s="138"/>
      <c r="FQ189" s="123"/>
      <c r="FR189" s="6"/>
      <c r="FS189" s="6"/>
      <c r="FT189" s="139"/>
      <c r="FU189" s="139"/>
      <c r="FV189" s="76"/>
      <c r="FW189" s="123"/>
      <c r="FX189" s="6"/>
    </row>
    <row r="190" spans="35:180">
      <c r="AI190" s="125"/>
      <c r="AJ190" s="16"/>
      <c r="AM190" s="16"/>
      <c r="AN190" s="16"/>
      <c r="AO190" s="125"/>
      <c r="AP190" s="16"/>
      <c r="AQ190" s="125"/>
      <c r="AZ190" s="125"/>
      <c r="BA190" s="142"/>
      <c r="BB190" s="125"/>
      <c r="BC190" s="16"/>
      <c r="BD190" s="125"/>
      <c r="BE190" s="125"/>
      <c r="BF190" s="16"/>
      <c r="BG190" s="125"/>
      <c r="BQ190" s="125"/>
      <c r="BR190" s="16"/>
      <c r="BS190" s="123"/>
      <c r="BT190" s="19"/>
      <c r="BU190" s="139"/>
      <c r="BV190" s="139"/>
      <c r="BW190" s="123"/>
      <c r="BX190" s="123"/>
      <c r="BY190" s="123"/>
      <c r="BZ190" s="123"/>
      <c r="CA190" s="123"/>
      <c r="CB190" s="123"/>
      <c r="CC190" s="6"/>
      <c r="CD190" s="123"/>
      <c r="CE190" s="6"/>
      <c r="CF190" s="123"/>
      <c r="CG190" s="6"/>
      <c r="CH190" s="6"/>
      <c r="CI190" s="6"/>
      <c r="CJ190" s="6"/>
      <c r="CK190" s="123"/>
      <c r="CL190" s="6"/>
      <c r="CM190" s="6"/>
      <c r="CN190" s="6"/>
      <c r="CO190" s="138"/>
      <c r="CP190" s="138"/>
      <c r="CQ190" s="123"/>
      <c r="CR190" s="6"/>
      <c r="CS190" s="6"/>
      <c r="CT190" s="139"/>
      <c r="CU190" s="139"/>
      <c r="CV190" s="76"/>
      <c r="CW190" s="123"/>
      <c r="CX190" s="6"/>
      <c r="DI190" s="125"/>
      <c r="DJ190" s="16"/>
      <c r="DM190" s="16"/>
      <c r="DN190" s="16"/>
      <c r="DO190" s="125"/>
      <c r="DP190" s="16"/>
      <c r="DQ190" s="125"/>
      <c r="DZ190" s="125"/>
      <c r="EA190" s="142"/>
      <c r="EB190" s="125"/>
      <c r="EC190" s="16"/>
      <c r="ED190" s="125"/>
      <c r="EE190" s="125"/>
      <c r="EF190" s="16"/>
      <c r="EG190" s="125"/>
      <c r="EQ190" s="125"/>
      <c r="ER190" s="16"/>
      <c r="ES190" s="123"/>
      <c r="ET190" s="19"/>
      <c r="EU190" s="139"/>
      <c r="EV190" s="139"/>
      <c r="EW190" s="123"/>
      <c r="EX190" s="123"/>
      <c r="EY190" s="123"/>
      <c r="EZ190" s="123"/>
      <c r="FA190" s="123"/>
      <c r="FB190" s="123"/>
      <c r="FC190" s="6"/>
      <c r="FD190" s="123"/>
      <c r="FE190" s="6"/>
      <c r="FF190" s="123"/>
      <c r="FG190" s="6"/>
      <c r="FH190" s="6"/>
      <c r="FI190" s="6"/>
      <c r="FJ190" s="6"/>
      <c r="FK190" s="123"/>
      <c r="FL190" s="6"/>
      <c r="FM190" s="6"/>
      <c r="FN190" s="6"/>
      <c r="FO190" s="138"/>
      <c r="FP190" s="138"/>
      <c r="FQ190" s="123"/>
      <c r="FR190" s="6"/>
      <c r="FS190" s="6"/>
      <c r="FT190" s="139"/>
      <c r="FU190" s="139"/>
      <c r="FV190" s="76"/>
      <c r="FW190" s="123"/>
      <c r="FX190" s="6"/>
    </row>
    <row r="191" spans="35:180">
      <c r="AI191" s="125"/>
      <c r="AJ191" s="16"/>
      <c r="AM191" s="16"/>
      <c r="AN191" s="16"/>
      <c r="AO191" s="125"/>
      <c r="AP191" s="16"/>
      <c r="AQ191" s="125"/>
      <c r="AZ191" s="125"/>
      <c r="BA191" s="142"/>
      <c r="BB191" s="125"/>
      <c r="BC191" s="16"/>
      <c r="BD191" s="125"/>
      <c r="BE191" s="125"/>
      <c r="BF191" s="16"/>
      <c r="BG191" s="125"/>
      <c r="BQ191" s="125"/>
      <c r="BR191" s="16"/>
      <c r="BS191" s="123"/>
      <c r="BT191" s="19"/>
      <c r="BU191" s="139"/>
      <c r="BV191" s="139"/>
      <c r="BW191" s="123"/>
      <c r="BX191" s="123"/>
      <c r="BY191" s="123"/>
      <c r="BZ191" s="123"/>
      <c r="CA191" s="123"/>
      <c r="CB191" s="123"/>
      <c r="CC191" s="6"/>
      <c r="CD191" s="123"/>
      <c r="CE191" s="6"/>
      <c r="CF191" s="123"/>
      <c r="CG191" s="6"/>
      <c r="CH191" s="6"/>
      <c r="CI191" s="6"/>
      <c r="CJ191" s="6"/>
      <c r="CK191" s="123"/>
      <c r="CL191" s="6"/>
      <c r="CM191" s="6"/>
      <c r="CN191" s="6"/>
      <c r="CO191" s="138"/>
      <c r="CP191" s="138"/>
      <c r="CQ191" s="123"/>
      <c r="CR191" s="6"/>
      <c r="CS191" s="6"/>
      <c r="CT191" s="139"/>
      <c r="CU191" s="139"/>
      <c r="CV191" s="76"/>
      <c r="CW191" s="123"/>
      <c r="CX191" s="6"/>
      <c r="DI191" s="125"/>
      <c r="DJ191" s="16"/>
      <c r="DM191" s="16"/>
      <c r="DN191" s="16"/>
      <c r="DO191" s="125"/>
      <c r="DP191" s="16"/>
      <c r="DQ191" s="125"/>
      <c r="DZ191" s="125"/>
      <c r="EA191" s="142"/>
      <c r="EB191" s="125"/>
      <c r="EC191" s="16"/>
      <c r="ED191" s="125"/>
      <c r="EE191" s="125"/>
      <c r="EF191" s="16"/>
      <c r="EG191" s="125"/>
      <c r="EQ191" s="125"/>
      <c r="ER191" s="16"/>
      <c r="ES191" s="123"/>
      <c r="ET191" s="19"/>
      <c r="EU191" s="139"/>
      <c r="EV191" s="139"/>
      <c r="EW191" s="123"/>
      <c r="EX191" s="123"/>
      <c r="EY191" s="123"/>
      <c r="EZ191" s="123"/>
      <c r="FA191" s="123"/>
      <c r="FB191" s="123"/>
      <c r="FC191" s="6"/>
      <c r="FD191" s="123"/>
      <c r="FE191" s="6"/>
      <c r="FF191" s="123"/>
      <c r="FG191" s="6"/>
      <c r="FH191" s="6"/>
      <c r="FI191" s="6"/>
      <c r="FJ191" s="6"/>
      <c r="FK191" s="123"/>
      <c r="FL191" s="6"/>
      <c r="FM191" s="6"/>
      <c r="FN191" s="6"/>
      <c r="FO191" s="138"/>
      <c r="FP191" s="138"/>
      <c r="FQ191" s="123"/>
      <c r="FR191" s="6"/>
      <c r="FS191" s="6"/>
      <c r="FT191" s="139"/>
      <c r="FU191" s="139"/>
      <c r="FV191" s="76"/>
      <c r="FW191" s="123"/>
      <c r="FX191" s="6"/>
    </row>
    <row r="192" spans="35:180">
      <c r="AI192" s="125"/>
      <c r="AJ192" s="16"/>
      <c r="AM192" s="16"/>
      <c r="AN192" s="16"/>
      <c r="AO192" s="125"/>
      <c r="AP192" s="16"/>
      <c r="AQ192" s="125"/>
      <c r="AZ192" s="125"/>
      <c r="BA192" s="142"/>
      <c r="BB192" s="125"/>
      <c r="BC192" s="16"/>
      <c r="BD192" s="125"/>
      <c r="BE192" s="125"/>
      <c r="BF192" s="16"/>
      <c r="BG192" s="125"/>
      <c r="BQ192" s="125"/>
      <c r="BR192" s="16"/>
      <c r="BS192" s="123"/>
      <c r="BT192" s="19"/>
      <c r="BU192" s="139"/>
      <c r="BV192" s="139"/>
      <c r="BW192" s="123"/>
      <c r="BX192" s="123"/>
      <c r="BY192" s="123"/>
      <c r="BZ192" s="123"/>
      <c r="CA192" s="123"/>
      <c r="CB192" s="123"/>
      <c r="CC192" s="6"/>
      <c r="CD192" s="123"/>
      <c r="CE192" s="6"/>
      <c r="CF192" s="123"/>
      <c r="CG192" s="6"/>
      <c r="CH192" s="6"/>
      <c r="CI192" s="6"/>
      <c r="CJ192" s="6"/>
      <c r="CK192" s="123"/>
      <c r="CL192" s="6"/>
      <c r="CM192" s="6"/>
      <c r="CN192" s="6"/>
      <c r="CO192" s="138"/>
      <c r="CP192" s="138"/>
      <c r="CQ192" s="123"/>
      <c r="CR192" s="6"/>
      <c r="CS192" s="6"/>
      <c r="CT192" s="139"/>
      <c r="CU192" s="139"/>
      <c r="CV192" s="76"/>
      <c r="CW192" s="123"/>
      <c r="CX192" s="6"/>
      <c r="DI192" s="125"/>
      <c r="DJ192" s="16"/>
      <c r="DM192" s="16"/>
      <c r="DN192" s="16"/>
      <c r="DO192" s="125"/>
      <c r="DP192" s="16"/>
      <c r="DQ192" s="125"/>
      <c r="DZ192" s="125"/>
      <c r="EA192" s="142"/>
      <c r="EB192" s="125"/>
      <c r="EC192" s="16"/>
      <c r="ED192" s="125"/>
      <c r="EE192" s="125"/>
      <c r="EF192" s="16"/>
      <c r="EG192" s="125"/>
      <c r="EQ192" s="125"/>
      <c r="ER192" s="16"/>
      <c r="ES192" s="123"/>
      <c r="ET192" s="19"/>
      <c r="EU192" s="139"/>
      <c r="EV192" s="139"/>
      <c r="EW192" s="123"/>
      <c r="EX192" s="123"/>
      <c r="EY192" s="123"/>
      <c r="EZ192" s="123"/>
      <c r="FA192" s="123"/>
      <c r="FB192" s="123"/>
      <c r="FC192" s="6"/>
      <c r="FD192" s="123"/>
      <c r="FE192" s="6"/>
      <c r="FF192" s="123"/>
      <c r="FG192" s="6"/>
      <c r="FH192" s="6"/>
      <c r="FI192" s="6"/>
      <c r="FJ192" s="6"/>
      <c r="FK192" s="123"/>
      <c r="FL192" s="6"/>
      <c r="FM192" s="6"/>
      <c r="FN192" s="6"/>
      <c r="FO192" s="138"/>
      <c r="FP192" s="138"/>
      <c r="FQ192" s="123"/>
      <c r="FR192" s="6"/>
      <c r="FS192" s="6"/>
      <c r="FT192" s="139"/>
      <c r="FU192" s="139"/>
      <c r="FV192" s="76"/>
      <c r="FW192" s="123"/>
      <c r="FX192" s="6"/>
    </row>
    <row r="193" spans="35:180">
      <c r="AI193" s="125"/>
      <c r="AJ193" s="16"/>
      <c r="AM193" s="16"/>
      <c r="AN193" s="16"/>
      <c r="AO193" s="125"/>
      <c r="AP193" s="16"/>
      <c r="AQ193" s="125"/>
      <c r="AZ193" s="125"/>
      <c r="BA193" s="142"/>
      <c r="BB193" s="125"/>
      <c r="BC193" s="16"/>
      <c r="BD193" s="125"/>
      <c r="BE193" s="125"/>
      <c r="BF193" s="16"/>
      <c r="BG193" s="125"/>
      <c r="BQ193" s="125"/>
      <c r="BR193" s="16"/>
      <c r="BS193" s="123"/>
      <c r="BT193" s="19"/>
      <c r="BU193" s="139"/>
      <c r="BV193" s="139"/>
      <c r="BW193" s="123"/>
      <c r="BX193" s="123"/>
      <c r="BY193" s="123"/>
      <c r="BZ193" s="123"/>
      <c r="CA193" s="123"/>
      <c r="CB193" s="123"/>
      <c r="CC193" s="6"/>
      <c r="CD193" s="123"/>
      <c r="CE193" s="6"/>
      <c r="CF193" s="123"/>
      <c r="CG193" s="6"/>
      <c r="CH193" s="6"/>
      <c r="CI193" s="6"/>
      <c r="CJ193" s="6"/>
      <c r="CK193" s="123"/>
      <c r="CL193" s="6"/>
      <c r="CM193" s="6"/>
      <c r="CN193" s="6"/>
      <c r="CO193" s="138"/>
      <c r="CP193" s="138"/>
      <c r="CQ193" s="123"/>
      <c r="CR193" s="6"/>
      <c r="CS193" s="6"/>
      <c r="CT193" s="139"/>
      <c r="CU193" s="139"/>
      <c r="CV193" s="76"/>
      <c r="CW193" s="123"/>
      <c r="CX193" s="6"/>
      <c r="DI193" s="125"/>
      <c r="DJ193" s="16"/>
      <c r="DM193" s="16"/>
      <c r="DN193" s="16"/>
      <c r="DO193" s="125"/>
      <c r="DP193" s="16"/>
      <c r="DQ193" s="125"/>
      <c r="DZ193" s="125"/>
      <c r="EA193" s="142"/>
      <c r="EB193" s="125"/>
      <c r="EC193" s="16"/>
      <c r="ED193" s="125"/>
      <c r="EE193" s="125"/>
      <c r="EF193" s="16"/>
      <c r="EG193" s="125"/>
      <c r="EQ193" s="125"/>
      <c r="ER193" s="16"/>
      <c r="ES193" s="123"/>
      <c r="ET193" s="19"/>
      <c r="EU193" s="139"/>
      <c r="EV193" s="139"/>
      <c r="EW193" s="123"/>
      <c r="EX193" s="123"/>
      <c r="EY193" s="123"/>
      <c r="EZ193" s="123"/>
      <c r="FA193" s="123"/>
      <c r="FB193" s="123"/>
      <c r="FC193" s="6"/>
      <c r="FD193" s="123"/>
      <c r="FE193" s="6"/>
      <c r="FF193" s="123"/>
      <c r="FG193" s="6"/>
      <c r="FH193" s="6"/>
      <c r="FI193" s="6"/>
      <c r="FJ193" s="6"/>
      <c r="FK193" s="123"/>
      <c r="FL193" s="6"/>
      <c r="FM193" s="6"/>
      <c r="FN193" s="6"/>
      <c r="FO193" s="138"/>
      <c r="FP193" s="138"/>
      <c r="FQ193" s="123"/>
      <c r="FR193" s="6"/>
      <c r="FS193" s="6"/>
      <c r="FT193" s="139"/>
      <c r="FU193" s="139"/>
      <c r="FV193" s="76"/>
      <c r="FW193" s="123"/>
      <c r="FX193" s="6"/>
    </row>
    <row r="194" spans="35:180">
      <c r="AI194" s="125"/>
      <c r="AJ194" s="16"/>
      <c r="AM194" s="16"/>
      <c r="AN194" s="16"/>
      <c r="AO194" s="125"/>
      <c r="AP194" s="16"/>
      <c r="AQ194" s="125"/>
      <c r="AZ194" s="125"/>
      <c r="BA194" s="142"/>
      <c r="BB194" s="125"/>
      <c r="BC194" s="16"/>
      <c r="BD194" s="125"/>
      <c r="BE194" s="125"/>
      <c r="BF194" s="16"/>
      <c r="BG194" s="125"/>
      <c r="BQ194" s="125"/>
      <c r="BR194" s="16"/>
      <c r="BS194" s="123"/>
      <c r="BT194" s="19"/>
      <c r="BU194" s="139"/>
      <c r="BV194" s="139"/>
      <c r="BW194" s="123"/>
      <c r="BX194" s="123"/>
      <c r="BY194" s="123"/>
      <c r="BZ194" s="123"/>
      <c r="CA194" s="123"/>
      <c r="CB194" s="123"/>
      <c r="CC194" s="6"/>
      <c r="CD194" s="123"/>
      <c r="CE194" s="6"/>
      <c r="CF194" s="123"/>
      <c r="CG194" s="6"/>
      <c r="CH194" s="6"/>
      <c r="CI194" s="6"/>
      <c r="CJ194" s="6"/>
      <c r="CK194" s="123"/>
      <c r="CL194" s="6"/>
      <c r="CM194" s="6"/>
      <c r="CN194" s="6"/>
      <c r="CO194" s="138"/>
      <c r="CP194" s="138"/>
      <c r="CQ194" s="123"/>
      <c r="CR194" s="6"/>
      <c r="CS194" s="6"/>
      <c r="CT194" s="139"/>
      <c r="CU194" s="139"/>
      <c r="CV194" s="76"/>
      <c r="CW194" s="123"/>
      <c r="CX194" s="6"/>
      <c r="DI194" s="125"/>
      <c r="DJ194" s="16"/>
      <c r="DM194" s="16"/>
      <c r="DN194" s="16"/>
      <c r="DO194" s="125"/>
      <c r="DP194" s="16"/>
      <c r="DQ194" s="125"/>
      <c r="DZ194" s="125"/>
      <c r="EA194" s="142"/>
      <c r="EB194" s="125"/>
      <c r="EC194" s="16"/>
      <c r="ED194" s="125"/>
      <c r="EE194" s="125"/>
      <c r="EF194" s="16"/>
      <c r="EG194" s="125"/>
      <c r="EQ194" s="125"/>
      <c r="ER194" s="16"/>
      <c r="ES194" s="123"/>
      <c r="ET194" s="19"/>
      <c r="EU194" s="139"/>
      <c r="EV194" s="139"/>
      <c r="EW194" s="123"/>
      <c r="EX194" s="123"/>
      <c r="EY194" s="123"/>
      <c r="EZ194" s="123"/>
      <c r="FA194" s="123"/>
      <c r="FB194" s="123"/>
      <c r="FC194" s="6"/>
      <c r="FD194" s="123"/>
      <c r="FE194" s="6"/>
      <c r="FF194" s="123"/>
      <c r="FG194" s="6"/>
      <c r="FH194" s="6"/>
      <c r="FI194" s="6"/>
      <c r="FJ194" s="6"/>
      <c r="FK194" s="123"/>
      <c r="FL194" s="6"/>
      <c r="FM194" s="6"/>
      <c r="FN194" s="6"/>
      <c r="FO194" s="138"/>
      <c r="FP194" s="138"/>
      <c r="FQ194" s="123"/>
      <c r="FR194" s="6"/>
      <c r="FS194" s="6"/>
      <c r="FT194" s="139"/>
      <c r="FU194" s="139"/>
      <c r="FV194" s="76"/>
      <c r="FW194" s="123"/>
      <c r="FX194" s="6"/>
    </row>
    <row r="195" spans="35:180">
      <c r="AI195" s="125"/>
      <c r="AJ195" s="16"/>
      <c r="AM195" s="16"/>
      <c r="AN195" s="16"/>
      <c r="AO195" s="125"/>
      <c r="AP195" s="16"/>
      <c r="AQ195" s="125"/>
      <c r="AZ195" s="125"/>
      <c r="BA195" s="142"/>
      <c r="BB195" s="125"/>
      <c r="BC195" s="16"/>
      <c r="BD195" s="125"/>
      <c r="BE195" s="125"/>
      <c r="BF195" s="16"/>
      <c r="BG195" s="125"/>
      <c r="BQ195" s="125"/>
      <c r="BR195" s="16"/>
      <c r="BS195" s="123"/>
      <c r="BT195" s="19"/>
      <c r="BU195" s="139"/>
      <c r="BV195" s="139"/>
      <c r="BW195" s="123"/>
      <c r="BX195" s="123"/>
      <c r="BY195" s="123"/>
      <c r="BZ195" s="123"/>
      <c r="CA195" s="123"/>
      <c r="CB195" s="123"/>
      <c r="CC195" s="6"/>
      <c r="CD195" s="123"/>
      <c r="CE195" s="6"/>
      <c r="CF195" s="123"/>
      <c r="CG195" s="6"/>
      <c r="CH195" s="6"/>
      <c r="CI195" s="6"/>
      <c r="CJ195" s="6"/>
      <c r="CK195" s="123"/>
      <c r="CL195" s="6"/>
      <c r="CM195" s="6"/>
      <c r="CN195" s="6"/>
      <c r="CO195" s="138"/>
      <c r="CP195" s="138"/>
      <c r="CQ195" s="123"/>
      <c r="CR195" s="6"/>
      <c r="CS195" s="6"/>
      <c r="CT195" s="139"/>
      <c r="CU195" s="139"/>
      <c r="CV195" s="76"/>
      <c r="CW195" s="123"/>
      <c r="CX195" s="6"/>
      <c r="DI195" s="125"/>
      <c r="DJ195" s="16"/>
      <c r="DM195" s="16"/>
      <c r="DN195" s="16"/>
      <c r="DO195" s="125"/>
      <c r="DP195" s="16"/>
      <c r="DQ195" s="125"/>
      <c r="DZ195" s="125"/>
      <c r="EA195" s="142"/>
      <c r="EB195" s="125"/>
      <c r="EC195" s="16"/>
      <c r="ED195" s="125"/>
      <c r="EE195" s="125"/>
      <c r="EF195" s="16"/>
      <c r="EG195" s="125"/>
      <c r="EQ195" s="125"/>
      <c r="ER195" s="16"/>
      <c r="ES195" s="123"/>
      <c r="ET195" s="19"/>
      <c r="EU195" s="139"/>
      <c r="EV195" s="139"/>
      <c r="EW195" s="123"/>
      <c r="EX195" s="123"/>
      <c r="EY195" s="123"/>
      <c r="EZ195" s="123"/>
      <c r="FA195" s="123"/>
      <c r="FB195" s="123"/>
      <c r="FC195" s="6"/>
      <c r="FD195" s="123"/>
      <c r="FE195" s="6"/>
      <c r="FF195" s="123"/>
      <c r="FG195" s="6"/>
      <c r="FH195" s="6"/>
      <c r="FI195" s="6"/>
      <c r="FJ195" s="6"/>
      <c r="FK195" s="123"/>
      <c r="FL195" s="6"/>
      <c r="FM195" s="6"/>
      <c r="FN195" s="6"/>
      <c r="FO195" s="138"/>
      <c r="FP195" s="138"/>
      <c r="FQ195" s="123"/>
      <c r="FR195" s="6"/>
      <c r="FS195" s="6"/>
      <c r="FT195" s="139"/>
      <c r="FU195" s="139"/>
      <c r="FV195" s="76"/>
      <c r="FW195" s="123"/>
      <c r="FX195" s="6"/>
    </row>
    <row r="196" spans="35:180">
      <c r="AI196" s="125"/>
      <c r="AJ196" s="16"/>
      <c r="AM196" s="16"/>
      <c r="AN196" s="16"/>
      <c r="AO196" s="125"/>
      <c r="AP196" s="16"/>
      <c r="AQ196" s="125"/>
      <c r="AZ196" s="125"/>
      <c r="BA196" s="142"/>
      <c r="BB196" s="125"/>
      <c r="BC196" s="16"/>
      <c r="BD196" s="125"/>
      <c r="BE196" s="125"/>
      <c r="BF196" s="16"/>
      <c r="BG196" s="125"/>
      <c r="BQ196" s="125"/>
      <c r="BR196" s="16"/>
      <c r="BS196" s="123"/>
      <c r="BT196" s="19"/>
      <c r="BU196" s="139"/>
      <c r="BV196" s="139"/>
      <c r="BW196" s="123"/>
      <c r="BX196" s="123"/>
      <c r="BY196" s="123"/>
      <c r="BZ196" s="123"/>
      <c r="CA196" s="123"/>
      <c r="CB196" s="123"/>
      <c r="CC196" s="6"/>
      <c r="CD196" s="123"/>
      <c r="CE196" s="6"/>
      <c r="CF196" s="123"/>
      <c r="CG196" s="6"/>
      <c r="CH196" s="6"/>
      <c r="CI196" s="6"/>
      <c r="CJ196" s="6"/>
      <c r="CK196" s="123"/>
      <c r="CL196" s="6"/>
      <c r="CM196" s="6"/>
      <c r="CN196" s="6"/>
      <c r="CO196" s="138"/>
      <c r="CP196" s="138"/>
      <c r="CQ196" s="123"/>
      <c r="CR196" s="6"/>
      <c r="CS196" s="6"/>
      <c r="CT196" s="139"/>
      <c r="CU196" s="139"/>
      <c r="CV196" s="76"/>
      <c r="CW196" s="123"/>
      <c r="CX196" s="6"/>
      <c r="DI196" s="125"/>
      <c r="DJ196" s="16"/>
      <c r="DM196" s="16"/>
      <c r="DN196" s="16"/>
      <c r="DO196" s="125"/>
      <c r="DP196" s="16"/>
      <c r="DQ196" s="125"/>
      <c r="DZ196" s="125"/>
      <c r="EA196" s="142"/>
      <c r="EB196" s="125"/>
      <c r="EC196" s="16"/>
      <c r="ED196" s="125"/>
      <c r="EE196" s="125"/>
      <c r="EF196" s="16"/>
      <c r="EG196" s="125"/>
      <c r="EQ196" s="125"/>
      <c r="ER196" s="16"/>
      <c r="ES196" s="123"/>
      <c r="ET196" s="19"/>
      <c r="EU196" s="139"/>
      <c r="EV196" s="139"/>
      <c r="EW196" s="123"/>
      <c r="EX196" s="123"/>
      <c r="EY196" s="123"/>
      <c r="EZ196" s="123"/>
      <c r="FA196" s="123"/>
      <c r="FB196" s="123"/>
      <c r="FC196" s="6"/>
      <c r="FD196" s="123"/>
      <c r="FE196" s="6"/>
      <c r="FF196" s="123"/>
      <c r="FG196" s="6"/>
      <c r="FH196" s="6"/>
      <c r="FI196" s="6"/>
      <c r="FJ196" s="6"/>
      <c r="FK196" s="123"/>
      <c r="FL196" s="6"/>
      <c r="FM196" s="6"/>
      <c r="FN196" s="6"/>
      <c r="FO196" s="138"/>
      <c r="FP196" s="138"/>
      <c r="FQ196" s="123"/>
      <c r="FR196" s="6"/>
      <c r="FS196" s="6"/>
      <c r="FT196" s="139"/>
      <c r="FU196" s="139"/>
      <c r="FV196" s="76"/>
      <c r="FW196" s="123"/>
      <c r="FX196" s="6"/>
    </row>
    <row r="197" spans="35:180">
      <c r="AI197" s="125"/>
      <c r="AJ197" s="16"/>
      <c r="AM197" s="16"/>
      <c r="AN197" s="16"/>
      <c r="AO197" s="125"/>
      <c r="AP197" s="16"/>
      <c r="AQ197" s="125"/>
      <c r="AZ197" s="125"/>
      <c r="BA197" s="142"/>
      <c r="BB197" s="125"/>
      <c r="BC197" s="16"/>
      <c r="BD197" s="125"/>
      <c r="BE197" s="125"/>
      <c r="BF197" s="16"/>
      <c r="BG197" s="125"/>
      <c r="BQ197" s="125"/>
      <c r="BR197" s="16"/>
      <c r="BS197" s="123"/>
      <c r="BT197" s="19"/>
      <c r="BU197" s="139"/>
      <c r="BV197" s="139"/>
      <c r="BW197" s="123"/>
      <c r="BX197" s="123"/>
      <c r="BY197" s="123"/>
      <c r="BZ197" s="123"/>
      <c r="CA197" s="123"/>
      <c r="CB197" s="123"/>
      <c r="CC197" s="6"/>
      <c r="CD197" s="123"/>
      <c r="CE197" s="6"/>
      <c r="CF197" s="123"/>
      <c r="CG197" s="6"/>
      <c r="CH197" s="6"/>
      <c r="CI197" s="6"/>
      <c r="CJ197" s="6"/>
      <c r="CK197" s="123"/>
      <c r="CL197" s="6"/>
      <c r="CM197" s="6"/>
      <c r="CN197" s="6"/>
      <c r="CO197" s="138"/>
      <c r="CP197" s="138"/>
      <c r="CQ197" s="123"/>
      <c r="CR197" s="6"/>
      <c r="CS197" s="6"/>
      <c r="CT197" s="139"/>
      <c r="CU197" s="139"/>
      <c r="CV197" s="76"/>
      <c r="CW197" s="123"/>
      <c r="CX197" s="6"/>
      <c r="DI197" s="125"/>
      <c r="DJ197" s="16"/>
      <c r="DM197" s="16"/>
      <c r="DN197" s="16"/>
      <c r="DO197" s="125"/>
      <c r="DP197" s="16"/>
      <c r="DQ197" s="125"/>
      <c r="DZ197" s="125"/>
      <c r="EA197" s="142"/>
      <c r="EB197" s="125"/>
      <c r="EC197" s="16"/>
      <c r="ED197" s="125"/>
      <c r="EE197" s="125"/>
      <c r="EF197" s="16"/>
      <c r="EG197" s="125"/>
      <c r="EQ197" s="125"/>
      <c r="ER197" s="16"/>
      <c r="ES197" s="123"/>
      <c r="ET197" s="19"/>
      <c r="EU197" s="139"/>
      <c r="EV197" s="139"/>
      <c r="EW197" s="123"/>
      <c r="EX197" s="123"/>
      <c r="EY197" s="123"/>
      <c r="EZ197" s="123"/>
      <c r="FA197" s="123"/>
      <c r="FB197" s="123"/>
      <c r="FC197" s="6"/>
      <c r="FD197" s="123"/>
      <c r="FE197" s="6"/>
      <c r="FF197" s="123"/>
      <c r="FG197" s="6"/>
      <c r="FH197" s="6"/>
      <c r="FI197" s="6"/>
      <c r="FJ197" s="6"/>
      <c r="FK197" s="123"/>
      <c r="FL197" s="6"/>
      <c r="FM197" s="6"/>
      <c r="FN197" s="6"/>
      <c r="FO197" s="138"/>
      <c r="FP197" s="138"/>
      <c r="FQ197" s="123"/>
      <c r="FR197" s="6"/>
      <c r="FS197" s="6"/>
      <c r="FT197" s="139"/>
      <c r="FU197" s="139"/>
      <c r="FV197" s="76"/>
      <c r="FW197" s="123"/>
      <c r="FX197" s="6"/>
    </row>
    <row r="198" spans="35:180">
      <c r="AI198" s="125"/>
      <c r="AJ198" s="16"/>
      <c r="AM198" s="16"/>
      <c r="AN198" s="16"/>
      <c r="AO198" s="125"/>
      <c r="AP198" s="16"/>
      <c r="AQ198" s="125"/>
      <c r="AZ198" s="125"/>
      <c r="BA198" s="142"/>
      <c r="BB198" s="125"/>
      <c r="BC198" s="16"/>
      <c r="BD198" s="125"/>
      <c r="BE198" s="125"/>
      <c r="BF198" s="16"/>
      <c r="BG198" s="125"/>
      <c r="BQ198" s="125"/>
      <c r="BR198" s="16"/>
      <c r="BS198" s="123"/>
      <c r="BT198" s="19"/>
      <c r="BU198" s="139"/>
      <c r="BV198" s="139"/>
      <c r="BW198" s="123"/>
      <c r="BX198" s="123"/>
      <c r="BY198" s="123"/>
      <c r="BZ198" s="123"/>
      <c r="CA198" s="123"/>
      <c r="CB198" s="123"/>
      <c r="CC198" s="6"/>
      <c r="CD198" s="123"/>
      <c r="CE198" s="6"/>
      <c r="CF198" s="123"/>
      <c r="CG198" s="6"/>
      <c r="CH198" s="6"/>
      <c r="CI198" s="6"/>
      <c r="CJ198" s="6"/>
      <c r="CK198" s="123"/>
      <c r="CL198" s="6"/>
      <c r="CM198" s="6"/>
      <c r="CN198" s="6"/>
      <c r="CO198" s="138"/>
      <c r="CP198" s="138"/>
      <c r="CQ198" s="123"/>
      <c r="CR198" s="6"/>
      <c r="CS198" s="6"/>
      <c r="CT198" s="139"/>
      <c r="CU198" s="139"/>
      <c r="CV198" s="76"/>
      <c r="CW198" s="123"/>
      <c r="CX198" s="6"/>
      <c r="DI198" s="125"/>
      <c r="DJ198" s="16"/>
      <c r="DM198" s="16"/>
      <c r="DN198" s="16"/>
      <c r="DO198" s="125"/>
      <c r="DP198" s="16"/>
      <c r="DQ198" s="125"/>
      <c r="DZ198" s="125"/>
      <c r="EA198" s="142"/>
      <c r="EB198" s="125"/>
      <c r="EC198" s="16"/>
      <c r="ED198" s="125"/>
      <c r="EE198" s="125"/>
      <c r="EF198" s="16"/>
      <c r="EG198" s="125"/>
      <c r="EQ198" s="125"/>
      <c r="ER198" s="16"/>
      <c r="ES198" s="123"/>
      <c r="ET198" s="19"/>
      <c r="EU198" s="139"/>
      <c r="EV198" s="139"/>
      <c r="EW198" s="123"/>
      <c r="EX198" s="123"/>
      <c r="EY198" s="123"/>
      <c r="EZ198" s="123"/>
      <c r="FA198" s="123"/>
      <c r="FB198" s="123"/>
      <c r="FC198" s="6"/>
      <c r="FD198" s="123"/>
      <c r="FE198" s="6"/>
      <c r="FF198" s="123"/>
      <c r="FG198" s="6"/>
      <c r="FH198" s="6"/>
      <c r="FI198" s="6"/>
      <c r="FJ198" s="6"/>
      <c r="FK198" s="123"/>
      <c r="FL198" s="6"/>
      <c r="FM198" s="6"/>
      <c r="FN198" s="6"/>
      <c r="FO198" s="138"/>
      <c r="FP198" s="138"/>
      <c r="FQ198" s="123"/>
      <c r="FR198" s="6"/>
      <c r="FS198" s="6"/>
      <c r="FT198" s="139"/>
      <c r="FU198" s="139"/>
      <c r="FV198" s="76"/>
      <c r="FW198" s="123"/>
      <c r="FX198" s="6"/>
    </row>
    <row r="199" spans="35:180">
      <c r="AI199" s="125"/>
      <c r="AJ199" s="16"/>
      <c r="AM199" s="16"/>
      <c r="AN199" s="16"/>
      <c r="AO199" s="125"/>
      <c r="AP199" s="16"/>
      <c r="AQ199" s="125"/>
      <c r="AZ199" s="125"/>
      <c r="BA199" s="142"/>
      <c r="BB199" s="125"/>
      <c r="BC199" s="16"/>
      <c r="BD199" s="125"/>
      <c r="BE199" s="125"/>
      <c r="BF199" s="16"/>
      <c r="BG199" s="125"/>
      <c r="BQ199" s="125"/>
      <c r="BR199" s="16"/>
      <c r="BS199" s="123"/>
      <c r="BT199" s="19"/>
      <c r="BU199" s="139"/>
      <c r="BV199" s="139"/>
      <c r="BW199" s="123"/>
      <c r="BX199" s="123"/>
      <c r="BY199" s="123"/>
      <c r="BZ199" s="123"/>
      <c r="CA199" s="123"/>
      <c r="CB199" s="123"/>
      <c r="CC199" s="6"/>
      <c r="CD199" s="123"/>
      <c r="CE199" s="6"/>
      <c r="CF199" s="123"/>
      <c r="CG199" s="6"/>
      <c r="CH199" s="6"/>
      <c r="CI199" s="6"/>
      <c r="CJ199" s="6"/>
      <c r="CK199" s="123"/>
      <c r="CL199" s="6"/>
      <c r="CM199" s="6"/>
      <c r="CN199" s="6"/>
      <c r="CO199" s="138"/>
      <c r="CP199" s="138"/>
      <c r="CQ199" s="123"/>
      <c r="CR199" s="6"/>
      <c r="CS199" s="6"/>
      <c r="CT199" s="139"/>
      <c r="CU199" s="139"/>
      <c r="CV199" s="76"/>
      <c r="CW199" s="123"/>
      <c r="CX199" s="6"/>
      <c r="DI199" s="125"/>
      <c r="DJ199" s="16"/>
      <c r="DM199" s="16"/>
      <c r="DN199" s="16"/>
      <c r="DO199" s="125"/>
      <c r="DP199" s="16"/>
      <c r="DQ199" s="125"/>
      <c r="DZ199" s="125"/>
      <c r="EA199" s="142"/>
      <c r="EB199" s="125"/>
      <c r="EC199" s="16"/>
      <c r="ED199" s="125"/>
      <c r="EE199" s="125"/>
      <c r="EF199" s="16"/>
      <c r="EG199" s="125"/>
      <c r="EQ199" s="125"/>
      <c r="ER199" s="16"/>
      <c r="ES199" s="123"/>
      <c r="ET199" s="19"/>
      <c r="EU199" s="139"/>
      <c r="EV199" s="139"/>
      <c r="EW199" s="123"/>
      <c r="EX199" s="123"/>
      <c r="EY199" s="123"/>
      <c r="EZ199" s="123"/>
      <c r="FA199" s="123"/>
      <c r="FB199" s="123"/>
      <c r="FC199" s="6"/>
      <c r="FD199" s="123"/>
      <c r="FE199" s="6"/>
      <c r="FF199" s="123"/>
      <c r="FG199" s="6"/>
      <c r="FH199" s="6"/>
      <c r="FI199" s="6"/>
      <c r="FJ199" s="6"/>
      <c r="FK199" s="123"/>
      <c r="FL199" s="6"/>
      <c r="FM199" s="6"/>
      <c r="FN199" s="6"/>
      <c r="FO199" s="138"/>
      <c r="FP199" s="138"/>
      <c r="FQ199" s="123"/>
      <c r="FR199" s="6"/>
      <c r="FS199" s="6"/>
      <c r="FT199" s="139"/>
      <c r="FU199" s="139"/>
      <c r="FV199" s="76"/>
      <c r="FW199" s="123"/>
      <c r="FX199" s="6"/>
    </row>
    <row r="200" spans="35:180">
      <c r="AI200" s="125"/>
      <c r="AJ200" s="16"/>
      <c r="AM200" s="16"/>
      <c r="AN200" s="16"/>
      <c r="AO200" s="125"/>
      <c r="AP200" s="16"/>
      <c r="AQ200" s="125"/>
      <c r="AZ200" s="125"/>
      <c r="BA200" s="142"/>
      <c r="BB200" s="125"/>
      <c r="BC200" s="16"/>
      <c r="BD200" s="125"/>
      <c r="BE200" s="125"/>
      <c r="BF200" s="16"/>
      <c r="BG200" s="125"/>
      <c r="BQ200" s="125"/>
      <c r="BR200" s="16"/>
      <c r="BS200" s="123"/>
      <c r="BT200" s="19"/>
      <c r="BU200" s="139"/>
      <c r="BV200" s="139"/>
      <c r="BW200" s="123"/>
      <c r="BX200" s="123"/>
      <c r="BY200" s="123"/>
      <c r="BZ200" s="123"/>
      <c r="CA200" s="123"/>
      <c r="CB200" s="123"/>
      <c r="CC200" s="6"/>
      <c r="CD200" s="123"/>
      <c r="CE200" s="6"/>
      <c r="CF200" s="123"/>
      <c r="CG200" s="6"/>
      <c r="CH200" s="6"/>
      <c r="CI200" s="6"/>
      <c r="CJ200" s="6"/>
      <c r="CK200" s="123"/>
      <c r="CL200" s="6"/>
      <c r="CM200" s="6"/>
      <c r="CN200" s="6"/>
      <c r="CO200" s="138"/>
      <c r="CP200" s="138"/>
      <c r="CQ200" s="123"/>
      <c r="CR200" s="6"/>
      <c r="CS200" s="6"/>
      <c r="CT200" s="139"/>
      <c r="CU200" s="139"/>
      <c r="CV200" s="76"/>
      <c r="CW200" s="123"/>
      <c r="CX200" s="6"/>
      <c r="DI200" s="125"/>
      <c r="DJ200" s="16"/>
      <c r="DM200" s="16"/>
      <c r="DN200" s="16"/>
      <c r="DO200" s="125"/>
      <c r="DP200" s="16"/>
      <c r="DQ200" s="125"/>
      <c r="DZ200" s="125"/>
      <c r="EA200" s="142"/>
      <c r="EB200" s="125"/>
      <c r="EC200" s="16"/>
      <c r="ED200" s="125"/>
      <c r="EE200" s="125"/>
      <c r="EF200" s="16"/>
      <c r="EG200" s="125"/>
      <c r="EQ200" s="125"/>
      <c r="ER200" s="16"/>
      <c r="ES200" s="123"/>
      <c r="ET200" s="19"/>
      <c r="EU200" s="139"/>
      <c r="EV200" s="139"/>
      <c r="EW200" s="123"/>
      <c r="EX200" s="123"/>
      <c r="EY200" s="123"/>
      <c r="EZ200" s="123"/>
      <c r="FA200" s="123"/>
      <c r="FB200" s="123"/>
      <c r="FC200" s="6"/>
      <c r="FD200" s="123"/>
      <c r="FE200" s="6"/>
      <c r="FF200" s="123"/>
      <c r="FG200" s="6"/>
      <c r="FH200" s="6"/>
      <c r="FI200" s="6"/>
      <c r="FJ200" s="6"/>
      <c r="FK200" s="123"/>
      <c r="FL200" s="6"/>
      <c r="FM200" s="6"/>
      <c r="FN200" s="6"/>
      <c r="FO200" s="138"/>
      <c r="FP200" s="138"/>
      <c r="FQ200" s="123"/>
      <c r="FR200" s="6"/>
      <c r="FS200" s="6"/>
      <c r="FT200" s="139"/>
      <c r="FU200" s="139"/>
      <c r="FV200" s="76"/>
      <c r="FW200" s="123"/>
      <c r="FX200" s="6"/>
    </row>
    <row r="201" spans="35:180">
      <c r="AI201" s="125"/>
      <c r="AJ201" s="16"/>
      <c r="AM201" s="16"/>
      <c r="AN201" s="16"/>
      <c r="AO201" s="125"/>
      <c r="AP201" s="16"/>
      <c r="AQ201" s="125"/>
      <c r="AZ201" s="125"/>
      <c r="BA201" s="142"/>
      <c r="BB201" s="125"/>
      <c r="BC201" s="16"/>
      <c r="BD201" s="125"/>
      <c r="BE201" s="125"/>
      <c r="BF201" s="16"/>
      <c r="BG201" s="125"/>
      <c r="BQ201" s="125"/>
      <c r="BR201" s="16"/>
      <c r="BS201" s="123"/>
      <c r="BT201" s="19"/>
      <c r="BU201" s="139"/>
      <c r="BV201" s="139"/>
      <c r="BW201" s="123"/>
      <c r="BX201" s="123"/>
      <c r="BY201" s="123"/>
      <c r="BZ201" s="123"/>
      <c r="CA201" s="123"/>
      <c r="CB201" s="123"/>
      <c r="CC201" s="6"/>
      <c r="CD201" s="123"/>
      <c r="CE201" s="6"/>
      <c r="CF201" s="123"/>
      <c r="CG201" s="6"/>
      <c r="CH201" s="6"/>
      <c r="CI201" s="6"/>
      <c r="CJ201" s="6"/>
      <c r="CK201" s="123"/>
      <c r="CL201" s="6"/>
      <c r="CM201" s="6"/>
      <c r="CN201" s="6"/>
      <c r="CO201" s="138"/>
      <c r="CP201" s="138"/>
      <c r="CQ201" s="123"/>
      <c r="CR201" s="6"/>
      <c r="CS201" s="6"/>
      <c r="CT201" s="139"/>
      <c r="CU201" s="139"/>
      <c r="CV201" s="76"/>
      <c r="CW201" s="123"/>
      <c r="CX201" s="6"/>
      <c r="DI201" s="125"/>
      <c r="DJ201" s="16"/>
      <c r="DM201" s="16"/>
      <c r="DN201" s="16"/>
      <c r="DO201" s="125"/>
      <c r="DP201" s="16"/>
      <c r="DQ201" s="125"/>
      <c r="DZ201" s="125"/>
      <c r="EA201" s="142"/>
      <c r="EB201" s="125"/>
      <c r="EC201" s="16"/>
      <c r="ED201" s="125"/>
      <c r="EE201" s="125"/>
      <c r="EF201" s="16"/>
      <c r="EG201" s="125"/>
      <c r="EQ201" s="125"/>
      <c r="ER201" s="16"/>
      <c r="ES201" s="123"/>
      <c r="ET201" s="19"/>
      <c r="EU201" s="139"/>
      <c r="EV201" s="139"/>
      <c r="EW201" s="123"/>
      <c r="EX201" s="123"/>
      <c r="EY201" s="123"/>
      <c r="EZ201" s="123"/>
      <c r="FA201" s="123"/>
      <c r="FB201" s="123"/>
      <c r="FC201" s="6"/>
      <c r="FD201" s="123"/>
      <c r="FE201" s="6"/>
      <c r="FF201" s="123"/>
      <c r="FG201" s="6"/>
      <c r="FH201" s="6"/>
      <c r="FI201" s="6"/>
      <c r="FJ201" s="6"/>
      <c r="FK201" s="123"/>
      <c r="FL201" s="6"/>
      <c r="FM201" s="6"/>
      <c r="FN201" s="6"/>
      <c r="FO201" s="138"/>
      <c r="FP201" s="138"/>
      <c r="FQ201" s="123"/>
      <c r="FR201" s="6"/>
      <c r="FS201" s="6"/>
      <c r="FT201" s="139"/>
      <c r="FU201" s="139"/>
      <c r="FV201" s="76"/>
      <c r="FW201" s="123"/>
      <c r="FX201" s="6"/>
    </row>
    <row r="202" spans="35:180">
      <c r="AI202" s="125"/>
      <c r="AJ202" s="16"/>
      <c r="AM202" s="16"/>
      <c r="AN202" s="16"/>
      <c r="AO202" s="125"/>
      <c r="AP202" s="16"/>
      <c r="AQ202" s="125"/>
      <c r="AZ202" s="125"/>
      <c r="BA202" s="142"/>
      <c r="BB202" s="125"/>
      <c r="BC202" s="16"/>
      <c r="BD202" s="125"/>
      <c r="BE202" s="125"/>
      <c r="BF202" s="16"/>
      <c r="BG202" s="125"/>
      <c r="BQ202" s="125"/>
      <c r="BR202" s="16"/>
      <c r="BS202" s="123"/>
      <c r="BT202" s="19"/>
      <c r="BU202" s="139"/>
      <c r="BV202" s="139"/>
      <c r="BW202" s="123"/>
      <c r="BX202" s="123"/>
      <c r="BY202" s="123"/>
      <c r="BZ202" s="123"/>
      <c r="CA202" s="123"/>
      <c r="CB202" s="123"/>
      <c r="CC202" s="6"/>
      <c r="CD202" s="123"/>
      <c r="CE202" s="6"/>
      <c r="CF202" s="123"/>
      <c r="CG202" s="6"/>
      <c r="CH202" s="6"/>
      <c r="CI202" s="6"/>
      <c r="CJ202" s="6"/>
      <c r="CK202" s="123"/>
      <c r="CL202" s="6"/>
      <c r="CM202" s="6"/>
      <c r="CN202" s="6"/>
      <c r="CO202" s="138"/>
      <c r="CP202" s="138"/>
      <c r="CQ202" s="123"/>
      <c r="CR202" s="6"/>
      <c r="CS202" s="6"/>
      <c r="CT202" s="139"/>
      <c r="CU202" s="139"/>
      <c r="CV202" s="76"/>
      <c r="CW202" s="123"/>
      <c r="CX202" s="6"/>
      <c r="DI202" s="125"/>
      <c r="DJ202" s="16"/>
      <c r="DM202" s="16"/>
      <c r="DN202" s="16"/>
      <c r="DO202" s="125"/>
      <c r="DP202" s="16"/>
      <c r="DQ202" s="125"/>
      <c r="DZ202" s="125"/>
      <c r="EA202" s="142"/>
      <c r="EB202" s="125"/>
      <c r="EC202" s="16"/>
      <c r="ED202" s="125"/>
      <c r="EE202" s="125"/>
      <c r="EF202" s="16"/>
      <c r="EG202" s="125"/>
      <c r="EQ202" s="125"/>
      <c r="ER202" s="16"/>
      <c r="ES202" s="123"/>
      <c r="ET202" s="19"/>
      <c r="EU202" s="139"/>
      <c r="EV202" s="139"/>
      <c r="EW202" s="123"/>
      <c r="EX202" s="123"/>
      <c r="EY202" s="123"/>
      <c r="EZ202" s="123"/>
      <c r="FA202" s="123"/>
      <c r="FB202" s="123"/>
      <c r="FC202" s="6"/>
      <c r="FD202" s="123"/>
      <c r="FE202" s="6"/>
      <c r="FF202" s="123"/>
      <c r="FG202" s="6"/>
      <c r="FH202" s="6"/>
      <c r="FI202" s="6"/>
      <c r="FJ202" s="6"/>
      <c r="FK202" s="123"/>
      <c r="FL202" s="6"/>
      <c r="FM202" s="6"/>
      <c r="FN202" s="6"/>
      <c r="FO202" s="138"/>
      <c r="FP202" s="138"/>
      <c r="FQ202" s="123"/>
      <c r="FR202" s="6"/>
      <c r="FS202" s="6"/>
      <c r="FT202" s="139"/>
      <c r="FU202" s="139"/>
      <c r="FV202" s="76"/>
      <c r="FW202" s="123"/>
      <c r="FX202" s="6"/>
    </row>
    <row r="203" spans="35:180">
      <c r="AI203" s="125"/>
      <c r="AJ203" s="16"/>
      <c r="AM203" s="16"/>
      <c r="AN203" s="16"/>
      <c r="AO203" s="125"/>
      <c r="AP203" s="16"/>
      <c r="AQ203" s="125"/>
      <c r="AZ203" s="125"/>
      <c r="BA203" s="142"/>
      <c r="BB203" s="125"/>
      <c r="BC203" s="16"/>
      <c r="BD203" s="125"/>
      <c r="BE203" s="125"/>
      <c r="BF203" s="16"/>
      <c r="BG203" s="125"/>
      <c r="BQ203" s="125"/>
      <c r="BR203" s="16"/>
      <c r="BS203" s="123"/>
      <c r="BT203" s="19"/>
      <c r="BU203" s="139"/>
      <c r="BV203" s="139"/>
      <c r="BW203" s="123"/>
      <c r="BX203" s="123"/>
      <c r="BY203" s="123"/>
      <c r="BZ203" s="123"/>
      <c r="CA203" s="123"/>
      <c r="CB203" s="123"/>
      <c r="CC203" s="6"/>
      <c r="CD203" s="123"/>
      <c r="CE203" s="6"/>
      <c r="CF203" s="123"/>
      <c r="CG203" s="6"/>
      <c r="CH203" s="6"/>
      <c r="CI203" s="6"/>
      <c r="CJ203" s="6"/>
      <c r="CK203" s="123"/>
      <c r="CL203" s="6"/>
      <c r="CM203" s="6"/>
      <c r="CN203" s="6"/>
      <c r="CO203" s="138"/>
      <c r="CP203" s="138"/>
      <c r="CQ203" s="123"/>
      <c r="CR203" s="6"/>
      <c r="CS203" s="6"/>
      <c r="CT203" s="139"/>
      <c r="CU203" s="139"/>
      <c r="CV203" s="76"/>
      <c r="CW203" s="123"/>
      <c r="CX203" s="6"/>
      <c r="DI203" s="125"/>
      <c r="DJ203" s="16"/>
      <c r="DM203" s="16"/>
      <c r="DN203" s="16"/>
      <c r="DO203" s="125"/>
      <c r="DP203" s="16"/>
      <c r="DQ203" s="125"/>
      <c r="DZ203" s="125"/>
      <c r="EA203" s="142"/>
      <c r="EB203" s="125"/>
      <c r="EC203" s="16"/>
      <c r="ED203" s="125"/>
      <c r="EE203" s="125"/>
      <c r="EF203" s="16"/>
      <c r="EG203" s="125"/>
      <c r="EQ203" s="125"/>
      <c r="ER203" s="16"/>
      <c r="ES203" s="123"/>
      <c r="ET203" s="19"/>
      <c r="EU203" s="139"/>
      <c r="EV203" s="139"/>
      <c r="EW203" s="123"/>
      <c r="EX203" s="123"/>
      <c r="EY203" s="123"/>
      <c r="EZ203" s="123"/>
      <c r="FA203" s="123"/>
      <c r="FB203" s="123"/>
      <c r="FC203" s="6"/>
      <c r="FD203" s="123"/>
      <c r="FE203" s="6"/>
      <c r="FF203" s="123"/>
      <c r="FG203" s="6"/>
      <c r="FH203" s="6"/>
      <c r="FI203" s="6"/>
      <c r="FJ203" s="6"/>
      <c r="FK203" s="123"/>
      <c r="FL203" s="6"/>
      <c r="FM203" s="6"/>
      <c r="FN203" s="6"/>
      <c r="FO203" s="138"/>
      <c r="FP203" s="138"/>
      <c r="FQ203" s="123"/>
      <c r="FR203" s="6"/>
      <c r="FS203" s="6"/>
      <c r="FT203" s="139"/>
      <c r="FU203" s="139"/>
      <c r="FV203" s="76"/>
      <c r="FW203" s="123"/>
      <c r="FX203" s="6"/>
    </row>
    <row r="204" spans="35:180">
      <c r="AI204" s="125"/>
      <c r="AJ204" s="16"/>
      <c r="AM204" s="16"/>
      <c r="AN204" s="16"/>
      <c r="AO204" s="125"/>
      <c r="AP204" s="16"/>
      <c r="AQ204" s="125"/>
      <c r="AZ204" s="125"/>
      <c r="BA204" s="142"/>
      <c r="BB204" s="125"/>
      <c r="BC204" s="16"/>
      <c r="BD204" s="125"/>
      <c r="BE204" s="125"/>
      <c r="BF204" s="16"/>
      <c r="BG204" s="125"/>
      <c r="BQ204" s="125"/>
      <c r="BR204" s="16"/>
      <c r="BS204" s="123"/>
      <c r="BT204" s="19"/>
      <c r="BU204" s="139"/>
      <c r="BV204" s="139"/>
      <c r="BW204" s="123"/>
      <c r="BX204" s="123"/>
      <c r="BY204" s="123"/>
      <c r="BZ204" s="123"/>
      <c r="CA204" s="123"/>
      <c r="CB204" s="123"/>
      <c r="CC204" s="6"/>
      <c r="CD204" s="123"/>
      <c r="CE204" s="6"/>
      <c r="CF204" s="123"/>
      <c r="CG204" s="6"/>
      <c r="CH204" s="6"/>
      <c r="CI204" s="6"/>
      <c r="CJ204" s="6"/>
      <c r="CK204" s="123"/>
      <c r="CL204" s="6"/>
      <c r="CM204" s="6"/>
      <c r="CN204" s="6"/>
      <c r="CO204" s="138"/>
      <c r="CP204" s="138"/>
      <c r="CQ204" s="123"/>
      <c r="CR204" s="6"/>
      <c r="CS204" s="6"/>
      <c r="CT204" s="139"/>
      <c r="CU204" s="139"/>
      <c r="CV204" s="76"/>
      <c r="CW204" s="123"/>
      <c r="CX204" s="6"/>
      <c r="DI204" s="125"/>
      <c r="DJ204" s="16"/>
      <c r="DM204" s="16"/>
      <c r="DN204" s="16"/>
      <c r="DO204" s="125"/>
      <c r="DP204" s="16"/>
      <c r="DQ204" s="125"/>
      <c r="DZ204" s="125"/>
      <c r="EA204" s="142"/>
      <c r="EB204" s="125"/>
      <c r="EC204" s="16"/>
      <c r="ED204" s="125"/>
      <c r="EE204" s="125"/>
      <c r="EF204" s="16"/>
      <c r="EG204" s="125"/>
      <c r="EQ204" s="125"/>
      <c r="ER204" s="16"/>
      <c r="ES204" s="123"/>
      <c r="ET204" s="19"/>
      <c r="EU204" s="139"/>
      <c r="EV204" s="139"/>
      <c r="EW204" s="123"/>
      <c r="EX204" s="123"/>
      <c r="EY204" s="123"/>
      <c r="EZ204" s="123"/>
      <c r="FA204" s="123"/>
      <c r="FB204" s="123"/>
      <c r="FC204" s="6"/>
      <c r="FD204" s="123"/>
      <c r="FE204" s="6"/>
      <c r="FF204" s="123"/>
      <c r="FG204" s="6"/>
      <c r="FH204" s="6"/>
      <c r="FI204" s="6"/>
      <c r="FJ204" s="6"/>
      <c r="FK204" s="123"/>
      <c r="FL204" s="6"/>
      <c r="FM204" s="6"/>
      <c r="FN204" s="6"/>
      <c r="FO204" s="138"/>
      <c r="FP204" s="138"/>
      <c r="FQ204" s="123"/>
      <c r="FR204" s="6"/>
      <c r="FS204" s="6"/>
      <c r="FT204" s="139"/>
      <c r="FU204" s="139"/>
      <c r="FV204" s="76"/>
      <c r="FW204" s="123"/>
      <c r="FX204" s="6"/>
    </row>
    <row r="205" spans="35:180">
      <c r="AI205" s="125"/>
      <c r="AJ205" s="16"/>
      <c r="AM205" s="16"/>
      <c r="AN205" s="16"/>
      <c r="AO205" s="125"/>
      <c r="AP205" s="16"/>
      <c r="AQ205" s="125"/>
      <c r="AZ205" s="125"/>
      <c r="BA205" s="142"/>
      <c r="BB205" s="125"/>
      <c r="BC205" s="16"/>
      <c r="BD205" s="125"/>
      <c r="BE205" s="125"/>
      <c r="BF205" s="16"/>
      <c r="BG205" s="125"/>
      <c r="BQ205" s="125"/>
      <c r="BR205" s="16"/>
      <c r="BS205" s="123"/>
      <c r="BT205" s="19"/>
      <c r="BU205" s="139"/>
      <c r="BV205" s="139"/>
      <c r="BW205" s="123"/>
      <c r="BX205" s="123"/>
      <c r="BY205" s="123"/>
      <c r="BZ205" s="123"/>
      <c r="CA205" s="123"/>
      <c r="CB205" s="123"/>
      <c r="CC205" s="6"/>
      <c r="CD205" s="123"/>
      <c r="CE205" s="6"/>
      <c r="CF205" s="123"/>
      <c r="CG205" s="6"/>
      <c r="CH205" s="6"/>
      <c r="CI205" s="6"/>
      <c r="CJ205" s="6"/>
      <c r="CK205" s="123"/>
      <c r="CL205" s="6"/>
      <c r="CM205" s="6"/>
      <c r="CN205" s="6"/>
      <c r="CO205" s="138"/>
      <c r="CP205" s="138"/>
      <c r="CQ205" s="123"/>
      <c r="CR205" s="6"/>
      <c r="CS205" s="6"/>
      <c r="CT205" s="139"/>
      <c r="CU205" s="139"/>
      <c r="CV205" s="76"/>
      <c r="CW205" s="123"/>
      <c r="CX205" s="6"/>
      <c r="DI205" s="125"/>
      <c r="DJ205" s="16"/>
      <c r="DM205" s="16"/>
      <c r="DN205" s="16"/>
      <c r="DO205" s="125"/>
      <c r="DP205" s="16"/>
      <c r="DQ205" s="125"/>
      <c r="DZ205" s="125"/>
      <c r="EA205" s="142"/>
      <c r="EB205" s="125"/>
      <c r="EC205" s="16"/>
      <c r="ED205" s="125"/>
      <c r="EE205" s="125"/>
      <c r="EF205" s="16"/>
      <c r="EG205" s="125"/>
      <c r="EQ205" s="125"/>
      <c r="ER205" s="16"/>
      <c r="ES205" s="123"/>
      <c r="ET205" s="19"/>
      <c r="EU205" s="139"/>
      <c r="EV205" s="139"/>
      <c r="EW205" s="123"/>
      <c r="EX205" s="123"/>
      <c r="EY205" s="123"/>
      <c r="EZ205" s="123"/>
      <c r="FA205" s="123"/>
      <c r="FB205" s="123"/>
      <c r="FC205" s="6"/>
      <c r="FD205" s="123"/>
      <c r="FE205" s="6"/>
      <c r="FF205" s="123"/>
      <c r="FG205" s="6"/>
      <c r="FH205" s="6"/>
      <c r="FI205" s="6"/>
      <c r="FJ205" s="6"/>
      <c r="FK205" s="123"/>
      <c r="FL205" s="6"/>
      <c r="FM205" s="6"/>
      <c r="FN205" s="6"/>
      <c r="FO205" s="138"/>
      <c r="FP205" s="138"/>
      <c r="FQ205" s="123"/>
      <c r="FR205" s="6"/>
      <c r="FS205" s="6"/>
      <c r="FT205" s="139"/>
      <c r="FU205" s="139"/>
      <c r="FV205" s="76"/>
      <c r="FW205" s="123"/>
      <c r="FX205" s="6"/>
    </row>
    <row r="206" spans="35:180">
      <c r="AI206" s="125"/>
      <c r="AJ206" s="16"/>
      <c r="AM206" s="16"/>
      <c r="AN206" s="16"/>
      <c r="AO206" s="125"/>
      <c r="AP206" s="16"/>
      <c r="AQ206" s="125"/>
      <c r="AZ206" s="125"/>
      <c r="BA206" s="142"/>
      <c r="BB206" s="125"/>
      <c r="BC206" s="16"/>
      <c r="BD206" s="125"/>
      <c r="BE206" s="125"/>
      <c r="BF206" s="16"/>
      <c r="BG206" s="125"/>
      <c r="BQ206" s="125"/>
      <c r="BR206" s="16"/>
      <c r="BS206" s="123"/>
      <c r="BT206" s="19"/>
      <c r="BU206" s="139"/>
      <c r="BV206" s="139"/>
      <c r="BW206" s="123"/>
      <c r="BX206" s="123"/>
      <c r="BY206" s="123"/>
      <c r="BZ206" s="123"/>
      <c r="CA206" s="123"/>
      <c r="CB206" s="123"/>
      <c r="CC206" s="6"/>
      <c r="CD206" s="123"/>
      <c r="CE206" s="6"/>
      <c r="CF206" s="123"/>
      <c r="CG206" s="6"/>
      <c r="CH206" s="6"/>
      <c r="CI206" s="6"/>
      <c r="CJ206" s="6"/>
      <c r="CK206" s="123"/>
      <c r="CL206" s="6"/>
      <c r="CM206" s="6"/>
      <c r="CN206" s="6"/>
      <c r="CO206" s="138"/>
      <c r="CP206" s="138"/>
      <c r="CQ206" s="123"/>
      <c r="CR206" s="6"/>
      <c r="CS206" s="6"/>
      <c r="CT206" s="139"/>
      <c r="CU206" s="139"/>
      <c r="CV206" s="76"/>
      <c r="CW206" s="123"/>
      <c r="CX206" s="6"/>
      <c r="DI206" s="125"/>
      <c r="DJ206" s="16"/>
      <c r="DM206" s="16"/>
      <c r="DN206" s="16"/>
      <c r="DO206" s="125"/>
      <c r="DP206" s="16"/>
      <c r="DQ206" s="125"/>
      <c r="DZ206" s="125"/>
      <c r="EA206" s="142"/>
      <c r="EB206" s="125"/>
      <c r="EC206" s="16"/>
      <c r="ED206" s="125"/>
      <c r="EE206" s="125"/>
      <c r="EF206" s="16"/>
      <c r="EG206" s="125"/>
      <c r="EQ206" s="125"/>
      <c r="ER206" s="16"/>
      <c r="ES206" s="123"/>
      <c r="ET206" s="19"/>
      <c r="EU206" s="139"/>
      <c r="EV206" s="139"/>
      <c r="EW206" s="123"/>
      <c r="EX206" s="123"/>
      <c r="EY206" s="123"/>
      <c r="EZ206" s="123"/>
      <c r="FA206" s="123"/>
      <c r="FB206" s="123"/>
      <c r="FC206" s="6"/>
      <c r="FD206" s="123"/>
      <c r="FE206" s="6"/>
      <c r="FF206" s="123"/>
      <c r="FG206" s="6"/>
      <c r="FH206" s="6"/>
      <c r="FI206" s="6"/>
      <c r="FJ206" s="6"/>
      <c r="FK206" s="123"/>
      <c r="FL206" s="6"/>
      <c r="FM206" s="6"/>
      <c r="FN206" s="6"/>
      <c r="FO206" s="138"/>
      <c r="FP206" s="138"/>
      <c r="FQ206" s="123"/>
      <c r="FR206" s="6"/>
      <c r="FS206" s="6"/>
      <c r="FT206" s="139"/>
      <c r="FU206" s="139"/>
      <c r="FV206" s="76"/>
      <c r="FW206" s="123"/>
      <c r="FX206" s="6"/>
    </row>
    <row r="207" spans="35:180">
      <c r="AI207" s="125"/>
      <c r="AJ207" s="16"/>
      <c r="AM207" s="16"/>
      <c r="AN207" s="16"/>
      <c r="AO207" s="125"/>
      <c r="AP207" s="16"/>
      <c r="AQ207" s="125"/>
      <c r="AZ207" s="125"/>
      <c r="BA207" s="142"/>
      <c r="BB207" s="125"/>
      <c r="BC207" s="16"/>
      <c r="BD207" s="125"/>
      <c r="BE207" s="125"/>
      <c r="BF207" s="16"/>
      <c r="BG207" s="125"/>
      <c r="BQ207" s="125"/>
      <c r="BR207" s="16"/>
      <c r="BS207" s="123"/>
      <c r="BT207" s="19"/>
      <c r="BU207" s="139"/>
      <c r="BV207" s="139"/>
      <c r="BW207" s="123"/>
      <c r="BX207" s="123"/>
      <c r="BY207" s="123"/>
      <c r="BZ207" s="123"/>
      <c r="CA207" s="123"/>
      <c r="CB207" s="123"/>
      <c r="CC207" s="6"/>
      <c r="CD207" s="123"/>
      <c r="CE207" s="6"/>
      <c r="CF207" s="123"/>
      <c r="CG207" s="6"/>
      <c r="CH207" s="6"/>
      <c r="CI207" s="6"/>
      <c r="CJ207" s="6"/>
      <c r="CK207" s="123"/>
      <c r="CL207" s="6"/>
      <c r="CM207" s="6"/>
      <c r="CN207" s="6"/>
      <c r="CO207" s="138"/>
      <c r="CP207" s="138"/>
      <c r="CQ207" s="123"/>
      <c r="CR207" s="6"/>
      <c r="CS207" s="6"/>
      <c r="CT207" s="139"/>
      <c r="CU207" s="139"/>
      <c r="CV207" s="76"/>
      <c r="CW207" s="123"/>
      <c r="CX207" s="6"/>
      <c r="DI207" s="125"/>
      <c r="DJ207" s="16"/>
      <c r="DM207" s="16"/>
      <c r="DN207" s="16"/>
      <c r="DO207" s="125"/>
      <c r="DP207" s="16"/>
      <c r="DQ207" s="125"/>
      <c r="DZ207" s="125"/>
      <c r="EA207" s="142"/>
      <c r="EB207" s="125"/>
      <c r="EC207" s="16"/>
      <c r="ED207" s="125"/>
      <c r="EE207" s="125"/>
      <c r="EF207" s="16"/>
      <c r="EG207" s="125"/>
      <c r="EQ207" s="125"/>
      <c r="ER207" s="16"/>
      <c r="ES207" s="123"/>
      <c r="ET207" s="19"/>
      <c r="EU207" s="139"/>
      <c r="EV207" s="139"/>
      <c r="EW207" s="123"/>
      <c r="EX207" s="123"/>
      <c r="EY207" s="123"/>
      <c r="EZ207" s="123"/>
      <c r="FA207" s="123"/>
      <c r="FB207" s="123"/>
      <c r="FC207" s="6"/>
      <c r="FD207" s="123"/>
      <c r="FE207" s="6"/>
      <c r="FF207" s="123"/>
      <c r="FG207" s="6"/>
      <c r="FH207" s="6"/>
      <c r="FI207" s="6"/>
      <c r="FJ207" s="6"/>
      <c r="FK207" s="123"/>
      <c r="FL207" s="6"/>
      <c r="FM207" s="6"/>
      <c r="FN207" s="6"/>
      <c r="FO207" s="138"/>
      <c r="FP207" s="138"/>
      <c r="FQ207" s="123"/>
      <c r="FR207" s="6"/>
      <c r="FS207" s="6"/>
      <c r="FT207" s="139"/>
      <c r="FU207" s="139"/>
      <c r="FV207" s="76"/>
      <c r="FW207" s="123"/>
      <c r="FX207" s="6"/>
    </row>
    <row r="208" spans="35:180">
      <c r="AI208" s="125"/>
      <c r="AJ208" s="16"/>
      <c r="AM208" s="16"/>
      <c r="AN208" s="16"/>
      <c r="AO208" s="125"/>
      <c r="AP208" s="16"/>
      <c r="AQ208" s="125"/>
      <c r="AZ208" s="125"/>
      <c r="BA208" s="142"/>
      <c r="BB208" s="125"/>
      <c r="BC208" s="16"/>
      <c r="BD208" s="125"/>
      <c r="BE208" s="125"/>
      <c r="BF208" s="16"/>
      <c r="BG208" s="125"/>
      <c r="BQ208" s="125"/>
      <c r="BR208" s="16"/>
      <c r="BS208" s="123"/>
      <c r="BT208" s="19"/>
      <c r="BU208" s="139"/>
      <c r="BV208" s="139"/>
      <c r="BW208" s="123"/>
      <c r="BX208" s="123"/>
      <c r="BY208" s="123"/>
      <c r="BZ208" s="123"/>
      <c r="CA208" s="123"/>
      <c r="CB208" s="123"/>
      <c r="CC208" s="6"/>
      <c r="CD208" s="123"/>
      <c r="CE208" s="6"/>
      <c r="CF208" s="123"/>
      <c r="CG208" s="6"/>
      <c r="CH208" s="6"/>
      <c r="CI208" s="6"/>
      <c r="CJ208" s="6"/>
      <c r="CK208" s="123"/>
      <c r="CL208" s="6"/>
      <c r="CM208" s="6"/>
      <c r="CN208" s="6"/>
      <c r="CO208" s="138"/>
      <c r="CP208" s="138"/>
      <c r="CQ208" s="123"/>
      <c r="CR208" s="6"/>
      <c r="CS208" s="6"/>
      <c r="CT208" s="139"/>
      <c r="CU208" s="139"/>
      <c r="CV208" s="76"/>
      <c r="CW208" s="123"/>
      <c r="CX208" s="6"/>
      <c r="DI208" s="125"/>
      <c r="DJ208" s="16"/>
      <c r="DM208" s="16"/>
      <c r="DN208" s="16"/>
      <c r="DO208" s="125"/>
      <c r="DP208" s="16"/>
      <c r="DQ208" s="125"/>
      <c r="DZ208" s="125"/>
      <c r="EA208" s="142"/>
      <c r="EB208" s="125"/>
      <c r="EC208" s="16"/>
      <c r="ED208" s="125"/>
      <c r="EE208" s="125"/>
      <c r="EF208" s="16"/>
      <c r="EG208" s="125"/>
      <c r="EQ208" s="125"/>
      <c r="ER208" s="16"/>
      <c r="ES208" s="123"/>
      <c r="ET208" s="19"/>
      <c r="EU208" s="139"/>
      <c r="EV208" s="139"/>
      <c r="EW208" s="123"/>
      <c r="EX208" s="123"/>
      <c r="EY208" s="123"/>
      <c r="EZ208" s="123"/>
      <c r="FA208" s="123"/>
      <c r="FB208" s="123"/>
      <c r="FC208" s="6"/>
      <c r="FD208" s="123"/>
      <c r="FE208" s="6"/>
      <c r="FF208" s="123"/>
      <c r="FG208" s="6"/>
      <c r="FH208" s="6"/>
      <c r="FI208" s="6"/>
      <c r="FJ208" s="6"/>
      <c r="FK208" s="123"/>
      <c r="FL208" s="6"/>
      <c r="FM208" s="6"/>
      <c r="FN208" s="6"/>
      <c r="FO208" s="138"/>
      <c r="FP208" s="138"/>
      <c r="FQ208" s="123"/>
      <c r="FR208" s="6"/>
      <c r="FS208" s="6"/>
      <c r="FT208" s="139"/>
      <c r="FU208" s="139"/>
      <c r="FV208" s="76"/>
      <c r="FW208" s="123"/>
      <c r="FX208" s="6"/>
    </row>
    <row r="209" spans="35:180">
      <c r="AI209" s="125"/>
      <c r="AJ209" s="16"/>
      <c r="AM209" s="16"/>
      <c r="AN209" s="16"/>
      <c r="AO209" s="125"/>
      <c r="AP209" s="16"/>
      <c r="AQ209" s="125"/>
      <c r="AZ209" s="125"/>
      <c r="BA209" s="142"/>
      <c r="BB209" s="125"/>
      <c r="BC209" s="16"/>
      <c r="BD209" s="125"/>
      <c r="BE209" s="125"/>
      <c r="BF209" s="16"/>
      <c r="BG209" s="125"/>
      <c r="BQ209" s="125"/>
      <c r="BR209" s="16"/>
      <c r="BS209" s="123"/>
      <c r="BT209" s="19"/>
      <c r="BU209" s="139"/>
      <c r="BV209" s="139"/>
      <c r="BW209" s="123"/>
      <c r="BX209" s="123"/>
      <c r="BY209" s="123"/>
      <c r="BZ209" s="123"/>
      <c r="CA209" s="123"/>
      <c r="CB209" s="123"/>
      <c r="CC209" s="6"/>
      <c r="CD209" s="123"/>
      <c r="CE209" s="6"/>
      <c r="CF209" s="123"/>
      <c r="CG209" s="6"/>
      <c r="CH209" s="6"/>
      <c r="CI209" s="6"/>
      <c r="CJ209" s="6"/>
      <c r="CK209" s="123"/>
      <c r="CL209" s="6"/>
      <c r="CM209" s="6"/>
      <c r="CN209" s="6"/>
      <c r="CO209" s="138"/>
      <c r="CP209" s="138"/>
      <c r="CQ209" s="123"/>
      <c r="CR209" s="6"/>
      <c r="CS209" s="6"/>
      <c r="CT209" s="139"/>
      <c r="CU209" s="139"/>
      <c r="CV209" s="76"/>
      <c r="CW209" s="123"/>
      <c r="CX209" s="6"/>
      <c r="DI209" s="125"/>
      <c r="DJ209" s="16"/>
      <c r="DM209" s="16"/>
      <c r="DN209" s="16"/>
      <c r="DO209" s="125"/>
      <c r="DP209" s="16"/>
      <c r="DQ209" s="125"/>
      <c r="DZ209" s="125"/>
      <c r="EA209" s="142"/>
      <c r="EB209" s="125"/>
      <c r="EC209" s="16"/>
      <c r="ED209" s="125"/>
      <c r="EE209" s="125"/>
      <c r="EF209" s="16"/>
      <c r="EG209" s="125"/>
      <c r="EQ209" s="125"/>
      <c r="ER209" s="16"/>
      <c r="ES209" s="123"/>
      <c r="ET209" s="19"/>
      <c r="EU209" s="139"/>
      <c r="EV209" s="139"/>
      <c r="EW209" s="123"/>
      <c r="EX209" s="123"/>
      <c r="EY209" s="123"/>
      <c r="EZ209" s="123"/>
      <c r="FA209" s="123"/>
      <c r="FB209" s="123"/>
      <c r="FC209" s="6"/>
      <c r="FD209" s="123"/>
      <c r="FE209" s="6"/>
      <c r="FF209" s="123"/>
      <c r="FG209" s="6"/>
      <c r="FH209" s="6"/>
      <c r="FI209" s="6"/>
      <c r="FJ209" s="6"/>
      <c r="FK209" s="123"/>
      <c r="FL209" s="6"/>
      <c r="FM209" s="6"/>
      <c r="FN209" s="6"/>
      <c r="FO209" s="138"/>
      <c r="FP209" s="138"/>
      <c r="FQ209" s="123"/>
      <c r="FR209" s="6"/>
      <c r="FS209" s="6"/>
      <c r="FT209" s="139"/>
      <c r="FU209" s="139"/>
      <c r="FV209" s="76"/>
      <c r="FW209" s="123"/>
      <c r="FX209" s="6"/>
    </row>
    <row r="210" spans="35:180">
      <c r="AI210" s="125"/>
      <c r="AJ210" s="16"/>
      <c r="AM210" s="16"/>
      <c r="AN210" s="16"/>
      <c r="AO210" s="125"/>
      <c r="AP210" s="16"/>
      <c r="AQ210" s="125"/>
      <c r="AZ210" s="125"/>
      <c r="BA210" s="142"/>
      <c r="BB210" s="125"/>
      <c r="BC210" s="16"/>
      <c r="BD210" s="125"/>
      <c r="BE210" s="125"/>
      <c r="BF210" s="16"/>
      <c r="BG210" s="125"/>
      <c r="BQ210" s="125"/>
      <c r="BR210" s="16"/>
      <c r="BS210" s="123"/>
      <c r="BT210" s="19"/>
      <c r="BU210" s="139"/>
      <c r="BV210" s="139"/>
      <c r="BW210" s="123"/>
      <c r="BX210" s="123"/>
      <c r="BY210" s="123"/>
      <c r="BZ210" s="123"/>
      <c r="CA210" s="123"/>
      <c r="CB210" s="123"/>
      <c r="CC210" s="6"/>
      <c r="CD210" s="123"/>
      <c r="CE210" s="6"/>
      <c r="CF210" s="123"/>
      <c r="CG210" s="6"/>
      <c r="CH210" s="6"/>
      <c r="CI210" s="6"/>
      <c r="CJ210" s="6"/>
      <c r="CK210" s="123"/>
      <c r="CL210" s="6"/>
      <c r="CM210" s="6"/>
      <c r="CN210" s="6"/>
      <c r="CO210" s="138"/>
      <c r="CP210" s="138"/>
      <c r="CQ210" s="123"/>
      <c r="CR210" s="6"/>
      <c r="CS210" s="6"/>
      <c r="CT210" s="139"/>
      <c r="CU210" s="139"/>
      <c r="CV210" s="76"/>
      <c r="CW210" s="123"/>
      <c r="CX210" s="6"/>
      <c r="DI210" s="125"/>
      <c r="DJ210" s="16"/>
      <c r="DM210" s="16"/>
      <c r="DN210" s="16"/>
      <c r="DO210" s="125"/>
      <c r="DP210" s="16"/>
      <c r="DQ210" s="125"/>
      <c r="DZ210" s="125"/>
      <c r="EA210" s="142"/>
      <c r="EB210" s="125"/>
      <c r="EC210" s="16"/>
      <c r="ED210" s="125"/>
      <c r="EE210" s="125"/>
      <c r="EF210" s="16"/>
      <c r="EG210" s="125"/>
      <c r="EQ210" s="125"/>
      <c r="ER210" s="16"/>
      <c r="ES210" s="123"/>
      <c r="ET210" s="19"/>
      <c r="EU210" s="139"/>
      <c r="EV210" s="139"/>
      <c r="EW210" s="123"/>
      <c r="EX210" s="123"/>
      <c r="EY210" s="123"/>
      <c r="EZ210" s="123"/>
      <c r="FA210" s="123"/>
      <c r="FB210" s="123"/>
      <c r="FC210" s="6"/>
      <c r="FD210" s="123"/>
      <c r="FE210" s="6"/>
      <c r="FF210" s="123"/>
      <c r="FG210" s="6"/>
      <c r="FH210" s="6"/>
      <c r="FI210" s="6"/>
      <c r="FJ210" s="6"/>
      <c r="FK210" s="123"/>
      <c r="FL210" s="6"/>
      <c r="FM210" s="6"/>
      <c r="FN210" s="6"/>
      <c r="FO210" s="138"/>
      <c r="FP210" s="138"/>
      <c r="FQ210" s="123"/>
      <c r="FR210" s="6"/>
      <c r="FS210" s="6"/>
      <c r="FT210" s="139"/>
      <c r="FU210" s="139"/>
      <c r="FV210" s="76"/>
      <c r="FW210" s="123"/>
      <c r="FX210" s="6"/>
    </row>
    <row r="211" spans="35:180">
      <c r="AI211" s="125"/>
      <c r="AJ211" s="16"/>
      <c r="AM211" s="16"/>
      <c r="AN211" s="16"/>
      <c r="AO211" s="125"/>
      <c r="AP211" s="16"/>
      <c r="AQ211" s="125"/>
      <c r="AZ211" s="125"/>
      <c r="BA211" s="142"/>
      <c r="BB211" s="125"/>
      <c r="BC211" s="16"/>
      <c r="BD211" s="125"/>
      <c r="BE211" s="125"/>
      <c r="BF211" s="16"/>
      <c r="BG211" s="125"/>
      <c r="BQ211" s="125"/>
      <c r="BR211" s="16"/>
      <c r="BS211" s="123"/>
      <c r="BT211" s="19"/>
      <c r="BU211" s="139"/>
      <c r="BV211" s="139"/>
      <c r="BW211" s="123"/>
      <c r="BX211" s="123"/>
      <c r="BY211" s="123"/>
      <c r="BZ211" s="123"/>
      <c r="CA211" s="123"/>
      <c r="CB211" s="123"/>
      <c r="CC211" s="6"/>
      <c r="CD211" s="123"/>
      <c r="CE211" s="6"/>
      <c r="CF211" s="123"/>
      <c r="CG211" s="6"/>
      <c r="CH211" s="6"/>
      <c r="CI211" s="6"/>
      <c r="CJ211" s="6"/>
      <c r="CK211" s="123"/>
      <c r="CL211" s="6"/>
      <c r="CM211" s="6"/>
      <c r="CN211" s="6"/>
      <c r="CO211" s="138"/>
      <c r="CP211" s="138"/>
      <c r="CQ211" s="123"/>
      <c r="CR211" s="6"/>
      <c r="CS211" s="6"/>
      <c r="CT211" s="139"/>
      <c r="CU211" s="139"/>
      <c r="CV211" s="76"/>
      <c r="CW211" s="123"/>
      <c r="CX211" s="6"/>
      <c r="DI211" s="125"/>
      <c r="DJ211" s="16"/>
      <c r="DM211" s="16"/>
      <c r="DN211" s="16"/>
      <c r="DO211" s="125"/>
      <c r="DP211" s="16"/>
      <c r="DQ211" s="125"/>
      <c r="DZ211" s="125"/>
      <c r="EA211" s="142"/>
      <c r="EB211" s="125"/>
      <c r="EC211" s="16"/>
      <c r="ED211" s="125"/>
      <c r="EE211" s="125"/>
      <c r="EF211" s="16"/>
      <c r="EG211" s="125"/>
      <c r="EQ211" s="125"/>
      <c r="ER211" s="16"/>
      <c r="ES211" s="123"/>
      <c r="ET211" s="19"/>
      <c r="EU211" s="139"/>
      <c r="EV211" s="139"/>
      <c r="EW211" s="123"/>
      <c r="EX211" s="123"/>
      <c r="EY211" s="123"/>
      <c r="EZ211" s="123"/>
      <c r="FA211" s="123"/>
      <c r="FB211" s="123"/>
      <c r="FC211" s="6"/>
      <c r="FD211" s="123"/>
      <c r="FE211" s="6"/>
      <c r="FF211" s="123"/>
      <c r="FG211" s="6"/>
      <c r="FH211" s="6"/>
      <c r="FI211" s="6"/>
      <c r="FJ211" s="6"/>
      <c r="FK211" s="123"/>
      <c r="FL211" s="6"/>
      <c r="FM211" s="6"/>
      <c r="FN211" s="6"/>
      <c r="FO211" s="138"/>
      <c r="FP211" s="138"/>
      <c r="FQ211" s="123"/>
      <c r="FR211" s="6"/>
      <c r="FS211" s="6"/>
      <c r="FT211" s="139"/>
      <c r="FU211" s="139"/>
      <c r="FV211" s="76"/>
      <c r="FW211" s="123"/>
      <c r="FX211" s="6"/>
    </row>
    <row r="212" spans="35:180">
      <c r="AI212" s="125"/>
      <c r="AJ212" s="16"/>
      <c r="AM212" s="16"/>
      <c r="AN212" s="16"/>
      <c r="AO212" s="125"/>
      <c r="AP212" s="16"/>
      <c r="AQ212" s="125"/>
      <c r="AZ212" s="125"/>
      <c r="BA212" s="142"/>
      <c r="BB212" s="125"/>
      <c r="BC212" s="16"/>
      <c r="BD212" s="125"/>
      <c r="BE212" s="125"/>
      <c r="BF212" s="16"/>
      <c r="BG212" s="125"/>
      <c r="BQ212" s="125"/>
      <c r="BR212" s="16"/>
      <c r="BS212" s="123"/>
      <c r="BT212" s="19"/>
      <c r="BU212" s="139"/>
      <c r="BV212" s="139"/>
      <c r="BW212" s="123"/>
      <c r="BX212" s="123"/>
      <c r="BY212" s="123"/>
      <c r="BZ212" s="123"/>
      <c r="CA212" s="123"/>
      <c r="CB212" s="123"/>
      <c r="CC212" s="6"/>
      <c r="CD212" s="123"/>
      <c r="CE212" s="6"/>
      <c r="CF212" s="123"/>
      <c r="CG212" s="6"/>
      <c r="CH212" s="6"/>
      <c r="CI212" s="6"/>
      <c r="CJ212" s="6"/>
      <c r="CK212" s="123"/>
      <c r="CL212" s="6"/>
      <c r="CM212" s="6"/>
      <c r="CN212" s="6"/>
      <c r="CO212" s="138"/>
      <c r="CP212" s="138"/>
      <c r="CQ212" s="123"/>
      <c r="CR212" s="6"/>
      <c r="CS212" s="6"/>
      <c r="CT212" s="139"/>
      <c r="CU212" s="139"/>
      <c r="CV212" s="76"/>
      <c r="CW212" s="123"/>
      <c r="CX212" s="6"/>
      <c r="DI212" s="125"/>
      <c r="DJ212" s="16"/>
      <c r="DM212" s="16"/>
      <c r="DN212" s="16"/>
      <c r="DO212" s="125"/>
      <c r="DP212" s="16"/>
      <c r="DQ212" s="125"/>
      <c r="DZ212" s="125"/>
      <c r="EA212" s="142"/>
      <c r="EB212" s="125"/>
      <c r="EC212" s="16"/>
      <c r="ED212" s="125"/>
      <c r="EE212" s="125"/>
      <c r="EF212" s="16"/>
      <c r="EG212" s="125"/>
      <c r="EQ212" s="125"/>
      <c r="ER212" s="16"/>
      <c r="ES212" s="123"/>
      <c r="ET212" s="19"/>
      <c r="EU212" s="139"/>
      <c r="EV212" s="139"/>
      <c r="EW212" s="123"/>
      <c r="EX212" s="123"/>
      <c r="EY212" s="123"/>
      <c r="EZ212" s="123"/>
      <c r="FA212" s="123"/>
      <c r="FB212" s="123"/>
      <c r="FC212" s="6"/>
      <c r="FD212" s="123"/>
      <c r="FE212" s="6"/>
      <c r="FF212" s="123"/>
      <c r="FG212" s="6"/>
      <c r="FH212" s="6"/>
      <c r="FI212" s="6"/>
      <c r="FJ212" s="6"/>
      <c r="FK212" s="123"/>
      <c r="FL212" s="6"/>
      <c r="FM212" s="6"/>
      <c r="FN212" s="6"/>
      <c r="FO212" s="138"/>
      <c r="FP212" s="138"/>
      <c r="FQ212" s="123"/>
      <c r="FR212" s="6"/>
      <c r="FS212" s="6"/>
      <c r="FT212" s="139"/>
      <c r="FU212" s="139"/>
      <c r="FV212" s="76"/>
      <c r="FW212" s="123"/>
      <c r="FX212" s="6"/>
    </row>
    <row r="213" spans="35:180">
      <c r="AI213" s="125"/>
      <c r="AJ213" s="16"/>
      <c r="AM213" s="16"/>
      <c r="AN213" s="16"/>
      <c r="AO213" s="125"/>
      <c r="AP213" s="16"/>
      <c r="AQ213" s="125"/>
      <c r="AZ213" s="125"/>
      <c r="BA213" s="142"/>
      <c r="BB213" s="125"/>
      <c r="BC213" s="16"/>
      <c r="BD213" s="125"/>
      <c r="BE213" s="125"/>
      <c r="BF213" s="16"/>
      <c r="BG213" s="125"/>
      <c r="BQ213" s="125"/>
      <c r="BR213" s="16"/>
      <c r="BS213" s="123"/>
      <c r="BT213" s="19"/>
      <c r="BU213" s="139"/>
      <c r="BV213" s="139"/>
      <c r="BW213" s="123"/>
      <c r="BX213" s="123"/>
      <c r="BY213" s="123"/>
      <c r="BZ213" s="123"/>
      <c r="CA213" s="123"/>
      <c r="CB213" s="123"/>
      <c r="CC213" s="6"/>
      <c r="CD213" s="123"/>
      <c r="CE213" s="6"/>
      <c r="CF213" s="123"/>
      <c r="CG213" s="6"/>
      <c r="CH213" s="6"/>
      <c r="CI213" s="6"/>
      <c r="CJ213" s="6"/>
      <c r="CK213" s="123"/>
      <c r="CL213" s="6"/>
      <c r="CM213" s="6"/>
      <c r="CN213" s="6"/>
      <c r="CO213" s="138"/>
      <c r="CP213" s="138"/>
      <c r="CQ213" s="123"/>
      <c r="CR213" s="6"/>
      <c r="CS213" s="6"/>
      <c r="CT213" s="139"/>
      <c r="CU213" s="139"/>
      <c r="CV213" s="76"/>
      <c r="CW213" s="123"/>
      <c r="CX213" s="6"/>
      <c r="DI213" s="125"/>
      <c r="DJ213" s="16"/>
      <c r="DM213" s="16"/>
      <c r="DN213" s="16"/>
      <c r="DO213" s="125"/>
      <c r="DP213" s="16"/>
      <c r="DQ213" s="125"/>
      <c r="DZ213" s="125"/>
      <c r="EA213" s="142"/>
      <c r="EB213" s="125"/>
      <c r="EC213" s="16"/>
      <c r="ED213" s="125"/>
      <c r="EE213" s="125"/>
      <c r="EF213" s="16"/>
      <c r="EG213" s="125"/>
      <c r="EQ213" s="125"/>
      <c r="ER213" s="16"/>
      <c r="ES213" s="123"/>
      <c r="ET213" s="19"/>
      <c r="EU213" s="139"/>
      <c r="EV213" s="139"/>
      <c r="EW213" s="123"/>
      <c r="EX213" s="123"/>
      <c r="EY213" s="123"/>
      <c r="EZ213" s="123"/>
      <c r="FA213" s="123"/>
      <c r="FB213" s="123"/>
      <c r="FC213" s="6"/>
      <c r="FD213" s="123"/>
      <c r="FE213" s="6"/>
      <c r="FF213" s="123"/>
      <c r="FG213" s="6"/>
      <c r="FH213" s="6"/>
      <c r="FI213" s="6"/>
      <c r="FJ213" s="6"/>
      <c r="FK213" s="123"/>
      <c r="FL213" s="6"/>
      <c r="FM213" s="6"/>
      <c r="FN213" s="6"/>
      <c r="FO213" s="138"/>
      <c r="FP213" s="138"/>
      <c r="FQ213" s="123"/>
      <c r="FR213" s="6"/>
      <c r="FS213" s="6"/>
      <c r="FT213" s="139"/>
      <c r="FU213" s="139"/>
      <c r="FV213" s="76"/>
      <c r="FW213" s="123"/>
      <c r="FX213" s="6"/>
    </row>
    <row r="214" spans="35:180">
      <c r="AI214" s="125"/>
      <c r="AJ214" s="16"/>
      <c r="AM214" s="16"/>
      <c r="AN214" s="16"/>
      <c r="AO214" s="125"/>
      <c r="AP214" s="16"/>
      <c r="AQ214" s="125"/>
      <c r="AZ214" s="125"/>
      <c r="BA214" s="142"/>
      <c r="BB214" s="125"/>
      <c r="BC214" s="16"/>
      <c r="BD214" s="125"/>
      <c r="BE214" s="125"/>
      <c r="BF214" s="16"/>
      <c r="BG214" s="125"/>
      <c r="BQ214" s="125"/>
      <c r="BR214" s="16"/>
      <c r="BS214" s="123"/>
      <c r="BT214" s="19"/>
      <c r="BU214" s="139"/>
      <c r="BV214" s="139"/>
      <c r="BW214" s="123"/>
      <c r="BX214" s="123"/>
      <c r="BY214" s="123"/>
      <c r="BZ214" s="123"/>
      <c r="CA214" s="123"/>
      <c r="CB214" s="123"/>
      <c r="CC214" s="6"/>
      <c r="CD214" s="123"/>
      <c r="CE214" s="6"/>
      <c r="CF214" s="123"/>
      <c r="CG214" s="6"/>
      <c r="CH214" s="6"/>
      <c r="CI214" s="6"/>
      <c r="CJ214" s="6"/>
      <c r="CK214" s="123"/>
      <c r="CL214" s="6"/>
      <c r="CM214" s="6"/>
      <c r="CN214" s="6"/>
      <c r="CO214" s="138"/>
      <c r="CP214" s="138"/>
      <c r="CQ214" s="123"/>
      <c r="CR214" s="6"/>
      <c r="CS214" s="6"/>
      <c r="CT214" s="139"/>
      <c r="CU214" s="139"/>
      <c r="CV214" s="76"/>
      <c r="CW214" s="123"/>
      <c r="CX214" s="6"/>
      <c r="DI214" s="125"/>
      <c r="DJ214" s="16"/>
      <c r="DM214" s="16"/>
      <c r="DN214" s="16"/>
      <c r="DO214" s="125"/>
      <c r="DP214" s="16"/>
      <c r="DQ214" s="125"/>
      <c r="DZ214" s="125"/>
      <c r="EA214" s="142"/>
      <c r="EB214" s="125"/>
      <c r="EC214" s="16"/>
      <c r="ED214" s="125"/>
      <c r="EE214" s="125"/>
      <c r="EF214" s="16"/>
      <c r="EG214" s="125"/>
      <c r="EQ214" s="125"/>
      <c r="ER214" s="16"/>
      <c r="ES214" s="123"/>
      <c r="ET214" s="19"/>
      <c r="EU214" s="139"/>
      <c r="EV214" s="139"/>
      <c r="EW214" s="123"/>
      <c r="EX214" s="123"/>
      <c r="EY214" s="123"/>
      <c r="EZ214" s="123"/>
      <c r="FA214" s="123"/>
      <c r="FB214" s="123"/>
      <c r="FC214" s="6"/>
      <c r="FD214" s="123"/>
      <c r="FE214" s="6"/>
      <c r="FF214" s="123"/>
      <c r="FG214" s="6"/>
      <c r="FH214" s="6"/>
      <c r="FI214" s="6"/>
      <c r="FJ214" s="6"/>
      <c r="FK214" s="123"/>
      <c r="FL214" s="6"/>
      <c r="FM214" s="6"/>
      <c r="FN214" s="6"/>
      <c r="FO214" s="138"/>
      <c r="FP214" s="138"/>
      <c r="FQ214" s="123"/>
      <c r="FR214" s="6"/>
      <c r="FS214" s="6"/>
      <c r="FT214" s="139"/>
      <c r="FU214" s="139"/>
      <c r="FV214" s="76"/>
      <c r="FW214" s="123"/>
      <c r="FX214" s="6"/>
    </row>
    <row r="215" spans="35:180">
      <c r="AI215" s="125"/>
      <c r="AJ215" s="16"/>
      <c r="AM215" s="16"/>
      <c r="AN215" s="16"/>
      <c r="AO215" s="125"/>
      <c r="AP215" s="16"/>
      <c r="AQ215" s="125"/>
      <c r="AZ215" s="125"/>
      <c r="BA215" s="142"/>
      <c r="BB215" s="125"/>
      <c r="BC215" s="16"/>
      <c r="BD215" s="125"/>
      <c r="BE215" s="125"/>
      <c r="BF215" s="16"/>
      <c r="BG215" s="125"/>
      <c r="BQ215" s="125"/>
      <c r="BR215" s="16"/>
      <c r="BS215" s="123"/>
      <c r="BT215" s="19"/>
      <c r="BU215" s="139"/>
      <c r="BV215" s="139"/>
      <c r="BW215" s="123"/>
      <c r="BX215" s="123"/>
      <c r="BY215" s="123"/>
      <c r="BZ215" s="123"/>
      <c r="CA215" s="123"/>
      <c r="CB215" s="123"/>
      <c r="CC215" s="6"/>
      <c r="CD215" s="123"/>
      <c r="CE215" s="6"/>
      <c r="CF215" s="123"/>
      <c r="CG215" s="6"/>
      <c r="CH215" s="6"/>
      <c r="CI215" s="6"/>
      <c r="CJ215" s="6"/>
      <c r="CK215" s="123"/>
      <c r="CL215" s="6"/>
      <c r="CM215" s="6"/>
      <c r="CN215" s="6"/>
      <c r="CO215" s="138"/>
      <c r="CP215" s="138"/>
      <c r="CQ215" s="123"/>
      <c r="CR215" s="6"/>
      <c r="CS215" s="6"/>
      <c r="CT215" s="139"/>
      <c r="CU215" s="139"/>
      <c r="CV215" s="76"/>
      <c r="CW215" s="123"/>
      <c r="CX215" s="6"/>
      <c r="DI215" s="125"/>
      <c r="DJ215" s="16"/>
      <c r="DM215" s="16"/>
      <c r="DN215" s="16"/>
      <c r="DO215" s="125"/>
      <c r="DP215" s="16"/>
      <c r="DQ215" s="125"/>
      <c r="DZ215" s="125"/>
      <c r="EA215" s="142"/>
      <c r="EB215" s="125"/>
      <c r="EC215" s="16"/>
      <c r="ED215" s="125"/>
      <c r="EE215" s="125"/>
      <c r="EF215" s="16"/>
      <c r="EG215" s="125"/>
      <c r="EQ215" s="125"/>
      <c r="ER215" s="16"/>
      <c r="ES215" s="123"/>
      <c r="ET215" s="19"/>
      <c r="EU215" s="139"/>
      <c r="EV215" s="139"/>
      <c r="EW215" s="123"/>
      <c r="EX215" s="123"/>
      <c r="EY215" s="123"/>
      <c r="EZ215" s="123"/>
      <c r="FA215" s="123"/>
      <c r="FB215" s="123"/>
      <c r="FC215" s="6"/>
      <c r="FD215" s="123"/>
      <c r="FE215" s="6"/>
      <c r="FF215" s="123"/>
      <c r="FG215" s="6"/>
      <c r="FH215" s="6"/>
      <c r="FI215" s="6"/>
      <c r="FJ215" s="6"/>
      <c r="FK215" s="123"/>
      <c r="FL215" s="6"/>
      <c r="FM215" s="6"/>
      <c r="FN215" s="6"/>
      <c r="FO215" s="138"/>
      <c r="FP215" s="138"/>
      <c r="FQ215" s="123"/>
      <c r="FR215" s="6"/>
      <c r="FS215" s="6"/>
      <c r="FT215" s="139"/>
      <c r="FU215" s="139"/>
      <c r="FV215" s="76"/>
      <c r="FW215" s="123"/>
      <c r="FX215" s="6"/>
    </row>
    <row r="216" spans="35:180">
      <c r="AI216" s="125"/>
      <c r="AJ216" s="16"/>
      <c r="AM216" s="16"/>
      <c r="AN216" s="16"/>
      <c r="AO216" s="125"/>
      <c r="AP216" s="16"/>
      <c r="AQ216" s="125"/>
      <c r="AZ216" s="125"/>
      <c r="BA216" s="142"/>
      <c r="BB216" s="125"/>
      <c r="BC216" s="16"/>
      <c r="BD216" s="125"/>
      <c r="BE216" s="125"/>
      <c r="BF216" s="16"/>
      <c r="BG216" s="125"/>
      <c r="BQ216" s="125"/>
      <c r="BR216" s="16"/>
      <c r="BS216" s="123"/>
      <c r="BT216" s="19"/>
      <c r="BU216" s="139"/>
      <c r="BV216" s="139"/>
      <c r="BW216" s="123"/>
      <c r="BX216" s="123"/>
      <c r="BY216" s="123"/>
      <c r="BZ216" s="123"/>
      <c r="CA216" s="123"/>
      <c r="CB216" s="123"/>
      <c r="CC216" s="6"/>
      <c r="CD216" s="123"/>
      <c r="CE216" s="6"/>
      <c r="CF216" s="123"/>
      <c r="CG216" s="6"/>
      <c r="CH216" s="6"/>
      <c r="CI216" s="6"/>
      <c r="CJ216" s="6"/>
      <c r="CK216" s="123"/>
      <c r="CL216" s="6"/>
      <c r="CM216" s="6"/>
      <c r="CN216" s="6"/>
      <c r="CO216" s="138"/>
      <c r="CP216" s="138"/>
      <c r="CQ216" s="123"/>
      <c r="CR216" s="6"/>
      <c r="CS216" s="6"/>
      <c r="CT216" s="139"/>
      <c r="CU216" s="139"/>
      <c r="CV216" s="76"/>
      <c r="CW216" s="123"/>
      <c r="CX216" s="6"/>
      <c r="DI216" s="125"/>
      <c r="DJ216" s="16"/>
      <c r="DM216" s="16"/>
      <c r="DN216" s="16"/>
      <c r="DO216" s="125"/>
      <c r="DP216" s="16"/>
      <c r="DQ216" s="125"/>
      <c r="DZ216" s="125"/>
      <c r="EA216" s="142"/>
      <c r="EB216" s="125"/>
      <c r="EC216" s="16"/>
      <c r="ED216" s="125"/>
      <c r="EE216" s="125"/>
      <c r="EF216" s="16"/>
      <c r="EG216" s="125"/>
      <c r="EQ216" s="125"/>
      <c r="ER216" s="16"/>
      <c r="ES216" s="123"/>
      <c r="ET216" s="19"/>
      <c r="EU216" s="139"/>
      <c r="EV216" s="139"/>
      <c r="EW216" s="123"/>
      <c r="EX216" s="123"/>
      <c r="EY216" s="123"/>
      <c r="EZ216" s="123"/>
      <c r="FA216" s="123"/>
      <c r="FB216" s="123"/>
      <c r="FC216" s="6"/>
      <c r="FD216" s="123"/>
      <c r="FE216" s="6"/>
      <c r="FF216" s="123"/>
      <c r="FG216" s="6"/>
      <c r="FH216" s="6"/>
      <c r="FI216" s="6"/>
      <c r="FJ216" s="6"/>
      <c r="FK216" s="123"/>
      <c r="FL216" s="6"/>
      <c r="FM216" s="6"/>
      <c r="FN216" s="6"/>
      <c r="FO216" s="138"/>
      <c r="FP216" s="138"/>
      <c r="FQ216" s="123"/>
      <c r="FR216" s="6"/>
      <c r="FS216" s="6"/>
      <c r="FT216" s="139"/>
      <c r="FU216" s="139"/>
      <c r="FV216" s="76"/>
      <c r="FW216" s="123"/>
      <c r="FX216" s="6"/>
    </row>
    <row r="217" spans="35:180">
      <c r="AI217" s="125"/>
      <c r="AJ217" s="16"/>
      <c r="AM217" s="16"/>
      <c r="AN217" s="16"/>
      <c r="AO217" s="125"/>
      <c r="AP217" s="16"/>
      <c r="AQ217" s="125"/>
      <c r="AZ217" s="125"/>
      <c r="BA217" s="142"/>
      <c r="BB217" s="125"/>
      <c r="BC217" s="16"/>
      <c r="BD217" s="125"/>
      <c r="BE217" s="125"/>
      <c r="BF217" s="16"/>
      <c r="BG217" s="125"/>
      <c r="BQ217" s="125"/>
      <c r="BR217" s="16"/>
      <c r="BS217" s="123"/>
      <c r="BT217" s="19"/>
      <c r="BU217" s="139"/>
      <c r="BV217" s="139"/>
      <c r="BW217" s="123"/>
      <c r="BX217" s="123"/>
      <c r="BY217" s="123"/>
      <c r="BZ217" s="123"/>
      <c r="CA217" s="123"/>
      <c r="CB217" s="123"/>
      <c r="CC217" s="6"/>
      <c r="CD217" s="123"/>
      <c r="CE217" s="6"/>
      <c r="CF217" s="123"/>
      <c r="CG217" s="6"/>
      <c r="CH217" s="6"/>
      <c r="CI217" s="6"/>
      <c r="CJ217" s="6"/>
      <c r="CK217" s="123"/>
      <c r="CL217" s="6"/>
      <c r="CM217" s="6"/>
      <c r="CN217" s="6"/>
      <c r="CO217" s="138"/>
      <c r="CP217" s="138"/>
      <c r="CQ217" s="123"/>
      <c r="CR217" s="6"/>
      <c r="CS217" s="6"/>
      <c r="CT217" s="139"/>
      <c r="CU217" s="139"/>
      <c r="CV217" s="76"/>
      <c r="CW217" s="123"/>
      <c r="CX217" s="6"/>
      <c r="DI217" s="125"/>
      <c r="DJ217" s="16"/>
      <c r="DM217" s="16"/>
      <c r="DN217" s="16"/>
      <c r="DO217" s="125"/>
      <c r="DP217" s="16"/>
      <c r="DQ217" s="125"/>
      <c r="DZ217" s="125"/>
      <c r="EA217" s="142"/>
      <c r="EB217" s="125"/>
      <c r="EC217" s="16"/>
      <c r="ED217" s="125"/>
      <c r="EE217" s="125"/>
      <c r="EF217" s="16"/>
      <c r="EG217" s="125"/>
      <c r="EQ217" s="125"/>
      <c r="ER217" s="16"/>
      <c r="ES217" s="123"/>
      <c r="ET217" s="19"/>
      <c r="EU217" s="139"/>
      <c r="EV217" s="139"/>
      <c r="EW217" s="123"/>
      <c r="EX217" s="123"/>
      <c r="EY217" s="123"/>
      <c r="EZ217" s="123"/>
      <c r="FA217" s="123"/>
      <c r="FB217" s="123"/>
      <c r="FC217" s="6"/>
      <c r="FD217" s="123"/>
      <c r="FE217" s="6"/>
      <c r="FF217" s="123"/>
      <c r="FG217" s="6"/>
      <c r="FH217" s="6"/>
      <c r="FI217" s="6"/>
      <c r="FJ217" s="6"/>
      <c r="FK217" s="123"/>
      <c r="FL217" s="6"/>
      <c r="FM217" s="6"/>
      <c r="FN217" s="6"/>
      <c r="FO217" s="138"/>
      <c r="FP217" s="138"/>
      <c r="FQ217" s="123"/>
      <c r="FR217" s="6"/>
      <c r="FS217" s="6"/>
      <c r="FT217" s="139"/>
      <c r="FU217" s="139"/>
      <c r="FV217" s="76"/>
      <c r="FW217" s="123"/>
      <c r="FX217" s="6"/>
    </row>
    <row r="218" spans="35:180">
      <c r="AI218" s="125"/>
      <c r="AJ218" s="16"/>
      <c r="AM218" s="16"/>
      <c r="AN218" s="16"/>
      <c r="AO218" s="125"/>
      <c r="AP218" s="16"/>
      <c r="AQ218" s="125"/>
      <c r="AZ218" s="125"/>
      <c r="BA218" s="142"/>
      <c r="BB218" s="125"/>
      <c r="BC218" s="16"/>
      <c r="BD218" s="125"/>
      <c r="BE218" s="125"/>
      <c r="BF218" s="16"/>
      <c r="BG218" s="125"/>
      <c r="BQ218" s="125"/>
      <c r="BR218" s="16"/>
      <c r="BS218" s="123"/>
      <c r="BT218" s="19"/>
      <c r="BU218" s="139"/>
      <c r="BV218" s="139"/>
      <c r="BW218" s="123"/>
      <c r="BX218" s="123"/>
      <c r="BY218" s="123"/>
      <c r="BZ218" s="123"/>
      <c r="CA218" s="123"/>
      <c r="CB218" s="123"/>
      <c r="CC218" s="6"/>
      <c r="CD218" s="123"/>
      <c r="CE218" s="6"/>
      <c r="CF218" s="123"/>
      <c r="CG218" s="6"/>
      <c r="CH218" s="6"/>
      <c r="CI218" s="6"/>
      <c r="CJ218" s="6"/>
      <c r="CK218" s="123"/>
      <c r="CL218" s="6"/>
      <c r="CM218" s="6"/>
      <c r="CN218" s="6"/>
      <c r="CO218" s="138"/>
      <c r="CP218" s="138"/>
      <c r="CQ218" s="123"/>
      <c r="CR218" s="6"/>
      <c r="CS218" s="6"/>
      <c r="CT218" s="139"/>
      <c r="CU218" s="139"/>
      <c r="CV218" s="76"/>
      <c r="CW218" s="123"/>
      <c r="CX218" s="6"/>
      <c r="DI218" s="125"/>
      <c r="DJ218" s="16"/>
      <c r="DM218" s="16"/>
      <c r="DN218" s="16"/>
      <c r="DO218" s="125"/>
      <c r="DP218" s="16"/>
      <c r="DQ218" s="125"/>
      <c r="DZ218" s="125"/>
      <c r="EA218" s="142"/>
      <c r="EB218" s="125"/>
      <c r="EC218" s="16"/>
      <c r="ED218" s="125"/>
      <c r="EE218" s="125"/>
      <c r="EF218" s="16"/>
      <c r="EG218" s="125"/>
      <c r="EQ218" s="125"/>
      <c r="ER218" s="16"/>
      <c r="ES218" s="123"/>
      <c r="ET218" s="19"/>
      <c r="EU218" s="139"/>
      <c r="EV218" s="139"/>
      <c r="EW218" s="123"/>
      <c r="EX218" s="123"/>
      <c r="EY218" s="123"/>
      <c r="EZ218" s="123"/>
      <c r="FA218" s="123"/>
      <c r="FB218" s="123"/>
      <c r="FC218" s="6"/>
      <c r="FD218" s="123"/>
      <c r="FE218" s="6"/>
      <c r="FF218" s="123"/>
      <c r="FG218" s="6"/>
      <c r="FH218" s="6"/>
      <c r="FI218" s="6"/>
      <c r="FJ218" s="6"/>
      <c r="FK218" s="123"/>
      <c r="FL218" s="6"/>
      <c r="FM218" s="6"/>
      <c r="FN218" s="6"/>
      <c r="FO218" s="138"/>
      <c r="FP218" s="138"/>
      <c r="FQ218" s="123"/>
      <c r="FR218" s="6"/>
      <c r="FS218" s="6"/>
      <c r="FT218" s="139"/>
      <c r="FU218" s="139"/>
      <c r="FV218" s="76"/>
      <c r="FW218" s="123"/>
      <c r="FX218" s="6"/>
    </row>
    <row r="219" spans="35:180">
      <c r="AI219" s="125"/>
      <c r="AJ219" s="16"/>
      <c r="AM219" s="16"/>
      <c r="AN219" s="16"/>
      <c r="AO219" s="125"/>
      <c r="AP219" s="16"/>
      <c r="AQ219" s="125"/>
      <c r="AZ219" s="125"/>
      <c r="BA219" s="142"/>
      <c r="BB219" s="125"/>
      <c r="BC219" s="16"/>
      <c r="BD219" s="125"/>
      <c r="BE219" s="125"/>
      <c r="BF219" s="16"/>
      <c r="BG219" s="125"/>
      <c r="BQ219" s="125"/>
      <c r="BR219" s="16"/>
      <c r="BS219" s="123"/>
      <c r="BT219" s="19"/>
      <c r="BU219" s="139"/>
      <c r="BV219" s="139"/>
      <c r="BW219" s="123"/>
      <c r="BX219" s="123"/>
      <c r="BY219" s="123"/>
      <c r="BZ219" s="123"/>
      <c r="CA219" s="123"/>
      <c r="CB219" s="123"/>
      <c r="CC219" s="6"/>
      <c r="CD219" s="123"/>
      <c r="CE219" s="6"/>
      <c r="CF219" s="123"/>
      <c r="CG219" s="6"/>
      <c r="CH219" s="6"/>
      <c r="CI219" s="6"/>
      <c r="CJ219" s="6"/>
      <c r="CK219" s="123"/>
      <c r="CL219" s="6"/>
      <c r="CM219" s="6"/>
      <c r="CN219" s="6"/>
      <c r="CO219" s="138"/>
      <c r="CP219" s="138"/>
      <c r="CQ219" s="123"/>
      <c r="CR219" s="6"/>
      <c r="CS219" s="6"/>
      <c r="CT219" s="139"/>
      <c r="CU219" s="139"/>
      <c r="CV219" s="76"/>
      <c r="CW219" s="123"/>
      <c r="CX219" s="6"/>
      <c r="DI219" s="125"/>
      <c r="DJ219" s="16"/>
      <c r="DM219" s="16"/>
      <c r="DN219" s="16"/>
      <c r="DO219" s="125"/>
      <c r="DP219" s="16"/>
      <c r="DQ219" s="125"/>
      <c r="DZ219" s="125"/>
      <c r="EA219" s="142"/>
      <c r="EB219" s="125"/>
      <c r="EC219" s="16"/>
      <c r="ED219" s="125"/>
      <c r="EE219" s="125"/>
      <c r="EF219" s="16"/>
      <c r="EG219" s="125"/>
      <c r="EQ219" s="125"/>
      <c r="ER219" s="16"/>
      <c r="ES219" s="123"/>
      <c r="ET219" s="19"/>
      <c r="EU219" s="139"/>
      <c r="EV219" s="139"/>
      <c r="EW219" s="123"/>
      <c r="EX219" s="123"/>
      <c r="EY219" s="123"/>
      <c r="EZ219" s="123"/>
      <c r="FA219" s="123"/>
      <c r="FB219" s="123"/>
      <c r="FC219" s="6"/>
      <c r="FD219" s="123"/>
      <c r="FE219" s="6"/>
      <c r="FF219" s="123"/>
      <c r="FG219" s="6"/>
      <c r="FH219" s="6"/>
      <c r="FI219" s="6"/>
      <c r="FJ219" s="6"/>
      <c r="FK219" s="123"/>
      <c r="FL219" s="6"/>
      <c r="FM219" s="6"/>
      <c r="FN219" s="6"/>
      <c r="FO219" s="138"/>
      <c r="FP219" s="138"/>
      <c r="FQ219" s="123"/>
      <c r="FR219" s="6"/>
      <c r="FS219" s="6"/>
      <c r="FT219" s="139"/>
      <c r="FU219" s="139"/>
      <c r="FV219" s="76"/>
      <c r="FW219" s="123"/>
      <c r="FX219" s="6"/>
    </row>
    <row r="220" spans="35:180">
      <c r="AI220" s="125"/>
      <c r="AJ220" s="16"/>
      <c r="AM220" s="16"/>
      <c r="AN220" s="16"/>
      <c r="AO220" s="125"/>
      <c r="AP220" s="16"/>
      <c r="AQ220" s="125"/>
      <c r="AZ220" s="125"/>
      <c r="BA220" s="142"/>
      <c r="BB220" s="125"/>
      <c r="BC220" s="16"/>
      <c r="BD220" s="125"/>
      <c r="BE220" s="125"/>
      <c r="BF220" s="16"/>
      <c r="BG220" s="125"/>
      <c r="BQ220" s="125"/>
      <c r="BR220" s="16"/>
      <c r="BS220" s="123"/>
      <c r="BT220" s="19"/>
      <c r="BU220" s="139"/>
      <c r="BV220" s="139"/>
      <c r="BW220" s="123"/>
      <c r="BX220" s="123"/>
      <c r="BY220" s="123"/>
      <c r="BZ220" s="123"/>
      <c r="CA220" s="123"/>
      <c r="CB220" s="123"/>
      <c r="CC220" s="6"/>
      <c r="CD220" s="123"/>
      <c r="CE220" s="6"/>
      <c r="CF220" s="123"/>
      <c r="CG220" s="6"/>
      <c r="CH220" s="6"/>
      <c r="CI220" s="6"/>
      <c r="CJ220" s="6"/>
      <c r="CK220" s="123"/>
      <c r="CL220" s="6"/>
      <c r="CM220" s="6"/>
      <c r="CN220" s="6"/>
      <c r="CO220" s="138"/>
      <c r="CP220" s="138"/>
      <c r="CQ220" s="123"/>
      <c r="CR220" s="6"/>
      <c r="CS220" s="6"/>
      <c r="CT220" s="139"/>
      <c r="CU220" s="139"/>
      <c r="CV220" s="76"/>
      <c r="CW220" s="123"/>
      <c r="CX220" s="6"/>
      <c r="DI220" s="125"/>
      <c r="DJ220" s="16"/>
      <c r="DM220" s="16"/>
      <c r="DN220" s="16"/>
      <c r="DO220" s="125"/>
      <c r="DP220" s="16"/>
      <c r="DQ220" s="125"/>
      <c r="DZ220" s="125"/>
      <c r="EA220" s="142"/>
      <c r="EB220" s="125"/>
      <c r="EC220" s="16"/>
      <c r="ED220" s="125"/>
      <c r="EE220" s="125"/>
      <c r="EF220" s="16"/>
      <c r="EG220" s="125"/>
      <c r="EQ220" s="125"/>
      <c r="ER220" s="16"/>
      <c r="ES220" s="123"/>
      <c r="ET220" s="19"/>
      <c r="EU220" s="139"/>
      <c r="EV220" s="139"/>
      <c r="EW220" s="123"/>
      <c r="EX220" s="123"/>
      <c r="EY220" s="123"/>
      <c r="EZ220" s="123"/>
      <c r="FA220" s="123"/>
      <c r="FB220" s="123"/>
      <c r="FC220" s="6"/>
      <c r="FD220" s="123"/>
      <c r="FE220" s="6"/>
      <c r="FF220" s="123"/>
      <c r="FG220" s="6"/>
      <c r="FH220" s="6"/>
      <c r="FI220" s="6"/>
      <c r="FJ220" s="6"/>
      <c r="FK220" s="123"/>
      <c r="FL220" s="6"/>
      <c r="FM220" s="6"/>
      <c r="FN220" s="6"/>
      <c r="FO220" s="138"/>
      <c r="FP220" s="138"/>
      <c r="FQ220" s="123"/>
      <c r="FR220" s="6"/>
      <c r="FS220" s="6"/>
      <c r="FT220" s="139"/>
      <c r="FU220" s="139"/>
      <c r="FV220" s="76"/>
      <c r="FW220" s="123"/>
      <c r="FX220" s="6"/>
    </row>
    <row r="221" spans="35:180">
      <c r="AI221" s="125"/>
      <c r="AJ221" s="16"/>
      <c r="AM221" s="16"/>
      <c r="AN221" s="16"/>
      <c r="AO221" s="125"/>
      <c r="AP221" s="16"/>
      <c r="AQ221" s="125"/>
      <c r="AZ221" s="125"/>
      <c r="BA221" s="142"/>
      <c r="BB221" s="125"/>
      <c r="BC221" s="16"/>
      <c r="BD221" s="125"/>
      <c r="BE221" s="125"/>
      <c r="BF221" s="16"/>
      <c r="BG221" s="125"/>
      <c r="BQ221" s="125"/>
      <c r="BR221" s="16"/>
      <c r="BS221" s="123"/>
      <c r="BT221" s="19"/>
      <c r="BU221" s="139"/>
      <c r="BV221" s="139"/>
      <c r="BW221" s="123"/>
      <c r="BX221" s="123"/>
      <c r="BY221" s="123"/>
      <c r="BZ221" s="123"/>
      <c r="CA221" s="123"/>
      <c r="CB221" s="123"/>
      <c r="CC221" s="6"/>
      <c r="CD221" s="123"/>
      <c r="CE221" s="6"/>
      <c r="CF221" s="123"/>
      <c r="CG221" s="6"/>
      <c r="CH221" s="6"/>
      <c r="CI221" s="6"/>
      <c r="CJ221" s="6"/>
      <c r="CK221" s="123"/>
      <c r="CL221" s="6"/>
      <c r="CM221" s="6"/>
      <c r="CN221" s="6"/>
      <c r="CO221" s="138"/>
      <c r="CP221" s="138"/>
      <c r="CQ221" s="123"/>
      <c r="CR221" s="6"/>
      <c r="CS221" s="6"/>
      <c r="CT221" s="139"/>
      <c r="CU221" s="139"/>
      <c r="CV221" s="76"/>
      <c r="CW221" s="123"/>
      <c r="CX221" s="6"/>
      <c r="DI221" s="125"/>
      <c r="DJ221" s="16"/>
      <c r="DM221" s="16"/>
      <c r="DN221" s="16"/>
      <c r="DO221" s="125"/>
      <c r="DP221" s="16"/>
      <c r="DQ221" s="125"/>
      <c r="DZ221" s="125"/>
      <c r="EA221" s="142"/>
      <c r="EB221" s="125"/>
      <c r="EC221" s="16"/>
      <c r="ED221" s="125"/>
      <c r="EE221" s="125"/>
      <c r="EF221" s="16"/>
      <c r="EG221" s="125"/>
      <c r="EQ221" s="125"/>
      <c r="ER221" s="16"/>
      <c r="ES221" s="123"/>
      <c r="ET221" s="19"/>
      <c r="EU221" s="139"/>
      <c r="EV221" s="139"/>
      <c r="EW221" s="123"/>
      <c r="EX221" s="123"/>
      <c r="EY221" s="123"/>
      <c r="EZ221" s="123"/>
      <c r="FA221" s="123"/>
      <c r="FB221" s="123"/>
      <c r="FC221" s="6"/>
      <c r="FD221" s="123"/>
      <c r="FE221" s="6"/>
      <c r="FF221" s="123"/>
      <c r="FG221" s="6"/>
      <c r="FH221" s="6"/>
      <c r="FI221" s="6"/>
      <c r="FJ221" s="6"/>
      <c r="FK221" s="123"/>
      <c r="FL221" s="6"/>
      <c r="FM221" s="6"/>
      <c r="FN221" s="6"/>
      <c r="FO221" s="138"/>
      <c r="FP221" s="138"/>
      <c r="FQ221" s="123"/>
      <c r="FR221" s="6"/>
      <c r="FS221" s="6"/>
      <c r="FT221" s="139"/>
      <c r="FU221" s="139"/>
      <c r="FV221" s="76"/>
      <c r="FW221" s="123"/>
      <c r="FX221" s="6"/>
    </row>
    <row r="222" spans="35:180">
      <c r="AI222" s="125"/>
      <c r="AJ222" s="16"/>
      <c r="AM222" s="16"/>
      <c r="AN222" s="16"/>
      <c r="AO222" s="125"/>
      <c r="AP222" s="16"/>
      <c r="AQ222" s="125"/>
      <c r="AZ222" s="125"/>
      <c r="BA222" s="142"/>
      <c r="BB222" s="125"/>
      <c r="BC222" s="16"/>
      <c r="BD222" s="125"/>
      <c r="BE222" s="125"/>
      <c r="BF222" s="16"/>
      <c r="BG222" s="125"/>
      <c r="BQ222" s="125"/>
      <c r="BR222" s="16"/>
      <c r="BS222" s="123"/>
      <c r="BT222" s="19"/>
      <c r="BU222" s="139"/>
      <c r="BV222" s="139"/>
      <c r="BW222" s="123"/>
      <c r="BX222" s="123"/>
      <c r="BY222" s="123"/>
      <c r="BZ222" s="123"/>
      <c r="CA222" s="123"/>
      <c r="CB222" s="123"/>
      <c r="CC222" s="6"/>
      <c r="CD222" s="123"/>
      <c r="CE222" s="6"/>
      <c r="CF222" s="123"/>
      <c r="CG222" s="6"/>
      <c r="CH222" s="6"/>
      <c r="CI222" s="6"/>
      <c r="CJ222" s="6"/>
      <c r="CK222" s="123"/>
      <c r="CL222" s="6"/>
      <c r="CM222" s="6"/>
      <c r="CN222" s="6"/>
      <c r="CO222" s="138"/>
      <c r="CP222" s="138"/>
      <c r="CQ222" s="123"/>
      <c r="CR222" s="6"/>
      <c r="CS222" s="6"/>
      <c r="CT222" s="139"/>
      <c r="CU222" s="139"/>
      <c r="CV222" s="76"/>
      <c r="CW222" s="123"/>
      <c r="CX222" s="6"/>
      <c r="DI222" s="125"/>
      <c r="DJ222" s="16"/>
      <c r="DM222" s="16"/>
      <c r="DN222" s="16"/>
      <c r="DO222" s="125"/>
      <c r="DP222" s="16"/>
      <c r="DQ222" s="125"/>
      <c r="DZ222" s="125"/>
      <c r="EA222" s="142"/>
      <c r="EB222" s="125"/>
      <c r="EC222" s="16"/>
      <c r="ED222" s="125"/>
      <c r="EE222" s="125"/>
      <c r="EF222" s="16"/>
      <c r="EG222" s="125"/>
      <c r="EQ222" s="125"/>
      <c r="ER222" s="16"/>
      <c r="ES222" s="123"/>
      <c r="ET222" s="19"/>
      <c r="EU222" s="139"/>
      <c r="EV222" s="139"/>
      <c r="EW222" s="123"/>
      <c r="EX222" s="123"/>
      <c r="EY222" s="123"/>
      <c r="EZ222" s="123"/>
      <c r="FA222" s="123"/>
      <c r="FB222" s="123"/>
      <c r="FC222" s="6"/>
      <c r="FD222" s="123"/>
      <c r="FE222" s="6"/>
      <c r="FF222" s="123"/>
      <c r="FG222" s="6"/>
      <c r="FH222" s="6"/>
      <c r="FI222" s="6"/>
      <c r="FJ222" s="6"/>
      <c r="FK222" s="123"/>
      <c r="FL222" s="6"/>
      <c r="FM222" s="6"/>
      <c r="FN222" s="6"/>
      <c r="FO222" s="138"/>
      <c r="FP222" s="138"/>
      <c r="FQ222" s="123"/>
      <c r="FR222" s="6"/>
      <c r="FS222" s="6"/>
      <c r="FT222" s="139"/>
      <c r="FU222" s="139"/>
      <c r="FV222" s="76"/>
      <c r="FW222" s="123"/>
      <c r="FX222" s="6"/>
    </row>
    <row r="223" spans="35:180">
      <c r="AI223" s="125"/>
      <c r="AJ223" s="16"/>
      <c r="AM223" s="16"/>
      <c r="AN223" s="16"/>
      <c r="AO223" s="125"/>
      <c r="AP223" s="16"/>
      <c r="AQ223" s="125"/>
      <c r="AZ223" s="125"/>
      <c r="BA223" s="142"/>
      <c r="BB223" s="125"/>
      <c r="BC223" s="16"/>
      <c r="BD223" s="125"/>
      <c r="BE223" s="125"/>
      <c r="BF223" s="16"/>
      <c r="BG223" s="125"/>
      <c r="BQ223" s="125"/>
      <c r="BR223" s="16"/>
      <c r="BS223" s="123"/>
      <c r="BT223" s="19"/>
      <c r="BU223" s="139"/>
      <c r="BV223" s="139"/>
      <c r="BW223" s="123"/>
      <c r="BX223" s="123"/>
      <c r="BY223" s="123"/>
      <c r="BZ223" s="123"/>
      <c r="CA223" s="123"/>
      <c r="CB223" s="123"/>
      <c r="CC223" s="6"/>
      <c r="CD223" s="123"/>
      <c r="CE223" s="6"/>
      <c r="CF223" s="123"/>
      <c r="CG223" s="6"/>
      <c r="CH223" s="6"/>
      <c r="CI223" s="6"/>
      <c r="CJ223" s="6"/>
      <c r="CK223" s="123"/>
      <c r="CL223" s="6"/>
      <c r="CM223" s="6"/>
      <c r="CN223" s="6"/>
      <c r="CO223" s="138"/>
      <c r="CP223" s="138"/>
      <c r="CQ223" s="123"/>
      <c r="CR223" s="6"/>
      <c r="CS223" s="6"/>
      <c r="CT223" s="139"/>
      <c r="CU223" s="139"/>
      <c r="CV223" s="76"/>
      <c r="CW223" s="123"/>
      <c r="CX223" s="6"/>
      <c r="DI223" s="125"/>
      <c r="DJ223" s="16"/>
      <c r="DM223" s="16"/>
      <c r="DN223" s="16"/>
      <c r="DO223" s="125"/>
      <c r="DP223" s="16"/>
      <c r="DQ223" s="125"/>
      <c r="DZ223" s="125"/>
      <c r="EA223" s="142"/>
      <c r="EB223" s="125"/>
      <c r="EC223" s="16"/>
      <c r="ED223" s="125"/>
      <c r="EE223" s="125"/>
      <c r="EF223" s="16"/>
      <c r="EG223" s="125"/>
      <c r="EQ223" s="125"/>
      <c r="ER223" s="16"/>
      <c r="ES223" s="123"/>
      <c r="ET223" s="19"/>
      <c r="EU223" s="139"/>
      <c r="EV223" s="139"/>
      <c r="EW223" s="123"/>
      <c r="EX223" s="123"/>
      <c r="EY223" s="123"/>
      <c r="EZ223" s="123"/>
      <c r="FA223" s="123"/>
      <c r="FB223" s="123"/>
      <c r="FC223" s="6"/>
      <c r="FD223" s="123"/>
      <c r="FE223" s="6"/>
      <c r="FF223" s="123"/>
      <c r="FG223" s="6"/>
      <c r="FH223" s="6"/>
      <c r="FI223" s="6"/>
      <c r="FJ223" s="6"/>
      <c r="FK223" s="123"/>
      <c r="FL223" s="6"/>
      <c r="FM223" s="6"/>
      <c r="FN223" s="6"/>
      <c r="FO223" s="138"/>
      <c r="FP223" s="138"/>
      <c r="FQ223" s="123"/>
      <c r="FR223" s="6"/>
      <c r="FS223" s="6"/>
      <c r="FT223" s="139"/>
      <c r="FU223" s="139"/>
      <c r="FV223" s="76"/>
      <c r="FW223" s="123"/>
      <c r="FX223" s="6"/>
    </row>
    <row r="224" spans="35:180">
      <c r="AI224" s="125"/>
      <c r="AJ224" s="16"/>
      <c r="AM224" s="16"/>
      <c r="AN224" s="16"/>
      <c r="AO224" s="125"/>
      <c r="AP224" s="16"/>
      <c r="AQ224" s="125"/>
      <c r="AZ224" s="125"/>
      <c r="BA224" s="142"/>
      <c r="BB224" s="125"/>
      <c r="BC224" s="16"/>
      <c r="BD224" s="125"/>
      <c r="BE224" s="125"/>
      <c r="BF224" s="16"/>
      <c r="BG224" s="125"/>
      <c r="BQ224" s="125"/>
      <c r="BR224" s="16"/>
      <c r="BS224" s="123"/>
      <c r="BT224" s="19"/>
      <c r="BU224" s="139"/>
      <c r="BV224" s="139"/>
      <c r="BW224" s="123"/>
      <c r="BX224" s="123"/>
      <c r="BY224" s="123"/>
      <c r="BZ224" s="123"/>
      <c r="CA224" s="123"/>
      <c r="CB224" s="123"/>
      <c r="CC224" s="6"/>
      <c r="CD224" s="123"/>
      <c r="CE224" s="6"/>
      <c r="CF224" s="123"/>
      <c r="CG224" s="6"/>
      <c r="CH224" s="6"/>
      <c r="CI224" s="6"/>
      <c r="CJ224" s="6"/>
      <c r="CK224" s="123"/>
      <c r="CL224" s="6"/>
      <c r="CM224" s="6"/>
      <c r="CN224" s="6"/>
      <c r="CO224" s="138"/>
      <c r="CP224" s="138"/>
      <c r="CQ224" s="123"/>
      <c r="CR224" s="6"/>
      <c r="CS224" s="6"/>
      <c r="CT224" s="139"/>
      <c r="CU224" s="139"/>
      <c r="CV224" s="76"/>
      <c r="CW224" s="123"/>
      <c r="CX224" s="6"/>
      <c r="DI224" s="125"/>
      <c r="DJ224" s="16"/>
      <c r="DM224" s="16"/>
      <c r="DN224" s="16"/>
      <c r="DO224" s="125"/>
      <c r="DP224" s="16"/>
      <c r="DQ224" s="125"/>
      <c r="DZ224" s="125"/>
      <c r="EA224" s="142"/>
      <c r="EB224" s="125"/>
      <c r="EC224" s="16"/>
      <c r="ED224" s="125"/>
      <c r="EE224" s="125"/>
      <c r="EF224" s="16"/>
      <c r="EG224" s="125"/>
      <c r="EQ224" s="125"/>
      <c r="ER224" s="16"/>
      <c r="ES224" s="123"/>
      <c r="ET224" s="19"/>
      <c r="EU224" s="139"/>
      <c r="EV224" s="139"/>
      <c r="EW224" s="123"/>
      <c r="EX224" s="123"/>
      <c r="EY224" s="123"/>
      <c r="EZ224" s="123"/>
      <c r="FA224" s="123"/>
      <c r="FB224" s="123"/>
      <c r="FC224" s="6"/>
      <c r="FD224" s="123"/>
      <c r="FE224" s="6"/>
      <c r="FF224" s="123"/>
      <c r="FG224" s="6"/>
      <c r="FH224" s="6"/>
      <c r="FI224" s="6"/>
      <c r="FJ224" s="6"/>
      <c r="FK224" s="123"/>
      <c r="FL224" s="6"/>
      <c r="FM224" s="6"/>
      <c r="FN224" s="6"/>
      <c r="FO224" s="138"/>
      <c r="FP224" s="138"/>
      <c r="FQ224" s="123"/>
      <c r="FR224" s="6"/>
      <c r="FS224" s="6"/>
      <c r="FT224" s="139"/>
      <c r="FU224" s="139"/>
      <c r="FV224" s="76"/>
      <c r="FW224" s="123"/>
      <c r="FX224" s="6"/>
    </row>
    <row r="225" spans="35:180">
      <c r="AI225" s="125"/>
      <c r="AJ225" s="16"/>
      <c r="AM225" s="16"/>
      <c r="AN225" s="16"/>
      <c r="AO225" s="125"/>
      <c r="AP225" s="16"/>
      <c r="AQ225" s="125"/>
      <c r="AZ225" s="125"/>
      <c r="BA225" s="142"/>
      <c r="BB225" s="125"/>
      <c r="BC225" s="16"/>
      <c r="BD225" s="125"/>
      <c r="BE225" s="125"/>
      <c r="BF225" s="16"/>
      <c r="BG225" s="125"/>
      <c r="BQ225" s="125"/>
      <c r="BR225" s="16"/>
      <c r="BS225" s="123"/>
      <c r="BT225" s="19"/>
      <c r="BU225" s="139"/>
      <c r="BV225" s="139"/>
      <c r="BW225" s="123"/>
      <c r="BX225" s="123"/>
      <c r="BY225" s="123"/>
      <c r="BZ225" s="123"/>
      <c r="CA225" s="123"/>
      <c r="CB225" s="123"/>
      <c r="CC225" s="6"/>
      <c r="CD225" s="123"/>
      <c r="CE225" s="6"/>
      <c r="CF225" s="123"/>
      <c r="CG225" s="6"/>
      <c r="CH225" s="6"/>
      <c r="CI225" s="6"/>
      <c r="CJ225" s="6"/>
      <c r="CK225" s="123"/>
      <c r="CL225" s="6"/>
      <c r="CM225" s="6"/>
      <c r="CN225" s="6"/>
      <c r="CO225" s="138"/>
      <c r="CP225" s="138"/>
      <c r="CQ225" s="123"/>
      <c r="CR225" s="6"/>
      <c r="CS225" s="6"/>
      <c r="CT225" s="139"/>
      <c r="CU225" s="139"/>
      <c r="CV225" s="76"/>
      <c r="CW225" s="123"/>
      <c r="CX225" s="6"/>
      <c r="DI225" s="125"/>
      <c r="DJ225" s="16"/>
      <c r="DM225" s="16"/>
      <c r="DN225" s="16"/>
      <c r="DO225" s="125"/>
      <c r="DP225" s="16"/>
      <c r="DQ225" s="125"/>
      <c r="DZ225" s="125"/>
      <c r="EA225" s="142"/>
      <c r="EB225" s="125"/>
      <c r="EC225" s="16"/>
      <c r="ED225" s="125"/>
      <c r="EE225" s="125"/>
      <c r="EF225" s="16"/>
      <c r="EG225" s="125"/>
      <c r="EQ225" s="125"/>
      <c r="ER225" s="16"/>
      <c r="ES225" s="123"/>
      <c r="ET225" s="19"/>
      <c r="EU225" s="139"/>
      <c r="EV225" s="139"/>
      <c r="EW225" s="123"/>
      <c r="EX225" s="123"/>
      <c r="EY225" s="123"/>
      <c r="EZ225" s="123"/>
      <c r="FA225" s="123"/>
      <c r="FB225" s="123"/>
      <c r="FC225" s="6"/>
      <c r="FD225" s="123"/>
      <c r="FE225" s="6"/>
      <c r="FF225" s="123"/>
      <c r="FG225" s="6"/>
      <c r="FH225" s="6"/>
      <c r="FI225" s="6"/>
      <c r="FJ225" s="6"/>
      <c r="FK225" s="123"/>
      <c r="FL225" s="6"/>
      <c r="FM225" s="6"/>
      <c r="FN225" s="6"/>
      <c r="FO225" s="138"/>
      <c r="FP225" s="138"/>
      <c r="FQ225" s="123"/>
      <c r="FR225" s="6"/>
      <c r="FS225" s="6"/>
      <c r="FT225" s="139"/>
      <c r="FU225" s="139"/>
      <c r="FV225" s="76"/>
      <c r="FW225" s="123"/>
      <c r="FX225" s="6"/>
    </row>
    <row r="226" spans="35:180">
      <c r="AI226" s="125"/>
      <c r="AJ226" s="16"/>
      <c r="AM226" s="16"/>
      <c r="AN226" s="16"/>
      <c r="AO226" s="125"/>
      <c r="AP226" s="16"/>
      <c r="AQ226" s="125"/>
      <c r="AZ226" s="125"/>
      <c r="BA226" s="142"/>
      <c r="BB226" s="125"/>
      <c r="BC226" s="16"/>
      <c r="BD226" s="125"/>
      <c r="BE226" s="125"/>
      <c r="BF226" s="16"/>
      <c r="BG226" s="125"/>
      <c r="BQ226" s="125"/>
      <c r="BR226" s="16"/>
      <c r="BS226" s="123"/>
      <c r="BT226" s="19"/>
      <c r="BU226" s="139"/>
      <c r="BV226" s="139"/>
      <c r="BW226" s="123"/>
      <c r="BX226" s="123"/>
      <c r="BY226" s="123"/>
      <c r="BZ226" s="123"/>
      <c r="CA226" s="123"/>
      <c r="CB226" s="123"/>
      <c r="CC226" s="6"/>
      <c r="CD226" s="123"/>
      <c r="CE226" s="6"/>
      <c r="CF226" s="123"/>
      <c r="CG226" s="6"/>
      <c r="CH226" s="6"/>
      <c r="CI226" s="6"/>
      <c r="CJ226" s="6"/>
      <c r="CK226" s="123"/>
      <c r="CL226" s="6"/>
      <c r="CM226" s="6"/>
      <c r="CN226" s="6"/>
      <c r="CO226" s="138"/>
      <c r="CP226" s="138"/>
      <c r="CQ226" s="123"/>
      <c r="CR226" s="6"/>
      <c r="CS226" s="6"/>
      <c r="CT226" s="139"/>
      <c r="CU226" s="139"/>
      <c r="CV226" s="76"/>
      <c r="CW226" s="123"/>
      <c r="CX226" s="6"/>
      <c r="DI226" s="125"/>
      <c r="DJ226" s="16"/>
      <c r="DM226" s="16"/>
      <c r="DN226" s="16"/>
      <c r="DO226" s="125"/>
      <c r="DP226" s="16"/>
      <c r="DQ226" s="125"/>
      <c r="DZ226" s="125"/>
      <c r="EA226" s="142"/>
      <c r="EB226" s="125"/>
      <c r="EC226" s="16"/>
      <c r="ED226" s="125"/>
      <c r="EE226" s="125"/>
      <c r="EF226" s="16"/>
      <c r="EG226" s="125"/>
      <c r="EQ226" s="125"/>
      <c r="ER226" s="16"/>
      <c r="ES226" s="123"/>
      <c r="ET226" s="19"/>
      <c r="EU226" s="139"/>
      <c r="EV226" s="139"/>
      <c r="EW226" s="123"/>
      <c r="EX226" s="123"/>
      <c r="EY226" s="123"/>
      <c r="EZ226" s="123"/>
      <c r="FA226" s="123"/>
      <c r="FB226" s="123"/>
      <c r="FC226" s="6"/>
      <c r="FD226" s="123"/>
      <c r="FE226" s="6"/>
      <c r="FF226" s="123"/>
      <c r="FG226" s="6"/>
      <c r="FH226" s="6"/>
      <c r="FI226" s="6"/>
      <c r="FJ226" s="6"/>
      <c r="FK226" s="123"/>
      <c r="FL226" s="6"/>
      <c r="FM226" s="6"/>
      <c r="FN226" s="6"/>
      <c r="FO226" s="138"/>
      <c r="FP226" s="138"/>
      <c r="FQ226" s="123"/>
      <c r="FR226" s="6"/>
      <c r="FS226" s="6"/>
      <c r="FT226" s="139"/>
      <c r="FU226" s="139"/>
      <c r="FV226" s="76"/>
      <c r="FW226" s="123"/>
      <c r="FX226" s="6"/>
    </row>
    <row r="227" spans="35:180">
      <c r="AI227" s="125"/>
      <c r="AJ227" s="16"/>
      <c r="AM227" s="16"/>
      <c r="AN227" s="16"/>
      <c r="AO227" s="125"/>
      <c r="AP227" s="16"/>
      <c r="AQ227" s="125"/>
      <c r="AZ227" s="125"/>
      <c r="BA227" s="142"/>
      <c r="BB227" s="125"/>
      <c r="BC227" s="16"/>
      <c r="BD227" s="125"/>
      <c r="BE227" s="125"/>
      <c r="BF227" s="16"/>
      <c r="BG227" s="125"/>
      <c r="BQ227" s="125"/>
      <c r="BR227" s="16"/>
      <c r="BS227" s="123"/>
      <c r="BT227" s="19"/>
      <c r="BU227" s="139"/>
      <c r="BV227" s="139"/>
      <c r="BW227" s="123"/>
      <c r="BX227" s="123"/>
      <c r="BY227" s="123"/>
      <c r="BZ227" s="123"/>
      <c r="CA227" s="123"/>
      <c r="CB227" s="123"/>
      <c r="CC227" s="6"/>
      <c r="CD227" s="123"/>
      <c r="CE227" s="6"/>
      <c r="CF227" s="123"/>
      <c r="CG227" s="6"/>
      <c r="CH227" s="6"/>
      <c r="CI227" s="6"/>
      <c r="CJ227" s="6"/>
      <c r="CK227" s="123"/>
      <c r="CL227" s="6"/>
      <c r="CM227" s="6"/>
      <c r="CN227" s="6"/>
      <c r="CO227" s="138"/>
      <c r="CP227" s="138"/>
      <c r="CQ227" s="123"/>
      <c r="CR227" s="6"/>
      <c r="CS227" s="6"/>
      <c r="CT227" s="139"/>
      <c r="CU227" s="139"/>
      <c r="CV227" s="76"/>
      <c r="CW227" s="123"/>
      <c r="CX227" s="6"/>
      <c r="DI227" s="125"/>
      <c r="DJ227" s="16"/>
      <c r="DM227" s="16"/>
      <c r="DN227" s="16"/>
      <c r="DO227" s="125"/>
      <c r="DP227" s="16"/>
      <c r="DQ227" s="125"/>
      <c r="DZ227" s="125"/>
      <c r="EA227" s="142"/>
      <c r="EB227" s="125"/>
      <c r="EC227" s="16"/>
      <c r="ED227" s="125"/>
      <c r="EE227" s="125"/>
      <c r="EF227" s="16"/>
      <c r="EG227" s="125"/>
      <c r="EQ227" s="125"/>
      <c r="ER227" s="16"/>
      <c r="ES227" s="123"/>
      <c r="ET227" s="19"/>
      <c r="EU227" s="139"/>
      <c r="EV227" s="139"/>
      <c r="EW227" s="123"/>
      <c r="EX227" s="123"/>
      <c r="EY227" s="123"/>
      <c r="EZ227" s="123"/>
      <c r="FA227" s="123"/>
      <c r="FB227" s="123"/>
      <c r="FC227" s="6"/>
      <c r="FD227" s="123"/>
      <c r="FE227" s="6"/>
      <c r="FF227" s="123"/>
      <c r="FG227" s="6"/>
      <c r="FH227" s="6"/>
      <c r="FI227" s="6"/>
      <c r="FJ227" s="6"/>
      <c r="FK227" s="123"/>
      <c r="FL227" s="6"/>
      <c r="FM227" s="6"/>
      <c r="FN227" s="6"/>
      <c r="FO227" s="138"/>
      <c r="FP227" s="138"/>
      <c r="FQ227" s="123"/>
      <c r="FR227" s="6"/>
      <c r="FS227" s="6"/>
      <c r="FT227" s="139"/>
      <c r="FU227" s="139"/>
      <c r="FV227" s="76"/>
      <c r="FW227" s="123"/>
      <c r="FX227" s="6"/>
    </row>
    <row r="228" spans="35:180">
      <c r="AI228" s="125"/>
      <c r="AJ228" s="16"/>
      <c r="AM228" s="16"/>
      <c r="AN228" s="16"/>
      <c r="AO228" s="125"/>
      <c r="AP228" s="16"/>
      <c r="AQ228" s="125"/>
      <c r="AZ228" s="125"/>
      <c r="BA228" s="142"/>
      <c r="BB228" s="125"/>
      <c r="BC228" s="16"/>
      <c r="BD228" s="125"/>
      <c r="BE228" s="125"/>
      <c r="BF228" s="16"/>
      <c r="BG228" s="125"/>
      <c r="BQ228" s="125"/>
      <c r="BR228" s="16"/>
      <c r="BS228" s="123"/>
      <c r="BT228" s="19"/>
      <c r="BU228" s="139"/>
      <c r="BV228" s="139"/>
      <c r="BW228" s="123"/>
      <c r="BX228" s="123"/>
      <c r="BY228" s="123"/>
      <c r="BZ228" s="123"/>
      <c r="CA228" s="123"/>
      <c r="CB228" s="123"/>
      <c r="CC228" s="6"/>
      <c r="CD228" s="123"/>
      <c r="CE228" s="6"/>
      <c r="CF228" s="123"/>
      <c r="CG228" s="6"/>
      <c r="CH228" s="6"/>
      <c r="CI228" s="6"/>
      <c r="CJ228" s="6"/>
      <c r="CK228" s="123"/>
      <c r="CL228" s="6"/>
      <c r="CM228" s="6"/>
      <c r="CN228" s="6"/>
      <c r="CO228" s="138"/>
      <c r="CP228" s="138"/>
      <c r="CQ228" s="123"/>
      <c r="CR228" s="6"/>
      <c r="CS228" s="6"/>
      <c r="CT228" s="139"/>
      <c r="CU228" s="139"/>
      <c r="CV228" s="76"/>
      <c r="CW228" s="123"/>
      <c r="CX228" s="6"/>
      <c r="DI228" s="125"/>
      <c r="DJ228" s="16"/>
      <c r="DM228" s="16"/>
      <c r="DN228" s="16"/>
      <c r="DO228" s="125"/>
      <c r="DP228" s="16"/>
      <c r="DQ228" s="125"/>
      <c r="DZ228" s="125"/>
      <c r="EA228" s="142"/>
      <c r="EB228" s="125"/>
      <c r="EC228" s="16"/>
      <c r="ED228" s="125"/>
      <c r="EE228" s="125"/>
      <c r="EF228" s="16"/>
      <c r="EG228" s="125"/>
      <c r="EQ228" s="125"/>
      <c r="ER228" s="16"/>
      <c r="ES228" s="123"/>
      <c r="ET228" s="19"/>
      <c r="EU228" s="139"/>
      <c r="EV228" s="139"/>
      <c r="EW228" s="123"/>
      <c r="EX228" s="123"/>
      <c r="EY228" s="123"/>
      <c r="EZ228" s="123"/>
      <c r="FA228" s="123"/>
      <c r="FB228" s="123"/>
      <c r="FC228" s="6"/>
      <c r="FD228" s="123"/>
      <c r="FE228" s="6"/>
      <c r="FF228" s="123"/>
      <c r="FG228" s="6"/>
      <c r="FH228" s="6"/>
      <c r="FI228" s="6"/>
      <c r="FJ228" s="6"/>
      <c r="FK228" s="123"/>
      <c r="FL228" s="6"/>
      <c r="FM228" s="6"/>
      <c r="FN228" s="6"/>
      <c r="FO228" s="138"/>
      <c r="FP228" s="138"/>
      <c r="FQ228" s="123"/>
      <c r="FR228" s="6"/>
      <c r="FS228" s="6"/>
      <c r="FT228" s="139"/>
      <c r="FU228" s="139"/>
      <c r="FV228" s="76"/>
      <c r="FW228" s="123"/>
      <c r="FX228" s="6"/>
    </row>
    <row r="229" spans="35:180">
      <c r="AI229" s="125"/>
      <c r="AJ229" s="16"/>
      <c r="AM229" s="16"/>
      <c r="AN229" s="16"/>
      <c r="AO229" s="125"/>
      <c r="AP229" s="16"/>
      <c r="AQ229" s="125"/>
      <c r="AZ229" s="125"/>
      <c r="BA229" s="142"/>
      <c r="BB229" s="125"/>
      <c r="BC229" s="16"/>
      <c r="BD229" s="125"/>
      <c r="BE229" s="125"/>
      <c r="BF229" s="16"/>
      <c r="BG229" s="125"/>
      <c r="BQ229" s="125"/>
      <c r="BR229" s="16"/>
      <c r="BS229" s="123"/>
      <c r="BT229" s="19"/>
      <c r="BU229" s="139"/>
      <c r="BV229" s="139"/>
      <c r="BW229" s="123"/>
      <c r="BX229" s="123"/>
      <c r="BY229" s="123"/>
      <c r="BZ229" s="123"/>
      <c r="CA229" s="123"/>
      <c r="CB229" s="123"/>
      <c r="CC229" s="6"/>
      <c r="CD229" s="123"/>
      <c r="CE229" s="6"/>
      <c r="CF229" s="123"/>
      <c r="CG229" s="6"/>
      <c r="CH229" s="6"/>
      <c r="CI229" s="6"/>
      <c r="CJ229" s="6"/>
      <c r="CK229" s="123"/>
      <c r="CL229" s="6"/>
      <c r="CM229" s="6"/>
      <c r="CN229" s="6"/>
      <c r="CO229" s="138"/>
      <c r="CP229" s="138"/>
      <c r="CQ229" s="123"/>
      <c r="CR229" s="6"/>
      <c r="CS229" s="6"/>
      <c r="CT229" s="139"/>
      <c r="CU229" s="139"/>
      <c r="CV229" s="76"/>
      <c r="CW229" s="123"/>
      <c r="CX229" s="6"/>
      <c r="DI229" s="125"/>
      <c r="DJ229" s="16"/>
      <c r="DM229" s="16"/>
      <c r="DN229" s="16"/>
      <c r="DO229" s="125"/>
      <c r="DP229" s="16"/>
      <c r="DQ229" s="125"/>
      <c r="DZ229" s="125"/>
      <c r="EA229" s="142"/>
      <c r="EB229" s="125"/>
      <c r="EC229" s="16"/>
      <c r="ED229" s="125"/>
      <c r="EE229" s="125"/>
      <c r="EF229" s="16"/>
      <c r="EG229" s="125"/>
      <c r="EQ229" s="125"/>
      <c r="ER229" s="16"/>
      <c r="ES229" s="123"/>
      <c r="ET229" s="19"/>
      <c r="EU229" s="139"/>
      <c r="EV229" s="139"/>
      <c r="EW229" s="123"/>
      <c r="EX229" s="123"/>
      <c r="EY229" s="123"/>
      <c r="EZ229" s="123"/>
      <c r="FA229" s="123"/>
      <c r="FB229" s="123"/>
      <c r="FC229" s="6"/>
      <c r="FD229" s="123"/>
      <c r="FE229" s="6"/>
      <c r="FF229" s="123"/>
      <c r="FG229" s="6"/>
      <c r="FH229" s="6"/>
      <c r="FI229" s="6"/>
      <c r="FJ229" s="6"/>
      <c r="FK229" s="123"/>
      <c r="FL229" s="6"/>
      <c r="FM229" s="6"/>
      <c r="FN229" s="6"/>
      <c r="FO229" s="138"/>
      <c r="FP229" s="138"/>
      <c r="FQ229" s="123"/>
      <c r="FR229" s="6"/>
      <c r="FS229" s="6"/>
      <c r="FT229" s="139"/>
      <c r="FU229" s="139"/>
      <c r="FV229" s="76"/>
      <c r="FW229" s="123"/>
      <c r="FX229" s="6"/>
    </row>
    <row r="230" spans="35:180">
      <c r="AI230" s="125"/>
      <c r="AJ230" s="16"/>
      <c r="AM230" s="16"/>
      <c r="AN230" s="16"/>
      <c r="AO230" s="125"/>
      <c r="AP230" s="16"/>
      <c r="AQ230" s="125"/>
      <c r="AZ230" s="125"/>
      <c r="BA230" s="142"/>
      <c r="BB230" s="125"/>
      <c r="BC230" s="16"/>
      <c r="BD230" s="125"/>
      <c r="BE230" s="125"/>
      <c r="BF230" s="16"/>
      <c r="BG230" s="125"/>
      <c r="BQ230" s="125"/>
      <c r="BR230" s="16"/>
      <c r="BS230" s="123"/>
      <c r="BT230" s="19"/>
      <c r="BU230" s="139"/>
      <c r="BV230" s="139"/>
      <c r="BW230" s="123"/>
      <c r="BX230" s="123"/>
      <c r="BY230" s="123"/>
      <c r="BZ230" s="123"/>
      <c r="CA230" s="123"/>
      <c r="CB230" s="123"/>
      <c r="CC230" s="6"/>
      <c r="CD230" s="123"/>
      <c r="CE230" s="6"/>
      <c r="CF230" s="123"/>
      <c r="CG230" s="6"/>
      <c r="CH230" s="6"/>
      <c r="CI230" s="6"/>
      <c r="CJ230" s="6"/>
      <c r="CK230" s="123"/>
      <c r="CL230" s="6"/>
      <c r="CM230" s="6"/>
      <c r="CN230" s="6"/>
      <c r="CO230" s="138"/>
      <c r="CP230" s="138"/>
      <c r="CQ230" s="123"/>
      <c r="CR230" s="6"/>
      <c r="CS230" s="6"/>
      <c r="CT230" s="139"/>
      <c r="CU230" s="139"/>
      <c r="CV230" s="76"/>
      <c r="CW230" s="123"/>
      <c r="CX230" s="6"/>
      <c r="DI230" s="125"/>
      <c r="DJ230" s="16"/>
      <c r="DM230" s="16"/>
      <c r="DN230" s="16"/>
      <c r="DO230" s="125"/>
      <c r="DP230" s="16"/>
      <c r="DQ230" s="125"/>
      <c r="DZ230" s="125"/>
      <c r="EA230" s="142"/>
      <c r="EB230" s="125"/>
      <c r="EC230" s="16"/>
      <c r="ED230" s="125"/>
      <c r="EE230" s="125"/>
      <c r="EF230" s="16"/>
      <c r="EG230" s="125"/>
      <c r="EQ230" s="125"/>
      <c r="ER230" s="16"/>
      <c r="ES230" s="123"/>
      <c r="ET230" s="19"/>
      <c r="EU230" s="139"/>
      <c r="EV230" s="139"/>
      <c r="EW230" s="123"/>
      <c r="EX230" s="123"/>
      <c r="EY230" s="123"/>
      <c r="EZ230" s="123"/>
      <c r="FA230" s="123"/>
      <c r="FB230" s="123"/>
      <c r="FC230" s="6"/>
      <c r="FD230" s="123"/>
      <c r="FE230" s="6"/>
      <c r="FF230" s="123"/>
      <c r="FG230" s="6"/>
      <c r="FH230" s="6"/>
      <c r="FI230" s="6"/>
      <c r="FJ230" s="6"/>
      <c r="FK230" s="123"/>
      <c r="FL230" s="6"/>
      <c r="FM230" s="6"/>
      <c r="FN230" s="6"/>
      <c r="FO230" s="138"/>
      <c r="FP230" s="138"/>
      <c r="FQ230" s="123"/>
      <c r="FR230" s="6"/>
      <c r="FS230" s="6"/>
      <c r="FT230" s="139"/>
      <c r="FU230" s="139"/>
      <c r="FV230" s="76"/>
      <c r="FW230" s="123"/>
      <c r="FX230" s="6"/>
    </row>
    <row r="231" spans="35:180">
      <c r="AI231" s="125"/>
      <c r="AJ231" s="16"/>
      <c r="AM231" s="16"/>
      <c r="AN231" s="16"/>
      <c r="AO231" s="125"/>
      <c r="AP231" s="16"/>
      <c r="AQ231" s="125"/>
      <c r="AZ231" s="125"/>
      <c r="BA231" s="142"/>
      <c r="BB231" s="125"/>
      <c r="BC231" s="16"/>
      <c r="BD231" s="125"/>
      <c r="BE231" s="125"/>
      <c r="BF231" s="16"/>
      <c r="BG231" s="125"/>
      <c r="BQ231" s="125"/>
      <c r="BR231" s="16"/>
      <c r="BS231" s="123"/>
      <c r="BT231" s="19"/>
      <c r="BU231" s="139"/>
      <c r="BV231" s="139"/>
      <c r="BW231" s="123"/>
      <c r="BX231" s="123"/>
      <c r="BY231" s="123"/>
      <c r="BZ231" s="123"/>
      <c r="CA231" s="123"/>
      <c r="CB231" s="123"/>
      <c r="CC231" s="6"/>
      <c r="CD231" s="123"/>
      <c r="CE231" s="6"/>
      <c r="CF231" s="123"/>
      <c r="CG231" s="6"/>
      <c r="CH231" s="6"/>
      <c r="CI231" s="6"/>
      <c r="CJ231" s="6"/>
      <c r="CK231" s="123"/>
      <c r="CL231" s="6"/>
      <c r="CM231" s="6"/>
      <c r="CN231" s="6"/>
      <c r="CO231" s="138"/>
      <c r="CP231" s="138"/>
      <c r="CQ231" s="123"/>
      <c r="CR231" s="6"/>
      <c r="CS231" s="6"/>
      <c r="CT231" s="139"/>
      <c r="CU231" s="139"/>
      <c r="CV231" s="76"/>
      <c r="CW231" s="123"/>
      <c r="CX231" s="6"/>
      <c r="DI231" s="125"/>
      <c r="DJ231" s="16"/>
      <c r="DM231" s="16"/>
      <c r="DN231" s="16"/>
      <c r="DO231" s="125"/>
      <c r="DP231" s="16"/>
      <c r="DQ231" s="125"/>
      <c r="DZ231" s="125"/>
      <c r="EA231" s="142"/>
      <c r="EB231" s="125"/>
      <c r="EC231" s="16"/>
      <c r="ED231" s="125"/>
      <c r="EE231" s="125"/>
      <c r="EF231" s="16"/>
      <c r="EG231" s="125"/>
      <c r="EQ231" s="125"/>
      <c r="ER231" s="16"/>
      <c r="ES231" s="123"/>
      <c r="ET231" s="19"/>
      <c r="EU231" s="139"/>
      <c r="EV231" s="139"/>
      <c r="EW231" s="123"/>
      <c r="EX231" s="123"/>
      <c r="EY231" s="123"/>
      <c r="EZ231" s="123"/>
      <c r="FA231" s="123"/>
      <c r="FB231" s="123"/>
      <c r="FC231" s="6"/>
      <c r="FD231" s="123"/>
      <c r="FE231" s="6"/>
      <c r="FF231" s="123"/>
      <c r="FG231" s="6"/>
      <c r="FH231" s="6"/>
      <c r="FI231" s="6"/>
      <c r="FJ231" s="6"/>
      <c r="FK231" s="123"/>
      <c r="FL231" s="6"/>
      <c r="FM231" s="6"/>
      <c r="FN231" s="6"/>
      <c r="FO231" s="138"/>
      <c r="FP231" s="138"/>
      <c r="FQ231" s="123"/>
      <c r="FR231" s="6"/>
      <c r="FS231" s="6"/>
      <c r="FT231" s="139"/>
      <c r="FU231" s="139"/>
      <c r="FV231" s="76"/>
      <c r="FW231" s="123"/>
      <c r="FX231" s="6"/>
    </row>
    <row r="232" spans="35:180">
      <c r="AI232" s="125"/>
      <c r="AJ232" s="16"/>
      <c r="AM232" s="16"/>
      <c r="AN232" s="16"/>
      <c r="AO232" s="125"/>
      <c r="AP232" s="16"/>
      <c r="AQ232" s="125"/>
      <c r="AZ232" s="125"/>
      <c r="BA232" s="142"/>
      <c r="BB232" s="125"/>
      <c r="BC232" s="16"/>
      <c r="BD232" s="125"/>
      <c r="BE232" s="125"/>
      <c r="BF232" s="16"/>
      <c r="BG232" s="125"/>
      <c r="BQ232" s="125"/>
      <c r="BR232" s="16"/>
      <c r="BS232" s="123"/>
      <c r="BT232" s="19"/>
      <c r="BU232" s="139"/>
      <c r="BV232" s="139"/>
      <c r="BW232" s="123"/>
      <c r="BX232" s="123"/>
      <c r="BY232" s="123"/>
      <c r="BZ232" s="123"/>
      <c r="CA232" s="123"/>
      <c r="CB232" s="123"/>
      <c r="CC232" s="6"/>
      <c r="CD232" s="123"/>
      <c r="CE232" s="6"/>
      <c r="CF232" s="123"/>
      <c r="CG232" s="6"/>
      <c r="CH232" s="6"/>
      <c r="CI232" s="6"/>
      <c r="CJ232" s="6"/>
      <c r="CK232" s="123"/>
      <c r="CL232" s="6"/>
      <c r="CM232" s="6"/>
      <c r="CN232" s="6"/>
      <c r="CO232" s="138"/>
      <c r="CP232" s="138"/>
      <c r="CQ232" s="123"/>
      <c r="CR232" s="6"/>
      <c r="CS232" s="6"/>
      <c r="CT232" s="139"/>
      <c r="CU232" s="139"/>
      <c r="CV232" s="76"/>
      <c r="CW232" s="123"/>
      <c r="CX232" s="6"/>
      <c r="DI232" s="125"/>
      <c r="DJ232" s="16"/>
      <c r="DM232" s="16"/>
      <c r="DN232" s="16"/>
      <c r="DO232" s="125"/>
      <c r="DP232" s="16"/>
      <c r="DQ232" s="125"/>
      <c r="DZ232" s="125"/>
      <c r="EA232" s="142"/>
      <c r="EB232" s="125"/>
      <c r="EC232" s="16"/>
      <c r="ED232" s="125"/>
      <c r="EE232" s="125"/>
      <c r="EF232" s="16"/>
      <c r="EG232" s="125"/>
      <c r="EQ232" s="125"/>
      <c r="ER232" s="16"/>
      <c r="ES232" s="123"/>
      <c r="ET232" s="19"/>
      <c r="EU232" s="139"/>
      <c r="EV232" s="139"/>
      <c r="EW232" s="123"/>
      <c r="EX232" s="123"/>
      <c r="EY232" s="123"/>
      <c r="EZ232" s="123"/>
      <c r="FA232" s="123"/>
      <c r="FB232" s="123"/>
      <c r="FC232" s="6"/>
      <c r="FD232" s="123"/>
      <c r="FE232" s="6"/>
      <c r="FF232" s="123"/>
      <c r="FG232" s="6"/>
      <c r="FH232" s="6"/>
      <c r="FI232" s="6"/>
      <c r="FJ232" s="6"/>
      <c r="FK232" s="123"/>
      <c r="FL232" s="6"/>
      <c r="FM232" s="6"/>
      <c r="FN232" s="6"/>
      <c r="FO232" s="138"/>
      <c r="FP232" s="138"/>
      <c r="FQ232" s="123"/>
      <c r="FR232" s="6"/>
      <c r="FS232" s="6"/>
      <c r="FT232" s="139"/>
      <c r="FU232" s="139"/>
      <c r="FV232" s="76"/>
      <c r="FW232" s="123"/>
      <c r="FX232" s="6"/>
    </row>
    <row r="233" spans="35:180">
      <c r="AI233" s="125"/>
      <c r="AJ233" s="16"/>
      <c r="AM233" s="16"/>
      <c r="AN233" s="16"/>
      <c r="AO233" s="125"/>
      <c r="AP233" s="16"/>
      <c r="AQ233" s="125"/>
      <c r="AZ233" s="125"/>
      <c r="BA233" s="142"/>
      <c r="BB233" s="125"/>
      <c r="BC233" s="16"/>
      <c r="BD233" s="125"/>
      <c r="BE233" s="125"/>
      <c r="BF233" s="16"/>
      <c r="BG233" s="125"/>
      <c r="BQ233" s="125"/>
      <c r="BR233" s="16"/>
      <c r="BS233" s="123"/>
      <c r="BT233" s="19"/>
      <c r="BU233" s="139"/>
      <c r="BV233" s="139"/>
      <c r="BW233" s="123"/>
      <c r="BX233" s="123"/>
      <c r="BY233" s="123"/>
      <c r="BZ233" s="123"/>
      <c r="CA233" s="123"/>
      <c r="CB233" s="123"/>
      <c r="CC233" s="6"/>
      <c r="CD233" s="123"/>
      <c r="CE233" s="6"/>
      <c r="CF233" s="123"/>
      <c r="CG233" s="6"/>
      <c r="CH233" s="6"/>
      <c r="CI233" s="6"/>
      <c r="CJ233" s="6"/>
      <c r="CK233" s="123"/>
      <c r="CL233" s="6"/>
      <c r="CM233" s="6"/>
      <c r="CN233" s="6"/>
      <c r="CO233" s="138"/>
      <c r="CP233" s="138"/>
      <c r="CQ233" s="123"/>
      <c r="CR233" s="6"/>
      <c r="CS233" s="6"/>
      <c r="CT233" s="139"/>
      <c r="CU233" s="139"/>
      <c r="CV233" s="76"/>
      <c r="CW233" s="123"/>
      <c r="CX233" s="6"/>
      <c r="DI233" s="125"/>
      <c r="DJ233" s="16"/>
      <c r="DM233" s="16"/>
      <c r="DN233" s="16"/>
      <c r="DO233" s="125"/>
      <c r="DP233" s="16"/>
      <c r="DQ233" s="125"/>
      <c r="DZ233" s="125"/>
      <c r="EA233" s="142"/>
      <c r="EB233" s="125"/>
      <c r="EC233" s="16"/>
      <c r="ED233" s="125"/>
      <c r="EE233" s="125"/>
      <c r="EF233" s="16"/>
      <c r="EG233" s="125"/>
      <c r="EQ233" s="125"/>
      <c r="ER233" s="16"/>
      <c r="ES233" s="123"/>
      <c r="ET233" s="19"/>
      <c r="EU233" s="139"/>
      <c r="EV233" s="139"/>
      <c r="EW233" s="123"/>
      <c r="EX233" s="123"/>
      <c r="EY233" s="123"/>
      <c r="EZ233" s="123"/>
      <c r="FA233" s="123"/>
      <c r="FB233" s="123"/>
      <c r="FC233" s="6"/>
      <c r="FD233" s="123"/>
      <c r="FE233" s="6"/>
      <c r="FF233" s="123"/>
      <c r="FG233" s="6"/>
      <c r="FH233" s="6"/>
      <c r="FI233" s="6"/>
      <c r="FJ233" s="6"/>
      <c r="FK233" s="123"/>
      <c r="FL233" s="6"/>
      <c r="FM233" s="6"/>
      <c r="FN233" s="6"/>
      <c r="FO233" s="138"/>
      <c r="FP233" s="138"/>
      <c r="FQ233" s="123"/>
      <c r="FR233" s="6"/>
      <c r="FS233" s="6"/>
      <c r="FT233" s="139"/>
      <c r="FU233" s="139"/>
      <c r="FV233" s="76"/>
      <c r="FW233" s="123"/>
      <c r="FX233" s="6"/>
    </row>
    <row r="234" spans="35:180">
      <c r="AI234" s="125"/>
      <c r="AJ234" s="16"/>
      <c r="AM234" s="16"/>
      <c r="AN234" s="16"/>
      <c r="AO234" s="125"/>
      <c r="AP234" s="16"/>
      <c r="AQ234" s="125"/>
      <c r="AZ234" s="125"/>
      <c r="BA234" s="142"/>
      <c r="BB234" s="125"/>
      <c r="BC234" s="16"/>
      <c r="BD234" s="125"/>
      <c r="BE234" s="125"/>
      <c r="BF234" s="16"/>
      <c r="BG234" s="125"/>
      <c r="BQ234" s="125"/>
      <c r="BR234" s="16"/>
      <c r="BS234" s="123"/>
      <c r="BT234" s="19"/>
      <c r="BU234" s="139"/>
      <c r="BV234" s="139"/>
      <c r="BW234" s="123"/>
      <c r="BX234" s="123"/>
      <c r="BY234" s="123"/>
      <c r="BZ234" s="123"/>
      <c r="CA234" s="123"/>
      <c r="CB234" s="123"/>
      <c r="CC234" s="6"/>
      <c r="CD234" s="123"/>
      <c r="CE234" s="6"/>
      <c r="CF234" s="123"/>
      <c r="CG234" s="6"/>
      <c r="CH234" s="6"/>
      <c r="CI234" s="6"/>
      <c r="CJ234" s="6"/>
      <c r="CK234" s="123"/>
      <c r="CL234" s="6"/>
      <c r="CM234" s="6"/>
      <c r="CN234" s="6"/>
      <c r="CO234" s="138"/>
      <c r="CP234" s="138"/>
      <c r="CQ234" s="123"/>
      <c r="CR234" s="6"/>
      <c r="CS234" s="6"/>
      <c r="CT234" s="139"/>
      <c r="CU234" s="139"/>
      <c r="CV234" s="76"/>
      <c r="CW234" s="123"/>
      <c r="CX234" s="6"/>
      <c r="DI234" s="125"/>
      <c r="DJ234" s="16"/>
      <c r="DM234" s="16"/>
      <c r="DN234" s="16"/>
      <c r="DO234" s="125"/>
      <c r="DP234" s="16"/>
      <c r="DQ234" s="125"/>
      <c r="DZ234" s="125"/>
      <c r="EA234" s="142"/>
      <c r="EB234" s="125"/>
      <c r="EC234" s="16"/>
      <c r="ED234" s="125"/>
      <c r="EE234" s="125"/>
      <c r="EF234" s="16"/>
      <c r="EG234" s="125"/>
      <c r="EQ234" s="125"/>
      <c r="ER234" s="16"/>
      <c r="ES234" s="123"/>
      <c r="ET234" s="19"/>
      <c r="EU234" s="139"/>
      <c r="EV234" s="139"/>
      <c r="EW234" s="123"/>
      <c r="EX234" s="123"/>
      <c r="EY234" s="123"/>
      <c r="EZ234" s="123"/>
      <c r="FA234" s="123"/>
      <c r="FB234" s="123"/>
      <c r="FC234" s="6"/>
      <c r="FD234" s="123"/>
      <c r="FE234" s="6"/>
      <c r="FF234" s="123"/>
      <c r="FG234" s="6"/>
      <c r="FH234" s="6"/>
      <c r="FI234" s="6"/>
      <c r="FJ234" s="6"/>
      <c r="FK234" s="123"/>
      <c r="FL234" s="6"/>
      <c r="FM234" s="6"/>
      <c r="FN234" s="6"/>
      <c r="FO234" s="138"/>
      <c r="FP234" s="138"/>
      <c r="FQ234" s="123"/>
      <c r="FR234" s="6"/>
      <c r="FS234" s="6"/>
      <c r="FT234" s="139"/>
      <c r="FU234" s="139"/>
      <c r="FV234" s="76"/>
      <c r="FW234" s="123"/>
      <c r="FX234" s="6"/>
    </row>
    <row r="235" spans="35:180">
      <c r="AI235" s="125"/>
      <c r="AJ235" s="16"/>
      <c r="AM235" s="16"/>
      <c r="AN235" s="16"/>
      <c r="AO235" s="125"/>
      <c r="AP235" s="16"/>
      <c r="AQ235" s="125"/>
      <c r="AZ235" s="125"/>
      <c r="BA235" s="142"/>
      <c r="BB235" s="125"/>
      <c r="BC235" s="16"/>
      <c r="BD235" s="125"/>
      <c r="BE235" s="125"/>
      <c r="BF235" s="16"/>
      <c r="BG235" s="125"/>
      <c r="BQ235" s="125"/>
      <c r="BR235" s="16"/>
      <c r="BS235" s="123"/>
      <c r="BT235" s="19"/>
      <c r="BU235" s="139"/>
      <c r="BV235" s="139"/>
      <c r="BW235" s="123"/>
      <c r="BX235" s="123"/>
      <c r="BY235" s="123"/>
      <c r="BZ235" s="123"/>
      <c r="CA235" s="123"/>
      <c r="CB235" s="123"/>
      <c r="CC235" s="6"/>
      <c r="CD235" s="123"/>
      <c r="CE235" s="6"/>
      <c r="CF235" s="123"/>
      <c r="CG235" s="6"/>
      <c r="CH235" s="6"/>
      <c r="CI235" s="6"/>
      <c r="CJ235" s="6"/>
      <c r="CK235" s="123"/>
      <c r="CL235" s="6"/>
      <c r="CM235" s="6"/>
      <c r="CN235" s="6"/>
      <c r="CO235" s="138"/>
      <c r="CP235" s="138"/>
      <c r="CQ235" s="123"/>
      <c r="CR235" s="6"/>
      <c r="CS235" s="6"/>
      <c r="CT235" s="139"/>
      <c r="CU235" s="139"/>
      <c r="CV235" s="76"/>
      <c r="CW235" s="123"/>
      <c r="CX235" s="6"/>
      <c r="DI235" s="125"/>
      <c r="DJ235" s="16"/>
      <c r="DM235" s="16"/>
      <c r="DN235" s="16"/>
      <c r="DO235" s="125"/>
      <c r="DP235" s="16"/>
      <c r="DQ235" s="125"/>
      <c r="DZ235" s="125"/>
      <c r="EA235" s="142"/>
      <c r="EB235" s="125"/>
      <c r="EC235" s="16"/>
      <c r="ED235" s="125"/>
      <c r="EE235" s="125"/>
      <c r="EF235" s="16"/>
      <c r="EG235" s="125"/>
      <c r="EQ235" s="125"/>
      <c r="ER235" s="16"/>
      <c r="ES235" s="123"/>
      <c r="ET235" s="19"/>
      <c r="EU235" s="139"/>
      <c r="EV235" s="139"/>
      <c r="EW235" s="123"/>
      <c r="EX235" s="123"/>
      <c r="EY235" s="123"/>
      <c r="EZ235" s="123"/>
      <c r="FA235" s="123"/>
      <c r="FB235" s="123"/>
      <c r="FC235" s="6"/>
      <c r="FD235" s="123"/>
      <c r="FE235" s="6"/>
      <c r="FF235" s="123"/>
      <c r="FG235" s="6"/>
      <c r="FH235" s="6"/>
      <c r="FI235" s="6"/>
      <c r="FJ235" s="6"/>
      <c r="FK235" s="123"/>
      <c r="FL235" s="6"/>
      <c r="FM235" s="6"/>
      <c r="FN235" s="6"/>
      <c r="FO235" s="138"/>
      <c r="FP235" s="138"/>
      <c r="FQ235" s="123"/>
      <c r="FR235" s="6"/>
      <c r="FS235" s="6"/>
      <c r="FT235" s="139"/>
      <c r="FU235" s="139"/>
      <c r="FV235" s="76"/>
      <c r="FW235" s="123"/>
      <c r="FX235" s="6"/>
    </row>
    <row r="236" spans="35:180">
      <c r="AI236" s="125"/>
      <c r="AJ236" s="16"/>
      <c r="AM236" s="16"/>
      <c r="AN236" s="16"/>
      <c r="AO236" s="125"/>
      <c r="AP236" s="16"/>
      <c r="AQ236" s="125"/>
      <c r="AZ236" s="125"/>
      <c r="BA236" s="142"/>
      <c r="BB236" s="125"/>
      <c r="BC236" s="16"/>
      <c r="BD236" s="125"/>
      <c r="BE236" s="125"/>
      <c r="BF236" s="16"/>
      <c r="BG236" s="125"/>
      <c r="BQ236" s="125"/>
      <c r="BR236" s="16"/>
      <c r="BS236" s="123"/>
      <c r="BT236" s="19"/>
      <c r="BU236" s="139"/>
      <c r="BV236" s="139"/>
      <c r="BW236" s="123"/>
      <c r="BX236" s="123"/>
      <c r="BY236" s="123"/>
      <c r="BZ236" s="123"/>
      <c r="CA236" s="123"/>
      <c r="CB236" s="123"/>
      <c r="CC236" s="6"/>
      <c r="CD236" s="123"/>
      <c r="CE236" s="6"/>
      <c r="CF236" s="123"/>
      <c r="CG236" s="6"/>
      <c r="CH236" s="6"/>
      <c r="CI236" s="6"/>
      <c r="CJ236" s="6"/>
      <c r="CK236" s="123"/>
      <c r="CL236" s="6"/>
      <c r="CM236" s="6"/>
      <c r="CN236" s="6"/>
      <c r="CO236" s="138"/>
      <c r="CP236" s="138"/>
      <c r="CQ236" s="123"/>
      <c r="CR236" s="6"/>
      <c r="CS236" s="6"/>
      <c r="CT236" s="139"/>
      <c r="CU236" s="139"/>
      <c r="CV236" s="76"/>
      <c r="CW236" s="123"/>
      <c r="CX236" s="6"/>
      <c r="DI236" s="125"/>
      <c r="DJ236" s="16"/>
      <c r="DM236" s="16"/>
      <c r="DN236" s="16"/>
      <c r="DO236" s="125"/>
      <c r="DP236" s="16"/>
      <c r="DQ236" s="125"/>
      <c r="DZ236" s="125"/>
      <c r="EA236" s="142"/>
      <c r="EB236" s="125"/>
      <c r="EC236" s="16"/>
      <c r="ED236" s="125"/>
      <c r="EE236" s="125"/>
      <c r="EF236" s="16"/>
      <c r="EG236" s="125"/>
      <c r="EQ236" s="125"/>
      <c r="ER236" s="16"/>
      <c r="ES236" s="123"/>
      <c r="ET236" s="19"/>
      <c r="EU236" s="139"/>
      <c r="EV236" s="139"/>
      <c r="EW236" s="123"/>
      <c r="EX236" s="123"/>
      <c r="EY236" s="123"/>
      <c r="EZ236" s="123"/>
      <c r="FA236" s="123"/>
      <c r="FB236" s="123"/>
      <c r="FC236" s="6"/>
      <c r="FD236" s="123"/>
      <c r="FE236" s="6"/>
      <c r="FF236" s="123"/>
      <c r="FG236" s="6"/>
      <c r="FH236" s="6"/>
      <c r="FI236" s="6"/>
      <c r="FJ236" s="6"/>
      <c r="FK236" s="123"/>
      <c r="FL236" s="6"/>
      <c r="FM236" s="6"/>
      <c r="FN236" s="6"/>
      <c r="FO236" s="138"/>
      <c r="FP236" s="138"/>
      <c r="FQ236" s="123"/>
      <c r="FR236" s="6"/>
      <c r="FS236" s="6"/>
      <c r="FT236" s="139"/>
      <c r="FU236" s="139"/>
      <c r="FV236" s="76"/>
      <c r="FW236" s="123"/>
      <c r="FX236" s="6"/>
    </row>
    <row r="237" spans="35:180">
      <c r="AI237" s="125"/>
      <c r="AJ237" s="16"/>
      <c r="AM237" s="16"/>
      <c r="AN237" s="16"/>
      <c r="AO237" s="125"/>
      <c r="AP237" s="16"/>
      <c r="AQ237" s="125"/>
      <c r="AZ237" s="125"/>
      <c r="BA237" s="142"/>
      <c r="BB237" s="125"/>
      <c r="BC237" s="16"/>
      <c r="BD237" s="125"/>
      <c r="BE237" s="125"/>
      <c r="BF237" s="16"/>
      <c r="BG237" s="125"/>
      <c r="BQ237" s="125"/>
      <c r="BR237" s="16"/>
      <c r="BS237" s="123"/>
      <c r="BT237" s="19"/>
      <c r="BU237" s="139"/>
      <c r="BV237" s="139"/>
      <c r="BW237" s="123"/>
      <c r="BX237" s="123"/>
      <c r="BY237" s="123"/>
      <c r="BZ237" s="123"/>
      <c r="CA237" s="123"/>
      <c r="CB237" s="123"/>
      <c r="CC237" s="6"/>
      <c r="CD237" s="123"/>
      <c r="CE237" s="6"/>
      <c r="CF237" s="123"/>
      <c r="CG237" s="6"/>
      <c r="CH237" s="6"/>
      <c r="CI237" s="6"/>
      <c r="CJ237" s="6"/>
      <c r="CK237" s="123"/>
      <c r="CL237" s="6"/>
      <c r="CM237" s="6"/>
      <c r="CN237" s="6"/>
      <c r="CO237" s="138"/>
      <c r="CP237" s="138"/>
      <c r="CQ237" s="123"/>
      <c r="CR237" s="6"/>
      <c r="CS237" s="6"/>
      <c r="CT237" s="139"/>
      <c r="CU237" s="139"/>
      <c r="CV237" s="76"/>
      <c r="CW237" s="123"/>
      <c r="CX237" s="6"/>
      <c r="DI237" s="125"/>
      <c r="DJ237" s="16"/>
      <c r="DM237" s="16"/>
      <c r="DN237" s="16"/>
      <c r="DO237" s="125"/>
      <c r="DP237" s="16"/>
      <c r="DQ237" s="125"/>
      <c r="DZ237" s="125"/>
      <c r="EA237" s="142"/>
      <c r="EB237" s="125"/>
      <c r="EC237" s="16"/>
      <c r="ED237" s="125"/>
      <c r="EE237" s="125"/>
      <c r="EF237" s="16"/>
      <c r="EG237" s="125"/>
      <c r="EQ237" s="125"/>
      <c r="ER237" s="16"/>
      <c r="ES237" s="123"/>
      <c r="ET237" s="19"/>
      <c r="EU237" s="139"/>
      <c r="EV237" s="139"/>
      <c r="EW237" s="123"/>
      <c r="EX237" s="123"/>
      <c r="EY237" s="123"/>
      <c r="EZ237" s="123"/>
      <c r="FA237" s="123"/>
      <c r="FB237" s="123"/>
      <c r="FC237" s="6"/>
      <c r="FD237" s="123"/>
      <c r="FE237" s="6"/>
      <c r="FF237" s="123"/>
      <c r="FG237" s="6"/>
      <c r="FH237" s="6"/>
      <c r="FI237" s="6"/>
      <c r="FJ237" s="6"/>
      <c r="FK237" s="123"/>
      <c r="FL237" s="6"/>
      <c r="FM237" s="6"/>
      <c r="FN237" s="6"/>
      <c r="FO237" s="138"/>
      <c r="FP237" s="138"/>
      <c r="FQ237" s="123"/>
      <c r="FR237" s="6"/>
      <c r="FS237" s="6"/>
      <c r="FT237" s="139"/>
      <c r="FU237" s="139"/>
      <c r="FV237" s="76"/>
      <c r="FW237" s="123"/>
      <c r="FX237" s="6"/>
    </row>
    <row r="238" spans="35:180">
      <c r="AI238" s="125"/>
      <c r="AJ238" s="16"/>
      <c r="AM238" s="16"/>
      <c r="AN238" s="16"/>
      <c r="AO238" s="125"/>
      <c r="AP238" s="16"/>
      <c r="AQ238" s="125"/>
      <c r="AZ238" s="125"/>
      <c r="BA238" s="142"/>
      <c r="BB238" s="125"/>
      <c r="BC238" s="16"/>
      <c r="BD238" s="125"/>
      <c r="BE238" s="125"/>
      <c r="BF238" s="16"/>
      <c r="BG238" s="125"/>
      <c r="BQ238" s="125"/>
      <c r="BR238" s="16"/>
      <c r="BS238" s="123"/>
      <c r="BT238" s="19"/>
      <c r="BU238" s="139"/>
      <c r="BV238" s="139"/>
      <c r="BW238" s="123"/>
      <c r="BX238" s="123"/>
      <c r="BY238" s="123"/>
      <c r="BZ238" s="123"/>
      <c r="CA238" s="123"/>
      <c r="CB238" s="123"/>
      <c r="CC238" s="6"/>
      <c r="CD238" s="123"/>
      <c r="CE238" s="6"/>
      <c r="CF238" s="123"/>
      <c r="CG238" s="6"/>
      <c r="CH238" s="6"/>
      <c r="CI238" s="6"/>
      <c r="CJ238" s="6"/>
      <c r="CK238" s="123"/>
      <c r="CL238" s="6"/>
      <c r="CM238" s="6"/>
      <c r="CN238" s="6"/>
      <c r="CO238" s="138"/>
      <c r="CP238" s="138"/>
      <c r="CQ238" s="123"/>
      <c r="CR238" s="6"/>
      <c r="CS238" s="6"/>
      <c r="CT238" s="139"/>
      <c r="CU238" s="139"/>
      <c r="CV238" s="76"/>
      <c r="CW238" s="123"/>
      <c r="CX238" s="6"/>
      <c r="DI238" s="125"/>
      <c r="DJ238" s="16"/>
      <c r="DM238" s="16"/>
      <c r="DN238" s="16"/>
      <c r="DO238" s="125"/>
      <c r="DP238" s="16"/>
      <c r="DQ238" s="125"/>
      <c r="DZ238" s="125"/>
      <c r="EA238" s="142"/>
      <c r="EB238" s="125"/>
      <c r="EC238" s="16"/>
      <c r="ED238" s="125"/>
      <c r="EE238" s="125"/>
      <c r="EF238" s="16"/>
      <c r="EG238" s="125"/>
      <c r="EQ238" s="125"/>
      <c r="ER238" s="16"/>
      <c r="ES238" s="123"/>
      <c r="ET238" s="19"/>
      <c r="EU238" s="139"/>
      <c r="EV238" s="139"/>
      <c r="EW238" s="123"/>
      <c r="EX238" s="123"/>
      <c r="EY238" s="123"/>
      <c r="EZ238" s="123"/>
      <c r="FA238" s="123"/>
      <c r="FB238" s="123"/>
      <c r="FC238" s="6"/>
      <c r="FD238" s="123"/>
      <c r="FE238" s="6"/>
      <c r="FF238" s="123"/>
      <c r="FG238" s="6"/>
      <c r="FH238" s="6"/>
      <c r="FI238" s="6"/>
      <c r="FJ238" s="6"/>
      <c r="FK238" s="123"/>
      <c r="FL238" s="6"/>
      <c r="FM238" s="6"/>
      <c r="FN238" s="6"/>
      <c r="FO238" s="138"/>
      <c r="FP238" s="138"/>
      <c r="FQ238" s="123"/>
      <c r="FR238" s="6"/>
      <c r="FS238" s="6"/>
      <c r="FT238" s="139"/>
      <c r="FU238" s="139"/>
      <c r="FV238" s="76"/>
      <c r="FW238" s="123"/>
      <c r="FX238" s="6"/>
    </row>
    <row r="239" spans="35:180">
      <c r="AI239" s="125"/>
      <c r="AJ239" s="16"/>
      <c r="AM239" s="16"/>
      <c r="AN239" s="16"/>
      <c r="AO239" s="125"/>
      <c r="AP239" s="16"/>
      <c r="AQ239" s="125"/>
      <c r="AZ239" s="125"/>
      <c r="BA239" s="142"/>
      <c r="BB239" s="125"/>
      <c r="BC239" s="16"/>
      <c r="BD239" s="125"/>
      <c r="BE239" s="125"/>
      <c r="BF239" s="16"/>
      <c r="BG239" s="125"/>
      <c r="BQ239" s="125"/>
      <c r="BR239" s="16"/>
      <c r="BS239" s="123"/>
      <c r="BT239" s="19"/>
      <c r="BU239" s="139"/>
      <c r="BV239" s="139"/>
      <c r="BW239" s="123"/>
      <c r="BX239" s="123"/>
      <c r="BY239" s="123"/>
      <c r="BZ239" s="123"/>
      <c r="CA239" s="123"/>
      <c r="CB239" s="123"/>
      <c r="CC239" s="6"/>
      <c r="CD239" s="123"/>
      <c r="CE239" s="6"/>
      <c r="CF239" s="123"/>
      <c r="CG239" s="6"/>
      <c r="CH239" s="6"/>
      <c r="CI239" s="6"/>
      <c r="CJ239" s="6"/>
      <c r="CK239" s="123"/>
      <c r="CL239" s="6"/>
      <c r="CM239" s="6"/>
      <c r="CN239" s="6"/>
      <c r="CO239" s="138"/>
      <c r="CP239" s="138"/>
      <c r="CQ239" s="123"/>
      <c r="CR239" s="6"/>
      <c r="CS239" s="6"/>
      <c r="CT239" s="139"/>
      <c r="CU239" s="139"/>
      <c r="CV239" s="76"/>
      <c r="CW239" s="123"/>
      <c r="CX239" s="6"/>
      <c r="DI239" s="125"/>
      <c r="DJ239" s="16"/>
      <c r="DM239" s="16"/>
      <c r="DN239" s="16"/>
      <c r="DO239" s="125"/>
      <c r="DP239" s="16"/>
      <c r="DQ239" s="125"/>
      <c r="DZ239" s="125"/>
      <c r="EA239" s="142"/>
      <c r="EB239" s="125"/>
      <c r="EC239" s="16"/>
      <c r="ED239" s="125"/>
      <c r="EE239" s="125"/>
      <c r="EF239" s="16"/>
      <c r="EG239" s="125"/>
      <c r="EQ239" s="125"/>
      <c r="ER239" s="16"/>
      <c r="ES239" s="123"/>
      <c r="ET239" s="19"/>
      <c r="EU239" s="139"/>
      <c r="EV239" s="139"/>
      <c r="EW239" s="123"/>
      <c r="EX239" s="123"/>
      <c r="EY239" s="123"/>
      <c r="EZ239" s="123"/>
      <c r="FA239" s="123"/>
      <c r="FB239" s="123"/>
      <c r="FC239" s="6"/>
      <c r="FD239" s="123"/>
      <c r="FE239" s="6"/>
      <c r="FF239" s="123"/>
      <c r="FG239" s="6"/>
      <c r="FH239" s="6"/>
      <c r="FI239" s="6"/>
      <c r="FJ239" s="6"/>
      <c r="FK239" s="123"/>
      <c r="FL239" s="6"/>
      <c r="FM239" s="6"/>
      <c r="FN239" s="6"/>
      <c r="FO239" s="138"/>
      <c r="FP239" s="138"/>
      <c r="FQ239" s="123"/>
      <c r="FR239" s="6"/>
      <c r="FS239" s="6"/>
      <c r="FT239" s="139"/>
      <c r="FU239" s="139"/>
      <c r="FV239" s="76"/>
      <c r="FW239" s="123"/>
      <c r="FX239" s="6"/>
    </row>
    <row r="240" spans="35:180">
      <c r="AI240" s="125"/>
      <c r="AJ240" s="16"/>
      <c r="AM240" s="16"/>
      <c r="AN240" s="16"/>
      <c r="AO240" s="125"/>
      <c r="AP240" s="16"/>
      <c r="AQ240" s="125"/>
      <c r="AZ240" s="125"/>
      <c r="BA240" s="142"/>
      <c r="BB240" s="125"/>
      <c r="BC240" s="16"/>
      <c r="BD240" s="125"/>
      <c r="BE240" s="125"/>
      <c r="BF240" s="16"/>
      <c r="BG240" s="125"/>
      <c r="BQ240" s="125"/>
      <c r="BR240" s="16"/>
      <c r="BS240" s="123"/>
      <c r="BT240" s="19"/>
      <c r="BU240" s="139"/>
      <c r="BV240" s="139"/>
      <c r="BW240" s="123"/>
      <c r="BX240" s="123"/>
      <c r="BY240" s="123"/>
      <c r="BZ240" s="123"/>
      <c r="CA240" s="123"/>
      <c r="CB240" s="123"/>
      <c r="CC240" s="6"/>
      <c r="CD240" s="123"/>
      <c r="CE240" s="6"/>
      <c r="CF240" s="123"/>
      <c r="CG240" s="6"/>
      <c r="CH240" s="6"/>
      <c r="CI240" s="6"/>
      <c r="CJ240" s="6"/>
      <c r="CK240" s="123"/>
      <c r="CL240" s="6"/>
      <c r="CM240" s="6"/>
      <c r="CN240" s="6"/>
      <c r="CO240" s="138"/>
      <c r="CP240" s="138"/>
      <c r="CQ240" s="123"/>
      <c r="CR240" s="6"/>
      <c r="CS240" s="6"/>
      <c r="CT240" s="139"/>
      <c r="CU240" s="139"/>
      <c r="CV240" s="76"/>
      <c r="CW240" s="123"/>
      <c r="CX240" s="6"/>
      <c r="DI240" s="125"/>
      <c r="DJ240" s="16"/>
      <c r="DM240" s="16"/>
      <c r="DN240" s="16"/>
      <c r="DO240" s="125"/>
      <c r="DP240" s="16"/>
      <c r="DQ240" s="125"/>
      <c r="DZ240" s="125"/>
      <c r="EA240" s="142"/>
      <c r="EB240" s="125"/>
      <c r="EC240" s="16"/>
      <c r="ED240" s="125"/>
      <c r="EE240" s="125"/>
      <c r="EF240" s="16"/>
      <c r="EG240" s="125"/>
      <c r="EQ240" s="125"/>
      <c r="ER240" s="16"/>
      <c r="ES240" s="123"/>
      <c r="ET240" s="19"/>
      <c r="EU240" s="139"/>
      <c r="EV240" s="139"/>
      <c r="EW240" s="123"/>
      <c r="EX240" s="123"/>
      <c r="EY240" s="123"/>
      <c r="EZ240" s="123"/>
      <c r="FA240" s="123"/>
      <c r="FB240" s="123"/>
      <c r="FC240" s="6"/>
      <c r="FD240" s="123"/>
      <c r="FE240" s="6"/>
      <c r="FF240" s="123"/>
      <c r="FG240" s="6"/>
      <c r="FH240" s="6"/>
      <c r="FI240" s="6"/>
      <c r="FJ240" s="6"/>
      <c r="FK240" s="123"/>
      <c r="FL240" s="6"/>
      <c r="FM240" s="6"/>
      <c r="FN240" s="6"/>
      <c r="FO240" s="138"/>
      <c r="FP240" s="138"/>
      <c r="FQ240" s="123"/>
      <c r="FR240" s="6"/>
      <c r="FS240" s="6"/>
      <c r="FT240" s="139"/>
      <c r="FU240" s="139"/>
      <c r="FV240" s="76"/>
      <c r="FW240" s="123"/>
      <c r="FX240" s="6"/>
    </row>
    <row r="241" spans="35:180">
      <c r="AI241" s="125"/>
      <c r="AJ241" s="16"/>
      <c r="AM241" s="16"/>
      <c r="AN241" s="16"/>
      <c r="AO241" s="125"/>
      <c r="AP241" s="16"/>
      <c r="AQ241" s="125"/>
      <c r="AZ241" s="125"/>
      <c r="BA241" s="142"/>
      <c r="BB241" s="125"/>
      <c r="BC241" s="16"/>
      <c r="BD241" s="125"/>
      <c r="BE241" s="125"/>
      <c r="BF241" s="16"/>
      <c r="BG241" s="125"/>
      <c r="BQ241" s="125"/>
      <c r="BR241" s="16"/>
      <c r="BS241" s="123"/>
      <c r="BT241" s="19"/>
      <c r="BU241" s="139"/>
      <c r="BV241" s="139"/>
      <c r="BW241" s="123"/>
      <c r="BX241" s="123"/>
      <c r="BY241" s="123"/>
      <c r="BZ241" s="123"/>
      <c r="CA241" s="123"/>
      <c r="CB241" s="123"/>
      <c r="CC241" s="6"/>
      <c r="CD241" s="123"/>
      <c r="CE241" s="6"/>
      <c r="CF241" s="123"/>
      <c r="CG241" s="6"/>
      <c r="CH241" s="6"/>
      <c r="CI241" s="6"/>
      <c r="CJ241" s="6"/>
      <c r="CK241" s="123"/>
      <c r="CL241" s="6"/>
      <c r="CM241" s="6"/>
      <c r="CN241" s="6"/>
      <c r="CO241" s="138"/>
      <c r="CP241" s="138"/>
      <c r="CQ241" s="123"/>
      <c r="CR241" s="6"/>
      <c r="CS241" s="6"/>
      <c r="CT241" s="139"/>
      <c r="CU241" s="139"/>
      <c r="CV241" s="76"/>
      <c r="CW241" s="123"/>
      <c r="CX241" s="6"/>
      <c r="DI241" s="125"/>
      <c r="DJ241" s="16"/>
      <c r="DM241" s="16"/>
      <c r="DN241" s="16"/>
      <c r="DO241" s="125"/>
      <c r="DP241" s="16"/>
      <c r="DQ241" s="125"/>
      <c r="DZ241" s="125"/>
      <c r="EA241" s="142"/>
      <c r="EB241" s="125"/>
      <c r="EC241" s="16"/>
      <c r="ED241" s="125"/>
      <c r="EE241" s="125"/>
      <c r="EF241" s="16"/>
      <c r="EG241" s="125"/>
      <c r="EQ241" s="125"/>
      <c r="ER241" s="16"/>
      <c r="ES241" s="123"/>
      <c r="ET241" s="19"/>
      <c r="EU241" s="139"/>
      <c r="EV241" s="139"/>
      <c r="EW241" s="123"/>
      <c r="EX241" s="123"/>
      <c r="EY241" s="123"/>
      <c r="EZ241" s="123"/>
      <c r="FA241" s="123"/>
      <c r="FB241" s="123"/>
      <c r="FC241" s="6"/>
      <c r="FD241" s="123"/>
      <c r="FE241" s="6"/>
      <c r="FF241" s="123"/>
      <c r="FG241" s="6"/>
      <c r="FH241" s="6"/>
      <c r="FI241" s="6"/>
      <c r="FJ241" s="6"/>
      <c r="FK241" s="123"/>
      <c r="FL241" s="6"/>
      <c r="FM241" s="6"/>
      <c r="FN241" s="6"/>
      <c r="FO241" s="138"/>
      <c r="FP241" s="138"/>
      <c r="FQ241" s="123"/>
      <c r="FR241" s="6"/>
      <c r="FS241" s="6"/>
      <c r="FT241" s="139"/>
      <c r="FU241" s="139"/>
      <c r="FV241" s="76"/>
      <c r="FW241" s="123"/>
      <c r="FX241" s="6"/>
    </row>
    <row r="242" spans="35:180">
      <c r="AI242" s="125"/>
      <c r="AJ242" s="16"/>
      <c r="AM242" s="16"/>
      <c r="AN242" s="16"/>
      <c r="AO242" s="125"/>
      <c r="AP242" s="16"/>
      <c r="AQ242" s="125"/>
      <c r="AZ242" s="125"/>
      <c r="BA242" s="142"/>
      <c r="BB242" s="125"/>
      <c r="BC242" s="16"/>
      <c r="BD242" s="125"/>
      <c r="BE242" s="125"/>
      <c r="BF242" s="16"/>
      <c r="BG242" s="125"/>
      <c r="BQ242" s="125"/>
      <c r="BR242" s="16"/>
      <c r="BS242" s="123"/>
      <c r="BT242" s="19"/>
      <c r="BU242" s="139"/>
      <c r="BV242" s="139"/>
      <c r="BW242" s="123"/>
      <c r="BX242" s="123"/>
      <c r="BY242" s="123"/>
      <c r="BZ242" s="123"/>
      <c r="CA242" s="123"/>
      <c r="CB242" s="123"/>
      <c r="CC242" s="6"/>
      <c r="CD242" s="123"/>
      <c r="CE242" s="6"/>
      <c r="CF242" s="123"/>
      <c r="CG242" s="6"/>
      <c r="CH242" s="6"/>
      <c r="CI242" s="6"/>
      <c r="CJ242" s="6"/>
      <c r="CK242" s="123"/>
      <c r="CL242" s="6"/>
      <c r="CM242" s="6"/>
      <c r="CN242" s="6"/>
      <c r="CO242" s="138"/>
      <c r="CP242" s="138"/>
      <c r="CQ242" s="123"/>
      <c r="CR242" s="6"/>
      <c r="CS242" s="6"/>
      <c r="CT242" s="139"/>
      <c r="CU242" s="139"/>
      <c r="CV242" s="76"/>
      <c r="CW242" s="123"/>
      <c r="CX242" s="6"/>
      <c r="DI242" s="125"/>
      <c r="DJ242" s="16"/>
      <c r="DM242" s="16"/>
      <c r="DN242" s="16"/>
      <c r="DO242" s="125"/>
      <c r="DP242" s="16"/>
      <c r="DQ242" s="125"/>
      <c r="DZ242" s="125"/>
      <c r="EA242" s="142"/>
      <c r="EB242" s="125"/>
      <c r="EC242" s="16"/>
      <c r="ED242" s="125"/>
      <c r="EE242" s="125"/>
      <c r="EF242" s="16"/>
      <c r="EG242" s="125"/>
      <c r="EQ242" s="125"/>
      <c r="ER242" s="16"/>
      <c r="ES242" s="123"/>
      <c r="ET242" s="19"/>
      <c r="EU242" s="139"/>
      <c r="EV242" s="139"/>
      <c r="EW242" s="123"/>
      <c r="EX242" s="123"/>
      <c r="EY242" s="123"/>
      <c r="EZ242" s="123"/>
      <c r="FA242" s="123"/>
      <c r="FB242" s="123"/>
      <c r="FC242" s="6"/>
      <c r="FD242" s="123"/>
      <c r="FE242" s="6"/>
      <c r="FF242" s="123"/>
      <c r="FG242" s="6"/>
      <c r="FH242" s="6"/>
      <c r="FI242" s="6"/>
      <c r="FJ242" s="6"/>
      <c r="FK242" s="123"/>
      <c r="FL242" s="6"/>
      <c r="FM242" s="6"/>
      <c r="FN242" s="6"/>
      <c r="FO242" s="138"/>
      <c r="FP242" s="138"/>
      <c r="FQ242" s="123"/>
      <c r="FR242" s="6"/>
      <c r="FS242" s="6"/>
      <c r="FT242" s="139"/>
      <c r="FU242" s="139"/>
      <c r="FV242" s="76"/>
      <c r="FW242" s="123"/>
      <c r="FX242" s="6"/>
    </row>
    <row r="243" spans="35:180">
      <c r="AI243" s="125"/>
      <c r="AJ243" s="16"/>
      <c r="AM243" s="16"/>
      <c r="AN243" s="16"/>
      <c r="AO243" s="125"/>
      <c r="AP243" s="16"/>
      <c r="AQ243" s="125"/>
      <c r="AZ243" s="125"/>
      <c r="BA243" s="142"/>
      <c r="BB243" s="125"/>
      <c r="BC243" s="16"/>
      <c r="BD243" s="125"/>
      <c r="BE243" s="125"/>
      <c r="BF243" s="16"/>
      <c r="BG243" s="125"/>
      <c r="BQ243" s="125"/>
      <c r="BR243" s="16"/>
      <c r="BS243" s="123"/>
      <c r="BT243" s="19"/>
      <c r="BU243" s="139"/>
      <c r="BV243" s="139"/>
      <c r="BW243" s="123"/>
      <c r="BX243" s="123"/>
      <c r="BY243" s="123"/>
      <c r="BZ243" s="123"/>
      <c r="CA243" s="123"/>
      <c r="CB243" s="123"/>
      <c r="CC243" s="6"/>
      <c r="CD243" s="123"/>
      <c r="CE243" s="6"/>
      <c r="CF243" s="123"/>
      <c r="CG243" s="6"/>
      <c r="CH243" s="6"/>
      <c r="CI243" s="6"/>
      <c r="CJ243" s="6"/>
      <c r="CK243" s="123"/>
      <c r="CL243" s="6"/>
      <c r="CM243" s="6"/>
      <c r="CN243" s="6"/>
      <c r="CO243" s="138"/>
      <c r="CP243" s="138"/>
      <c r="CQ243" s="123"/>
      <c r="CR243" s="6"/>
      <c r="CS243" s="6"/>
      <c r="CT243" s="139"/>
      <c r="CU243" s="139"/>
      <c r="CV243" s="76"/>
      <c r="CW243" s="123"/>
      <c r="CX243" s="6"/>
      <c r="DI243" s="125"/>
      <c r="DJ243" s="16"/>
      <c r="DM243" s="16"/>
      <c r="DN243" s="16"/>
      <c r="DO243" s="125"/>
      <c r="DP243" s="16"/>
      <c r="DQ243" s="125"/>
      <c r="DZ243" s="125"/>
      <c r="EA243" s="142"/>
      <c r="EB243" s="125"/>
      <c r="EC243" s="16"/>
      <c r="ED243" s="125"/>
      <c r="EE243" s="125"/>
      <c r="EF243" s="16"/>
      <c r="EG243" s="125"/>
      <c r="EQ243" s="125"/>
      <c r="ER243" s="16"/>
      <c r="ES243" s="123"/>
      <c r="ET243" s="19"/>
      <c r="EU243" s="139"/>
      <c r="EV243" s="139"/>
      <c r="EW243" s="123"/>
      <c r="EX243" s="123"/>
      <c r="EY243" s="123"/>
      <c r="EZ243" s="123"/>
      <c r="FA243" s="123"/>
      <c r="FB243" s="123"/>
      <c r="FC243" s="6"/>
      <c r="FD243" s="123"/>
      <c r="FE243" s="6"/>
      <c r="FF243" s="123"/>
      <c r="FG243" s="6"/>
      <c r="FH243" s="6"/>
      <c r="FI243" s="6"/>
      <c r="FJ243" s="6"/>
      <c r="FK243" s="123"/>
      <c r="FL243" s="6"/>
      <c r="FM243" s="6"/>
      <c r="FN243" s="6"/>
      <c r="FO243" s="138"/>
      <c r="FP243" s="138"/>
      <c r="FQ243" s="123"/>
      <c r="FR243" s="6"/>
      <c r="FS243" s="6"/>
      <c r="FT243" s="139"/>
      <c r="FU243" s="139"/>
      <c r="FV243" s="76"/>
      <c r="FW243" s="123"/>
      <c r="FX243" s="6"/>
    </row>
    <row r="244" spans="35:180">
      <c r="AI244" s="125"/>
      <c r="AJ244" s="16"/>
      <c r="AM244" s="16"/>
      <c r="AN244" s="16"/>
      <c r="AO244" s="125"/>
      <c r="AP244" s="16"/>
      <c r="AQ244" s="125"/>
      <c r="AZ244" s="125"/>
      <c r="BA244" s="142"/>
      <c r="BB244" s="125"/>
      <c r="BC244" s="16"/>
      <c r="BD244" s="125"/>
      <c r="BE244" s="125"/>
      <c r="BF244" s="16"/>
      <c r="BG244" s="125"/>
      <c r="BQ244" s="125"/>
      <c r="BR244" s="16"/>
      <c r="BS244" s="123"/>
      <c r="BT244" s="19"/>
      <c r="BU244" s="139"/>
      <c r="BV244" s="139"/>
      <c r="BW244" s="123"/>
      <c r="BX244" s="123"/>
      <c r="BY244" s="123"/>
      <c r="BZ244" s="123"/>
      <c r="CA244" s="123"/>
      <c r="CB244" s="123"/>
      <c r="CC244" s="6"/>
      <c r="CD244" s="123"/>
      <c r="CE244" s="6"/>
      <c r="CF244" s="123"/>
      <c r="CG244" s="6"/>
      <c r="CH244" s="6"/>
      <c r="CI244" s="6"/>
      <c r="CJ244" s="6"/>
      <c r="CK244" s="123"/>
      <c r="CL244" s="6"/>
      <c r="CM244" s="6"/>
      <c r="CN244" s="6"/>
      <c r="CO244" s="138"/>
      <c r="CP244" s="138"/>
      <c r="CQ244" s="123"/>
      <c r="CR244" s="6"/>
      <c r="CS244" s="6"/>
      <c r="CT244" s="139"/>
      <c r="CU244" s="139"/>
      <c r="CV244" s="76"/>
      <c r="CW244" s="123"/>
      <c r="CX244" s="6"/>
      <c r="DI244" s="125"/>
      <c r="DJ244" s="16"/>
      <c r="DM244" s="16"/>
      <c r="DN244" s="16"/>
      <c r="DO244" s="125"/>
      <c r="DP244" s="16"/>
      <c r="DQ244" s="125"/>
      <c r="DZ244" s="125"/>
      <c r="EA244" s="142"/>
      <c r="EB244" s="125"/>
      <c r="EC244" s="16"/>
      <c r="ED244" s="125"/>
      <c r="EE244" s="125"/>
      <c r="EF244" s="16"/>
      <c r="EG244" s="125"/>
      <c r="EQ244" s="125"/>
      <c r="ER244" s="16"/>
      <c r="ES244" s="123"/>
      <c r="ET244" s="19"/>
      <c r="EU244" s="139"/>
      <c r="EV244" s="139"/>
      <c r="EW244" s="123"/>
      <c r="EX244" s="123"/>
      <c r="EY244" s="123"/>
      <c r="EZ244" s="123"/>
      <c r="FA244" s="123"/>
      <c r="FB244" s="123"/>
      <c r="FC244" s="6"/>
      <c r="FD244" s="123"/>
      <c r="FE244" s="6"/>
      <c r="FF244" s="123"/>
      <c r="FG244" s="6"/>
      <c r="FH244" s="6"/>
      <c r="FI244" s="6"/>
      <c r="FJ244" s="6"/>
      <c r="FK244" s="123"/>
      <c r="FL244" s="6"/>
      <c r="FM244" s="6"/>
      <c r="FN244" s="6"/>
      <c r="FO244" s="138"/>
      <c r="FP244" s="138"/>
      <c r="FQ244" s="123"/>
      <c r="FR244" s="6"/>
      <c r="FS244" s="6"/>
      <c r="FT244" s="139"/>
      <c r="FU244" s="139"/>
      <c r="FV244" s="76"/>
      <c r="FW244" s="123"/>
      <c r="FX244" s="6"/>
    </row>
    <row r="245" spans="35:180">
      <c r="AI245" s="125"/>
      <c r="AJ245" s="16"/>
      <c r="AM245" s="16"/>
      <c r="AN245" s="16"/>
      <c r="AO245" s="125"/>
      <c r="AP245" s="16"/>
      <c r="AQ245" s="125"/>
      <c r="AZ245" s="125"/>
      <c r="BA245" s="142"/>
      <c r="BB245" s="125"/>
      <c r="BC245" s="16"/>
      <c r="BD245" s="125"/>
      <c r="BE245" s="125"/>
      <c r="BF245" s="16"/>
      <c r="BG245" s="125"/>
      <c r="BQ245" s="125"/>
      <c r="BR245" s="16"/>
      <c r="BS245" s="123"/>
      <c r="BT245" s="19"/>
      <c r="BU245" s="139"/>
      <c r="BV245" s="139"/>
      <c r="BW245" s="123"/>
      <c r="BX245" s="123"/>
      <c r="BY245" s="123"/>
      <c r="BZ245" s="123"/>
      <c r="CA245" s="123"/>
      <c r="CB245" s="123"/>
      <c r="CC245" s="6"/>
      <c r="CD245" s="123"/>
      <c r="CE245" s="6"/>
      <c r="CF245" s="123"/>
      <c r="CG245" s="6"/>
      <c r="CH245" s="6"/>
      <c r="CI245" s="6"/>
      <c r="CJ245" s="6"/>
      <c r="CK245" s="123"/>
      <c r="CL245" s="6"/>
      <c r="CM245" s="6"/>
      <c r="CN245" s="6"/>
      <c r="CO245" s="138"/>
      <c r="CP245" s="138"/>
      <c r="CQ245" s="123"/>
      <c r="CR245" s="6"/>
      <c r="CS245" s="6"/>
      <c r="CT245" s="139"/>
      <c r="CU245" s="139"/>
      <c r="CV245" s="76"/>
      <c r="CW245" s="123"/>
      <c r="CX245" s="6"/>
      <c r="DI245" s="125"/>
      <c r="DJ245" s="16"/>
      <c r="DM245" s="16"/>
      <c r="DN245" s="16"/>
      <c r="DO245" s="125"/>
      <c r="DP245" s="16"/>
      <c r="DQ245" s="125"/>
      <c r="DZ245" s="125"/>
      <c r="EA245" s="142"/>
      <c r="EB245" s="125"/>
      <c r="EC245" s="16"/>
      <c r="ED245" s="125"/>
      <c r="EE245" s="125"/>
      <c r="EF245" s="16"/>
      <c r="EG245" s="125"/>
      <c r="EQ245" s="125"/>
      <c r="ER245" s="16"/>
      <c r="ES245" s="123"/>
      <c r="ET245" s="19"/>
      <c r="EU245" s="139"/>
      <c r="EV245" s="139"/>
      <c r="EW245" s="123"/>
      <c r="EX245" s="123"/>
      <c r="EY245" s="123"/>
      <c r="EZ245" s="123"/>
      <c r="FA245" s="123"/>
      <c r="FB245" s="123"/>
      <c r="FC245" s="6"/>
      <c r="FD245" s="123"/>
      <c r="FE245" s="6"/>
      <c r="FF245" s="123"/>
      <c r="FG245" s="6"/>
      <c r="FH245" s="6"/>
      <c r="FI245" s="6"/>
      <c r="FJ245" s="6"/>
      <c r="FK245" s="123"/>
      <c r="FL245" s="6"/>
      <c r="FM245" s="6"/>
      <c r="FN245" s="6"/>
      <c r="FO245" s="138"/>
      <c r="FP245" s="138"/>
      <c r="FQ245" s="123"/>
      <c r="FR245" s="6"/>
      <c r="FS245" s="6"/>
      <c r="FT245" s="139"/>
      <c r="FU245" s="139"/>
      <c r="FV245" s="76"/>
      <c r="FW245" s="123"/>
      <c r="FX245" s="6"/>
    </row>
    <row r="246" spans="35:180">
      <c r="AI246" s="125"/>
      <c r="AJ246" s="16"/>
      <c r="AM246" s="16"/>
      <c r="AN246" s="16"/>
      <c r="AO246" s="125"/>
      <c r="AP246" s="16"/>
      <c r="AQ246" s="125"/>
      <c r="AZ246" s="125"/>
      <c r="BA246" s="142"/>
      <c r="BB246" s="125"/>
      <c r="BC246" s="16"/>
      <c r="BD246" s="125"/>
      <c r="BE246" s="125"/>
      <c r="BF246" s="16"/>
      <c r="BG246" s="125"/>
      <c r="BQ246" s="125"/>
      <c r="BR246" s="16"/>
      <c r="BS246" s="123"/>
      <c r="BT246" s="19"/>
      <c r="BU246" s="139"/>
      <c r="BV246" s="139"/>
      <c r="BW246" s="123"/>
      <c r="BX246" s="123"/>
      <c r="BY246" s="123"/>
      <c r="BZ246" s="123"/>
      <c r="CA246" s="123"/>
      <c r="CB246" s="123"/>
      <c r="CC246" s="6"/>
      <c r="CD246" s="123"/>
      <c r="CE246" s="6"/>
      <c r="CF246" s="123"/>
      <c r="CG246" s="6"/>
      <c r="CH246" s="6"/>
      <c r="CI246" s="6"/>
      <c r="CJ246" s="6"/>
      <c r="CK246" s="123"/>
      <c r="CL246" s="6"/>
      <c r="CM246" s="6"/>
      <c r="CN246" s="6"/>
      <c r="CO246" s="138"/>
      <c r="CP246" s="138"/>
      <c r="CQ246" s="123"/>
      <c r="CR246" s="6"/>
      <c r="CS246" s="6"/>
      <c r="CT246" s="139"/>
      <c r="CU246" s="139"/>
      <c r="CV246" s="76"/>
      <c r="CW246" s="123"/>
      <c r="CX246" s="6"/>
      <c r="DI246" s="125"/>
      <c r="DJ246" s="16"/>
      <c r="DM246" s="16"/>
      <c r="DN246" s="16"/>
      <c r="DO246" s="125"/>
      <c r="DP246" s="16"/>
      <c r="DQ246" s="125"/>
      <c r="DZ246" s="125"/>
      <c r="EA246" s="142"/>
      <c r="EB246" s="125"/>
      <c r="EC246" s="16"/>
      <c r="ED246" s="125"/>
      <c r="EE246" s="125"/>
      <c r="EF246" s="16"/>
      <c r="EG246" s="125"/>
      <c r="EQ246" s="125"/>
      <c r="ER246" s="16"/>
      <c r="ES246" s="123"/>
      <c r="ET246" s="19"/>
      <c r="EU246" s="139"/>
      <c r="EV246" s="139"/>
      <c r="EW246" s="123"/>
      <c r="EX246" s="123"/>
      <c r="EY246" s="123"/>
      <c r="EZ246" s="123"/>
      <c r="FA246" s="123"/>
      <c r="FB246" s="123"/>
      <c r="FC246" s="6"/>
      <c r="FD246" s="123"/>
      <c r="FE246" s="6"/>
      <c r="FF246" s="123"/>
      <c r="FG246" s="6"/>
      <c r="FH246" s="6"/>
      <c r="FI246" s="6"/>
      <c r="FJ246" s="6"/>
      <c r="FK246" s="123"/>
      <c r="FL246" s="6"/>
      <c r="FM246" s="6"/>
      <c r="FN246" s="6"/>
      <c r="FO246" s="138"/>
      <c r="FP246" s="138"/>
      <c r="FQ246" s="123"/>
      <c r="FR246" s="6"/>
      <c r="FS246" s="6"/>
      <c r="FT246" s="139"/>
      <c r="FU246" s="139"/>
      <c r="FV246" s="76"/>
      <c r="FW246" s="123"/>
      <c r="FX246" s="6"/>
    </row>
    <row r="247" spans="35:180">
      <c r="AI247" s="125"/>
      <c r="AJ247" s="16"/>
      <c r="AM247" s="16"/>
      <c r="AN247" s="16"/>
      <c r="AO247" s="125"/>
      <c r="AP247" s="16"/>
      <c r="AQ247" s="125"/>
      <c r="AZ247" s="125"/>
      <c r="BA247" s="142"/>
      <c r="BB247" s="125"/>
      <c r="BC247" s="16"/>
      <c r="BD247" s="125"/>
      <c r="BE247" s="125"/>
      <c r="BF247" s="16"/>
      <c r="BG247" s="125"/>
      <c r="BQ247" s="125"/>
      <c r="BR247" s="16"/>
      <c r="BS247" s="123"/>
      <c r="BT247" s="19"/>
      <c r="BU247" s="139"/>
      <c r="BV247" s="139"/>
      <c r="BW247" s="123"/>
      <c r="BX247" s="123"/>
      <c r="BY247" s="123"/>
      <c r="BZ247" s="123"/>
      <c r="CA247" s="123"/>
      <c r="CB247" s="123"/>
      <c r="CC247" s="6"/>
      <c r="CD247" s="123"/>
      <c r="CE247" s="6"/>
      <c r="CF247" s="123"/>
      <c r="CG247" s="6"/>
      <c r="CH247" s="6"/>
      <c r="CI247" s="6"/>
      <c r="CJ247" s="6"/>
      <c r="CK247" s="123"/>
      <c r="CL247" s="6"/>
      <c r="CM247" s="6"/>
      <c r="CN247" s="6"/>
      <c r="CO247" s="138"/>
      <c r="CP247" s="138"/>
      <c r="CQ247" s="123"/>
      <c r="CR247" s="6"/>
      <c r="CS247" s="6"/>
      <c r="CT247" s="139"/>
      <c r="CU247" s="139"/>
      <c r="CV247" s="76"/>
      <c r="CW247" s="123"/>
      <c r="CX247" s="6"/>
      <c r="DI247" s="125"/>
      <c r="DJ247" s="16"/>
      <c r="DM247" s="16"/>
      <c r="DN247" s="16"/>
      <c r="DO247" s="125"/>
      <c r="DP247" s="16"/>
      <c r="DQ247" s="125"/>
      <c r="DZ247" s="125"/>
      <c r="EA247" s="142"/>
      <c r="EB247" s="125"/>
      <c r="EC247" s="16"/>
      <c r="ED247" s="125"/>
      <c r="EE247" s="125"/>
      <c r="EF247" s="16"/>
      <c r="EG247" s="125"/>
      <c r="EQ247" s="125"/>
      <c r="ER247" s="16"/>
      <c r="ES247" s="123"/>
      <c r="ET247" s="19"/>
      <c r="EU247" s="139"/>
      <c r="EV247" s="139"/>
      <c r="EW247" s="123"/>
      <c r="EX247" s="123"/>
      <c r="EY247" s="123"/>
      <c r="EZ247" s="123"/>
      <c r="FA247" s="123"/>
      <c r="FB247" s="123"/>
      <c r="FC247" s="6"/>
      <c r="FD247" s="123"/>
      <c r="FE247" s="6"/>
      <c r="FF247" s="123"/>
      <c r="FG247" s="6"/>
      <c r="FH247" s="6"/>
      <c r="FI247" s="6"/>
      <c r="FJ247" s="6"/>
      <c r="FK247" s="123"/>
      <c r="FL247" s="6"/>
      <c r="FM247" s="6"/>
      <c r="FN247" s="6"/>
      <c r="FO247" s="138"/>
      <c r="FP247" s="138"/>
      <c r="FQ247" s="123"/>
      <c r="FR247" s="6"/>
      <c r="FS247" s="6"/>
      <c r="FT247" s="139"/>
      <c r="FU247" s="139"/>
      <c r="FV247" s="76"/>
      <c r="FW247" s="123"/>
      <c r="FX247" s="6"/>
    </row>
    <row r="248" spans="35:180">
      <c r="AI248" s="125"/>
      <c r="AJ248" s="16"/>
      <c r="AM248" s="16"/>
      <c r="AN248" s="16"/>
      <c r="AO248" s="125"/>
      <c r="AP248" s="16"/>
      <c r="AQ248" s="125"/>
      <c r="AZ248" s="125"/>
      <c r="BA248" s="142"/>
      <c r="BB248" s="125"/>
      <c r="BC248" s="16"/>
      <c r="BD248" s="125"/>
      <c r="BE248" s="125"/>
      <c r="BF248" s="16"/>
      <c r="BG248" s="125"/>
      <c r="BQ248" s="125"/>
      <c r="BR248" s="16"/>
      <c r="BS248" s="123"/>
      <c r="BT248" s="19"/>
      <c r="BU248" s="139"/>
      <c r="BV248" s="139"/>
      <c r="BW248" s="123"/>
      <c r="BX248" s="123"/>
      <c r="BY248" s="123"/>
      <c r="BZ248" s="123"/>
      <c r="CA248" s="123"/>
      <c r="CB248" s="123"/>
      <c r="CC248" s="6"/>
      <c r="CD248" s="123"/>
      <c r="CE248" s="6"/>
      <c r="CF248" s="123"/>
      <c r="CG248" s="6"/>
      <c r="CH248" s="6"/>
      <c r="CI248" s="6"/>
      <c r="CJ248" s="6"/>
      <c r="CK248" s="123"/>
      <c r="CL248" s="6"/>
      <c r="CM248" s="6"/>
      <c r="CN248" s="6"/>
      <c r="CO248" s="138"/>
      <c r="CP248" s="138"/>
      <c r="CQ248" s="123"/>
      <c r="CR248" s="6"/>
      <c r="CS248" s="6"/>
      <c r="CT248" s="139"/>
      <c r="CU248" s="139"/>
      <c r="CV248" s="76"/>
      <c r="CW248" s="123"/>
      <c r="CX248" s="6"/>
      <c r="DI248" s="125"/>
      <c r="DJ248" s="16"/>
      <c r="DM248" s="16"/>
      <c r="DN248" s="16"/>
      <c r="DO248" s="125"/>
      <c r="DP248" s="16"/>
      <c r="DQ248" s="125"/>
      <c r="DZ248" s="125"/>
      <c r="EA248" s="142"/>
      <c r="EB248" s="125"/>
      <c r="EC248" s="16"/>
      <c r="ED248" s="125"/>
      <c r="EE248" s="125"/>
      <c r="EF248" s="16"/>
      <c r="EG248" s="125"/>
      <c r="EQ248" s="125"/>
      <c r="ER248" s="16"/>
      <c r="ES248" s="123"/>
      <c r="ET248" s="19"/>
      <c r="EU248" s="139"/>
      <c r="EV248" s="139"/>
      <c r="EW248" s="123"/>
      <c r="EX248" s="123"/>
      <c r="EY248" s="123"/>
      <c r="EZ248" s="123"/>
      <c r="FA248" s="123"/>
      <c r="FB248" s="123"/>
      <c r="FC248" s="6"/>
      <c r="FD248" s="123"/>
      <c r="FE248" s="6"/>
      <c r="FF248" s="123"/>
      <c r="FG248" s="6"/>
      <c r="FH248" s="6"/>
      <c r="FI248" s="6"/>
      <c r="FJ248" s="6"/>
      <c r="FK248" s="123"/>
      <c r="FL248" s="6"/>
      <c r="FM248" s="6"/>
      <c r="FN248" s="6"/>
      <c r="FO248" s="138"/>
      <c r="FP248" s="138"/>
      <c r="FQ248" s="123"/>
      <c r="FR248" s="6"/>
      <c r="FS248" s="6"/>
      <c r="FT248" s="139"/>
      <c r="FU248" s="139"/>
      <c r="FV248" s="76"/>
      <c r="FW248" s="123"/>
      <c r="FX248" s="6"/>
    </row>
    <row r="249" spans="35:180">
      <c r="AI249" s="125"/>
      <c r="AJ249" s="16"/>
      <c r="AM249" s="16"/>
      <c r="AN249" s="16"/>
      <c r="AO249" s="125"/>
      <c r="AP249" s="16"/>
      <c r="AQ249" s="125"/>
      <c r="AZ249" s="125"/>
      <c r="BA249" s="142"/>
      <c r="BB249" s="125"/>
      <c r="BC249" s="16"/>
      <c r="BD249" s="125"/>
      <c r="BE249" s="125"/>
      <c r="BF249" s="16"/>
      <c r="BG249" s="125"/>
      <c r="BQ249" s="125"/>
      <c r="BR249" s="16"/>
      <c r="BS249" s="123"/>
      <c r="BT249" s="19"/>
      <c r="BU249" s="139"/>
      <c r="BV249" s="139"/>
      <c r="BW249" s="123"/>
      <c r="BX249" s="123"/>
      <c r="BY249" s="123"/>
      <c r="BZ249" s="123"/>
      <c r="CA249" s="123"/>
      <c r="CB249" s="123"/>
      <c r="CC249" s="6"/>
      <c r="CD249" s="123"/>
      <c r="CE249" s="6"/>
      <c r="CF249" s="123"/>
      <c r="CG249" s="6"/>
      <c r="CH249" s="6"/>
      <c r="CI249" s="6"/>
      <c r="CJ249" s="6"/>
      <c r="CK249" s="123"/>
      <c r="CL249" s="6"/>
      <c r="CM249" s="6"/>
      <c r="CN249" s="6"/>
      <c r="CO249" s="138"/>
      <c r="CP249" s="138"/>
      <c r="CQ249" s="123"/>
      <c r="CR249" s="6"/>
      <c r="CS249" s="6"/>
      <c r="CT249" s="139"/>
      <c r="CU249" s="139"/>
      <c r="CV249" s="76"/>
      <c r="CW249" s="123"/>
      <c r="CX249" s="6"/>
      <c r="DI249" s="125"/>
      <c r="DJ249" s="16"/>
      <c r="DM249" s="16"/>
      <c r="DN249" s="16"/>
      <c r="DO249" s="125"/>
      <c r="DP249" s="16"/>
      <c r="DQ249" s="125"/>
      <c r="DZ249" s="125"/>
      <c r="EA249" s="142"/>
      <c r="EB249" s="125"/>
      <c r="EC249" s="16"/>
      <c r="ED249" s="125"/>
      <c r="EE249" s="125"/>
      <c r="EF249" s="16"/>
      <c r="EG249" s="125"/>
      <c r="EQ249" s="125"/>
      <c r="ER249" s="16"/>
      <c r="ES249" s="123"/>
      <c r="ET249" s="19"/>
      <c r="EU249" s="139"/>
      <c r="EV249" s="139"/>
      <c r="EW249" s="123"/>
      <c r="EX249" s="123"/>
      <c r="EY249" s="123"/>
      <c r="EZ249" s="123"/>
      <c r="FA249" s="123"/>
      <c r="FB249" s="123"/>
      <c r="FC249" s="6"/>
      <c r="FD249" s="123"/>
      <c r="FE249" s="6"/>
      <c r="FF249" s="123"/>
      <c r="FG249" s="6"/>
      <c r="FH249" s="6"/>
      <c r="FI249" s="6"/>
      <c r="FJ249" s="6"/>
      <c r="FK249" s="123"/>
      <c r="FL249" s="6"/>
      <c r="FM249" s="6"/>
      <c r="FN249" s="6"/>
      <c r="FO249" s="138"/>
      <c r="FP249" s="138"/>
      <c r="FQ249" s="123"/>
      <c r="FR249" s="6"/>
      <c r="FS249" s="6"/>
      <c r="FT249" s="139"/>
      <c r="FU249" s="139"/>
      <c r="FV249" s="76"/>
      <c r="FW249" s="123"/>
      <c r="FX249" s="6"/>
    </row>
    <row r="250" spans="35:180">
      <c r="AI250" s="125"/>
      <c r="AJ250" s="16"/>
      <c r="AM250" s="16"/>
      <c r="AN250" s="16"/>
      <c r="AO250" s="125"/>
      <c r="AP250" s="16"/>
      <c r="AQ250" s="125"/>
      <c r="AZ250" s="125"/>
      <c r="BA250" s="142"/>
      <c r="BB250" s="125"/>
      <c r="BC250" s="16"/>
      <c r="BD250" s="125"/>
      <c r="BE250" s="125"/>
      <c r="BF250" s="16"/>
      <c r="BG250" s="125"/>
      <c r="BQ250" s="125"/>
      <c r="BR250" s="16"/>
      <c r="BS250" s="123"/>
      <c r="BT250" s="19"/>
      <c r="BU250" s="139"/>
      <c r="BV250" s="139"/>
      <c r="BW250" s="123"/>
      <c r="BX250" s="123"/>
      <c r="BY250" s="123"/>
      <c r="BZ250" s="123"/>
      <c r="CA250" s="123"/>
      <c r="CB250" s="123"/>
      <c r="CC250" s="6"/>
      <c r="CD250" s="123"/>
      <c r="CE250" s="6"/>
      <c r="CF250" s="123"/>
      <c r="CG250" s="6"/>
      <c r="CH250" s="6"/>
      <c r="CI250" s="6"/>
      <c r="CJ250" s="6"/>
      <c r="CK250" s="123"/>
      <c r="CL250" s="6"/>
      <c r="CM250" s="6"/>
      <c r="CN250" s="6"/>
      <c r="CO250" s="138"/>
      <c r="CP250" s="138"/>
      <c r="CQ250" s="123"/>
      <c r="CR250" s="6"/>
      <c r="CS250" s="6"/>
      <c r="CT250" s="139"/>
      <c r="CU250" s="139"/>
      <c r="CV250" s="76"/>
      <c r="CW250" s="123"/>
      <c r="CX250" s="6"/>
      <c r="DI250" s="125"/>
      <c r="DJ250" s="16"/>
      <c r="DM250" s="16"/>
      <c r="DN250" s="16"/>
      <c r="DO250" s="125"/>
      <c r="DP250" s="16"/>
      <c r="DQ250" s="125"/>
      <c r="DZ250" s="125"/>
      <c r="EA250" s="142"/>
      <c r="EB250" s="125"/>
      <c r="EC250" s="16"/>
      <c r="ED250" s="125"/>
      <c r="EE250" s="125"/>
      <c r="EF250" s="16"/>
      <c r="EG250" s="125"/>
      <c r="EQ250" s="125"/>
      <c r="ER250" s="16"/>
      <c r="ES250" s="123"/>
      <c r="ET250" s="19"/>
      <c r="EU250" s="139"/>
      <c r="EV250" s="139"/>
      <c r="EW250" s="123"/>
      <c r="EX250" s="123"/>
      <c r="EY250" s="123"/>
      <c r="EZ250" s="123"/>
      <c r="FA250" s="123"/>
      <c r="FB250" s="123"/>
      <c r="FC250" s="6"/>
      <c r="FD250" s="123"/>
      <c r="FE250" s="6"/>
      <c r="FF250" s="123"/>
      <c r="FG250" s="6"/>
      <c r="FH250" s="6"/>
      <c r="FI250" s="6"/>
      <c r="FJ250" s="6"/>
      <c r="FK250" s="123"/>
      <c r="FL250" s="6"/>
      <c r="FM250" s="6"/>
      <c r="FN250" s="6"/>
      <c r="FO250" s="138"/>
      <c r="FP250" s="138"/>
      <c r="FQ250" s="123"/>
      <c r="FR250" s="6"/>
      <c r="FS250" s="6"/>
      <c r="FT250" s="139"/>
      <c r="FU250" s="139"/>
      <c r="FV250" s="76"/>
      <c r="FW250" s="123"/>
      <c r="FX250" s="6"/>
    </row>
    <row r="251" spans="35:180">
      <c r="AI251" s="125"/>
      <c r="AJ251" s="16"/>
      <c r="AM251" s="16"/>
      <c r="AN251" s="16"/>
      <c r="AO251" s="125"/>
      <c r="AP251" s="16"/>
      <c r="AQ251" s="125"/>
      <c r="AZ251" s="125"/>
      <c r="BA251" s="142"/>
      <c r="BB251" s="125"/>
      <c r="BC251" s="16"/>
      <c r="BD251" s="125"/>
      <c r="BE251" s="125"/>
      <c r="BF251" s="16"/>
      <c r="BG251" s="125"/>
      <c r="BQ251" s="125"/>
      <c r="BR251" s="16"/>
      <c r="BS251" s="123"/>
      <c r="BT251" s="19"/>
      <c r="BU251" s="139"/>
      <c r="BV251" s="139"/>
      <c r="BW251" s="123"/>
      <c r="BX251" s="123"/>
      <c r="BY251" s="123"/>
      <c r="BZ251" s="123"/>
      <c r="CA251" s="123"/>
      <c r="CB251" s="123"/>
      <c r="CC251" s="6"/>
      <c r="CD251" s="123"/>
      <c r="CE251" s="6"/>
      <c r="CF251" s="123"/>
      <c r="CG251" s="6"/>
      <c r="CH251" s="6"/>
      <c r="CI251" s="6"/>
      <c r="CJ251" s="6"/>
      <c r="CK251" s="123"/>
      <c r="CL251" s="6"/>
      <c r="CM251" s="6"/>
      <c r="CN251" s="6"/>
      <c r="CO251" s="138"/>
      <c r="CP251" s="138"/>
      <c r="CQ251" s="123"/>
      <c r="CR251" s="6"/>
      <c r="CS251" s="6"/>
      <c r="CT251" s="139"/>
      <c r="CU251" s="139"/>
      <c r="CV251" s="76"/>
      <c r="CW251" s="123"/>
      <c r="CX251" s="6"/>
      <c r="DI251" s="125"/>
      <c r="DJ251" s="16"/>
      <c r="DM251" s="16"/>
      <c r="DN251" s="16"/>
      <c r="DO251" s="125"/>
      <c r="DP251" s="16"/>
      <c r="DQ251" s="125"/>
      <c r="DZ251" s="125"/>
      <c r="EA251" s="142"/>
      <c r="EB251" s="125"/>
      <c r="EC251" s="16"/>
      <c r="ED251" s="125"/>
      <c r="EE251" s="125"/>
      <c r="EF251" s="16"/>
      <c r="EG251" s="125"/>
      <c r="EQ251" s="125"/>
      <c r="ER251" s="16"/>
      <c r="ES251" s="123"/>
      <c r="ET251" s="19"/>
      <c r="EU251" s="139"/>
      <c r="EV251" s="139"/>
      <c r="EW251" s="123"/>
      <c r="EX251" s="123"/>
      <c r="EY251" s="123"/>
      <c r="EZ251" s="123"/>
      <c r="FA251" s="123"/>
      <c r="FB251" s="123"/>
      <c r="FC251" s="6"/>
      <c r="FD251" s="123"/>
      <c r="FE251" s="6"/>
      <c r="FF251" s="123"/>
      <c r="FG251" s="6"/>
      <c r="FH251" s="6"/>
      <c r="FI251" s="6"/>
      <c r="FJ251" s="6"/>
      <c r="FK251" s="123"/>
      <c r="FL251" s="6"/>
      <c r="FM251" s="6"/>
      <c r="FN251" s="6"/>
      <c r="FO251" s="138"/>
      <c r="FP251" s="138"/>
      <c r="FQ251" s="123"/>
      <c r="FR251" s="6"/>
      <c r="FS251" s="6"/>
      <c r="FT251" s="139"/>
      <c r="FU251" s="139"/>
      <c r="FV251" s="76"/>
      <c r="FW251" s="123"/>
      <c r="FX251" s="6"/>
    </row>
    <row r="252" spans="35:180">
      <c r="AI252" s="125"/>
      <c r="AJ252" s="16"/>
      <c r="AM252" s="16"/>
      <c r="AN252" s="16"/>
      <c r="AO252" s="125"/>
      <c r="AP252" s="16"/>
      <c r="AQ252" s="125"/>
      <c r="AZ252" s="125"/>
      <c r="BA252" s="142"/>
      <c r="BB252" s="125"/>
      <c r="BC252" s="16"/>
      <c r="BD252" s="125"/>
      <c r="BE252" s="125"/>
      <c r="BF252" s="16"/>
      <c r="BG252" s="125"/>
      <c r="BQ252" s="125"/>
      <c r="BR252" s="16"/>
      <c r="BS252" s="123"/>
      <c r="BT252" s="19"/>
      <c r="BU252" s="139"/>
      <c r="BV252" s="139"/>
      <c r="BW252" s="123"/>
      <c r="BX252" s="123"/>
      <c r="BY252" s="123"/>
      <c r="BZ252" s="123"/>
      <c r="CA252" s="123"/>
      <c r="CB252" s="123"/>
      <c r="CC252" s="6"/>
      <c r="CD252" s="123"/>
      <c r="CE252" s="6"/>
      <c r="CF252" s="123"/>
      <c r="CG252" s="6"/>
      <c r="CH252" s="6"/>
      <c r="CI252" s="6"/>
      <c r="CJ252" s="6"/>
      <c r="CK252" s="123"/>
      <c r="CL252" s="6"/>
      <c r="CM252" s="6"/>
      <c r="CN252" s="6"/>
      <c r="CO252" s="138"/>
      <c r="CP252" s="138"/>
      <c r="CQ252" s="123"/>
      <c r="CR252" s="6"/>
      <c r="CS252" s="6"/>
      <c r="CT252" s="139"/>
      <c r="CU252" s="139"/>
      <c r="CV252" s="76"/>
      <c r="CW252" s="123"/>
      <c r="CX252" s="6"/>
      <c r="DI252" s="125"/>
      <c r="DJ252" s="16"/>
      <c r="DM252" s="16"/>
      <c r="DN252" s="16"/>
      <c r="DO252" s="125"/>
      <c r="DP252" s="16"/>
      <c r="DQ252" s="125"/>
      <c r="DZ252" s="125"/>
      <c r="EA252" s="142"/>
      <c r="EB252" s="125"/>
      <c r="EC252" s="16"/>
      <c r="ED252" s="125"/>
      <c r="EE252" s="125"/>
      <c r="EF252" s="16"/>
      <c r="EG252" s="125"/>
      <c r="EQ252" s="125"/>
      <c r="ER252" s="16"/>
      <c r="ES252" s="123"/>
      <c r="ET252" s="19"/>
      <c r="EU252" s="139"/>
      <c r="EV252" s="139"/>
      <c r="EW252" s="123"/>
      <c r="EX252" s="123"/>
      <c r="EY252" s="123"/>
      <c r="EZ252" s="123"/>
      <c r="FA252" s="123"/>
      <c r="FB252" s="123"/>
      <c r="FC252" s="6"/>
      <c r="FD252" s="123"/>
      <c r="FE252" s="6"/>
      <c r="FF252" s="123"/>
      <c r="FG252" s="6"/>
      <c r="FH252" s="6"/>
      <c r="FI252" s="6"/>
      <c r="FJ252" s="6"/>
      <c r="FK252" s="123"/>
      <c r="FL252" s="6"/>
      <c r="FM252" s="6"/>
      <c r="FN252" s="6"/>
      <c r="FO252" s="138"/>
      <c r="FP252" s="138"/>
      <c r="FQ252" s="123"/>
      <c r="FR252" s="6"/>
      <c r="FS252" s="6"/>
      <c r="FT252" s="139"/>
      <c r="FU252" s="139"/>
      <c r="FV252" s="76"/>
      <c r="FW252" s="123"/>
      <c r="FX252" s="6"/>
    </row>
    <row r="253" spans="35:180">
      <c r="AI253" s="125"/>
      <c r="AJ253" s="16"/>
      <c r="AM253" s="16"/>
      <c r="AN253" s="16"/>
      <c r="AO253" s="125"/>
      <c r="AP253" s="16"/>
      <c r="AQ253" s="125"/>
      <c r="AZ253" s="125"/>
      <c r="BA253" s="142"/>
      <c r="BB253" s="125"/>
      <c r="BC253" s="16"/>
      <c r="BD253" s="125"/>
      <c r="BE253" s="125"/>
      <c r="BF253" s="16"/>
      <c r="BG253" s="125"/>
      <c r="BQ253" s="125"/>
      <c r="BR253" s="16"/>
      <c r="BS253" s="123"/>
      <c r="BT253" s="19"/>
      <c r="BU253" s="139"/>
      <c r="BV253" s="139"/>
      <c r="BW253" s="123"/>
      <c r="BX253" s="123"/>
      <c r="BY253" s="123"/>
      <c r="BZ253" s="123"/>
      <c r="CA253" s="123"/>
      <c r="CB253" s="123"/>
      <c r="CC253" s="6"/>
      <c r="CD253" s="123"/>
      <c r="CE253" s="6"/>
      <c r="CF253" s="123"/>
      <c r="CG253" s="6"/>
      <c r="CH253" s="6"/>
      <c r="CI253" s="6"/>
      <c r="CJ253" s="6"/>
      <c r="CK253" s="123"/>
      <c r="CL253" s="6"/>
      <c r="CM253" s="6"/>
      <c r="CN253" s="6"/>
      <c r="CO253" s="138"/>
      <c r="CP253" s="138"/>
      <c r="CQ253" s="123"/>
      <c r="CR253" s="6"/>
      <c r="CS253" s="6"/>
      <c r="CT253" s="139"/>
      <c r="CU253" s="139"/>
      <c r="CV253" s="76"/>
      <c r="CW253" s="123"/>
      <c r="CX253" s="6"/>
      <c r="DI253" s="125"/>
      <c r="DJ253" s="16"/>
      <c r="DM253" s="16"/>
      <c r="DN253" s="16"/>
      <c r="DO253" s="125"/>
      <c r="DP253" s="16"/>
      <c r="DQ253" s="125"/>
      <c r="DZ253" s="125"/>
      <c r="EA253" s="142"/>
      <c r="EB253" s="125"/>
      <c r="EC253" s="16"/>
      <c r="ED253" s="125"/>
      <c r="EE253" s="125"/>
      <c r="EF253" s="16"/>
      <c r="EG253" s="125"/>
      <c r="EQ253" s="125"/>
      <c r="ER253" s="16"/>
      <c r="ES253" s="123"/>
      <c r="ET253" s="19"/>
      <c r="EU253" s="139"/>
      <c r="EV253" s="139"/>
      <c r="EW253" s="123"/>
      <c r="EX253" s="123"/>
      <c r="EY253" s="123"/>
      <c r="EZ253" s="123"/>
      <c r="FA253" s="123"/>
      <c r="FB253" s="123"/>
      <c r="FC253" s="6"/>
      <c r="FD253" s="123"/>
      <c r="FE253" s="6"/>
      <c r="FF253" s="123"/>
      <c r="FG253" s="6"/>
      <c r="FH253" s="6"/>
      <c r="FI253" s="6"/>
      <c r="FJ253" s="6"/>
      <c r="FK253" s="123"/>
      <c r="FL253" s="6"/>
      <c r="FM253" s="6"/>
      <c r="FN253" s="6"/>
      <c r="FO253" s="138"/>
      <c r="FP253" s="138"/>
      <c r="FQ253" s="123"/>
      <c r="FR253" s="6"/>
      <c r="FS253" s="6"/>
      <c r="FT253" s="139"/>
      <c r="FU253" s="139"/>
      <c r="FV253" s="76"/>
      <c r="FW253" s="123"/>
      <c r="FX253" s="6"/>
    </row>
    <row r="254" spans="35:180">
      <c r="AI254" s="125"/>
      <c r="AJ254" s="16"/>
      <c r="AM254" s="16"/>
      <c r="AN254" s="16"/>
      <c r="AO254" s="125"/>
      <c r="AP254" s="16"/>
      <c r="AQ254" s="125"/>
      <c r="AZ254" s="125"/>
      <c r="BA254" s="142"/>
      <c r="BB254" s="125"/>
      <c r="BC254" s="16"/>
      <c r="BD254" s="125"/>
      <c r="BE254" s="125"/>
      <c r="BF254" s="16"/>
      <c r="BG254" s="125"/>
      <c r="BQ254" s="125"/>
      <c r="BR254" s="16"/>
      <c r="BS254" s="123"/>
      <c r="BT254" s="19"/>
      <c r="BU254" s="139"/>
      <c r="BV254" s="139"/>
      <c r="BW254" s="123"/>
      <c r="BX254" s="123"/>
      <c r="BY254" s="123"/>
      <c r="BZ254" s="123"/>
      <c r="CA254" s="123"/>
      <c r="CB254" s="123"/>
      <c r="CC254" s="6"/>
      <c r="CD254" s="123"/>
      <c r="CE254" s="6"/>
      <c r="CF254" s="123"/>
      <c r="CG254" s="6"/>
      <c r="CH254" s="6"/>
      <c r="CI254" s="6"/>
      <c r="CJ254" s="6"/>
      <c r="CK254" s="123"/>
      <c r="CL254" s="6"/>
      <c r="CM254" s="6"/>
      <c r="CN254" s="6"/>
      <c r="CO254" s="138"/>
      <c r="CP254" s="138"/>
      <c r="CQ254" s="123"/>
      <c r="CR254" s="6"/>
      <c r="CS254" s="6"/>
      <c r="CT254" s="139"/>
      <c r="CU254" s="139"/>
      <c r="CV254" s="76"/>
      <c r="CW254" s="123"/>
      <c r="CX254" s="6"/>
      <c r="DI254" s="125"/>
      <c r="DJ254" s="16"/>
      <c r="DM254" s="16"/>
      <c r="DN254" s="16"/>
      <c r="DO254" s="125"/>
      <c r="DP254" s="16"/>
      <c r="DQ254" s="125"/>
      <c r="DZ254" s="125"/>
      <c r="EA254" s="142"/>
      <c r="EB254" s="125"/>
      <c r="EC254" s="16"/>
      <c r="ED254" s="125"/>
      <c r="EE254" s="125"/>
      <c r="EF254" s="16"/>
      <c r="EG254" s="125"/>
      <c r="EQ254" s="125"/>
      <c r="ER254" s="16"/>
      <c r="ES254" s="123"/>
      <c r="ET254" s="19"/>
      <c r="EU254" s="139"/>
      <c r="EV254" s="139"/>
      <c r="EW254" s="123"/>
      <c r="EX254" s="123"/>
      <c r="EY254" s="123"/>
      <c r="EZ254" s="123"/>
      <c r="FA254" s="123"/>
      <c r="FB254" s="123"/>
      <c r="FC254" s="6"/>
      <c r="FD254" s="123"/>
      <c r="FE254" s="6"/>
      <c r="FF254" s="123"/>
      <c r="FG254" s="6"/>
      <c r="FH254" s="6"/>
      <c r="FI254" s="6"/>
      <c r="FJ254" s="6"/>
      <c r="FK254" s="123"/>
      <c r="FL254" s="6"/>
      <c r="FM254" s="6"/>
      <c r="FN254" s="6"/>
      <c r="FO254" s="138"/>
      <c r="FP254" s="138"/>
      <c r="FQ254" s="123"/>
      <c r="FR254" s="6"/>
      <c r="FS254" s="6"/>
      <c r="FT254" s="139"/>
      <c r="FU254" s="139"/>
      <c r="FV254" s="76"/>
      <c r="FW254" s="123"/>
      <c r="FX254" s="6"/>
    </row>
    <row r="255" spans="35:180">
      <c r="AI255" s="125"/>
      <c r="AJ255" s="16"/>
      <c r="AM255" s="16"/>
      <c r="AN255" s="16"/>
      <c r="AO255" s="125"/>
      <c r="AP255" s="16"/>
      <c r="AQ255" s="125"/>
      <c r="AZ255" s="125"/>
      <c r="BA255" s="142"/>
      <c r="BB255" s="125"/>
      <c r="BC255" s="16"/>
      <c r="BD255" s="125"/>
      <c r="BE255" s="125"/>
      <c r="BF255" s="16"/>
      <c r="BG255" s="125"/>
      <c r="BQ255" s="125"/>
      <c r="BR255" s="16"/>
      <c r="BS255" s="123"/>
      <c r="BT255" s="19"/>
      <c r="BU255" s="139"/>
      <c r="BV255" s="139"/>
      <c r="BW255" s="123"/>
      <c r="BX255" s="123"/>
      <c r="BY255" s="123"/>
      <c r="BZ255" s="123"/>
      <c r="CA255" s="123"/>
      <c r="CB255" s="123"/>
      <c r="CC255" s="6"/>
      <c r="CD255" s="123"/>
      <c r="CE255" s="6"/>
      <c r="CF255" s="123"/>
      <c r="CG255" s="6"/>
      <c r="CH255" s="6"/>
      <c r="CI255" s="6"/>
      <c r="CJ255" s="6"/>
      <c r="CK255" s="123"/>
      <c r="CL255" s="6"/>
      <c r="CM255" s="6"/>
      <c r="CN255" s="6"/>
      <c r="CO255" s="138"/>
      <c r="CP255" s="138"/>
      <c r="CQ255" s="123"/>
      <c r="CR255" s="6"/>
      <c r="CS255" s="6"/>
      <c r="CT255" s="139"/>
      <c r="CU255" s="139"/>
      <c r="CV255" s="76"/>
      <c r="CW255" s="123"/>
      <c r="CX255" s="6"/>
      <c r="DI255" s="125"/>
      <c r="DJ255" s="16"/>
      <c r="DM255" s="16"/>
      <c r="DN255" s="16"/>
      <c r="DO255" s="125"/>
      <c r="DP255" s="16"/>
      <c r="DQ255" s="125"/>
      <c r="DZ255" s="125"/>
      <c r="EA255" s="142"/>
      <c r="EB255" s="125"/>
      <c r="EC255" s="16"/>
      <c r="ED255" s="125"/>
      <c r="EE255" s="125"/>
      <c r="EF255" s="16"/>
      <c r="EG255" s="125"/>
      <c r="EQ255" s="125"/>
      <c r="ER255" s="16"/>
      <c r="ES255" s="123"/>
      <c r="ET255" s="19"/>
      <c r="EU255" s="139"/>
      <c r="EV255" s="139"/>
      <c r="EW255" s="123"/>
      <c r="EX255" s="123"/>
      <c r="EY255" s="123"/>
      <c r="EZ255" s="123"/>
      <c r="FA255" s="123"/>
      <c r="FB255" s="123"/>
      <c r="FC255" s="6"/>
      <c r="FD255" s="123"/>
      <c r="FE255" s="6"/>
      <c r="FF255" s="123"/>
      <c r="FG255" s="6"/>
      <c r="FH255" s="6"/>
      <c r="FI255" s="6"/>
      <c r="FJ255" s="6"/>
      <c r="FK255" s="123"/>
      <c r="FL255" s="6"/>
      <c r="FM255" s="6"/>
      <c r="FN255" s="6"/>
      <c r="FO255" s="138"/>
      <c r="FP255" s="138"/>
      <c r="FQ255" s="123"/>
      <c r="FR255" s="6"/>
      <c r="FS255" s="6"/>
      <c r="FT255" s="139"/>
      <c r="FU255" s="139"/>
      <c r="FV255" s="76"/>
      <c r="FW255" s="123"/>
      <c r="FX255" s="6"/>
    </row>
    <row r="256" spans="35:180">
      <c r="AI256" s="125"/>
      <c r="AJ256" s="16"/>
      <c r="AM256" s="16"/>
      <c r="AN256" s="16"/>
      <c r="AO256" s="125"/>
      <c r="AP256" s="16"/>
      <c r="AQ256" s="125"/>
      <c r="AZ256" s="125"/>
      <c r="BA256" s="142"/>
      <c r="BB256" s="125"/>
      <c r="BC256" s="16"/>
      <c r="BD256" s="125"/>
      <c r="BE256" s="125"/>
      <c r="BF256" s="16"/>
      <c r="BG256" s="125"/>
      <c r="BQ256" s="125"/>
      <c r="BR256" s="16"/>
      <c r="BS256" s="123"/>
      <c r="BT256" s="19"/>
      <c r="BU256" s="139"/>
      <c r="BV256" s="139"/>
      <c r="BW256" s="123"/>
      <c r="BX256" s="123"/>
      <c r="BY256" s="123"/>
      <c r="BZ256" s="123"/>
      <c r="CA256" s="123"/>
      <c r="CB256" s="123"/>
      <c r="CC256" s="6"/>
      <c r="CD256" s="123"/>
      <c r="CE256" s="6"/>
      <c r="CF256" s="123"/>
      <c r="CG256" s="6"/>
      <c r="CH256" s="6"/>
      <c r="CI256" s="6"/>
      <c r="CJ256" s="6"/>
      <c r="CK256" s="123"/>
      <c r="CL256" s="6"/>
      <c r="CM256" s="6"/>
      <c r="CN256" s="6"/>
      <c r="CO256" s="138"/>
      <c r="CP256" s="138"/>
      <c r="CQ256" s="123"/>
      <c r="CR256" s="6"/>
      <c r="CS256" s="6"/>
      <c r="CT256" s="139"/>
      <c r="CU256" s="139"/>
      <c r="CV256" s="76"/>
      <c r="CW256" s="123"/>
      <c r="CX256" s="6"/>
      <c r="DI256" s="125"/>
      <c r="DJ256" s="16"/>
      <c r="DM256" s="16"/>
      <c r="DN256" s="16"/>
      <c r="DO256" s="125"/>
      <c r="DP256" s="16"/>
      <c r="DQ256" s="125"/>
      <c r="DZ256" s="125"/>
      <c r="EA256" s="142"/>
      <c r="EB256" s="125"/>
      <c r="EC256" s="16"/>
      <c r="ED256" s="125"/>
      <c r="EE256" s="125"/>
      <c r="EF256" s="16"/>
      <c r="EG256" s="125"/>
      <c r="EQ256" s="125"/>
      <c r="ER256" s="16"/>
      <c r="ES256" s="123"/>
      <c r="ET256" s="19"/>
      <c r="EU256" s="139"/>
      <c r="EV256" s="139"/>
      <c r="EW256" s="123"/>
      <c r="EX256" s="123"/>
      <c r="EY256" s="123"/>
      <c r="EZ256" s="123"/>
      <c r="FA256" s="123"/>
      <c r="FB256" s="123"/>
      <c r="FC256" s="6"/>
      <c r="FD256" s="123"/>
      <c r="FE256" s="6"/>
      <c r="FF256" s="123"/>
      <c r="FG256" s="6"/>
      <c r="FH256" s="6"/>
      <c r="FI256" s="6"/>
      <c r="FJ256" s="6"/>
      <c r="FK256" s="123"/>
      <c r="FL256" s="6"/>
      <c r="FM256" s="6"/>
      <c r="FN256" s="6"/>
      <c r="FO256" s="138"/>
      <c r="FP256" s="138"/>
      <c r="FQ256" s="123"/>
      <c r="FR256" s="6"/>
      <c r="FS256" s="6"/>
      <c r="FT256" s="139"/>
      <c r="FU256" s="139"/>
      <c r="FV256" s="76"/>
      <c r="FW256" s="123"/>
      <c r="FX256" s="6"/>
    </row>
    <row r="257" spans="35:180">
      <c r="AI257" s="125"/>
      <c r="AJ257" s="16"/>
      <c r="AM257" s="16"/>
      <c r="AN257" s="16"/>
      <c r="AO257" s="125"/>
      <c r="AP257" s="16"/>
      <c r="AQ257" s="125"/>
      <c r="AZ257" s="125"/>
      <c r="BA257" s="142"/>
      <c r="BB257" s="125"/>
      <c r="BC257" s="16"/>
      <c r="BD257" s="125"/>
      <c r="BE257" s="125"/>
      <c r="BF257" s="16"/>
      <c r="BG257" s="125"/>
      <c r="BQ257" s="125"/>
      <c r="BR257" s="16"/>
      <c r="BS257" s="123"/>
      <c r="BT257" s="19"/>
      <c r="BU257" s="139"/>
      <c r="BV257" s="139"/>
      <c r="BW257" s="123"/>
      <c r="BX257" s="123"/>
      <c r="BY257" s="123"/>
      <c r="BZ257" s="123"/>
      <c r="CA257" s="123"/>
      <c r="CB257" s="123"/>
      <c r="CC257" s="6"/>
      <c r="CD257" s="123"/>
      <c r="CE257" s="6"/>
      <c r="CF257" s="123"/>
      <c r="CG257" s="6"/>
      <c r="CH257" s="6"/>
      <c r="CI257" s="6"/>
      <c r="CJ257" s="6"/>
      <c r="CK257" s="123"/>
      <c r="CL257" s="6"/>
      <c r="CM257" s="6"/>
      <c r="CN257" s="6"/>
      <c r="CO257" s="138"/>
      <c r="CP257" s="138"/>
      <c r="CQ257" s="123"/>
      <c r="CR257" s="6"/>
      <c r="CS257" s="6"/>
      <c r="CT257" s="139"/>
      <c r="CU257" s="139"/>
      <c r="CV257" s="76"/>
      <c r="CW257" s="123"/>
      <c r="CX257" s="6"/>
      <c r="DI257" s="125"/>
      <c r="DJ257" s="16"/>
      <c r="DM257" s="16"/>
      <c r="DN257" s="16"/>
      <c r="DO257" s="125"/>
      <c r="DP257" s="16"/>
      <c r="DQ257" s="125"/>
      <c r="DZ257" s="125"/>
      <c r="EA257" s="142"/>
      <c r="EB257" s="125"/>
      <c r="EC257" s="16"/>
      <c r="ED257" s="125"/>
      <c r="EE257" s="125"/>
      <c r="EF257" s="16"/>
      <c r="EG257" s="125"/>
      <c r="EQ257" s="125"/>
      <c r="ER257" s="16"/>
      <c r="ES257" s="123"/>
      <c r="ET257" s="19"/>
      <c r="EU257" s="139"/>
      <c r="EV257" s="139"/>
      <c r="EW257" s="123"/>
      <c r="EX257" s="123"/>
      <c r="EY257" s="123"/>
      <c r="EZ257" s="123"/>
      <c r="FA257" s="123"/>
      <c r="FB257" s="123"/>
      <c r="FC257" s="6"/>
      <c r="FD257" s="123"/>
      <c r="FE257" s="6"/>
      <c r="FF257" s="123"/>
      <c r="FG257" s="6"/>
      <c r="FH257" s="6"/>
      <c r="FI257" s="6"/>
      <c r="FJ257" s="6"/>
      <c r="FK257" s="123"/>
      <c r="FL257" s="6"/>
      <c r="FM257" s="6"/>
      <c r="FN257" s="6"/>
      <c r="FO257" s="138"/>
      <c r="FP257" s="138"/>
      <c r="FQ257" s="123"/>
      <c r="FR257" s="6"/>
      <c r="FS257" s="6"/>
      <c r="FT257" s="139"/>
      <c r="FU257" s="139"/>
      <c r="FV257" s="76"/>
      <c r="FW257" s="123"/>
      <c r="FX257" s="6"/>
    </row>
    <row r="258" spans="35:180">
      <c r="AI258" s="125"/>
      <c r="AJ258" s="16"/>
      <c r="AM258" s="16"/>
      <c r="AN258" s="16"/>
      <c r="AO258" s="125"/>
      <c r="AP258" s="16"/>
      <c r="AQ258" s="125"/>
      <c r="AZ258" s="125"/>
      <c r="BA258" s="142"/>
      <c r="BB258" s="125"/>
      <c r="BC258" s="16"/>
      <c r="BD258" s="125"/>
      <c r="BE258" s="125"/>
      <c r="BF258" s="16"/>
      <c r="BG258" s="125"/>
      <c r="BQ258" s="125"/>
      <c r="BR258" s="16"/>
      <c r="BS258" s="123"/>
      <c r="BT258" s="19"/>
      <c r="BU258" s="139"/>
      <c r="BV258" s="139"/>
      <c r="BW258" s="123"/>
      <c r="BX258" s="123"/>
      <c r="BY258" s="123"/>
      <c r="BZ258" s="123"/>
      <c r="CA258" s="123"/>
      <c r="CB258" s="123"/>
      <c r="CC258" s="6"/>
      <c r="CD258" s="123"/>
      <c r="CE258" s="6"/>
      <c r="CF258" s="123"/>
      <c r="CG258" s="6"/>
      <c r="CH258" s="6"/>
      <c r="CI258" s="6"/>
      <c r="CJ258" s="6"/>
      <c r="CK258" s="123"/>
      <c r="CL258" s="6"/>
      <c r="CM258" s="6"/>
      <c r="CN258" s="6"/>
      <c r="CO258" s="138"/>
      <c r="CP258" s="138"/>
      <c r="CQ258" s="123"/>
      <c r="CR258" s="6"/>
      <c r="CS258" s="6"/>
      <c r="CT258" s="139"/>
      <c r="CU258" s="139"/>
      <c r="CV258" s="76"/>
      <c r="CW258" s="123"/>
      <c r="CX258" s="6"/>
      <c r="DI258" s="125"/>
      <c r="DJ258" s="16"/>
      <c r="DM258" s="16"/>
      <c r="DN258" s="16"/>
      <c r="DO258" s="125"/>
      <c r="DP258" s="16"/>
      <c r="DQ258" s="125"/>
      <c r="DZ258" s="125"/>
      <c r="EA258" s="142"/>
      <c r="EB258" s="125"/>
      <c r="EC258" s="16"/>
      <c r="ED258" s="125"/>
      <c r="EE258" s="125"/>
      <c r="EF258" s="16"/>
      <c r="EG258" s="125"/>
      <c r="EQ258" s="125"/>
      <c r="ER258" s="16"/>
      <c r="ES258" s="123"/>
      <c r="ET258" s="19"/>
      <c r="EU258" s="139"/>
      <c r="EV258" s="139"/>
      <c r="EW258" s="123"/>
      <c r="EX258" s="123"/>
      <c r="EY258" s="123"/>
      <c r="EZ258" s="123"/>
      <c r="FA258" s="123"/>
      <c r="FB258" s="123"/>
      <c r="FC258" s="6"/>
      <c r="FD258" s="123"/>
      <c r="FE258" s="6"/>
      <c r="FF258" s="123"/>
      <c r="FG258" s="6"/>
      <c r="FH258" s="6"/>
      <c r="FI258" s="6"/>
      <c r="FJ258" s="6"/>
      <c r="FK258" s="123"/>
      <c r="FL258" s="6"/>
      <c r="FM258" s="6"/>
      <c r="FN258" s="6"/>
      <c r="FO258" s="138"/>
      <c r="FP258" s="138"/>
      <c r="FQ258" s="123"/>
      <c r="FR258" s="6"/>
      <c r="FS258" s="6"/>
      <c r="FT258" s="139"/>
      <c r="FU258" s="139"/>
      <c r="FV258" s="76"/>
      <c r="FW258" s="123"/>
      <c r="FX258" s="6"/>
    </row>
    <row r="259" spans="35:180">
      <c r="AI259" s="125"/>
      <c r="AJ259" s="16"/>
      <c r="AM259" s="16"/>
      <c r="AN259" s="16"/>
      <c r="AO259" s="125"/>
      <c r="AP259" s="16"/>
      <c r="AQ259" s="125"/>
      <c r="AZ259" s="125"/>
      <c r="BA259" s="142"/>
      <c r="BB259" s="125"/>
      <c r="BC259" s="16"/>
      <c r="BD259" s="125"/>
      <c r="BE259" s="125"/>
      <c r="BF259" s="16"/>
      <c r="BG259" s="125"/>
      <c r="BQ259" s="125"/>
      <c r="BR259" s="16"/>
      <c r="BS259" s="123"/>
      <c r="BT259" s="19"/>
      <c r="BU259" s="139"/>
      <c r="BV259" s="139"/>
      <c r="BW259" s="123"/>
      <c r="BX259" s="123"/>
      <c r="BY259" s="123"/>
      <c r="BZ259" s="123"/>
      <c r="CA259" s="123"/>
      <c r="CB259" s="123"/>
      <c r="CC259" s="6"/>
      <c r="CD259" s="123"/>
      <c r="CE259" s="6"/>
      <c r="CF259" s="123"/>
      <c r="CG259" s="6"/>
      <c r="CH259" s="6"/>
      <c r="CI259" s="6"/>
      <c r="CJ259" s="6"/>
      <c r="CK259" s="123"/>
      <c r="CL259" s="6"/>
      <c r="CM259" s="6"/>
      <c r="CN259" s="6"/>
      <c r="CO259" s="138"/>
      <c r="CP259" s="138"/>
      <c r="CQ259" s="123"/>
      <c r="CR259" s="6"/>
      <c r="CS259" s="6"/>
      <c r="CT259" s="139"/>
      <c r="CU259" s="139"/>
      <c r="CV259" s="76"/>
      <c r="CW259" s="123"/>
      <c r="CX259" s="6"/>
      <c r="DI259" s="125"/>
      <c r="DJ259" s="16"/>
      <c r="DM259" s="16"/>
      <c r="DN259" s="16"/>
      <c r="DO259" s="125"/>
      <c r="DP259" s="16"/>
      <c r="DQ259" s="125"/>
      <c r="DZ259" s="125"/>
      <c r="EA259" s="142"/>
      <c r="EB259" s="125"/>
      <c r="EC259" s="16"/>
      <c r="ED259" s="125"/>
      <c r="EE259" s="125"/>
      <c r="EF259" s="16"/>
      <c r="EG259" s="125"/>
      <c r="EQ259" s="125"/>
      <c r="ER259" s="16"/>
      <c r="ES259" s="123"/>
      <c r="ET259" s="19"/>
      <c r="EU259" s="139"/>
      <c r="EV259" s="139"/>
      <c r="EW259" s="123"/>
      <c r="EX259" s="123"/>
      <c r="EY259" s="123"/>
      <c r="EZ259" s="123"/>
      <c r="FA259" s="123"/>
      <c r="FB259" s="123"/>
      <c r="FC259" s="6"/>
      <c r="FD259" s="123"/>
      <c r="FE259" s="6"/>
      <c r="FF259" s="123"/>
      <c r="FG259" s="6"/>
      <c r="FH259" s="6"/>
      <c r="FI259" s="6"/>
      <c r="FJ259" s="6"/>
      <c r="FK259" s="123"/>
      <c r="FL259" s="6"/>
      <c r="FM259" s="6"/>
      <c r="FN259" s="6"/>
      <c r="FO259" s="138"/>
      <c r="FP259" s="138"/>
      <c r="FQ259" s="123"/>
      <c r="FR259" s="6"/>
      <c r="FS259" s="6"/>
      <c r="FT259" s="139"/>
      <c r="FU259" s="139"/>
      <c r="FV259" s="76"/>
      <c r="FW259" s="123"/>
      <c r="FX259" s="6"/>
    </row>
    <row r="260" spans="35:180">
      <c r="AI260" s="125"/>
      <c r="AJ260" s="16"/>
      <c r="AM260" s="16"/>
      <c r="AN260" s="16"/>
      <c r="AO260" s="125"/>
      <c r="AP260" s="16"/>
      <c r="AQ260" s="125"/>
      <c r="AZ260" s="125"/>
      <c r="BA260" s="142"/>
      <c r="BB260" s="125"/>
      <c r="BC260" s="16"/>
      <c r="BD260" s="125"/>
      <c r="BE260" s="125"/>
      <c r="BF260" s="16"/>
      <c r="BG260" s="125"/>
      <c r="BQ260" s="125"/>
      <c r="BR260" s="16"/>
      <c r="BS260" s="123"/>
      <c r="BT260" s="19"/>
      <c r="BU260" s="139"/>
      <c r="BV260" s="139"/>
      <c r="BW260" s="123"/>
      <c r="BX260" s="123"/>
      <c r="BY260" s="123"/>
      <c r="BZ260" s="123"/>
      <c r="CA260" s="123"/>
      <c r="CB260" s="123"/>
      <c r="CC260" s="6"/>
      <c r="CD260" s="123"/>
      <c r="CE260" s="6"/>
      <c r="CF260" s="123"/>
      <c r="CG260" s="6"/>
      <c r="CH260" s="6"/>
      <c r="CI260" s="6"/>
      <c r="CJ260" s="6"/>
      <c r="CK260" s="123"/>
      <c r="CL260" s="6"/>
      <c r="CM260" s="6"/>
      <c r="CN260" s="6"/>
      <c r="CO260" s="138"/>
      <c r="CP260" s="138"/>
      <c r="CQ260" s="123"/>
      <c r="CR260" s="6"/>
      <c r="CS260" s="6"/>
      <c r="CT260" s="139"/>
      <c r="CU260" s="139"/>
      <c r="CV260" s="76"/>
      <c r="CW260" s="123"/>
      <c r="CX260" s="6"/>
      <c r="DI260" s="125"/>
      <c r="DJ260" s="16"/>
      <c r="DM260" s="16"/>
      <c r="DN260" s="16"/>
      <c r="DO260" s="125"/>
      <c r="DP260" s="16"/>
      <c r="DQ260" s="125"/>
      <c r="DZ260" s="125"/>
      <c r="EA260" s="142"/>
      <c r="EB260" s="125"/>
      <c r="EC260" s="16"/>
      <c r="ED260" s="125"/>
      <c r="EE260" s="125"/>
      <c r="EF260" s="16"/>
      <c r="EG260" s="125"/>
      <c r="EQ260" s="125"/>
      <c r="ER260" s="16"/>
      <c r="ES260" s="123"/>
      <c r="ET260" s="19"/>
      <c r="EU260" s="139"/>
      <c r="EV260" s="139"/>
      <c r="EW260" s="123"/>
      <c r="EX260" s="123"/>
      <c r="EY260" s="123"/>
      <c r="EZ260" s="123"/>
      <c r="FA260" s="123"/>
      <c r="FB260" s="123"/>
      <c r="FC260" s="6"/>
      <c r="FD260" s="123"/>
      <c r="FE260" s="6"/>
      <c r="FF260" s="123"/>
      <c r="FG260" s="6"/>
      <c r="FH260" s="6"/>
      <c r="FI260" s="6"/>
      <c r="FJ260" s="6"/>
      <c r="FK260" s="123"/>
      <c r="FL260" s="6"/>
      <c r="FM260" s="6"/>
      <c r="FN260" s="6"/>
      <c r="FO260" s="138"/>
      <c r="FP260" s="138"/>
      <c r="FQ260" s="123"/>
      <c r="FR260" s="6"/>
      <c r="FS260" s="6"/>
      <c r="FT260" s="139"/>
      <c r="FU260" s="139"/>
      <c r="FV260" s="76"/>
      <c r="FW260" s="123"/>
      <c r="FX260" s="6"/>
    </row>
    <row r="261" spans="35:180">
      <c r="AI261" s="125"/>
      <c r="AJ261" s="16"/>
      <c r="AM261" s="16"/>
      <c r="AN261" s="16"/>
      <c r="AO261" s="125"/>
      <c r="AP261" s="16"/>
      <c r="AQ261" s="125"/>
      <c r="AZ261" s="125"/>
      <c r="BA261" s="142"/>
      <c r="BB261" s="125"/>
      <c r="BC261" s="16"/>
      <c r="BD261" s="125"/>
      <c r="BE261" s="125"/>
      <c r="BF261" s="16"/>
      <c r="BG261" s="125"/>
      <c r="BQ261" s="125"/>
      <c r="BR261" s="16"/>
      <c r="BS261" s="123"/>
      <c r="BT261" s="19"/>
      <c r="BU261" s="139"/>
      <c r="BV261" s="139"/>
      <c r="BW261" s="123"/>
      <c r="BX261" s="123"/>
      <c r="BY261" s="123"/>
      <c r="BZ261" s="123"/>
      <c r="CA261" s="123"/>
      <c r="CB261" s="123"/>
      <c r="CC261" s="6"/>
      <c r="CD261" s="123"/>
      <c r="CE261" s="6"/>
      <c r="CF261" s="123"/>
      <c r="CG261" s="6"/>
      <c r="CH261" s="6"/>
      <c r="CI261" s="6"/>
      <c r="CJ261" s="6"/>
      <c r="CK261" s="123"/>
      <c r="CL261" s="6"/>
      <c r="CM261" s="6"/>
      <c r="CN261" s="6"/>
      <c r="CO261" s="138"/>
      <c r="CP261" s="138"/>
      <c r="CQ261" s="123"/>
      <c r="CR261" s="6"/>
      <c r="CS261" s="6"/>
      <c r="CT261" s="139"/>
      <c r="CU261" s="139"/>
      <c r="CV261" s="76"/>
      <c r="CW261" s="123"/>
      <c r="CX261" s="6"/>
      <c r="DI261" s="125"/>
      <c r="DJ261" s="16"/>
      <c r="DM261" s="16"/>
      <c r="DN261" s="16"/>
      <c r="DO261" s="125"/>
      <c r="DP261" s="16"/>
      <c r="DQ261" s="125"/>
      <c r="DZ261" s="125"/>
      <c r="EA261" s="142"/>
      <c r="EB261" s="125"/>
      <c r="EC261" s="16"/>
      <c r="ED261" s="125"/>
      <c r="EE261" s="125"/>
      <c r="EF261" s="16"/>
      <c r="EG261" s="125"/>
      <c r="EQ261" s="125"/>
      <c r="ER261" s="16"/>
      <c r="ES261" s="123"/>
      <c r="ET261" s="19"/>
      <c r="EU261" s="139"/>
      <c r="EV261" s="139"/>
      <c r="EW261" s="123"/>
      <c r="EX261" s="123"/>
      <c r="EY261" s="123"/>
      <c r="EZ261" s="123"/>
      <c r="FA261" s="123"/>
      <c r="FB261" s="123"/>
      <c r="FC261" s="6"/>
      <c r="FD261" s="123"/>
      <c r="FE261" s="6"/>
      <c r="FF261" s="123"/>
      <c r="FG261" s="6"/>
      <c r="FH261" s="6"/>
      <c r="FI261" s="6"/>
      <c r="FJ261" s="6"/>
      <c r="FK261" s="123"/>
      <c r="FL261" s="6"/>
      <c r="FM261" s="6"/>
      <c r="FN261" s="6"/>
      <c r="FO261" s="138"/>
      <c r="FP261" s="138"/>
      <c r="FQ261" s="123"/>
      <c r="FR261" s="6"/>
      <c r="FS261" s="6"/>
      <c r="FT261" s="139"/>
      <c r="FU261" s="139"/>
      <c r="FV261" s="76"/>
      <c r="FW261" s="123"/>
      <c r="FX261" s="6"/>
    </row>
    <row r="262" spans="35:180">
      <c r="AI262" s="125"/>
      <c r="AJ262" s="16"/>
      <c r="AM262" s="16"/>
      <c r="AN262" s="16"/>
      <c r="AO262" s="125"/>
      <c r="AP262" s="16"/>
      <c r="AQ262" s="125"/>
      <c r="AZ262" s="125"/>
      <c r="BA262" s="142"/>
      <c r="BB262" s="125"/>
      <c r="BC262" s="16"/>
      <c r="BD262" s="125"/>
      <c r="BE262" s="125"/>
      <c r="BF262" s="16"/>
      <c r="BG262" s="125"/>
      <c r="BQ262" s="125"/>
      <c r="BR262" s="16"/>
      <c r="BS262" s="123"/>
      <c r="BT262" s="19"/>
      <c r="BU262" s="139"/>
      <c r="BV262" s="139"/>
      <c r="BW262" s="123"/>
      <c r="BX262" s="123"/>
      <c r="BY262" s="123"/>
      <c r="BZ262" s="123"/>
      <c r="CA262" s="123"/>
      <c r="CB262" s="123"/>
      <c r="CC262" s="6"/>
      <c r="CD262" s="123"/>
      <c r="CE262" s="6"/>
      <c r="CF262" s="123"/>
      <c r="CG262" s="6"/>
      <c r="CH262" s="6"/>
      <c r="CI262" s="6"/>
      <c r="CJ262" s="6"/>
      <c r="CK262" s="123"/>
      <c r="CL262" s="6"/>
      <c r="CM262" s="6"/>
      <c r="CN262" s="6"/>
      <c r="CO262" s="138"/>
      <c r="CP262" s="138"/>
      <c r="CQ262" s="123"/>
      <c r="CR262" s="6"/>
      <c r="CS262" s="6"/>
      <c r="CT262" s="139"/>
      <c r="CU262" s="139"/>
      <c r="CV262" s="76"/>
      <c r="CW262" s="123"/>
      <c r="CX262" s="6"/>
      <c r="DI262" s="125"/>
      <c r="DJ262" s="16"/>
      <c r="DM262" s="16"/>
      <c r="DN262" s="16"/>
      <c r="DO262" s="125"/>
      <c r="DP262" s="16"/>
      <c r="DQ262" s="125"/>
      <c r="DZ262" s="125"/>
      <c r="EA262" s="142"/>
      <c r="EB262" s="125"/>
      <c r="EC262" s="16"/>
      <c r="ED262" s="125"/>
      <c r="EE262" s="125"/>
      <c r="EF262" s="16"/>
      <c r="EG262" s="125"/>
      <c r="EQ262" s="125"/>
      <c r="ER262" s="16"/>
      <c r="ES262" s="123"/>
      <c r="ET262" s="19"/>
      <c r="EU262" s="139"/>
      <c r="EV262" s="139"/>
      <c r="EW262" s="123"/>
      <c r="EX262" s="123"/>
      <c r="EY262" s="123"/>
      <c r="EZ262" s="123"/>
      <c r="FA262" s="123"/>
      <c r="FB262" s="123"/>
      <c r="FC262" s="6"/>
      <c r="FD262" s="123"/>
      <c r="FE262" s="6"/>
      <c r="FF262" s="123"/>
      <c r="FG262" s="6"/>
      <c r="FH262" s="6"/>
      <c r="FI262" s="6"/>
      <c r="FJ262" s="6"/>
      <c r="FK262" s="123"/>
      <c r="FL262" s="6"/>
      <c r="FM262" s="6"/>
      <c r="FN262" s="6"/>
      <c r="FO262" s="138"/>
      <c r="FP262" s="138"/>
      <c r="FQ262" s="123"/>
      <c r="FR262" s="6"/>
      <c r="FS262" s="6"/>
      <c r="FT262" s="139"/>
      <c r="FU262" s="139"/>
      <c r="FV262" s="76"/>
      <c r="FW262" s="123"/>
      <c r="FX262" s="6"/>
    </row>
    <row r="263" spans="35:180">
      <c r="AI263" s="125"/>
      <c r="AJ263" s="16"/>
      <c r="AM263" s="16"/>
      <c r="AN263" s="16"/>
      <c r="AO263" s="125"/>
      <c r="AP263" s="16"/>
      <c r="AQ263" s="125"/>
      <c r="AZ263" s="125"/>
      <c r="BA263" s="142"/>
      <c r="BB263" s="125"/>
      <c r="BC263" s="16"/>
      <c r="BD263" s="125"/>
      <c r="BE263" s="125"/>
      <c r="BF263" s="16"/>
      <c r="BG263" s="125"/>
      <c r="BQ263" s="125"/>
      <c r="BR263" s="16"/>
      <c r="BS263" s="123"/>
      <c r="BT263" s="19"/>
      <c r="BU263" s="139"/>
      <c r="BV263" s="139"/>
      <c r="BW263" s="123"/>
      <c r="BX263" s="123"/>
      <c r="BY263" s="123"/>
      <c r="BZ263" s="123"/>
      <c r="CA263" s="123"/>
      <c r="CB263" s="123"/>
      <c r="CC263" s="6"/>
      <c r="CD263" s="123"/>
      <c r="CE263" s="6"/>
      <c r="CF263" s="123"/>
      <c r="CG263" s="6"/>
      <c r="CH263" s="6"/>
      <c r="CI263" s="6"/>
      <c r="CJ263" s="6"/>
      <c r="CK263" s="123"/>
      <c r="CL263" s="6"/>
      <c r="CM263" s="6"/>
      <c r="CN263" s="6"/>
      <c r="CO263" s="138"/>
      <c r="CP263" s="138"/>
      <c r="CQ263" s="123"/>
      <c r="CR263" s="6"/>
      <c r="CS263" s="6"/>
      <c r="CT263" s="139"/>
      <c r="CU263" s="139"/>
      <c r="CV263" s="76"/>
      <c r="CW263" s="123"/>
      <c r="CX263" s="6"/>
      <c r="DI263" s="125"/>
      <c r="DJ263" s="16"/>
      <c r="DM263" s="16"/>
      <c r="DN263" s="16"/>
      <c r="DO263" s="125"/>
      <c r="DP263" s="16"/>
      <c r="DQ263" s="125"/>
      <c r="DZ263" s="125"/>
      <c r="EA263" s="142"/>
      <c r="EB263" s="125"/>
      <c r="EC263" s="16"/>
      <c r="ED263" s="125"/>
      <c r="EE263" s="125"/>
      <c r="EF263" s="16"/>
      <c r="EG263" s="125"/>
      <c r="EQ263" s="125"/>
      <c r="ER263" s="16"/>
      <c r="ES263" s="123"/>
      <c r="ET263" s="19"/>
      <c r="EU263" s="139"/>
      <c r="EV263" s="139"/>
      <c r="EW263" s="123"/>
      <c r="EX263" s="123"/>
      <c r="EY263" s="123"/>
      <c r="EZ263" s="123"/>
      <c r="FA263" s="123"/>
      <c r="FB263" s="123"/>
      <c r="FC263" s="6"/>
      <c r="FD263" s="123"/>
      <c r="FE263" s="6"/>
      <c r="FF263" s="123"/>
      <c r="FG263" s="6"/>
      <c r="FH263" s="6"/>
      <c r="FI263" s="6"/>
      <c r="FJ263" s="6"/>
      <c r="FK263" s="123"/>
      <c r="FL263" s="6"/>
      <c r="FM263" s="6"/>
      <c r="FN263" s="6"/>
      <c r="FO263" s="138"/>
      <c r="FP263" s="138"/>
      <c r="FQ263" s="123"/>
      <c r="FR263" s="6"/>
      <c r="FS263" s="6"/>
      <c r="FT263" s="139"/>
      <c r="FU263" s="139"/>
      <c r="FV263" s="76"/>
      <c r="FW263" s="123"/>
      <c r="FX263" s="6"/>
    </row>
    <row r="264" spans="35:180">
      <c r="AI264" s="125"/>
      <c r="AJ264" s="16"/>
      <c r="AM264" s="16"/>
      <c r="AN264" s="16"/>
      <c r="AO264" s="125"/>
      <c r="AP264" s="16"/>
      <c r="AQ264" s="125"/>
      <c r="AZ264" s="125"/>
      <c r="BA264" s="142"/>
      <c r="BB264" s="125"/>
      <c r="BC264" s="16"/>
      <c r="BD264" s="125"/>
      <c r="BE264" s="125"/>
      <c r="BF264" s="16"/>
      <c r="BG264" s="125"/>
      <c r="BQ264" s="125"/>
      <c r="BR264" s="16"/>
      <c r="BS264" s="123"/>
      <c r="BT264" s="19"/>
      <c r="BU264" s="139"/>
      <c r="BV264" s="139"/>
      <c r="BW264" s="123"/>
      <c r="BX264" s="123"/>
      <c r="BY264" s="123"/>
      <c r="BZ264" s="123"/>
      <c r="CA264" s="123"/>
      <c r="CB264" s="123"/>
      <c r="CC264" s="6"/>
      <c r="CD264" s="123"/>
      <c r="CE264" s="6"/>
      <c r="CF264" s="123"/>
      <c r="CG264" s="6"/>
      <c r="CH264" s="6"/>
      <c r="CI264" s="6"/>
      <c r="CJ264" s="6"/>
      <c r="CK264" s="123"/>
      <c r="CL264" s="6"/>
      <c r="CM264" s="6"/>
      <c r="CN264" s="6"/>
      <c r="CO264" s="138"/>
      <c r="CP264" s="138"/>
      <c r="CQ264" s="123"/>
      <c r="CR264" s="6"/>
      <c r="CS264" s="6"/>
      <c r="CT264" s="139"/>
      <c r="CU264" s="139"/>
      <c r="CV264" s="76"/>
      <c r="CW264" s="123"/>
      <c r="CX264" s="6"/>
      <c r="DI264" s="125"/>
      <c r="DJ264" s="16"/>
      <c r="DM264" s="16"/>
      <c r="DN264" s="16"/>
      <c r="DO264" s="125"/>
      <c r="DP264" s="16"/>
      <c r="DQ264" s="125"/>
      <c r="DZ264" s="125"/>
      <c r="EA264" s="142"/>
      <c r="EB264" s="125"/>
      <c r="EC264" s="16"/>
      <c r="ED264" s="125"/>
      <c r="EE264" s="125"/>
      <c r="EF264" s="16"/>
      <c r="EG264" s="125"/>
      <c r="EQ264" s="125"/>
      <c r="ER264" s="16"/>
      <c r="ES264" s="123"/>
      <c r="ET264" s="19"/>
      <c r="EU264" s="139"/>
      <c r="EV264" s="139"/>
      <c r="EW264" s="123"/>
      <c r="EX264" s="123"/>
      <c r="EY264" s="123"/>
      <c r="EZ264" s="123"/>
      <c r="FA264" s="123"/>
      <c r="FB264" s="123"/>
      <c r="FC264" s="6"/>
      <c r="FD264" s="123"/>
      <c r="FE264" s="6"/>
      <c r="FF264" s="123"/>
      <c r="FG264" s="6"/>
      <c r="FH264" s="6"/>
      <c r="FI264" s="6"/>
      <c r="FJ264" s="6"/>
      <c r="FK264" s="123"/>
      <c r="FL264" s="6"/>
      <c r="FM264" s="6"/>
      <c r="FN264" s="6"/>
      <c r="FO264" s="138"/>
      <c r="FP264" s="138"/>
      <c r="FQ264" s="123"/>
      <c r="FR264" s="6"/>
      <c r="FS264" s="6"/>
      <c r="FT264" s="139"/>
      <c r="FU264" s="139"/>
      <c r="FV264" s="76"/>
      <c r="FW264" s="123"/>
      <c r="FX264" s="6"/>
    </row>
    <row r="265" spans="35:180">
      <c r="AI265" s="125"/>
      <c r="AJ265" s="16"/>
      <c r="AM265" s="16"/>
      <c r="AN265" s="16"/>
      <c r="AO265" s="125"/>
      <c r="AP265" s="16"/>
      <c r="AQ265" s="125"/>
      <c r="AZ265" s="125"/>
      <c r="BA265" s="142"/>
      <c r="BB265" s="125"/>
      <c r="BC265" s="16"/>
      <c r="BD265" s="125"/>
      <c r="BE265" s="125"/>
      <c r="BF265" s="16"/>
      <c r="BG265" s="125"/>
      <c r="BQ265" s="125"/>
      <c r="BR265" s="16"/>
      <c r="BS265" s="123"/>
      <c r="BT265" s="19"/>
      <c r="BU265" s="139"/>
      <c r="BV265" s="139"/>
      <c r="BW265" s="123"/>
      <c r="BX265" s="123"/>
      <c r="BY265" s="123"/>
      <c r="BZ265" s="123"/>
      <c r="CA265" s="123"/>
      <c r="CB265" s="123"/>
      <c r="CC265" s="6"/>
      <c r="CD265" s="123"/>
      <c r="CE265" s="6"/>
      <c r="CF265" s="123"/>
      <c r="CG265" s="6"/>
      <c r="CH265" s="6"/>
      <c r="CI265" s="6"/>
      <c r="CJ265" s="6"/>
      <c r="CK265" s="123"/>
      <c r="CL265" s="6"/>
      <c r="CM265" s="6"/>
      <c r="CN265" s="6"/>
      <c r="CO265" s="138"/>
      <c r="CP265" s="138"/>
      <c r="CQ265" s="123"/>
      <c r="CR265" s="6"/>
      <c r="CS265" s="6"/>
      <c r="CT265" s="139"/>
      <c r="CU265" s="139"/>
      <c r="CV265" s="76"/>
      <c r="CW265" s="123"/>
      <c r="CX265" s="6"/>
      <c r="DI265" s="125"/>
      <c r="DJ265" s="16"/>
      <c r="DM265" s="16"/>
      <c r="DN265" s="16"/>
      <c r="DO265" s="125"/>
      <c r="DP265" s="16"/>
      <c r="DQ265" s="125"/>
      <c r="DZ265" s="125"/>
      <c r="EA265" s="142"/>
      <c r="EB265" s="125"/>
      <c r="EC265" s="16"/>
      <c r="ED265" s="125"/>
      <c r="EE265" s="125"/>
      <c r="EF265" s="16"/>
      <c r="EG265" s="125"/>
      <c r="EQ265" s="125"/>
      <c r="ER265" s="16"/>
      <c r="ES265" s="123"/>
      <c r="ET265" s="19"/>
      <c r="EU265" s="139"/>
      <c r="EV265" s="139"/>
      <c r="EW265" s="123"/>
      <c r="EX265" s="123"/>
      <c r="EY265" s="123"/>
      <c r="EZ265" s="123"/>
      <c r="FA265" s="123"/>
      <c r="FB265" s="123"/>
      <c r="FC265" s="6"/>
      <c r="FD265" s="123"/>
      <c r="FE265" s="6"/>
      <c r="FF265" s="123"/>
      <c r="FG265" s="6"/>
      <c r="FH265" s="6"/>
      <c r="FI265" s="6"/>
      <c r="FJ265" s="6"/>
      <c r="FK265" s="123"/>
      <c r="FL265" s="6"/>
      <c r="FM265" s="6"/>
      <c r="FN265" s="6"/>
      <c r="FO265" s="138"/>
      <c r="FP265" s="138"/>
      <c r="FQ265" s="123"/>
      <c r="FR265" s="6"/>
      <c r="FS265" s="6"/>
      <c r="FT265" s="139"/>
      <c r="FU265" s="139"/>
      <c r="FV265" s="76"/>
      <c r="FW265" s="123"/>
      <c r="FX265" s="6"/>
    </row>
    <row r="266" spans="35:180">
      <c r="AI266" s="125"/>
      <c r="AJ266" s="16"/>
      <c r="AM266" s="16"/>
      <c r="AN266" s="16"/>
      <c r="AO266" s="125"/>
      <c r="AP266" s="16"/>
      <c r="AQ266" s="125"/>
      <c r="AZ266" s="125"/>
      <c r="BA266" s="142"/>
      <c r="BB266" s="125"/>
      <c r="BC266" s="16"/>
      <c r="BD266" s="125"/>
      <c r="BE266" s="125"/>
      <c r="BF266" s="16"/>
      <c r="BG266" s="125"/>
      <c r="BQ266" s="125"/>
      <c r="BR266" s="16"/>
      <c r="BS266" s="123"/>
      <c r="BT266" s="19"/>
      <c r="BU266" s="139"/>
      <c r="BV266" s="139"/>
      <c r="BW266" s="123"/>
      <c r="BX266" s="123"/>
      <c r="BY266" s="123"/>
      <c r="BZ266" s="123"/>
      <c r="CA266" s="123"/>
      <c r="CB266" s="123"/>
      <c r="CC266" s="6"/>
      <c r="CD266" s="123"/>
      <c r="CE266" s="6"/>
      <c r="CF266" s="123"/>
      <c r="CG266" s="6"/>
      <c r="CH266" s="6"/>
      <c r="CI266" s="6"/>
      <c r="CJ266" s="6"/>
      <c r="CK266" s="123"/>
      <c r="CL266" s="6"/>
      <c r="CM266" s="6"/>
      <c r="CN266" s="6"/>
      <c r="CO266" s="138"/>
      <c r="CP266" s="138"/>
      <c r="CQ266" s="123"/>
      <c r="CR266" s="6"/>
      <c r="CS266" s="6"/>
      <c r="CT266" s="139"/>
      <c r="CU266" s="139"/>
      <c r="CV266" s="76"/>
      <c r="CW266" s="123"/>
      <c r="CX266" s="6"/>
      <c r="DI266" s="125"/>
      <c r="DJ266" s="16"/>
      <c r="DM266" s="16"/>
      <c r="DN266" s="16"/>
      <c r="DO266" s="125"/>
      <c r="DP266" s="16"/>
      <c r="DQ266" s="125"/>
      <c r="DZ266" s="125"/>
      <c r="EA266" s="142"/>
      <c r="EB266" s="125"/>
      <c r="EC266" s="16"/>
      <c r="ED266" s="125"/>
      <c r="EE266" s="125"/>
      <c r="EF266" s="16"/>
      <c r="EG266" s="125"/>
      <c r="EQ266" s="125"/>
      <c r="ER266" s="16"/>
      <c r="ES266" s="123"/>
      <c r="ET266" s="19"/>
      <c r="EU266" s="139"/>
      <c r="EV266" s="139"/>
      <c r="EW266" s="123"/>
      <c r="EX266" s="123"/>
      <c r="EY266" s="123"/>
      <c r="EZ266" s="123"/>
      <c r="FA266" s="123"/>
      <c r="FB266" s="123"/>
      <c r="FC266" s="6"/>
      <c r="FD266" s="123"/>
      <c r="FE266" s="6"/>
      <c r="FF266" s="123"/>
      <c r="FG266" s="6"/>
      <c r="FH266" s="6"/>
      <c r="FI266" s="6"/>
      <c r="FJ266" s="6"/>
      <c r="FK266" s="123"/>
      <c r="FL266" s="6"/>
      <c r="FM266" s="6"/>
      <c r="FN266" s="6"/>
      <c r="FO266" s="138"/>
      <c r="FP266" s="138"/>
      <c r="FQ266" s="123"/>
      <c r="FR266" s="6"/>
      <c r="FS266" s="6"/>
      <c r="FT266" s="139"/>
      <c r="FU266" s="139"/>
      <c r="FV266" s="76"/>
      <c r="FW266" s="123"/>
      <c r="FX266" s="6"/>
    </row>
    <row r="267" spans="35:180">
      <c r="AI267" s="125"/>
      <c r="AJ267" s="16"/>
      <c r="AM267" s="16"/>
      <c r="AN267" s="16"/>
      <c r="AO267" s="125"/>
      <c r="AP267" s="16"/>
      <c r="AQ267" s="125"/>
      <c r="AZ267" s="125"/>
      <c r="BA267" s="142"/>
      <c r="BB267" s="125"/>
      <c r="BC267" s="16"/>
      <c r="BD267" s="125"/>
      <c r="BE267" s="125"/>
      <c r="BF267" s="16"/>
      <c r="BG267" s="125"/>
      <c r="BQ267" s="125"/>
      <c r="BR267" s="16"/>
      <c r="BS267" s="123"/>
      <c r="BT267" s="19"/>
      <c r="BU267" s="139"/>
      <c r="BV267" s="139"/>
      <c r="BW267" s="123"/>
      <c r="BX267" s="123"/>
      <c r="BY267" s="123"/>
      <c r="BZ267" s="123"/>
      <c r="CA267" s="123"/>
      <c r="CB267" s="123"/>
      <c r="CC267" s="6"/>
      <c r="CD267" s="123"/>
      <c r="CE267" s="6"/>
      <c r="CF267" s="123"/>
      <c r="CG267" s="6"/>
      <c r="CH267" s="6"/>
      <c r="CI267" s="6"/>
      <c r="CJ267" s="6"/>
      <c r="CK267" s="123"/>
      <c r="CL267" s="6"/>
      <c r="CM267" s="6"/>
      <c r="CN267" s="6"/>
      <c r="CO267" s="138"/>
      <c r="CP267" s="138"/>
      <c r="CQ267" s="123"/>
      <c r="CR267" s="6"/>
      <c r="CS267" s="6"/>
      <c r="CT267" s="139"/>
      <c r="CU267" s="139"/>
      <c r="CV267" s="76"/>
      <c r="CW267" s="123"/>
      <c r="CX267" s="6"/>
      <c r="DI267" s="125"/>
      <c r="DJ267" s="16"/>
      <c r="DM267" s="16"/>
      <c r="DN267" s="16"/>
      <c r="DO267" s="125"/>
      <c r="DP267" s="16"/>
      <c r="DQ267" s="125"/>
      <c r="DZ267" s="125"/>
      <c r="EA267" s="142"/>
      <c r="EB267" s="125"/>
      <c r="EC267" s="16"/>
      <c r="ED267" s="125"/>
      <c r="EE267" s="125"/>
      <c r="EF267" s="16"/>
      <c r="EG267" s="125"/>
      <c r="EQ267" s="125"/>
      <c r="ER267" s="16"/>
      <c r="ES267" s="123"/>
      <c r="ET267" s="19"/>
      <c r="EU267" s="139"/>
      <c r="EV267" s="139"/>
      <c r="EW267" s="123"/>
      <c r="EX267" s="123"/>
      <c r="EY267" s="123"/>
      <c r="EZ267" s="123"/>
      <c r="FA267" s="123"/>
      <c r="FB267" s="123"/>
      <c r="FC267" s="6"/>
      <c r="FD267" s="123"/>
      <c r="FE267" s="6"/>
      <c r="FF267" s="123"/>
      <c r="FG267" s="6"/>
      <c r="FH267" s="6"/>
      <c r="FI267" s="6"/>
      <c r="FJ267" s="6"/>
      <c r="FK267" s="123"/>
      <c r="FL267" s="6"/>
      <c r="FM267" s="6"/>
      <c r="FN267" s="6"/>
      <c r="FO267" s="138"/>
      <c r="FP267" s="138"/>
      <c r="FQ267" s="123"/>
      <c r="FR267" s="6"/>
      <c r="FS267" s="6"/>
      <c r="FT267" s="139"/>
      <c r="FU267" s="139"/>
      <c r="FV267" s="76"/>
      <c r="FW267" s="123"/>
      <c r="FX267" s="6"/>
    </row>
    <row r="268" spans="35:180">
      <c r="AI268" s="125"/>
      <c r="AJ268" s="16"/>
      <c r="AM268" s="16"/>
      <c r="AN268" s="16"/>
      <c r="AO268" s="125"/>
      <c r="AP268" s="16"/>
      <c r="AQ268" s="125"/>
      <c r="AZ268" s="125"/>
      <c r="BA268" s="142"/>
      <c r="BB268" s="125"/>
      <c r="BC268" s="16"/>
      <c r="BD268" s="125"/>
      <c r="BE268" s="125"/>
      <c r="BF268" s="16"/>
      <c r="BG268" s="125"/>
      <c r="BQ268" s="125"/>
      <c r="BR268" s="16"/>
      <c r="BS268" s="123"/>
      <c r="BT268" s="19"/>
      <c r="BU268" s="139"/>
      <c r="BV268" s="139"/>
      <c r="BW268" s="123"/>
      <c r="BX268" s="123"/>
      <c r="BY268" s="123"/>
      <c r="BZ268" s="123"/>
      <c r="CA268" s="123"/>
      <c r="CB268" s="123"/>
      <c r="CC268" s="6"/>
      <c r="CD268" s="123"/>
      <c r="CE268" s="6"/>
      <c r="CF268" s="123"/>
      <c r="CG268" s="6"/>
      <c r="CH268" s="6"/>
      <c r="CI268" s="6"/>
      <c r="CJ268" s="6"/>
      <c r="CK268" s="123"/>
      <c r="CL268" s="6"/>
      <c r="CM268" s="6"/>
      <c r="CN268" s="6"/>
      <c r="CO268" s="138"/>
      <c r="CP268" s="138"/>
      <c r="CQ268" s="123"/>
      <c r="CR268" s="6"/>
      <c r="CS268" s="6"/>
      <c r="CT268" s="139"/>
      <c r="CU268" s="139"/>
      <c r="CV268" s="76"/>
      <c r="CW268" s="123"/>
      <c r="CX268" s="6"/>
      <c r="DI268" s="125"/>
      <c r="DJ268" s="16"/>
      <c r="DM268" s="16"/>
      <c r="DN268" s="16"/>
      <c r="DO268" s="125"/>
      <c r="DP268" s="16"/>
      <c r="DQ268" s="125"/>
      <c r="DZ268" s="125"/>
      <c r="EA268" s="142"/>
      <c r="EB268" s="125"/>
      <c r="EC268" s="16"/>
      <c r="ED268" s="125"/>
      <c r="EE268" s="125"/>
      <c r="EF268" s="16"/>
      <c r="EG268" s="125"/>
      <c r="EQ268" s="125"/>
      <c r="ER268" s="16"/>
      <c r="ES268" s="123"/>
      <c r="ET268" s="19"/>
      <c r="EU268" s="139"/>
      <c r="EV268" s="139"/>
      <c r="EW268" s="123"/>
      <c r="EX268" s="123"/>
      <c r="EY268" s="123"/>
      <c r="EZ268" s="123"/>
      <c r="FA268" s="123"/>
      <c r="FB268" s="123"/>
      <c r="FC268" s="6"/>
      <c r="FD268" s="123"/>
      <c r="FE268" s="6"/>
      <c r="FF268" s="123"/>
      <c r="FG268" s="6"/>
      <c r="FH268" s="6"/>
      <c r="FI268" s="6"/>
      <c r="FJ268" s="6"/>
      <c r="FK268" s="123"/>
      <c r="FL268" s="6"/>
      <c r="FM268" s="6"/>
      <c r="FN268" s="6"/>
      <c r="FO268" s="138"/>
      <c r="FP268" s="138"/>
      <c r="FQ268" s="123"/>
      <c r="FR268" s="6"/>
      <c r="FS268" s="6"/>
      <c r="FT268" s="139"/>
      <c r="FU268" s="139"/>
      <c r="FV268" s="76"/>
      <c r="FW268" s="123"/>
      <c r="FX268" s="6"/>
    </row>
    <row r="269" spans="35:180">
      <c r="AI269" s="125"/>
      <c r="AJ269" s="16"/>
      <c r="AM269" s="16"/>
      <c r="AN269" s="16"/>
      <c r="AO269" s="125"/>
      <c r="AP269" s="16"/>
      <c r="AQ269" s="125"/>
      <c r="AZ269" s="125"/>
      <c r="BA269" s="142"/>
      <c r="BB269" s="125"/>
      <c r="BC269" s="16"/>
      <c r="BD269" s="125"/>
      <c r="BE269" s="125"/>
      <c r="BF269" s="16"/>
      <c r="BG269" s="125"/>
      <c r="BQ269" s="125"/>
      <c r="BR269" s="16"/>
      <c r="BS269" s="123"/>
      <c r="BT269" s="19"/>
      <c r="BU269" s="139"/>
      <c r="BV269" s="139"/>
      <c r="BW269" s="123"/>
      <c r="BX269" s="123"/>
      <c r="BY269" s="123"/>
      <c r="BZ269" s="123"/>
      <c r="CA269" s="123"/>
      <c r="CB269" s="123"/>
      <c r="CC269" s="6"/>
      <c r="CD269" s="123"/>
      <c r="CE269" s="6"/>
      <c r="CF269" s="123"/>
      <c r="CG269" s="6"/>
      <c r="CH269" s="6"/>
      <c r="CI269" s="6"/>
      <c r="CJ269" s="6"/>
      <c r="CK269" s="123"/>
      <c r="CL269" s="6"/>
      <c r="CM269" s="6"/>
      <c r="CN269" s="6"/>
      <c r="CO269" s="138"/>
      <c r="CP269" s="138"/>
      <c r="CQ269" s="123"/>
      <c r="CR269" s="6"/>
      <c r="CS269" s="6"/>
      <c r="CT269" s="139"/>
      <c r="CU269" s="139"/>
      <c r="CV269" s="76"/>
      <c r="CW269" s="123"/>
      <c r="CX269" s="6"/>
      <c r="DI269" s="125"/>
      <c r="DJ269" s="16"/>
      <c r="DM269" s="16"/>
      <c r="DN269" s="16"/>
      <c r="DO269" s="125"/>
      <c r="DP269" s="16"/>
      <c r="DQ269" s="125"/>
      <c r="DZ269" s="125"/>
      <c r="EA269" s="142"/>
      <c r="EB269" s="125"/>
      <c r="EC269" s="16"/>
      <c r="ED269" s="125"/>
      <c r="EE269" s="125"/>
      <c r="EF269" s="16"/>
      <c r="EG269" s="125"/>
      <c r="EQ269" s="125"/>
      <c r="ER269" s="16"/>
      <c r="ES269" s="123"/>
      <c r="ET269" s="19"/>
      <c r="EU269" s="139"/>
      <c r="EV269" s="139"/>
      <c r="EW269" s="123"/>
      <c r="EX269" s="123"/>
      <c r="EY269" s="123"/>
      <c r="EZ269" s="123"/>
      <c r="FA269" s="123"/>
      <c r="FB269" s="123"/>
      <c r="FC269" s="6"/>
      <c r="FD269" s="123"/>
      <c r="FE269" s="6"/>
      <c r="FF269" s="123"/>
      <c r="FG269" s="6"/>
      <c r="FH269" s="6"/>
      <c r="FI269" s="6"/>
      <c r="FJ269" s="6"/>
      <c r="FK269" s="123"/>
      <c r="FL269" s="6"/>
      <c r="FM269" s="6"/>
      <c r="FN269" s="6"/>
      <c r="FO269" s="138"/>
      <c r="FP269" s="138"/>
      <c r="FQ269" s="123"/>
      <c r="FR269" s="6"/>
      <c r="FS269" s="6"/>
      <c r="FT269" s="139"/>
      <c r="FU269" s="139"/>
      <c r="FV269" s="76"/>
      <c r="FW269" s="123"/>
      <c r="FX269" s="6"/>
    </row>
    <row r="270" spans="35:180">
      <c r="AI270" s="125"/>
      <c r="AJ270" s="16"/>
      <c r="AM270" s="16"/>
      <c r="AN270" s="16"/>
      <c r="AO270" s="125"/>
      <c r="AP270" s="16"/>
      <c r="AQ270" s="125"/>
      <c r="AZ270" s="125"/>
      <c r="BA270" s="142"/>
      <c r="BB270" s="125"/>
      <c r="BC270" s="16"/>
      <c r="BD270" s="125"/>
      <c r="BE270" s="125"/>
      <c r="BF270" s="16"/>
      <c r="BG270" s="125"/>
      <c r="BQ270" s="125"/>
      <c r="BR270" s="16"/>
      <c r="BS270" s="123"/>
      <c r="BT270" s="19"/>
      <c r="BU270" s="139"/>
      <c r="BV270" s="139"/>
      <c r="BW270" s="123"/>
      <c r="BX270" s="123"/>
      <c r="BY270" s="123"/>
      <c r="BZ270" s="123"/>
      <c r="CA270" s="123"/>
      <c r="CB270" s="123"/>
      <c r="CC270" s="6"/>
      <c r="CD270" s="123"/>
      <c r="CE270" s="6"/>
      <c r="CF270" s="123"/>
      <c r="CG270" s="6"/>
      <c r="CH270" s="6"/>
      <c r="CI270" s="6"/>
      <c r="CJ270" s="6"/>
      <c r="CK270" s="123"/>
      <c r="CL270" s="6"/>
      <c r="CM270" s="6"/>
      <c r="CN270" s="6"/>
      <c r="CO270" s="138"/>
      <c r="CP270" s="138"/>
      <c r="CQ270" s="123"/>
      <c r="CR270" s="6"/>
      <c r="CS270" s="6"/>
      <c r="CT270" s="139"/>
      <c r="CU270" s="139"/>
      <c r="CV270" s="76"/>
      <c r="CW270" s="123"/>
      <c r="CX270" s="6"/>
      <c r="DI270" s="125"/>
      <c r="DJ270" s="16"/>
      <c r="DM270" s="16"/>
      <c r="DN270" s="16"/>
      <c r="DO270" s="125"/>
      <c r="DP270" s="16"/>
      <c r="DQ270" s="125"/>
      <c r="DZ270" s="125"/>
      <c r="EA270" s="142"/>
      <c r="EB270" s="125"/>
      <c r="EC270" s="16"/>
      <c r="ED270" s="125"/>
      <c r="EE270" s="125"/>
      <c r="EF270" s="16"/>
      <c r="EG270" s="125"/>
      <c r="EQ270" s="125"/>
      <c r="ER270" s="16"/>
      <c r="ES270" s="123"/>
      <c r="ET270" s="19"/>
      <c r="EU270" s="139"/>
      <c r="EV270" s="139"/>
      <c r="EW270" s="123"/>
      <c r="EX270" s="123"/>
      <c r="EY270" s="123"/>
      <c r="EZ270" s="123"/>
      <c r="FA270" s="123"/>
      <c r="FB270" s="123"/>
      <c r="FC270" s="6"/>
      <c r="FD270" s="123"/>
      <c r="FE270" s="6"/>
      <c r="FF270" s="123"/>
      <c r="FG270" s="6"/>
      <c r="FH270" s="6"/>
      <c r="FI270" s="6"/>
      <c r="FJ270" s="6"/>
      <c r="FK270" s="123"/>
      <c r="FL270" s="6"/>
      <c r="FM270" s="6"/>
      <c r="FN270" s="6"/>
      <c r="FO270" s="138"/>
      <c r="FP270" s="138"/>
      <c r="FQ270" s="123"/>
      <c r="FR270" s="6"/>
      <c r="FS270" s="6"/>
      <c r="FT270" s="139"/>
      <c r="FU270" s="139"/>
      <c r="FV270" s="76"/>
      <c r="FW270" s="123"/>
      <c r="FX270" s="6"/>
    </row>
    <row r="271" spans="35:180">
      <c r="AI271" s="125"/>
      <c r="AJ271" s="16"/>
      <c r="AM271" s="16"/>
      <c r="AN271" s="16"/>
      <c r="AO271" s="125"/>
      <c r="AP271" s="16"/>
      <c r="AQ271" s="125"/>
      <c r="AZ271" s="125"/>
      <c r="BA271" s="142"/>
      <c r="BB271" s="125"/>
      <c r="BC271" s="16"/>
      <c r="BD271" s="125"/>
      <c r="BE271" s="125"/>
      <c r="BF271" s="16"/>
      <c r="BG271" s="125"/>
      <c r="BQ271" s="125"/>
      <c r="BR271" s="16"/>
      <c r="BS271" s="123"/>
      <c r="BT271" s="19"/>
      <c r="BU271" s="139"/>
      <c r="BV271" s="139"/>
      <c r="BW271" s="123"/>
      <c r="BX271" s="123"/>
      <c r="BY271" s="123"/>
      <c r="BZ271" s="123"/>
      <c r="CA271" s="123"/>
      <c r="CB271" s="123"/>
      <c r="CC271" s="6"/>
      <c r="CD271" s="123"/>
      <c r="CE271" s="6"/>
      <c r="CF271" s="123"/>
      <c r="CG271" s="6"/>
      <c r="CH271" s="6"/>
      <c r="CI271" s="6"/>
      <c r="CJ271" s="6"/>
      <c r="CK271" s="123"/>
      <c r="CL271" s="6"/>
      <c r="CM271" s="6"/>
      <c r="CN271" s="6"/>
      <c r="CO271" s="138"/>
      <c r="CP271" s="138"/>
      <c r="CQ271" s="123"/>
      <c r="CR271" s="6"/>
      <c r="CS271" s="6"/>
      <c r="CT271" s="139"/>
      <c r="CU271" s="139"/>
      <c r="CV271" s="76"/>
      <c r="CW271" s="123"/>
      <c r="CX271" s="6"/>
      <c r="DI271" s="125"/>
      <c r="DJ271" s="16"/>
      <c r="DM271" s="16"/>
      <c r="DN271" s="16"/>
      <c r="DO271" s="125"/>
      <c r="DP271" s="16"/>
      <c r="DQ271" s="125"/>
      <c r="DZ271" s="125"/>
      <c r="EA271" s="142"/>
      <c r="EB271" s="125"/>
      <c r="EC271" s="16"/>
      <c r="ED271" s="125"/>
      <c r="EE271" s="125"/>
      <c r="EF271" s="16"/>
      <c r="EG271" s="125"/>
      <c r="EQ271" s="125"/>
      <c r="ER271" s="16"/>
      <c r="ES271" s="123"/>
      <c r="ET271" s="19"/>
      <c r="EU271" s="139"/>
      <c r="EV271" s="139"/>
      <c r="EW271" s="123"/>
      <c r="EX271" s="123"/>
      <c r="EY271" s="123"/>
      <c r="EZ271" s="123"/>
      <c r="FA271" s="123"/>
      <c r="FB271" s="123"/>
      <c r="FC271" s="6"/>
      <c r="FD271" s="123"/>
      <c r="FE271" s="6"/>
      <c r="FF271" s="123"/>
      <c r="FG271" s="6"/>
      <c r="FH271" s="6"/>
      <c r="FI271" s="6"/>
      <c r="FJ271" s="6"/>
      <c r="FK271" s="123"/>
      <c r="FL271" s="6"/>
      <c r="FM271" s="6"/>
      <c r="FN271" s="6"/>
      <c r="FO271" s="138"/>
      <c r="FP271" s="138"/>
      <c r="FQ271" s="123"/>
      <c r="FR271" s="6"/>
      <c r="FS271" s="6"/>
      <c r="FT271" s="139"/>
      <c r="FU271" s="139"/>
      <c r="FV271" s="76"/>
      <c r="FW271" s="123"/>
      <c r="FX271" s="6"/>
    </row>
    <row r="272" spans="35:180">
      <c r="AI272" s="125"/>
      <c r="AJ272" s="16"/>
      <c r="AM272" s="16"/>
      <c r="AN272" s="16"/>
      <c r="AO272" s="125"/>
      <c r="AP272" s="16"/>
      <c r="AQ272" s="125"/>
      <c r="AZ272" s="125"/>
      <c r="BA272" s="142"/>
      <c r="BB272" s="125"/>
      <c r="BC272" s="16"/>
      <c r="BD272" s="125"/>
      <c r="BE272" s="125"/>
      <c r="BF272" s="16"/>
      <c r="BG272" s="125"/>
      <c r="BQ272" s="125"/>
      <c r="BR272" s="16"/>
      <c r="BS272" s="123"/>
      <c r="BT272" s="19"/>
      <c r="BU272" s="139"/>
      <c r="BV272" s="139"/>
      <c r="BW272" s="123"/>
      <c r="BX272" s="123"/>
      <c r="BY272" s="123"/>
      <c r="BZ272" s="123"/>
      <c r="CA272" s="123"/>
      <c r="CB272" s="123"/>
      <c r="CC272" s="6"/>
      <c r="CD272" s="123"/>
      <c r="CE272" s="6"/>
      <c r="CF272" s="123"/>
      <c r="CG272" s="6"/>
      <c r="CH272" s="6"/>
      <c r="CI272" s="6"/>
      <c r="CJ272" s="6"/>
      <c r="CK272" s="123"/>
      <c r="CL272" s="6"/>
      <c r="CM272" s="6"/>
      <c r="CN272" s="6"/>
      <c r="CO272" s="138"/>
      <c r="CP272" s="138"/>
      <c r="CQ272" s="123"/>
      <c r="CR272" s="6"/>
      <c r="CS272" s="6"/>
      <c r="CT272" s="139"/>
      <c r="CU272" s="139"/>
      <c r="CV272" s="76"/>
      <c r="CW272" s="123"/>
      <c r="CX272" s="6"/>
      <c r="DI272" s="125"/>
      <c r="DJ272" s="16"/>
      <c r="DM272" s="16"/>
      <c r="DN272" s="16"/>
      <c r="DO272" s="125"/>
      <c r="DP272" s="16"/>
      <c r="DQ272" s="125"/>
      <c r="DZ272" s="125"/>
      <c r="EA272" s="142"/>
      <c r="EB272" s="125"/>
      <c r="EC272" s="16"/>
      <c r="ED272" s="125"/>
      <c r="EE272" s="125"/>
      <c r="EF272" s="16"/>
      <c r="EG272" s="125"/>
      <c r="EQ272" s="125"/>
      <c r="ER272" s="16"/>
      <c r="ES272" s="123"/>
      <c r="ET272" s="19"/>
      <c r="EU272" s="139"/>
      <c r="EV272" s="139"/>
      <c r="EW272" s="123"/>
      <c r="EX272" s="123"/>
      <c r="EY272" s="123"/>
      <c r="EZ272" s="123"/>
      <c r="FA272" s="123"/>
      <c r="FB272" s="123"/>
      <c r="FC272" s="6"/>
      <c r="FD272" s="123"/>
      <c r="FE272" s="6"/>
      <c r="FF272" s="123"/>
      <c r="FG272" s="6"/>
      <c r="FH272" s="6"/>
      <c r="FI272" s="6"/>
      <c r="FJ272" s="6"/>
      <c r="FK272" s="123"/>
      <c r="FL272" s="6"/>
      <c r="FM272" s="6"/>
      <c r="FN272" s="6"/>
      <c r="FO272" s="138"/>
      <c r="FP272" s="138"/>
      <c r="FQ272" s="123"/>
      <c r="FR272" s="6"/>
      <c r="FS272" s="6"/>
      <c r="FT272" s="139"/>
      <c r="FU272" s="139"/>
      <c r="FV272" s="76"/>
      <c r="FW272" s="123"/>
      <c r="FX272" s="6"/>
    </row>
    <row r="273" spans="35:180">
      <c r="AI273" s="125"/>
      <c r="AJ273" s="16"/>
      <c r="AM273" s="16"/>
      <c r="AN273" s="16"/>
      <c r="AO273" s="125"/>
      <c r="AP273" s="16"/>
      <c r="AQ273" s="125"/>
      <c r="AZ273" s="125"/>
      <c r="BA273" s="142"/>
      <c r="BB273" s="125"/>
      <c r="BC273" s="16"/>
      <c r="BD273" s="125"/>
      <c r="BE273" s="125"/>
      <c r="BF273" s="16"/>
      <c r="BG273" s="125"/>
      <c r="BQ273" s="125"/>
      <c r="BR273" s="16"/>
      <c r="BS273" s="123"/>
      <c r="BT273" s="19"/>
      <c r="BU273" s="139"/>
      <c r="BV273" s="139"/>
      <c r="BW273" s="123"/>
      <c r="BX273" s="123"/>
      <c r="BY273" s="123"/>
      <c r="BZ273" s="123"/>
      <c r="CA273" s="123"/>
      <c r="CB273" s="123"/>
      <c r="CC273" s="6"/>
      <c r="CD273" s="123"/>
      <c r="CE273" s="6"/>
      <c r="CF273" s="123"/>
      <c r="CG273" s="6"/>
      <c r="CH273" s="6"/>
      <c r="CI273" s="6"/>
      <c r="CJ273" s="6"/>
      <c r="CK273" s="123"/>
      <c r="CL273" s="6"/>
      <c r="CM273" s="6"/>
      <c r="CN273" s="6"/>
      <c r="CO273" s="138"/>
      <c r="CP273" s="138"/>
      <c r="CQ273" s="123"/>
      <c r="CR273" s="6"/>
      <c r="CS273" s="6"/>
      <c r="CT273" s="139"/>
      <c r="CU273" s="139"/>
      <c r="CV273" s="76"/>
      <c r="CW273" s="123"/>
      <c r="CX273" s="6"/>
      <c r="DI273" s="125"/>
      <c r="DJ273" s="16"/>
      <c r="DM273" s="16"/>
      <c r="DN273" s="16"/>
      <c r="DO273" s="125"/>
      <c r="DP273" s="16"/>
      <c r="DQ273" s="125"/>
      <c r="DZ273" s="125"/>
      <c r="EA273" s="142"/>
      <c r="EB273" s="125"/>
      <c r="EC273" s="16"/>
      <c r="ED273" s="125"/>
      <c r="EE273" s="125"/>
      <c r="EF273" s="16"/>
      <c r="EG273" s="125"/>
      <c r="EQ273" s="125"/>
      <c r="ER273" s="16"/>
      <c r="ES273" s="123"/>
      <c r="ET273" s="19"/>
      <c r="EU273" s="139"/>
      <c r="EV273" s="139"/>
      <c r="EW273" s="123"/>
      <c r="EX273" s="123"/>
      <c r="EY273" s="123"/>
      <c r="EZ273" s="123"/>
      <c r="FA273" s="123"/>
      <c r="FB273" s="123"/>
      <c r="FC273" s="6"/>
      <c r="FD273" s="123"/>
      <c r="FE273" s="6"/>
      <c r="FF273" s="123"/>
      <c r="FG273" s="6"/>
      <c r="FH273" s="6"/>
      <c r="FI273" s="6"/>
      <c r="FJ273" s="6"/>
      <c r="FK273" s="123"/>
      <c r="FL273" s="6"/>
      <c r="FM273" s="6"/>
      <c r="FN273" s="6"/>
      <c r="FO273" s="138"/>
      <c r="FP273" s="138"/>
      <c r="FQ273" s="123"/>
      <c r="FR273" s="6"/>
      <c r="FS273" s="6"/>
      <c r="FT273" s="139"/>
      <c r="FU273" s="139"/>
      <c r="FV273" s="76"/>
      <c r="FW273" s="123"/>
      <c r="FX273" s="6"/>
    </row>
    <row r="274" spans="35:180">
      <c r="AI274" s="125"/>
      <c r="AJ274" s="16"/>
      <c r="AM274" s="16"/>
      <c r="AN274" s="16"/>
      <c r="AO274" s="125"/>
      <c r="AP274" s="16"/>
      <c r="AQ274" s="125"/>
      <c r="AZ274" s="125"/>
      <c r="BA274" s="142"/>
      <c r="BB274" s="125"/>
      <c r="BC274" s="16"/>
      <c r="BD274" s="125"/>
      <c r="BE274" s="125"/>
      <c r="BF274" s="16"/>
      <c r="BG274" s="125"/>
      <c r="BQ274" s="125"/>
      <c r="BR274" s="16"/>
      <c r="BS274" s="123"/>
      <c r="BT274" s="19"/>
      <c r="BU274" s="139"/>
      <c r="BV274" s="139"/>
      <c r="BW274" s="123"/>
      <c r="BX274" s="123"/>
      <c r="BY274" s="123"/>
      <c r="BZ274" s="123"/>
      <c r="CA274" s="123"/>
      <c r="CB274" s="123"/>
      <c r="CC274" s="6"/>
      <c r="CD274" s="123"/>
      <c r="CE274" s="6"/>
      <c r="CF274" s="123"/>
      <c r="CG274" s="6"/>
      <c r="CH274" s="6"/>
      <c r="CI274" s="6"/>
      <c r="CJ274" s="6"/>
      <c r="CK274" s="123"/>
      <c r="CL274" s="6"/>
      <c r="CM274" s="6"/>
      <c r="CN274" s="6"/>
      <c r="CO274" s="138"/>
      <c r="CP274" s="138"/>
      <c r="CQ274" s="123"/>
      <c r="CR274" s="6"/>
      <c r="CS274" s="6"/>
      <c r="CT274" s="139"/>
      <c r="CU274" s="139"/>
      <c r="CV274" s="76"/>
      <c r="CW274" s="123"/>
      <c r="CX274" s="6"/>
      <c r="DI274" s="125"/>
      <c r="DJ274" s="16"/>
      <c r="DM274" s="16"/>
      <c r="DN274" s="16"/>
      <c r="DO274" s="125"/>
      <c r="DP274" s="16"/>
      <c r="DQ274" s="125"/>
      <c r="DZ274" s="125"/>
      <c r="EA274" s="142"/>
      <c r="EB274" s="125"/>
      <c r="EC274" s="16"/>
      <c r="ED274" s="125"/>
      <c r="EE274" s="125"/>
      <c r="EF274" s="16"/>
      <c r="EG274" s="125"/>
      <c r="EQ274" s="125"/>
      <c r="ER274" s="16"/>
      <c r="ES274" s="123"/>
      <c r="ET274" s="19"/>
      <c r="EU274" s="139"/>
      <c r="EV274" s="139"/>
      <c r="EW274" s="123"/>
      <c r="EX274" s="123"/>
      <c r="EY274" s="123"/>
      <c r="EZ274" s="123"/>
      <c r="FA274" s="123"/>
      <c r="FB274" s="123"/>
      <c r="FC274" s="6"/>
      <c r="FD274" s="123"/>
      <c r="FE274" s="6"/>
      <c r="FF274" s="123"/>
      <c r="FG274" s="6"/>
      <c r="FH274" s="6"/>
      <c r="FI274" s="6"/>
      <c r="FJ274" s="6"/>
      <c r="FK274" s="123"/>
      <c r="FL274" s="6"/>
      <c r="FM274" s="6"/>
      <c r="FN274" s="6"/>
      <c r="FO274" s="138"/>
      <c r="FP274" s="138"/>
      <c r="FQ274" s="123"/>
      <c r="FR274" s="6"/>
      <c r="FS274" s="6"/>
      <c r="FT274" s="139"/>
      <c r="FU274" s="139"/>
      <c r="FV274" s="76"/>
      <c r="FW274" s="123"/>
      <c r="FX274" s="6"/>
    </row>
    <row r="275" spans="35:180">
      <c r="AI275" s="125"/>
      <c r="AJ275" s="16"/>
      <c r="AM275" s="16"/>
      <c r="AN275" s="16"/>
      <c r="AO275" s="125"/>
      <c r="AP275" s="16"/>
      <c r="AQ275" s="125"/>
      <c r="AZ275" s="125"/>
      <c r="BA275" s="142"/>
      <c r="BB275" s="125"/>
      <c r="BC275" s="16"/>
      <c r="BD275" s="125"/>
      <c r="BE275" s="125"/>
      <c r="BF275" s="16"/>
      <c r="BG275" s="125"/>
      <c r="BQ275" s="125"/>
      <c r="BR275" s="16"/>
      <c r="BS275" s="123"/>
      <c r="BT275" s="19"/>
      <c r="BU275" s="139"/>
      <c r="BV275" s="139"/>
      <c r="BW275" s="123"/>
      <c r="BX275" s="123"/>
      <c r="BY275" s="123"/>
      <c r="BZ275" s="123"/>
      <c r="CA275" s="123"/>
      <c r="CB275" s="123"/>
      <c r="CC275" s="6"/>
      <c r="CD275" s="123"/>
      <c r="CE275" s="6"/>
      <c r="CF275" s="123"/>
      <c r="CG275" s="6"/>
      <c r="CH275" s="6"/>
      <c r="CI275" s="6"/>
      <c r="CJ275" s="6"/>
      <c r="CK275" s="123"/>
      <c r="CL275" s="6"/>
      <c r="CM275" s="6"/>
      <c r="CN275" s="6"/>
      <c r="CO275" s="138"/>
      <c r="CP275" s="138"/>
      <c r="CQ275" s="123"/>
      <c r="CR275" s="6"/>
      <c r="CS275" s="6"/>
      <c r="CT275" s="139"/>
      <c r="CU275" s="139"/>
      <c r="CV275" s="76"/>
      <c r="CW275" s="123"/>
      <c r="CX275" s="6"/>
      <c r="DI275" s="125"/>
      <c r="DJ275" s="16"/>
      <c r="DM275" s="16"/>
      <c r="DN275" s="16"/>
      <c r="DO275" s="125"/>
      <c r="DP275" s="16"/>
      <c r="DQ275" s="125"/>
      <c r="DZ275" s="125"/>
      <c r="EA275" s="142"/>
      <c r="EB275" s="125"/>
      <c r="EC275" s="16"/>
      <c r="ED275" s="125"/>
      <c r="EE275" s="125"/>
      <c r="EF275" s="16"/>
      <c r="EG275" s="125"/>
      <c r="EQ275" s="125"/>
      <c r="ER275" s="16"/>
      <c r="ES275" s="123"/>
      <c r="ET275" s="19"/>
      <c r="EU275" s="139"/>
      <c r="EV275" s="139"/>
      <c r="EW275" s="123"/>
      <c r="EX275" s="123"/>
      <c r="EY275" s="123"/>
      <c r="EZ275" s="123"/>
      <c r="FA275" s="123"/>
      <c r="FB275" s="123"/>
      <c r="FC275" s="6"/>
      <c r="FD275" s="123"/>
      <c r="FE275" s="6"/>
      <c r="FF275" s="123"/>
      <c r="FG275" s="6"/>
      <c r="FH275" s="6"/>
      <c r="FI275" s="6"/>
      <c r="FJ275" s="6"/>
      <c r="FK275" s="123"/>
      <c r="FL275" s="6"/>
      <c r="FM275" s="6"/>
      <c r="FN275" s="6"/>
      <c r="FO275" s="138"/>
      <c r="FP275" s="138"/>
      <c r="FQ275" s="123"/>
      <c r="FR275" s="6"/>
      <c r="FS275" s="6"/>
      <c r="FT275" s="139"/>
      <c r="FU275" s="139"/>
      <c r="FV275" s="76"/>
      <c r="FW275" s="123"/>
      <c r="FX275" s="6"/>
    </row>
    <row r="276" spans="35:180">
      <c r="AI276" s="125"/>
      <c r="AJ276" s="16"/>
      <c r="AM276" s="16"/>
      <c r="AN276" s="16"/>
      <c r="AO276" s="125"/>
      <c r="AP276" s="16"/>
      <c r="AQ276" s="125"/>
      <c r="AZ276" s="125"/>
      <c r="BA276" s="142"/>
      <c r="BB276" s="125"/>
      <c r="BC276" s="16"/>
      <c r="BD276" s="125"/>
      <c r="BE276" s="125"/>
      <c r="BF276" s="16"/>
      <c r="BG276" s="125"/>
      <c r="BQ276" s="125"/>
      <c r="BR276" s="16"/>
      <c r="BS276" s="123"/>
      <c r="BT276" s="19"/>
      <c r="BU276" s="139"/>
      <c r="BV276" s="139"/>
      <c r="BW276" s="123"/>
      <c r="BX276" s="123"/>
      <c r="BY276" s="123"/>
      <c r="BZ276" s="123"/>
      <c r="CA276" s="123"/>
      <c r="CB276" s="123"/>
      <c r="CC276" s="6"/>
      <c r="CD276" s="123"/>
      <c r="CE276" s="6"/>
      <c r="CF276" s="123"/>
      <c r="CG276" s="6"/>
      <c r="CH276" s="6"/>
      <c r="CI276" s="6"/>
      <c r="CJ276" s="6"/>
      <c r="CK276" s="123"/>
      <c r="CL276" s="6"/>
      <c r="CM276" s="6"/>
      <c r="CN276" s="6"/>
      <c r="CO276" s="138"/>
      <c r="CP276" s="138"/>
      <c r="CQ276" s="123"/>
      <c r="CR276" s="6"/>
      <c r="CS276" s="6"/>
      <c r="CT276" s="139"/>
      <c r="CU276" s="139"/>
      <c r="CV276" s="76"/>
      <c r="CW276" s="123"/>
      <c r="CX276" s="6"/>
      <c r="DI276" s="125"/>
      <c r="DJ276" s="16"/>
      <c r="DM276" s="16"/>
      <c r="DN276" s="16"/>
      <c r="DO276" s="125"/>
      <c r="DP276" s="16"/>
      <c r="DQ276" s="125"/>
      <c r="DZ276" s="125"/>
      <c r="EA276" s="142"/>
      <c r="EB276" s="125"/>
      <c r="EC276" s="16"/>
      <c r="ED276" s="125"/>
      <c r="EE276" s="125"/>
      <c r="EF276" s="16"/>
      <c r="EG276" s="125"/>
      <c r="EQ276" s="125"/>
      <c r="ER276" s="16"/>
      <c r="ES276" s="123"/>
      <c r="ET276" s="19"/>
      <c r="EU276" s="139"/>
      <c r="EV276" s="139"/>
      <c r="EW276" s="123"/>
      <c r="EX276" s="123"/>
      <c r="EY276" s="123"/>
      <c r="EZ276" s="123"/>
      <c r="FA276" s="123"/>
      <c r="FB276" s="123"/>
      <c r="FC276" s="6"/>
      <c r="FD276" s="123"/>
      <c r="FE276" s="6"/>
      <c r="FF276" s="123"/>
      <c r="FG276" s="6"/>
      <c r="FH276" s="6"/>
      <c r="FI276" s="6"/>
      <c r="FJ276" s="6"/>
      <c r="FK276" s="123"/>
      <c r="FL276" s="6"/>
      <c r="FM276" s="6"/>
      <c r="FN276" s="6"/>
      <c r="FO276" s="138"/>
      <c r="FP276" s="138"/>
      <c r="FQ276" s="123"/>
      <c r="FR276" s="6"/>
      <c r="FS276" s="6"/>
      <c r="FT276" s="139"/>
      <c r="FU276" s="139"/>
      <c r="FV276" s="76"/>
      <c r="FW276" s="123"/>
      <c r="FX276" s="6"/>
    </row>
    <row r="277" spans="35:180">
      <c r="AI277" s="125"/>
      <c r="AJ277" s="16"/>
      <c r="AM277" s="16"/>
      <c r="AN277" s="16"/>
      <c r="AO277" s="125"/>
      <c r="AP277" s="16"/>
      <c r="AQ277" s="125"/>
      <c r="AZ277" s="125"/>
      <c r="BA277" s="142"/>
      <c r="BB277" s="125"/>
      <c r="BC277" s="16"/>
      <c r="BD277" s="125"/>
      <c r="BE277" s="125"/>
      <c r="BF277" s="16"/>
      <c r="BG277" s="125"/>
      <c r="BQ277" s="125"/>
      <c r="BR277" s="16"/>
      <c r="BS277" s="123"/>
      <c r="BT277" s="19"/>
      <c r="BU277" s="139"/>
      <c r="BV277" s="139"/>
      <c r="BW277" s="123"/>
      <c r="BX277" s="123"/>
      <c r="BY277" s="123"/>
      <c r="BZ277" s="123"/>
      <c r="CA277" s="123"/>
      <c r="CB277" s="123"/>
      <c r="CC277" s="6"/>
      <c r="CD277" s="123"/>
      <c r="CE277" s="6"/>
      <c r="CF277" s="123"/>
      <c r="CG277" s="6"/>
      <c r="CH277" s="6"/>
      <c r="CI277" s="6"/>
      <c r="CJ277" s="6"/>
      <c r="CK277" s="123"/>
      <c r="CL277" s="6"/>
      <c r="CM277" s="6"/>
      <c r="CN277" s="6"/>
      <c r="CO277" s="138"/>
      <c r="CP277" s="138"/>
      <c r="CQ277" s="123"/>
      <c r="CR277" s="6"/>
      <c r="CS277" s="6"/>
      <c r="CT277" s="139"/>
      <c r="CU277" s="139"/>
      <c r="CV277" s="76"/>
      <c r="CW277" s="123"/>
      <c r="CX277" s="6"/>
      <c r="DI277" s="125"/>
      <c r="DJ277" s="16"/>
      <c r="DM277" s="16"/>
      <c r="DN277" s="16"/>
      <c r="DO277" s="125"/>
      <c r="DP277" s="16"/>
      <c r="DQ277" s="125"/>
      <c r="DZ277" s="125"/>
      <c r="EA277" s="142"/>
      <c r="EB277" s="125"/>
      <c r="EC277" s="16"/>
      <c r="ED277" s="125"/>
      <c r="EE277" s="125"/>
      <c r="EF277" s="16"/>
      <c r="EG277" s="125"/>
      <c r="EQ277" s="125"/>
      <c r="ER277" s="16"/>
      <c r="ES277" s="123"/>
      <c r="ET277" s="19"/>
      <c r="EU277" s="139"/>
      <c r="EV277" s="139"/>
      <c r="EW277" s="123"/>
      <c r="EX277" s="123"/>
      <c r="EY277" s="123"/>
      <c r="EZ277" s="123"/>
      <c r="FA277" s="123"/>
      <c r="FB277" s="123"/>
      <c r="FC277" s="6"/>
      <c r="FD277" s="123"/>
      <c r="FE277" s="6"/>
      <c r="FF277" s="123"/>
      <c r="FG277" s="6"/>
      <c r="FH277" s="6"/>
      <c r="FI277" s="6"/>
      <c r="FJ277" s="6"/>
      <c r="FK277" s="123"/>
      <c r="FL277" s="6"/>
      <c r="FM277" s="6"/>
      <c r="FN277" s="6"/>
      <c r="FO277" s="138"/>
      <c r="FP277" s="138"/>
      <c r="FQ277" s="123"/>
      <c r="FR277" s="6"/>
      <c r="FS277" s="6"/>
      <c r="FT277" s="139"/>
      <c r="FU277" s="139"/>
      <c r="FV277" s="76"/>
      <c r="FW277" s="123"/>
      <c r="FX277" s="6"/>
    </row>
    <row r="278" spans="35:180">
      <c r="AI278" s="125"/>
      <c r="AJ278" s="16"/>
      <c r="AM278" s="16"/>
      <c r="AN278" s="16"/>
      <c r="AO278" s="125"/>
      <c r="AP278" s="16"/>
      <c r="AQ278" s="125"/>
      <c r="AZ278" s="125"/>
      <c r="BA278" s="142"/>
      <c r="BB278" s="125"/>
      <c r="BC278" s="16"/>
      <c r="BD278" s="125"/>
      <c r="BE278" s="125"/>
      <c r="BF278" s="16"/>
      <c r="BG278" s="125"/>
      <c r="BQ278" s="125"/>
      <c r="BR278" s="16"/>
      <c r="BS278" s="123"/>
      <c r="BT278" s="19"/>
      <c r="BU278" s="139"/>
      <c r="BV278" s="139"/>
      <c r="BW278" s="123"/>
      <c r="BX278" s="123"/>
      <c r="BY278" s="123"/>
      <c r="BZ278" s="123"/>
      <c r="CA278" s="123"/>
      <c r="CB278" s="123"/>
      <c r="CC278" s="6"/>
      <c r="CD278" s="123"/>
      <c r="CE278" s="6"/>
      <c r="CF278" s="123"/>
      <c r="CG278" s="6"/>
      <c r="CH278" s="6"/>
      <c r="CI278" s="6"/>
      <c r="CJ278" s="6"/>
      <c r="CK278" s="123"/>
      <c r="CL278" s="6"/>
      <c r="CM278" s="6"/>
      <c r="CN278" s="6"/>
      <c r="CO278" s="138"/>
      <c r="CP278" s="138"/>
      <c r="CQ278" s="123"/>
      <c r="CR278" s="6"/>
      <c r="CS278" s="6"/>
      <c r="CT278" s="139"/>
      <c r="CU278" s="139"/>
      <c r="CV278" s="76"/>
      <c r="CW278" s="123"/>
      <c r="CX278" s="6"/>
      <c r="DI278" s="125"/>
      <c r="DJ278" s="16"/>
      <c r="DM278" s="16"/>
      <c r="DN278" s="16"/>
      <c r="DO278" s="125"/>
      <c r="DP278" s="16"/>
      <c r="DQ278" s="125"/>
      <c r="DZ278" s="125"/>
      <c r="EA278" s="142"/>
      <c r="EB278" s="125"/>
      <c r="EC278" s="16"/>
      <c r="ED278" s="125"/>
      <c r="EE278" s="125"/>
      <c r="EF278" s="16"/>
      <c r="EG278" s="125"/>
      <c r="EQ278" s="125"/>
      <c r="ER278" s="16"/>
      <c r="ES278" s="123"/>
      <c r="ET278" s="19"/>
      <c r="EU278" s="139"/>
      <c r="EV278" s="139"/>
      <c r="EW278" s="123"/>
      <c r="EX278" s="123"/>
      <c r="EY278" s="123"/>
      <c r="EZ278" s="123"/>
      <c r="FA278" s="123"/>
      <c r="FB278" s="123"/>
      <c r="FC278" s="6"/>
      <c r="FD278" s="123"/>
      <c r="FE278" s="6"/>
      <c r="FF278" s="123"/>
      <c r="FG278" s="6"/>
      <c r="FH278" s="6"/>
      <c r="FI278" s="6"/>
      <c r="FJ278" s="6"/>
      <c r="FK278" s="123"/>
      <c r="FL278" s="6"/>
      <c r="FM278" s="6"/>
      <c r="FN278" s="6"/>
      <c r="FO278" s="138"/>
      <c r="FP278" s="138"/>
      <c r="FQ278" s="123"/>
      <c r="FR278" s="6"/>
      <c r="FS278" s="6"/>
      <c r="FT278" s="139"/>
      <c r="FU278" s="139"/>
      <c r="FV278" s="76"/>
      <c r="FW278" s="123"/>
      <c r="FX278" s="6"/>
    </row>
    <row r="279" spans="35:180">
      <c r="AI279" s="125"/>
      <c r="AJ279" s="16"/>
      <c r="AM279" s="16"/>
      <c r="AN279" s="16"/>
      <c r="AO279" s="125"/>
      <c r="AP279" s="16"/>
      <c r="AQ279" s="125"/>
      <c r="AZ279" s="125"/>
      <c r="BA279" s="142"/>
      <c r="BB279" s="125"/>
      <c r="BC279" s="16"/>
      <c r="BD279" s="125"/>
      <c r="BE279" s="125"/>
      <c r="BF279" s="16"/>
      <c r="BG279" s="125"/>
      <c r="BQ279" s="125"/>
      <c r="BR279" s="16"/>
      <c r="BS279" s="123"/>
      <c r="BT279" s="19"/>
      <c r="BU279" s="139"/>
      <c r="BV279" s="139"/>
      <c r="BW279" s="123"/>
      <c r="BX279" s="123"/>
      <c r="BY279" s="123"/>
      <c r="BZ279" s="123"/>
      <c r="CA279" s="123"/>
      <c r="CB279" s="123"/>
      <c r="CC279" s="6"/>
      <c r="CD279" s="123"/>
      <c r="CE279" s="6"/>
      <c r="CF279" s="123"/>
      <c r="CG279" s="6"/>
      <c r="CH279" s="6"/>
      <c r="CI279" s="6"/>
      <c r="CJ279" s="6"/>
      <c r="CK279" s="123"/>
      <c r="CL279" s="6"/>
      <c r="CM279" s="6"/>
      <c r="CN279" s="6"/>
      <c r="CO279" s="138"/>
      <c r="CP279" s="138"/>
      <c r="CQ279" s="123"/>
      <c r="CR279" s="6"/>
      <c r="CS279" s="6"/>
      <c r="CT279" s="139"/>
      <c r="CU279" s="139"/>
      <c r="CV279" s="76"/>
      <c r="CW279" s="123"/>
      <c r="CX279" s="6"/>
      <c r="DI279" s="125"/>
      <c r="DJ279" s="16"/>
      <c r="DM279" s="16"/>
      <c r="DN279" s="16"/>
      <c r="DO279" s="125"/>
      <c r="DP279" s="16"/>
      <c r="DQ279" s="125"/>
      <c r="DZ279" s="125"/>
      <c r="EA279" s="142"/>
      <c r="EB279" s="125"/>
      <c r="EC279" s="16"/>
      <c r="ED279" s="125"/>
      <c r="EE279" s="125"/>
      <c r="EF279" s="16"/>
      <c r="EG279" s="125"/>
      <c r="EQ279" s="125"/>
      <c r="ER279" s="16"/>
      <c r="ES279" s="123"/>
      <c r="ET279" s="19"/>
      <c r="EU279" s="139"/>
      <c r="EV279" s="139"/>
      <c r="EW279" s="123"/>
      <c r="EX279" s="123"/>
      <c r="EY279" s="123"/>
      <c r="EZ279" s="123"/>
      <c r="FA279" s="123"/>
      <c r="FB279" s="123"/>
      <c r="FC279" s="6"/>
      <c r="FD279" s="123"/>
      <c r="FE279" s="6"/>
      <c r="FF279" s="123"/>
      <c r="FG279" s="6"/>
      <c r="FH279" s="6"/>
      <c r="FI279" s="6"/>
      <c r="FJ279" s="6"/>
      <c r="FK279" s="123"/>
      <c r="FL279" s="6"/>
      <c r="FM279" s="6"/>
      <c r="FN279" s="6"/>
      <c r="FO279" s="138"/>
      <c r="FP279" s="138"/>
      <c r="FQ279" s="123"/>
      <c r="FR279" s="6"/>
      <c r="FS279" s="6"/>
      <c r="FT279" s="139"/>
      <c r="FU279" s="139"/>
      <c r="FV279" s="76"/>
      <c r="FW279" s="123"/>
      <c r="FX279" s="6"/>
    </row>
    <row r="280" spans="35:180">
      <c r="AI280" s="125"/>
      <c r="AJ280" s="16"/>
      <c r="AM280" s="16"/>
      <c r="AN280" s="16"/>
      <c r="AO280" s="125"/>
      <c r="AP280" s="16"/>
      <c r="AQ280" s="125"/>
      <c r="AZ280" s="125"/>
      <c r="BA280" s="142"/>
      <c r="BB280" s="125"/>
      <c r="BC280" s="16"/>
      <c r="BD280" s="125"/>
      <c r="BE280" s="125"/>
      <c r="BF280" s="16"/>
      <c r="BG280" s="125"/>
      <c r="BQ280" s="125"/>
      <c r="BR280" s="16"/>
      <c r="BS280" s="123"/>
      <c r="BT280" s="19"/>
      <c r="BU280" s="139"/>
      <c r="BV280" s="139"/>
      <c r="BW280" s="123"/>
      <c r="BX280" s="123"/>
      <c r="BY280" s="123"/>
      <c r="BZ280" s="123"/>
      <c r="CA280" s="123"/>
      <c r="CB280" s="123"/>
      <c r="CC280" s="6"/>
      <c r="CD280" s="123"/>
      <c r="CE280" s="6"/>
      <c r="CF280" s="123"/>
      <c r="CG280" s="6"/>
      <c r="CH280" s="6"/>
      <c r="CI280" s="6"/>
      <c r="CJ280" s="6"/>
      <c r="CK280" s="123"/>
      <c r="CL280" s="6"/>
      <c r="CM280" s="6"/>
      <c r="CN280" s="6"/>
      <c r="CO280" s="138"/>
      <c r="CP280" s="138"/>
      <c r="CQ280" s="123"/>
      <c r="CR280" s="6"/>
      <c r="CS280" s="6"/>
      <c r="CT280" s="139"/>
      <c r="CU280" s="139"/>
      <c r="CV280" s="76"/>
      <c r="CW280" s="123"/>
      <c r="CX280" s="6"/>
      <c r="DI280" s="125"/>
      <c r="DJ280" s="16"/>
      <c r="DM280" s="16"/>
      <c r="DN280" s="16"/>
      <c r="DO280" s="125"/>
      <c r="DP280" s="16"/>
      <c r="DQ280" s="125"/>
      <c r="DZ280" s="125"/>
      <c r="EA280" s="142"/>
      <c r="EB280" s="125"/>
      <c r="EC280" s="16"/>
      <c r="ED280" s="125"/>
      <c r="EE280" s="125"/>
      <c r="EF280" s="16"/>
      <c r="EG280" s="125"/>
      <c r="EQ280" s="125"/>
      <c r="ER280" s="16"/>
      <c r="ES280" s="123"/>
      <c r="ET280" s="19"/>
      <c r="EU280" s="139"/>
      <c r="EV280" s="139"/>
      <c r="EW280" s="123"/>
      <c r="EX280" s="123"/>
      <c r="EY280" s="123"/>
      <c r="EZ280" s="123"/>
      <c r="FA280" s="123"/>
      <c r="FB280" s="123"/>
      <c r="FC280" s="6"/>
      <c r="FD280" s="123"/>
      <c r="FE280" s="6"/>
      <c r="FF280" s="123"/>
      <c r="FG280" s="6"/>
      <c r="FH280" s="6"/>
      <c r="FI280" s="6"/>
      <c r="FJ280" s="6"/>
      <c r="FK280" s="123"/>
      <c r="FL280" s="6"/>
      <c r="FM280" s="6"/>
      <c r="FN280" s="6"/>
      <c r="FO280" s="138"/>
      <c r="FP280" s="138"/>
      <c r="FQ280" s="123"/>
      <c r="FR280" s="6"/>
      <c r="FS280" s="6"/>
      <c r="FT280" s="139"/>
      <c r="FU280" s="139"/>
      <c r="FV280" s="76"/>
      <c r="FW280" s="123"/>
      <c r="FX280" s="6"/>
    </row>
    <row r="281" spans="35:180">
      <c r="AI281" s="125"/>
      <c r="AJ281" s="16"/>
      <c r="AM281" s="16"/>
      <c r="AN281" s="16"/>
      <c r="AO281" s="125"/>
      <c r="AP281" s="16"/>
      <c r="AQ281" s="125"/>
      <c r="AZ281" s="125"/>
      <c r="BA281" s="142"/>
      <c r="BB281" s="125"/>
      <c r="BC281" s="16"/>
      <c r="BD281" s="125"/>
      <c r="BE281" s="125"/>
      <c r="BF281" s="16"/>
      <c r="BG281" s="125"/>
      <c r="BQ281" s="125"/>
      <c r="BR281" s="16"/>
      <c r="BS281" s="123"/>
      <c r="BT281" s="19"/>
      <c r="BU281" s="139"/>
      <c r="BV281" s="139"/>
      <c r="BW281" s="123"/>
      <c r="BX281" s="123"/>
      <c r="BY281" s="123"/>
      <c r="BZ281" s="123"/>
      <c r="CA281" s="123"/>
      <c r="CB281" s="123"/>
      <c r="CC281" s="6"/>
      <c r="CD281" s="123"/>
      <c r="CE281" s="6"/>
      <c r="CF281" s="123"/>
      <c r="CG281" s="6"/>
      <c r="CH281" s="6"/>
      <c r="CI281" s="6"/>
      <c r="CJ281" s="6"/>
      <c r="CK281" s="123"/>
      <c r="CL281" s="6"/>
      <c r="CM281" s="6"/>
      <c r="CN281" s="6"/>
      <c r="CO281" s="138"/>
      <c r="CP281" s="138"/>
      <c r="CQ281" s="123"/>
      <c r="CR281" s="6"/>
      <c r="CS281" s="6"/>
      <c r="CT281" s="139"/>
      <c r="CU281" s="139"/>
      <c r="CV281" s="76"/>
      <c r="CW281" s="123"/>
      <c r="CX281" s="6"/>
      <c r="DI281" s="125"/>
      <c r="DJ281" s="16"/>
      <c r="DM281" s="16"/>
      <c r="DN281" s="16"/>
      <c r="DO281" s="125"/>
      <c r="DP281" s="16"/>
      <c r="DQ281" s="125"/>
      <c r="DZ281" s="125"/>
      <c r="EA281" s="142"/>
      <c r="EB281" s="125"/>
      <c r="EC281" s="16"/>
      <c r="ED281" s="125"/>
      <c r="EE281" s="125"/>
      <c r="EF281" s="16"/>
      <c r="EG281" s="125"/>
      <c r="EQ281" s="125"/>
      <c r="ER281" s="16"/>
      <c r="ES281" s="123"/>
      <c r="ET281" s="19"/>
      <c r="EU281" s="139"/>
      <c r="EV281" s="139"/>
      <c r="EW281" s="123"/>
      <c r="EX281" s="123"/>
      <c r="EY281" s="123"/>
      <c r="EZ281" s="123"/>
      <c r="FA281" s="123"/>
      <c r="FB281" s="123"/>
      <c r="FC281" s="6"/>
      <c r="FD281" s="123"/>
      <c r="FE281" s="6"/>
      <c r="FF281" s="123"/>
      <c r="FG281" s="6"/>
      <c r="FH281" s="6"/>
      <c r="FI281" s="6"/>
      <c r="FJ281" s="6"/>
      <c r="FK281" s="123"/>
      <c r="FL281" s="6"/>
      <c r="FM281" s="6"/>
      <c r="FN281" s="6"/>
      <c r="FO281" s="138"/>
      <c r="FP281" s="138"/>
      <c r="FQ281" s="123"/>
      <c r="FR281" s="6"/>
      <c r="FS281" s="6"/>
      <c r="FT281" s="139"/>
      <c r="FU281" s="139"/>
      <c r="FV281" s="76"/>
      <c r="FW281" s="123"/>
      <c r="FX281" s="6"/>
    </row>
    <row r="282" spans="35:180">
      <c r="AI282" s="125"/>
      <c r="AJ282" s="16"/>
      <c r="AM282" s="16"/>
      <c r="AN282" s="16"/>
      <c r="AO282" s="125"/>
      <c r="AP282" s="16"/>
      <c r="AQ282" s="125"/>
      <c r="AZ282" s="125"/>
      <c r="BA282" s="142"/>
      <c r="BB282" s="125"/>
      <c r="BC282" s="16"/>
      <c r="BD282" s="125"/>
      <c r="BE282" s="125"/>
      <c r="BF282" s="16"/>
      <c r="BG282" s="125"/>
      <c r="BQ282" s="125"/>
      <c r="BR282" s="16"/>
      <c r="BS282" s="123"/>
      <c r="BT282" s="19"/>
      <c r="BU282" s="139"/>
      <c r="BV282" s="139"/>
      <c r="BW282" s="123"/>
      <c r="BX282" s="123"/>
      <c r="BY282" s="123"/>
      <c r="BZ282" s="123"/>
      <c r="CA282" s="123"/>
      <c r="CB282" s="123"/>
      <c r="CC282" s="6"/>
      <c r="CD282" s="123"/>
      <c r="CE282" s="6"/>
      <c r="CF282" s="123"/>
      <c r="CG282" s="6"/>
      <c r="CH282" s="6"/>
      <c r="CI282" s="6"/>
      <c r="CJ282" s="6"/>
      <c r="CK282" s="123"/>
      <c r="CL282" s="6"/>
      <c r="CM282" s="6"/>
      <c r="CN282" s="6"/>
      <c r="CO282" s="138"/>
      <c r="CP282" s="138"/>
      <c r="CQ282" s="123"/>
      <c r="CR282" s="6"/>
      <c r="CS282" s="6"/>
      <c r="CT282" s="139"/>
      <c r="CU282" s="139"/>
      <c r="CV282" s="76"/>
      <c r="CW282" s="123"/>
      <c r="CX282" s="6"/>
      <c r="DI282" s="125"/>
      <c r="DJ282" s="16"/>
      <c r="DM282" s="16"/>
      <c r="DN282" s="16"/>
      <c r="DO282" s="125"/>
      <c r="DP282" s="16"/>
      <c r="DQ282" s="125"/>
      <c r="DZ282" s="125"/>
      <c r="EA282" s="142"/>
      <c r="EB282" s="125"/>
      <c r="EC282" s="16"/>
      <c r="ED282" s="125"/>
      <c r="EE282" s="125"/>
      <c r="EF282" s="16"/>
      <c r="EG282" s="125"/>
      <c r="EQ282" s="125"/>
      <c r="ER282" s="16"/>
      <c r="ES282" s="123"/>
      <c r="ET282" s="19"/>
      <c r="EU282" s="139"/>
      <c r="EV282" s="139"/>
      <c r="EW282" s="123"/>
      <c r="EX282" s="123"/>
      <c r="EY282" s="123"/>
      <c r="EZ282" s="123"/>
      <c r="FA282" s="123"/>
      <c r="FB282" s="123"/>
      <c r="FC282" s="6"/>
      <c r="FD282" s="123"/>
      <c r="FE282" s="6"/>
      <c r="FF282" s="123"/>
      <c r="FG282" s="6"/>
      <c r="FH282" s="6"/>
      <c r="FI282" s="6"/>
      <c r="FJ282" s="6"/>
      <c r="FK282" s="123"/>
      <c r="FL282" s="6"/>
      <c r="FM282" s="6"/>
      <c r="FN282" s="6"/>
      <c r="FO282" s="138"/>
      <c r="FP282" s="138"/>
      <c r="FQ282" s="123"/>
      <c r="FR282" s="6"/>
      <c r="FS282" s="6"/>
      <c r="FT282" s="139"/>
      <c r="FU282" s="139"/>
      <c r="FV282" s="76"/>
      <c r="FW282" s="123"/>
      <c r="FX282" s="6"/>
    </row>
    <row r="283" spans="35:180">
      <c r="AI283" s="125"/>
      <c r="AJ283" s="16"/>
      <c r="AM283" s="16"/>
      <c r="AN283" s="16"/>
      <c r="AO283" s="125"/>
      <c r="AP283" s="16"/>
      <c r="AQ283" s="125"/>
      <c r="AZ283" s="125"/>
      <c r="BA283" s="142"/>
      <c r="BB283" s="125"/>
      <c r="BC283" s="16"/>
      <c r="BD283" s="125"/>
      <c r="BE283" s="125"/>
      <c r="BF283" s="16"/>
      <c r="BG283" s="125"/>
      <c r="BQ283" s="125"/>
      <c r="BR283" s="16"/>
      <c r="BS283" s="123"/>
      <c r="BT283" s="19"/>
      <c r="BU283" s="139"/>
      <c r="BV283" s="139"/>
      <c r="BW283" s="123"/>
      <c r="BX283" s="123"/>
      <c r="BY283" s="123"/>
      <c r="BZ283" s="123"/>
      <c r="CA283" s="123"/>
      <c r="CB283" s="123"/>
      <c r="CC283" s="6"/>
      <c r="CD283" s="123"/>
      <c r="CE283" s="6"/>
      <c r="CF283" s="123"/>
      <c r="CG283" s="6"/>
      <c r="CH283" s="6"/>
      <c r="CI283" s="6"/>
      <c r="CJ283" s="6"/>
      <c r="CK283" s="123"/>
      <c r="CL283" s="6"/>
      <c r="CM283" s="6"/>
      <c r="CN283" s="6"/>
      <c r="CO283" s="138"/>
      <c r="CP283" s="138"/>
      <c r="CQ283" s="123"/>
      <c r="CR283" s="6"/>
      <c r="CS283" s="6"/>
      <c r="CT283" s="139"/>
      <c r="CU283" s="139"/>
      <c r="CV283" s="76"/>
      <c r="CW283" s="123"/>
      <c r="CX283" s="6"/>
      <c r="DI283" s="125"/>
      <c r="DJ283" s="16"/>
      <c r="DM283" s="16"/>
      <c r="DN283" s="16"/>
      <c r="DO283" s="125"/>
      <c r="DP283" s="16"/>
      <c r="DQ283" s="125"/>
      <c r="DZ283" s="125"/>
      <c r="EA283" s="142"/>
      <c r="EB283" s="125"/>
      <c r="EC283" s="16"/>
      <c r="ED283" s="125"/>
      <c r="EE283" s="125"/>
      <c r="EF283" s="16"/>
      <c r="EG283" s="125"/>
      <c r="EQ283" s="125"/>
      <c r="ER283" s="16"/>
      <c r="ES283" s="123"/>
      <c r="ET283" s="19"/>
      <c r="EU283" s="139"/>
      <c r="EV283" s="139"/>
      <c r="EW283" s="123"/>
      <c r="EX283" s="123"/>
      <c r="EY283" s="123"/>
      <c r="EZ283" s="123"/>
      <c r="FA283" s="123"/>
      <c r="FB283" s="123"/>
      <c r="FC283" s="6"/>
      <c r="FD283" s="123"/>
      <c r="FE283" s="6"/>
      <c r="FF283" s="123"/>
      <c r="FG283" s="6"/>
      <c r="FH283" s="6"/>
      <c r="FI283" s="6"/>
      <c r="FJ283" s="6"/>
      <c r="FK283" s="123"/>
      <c r="FL283" s="6"/>
      <c r="FM283" s="6"/>
      <c r="FN283" s="6"/>
      <c r="FO283" s="138"/>
      <c r="FP283" s="138"/>
      <c r="FQ283" s="123"/>
      <c r="FR283" s="6"/>
      <c r="FS283" s="6"/>
      <c r="FT283" s="139"/>
      <c r="FU283" s="139"/>
      <c r="FV283" s="76"/>
      <c r="FW283" s="123"/>
      <c r="FX283" s="6"/>
    </row>
    <row r="284" spans="35:180">
      <c r="AI284" s="125"/>
      <c r="AJ284" s="16"/>
      <c r="AM284" s="16"/>
      <c r="AN284" s="16"/>
      <c r="AO284" s="125"/>
      <c r="AP284" s="16"/>
      <c r="AQ284" s="125"/>
      <c r="AZ284" s="125"/>
      <c r="BA284" s="142"/>
      <c r="BB284" s="125"/>
      <c r="BC284" s="16"/>
      <c r="BD284" s="125"/>
      <c r="BE284" s="125"/>
      <c r="BF284" s="16"/>
      <c r="BG284" s="125"/>
      <c r="BQ284" s="125"/>
      <c r="BR284" s="16"/>
      <c r="BS284" s="123"/>
      <c r="BT284" s="19"/>
      <c r="BU284" s="139"/>
      <c r="BV284" s="139"/>
      <c r="BW284" s="123"/>
      <c r="BX284" s="123"/>
      <c r="BY284" s="123"/>
      <c r="BZ284" s="123"/>
      <c r="CA284" s="123"/>
      <c r="CB284" s="123"/>
      <c r="CC284" s="6"/>
      <c r="CD284" s="123"/>
      <c r="CE284" s="6"/>
      <c r="CF284" s="123"/>
      <c r="CG284" s="6"/>
      <c r="CH284" s="6"/>
      <c r="CI284" s="6"/>
      <c r="CJ284" s="6"/>
      <c r="CK284" s="123"/>
      <c r="CL284" s="6"/>
      <c r="CM284" s="6"/>
      <c r="CN284" s="6"/>
      <c r="CO284" s="138"/>
      <c r="CP284" s="138"/>
      <c r="CQ284" s="123"/>
      <c r="CR284" s="6"/>
      <c r="CS284" s="6"/>
      <c r="CT284" s="139"/>
      <c r="CU284" s="139"/>
      <c r="CV284" s="76"/>
      <c r="CW284" s="123"/>
      <c r="CX284" s="6"/>
      <c r="DI284" s="125"/>
      <c r="DJ284" s="16"/>
      <c r="DM284" s="16"/>
      <c r="DN284" s="16"/>
      <c r="DO284" s="125"/>
      <c r="DP284" s="16"/>
      <c r="DQ284" s="125"/>
      <c r="DZ284" s="125"/>
      <c r="EA284" s="142"/>
      <c r="EB284" s="125"/>
      <c r="EC284" s="16"/>
      <c r="ED284" s="125"/>
      <c r="EE284" s="125"/>
      <c r="EF284" s="16"/>
      <c r="EG284" s="125"/>
      <c r="EQ284" s="125"/>
      <c r="ER284" s="16"/>
      <c r="ES284" s="123"/>
      <c r="ET284" s="19"/>
      <c r="EU284" s="139"/>
      <c r="EV284" s="139"/>
      <c r="EW284" s="123"/>
      <c r="EX284" s="123"/>
      <c r="EY284" s="123"/>
      <c r="EZ284" s="123"/>
      <c r="FA284" s="123"/>
      <c r="FB284" s="123"/>
      <c r="FC284" s="6"/>
      <c r="FD284" s="123"/>
      <c r="FE284" s="6"/>
      <c r="FF284" s="123"/>
      <c r="FG284" s="6"/>
      <c r="FH284" s="6"/>
      <c r="FI284" s="6"/>
      <c r="FJ284" s="6"/>
      <c r="FK284" s="123"/>
      <c r="FL284" s="6"/>
      <c r="FM284" s="6"/>
      <c r="FN284" s="6"/>
      <c r="FO284" s="138"/>
      <c r="FP284" s="138"/>
      <c r="FQ284" s="123"/>
      <c r="FR284" s="6"/>
      <c r="FS284" s="6"/>
      <c r="FT284" s="139"/>
      <c r="FU284" s="139"/>
      <c r="FV284" s="76"/>
      <c r="FW284" s="123"/>
      <c r="FX284" s="6"/>
    </row>
    <row r="285" spans="35:180">
      <c r="AI285" s="125"/>
      <c r="AJ285" s="16"/>
      <c r="AM285" s="16"/>
      <c r="AN285" s="16"/>
      <c r="AO285" s="125"/>
      <c r="AP285" s="16"/>
      <c r="AQ285" s="125"/>
      <c r="AZ285" s="125"/>
      <c r="BA285" s="142"/>
      <c r="BB285" s="125"/>
      <c r="BC285" s="16"/>
      <c r="BD285" s="125"/>
      <c r="BE285" s="125"/>
      <c r="BF285" s="16"/>
      <c r="BG285" s="125"/>
      <c r="BQ285" s="125"/>
      <c r="BR285" s="16"/>
      <c r="BS285" s="123"/>
      <c r="BT285" s="19"/>
      <c r="BU285" s="139"/>
      <c r="BV285" s="139"/>
      <c r="BW285" s="123"/>
      <c r="BX285" s="123"/>
      <c r="BY285" s="123"/>
      <c r="BZ285" s="123"/>
      <c r="CA285" s="123"/>
      <c r="CB285" s="123"/>
      <c r="CC285" s="6"/>
      <c r="CD285" s="123"/>
      <c r="CE285" s="6"/>
      <c r="CF285" s="123"/>
      <c r="CG285" s="6"/>
      <c r="CH285" s="6"/>
      <c r="CI285" s="6"/>
      <c r="CJ285" s="6"/>
      <c r="CK285" s="123"/>
      <c r="CL285" s="6"/>
      <c r="CM285" s="6"/>
      <c r="CN285" s="6"/>
      <c r="CO285" s="138"/>
      <c r="CP285" s="138"/>
      <c r="CQ285" s="123"/>
      <c r="CR285" s="6"/>
      <c r="CS285" s="6"/>
      <c r="CT285" s="139"/>
      <c r="CU285" s="139"/>
      <c r="CV285" s="76"/>
      <c r="CW285" s="123"/>
      <c r="CX285" s="6"/>
      <c r="DI285" s="125"/>
      <c r="DJ285" s="16"/>
      <c r="DM285" s="16"/>
      <c r="DN285" s="16"/>
      <c r="DO285" s="125"/>
      <c r="DP285" s="16"/>
      <c r="DQ285" s="125"/>
      <c r="DZ285" s="125"/>
      <c r="EA285" s="142"/>
      <c r="EB285" s="125"/>
      <c r="EC285" s="16"/>
      <c r="ED285" s="125"/>
      <c r="EE285" s="125"/>
      <c r="EF285" s="16"/>
      <c r="EG285" s="125"/>
      <c r="EQ285" s="125"/>
      <c r="ER285" s="16"/>
      <c r="ES285" s="123"/>
      <c r="ET285" s="19"/>
      <c r="EU285" s="139"/>
      <c r="EV285" s="139"/>
      <c r="EW285" s="123"/>
      <c r="EX285" s="123"/>
      <c r="EY285" s="123"/>
      <c r="EZ285" s="123"/>
      <c r="FA285" s="123"/>
      <c r="FB285" s="123"/>
      <c r="FC285" s="6"/>
      <c r="FD285" s="123"/>
      <c r="FE285" s="6"/>
      <c r="FF285" s="123"/>
      <c r="FG285" s="6"/>
      <c r="FH285" s="6"/>
      <c r="FI285" s="6"/>
      <c r="FJ285" s="6"/>
      <c r="FK285" s="123"/>
      <c r="FL285" s="6"/>
      <c r="FM285" s="6"/>
      <c r="FN285" s="6"/>
      <c r="FO285" s="138"/>
      <c r="FP285" s="138"/>
      <c r="FQ285" s="123"/>
      <c r="FR285" s="6"/>
      <c r="FS285" s="6"/>
      <c r="FT285" s="139"/>
      <c r="FU285" s="139"/>
      <c r="FV285" s="76"/>
      <c r="FW285" s="123"/>
      <c r="FX285" s="6"/>
    </row>
    <row r="286" spans="35:180">
      <c r="AI286" s="125"/>
      <c r="AJ286" s="16"/>
      <c r="AM286" s="16"/>
      <c r="AN286" s="16"/>
      <c r="AO286" s="125"/>
      <c r="AP286" s="16"/>
      <c r="AQ286" s="125"/>
      <c r="AZ286" s="125"/>
      <c r="BA286" s="142"/>
      <c r="BB286" s="125"/>
      <c r="BC286" s="16"/>
      <c r="BD286" s="125"/>
      <c r="BE286" s="125"/>
      <c r="BF286" s="16"/>
      <c r="BG286" s="125"/>
      <c r="BQ286" s="125"/>
      <c r="BR286" s="16"/>
      <c r="BS286" s="123"/>
      <c r="BT286" s="19"/>
      <c r="BU286" s="139"/>
      <c r="BV286" s="139"/>
      <c r="BW286" s="123"/>
      <c r="BX286" s="123"/>
      <c r="BY286" s="123"/>
      <c r="BZ286" s="123"/>
      <c r="CA286" s="123"/>
      <c r="CB286" s="123"/>
      <c r="CC286" s="6"/>
      <c r="CD286" s="123"/>
      <c r="CE286" s="6"/>
      <c r="CF286" s="123"/>
      <c r="CG286" s="6"/>
      <c r="CH286" s="6"/>
      <c r="CI286" s="6"/>
      <c r="CJ286" s="6"/>
      <c r="CK286" s="123"/>
      <c r="CL286" s="6"/>
      <c r="CM286" s="6"/>
      <c r="CN286" s="6"/>
      <c r="CO286" s="138"/>
      <c r="CP286" s="138"/>
      <c r="CQ286" s="123"/>
      <c r="CR286" s="6"/>
      <c r="CS286" s="6"/>
      <c r="CT286" s="139"/>
      <c r="CU286" s="139"/>
      <c r="CV286" s="76"/>
      <c r="CW286" s="123"/>
      <c r="CX286" s="6"/>
      <c r="DI286" s="125"/>
      <c r="DJ286" s="16"/>
      <c r="DM286" s="16"/>
      <c r="DN286" s="16"/>
      <c r="DO286" s="125"/>
      <c r="DP286" s="16"/>
      <c r="DQ286" s="125"/>
      <c r="DZ286" s="125"/>
      <c r="EA286" s="142"/>
      <c r="EB286" s="125"/>
      <c r="EC286" s="16"/>
      <c r="ED286" s="125"/>
      <c r="EE286" s="125"/>
      <c r="EF286" s="16"/>
      <c r="EG286" s="125"/>
      <c r="EQ286" s="125"/>
      <c r="ER286" s="16"/>
      <c r="ES286" s="123"/>
      <c r="ET286" s="19"/>
      <c r="EU286" s="139"/>
      <c r="EV286" s="139"/>
      <c r="EW286" s="123"/>
      <c r="EX286" s="123"/>
      <c r="EY286" s="123"/>
      <c r="EZ286" s="123"/>
      <c r="FA286" s="123"/>
      <c r="FB286" s="123"/>
      <c r="FC286" s="6"/>
      <c r="FD286" s="123"/>
      <c r="FE286" s="6"/>
      <c r="FF286" s="123"/>
      <c r="FG286" s="6"/>
      <c r="FH286" s="6"/>
      <c r="FI286" s="6"/>
      <c r="FJ286" s="6"/>
      <c r="FK286" s="123"/>
      <c r="FL286" s="6"/>
      <c r="FM286" s="6"/>
      <c r="FN286" s="6"/>
      <c r="FO286" s="138"/>
      <c r="FP286" s="138"/>
      <c r="FQ286" s="123"/>
      <c r="FR286" s="6"/>
      <c r="FS286" s="6"/>
      <c r="FT286" s="139"/>
      <c r="FU286" s="139"/>
      <c r="FV286" s="76"/>
      <c r="FW286" s="123"/>
      <c r="FX286" s="6"/>
    </row>
    <row r="287" spans="35:180">
      <c r="AI287" s="125"/>
      <c r="AJ287" s="16"/>
      <c r="AM287" s="16"/>
      <c r="AN287" s="16"/>
      <c r="AO287" s="125"/>
      <c r="AP287" s="16"/>
      <c r="AQ287" s="125"/>
      <c r="AZ287" s="125"/>
      <c r="BA287" s="142"/>
      <c r="BB287" s="125"/>
      <c r="BC287" s="16"/>
      <c r="BD287" s="125"/>
      <c r="BE287" s="125"/>
      <c r="BF287" s="16"/>
      <c r="BG287" s="125"/>
      <c r="BQ287" s="125"/>
      <c r="BR287" s="16"/>
      <c r="BS287" s="123"/>
      <c r="BT287" s="19"/>
      <c r="BU287" s="139"/>
      <c r="BV287" s="139"/>
      <c r="BW287" s="123"/>
      <c r="BX287" s="123"/>
      <c r="BY287" s="123"/>
      <c r="BZ287" s="123"/>
      <c r="CA287" s="123"/>
      <c r="CB287" s="123"/>
      <c r="CC287" s="6"/>
      <c r="CD287" s="123"/>
      <c r="CE287" s="6"/>
      <c r="CF287" s="123"/>
      <c r="CG287" s="6"/>
      <c r="CH287" s="6"/>
      <c r="CI287" s="6"/>
      <c r="CJ287" s="6"/>
      <c r="CK287" s="123"/>
      <c r="CL287" s="6"/>
      <c r="CM287" s="6"/>
      <c r="CN287" s="6"/>
      <c r="CO287" s="138"/>
      <c r="CP287" s="138"/>
      <c r="CQ287" s="123"/>
      <c r="CR287" s="6"/>
      <c r="CS287" s="6"/>
      <c r="CT287" s="139"/>
      <c r="CU287" s="139"/>
      <c r="CV287" s="76"/>
      <c r="CW287" s="123"/>
      <c r="CX287" s="6"/>
      <c r="DI287" s="125"/>
      <c r="DJ287" s="16"/>
      <c r="DM287" s="16"/>
      <c r="DN287" s="16"/>
      <c r="DO287" s="125"/>
      <c r="DP287" s="16"/>
      <c r="DQ287" s="125"/>
      <c r="DZ287" s="125"/>
      <c r="EA287" s="142"/>
      <c r="EB287" s="125"/>
      <c r="EC287" s="16"/>
      <c r="ED287" s="125"/>
      <c r="EE287" s="125"/>
      <c r="EF287" s="16"/>
      <c r="EG287" s="125"/>
      <c r="EQ287" s="125"/>
      <c r="ER287" s="16"/>
      <c r="ES287" s="123"/>
      <c r="ET287" s="19"/>
      <c r="EU287" s="139"/>
      <c r="EV287" s="139"/>
      <c r="EW287" s="123"/>
      <c r="EX287" s="123"/>
      <c r="EY287" s="123"/>
      <c r="EZ287" s="123"/>
      <c r="FA287" s="123"/>
      <c r="FB287" s="123"/>
      <c r="FC287" s="6"/>
      <c r="FD287" s="123"/>
      <c r="FE287" s="6"/>
      <c r="FF287" s="123"/>
      <c r="FG287" s="6"/>
      <c r="FH287" s="6"/>
      <c r="FI287" s="6"/>
      <c r="FJ287" s="6"/>
      <c r="FK287" s="123"/>
      <c r="FL287" s="6"/>
      <c r="FM287" s="6"/>
      <c r="FN287" s="6"/>
      <c r="FO287" s="138"/>
      <c r="FP287" s="138"/>
      <c r="FQ287" s="123"/>
      <c r="FR287" s="6"/>
      <c r="FS287" s="6"/>
      <c r="FT287" s="139"/>
      <c r="FU287" s="139"/>
      <c r="FV287" s="76"/>
      <c r="FW287" s="123"/>
      <c r="FX287" s="6"/>
    </row>
    <row r="288" spans="35:180">
      <c r="AI288" s="125"/>
      <c r="AJ288" s="16"/>
      <c r="AM288" s="16"/>
      <c r="AN288" s="16"/>
      <c r="AO288" s="125"/>
      <c r="AP288" s="16"/>
      <c r="AQ288" s="125"/>
      <c r="AZ288" s="125"/>
      <c r="BA288" s="142"/>
      <c r="BB288" s="125"/>
      <c r="BC288" s="16"/>
      <c r="BD288" s="125"/>
      <c r="BE288" s="125"/>
      <c r="BF288" s="16"/>
      <c r="BG288" s="125"/>
      <c r="BQ288" s="125"/>
      <c r="BR288" s="16"/>
      <c r="BS288" s="123"/>
      <c r="BT288" s="19"/>
      <c r="BU288" s="139"/>
      <c r="BV288" s="139"/>
      <c r="BW288" s="123"/>
      <c r="BX288" s="123"/>
      <c r="BY288" s="123"/>
      <c r="BZ288" s="123"/>
      <c r="CA288" s="123"/>
      <c r="CB288" s="123"/>
      <c r="CC288" s="6"/>
      <c r="CD288" s="123"/>
      <c r="CE288" s="6"/>
      <c r="CF288" s="123"/>
      <c r="CG288" s="6"/>
      <c r="CH288" s="6"/>
      <c r="CI288" s="6"/>
      <c r="CJ288" s="6"/>
      <c r="CK288" s="123"/>
      <c r="CL288" s="6"/>
      <c r="CM288" s="6"/>
      <c r="CN288" s="6"/>
      <c r="CO288" s="138"/>
      <c r="CP288" s="138"/>
      <c r="CQ288" s="123"/>
      <c r="CR288" s="6"/>
      <c r="CS288" s="6"/>
      <c r="CT288" s="139"/>
      <c r="CU288" s="139"/>
      <c r="CV288" s="76"/>
      <c r="CW288" s="123"/>
      <c r="CX288" s="6"/>
      <c r="DI288" s="125"/>
      <c r="DJ288" s="16"/>
      <c r="DM288" s="16"/>
      <c r="DN288" s="16"/>
      <c r="DO288" s="125"/>
      <c r="DP288" s="16"/>
      <c r="DQ288" s="125"/>
      <c r="DZ288" s="125"/>
      <c r="EA288" s="142"/>
      <c r="EB288" s="125"/>
      <c r="EC288" s="16"/>
      <c r="ED288" s="125"/>
      <c r="EE288" s="125"/>
      <c r="EF288" s="16"/>
      <c r="EG288" s="125"/>
      <c r="EQ288" s="125"/>
      <c r="ER288" s="16"/>
      <c r="ES288" s="123"/>
      <c r="ET288" s="19"/>
      <c r="EU288" s="139"/>
      <c r="EV288" s="139"/>
      <c r="EW288" s="123"/>
      <c r="EX288" s="123"/>
      <c r="EY288" s="123"/>
      <c r="EZ288" s="123"/>
      <c r="FA288" s="123"/>
      <c r="FB288" s="123"/>
      <c r="FC288" s="6"/>
      <c r="FD288" s="123"/>
      <c r="FE288" s="6"/>
      <c r="FF288" s="123"/>
      <c r="FG288" s="6"/>
      <c r="FH288" s="6"/>
      <c r="FI288" s="6"/>
      <c r="FJ288" s="6"/>
      <c r="FK288" s="123"/>
      <c r="FL288" s="6"/>
      <c r="FM288" s="6"/>
      <c r="FN288" s="6"/>
      <c r="FO288" s="138"/>
      <c r="FP288" s="138"/>
      <c r="FQ288" s="123"/>
      <c r="FR288" s="6"/>
      <c r="FS288" s="6"/>
      <c r="FT288" s="139"/>
      <c r="FU288" s="139"/>
      <c r="FV288" s="76"/>
      <c r="FW288" s="123"/>
      <c r="FX288" s="6"/>
    </row>
    <row r="289" spans="35:180">
      <c r="AI289" s="125"/>
      <c r="AJ289" s="16"/>
      <c r="AM289" s="16"/>
      <c r="AN289" s="16"/>
      <c r="AO289" s="125"/>
      <c r="AP289" s="16"/>
      <c r="AQ289" s="125"/>
      <c r="AZ289" s="125"/>
      <c r="BA289" s="142"/>
      <c r="BB289" s="125"/>
      <c r="BC289" s="16"/>
      <c r="BD289" s="125"/>
      <c r="BE289" s="125"/>
      <c r="BF289" s="16"/>
      <c r="BG289" s="125"/>
      <c r="BQ289" s="125"/>
      <c r="BR289" s="16"/>
      <c r="BS289" s="123"/>
      <c r="BT289" s="19"/>
      <c r="BU289" s="139"/>
      <c r="BV289" s="139"/>
      <c r="BW289" s="123"/>
      <c r="BX289" s="123"/>
      <c r="BY289" s="123"/>
      <c r="BZ289" s="123"/>
      <c r="CA289" s="123"/>
      <c r="CB289" s="123"/>
      <c r="CC289" s="6"/>
      <c r="CD289" s="123"/>
      <c r="CE289" s="6"/>
      <c r="CF289" s="123"/>
      <c r="CG289" s="6"/>
      <c r="CH289" s="6"/>
      <c r="CI289" s="6"/>
      <c r="CJ289" s="6"/>
      <c r="CK289" s="123"/>
      <c r="CL289" s="6"/>
      <c r="CM289" s="6"/>
      <c r="CN289" s="6"/>
      <c r="CO289" s="138"/>
      <c r="CP289" s="138"/>
      <c r="CQ289" s="123"/>
      <c r="CR289" s="6"/>
      <c r="CS289" s="6"/>
      <c r="CT289" s="139"/>
      <c r="CU289" s="139"/>
      <c r="CV289" s="76"/>
      <c r="CW289" s="123"/>
      <c r="CX289" s="6"/>
      <c r="DI289" s="125"/>
      <c r="DJ289" s="16"/>
      <c r="DM289" s="16"/>
      <c r="DN289" s="16"/>
      <c r="DO289" s="125"/>
      <c r="DP289" s="16"/>
      <c r="DQ289" s="125"/>
      <c r="DZ289" s="125"/>
      <c r="EA289" s="142"/>
      <c r="EB289" s="125"/>
      <c r="EC289" s="16"/>
      <c r="ED289" s="125"/>
      <c r="EE289" s="125"/>
      <c r="EF289" s="16"/>
      <c r="EG289" s="125"/>
      <c r="EQ289" s="125"/>
      <c r="ER289" s="16"/>
      <c r="ES289" s="123"/>
      <c r="ET289" s="19"/>
      <c r="EU289" s="139"/>
      <c r="EV289" s="139"/>
      <c r="EW289" s="123"/>
      <c r="EX289" s="123"/>
      <c r="EY289" s="123"/>
      <c r="EZ289" s="123"/>
      <c r="FA289" s="123"/>
      <c r="FB289" s="123"/>
      <c r="FC289" s="6"/>
      <c r="FD289" s="123"/>
      <c r="FE289" s="6"/>
      <c r="FF289" s="123"/>
      <c r="FG289" s="6"/>
      <c r="FH289" s="6"/>
      <c r="FI289" s="6"/>
      <c r="FJ289" s="6"/>
      <c r="FK289" s="123"/>
      <c r="FL289" s="6"/>
      <c r="FM289" s="6"/>
      <c r="FN289" s="6"/>
      <c r="FO289" s="138"/>
      <c r="FP289" s="138"/>
      <c r="FQ289" s="123"/>
      <c r="FR289" s="6"/>
      <c r="FS289" s="6"/>
      <c r="FT289" s="139"/>
      <c r="FU289" s="139"/>
      <c r="FV289" s="76"/>
      <c r="FW289" s="123"/>
      <c r="FX289" s="6"/>
    </row>
    <row r="290" spans="35:180">
      <c r="AI290" s="125"/>
      <c r="AJ290" s="16"/>
      <c r="AM290" s="16"/>
      <c r="AN290" s="16"/>
      <c r="AO290" s="125"/>
      <c r="AP290" s="16"/>
      <c r="AQ290" s="125"/>
      <c r="AZ290" s="125"/>
      <c r="BA290" s="142"/>
      <c r="BB290" s="125"/>
      <c r="BC290" s="16"/>
      <c r="BD290" s="125"/>
      <c r="BE290" s="125"/>
      <c r="BF290" s="16"/>
      <c r="BG290" s="125"/>
      <c r="BQ290" s="125"/>
      <c r="BR290" s="16"/>
      <c r="BS290" s="123"/>
      <c r="BT290" s="19"/>
      <c r="BU290" s="139"/>
      <c r="BV290" s="139"/>
      <c r="BW290" s="123"/>
      <c r="BX290" s="123"/>
      <c r="BY290" s="123"/>
      <c r="BZ290" s="123"/>
      <c r="CA290" s="123"/>
      <c r="CB290" s="123"/>
      <c r="CC290" s="6"/>
      <c r="CD290" s="123"/>
      <c r="CE290" s="6"/>
      <c r="CF290" s="123"/>
      <c r="CG290" s="6"/>
      <c r="CH290" s="6"/>
      <c r="CI290" s="6"/>
      <c r="CJ290" s="6"/>
      <c r="CK290" s="123"/>
      <c r="CL290" s="6"/>
      <c r="CM290" s="6"/>
      <c r="CN290" s="6"/>
      <c r="CO290" s="138"/>
      <c r="CP290" s="138"/>
      <c r="CQ290" s="123"/>
      <c r="CR290" s="6"/>
      <c r="CS290" s="6"/>
      <c r="CT290" s="139"/>
      <c r="CU290" s="139"/>
      <c r="CV290" s="76"/>
      <c r="CW290" s="123"/>
      <c r="CX290" s="6"/>
      <c r="DI290" s="125"/>
      <c r="DJ290" s="16"/>
      <c r="DM290" s="16"/>
      <c r="DN290" s="16"/>
      <c r="DO290" s="125"/>
      <c r="DP290" s="16"/>
      <c r="DQ290" s="125"/>
      <c r="DZ290" s="125"/>
      <c r="EA290" s="142"/>
      <c r="EB290" s="125"/>
      <c r="EC290" s="16"/>
      <c r="ED290" s="125"/>
      <c r="EE290" s="125"/>
      <c r="EF290" s="16"/>
      <c r="EG290" s="125"/>
      <c r="EQ290" s="125"/>
      <c r="ER290" s="16"/>
      <c r="ES290" s="123"/>
      <c r="ET290" s="19"/>
      <c r="EU290" s="139"/>
      <c r="EV290" s="139"/>
      <c r="EW290" s="123"/>
      <c r="EX290" s="123"/>
      <c r="EY290" s="123"/>
      <c r="EZ290" s="123"/>
      <c r="FA290" s="123"/>
      <c r="FB290" s="123"/>
      <c r="FC290" s="6"/>
      <c r="FD290" s="123"/>
      <c r="FE290" s="6"/>
      <c r="FF290" s="123"/>
      <c r="FG290" s="6"/>
      <c r="FH290" s="6"/>
      <c r="FI290" s="6"/>
      <c r="FJ290" s="6"/>
      <c r="FK290" s="123"/>
      <c r="FL290" s="6"/>
      <c r="FM290" s="6"/>
      <c r="FN290" s="6"/>
      <c r="FO290" s="138"/>
      <c r="FP290" s="138"/>
      <c r="FQ290" s="123"/>
      <c r="FR290" s="6"/>
      <c r="FS290" s="6"/>
      <c r="FT290" s="139"/>
      <c r="FU290" s="139"/>
      <c r="FV290" s="76"/>
      <c r="FW290" s="123"/>
      <c r="FX290" s="6"/>
    </row>
    <row r="291" spans="35:180">
      <c r="AI291" s="125"/>
      <c r="AJ291" s="16"/>
      <c r="AM291" s="16"/>
      <c r="AN291" s="16"/>
      <c r="AO291" s="125"/>
      <c r="AP291" s="16"/>
      <c r="AQ291" s="125"/>
      <c r="AZ291" s="125"/>
      <c r="BA291" s="142"/>
      <c r="BB291" s="125"/>
      <c r="BC291" s="16"/>
      <c r="BD291" s="125"/>
      <c r="BE291" s="125"/>
      <c r="BF291" s="16"/>
      <c r="BG291" s="125"/>
      <c r="BQ291" s="125"/>
      <c r="BR291" s="16"/>
      <c r="BS291" s="123"/>
      <c r="BT291" s="19"/>
      <c r="BU291" s="139"/>
      <c r="BV291" s="139"/>
      <c r="BW291" s="123"/>
      <c r="BX291" s="123"/>
      <c r="BY291" s="123"/>
      <c r="BZ291" s="123"/>
      <c r="CA291" s="123"/>
      <c r="CB291" s="123"/>
      <c r="CC291" s="6"/>
      <c r="CD291" s="123"/>
      <c r="CE291" s="6"/>
      <c r="CF291" s="123"/>
      <c r="CG291" s="6"/>
      <c r="CH291" s="6"/>
      <c r="CI291" s="6"/>
      <c r="CJ291" s="6"/>
      <c r="CK291" s="123"/>
      <c r="CL291" s="6"/>
      <c r="CM291" s="6"/>
      <c r="CN291" s="6"/>
      <c r="CO291" s="138"/>
      <c r="CP291" s="138"/>
      <c r="CQ291" s="123"/>
      <c r="CR291" s="6"/>
      <c r="CS291" s="6"/>
      <c r="CT291" s="139"/>
      <c r="CU291" s="139"/>
      <c r="CV291" s="76"/>
      <c r="CW291" s="123"/>
      <c r="CX291" s="6"/>
      <c r="DI291" s="125"/>
      <c r="DJ291" s="16"/>
      <c r="DM291" s="16"/>
      <c r="DN291" s="16"/>
      <c r="DO291" s="125"/>
      <c r="DP291" s="16"/>
      <c r="DQ291" s="125"/>
      <c r="DZ291" s="125"/>
      <c r="EA291" s="142"/>
      <c r="EB291" s="125"/>
      <c r="EC291" s="16"/>
      <c r="ED291" s="125"/>
      <c r="EE291" s="125"/>
      <c r="EF291" s="16"/>
      <c r="EG291" s="125"/>
      <c r="EQ291" s="125"/>
      <c r="ER291" s="16"/>
      <c r="ES291" s="123"/>
      <c r="ET291" s="19"/>
      <c r="EU291" s="139"/>
      <c r="EV291" s="139"/>
      <c r="EW291" s="123"/>
      <c r="EX291" s="123"/>
      <c r="EY291" s="123"/>
      <c r="EZ291" s="123"/>
      <c r="FA291" s="123"/>
      <c r="FB291" s="123"/>
      <c r="FC291" s="6"/>
      <c r="FD291" s="123"/>
      <c r="FE291" s="6"/>
      <c r="FF291" s="123"/>
      <c r="FG291" s="6"/>
      <c r="FH291" s="6"/>
      <c r="FI291" s="6"/>
      <c r="FJ291" s="6"/>
      <c r="FK291" s="123"/>
      <c r="FL291" s="6"/>
      <c r="FM291" s="6"/>
      <c r="FN291" s="6"/>
      <c r="FO291" s="138"/>
      <c r="FP291" s="138"/>
      <c r="FQ291" s="123"/>
      <c r="FR291" s="6"/>
      <c r="FS291" s="6"/>
      <c r="FT291" s="139"/>
      <c r="FU291" s="139"/>
      <c r="FV291" s="76"/>
      <c r="FW291" s="123"/>
      <c r="FX291" s="6"/>
    </row>
    <row r="292" spans="35:180">
      <c r="AI292" s="125"/>
      <c r="AJ292" s="16"/>
      <c r="AM292" s="16"/>
      <c r="AN292" s="16"/>
      <c r="AO292" s="125"/>
      <c r="AP292" s="16"/>
      <c r="AQ292" s="125"/>
      <c r="AZ292" s="125"/>
      <c r="BA292" s="142"/>
      <c r="BB292" s="125"/>
      <c r="BC292" s="16"/>
      <c r="BD292" s="125"/>
      <c r="BE292" s="125"/>
      <c r="BF292" s="16"/>
      <c r="BG292" s="125"/>
      <c r="BQ292" s="125"/>
      <c r="BR292" s="16"/>
      <c r="BS292" s="123"/>
      <c r="BT292" s="19"/>
      <c r="BU292" s="139"/>
      <c r="BV292" s="139"/>
      <c r="BW292" s="123"/>
      <c r="BX292" s="123"/>
      <c r="BY292" s="123"/>
      <c r="BZ292" s="123"/>
      <c r="CA292" s="123"/>
      <c r="CB292" s="123"/>
      <c r="CC292" s="6"/>
      <c r="CD292" s="123"/>
      <c r="CE292" s="6"/>
      <c r="CF292" s="123"/>
      <c r="CG292" s="6"/>
      <c r="CH292" s="6"/>
      <c r="CI292" s="6"/>
      <c r="CJ292" s="6"/>
      <c r="CK292" s="123"/>
      <c r="CL292" s="6"/>
      <c r="CM292" s="6"/>
      <c r="CN292" s="6"/>
      <c r="CO292" s="138"/>
      <c r="CP292" s="138"/>
      <c r="CQ292" s="123"/>
      <c r="CR292" s="6"/>
      <c r="CS292" s="6"/>
      <c r="CT292" s="139"/>
      <c r="CU292" s="139"/>
      <c r="CV292" s="76"/>
      <c r="CW292" s="123"/>
      <c r="CX292" s="6"/>
      <c r="DI292" s="125"/>
      <c r="DJ292" s="16"/>
      <c r="DM292" s="16"/>
      <c r="DN292" s="16"/>
      <c r="DO292" s="125"/>
      <c r="DP292" s="16"/>
      <c r="DQ292" s="125"/>
      <c r="DZ292" s="125"/>
      <c r="EA292" s="142"/>
      <c r="EB292" s="125"/>
      <c r="EC292" s="16"/>
      <c r="ED292" s="125"/>
      <c r="EE292" s="125"/>
      <c r="EF292" s="16"/>
      <c r="EG292" s="125"/>
      <c r="EQ292" s="125"/>
      <c r="ER292" s="16"/>
      <c r="ES292" s="123"/>
      <c r="ET292" s="19"/>
      <c r="EU292" s="139"/>
      <c r="EV292" s="139"/>
      <c r="EW292" s="123"/>
      <c r="EX292" s="123"/>
      <c r="EY292" s="123"/>
      <c r="EZ292" s="123"/>
      <c r="FA292" s="123"/>
      <c r="FB292" s="123"/>
      <c r="FC292" s="6"/>
      <c r="FD292" s="123"/>
      <c r="FE292" s="6"/>
      <c r="FF292" s="123"/>
      <c r="FG292" s="6"/>
      <c r="FH292" s="6"/>
      <c r="FI292" s="6"/>
      <c r="FJ292" s="6"/>
      <c r="FK292" s="123"/>
      <c r="FL292" s="6"/>
      <c r="FM292" s="6"/>
      <c r="FN292" s="6"/>
      <c r="FO292" s="138"/>
      <c r="FP292" s="138"/>
      <c r="FQ292" s="123"/>
      <c r="FR292" s="6"/>
      <c r="FS292" s="6"/>
      <c r="FT292" s="139"/>
      <c r="FU292" s="139"/>
      <c r="FV292" s="76"/>
      <c r="FW292" s="123"/>
      <c r="FX292" s="6"/>
    </row>
    <row r="293" spans="35:180">
      <c r="AI293" s="125"/>
      <c r="AJ293" s="16"/>
      <c r="AM293" s="16"/>
      <c r="AN293" s="16"/>
      <c r="AO293" s="125"/>
      <c r="AP293" s="16"/>
      <c r="AQ293" s="125"/>
      <c r="AZ293" s="125"/>
      <c r="BA293" s="142"/>
      <c r="BB293" s="125"/>
      <c r="BC293" s="16"/>
      <c r="BD293" s="125"/>
      <c r="BE293" s="125"/>
      <c r="BF293" s="16"/>
      <c r="BG293" s="125"/>
      <c r="BQ293" s="125"/>
      <c r="BR293" s="16"/>
      <c r="BS293" s="123"/>
      <c r="BT293" s="19"/>
      <c r="BU293" s="139"/>
      <c r="BV293" s="139"/>
      <c r="BW293" s="123"/>
      <c r="BX293" s="123"/>
      <c r="BY293" s="123"/>
      <c r="BZ293" s="123"/>
      <c r="CA293" s="123"/>
      <c r="CB293" s="123"/>
      <c r="CC293" s="6"/>
      <c r="CD293" s="123"/>
      <c r="CE293" s="6"/>
      <c r="CF293" s="123"/>
      <c r="CG293" s="6"/>
      <c r="CH293" s="6"/>
      <c r="CI293" s="6"/>
      <c r="CJ293" s="6"/>
      <c r="CK293" s="123"/>
      <c r="CL293" s="6"/>
      <c r="CM293" s="6"/>
      <c r="CN293" s="6"/>
      <c r="CO293" s="138"/>
      <c r="CP293" s="138"/>
      <c r="CQ293" s="123"/>
      <c r="CR293" s="6"/>
      <c r="CS293" s="6"/>
      <c r="CT293" s="139"/>
      <c r="CU293" s="139"/>
      <c r="CV293" s="76"/>
      <c r="CW293" s="123"/>
      <c r="CX293" s="6"/>
      <c r="DI293" s="125"/>
      <c r="DJ293" s="16"/>
      <c r="DM293" s="16"/>
      <c r="DN293" s="16"/>
      <c r="DO293" s="125"/>
      <c r="DP293" s="16"/>
      <c r="DQ293" s="125"/>
      <c r="DZ293" s="125"/>
      <c r="EA293" s="142"/>
      <c r="EB293" s="125"/>
      <c r="EC293" s="16"/>
      <c r="ED293" s="125"/>
      <c r="EE293" s="125"/>
      <c r="EF293" s="16"/>
      <c r="EG293" s="125"/>
      <c r="EQ293" s="125"/>
      <c r="ER293" s="16"/>
      <c r="ES293" s="123"/>
      <c r="ET293" s="19"/>
      <c r="EU293" s="139"/>
      <c r="EV293" s="139"/>
      <c r="EW293" s="123"/>
      <c r="EX293" s="123"/>
      <c r="EY293" s="123"/>
      <c r="EZ293" s="123"/>
      <c r="FA293" s="123"/>
      <c r="FB293" s="123"/>
      <c r="FC293" s="6"/>
      <c r="FD293" s="123"/>
      <c r="FE293" s="6"/>
      <c r="FF293" s="123"/>
      <c r="FG293" s="6"/>
      <c r="FH293" s="6"/>
      <c r="FI293" s="6"/>
      <c r="FJ293" s="6"/>
      <c r="FK293" s="123"/>
      <c r="FL293" s="6"/>
      <c r="FM293" s="6"/>
      <c r="FN293" s="6"/>
      <c r="FO293" s="138"/>
      <c r="FP293" s="138"/>
      <c r="FQ293" s="123"/>
      <c r="FR293" s="6"/>
      <c r="FS293" s="6"/>
      <c r="FT293" s="139"/>
      <c r="FU293" s="139"/>
      <c r="FV293" s="76"/>
      <c r="FW293" s="123"/>
      <c r="FX293" s="6"/>
    </row>
    <row r="294" spans="35:180">
      <c r="AI294" s="125"/>
      <c r="AJ294" s="16"/>
      <c r="AM294" s="16"/>
      <c r="AN294" s="16"/>
      <c r="AO294" s="125"/>
      <c r="AP294" s="16"/>
      <c r="AQ294" s="125"/>
      <c r="AZ294" s="125"/>
      <c r="BA294" s="142"/>
      <c r="BB294" s="125"/>
      <c r="BC294" s="16"/>
      <c r="BD294" s="125"/>
      <c r="BE294" s="125"/>
      <c r="BF294" s="16"/>
      <c r="BG294" s="125"/>
      <c r="BQ294" s="125"/>
      <c r="BR294" s="16"/>
      <c r="BS294" s="123"/>
      <c r="BT294" s="19"/>
      <c r="BU294" s="139"/>
      <c r="BV294" s="139"/>
      <c r="BW294" s="123"/>
      <c r="BX294" s="123"/>
      <c r="BY294" s="123"/>
      <c r="BZ294" s="123"/>
      <c r="CA294" s="123"/>
      <c r="CB294" s="123"/>
      <c r="CC294" s="6"/>
      <c r="CD294" s="123"/>
      <c r="CE294" s="6"/>
      <c r="CF294" s="123"/>
      <c r="CG294" s="6"/>
      <c r="CH294" s="6"/>
      <c r="CI294" s="6"/>
      <c r="CJ294" s="6"/>
      <c r="CK294" s="123"/>
      <c r="CL294" s="6"/>
      <c r="CM294" s="6"/>
      <c r="CN294" s="6"/>
      <c r="CO294" s="138"/>
      <c r="CP294" s="138"/>
      <c r="CQ294" s="123"/>
      <c r="CR294" s="6"/>
      <c r="CS294" s="6"/>
      <c r="CT294" s="139"/>
      <c r="CU294" s="139"/>
      <c r="CV294" s="76"/>
      <c r="CW294" s="123"/>
      <c r="CX294" s="6"/>
      <c r="DI294" s="125"/>
      <c r="DJ294" s="16"/>
      <c r="DM294" s="16"/>
      <c r="DN294" s="16"/>
      <c r="DO294" s="125"/>
      <c r="DP294" s="16"/>
      <c r="DQ294" s="125"/>
      <c r="DZ294" s="125"/>
      <c r="EA294" s="142"/>
      <c r="EB294" s="125"/>
      <c r="EC294" s="16"/>
      <c r="ED294" s="125"/>
      <c r="EE294" s="125"/>
      <c r="EF294" s="16"/>
      <c r="EG294" s="125"/>
      <c r="EQ294" s="125"/>
      <c r="ER294" s="16"/>
      <c r="ES294" s="123"/>
      <c r="ET294" s="19"/>
      <c r="EU294" s="139"/>
      <c r="EV294" s="139"/>
      <c r="EW294" s="123"/>
      <c r="EX294" s="123"/>
      <c r="EY294" s="123"/>
      <c r="EZ294" s="123"/>
      <c r="FA294" s="123"/>
      <c r="FB294" s="123"/>
      <c r="FC294" s="6"/>
      <c r="FD294" s="123"/>
      <c r="FE294" s="6"/>
      <c r="FF294" s="123"/>
      <c r="FG294" s="6"/>
      <c r="FH294" s="6"/>
      <c r="FI294" s="6"/>
      <c r="FJ294" s="6"/>
      <c r="FK294" s="123"/>
      <c r="FL294" s="6"/>
      <c r="FM294" s="6"/>
      <c r="FN294" s="6"/>
      <c r="FO294" s="138"/>
      <c r="FP294" s="138"/>
      <c r="FQ294" s="123"/>
      <c r="FR294" s="6"/>
      <c r="FS294" s="6"/>
      <c r="FT294" s="139"/>
      <c r="FU294" s="139"/>
      <c r="FV294" s="76"/>
      <c r="FW294" s="123"/>
      <c r="FX294" s="6"/>
    </row>
    <row r="295" spans="35:180">
      <c r="AI295" s="125"/>
      <c r="AJ295" s="16"/>
      <c r="AM295" s="16"/>
      <c r="AN295" s="16"/>
      <c r="AO295" s="125"/>
      <c r="AP295" s="16"/>
      <c r="AQ295" s="125"/>
      <c r="AZ295" s="125"/>
      <c r="BA295" s="142"/>
      <c r="BB295" s="125"/>
      <c r="BC295" s="16"/>
      <c r="BD295" s="125"/>
      <c r="BE295" s="125"/>
      <c r="BF295" s="16"/>
      <c r="BG295" s="125"/>
      <c r="BQ295" s="125"/>
      <c r="BR295" s="16"/>
      <c r="BS295" s="123"/>
      <c r="BT295" s="19"/>
      <c r="BU295" s="139"/>
      <c r="BV295" s="139"/>
      <c r="BW295" s="123"/>
      <c r="BX295" s="123"/>
      <c r="BY295" s="123"/>
      <c r="BZ295" s="123"/>
      <c r="CA295" s="123"/>
      <c r="CB295" s="123"/>
      <c r="CC295" s="6"/>
      <c r="CD295" s="123"/>
      <c r="CE295" s="6"/>
      <c r="CF295" s="123"/>
      <c r="CG295" s="6"/>
      <c r="CH295" s="6"/>
      <c r="CI295" s="6"/>
      <c r="CJ295" s="6"/>
      <c r="CK295" s="123"/>
      <c r="CL295" s="6"/>
      <c r="CM295" s="6"/>
      <c r="CN295" s="6"/>
      <c r="CO295" s="138"/>
      <c r="CP295" s="138"/>
      <c r="CQ295" s="123"/>
      <c r="CR295" s="6"/>
      <c r="CS295" s="6"/>
      <c r="CT295" s="139"/>
      <c r="CU295" s="139"/>
      <c r="CV295" s="76"/>
      <c r="CW295" s="123"/>
      <c r="CX295" s="6"/>
      <c r="DI295" s="125"/>
      <c r="DJ295" s="16"/>
      <c r="DM295" s="16"/>
      <c r="DN295" s="16"/>
      <c r="DO295" s="125"/>
      <c r="DP295" s="16"/>
      <c r="DQ295" s="125"/>
      <c r="DZ295" s="125"/>
      <c r="EA295" s="142"/>
      <c r="EB295" s="125"/>
      <c r="EC295" s="16"/>
      <c r="ED295" s="125"/>
      <c r="EE295" s="125"/>
      <c r="EF295" s="16"/>
      <c r="EG295" s="125"/>
      <c r="EQ295" s="125"/>
      <c r="ER295" s="16"/>
      <c r="ES295" s="123"/>
      <c r="ET295" s="19"/>
      <c r="EU295" s="139"/>
      <c r="EV295" s="139"/>
      <c r="EW295" s="123"/>
      <c r="EX295" s="123"/>
      <c r="EY295" s="123"/>
      <c r="EZ295" s="123"/>
      <c r="FA295" s="123"/>
      <c r="FB295" s="123"/>
      <c r="FC295" s="6"/>
      <c r="FD295" s="123"/>
      <c r="FE295" s="6"/>
      <c r="FF295" s="123"/>
      <c r="FG295" s="6"/>
      <c r="FH295" s="6"/>
      <c r="FI295" s="6"/>
      <c r="FJ295" s="6"/>
      <c r="FK295" s="123"/>
      <c r="FL295" s="6"/>
      <c r="FM295" s="6"/>
      <c r="FN295" s="6"/>
      <c r="FO295" s="138"/>
      <c r="FP295" s="138"/>
      <c r="FQ295" s="123"/>
      <c r="FR295" s="6"/>
      <c r="FS295" s="6"/>
      <c r="FT295" s="139"/>
      <c r="FU295" s="139"/>
      <c r="FV295" s="76"/>
      <c r="FW295" s="123"/>
      <c r="FX295" s="6"/>
    </row>
    <row r="296" spans="35:180">
      <c r="AI296" s="125"/>
      <c r="AJ296" s="16"/>
      <c r="AM296" s="16"/>
      <c r="AN296" s="16"/>
      <c r="AO296" s="125"/>
      <c r="AP296" s="16"/>
      <c r="AQ296" s="125"/>
      <c r="AZ296" s="125"/>
      <c r="BA296" s="142"/>
      <c r="BB296" s="125"/>
      <c r="BC296" s="16"/>
      <c r="BD296" s="125"/>
      <c r="BE296" s="125"/>
      <c r="BF296" s="16"/>
      <c r="BG296" s="125"/>
      <c r="BQ296" s="125"/>
      <c r="BR296" s="16"/>
      <c r="BS296" s="123"/>
      <c r="BT296" s="19"/>
      <c r="BU296" s="139"/>
      <c r="BV296" s="139"/>
      <c r="BW296" s="123"/>
      <c r="BX296" s="123"/>
      <c r="BY296" s="123"/>
      <c r="BZ296" s="123"/>
      <c r="CA296" s="123"/>
      <c r="CB296" s="123"/>
      <c r="CC296" s="6"/>
      <c r="CD296" s="123"/>
      <c r="CE296" s="6"/>
      <c r="CF296" s="123"/>
      <c r="CG296" s="6"/>
      <c r="CH296" s="6"/>
      <c r="CI296" s="6"/>
      <c r="CJ296" s="6"/>
      <c r="CK296" s="123"/>
      <c r="CL296" s="6"/>
      <c r="CM296" s="6"/>
      <c r="CN296" s="6"/>
      <c r="CO296" s="138"/>
      <c r="CP296" s="138"/>
      <c r="CQ296" s="123"/>
      <c r="CR296" s="6"/>
      <c r="CS296" s="6"/>
      <c r="CT296" s="139"/>
      <c r="CU296" s="139"/>
      <c r="CV296" s="76"/>
      <c r="CW296" s="123"/>
      <c r="CX296" s="6"/>
      <c r="DI296" s="125"/>
      <c r="DJ296" s="16"/>
      <c r="DM296" s="16"/>
      <c r="DN296" s="16"/>
      <c r="DO296" s="125"/>
      <c r="DP296" s="16"/>
      <c r="DQ296" s="125"/>
      <c r="DZ296" s="125"/>
      <c r="EA296" s="142"/>
      <c r="EB296" s="125"/>
      <c r="EC296" s="16"/>
      <c r="ED296" s="125"/>
      <c r="EE296" s="125"/>
      <c r="EF296" s="16"/>
      <c r="EG296" s="125"/>
      <c r="EQ296" s="125"/>
      <c r="ER296" s="16"/>
      <c r="ES296" s="123"/>
      <c r="ET296" s="19"/>
      <c r="EU296" s="139"/>
      <c r="EV296" s="139"/>
      <c r="EW296" s="123"/>
      <c r="EX296" s="123"/>
      <c r="EY296" s="123"/>
      <c r="EZ296" s="123"/>
      <c r="FA296" s="123"/>
      <c r="FB296" s="123"/>
      <c r="FC296" s="6"/>
      <c r="FD296" s="123"/>
      <c r="FE296" s="6"/>
      <c r="FF296" s="123"/>
      <c r="FG296" s="6"/>
      <c r="FH296" s="6"/>
      <c r="FI296" s="6"/>
      <c r="FJ296" s="6"/>
      <c r="FK296" s="123"/>
      <c r="FL296" s="6"/>
      <c r="FM296" s="6"/>
      <c r="FN296" s="6"/>
      <c r="FO296" s="138"/>
      <c r="FP296" s="138"/>
      <c r="FQ296" s="123"/>
      <c r="FR296" s="6"/>
      <c r="FS296" s="6"/>
      <c r="FT296" s="139"/>
      <c r="FU296" s="139"/>
      <c r="FV296" s="76"/>
      <c r="FW296" s="123"/>
      <c r="FX296" s="6"/>
    </row>
    <row r="297" spans="35:180">
      <c r="AI297" s="125"/>
      <c r="AJ297" s="16"/>
      <c r="AM297" s="16"/>
      <c r="AN297" s="16"/>
      <c r="AO297" s="125"/>
      <c r="AP297" s="16"/>
      <c r="AQ297" s="125"/>
      <c r="AZ297" s="125"/>
      <c r="BA297" s="142"/>
      <c r="BB297" s="125"/>
      <c r="BC297" s="16"/>
      <c r="BD297" s="125"/>
      <c r="BE297" s="125"/>
      <c r="BF297" s="16"/>
      <c r="BG297" s="125"/>
      <c r="BQ297" s="125"/>
      <c r="BR297" s="16"/>
      <c r="BS297" s="123"/>
      <c r="BT297" s="19"/>
      <c r="BU297" s="139"/>
      <c r="BV297" s="139"/>
      <c r="BW297" s="123"/>
      <c r="BX297" s="123"/>
      <c r="BY297" s="123"/>
      <c r="BZ297" s="123"/>
      <c r="CA297" s="123"/>
      <c r="CB297" s="123"/>
      <c r="CC297" s="6"/>
      <c r="CD297" s="123"/>
      <c r="CE297" s="6"/>
      <c r="CF297" s="123"/>
      <c r="CG297" s="6"/>
      <c r="CH297" s="6"/>
      <c r="CI297" s="6"/>
      <c r="CJ297" s="6"/>
      <c r="CK297" s="123"/>
      <c r="CL297" s="6"/>
      <c r="CM297" s="6"/>
      <c r="CN297" s="6"/>
      <c r="CO297" s="138"/>
      <c r="CP297" s="138"/>
      <c r="CQ297" s="123"/>
      <c r="CR297" s="6"/>
      <c r="CS297" s="6"/>
      <c r="CT297" s="139"/>
      <c r="CU297" s="139"/>
      <c r="CV297" s="76"/>
      <c r="CW297" s="123"/>
      <c r="CX297" s="6"/>
      <c r="DI297" s="125"/>
      <c r="DJ297" s="16"/>
      <c r="DM297" s="16"/>
      <c r="DN297" s="16"/>
      <c r="DO297" s="125"/>
      <c r="DP297" s="16"/>
      <c r="DQ297" s="125"/>
      <c r="DZ297" s="125"/>
      <c r="EA297" s="142"/>
      <c r="EB297" s="125"/>
      <c r="EC297" s="16"/>
      <c r="ED297" s="125"/>
      <c r="EE297" s="125"/>
      <c r="EF297" s="16"/>
      <c r="EG297" s="125"/>
      <c r="EQ297" s="125"/>
      <c r="ER297" s="16"/>
      <c r="ES297" s="123"/>
      <c r="ET297" s="19"/>
      <c r="EU297" s="139"/>
      <c r="EV297" s="139"/>
      <c r="EW297" s="123"/>
      <c r="EX297" s="123"/>
      <c r="EY297" s="123"/>
      <c r="EZ297" s="123"/>
      <c r="FA297" s="123"/>
      <c r="FB297" s="123"/>
      <c r="FC297" s="6"/>
      <c r="FD297" s="123"/>
      <c r="FE297" s="6"/>
      <c r="FF297" s="123"/>
      <c r="FG297" s="6"/>
      <c r="FH297" s="6"/>
      <c r="FI297" s="6"/>
      <c r="FJ297" s="6"/>
      <c r="FK297" s="123"/>
      <c r="FL297" s="6"/>
      <c r="FM297" s="6"/>
      <c r="FN297" s="6"/>
      <c r="FO297" s="138"/>
      <c r="FP297" s="138"/>
      <c r="FQ297" s="123"/>
      <c r="FR297" s="6"/>
      <c r="FS297" s="6"/>
      <c r="FT297" s="139"/>
      <c r="FU297" s="139"/>
      <c r="FV297" s="76"/>
      <c r="FW297" s="123"/>
      <c r="FX297" s="6"/>
    </row>
    <row r="298" spans="35:180">
      <c r="AI298" s="125"/>
      <c r="AJ298" s="16"/>
      <c r="AM298" s="16"/>
      <c r="AN298" s="16"/>
      <c r="AO298" s="125"/>
      <c r="AP298" s="16"/>
      <c r="AQ298" s="125"/>
      <c r="AZ298" s="125"/>
      <c r="BA298" s="142"/>
      <c r="BB298" s="125"/>
      <c r="BC298" s="16"/>
      <c r="BD298" s="125"/>
      <c r="BE298" s="125"/>
      <c r="BF298" s="16"/>
      <c r="BG298" s="125"/>
      <c r="BQ298" s="125"/>
      <c r="BR298" s="16"/>
      <c r="BS298" s="123"/>
      <c r="BT298" s="19"/>
      <c r="BU298" s="139"/>
      <c r="BV298" s="139"/>
      <c r="BW298" s="123"/>
      <c r="BX298" s="123"/>
      <c r="BY298" s="123"/>
      <c r="BZ298" s="123"/>
      <c r="CA298" s="123"/>
      <c r="CB298" s="123"/>
      <c r="CC298" s="6"/>
      <c r="CD298" s="123"/>
      <c r="CE298" s="6"/>
      <c r="CF298" s="123"/>
      <c r="CG298" s="6"/>
      <c r="CH298" s="6"/>
      <c r="CI298" s="6"/>
      <c r="CJ298" s="6"/>
      <c r="CK298" s="123"/>
      <c r="CL298" s="6"/>
      <c r="CM298" s="6"/>
      <c r="CN298" s="6"/>
      <c r="CO298" s="138"/>
      <c r="CP298" s="138"/>
      <c r="CQ298" s="123"/>
      <c r="CR298" s="6"/>
      <c r="CS298" s="6"/>
      <c r="CT298" s="139"/>
      <c r="CU298" s="139"/>
      <c r="CV298" s="76"/>
      <c r="CW298" s="123"/>
      <c r="CX298" s="6"/>
      <c r="DI298" s="125"/>
      <c r="DJ298" s="16"/>
      <c r="DM298" s="16"/>
      <c r="DN298" s="16"/>
      <c r="DO298" s="125"/>
      <c r="DP298" s="16"/>
      <c r="DQ298" s="125"/>
      <c r="DZ298" s="125"/>
      <c r="EA298" s="142"/>
      <c r="EB298" s="125"/>
      <c r="EC298" s="16"/>
      <c r="ED298" s="125"/>
      <c r="EE298" s="125"/>
      <c r="EF298" s="16"/>
      <c r="EG298" s="125"/>
      <c r="EQ298" s="125"/>
      <c r="ER298" s="16"/>
      <c r="ES298" s="123"/>
      <c r="ET298" s="19"/>
      <c r="EU298" s="139"/>
      <c r="EV298" s="139"/>
      <c r="EW298" s="123"/>
      <c r="EX298" s="123"/>
      <c r="EY298" s="123"/>
      <c r="EZ298" s="123"/>
      <c r="FA298" s="123"/>
      <c r="FB298" s="123"/>
      <c r="FC298" s="6"/>
      <c r="FD298" s="123"/>
      <c r="FE298" s="6"/>
      <c r="FF298" s="123"/>
      <c r="FG298" s="6"/>
      <c r="FH298" s="6"/>
      <c r="FI298" s="6"/>
      <c r="FJ298" s="6"/>
      <c r="FK298" s="123"/>
      <c r="FL298" s="6"/>
      <c r="FM298" s="6"/>
      <c r="FN298" s="6"/>
      <c r="FO298" s="138"/>
      <c r="FP298" s="138"/>
      <c r="FQ298" s="123"/>
      <c r="FR298" s="6"/>
      <c r="FS298" s="6"/>
      <c r="FT298" s="139"/>
      <c r="FU298" s="139"/>
      <c r="FV298" s="76"/>
      <c r="FW298" s="123"/>
      <c r="FX298" s="6"/>
    </row>
    <row r="299" spans="35:180">
      <c r="AI299" s="125"/>
      <c r="AJ299" s="16"/>
      <c r="AM299" s="16"/>
      <c r="AN299" s="16"/>
      <c r="AO299" s="125"/>
      <c r="AP299" s="16"/>
      <c r="AQ299" s="125"/>
      <c r="AZ299" s="125"/>
      <c r="BA299" s="142"/>
      <c r="BB299" s="125"/>
      <c r="BC299" s="16"/>
      <c r="BD299" s="125"/>
      <c r="BE299" s="125"/>
      <c r="BF299" s="16"/>
      <c r="BG299" s="125"/>
      <c r="BQ299" s="125"/>
      <c r="BR299" s="16"/>
      <c r="BS299" s="123"/>
      <c r="BT299" s="19"/>
      <c r="BU299" s="139"/>
      <c r="BV299" s="139"/>
      <c r="BW299" s="123"/>
      <c r="BX299" s="123"/>
      <c r="BY299" s="123"/>
      <c r="BZ299" s="123"/>
      <c r="CA299" s="123"/>
      <c r="CB299" s="123"/>
      <c r="CC299" s="6"/>
      <c r="CD299" s="123"/>
      <c r="CE299" s="6"/>
      <c r="CF299" s="123"/>
      <c r="CG299" s="6"/>
      <c r="CH299" s="6"/>
      <c r="CI299" s="6"/>
      <c r="CJ299" s="6"/>
      <c r="CK299" s="123"/>
      <c r="CL299" s="6"/>
      <c r="CM299" s="6"/>
      <c r="CN299" s="6"/>
      <c r="CO299" s="138"/>
      <c r="CP299" s="138"/>
      <c r="CQ299" s="123"/>
      <c r="CR299" s="6"/>
      <c r="CS299" s="6"/>
      <c r="CT299" s="139"/>
      <c r="CU299" s="139"/>
      <c r="CV299" s="76"/>
      <c r="CW299" s="123"/>
      <c r="CX299" s="6"/>
      <c r="DI299" s="125"/>
      <c r="DJ299" s="16"/>
      <c r="DM299" s="16"/>
      <c r="DN299" s="16"/>
      <c r="DO299" s="125"/>
      <c r="DP299" s="16"/>
      <c r="DQ299" s="125"/>
      <c r="DZ299" s="125"/>
      <c r="EA299" s="142"/>
      <c r="EB299" s="125"/>
      <c r="EC299" s="16"/>
      <c r="ED299" s="125"/>
      <c r="EE299" s="125"/>
      <c r="EF299" s="16"/>
      <c r="EG299" s="125"/>
      <c r="EQ299" s="125"/>
      <c r="ER299" s="16"/>
      <c r="ES299" s="123"/>
      <c r="ET299" s="19"/>
      <c r="EU299" s="139"/>
      <c r="EV299" s="139"/>
      <c r="EW299" s="123"/>
      <c r="EX299" s="123"/>
      <c r="EY299" s="123"/>
      <c r="EZ299" s="123"/>
      <c r="FA299" s="123"/>
      <c r="FB299" s="123"/>
      <c r="FC299" s="6"/>
      <c r="FD299" s="123"/>
      <c r="FE299" s="6"/>
      <c r="FF299" s="123"/>
      <c r="FG299" s="6"/>
      <c r="FH299" s="6"/>
      <c r="FI299" s="6"/>
      <c r="FJ299" s="6"/>
      <c r="FK299" s="123"/>
      <c r="FL299" s="6"/>
      <c r="FM299" s="6"/>
      <c r="FN299" s="6"/>
      <c r="FO299" s="138"/>
      <c r="FP299" s="138"/>
      <c r="FQ299" s="123"/>
      <c r="FR299" s="6"/>
      <c r="FS299" s="6"/>
      <c r="FT299" s="139"/>
      <c r="FU299" s="139"/>
      <c r="FV299" s="76"/>
      <c r="FW299" s="123"/>
      <c r="FX299" s="6"/>
    </row>
    <row r="300" spans="35:180">
      <c r="AI300" s="125"/>
      <c r="AJ300" s="16"/>
      <c r="AM300" s="16"/>
      <c r="AN300" s="16"/>
      <c r="AO300" s="125"/>
      <c r="AP300" s="16"/>
      <c r="AQ300" s="125"/>
      <c r="AZ300" s="125"/>
      <c r="BA300" s="142"/>
      <c r="BB300" s="125"/>
      <c r="BC300" s="16"/>
      <c r="BD300" s="125"/>
      <c r="BE300" s="125"/>
      <c r="BF300" s="16"/>
      <c r="BG300" s="125"/>
      <c r="BQ300" s="125"/>
      <c r="BR300" s="16"/>
      <c r="BS300" s="123"/>
      <c r="BT300" s="19"/>
      <c r="BU300" s="139"/>
      <c r="BV300" s="139"/>
      <c r="BW300" s="123"/>
      <c r="BX300" s="123"/>
      <c r="BY300" s="123"/>
      <c r="BZ300" s="123"/>
      <c r="CA300" s="123"/>
      <c r="CB300" s="123"/>
      <c r="CC300" s="6"/>
      <c r="CD300" s="123"/>
      <c r="CE300" s="6"/>
      <c r="CF300" s="123"/>
      <c r="CG300" s="6"/>
      <c r="CH300" s="6"/>
      <c r="CI300" s="6"/>
      <c r="CJ300" s="6"/>
      <c r="CK300" s="123"/>
      <c r="CL300" s="6"/>
      <c r="CM300" s="6"/>
      <c r="CN300" s="6"/>
      <c r="CO300" s="138"/>
      <c r="CP300" s="138"/>
      <c r="CQ300" s="123"/>
      <c r="CR300" s="6"/>
      <c r="CS300" s="6"/>
      <c r="CT300" s="139"/>
      <c r="CU300" s="139"/>
      <c r="CV300" s="76"/>
      <c r="CW300" s="123"/>
      <c r="CX300" s="6"/>
      <c r="DI300" s="125"/>
      <c r="DJ300" s="16"/>
      <c r="DM300" s="16"/>
      <c r="DN300" s="16"/>
      <c r="DO300" s="125"/>
      <c r="DP300" s="16"/>
      <c r="DQ300" s="125"/>
      <c r="DZ300" s="125"/>
      <c r="EA300" s="142"/>
      <c r="EB300" s="125"/>
      <c r="EC300" s="16"/>
      <c r="ED300" s="125"/>
      <c r="EE300" s="125"/>
      <c r="EF300" s="16"/>
      <c r="EG300" s="125"/>
      <c r="EQ300" s="125"/>
      <c r="ER300" s="16"/>
      <c r="ES300" s="123"/>
      <c r="ET300" s="19"/>
      <c r="EU300" s="139"/>
      <c r="EV300" s="139"/>
      <c r="EW300" s="123"/>
      <c r="EX300" s="123"/>
      <c r="EY300" s="123"/>
      <c r="EZ300" s="123"/>
      <c r="FA300" s="123"/>
      <c r="FB300" s="123"/>
      <c r="FC300" s="6"/>
      <c r="FD300" s="123"/>
      <c r="FE300" s="6"/>
      <c r="FF300" s="123"/>
      <c r="FG300" s="6"/>
      <c r="FH300" s="6"/>
      <c r="FI300" s="6"/>
      <c r="FJ300" s="6"/>
      <c r="FK300" s="123"/>
      <c r="FL300" s="6"/>
      <c r="FM300" s="6"/>
      <c r="FN300" s="6"/>
      <c r="FO300" s="138"/>
      <c r="FP300" s="138"/>
      <c r="FQ300" s="123"/>
      <c r="FR300" s="6"/>
      <c r="FS300" s="6"/>
      <c r="FT300" s="139"/>
      <c r="FU300" s="139"/>
      <c r="FV300" s="76"/>
      <c r="FW300" s="123"/>
      <c r="FX300" s="6"/>
    </row>
    <row r="301" spans="35:180">
      <c r="AI301" s="125"/>
      <c r="AJ301" s="16"/>
      <c r="AM301" s="16"/>
      <c r="AN301" s="16"/>
      <c r="AO301" s="125"/>
      <c r="AP301" s="16"/>
      <c r="AQ301" s="125"/>
      <c r="AZ301" s="125"/>
      <c r="BA301" s="142"/>
      <c r="BB301" s="125"/>
      <c r="BC301" s="16"/>
      <c r="BD301" s="125"/>
      <c r="BE301" s="125"/>
      <c r="BF301" s="16"/>
      <c r="BG301" s="125"/>
      <c r="BQ301" s="125"/>
      <c r="BR301" s="16"/>
      <c r="BS301" s="123"/>
      <c r="BT301" s="19"/>
      <c r="BU301" s="139"/>
      <c r="BV301" s="139"/>
      <c r="BW301" s="123"/>
      <c r="BX301" s="123"/>
      <c r="BY301" s="123"/>
      <c r="BZ301" s="123"/>
      <c r="CA301" s="123"/>
      <c r="CB301" s="123"/>
      <c r="CC301" s="6"/>
      <c r="CD301" s="123"/>
      <c r="CE301" s="6"/>
      <c r="CF301" s="123"/>
      <c r="CG301" s="6"/>
      <c r="CH301" s="6"/>
      <c r="CI301" s="6"/>
      <c r="CJ301" s="6"/>
      <c r="CK301" s="123"/>
      <c r="CL301" s="6"/>
      <c r="CM301" s="6"/>
      <c r="CN301" s="6"/>
      <c r="CO301" s="138"/>
      <c r="CP301" s="138"/>
      <c r="CQ301" s="123"/>
      <c r="CR301" s="6"/>
      <c r="CS301" s="6"/>
      <c r="CT301" s="139"/>
      <c r="CU301" s="139"/>
      <c r="CV301" s="76"/>
      <c r="CW301" s="123"/>
      <c r="CX301" s="6"/>
      <c r="DI301" s="125"/>
      <c r="DJ301" s="16"/>
      <c r="DM301" s="16"/>
      <c r="DN301" s="16"/>
      <c r="DO301" s="125"/>
      <c r="DP301" s="16"/>
      <c r="DQ301" s="125"/>
      <c r="DZ301" s="125"/>
      <c r="EA301" s="142"/>
      <c r="EB301" s="125"/>
      <c r="EC301" s="16"/>
      <c r="ED301" s="125"/>
      <c r="EE301" s="125"/>
      <c r="EF301" s="16"/>
      <c r="EG301" s="125"/>
      <c r="EQ301" s="125"/>
      <c r="ER301" s="16"/>
      <c r="ES301" s="123"/>
      <c r="ET301" s="19"/>
      <c r="EU301" s="139"/>
      <c r="EV301" s="139"/>
      <c r="EW301" s="123"/>
      <c r="EX301" s="123"/>
      <c r="EY301" s="123"/>
      <c r="EZ301" s="123"/>
      <c r="FA301" s="123"/>
      <c r="FB301" s="123"/>
      <c r="FC301" s="6"/>
      <c r="FD301" s="123"/>
      <c r="FE301" s="6"/>
      <c r="FF301" s="123"/>
      <c r="FG301" s="6"/>
      <c r="FH301" s="6"/>
      <c r="FI301" s="6"/>
      <c r="FJ301" s="6"/>
      <c r="FK301" s="123"/>
      <c r="FL301" s="6"/>
      <c r="FM301" s="6"/>
      <c r="FN301" s="6"/>
      <c r="FO301" s="138"/>
      <c r="FP301" s="138"/>
      <c r="FQ301" s="123"/>
      <c r="FR301" s="6"/>
      <c r="FS301" s="6"/>
      <c r="FT301" s="139"/>
      <c r="FU301" s="139"/>
      <c r="FV301" s="76"/>
      <c r="FW301" s="123"/>
      <c r="FX301" s="6"/>
    </row>
    <row r="302" spans="35:180">
      <c r="AI302" s="125"/>
      <c r="AJ302" s="16"/>
      <c r="AM302" s="16"/>
      <c r="AN302" s="16"/>
      <c r="AO302" s="125"/>
      <c r="AP302" s="16"/>
      <c r="AQ302" s="125"/>
      <c r="AZ302" s="125"/>
      <c r="BA302" s="142"/>
      <c r="BB302" s="125"/>
      <c r="BC302" s="16"/>
      <c r="BD302" s="125"/>
      <c r="BE302" s="125"/>
      <c r="BF302" s="16"/>
      <c r="BG302" s="125"/>
      <c r="BQ302" s="125"/>
      <c r="BR302" s="16"/>
      <c r="BS302" s="123"/>
      <c r="BT302" s="19"/>
      <c r="BU302" s="139"/>
      <c r="BV302" s="139"/>
      <c r="BW302" s="123"/>
      <c r="BX302" s="123"/>
      <c r="BY302" s="123"/>
      <c r="BZ302" s="123"/>
      <c r="CA302" s="123"/>
      <c r="CB302" s="123"/>
      <c r="CC302" s="6"/>
      <c r="CD302" s="123"/>
      <c r="CE302" s="6"/>
      <c r="CF302" s="123"/>
      <c r="CG302" s="6"/>
      <c r="CH302" s="6"/>
      <c r="CI302" s="6"/>
      <c r="CJ302" s="6"/>
      <c r="CK302" s="123"/>
      <c r="CL302" s="6"/>
      <c r="CM302" s="6"/>
      <c r="CN302" s="6"/>
      <c r="CO302" s="138"/>
      <c r="CP302" s="138"/>
      <c r="CQ302" s="123"/>
      <c r="CR302" s="6"/>
      <c r="CS302" s="6"/>
      <c r="CT302" s="139"/>
      <c r="CU302" s="139"/>
      <c r="CV302" s="76"/>
      <c r="CW302" s="123"/>
      <c r="CX302" s="6"/>
      <c r="DI302" s="125"/>
      <c r="DJ302" s="16"/>
      <c r="DM302" s="16"/>
      <c r="DN302" s="16"/>
      <c r="DO302" s="125"/>
      <c r="DP302" s="16"/>
      <c r="DQ302" s="125"/>
      <c r="DZ302" s="125"/>
      <c r="EA302" s="142"/>
      <c r="EB302" s="125"/>
      <c r="EC302" s="16"/>
      <c r="ED302" s="125"/>
      <c r="EE302" s="125"/>
      <c r="EF302" s="16"/>
      <c r="EG302" s="125"/>
      <c r="EQ302" s="125"/>
      <c r="ER302" s="16"/>
      <c r="ES302" s="123"/>
      <c r="ET302" s="19"/>
      <c r="EU302" s="139"/>
      <c r="EV302" s="139"/>
      <c r="EW302" s="123"/>
      <c r="EX302" s="123"/>
      <c r="EY302" s="123"/>
      <c r="EZ302" s="123"/>
      <c r="FA302" s="123"/>
      <c r="FB302" s="123"/>
      <c r="FC302" s="6"/>
      <c r="FD302" s="123"/>
      <c r="FE302" s="6"/>
      <c r="FF302" s="123"/>
      <c r="FG302" s="6"/>
      <c r="FH302" s="6"/>
      <c r="FI302" s="6"/>
      <c r="FJ302" s="6"/>
      <c r="FK302" s="123"/>
      <c r="FL302" s="6"/>
      <c r="FM302" s="6"/>
      <c r="FN302" s="6"/>
      <c r="FO302" s="138"/>
      <c r="FP302" s="138"/>
      <c r="FQ302" s="123"/>
      <c r="FR302" s="6"/>
      <c r="FS302" s="6"/>
      <c r="FT302" s="139"/>
      <c r="FU302" s="139"/>
      <c r="FV302" s="76"/>
      <c r="FW302" s="123"/>
      <c r="FX302" s="6"/>
    </row>
    <row r="303" spans="35:180">
      <c r="AI303" s="125"/>
      <c r="AJ303" s="16"/>
      <c r="AM303" s="16"/>
      <c r="AN303" s="16"/>
      <c r="AO303" s="125"/>
      <c r="AP303" s="16"/>
      <c r="AQ303" s="125"/>
      <c r="AZ303" s="125"/>
      <c r="BA303" s="142"/>
      <c r="BB303" s="125"/>
      <c r="BC303" s="16"/>
      <c r="BD303" s="125"/>
      <c r="BE303" s="125"/>
      <c r="BF303" s="16"/>
      <c r="BG303" s="125"/>
      <c r="BQ303" s="125"/>
      <c r="BR303" s="16"/>
      <c r="BS303" s="123"/>
      <c r="BT303" s="19"/>
      <c r="BU303" s="139"/>
      <c r="BV303" s="139"/>
      <c r="BW303" s="123"/>
      <c r="BX303" s="123"/>
      <c r="BY303" s="123"/>
      <c r="BZ303" s="123"/>
      <c r="CA303" s="123"/>
      <c r="CB303" s="123"/>
      <c r="CC303" s="6"/>
      <c r="CD303" s="123"/>
      <c r="CE303" s="6"/>
      <c r="CF303" s="123"/>
      <c r="CG303" s="6"/>
      <c r="CH303" s="6"/>
      <c r="CI303" s="6"/>
      <c r="CJ303" s="6"/>
      <c r="CK303" s="123"/>
      <c r="CL303" s="6"/>
      <c r="CM303" s="6"/>
      <c r="CN303" s="6"/>
      <c r="CO303" s="138"/>
      <c r="CP303" s="138"/>
      <c r="CQ303" s="123"/>
      <c r="CR303" s="6"/>
      <c r="CS303" s="6"/>
      <c r="CT303" s="139"/>
      <c r="CU303" s="139"/>
      <c r="CV303" s="76"/>
      <c r="CW303" s="123"/>
      <c r="CX303" s="6"/>
      <c r="DI303" s="125"/>
      <c r="DJ303" s="16"/>
      <c r="DM303" s="16"/>
      <c r="DN303" s="16"/>
      <c r="DO303" s="125"/>
      <c r="DP303" s="16"/>
      <c r="DQ303" s="125"/>
      <c r="DZ303" s="125"/>
      <c r="EA303" s="142"/>
      <c r="EB303" s="125"/>
      <c r="EC303" s="16"/>
      <c r="ED303" s="125"/>
      <c r="EE303" s="125"/>
      <c r="EF303" s="16"/>
      <c r="EG303" s="125"/>
      <c r="EQ303" s="125"/>
      <c r="ER303" s="16"/>
      <c r="ES303" s="123"/>
      <c r="ET303" s="19"/>
      <c r="EU303" s="139"/>
      <c r="EV303" s="139"/>
      <c r="EW303" s="123"/>
      <c r="EX303" s="123"/>
      <c r="EY303" s="123"/>
      <c r="EZ303" s="123"/>
      <c r="FA303" s="123"/>
      <c r="FB303" s="123"/>
      <c r="FC303" s="6"/>
      <c r="FD303" s="123"/>
      <c r="FE303" s="6"/>
      <c r="FF303" s="123"/>
      <c r="FG303" s="6"/>
      <c r="FH303" s="6"/>
      <c r="FI303" s="6"/>
      <c r="FJ303" s="6"/>
      <c r="FK303" s="123"/>
      <c r="FL303" s="6"/>
      <c r="FM303" s="6"/>
      <c r="FN303" s="6"/>
      <c r="FO303" s="138"/>
      <c r="FP303" s="138"/>
      <c r="FQ303" s="123"/>
      <c r="FR303" s="6"/>
      <c r="FS303" s="6"/>
      <c r="FT303" s="139"/>
      <c r="FU303" s="139"/>
      <c r="FV303" s="76"/>
      <c r="FW303" s="123"/>
      <c r="FX303" s="6"/>
    </row>
    <row r="304" spans="35:180">
      <c r="AI304" s="125"/>
      <c r="AJ304" s="16"/>
      <c r="AM304" s="16"/>
      <c r="AN304" s="16"/>
      <c r="AO304" s="125"/>
      <c r="AP304" s="16"/>
      <c r="AQ304" s="125"/>
      <c r="AZ304" s="125"/>
      <c r="BA304" s="142"/>
      <c r="BB304" s="125"/>
      <c r="BC304" s="16"/>
      <c r="BD304" s="125"/>
      <c r="BE304" s="125"/>
      <c r="BF304" s="16"/>
      <c r="BG304" s="125"/>
      <c r="BQ304" s="125"/>
      <c r="BR304" s="16"/>
      <c r="BS304" s="123"/>
      <c r="BT304" s="19"/>
      <c r="BU304" s="139"/>
      <c r="BV304" s="139"/>
      <c r="BW304" s="123"/>
      <c r="BX304" s="123"/>
      <c r="BY304" s="123"/>
      <c r="BZ304" s="123"/>
      <c r="CA304" s="123"/>
      <c r="CB304" s="123"/>
      <c r="CC304" s="6"/>
      <c r="CD304" s="123"/>
      <c r="CE304" s="6"/>
      <c r="CF304" s="123"/>
      <c r="CG304" s="6"/>
      <c r="CH304" s="6"/>
      <c r="CI304" s="6"/>
      <c r="CJ304" s="6"/>
      <c r="CK304" s="123"/>
      <c r="CL304" s="6"/>
      <c r="CM304" s="6"/>
      <c r="CN304" s="6"/>
      <c r="CO304" s="138"/>
      <c r="CP304" s="138"/>
      <c r="CQ304" s="123"/>
      <c r="CR304" s="6"/>
      <c r="CS304" s="6"/>
      <c r="CT304" s="139"/>
      <c r="CU304" s="139"/>
      <c r="CV304" s="76"/>
      <c r="CW304" s="123"/>
      <c r="CX304" s="6"/>
      <c r="DI304" s="125"/>
      <c r="DJ304" s="16"/>
      <c r="DM304" s="16"/>
      <c r="DN304" s="16"/>
      <c r="DO304" s="125"/>
      <c r="DP304" s="16"/>
      <c r="DQ304" s="125"/>
      <c r="DZ304" s="125"/>
      <c r="EA304" s="142"/>
      <c r="EB304" s="125"/>
      <c r="EC304" s="16"/>
      <c r="ED304" s="125"/>
      <c r="EE304" s="125"/>
      <c r="EF304" s="16"/>
      <c r="EG304" s="125"/>
      <c r="EQ304" s="125"/>
      <c r="ER304" s="16"/>
      <c r="ES304" s="123"/>
      <c r="ET304" s="19"/>
      <c r="EU304" s="139"/>
      <c r="EV304" s="139"/>
      <c r="EW304" s="123"/>
      <c r="EX304" s="123"/>
      <c r="EY304" s="123"/>
      <c r="EZ304" s="123"/>
      <c r="FA304" s="123"/>
      <c r="FB304" s="123"/>
      <c r="FC304" s="6"/>
      <c r="FD304" s="123"/>
      <c r="FE304" s="6"/>
      <c r="FF304" s="123"/>
      <c r="FG304" s="6"/>
      <c r="FH304" s="6"/>
      <c r="FI304" s="6"/>
      <c r="FJ304" s="6"/>
      <c r="FK304" s="123"/>
      <c r="FL304" s="6"/>
      <c r="FM304" s="6"/>
      <c r="FN304" s="6"/>
      <c r="FO304" s="138"/>
      <c r="FP304" s="138"/>
      <c r="FQ304" s="123"/>
      <c r="FR304" s="6"/>
      <c r="FS304" s="6"/>
      <c r="FT304" s="139"/>
      <c r="FU304" s="139"/>
      <c r="FV304" s="76"/>
      <c r="FW304" s="123"/>
      <c r="FX304" s="6"/>
    </row>
    <row r="305" spans="35:180">
      <c r="AI305" s="125"/>
      <c r="AJ305" s="16"/>
      <c r="AM305" s="16"/>
      <c r="AN305" s="16"/>
      <c r="AO305" s="125"/>
      <c r="AP305" s="16"/>
      <c r="AQ305" s="125"/>
      <c r="AZ305" s="125"/>
      <c r="BA305" s="142"/>
      <c r="BB305" s="125"/>
      <c r="BC305" s="16"/>
      <c r="BD305" s="125"/>
      <c r="BE305" s="125"/>
      <c r="BF305" s="16"/>
      <c r="BG305" s="125"/>
      <c r="BQ305" s="125"/>
      <c r="BR305" s="16"/>
      <c r="BS305" s="123"/>
      <c r="BT305" s="19"/>
      <c r="BU305" s="139"/>
      <c r="BV305" s="139"/>
      <c r="BW305" s="123"/>
      <c r="BX305" s="123"/>
      <c r="BY305" s="123"/>
      <c r="BZ305" s="123"/>
      <c r="CA305" s="123"/>
      <c r="CB305" s="123"/>
      <c r="CC305" s="6"/>
      <c r="CD305" s="123"/>
      <c r="CE305" s="6"/>
      <c r="CF305" s="123"/>
      <c r="CG305" s="6"/>
      <c r="CH305" s="6"/>
      <c r="CI305" s="6"/>
      <c r="CJ305" s="6"/>
      <c r="CK305" s="123"/>
      <c r="CL305" s="6"/>
      <c r="CM305" s="6"/>
      <c r="CN305" s="6"/>
      <c r="CO305" s="138"/>
      <c r="CP305" s="138"/>
      <c r="CQ305" s="123"/>
      <c r="CR305" s="6"/>
      <c r="CS305" s="6"/>
      <c r="CT305" s="139"/>
      <c r="CU305" s="139"/>
      <c r="CV305" s="76"/>
      <c r="CW305" s="123"/>
      <c r="CX305" s="6"/>
      <c r="DI305" s="125"/>
      <c r="DJ305" s="16"/>
      <c r="DM305" s="16"/>
      <c r="DN305" s="16"/>
      <c r="DO305" s="125"/>
      <c r="DP305" s="16"/>
      <c r="DQ305" s="125"/>
      <c r="DZ305" s="125"/>
      <c r="EA305" s="142"/>
      <c r="EB305" s="125"/>
      <c r="EC305" s="16"/>
      <c r="ED305" s="125"/>
      <c r="EE305" s="125"/>
      <c r="EF305" s="16"/>
      <c r="EG305" s="125"/>
      <c r="EQ305" s="125"/>
      <c r="ER305" s="16"/>
      <c r="ES305" s="123"/>
      <c r="ET305" s="19"/>
      <c r="EU305" s="139"/>
      <c r="EV305" s="139"/>
      <c r="EW305" s="123"/>
      <c r="EX305" s="123"/>
      <c r="EY305" s="123"/>
      <c r="EZ305" s="123"/>
      <c r="FA305" s="123"/>
      <c r="FB305" s="123"/>
      <c r="FC305" s="6"/>
      <c r="FD305" s="123"/>
      <c r="FE305" s="6"/>
      <c r="FF305" s="123"/>
      <c r="FG305" s="6"/>
      <c r="FH305" s="6"/>
      <c r="FI305" s="6"/>
      <c r="FJ305" s="6"/>
      <c r="FK305" s="123"/>
      <c r="FL305" s="6"/>
      <c r="FM305" s="6"/>
      <c r="FN305" s="6"/>
      <c r="FO305" s="138"/>
      <c r="FP305" s="138"/>
      <c r="FQ305" s="123"/>
      <c r="FR305" s="6"/>
      <c r="FS305" s="6"/>
      <c r="FT305" s="139"/>
      <c r="FU305" s="139"/>
      <c r="FV305" s="76"/>
      <c r="FW305" s="123"/>
      <c r="FX305" s="6"/>
    </row>
    <row r="306" spans="35:180">
      <c r="AI306" s="125"/>
      <c r="AJ306" s="16"/>
      <c r="AM306" s="16"/>
      <c r="AN306" s="16"/>
      <c r="AO306" s="125"/>
      <c r="AP306" s="16"/>
      <c r="AQ306" s="125"/>
      <c r="AZ306" s="125"/>
      <c r="BA306" s="142"/>
      <c r="BB306" s="125"/>
      <c r="BC306" s="16"/>
      <c r="BD306" s="125"/>
      <c r="BE306" s="125"/>
      <c r="BF306" s="16"/>
      <c r="BG306" s="125"/>
      <c r="BQ306" s="125"/>
      <c r="BR306" s="16"/>
      <c r="BS306" s="123"/>
      <c r="BT306" s="19"/>
      <c r="BU306" s="139"/>
      <c r="BV306" s="139"/>
      <c r="BW306" s="123"/>
      <c r="BX306" s="123"/>
      <c r="BY306" s="123"/>
      <c r="BZ306" s="123"/>
      <c r="CA306" s="123"/>
      <c r="CB306" s="123"/>
      <c r="CC306" s="6"/>
      <c r="CD306" s="123"/>
      <c r="CE306" s="6"/>
      <c r="CF306" s="123"/>
      <c r="CG306" s="6"/>
      <c r="CH306" s="6"/>
      <c r="CI306" s="6"/>
      <c r="CJ306" s="6"/>
      <c r="CK306" s="123"/>
      <c r="CL306" s="6"/>
      <c r="CM306" s="6"/>
      <c r="CN306" s="6"/>
      <c r="CO306" s="138"/>
      <c r="CP306" s="138"/>
      <c r="CQ306" s="123"/>
      <c r="CR306" s="6"/>
      <c r="CS306" s="6"/>
      <c r="CT306" s="139"/>
      <c r="CU306" s="139"/>
      <c r="CV306" s="76"/>
      <c r="CW306" s="123"/>
      <c r="CX306" s="6"/>
      <c r="DI306" s="125"/>
      <c r="DJ306" s="16"/>
      <c r="DM306" s="16"/>
      <c r="DN306" s="16"/>
      <c r="DO306" s="125"/>
      <c r="DP306" s="16"/>
      <c r="DQ306" s="125"/>
      <c r="DZ306" s="125"/>
      <c r="EA306" s="142"/>
      <c r="EB306" s="125"/>
      <c r="EC306" s="16"/>
      <c r="ED306" s="125"/>
      <c r="EE306" s="125"/>
      <c r="EF306" s="16"/>
      <c r="EG306" s="125"/>
      <c r="EQ306" s="125"/>
      <c r="ER306" s="16"/>
      <c r="ES306" s="123"/>
      <c r="ET306" s="19"/>
      <c r="EU306" s="139"/>
      <c r="EV306" s="139"/>
      <c r="EW306" s="123"/>
      <c r="EX306" s="123"/>
      <c r="EY306" s="123"/>
      <c r="EZ306" s="123"/>
      <c r="FA306" s="123"/>
      <c r="FB306" s="123"/>
      <c r="FC306" s="6"/>
      <c r="FD306" s="123"/>
      <c r="FE306" s="6"/>
      <c r="FF306" s="123"/>
      <c r="FG306" s="6"/>
      <c r="FH306" s="6"/>
      <c r="FI306" s="6"/>
      <c r="FJ306" s="6"/>
      <c r="FK306" s="123"/>
      <c r="FL306" s="6"/>
      <c r="FM306" s="6"/>
      <c r="FN306" s="6"/>
      <c r="FO306" s="138"/>
      <c r="FP306" s="138"/>
      <c r="FQ306" s="123"/>
      <c r="FR306" s="6"/>
      <c r="FS306" s="6"/>
      <c r="FT306" s="139"/>
      <c r="FU306" s="139"/>
      <c r="FV306" s="76"/>
      <c r="FW306" s="123"/>
      <c r="FX306" s="6"/>
    </row>
    <row r="307" spans="35:180">
      <c r="AI307" s="125"/>
      <c r="AJ307" s="16"/>
      <c r="AM307" s="16"/>
      <c r="AN307" s="16"/>
      <c r="AO307" s="125"/>
      <c r="AP307" s="16"/>
      <c r="AQ307" s="125"/>
      <c r="AZ307" s="125"/>
      <c r="BA307" s="142"/>
      <c r="BB307" s="125"/>
      <c r="BC307" s="16"/>
      <c r="BD307" s="125"/>
      <c r="BE307" s="125"/>
      <c r="BF307" s="16"/>
      <c r="BG307" s="125"/>
      <c r="BQ307" s="125"/>
      <c r="BR307" s="16"/>
      <c r="BS307" s="123"/>
      <c r="BT307" s="19"/>
      <c r="BU307" s="139"/>
      <c r="BV307" s="139"/>
      <c r="BW307" s="123"/>
      <c r="BX307" s="123"/>
      <c r="BY307" s="123"/>
      <c r="BZ307" s="123"/>
      <c r="CA307" s="123"/>
      <c r="CB307" s="123"/>
      <c r="CC307" s="6"/>
      <c r="CD307" s="123"/>
      <c r="CE307" s="6"/>
      <c r="CF307" s="123"/>
      <c r="CG307" s="6"/>
      <c r="CH307" s="6"/>
      <c r="CI307" s="6"/>
      <c r="CJ307" s="6"/>
      <c r="CK307" s="123"/>
      <c r="CL307" s="6"/>
      <c r="CM307" s="6"/>
      <c r="CN307" s="6"/>
      <c r="CO307" s="138"/>
      <c r="CP307" s="138"/>
      <c r="CQ307" s="123"/>
      <c r="CR307" s="6"/>
      <c r="CS307" s="6"/>
      <c r="CT307" s="139"/>
      <c r="CU307" s="139"/>
      <c r="CV307" s="76"/>
      <c r="CW307" s="123"/>
      <c r="CX307" s="6"/>
      <c r="DI307" s="125"/>
      <c r="DJ307" s="16"/>
      <c r="DM307" s="16"/>
      <c r="DN307" s="16"/>
      <c r="DO307" s="125"/>
      <c r="DP307" s="16"/>
      <c r="DQ307" s="125"/>
      <c r="DZ307" s="125"/>
      <c r="EA307" s="142"/>
      <c r="EB307" s="125"/>
      <c r="EC307" s="16"/>
      <c r="ED307" s="125"/>
      <c r="EE307" s="125"/>
      <c r="EF307" s="16"/>
      <c r="EG307" s="125"/>
      <c r="EQ307" s="125"/>
      <c r="ER307" s="16"/>
      <c r="ES307" s="123"/>
      <c r="ET307" s="19"/>
      <c r="EU307" s="139"/>
      <c r="EV307" s="139"/>
      <c r="EW307" s="123"/>
      <c r="EX307" s="123"/>
      <c r="EY307" s="123"/>
      <c r="EZ307" s="123"/>
      <c r="FA307" s="123"/>
      <c r="FB307" s="123"/>
      <c r="FC307" s="6"/>
      <c r="FD307" s="123"/>
      <c r="FE307" s="6"/>
      <c r="FF307" s="123"/>
      <c r="FG307" s="6"/>
      <c r="FH307" s="6"/>
      <c r="FI307" s="6"/>
      <c r="FJ307" s="6"/>
      <c r="FK307" s="123"/>
      <c r="FL307" s="6"/>
      <c r="FM307" s="6"/>
      <c r="FN307" s="6"/>
      <c r="FO307" s="138"/>
      <c r="FP307" s="138"/>
      <c r="FQ307" s="123"/>
      <c r="FR307" s="6"/>
      <c r="FS307" s="6"/>
      <c r="FT307" s="139"/>
      <c r="FU307" s="139"/>
      <c r="FV307" s="76"/>
      <c r="FW307" s="123"/>
      <c r="FX307" s="6"/>
    </row>
    <row r="308" spans="35:180">
      <c r="AI308" s="125"/>
      <c r="AJ308" s="16"/>
      <c r="AM308" s="16"/>
      <c r="AN308" s="16"/>
      <c r="AO308" s="125"/>
      <c r="AP308" s="16"/>
      <c r="AQ308" s="125"/>
      <c r="AZ308" s="125"/>
      <c r="BA308" s="142"/>
      <c r="BB308" s="125"/>
      <c r="BC308" s="16"/>
      <c r="BD308" s="125"/>
      <c r="BE308" s="125"/>
      <c r="BF308" s="16"/>
      <c r="BG308" s="125"/>
      <c r="BQ308" s="125"/>
      <c r="BR308" s="16"/>
      <c r="BS308" s="123"/>
      <c r="BT308" s="19"/>
      <c r="BU308" s="139"/>
      <c r="BV308" s="139"/>
      <c r="BW308" s="123"/>
      <c r="BX308" s="123"/>
      <c r="BY308" s="123"/>
      <c r="BZ308" s="123"/>
      <c r="CA308" s="123"/>
      <c r="CB308" s="123"/>
      <c r="CC308" s="6"/>
      <c r="CD308" s="123"/>
      <c r="CE308" s="6"/>
      <c r="CF308" s="123"/>
      <c r="CG308" s="6"/>
      <c r="CH308" s="6"/>
      <c r="CI308" s="6"/>
      <c r="CJ308" s="6"/>
      <c r="CK308" s="123"/>
      <c r="CL308" s="6"/>
      <c r="CM308" s="6"/>
      <c r="CN308" s="6"/>
      <c r="CO308" s="138"/>
      <c r="CP308" s="138"/>
      <c r="CQ308" s="123"/>
      <c r="CR308" s="6"/>
      <c r="CS308" s="6"/>
      <c r="CT308" s="139"/>
      <c r="CU308" s="139"/>
      <c r="CV308" s="76"/>
      <c r="CW308" s="123"/>
      <c r="CX308" s="6"/>
      <c r="DI308" s="125"/>
      <c r="DJ308" s="16"/>
      <c r="DM308" s="16"/>
      <c r="DN308" s="16"/>
      <c r="DO308" s="125"/>
      <c r="DP308" s="16"/>
      <c r="DQ308" s="125"/>
      <c r="DZ308" s="125"/>
      <c r="EA308" s="142"/>
      <c r="EB308" s="125"/>
      <c r="EC308" s="16"/>
      <c r="ED308" s="125"/>
      <c r="EE308" s="125"/>
      <c r="EF308" s="16"/>
      <c r="EG308" s="125"/>
      <c r="EQ308" s="125"/>
      <c r="ER308" s="16"/>
      <c r="ES308" s="123"/>
      <c r="ET308" s="19"/>
      <c r="EU308" s="139"/>
      <c r="EV308" s="139"/>
      <c r="EW308" s="123"/>
      <c r="EX308" s="123"/>
      <c r="EY308" s="123"/>
      <c r="EZ308" s="123"/>
      <c r="FA308" s="123"/>
      <c r="FB308" s="123"/>
      <c r="FC308" s="6"/>
      <c r="FD308" s="123"/>
      <c r="FE308" s="6"/>
      <c r="FF308" s="123"/>
      <c r="FG308" s="6"/>
      <c r="FH308" s="6"/>
      <c r="FI308" s="6"/>
      <c r="FJ308" s="6"/>
      <c r="FK308" s="123"/>
      <c r="FL308" s="6"/>
      <c r="FM308" s="6"/>
      <c r="FN308" s="6"/>
      <c r="FO308" s="138"/>
      <c r="FP308" s="138"/>
      <c r="FQ308" s="123"/>
      <c r="FR308" s="6"/>
      <c r="FS308" s="6"/>
      <c r="FT308" s="139"/>
      <c r="FU308" s="139"/>
      <c r="FV308" s="76"/>
      <c r="FW308" s="123"/>
      <c r="FX308" s="6"/>
    </row>
    <row r="309" spans="35:180">
      <c r="AI309" s="125"/>
      <c r="AJ309" s="16"/>
      <c r="AM309" s="16"/>
      <c r="AN309" s="16"/>
      <c r="AO309" s="125"/>
      <c r="AP309" s="16"/>
      <c r="AQ309" s="125"/>
      <c r="AZ309" s="125"/>
      <c r="BA309" s="142"/>
      <c r="BB309" s="125"/>
      <c r="BC309" s="16"/>
      <c r="BD309" s="125"/>
      <c r="BE309" s="125"/>
      <c r="BF309" s="16"/>
      <c r="BG309" s="125"/>
      <c r="BQ309" s="125"/>
      <c r="BR309" s="16"/>
      <c r="BS309" s="123"/>
      <c r="BT309" s="19"/>
      <c r="BU309" s="139"/>
      <c r="BV309" s="139"/>
      <c r="BW309" s="123"/>
      <c r="BX309" s="123"/>
      <c r="BY309" s="123"/>
      <c r="BZ309" s="123"/>
      <c r="CA309" s="123"/>
      <c r="CB309" s="123"/>
      <c r="CC309" s="6"/>
      <c r="CD309" s="123"/>
      <c r="CE309" s="6"/>
      <c r="CF309" s="123"/>
      <c r="CG309" s="6"/>
      <c r="CH309" s="6"/>
      <c r="CI309" s="6"/>
      <c r="CJ309" s="6"/>
      <c r="CK309" s="123"/>
      <c r="CL309" s="6"/>
      <c r="CM309" s="6"/>
      <c r="CN309" s="6"/>
      <c r="CO309" s="138"/>
      <c r="CP309" s="138"/>
      <c r="CQ309" s="123"/>
      <c r="CR309" s="6"/>
      <c r="CS309" s="6"/>
      <c r="CT309" s="139"/>
      <c r="CU309" s="139"/>
      <c r="CV309" s="76"/>
      <c r="CW309" s="123"/>
      <c r="CX309" s="6"/>
      <c r="DI309" s="125"/>
      <c r="DJ309" s="16"/>
      <c r="DM309" s="16"/>
      <c r="DN309" s="16"/>
      <c r="DO309" s="125"/>
      <c r="DP309" s="16"/>
      <c r="DQ309" s="125"/>
      <c r="DZ309" s="125"/>
      <c r="EA309" s="142"/>
      <c r="EB309" s="125"/>
      <c r="EC309" s="16"/>
      <c r="ED309" s="125"/>
      <c r="EE309" s="125"/>
      <c r="EF309" s="16"/>
      <c r="EG309" s="125"/>
      <c r="EQ309" s="125"/>
      <c r="ER309" s="16"/>
      <c r="ES309" s="123"/>
      <c r="ET309" s="19"/>
      <c r="EU309" s="139"/>
      <c r="EV309" s="139"/>
      <c r="EW309" s="123"/>
      <c r="EX309" s="123"/>
      <c r="EY309" s="123"/>
      <c r="EZ309" s="123"/>
      <c r="FA309" s="123"/>
      <c r="FB309" s="123"/>
      <c r="FC309" s="6"/>
      <c r="FD309" s="123"/>
      <c r="FE309" s="6"/>
      <c r="FF309" s="123"/>
      <c r="FG309" s="6"/>
      <c r="FH309" s="6"/>
      <c r="FI309" s="6"/>
      <c r="FJ309" s="6"/>
      <c r="FK309" s="123"/>
      <c r="FL309" s="6"/>
      <c r="FM309" s="6"/>
      <c r="FN309" s="6"/>
      <c r="FO309" s="138"/>
      <c r="FP309" s="138"/>
      <c r="FQ309" s="123"/>
      <c r="FR309" s="6"/>
      <c r="FS309" s="6"/>
      <c r="FT309" s="139"/>
      <c r="FU309" s="139"/>
      <c r="FV309" s="76"/>
      <c r="FW309" s="123"/>
      <c r="FX309" s="6"/>
    </row>
    <row r="310" spans="35:180">
      <c r="AI310" s="125"/>
      <c r="AJ310" s="16"/>
      <c r="AM310" s="16"/>
      <c r="AN310" s="16"/>
      <c r="AO310" s="125"/>
      <c r="AP310" s="16"/>
      <c r="AQ310" s="125"/>
      <c r="AZ310" s="125"/>
      <c r="BA310" s="142"/>
      <c r="BB310" s="125"/>
      <c r="BC310" s="16"/>
      <c r="BD310" s="125"/>
      <c r="BE310" s="125"/>
      <c r="BF310" s="16"/>
      <c r="BG310" s="125"/>
      <c r="BQ310" s="125"/>
      <c r="BR310" s="16"/>
      <c r="BS310" s="123"/>
      <c r="BT310" s="19"/>
      <c r="BU310" s="139"/>
      <c r="BV310" s="139"/>
      <c r="BW310" s="123"/>
      <c r="BX310" s="123"/>
      <c r="BY310" s="123"/>
      <c r="BZ310" s="123"/>
      <c r="CA310" s="123"/>
      <c r="CB310" s="123"/>
      <c r="CC310" s="6"/>
      <c r="CD310" s="123"/>
      <c r="CE310" s="6"/>
      <c r="CF310" s="123"/>
      <c r="CG310" s="6"/>
      <c r="CH310" s="6"/>
      <c r="CI310" s="6"/>
      <c r="CJ310" s="6"/>
      <c r="CK310" s="123"/>
      <c r="CL310" s="6"/>
      <c r="CM310" s="6"/>
      <c r="CN310" s="6"/>
      <c r="CO310" s="138"/>
      <c r="CP310" s="138"/>
      <c r="CQ310" s="123"/>
      <c r="CR310" s="6"/>
      <c r="CS310" s="6"/>
      <c r="CT310" s="139"/>
      <c r="CU310" s="139"/>
      <c r="CV310" s="76"/>
      <c r="CW310" s="123"/>
      <c r="CX310" s="6"/>
      <c r="DI310" s="125"/>
      <c r="DJ310" s="16"/>
      <c r="DM310" s="16"/>
      <c r="DN310" s="16"/>
      <c r="DO310" s="125"/>
      <c r="DP310" s="16"/>
      <c r="DQ310" s="125"/>
      <c r="DZ310" s="125"/>
      <c r="EA310" s="142"/>
      <c r="EB310" s="125"/>
      <c r="EC310" s="16"/>
      <c r="ED310" s="125"/>
      <c r="EE310" s="125"/>
      <c r="EF310" s="16"/>
      <c r="EG310" s="125"/>
      <c r="EQ310" s="125"/>
      <c r="ER310" s="16"/>
      <c r="ES310" s="123"/>
      <c r="ET310" s="19"/>
      <c r="EU310" s="139"/>
      <c r="EV310" s="139"/>
      <c r="EW310" s="123"/>
      <c r="EX310" s="123"/>
      <c r="EY310" s="123"/>
      <c r="EZ310" s="123"/>
      <c r="FA310" s="123"/>
      <c r="FB310" s="123"/>
      <c r="FC310" s="6"/>
      <c r="FD310" s="123"/>
      <c r="FE310" s="6"/>
      <c r="FF310" s="123"/>
      <c r="FG310" s="6"/>
      <c r="FH310" s="6"/>
      <c r="FI310" s="6"/>
      <c r="FJ310" s="6"/>
      <c r="FK310" s="123"/>
      <c r="FL310" s="6"/>
      <c r="FM310" s="6"/>
      <c r="FN310" s="6"/>
      <c r="FO310" s="138"/>
      <c r="FP310" s="138"/>
      <c r="FQ310" s="123"/>
      <c r="FR310" s="6"/>
      <c r="FS310" s="6"/>
      <c r="FT310" s="139"/>
      <c r="FU310" s="139"/>
      <c r="FV310" s="76"/>
      <c r="FW310" s="123"/>
      <c r="FX310" s="6"/>
    </row>
    <row r="311" spans="35:180">
      <c r="AI311" s="125"/>
      <c r="AJ311" s="16"/>
      <c r="AM311" s="16"/>
      <c r="AN311" s="16"/>
      <c r="AO311" s="125"/>
      <c r="AP311" s="16"/>
      <c r="AQ311" s="125"/>
      <c r="AZ311" s="125"/>
      <c r="BA311" s="142"/>
      <c r="BB311" s="125"/>
      <c r="BC311" s="16"/>
      <c r="BD311" s="125"/>
      <c r="BE311" s="125"/>
      <c r="BF311" s="16"/>
      <c r="BG311" s="125"/>
      <c r="BQ311" s="125"/>
      <c r="BR311" s="16"/>
      <c r="BS311" s="123"/>
      <c r="BT311" s="19"/>
      <c r="BU311" s="139"/>
      <c r="BV311" s="139"/>
      <c r="BW311" s="123"/>
      <c r="BX311" s="123"/>
      <c r="BY311" s="123"/>
      <c r="BZ311" s="123"/>
      <c r="CA311" s="123"/>
      <c r="CB311" s="123"/>
      <c r="CC311" s="6"/>
      <c r="CD311" s="123"/>
      <c r="CE311" s="6"/>
      <c r="CF311" s="123"/>
      <c r="CG311" s="6"/>
      <c r="CH311" s="6"/>
      <c r="CI311" s="6"/>
      <c r="CJ311" s="6"/>
      <c r="CK311" s="123"/>
      <c r="CL311" s="6"/>
      <c r="CM311" s="6"/>
      <c r="CN311" s="6"/>
      <c r="CO311" s="138"/>
      <c r="CP311" s="138"/>
      <c r="CQ311" s="123"/>
      <c r="CR311" s="6"/>
      <c r="CS311" s="6"/>
      <c r="CT311" s="139"/>
      <c r="CU311" s="139"/>
      <c r="CV311" s="76"/>
      <c r="CW311" s="123"/>
      <c r="CX311" s="6"/>
      <c r="DI311" s="125"/>
      <c r="DJ311" s="16"/>
      <c r="DM311" s="16"/>
      <c r="DN311" s="16"/>
      <c r="DO311" s="125"/>
      <c r="DP311" s="16"/>
      <c r="DQ311" s="125"/>
      <c r="DZ311" s="125"/>
      <c r="EA311" s="142"/>
      <c r="EB311" s="125"/>
      <c r="EC311" s="16"/>
      <c r="ED311" s="125"/>
      <c r="EE311" s="125"/>
      <c r="EF311" s="16"/>
      <c r="EG311" s="125"/>
      <c r="EQ311" s="125"/>
      <c r="ER311" s="16"/>
      <c r="ES311" s="123"/>
      <c r="ET311" s="19"/>
      <c r="EU311" s="139"/>
      <c r="EV311" s="139"/>
      <c r="EW311" s="123"/>
      <c r="EX311" s="123"/>
      <c r="EY311" s="123"/>
      <c r="EZ311" s="123"/>
      <c r="FA311" s="123"/>
      <c r="FB311" s="123"/>
      <c r="FC311" s="6"/>
      <c r="FD311" s="123"/>
      <c r="FE311" s="6"/>
      <c r="FF311" s="123"/>
      <c r="FG311" s="6"/>
      <c r="FH311" s="6"/>
      <c r="FI311" s="6"/>
      <c r="FJ311" s="6"/>
      <c r="FK311" s="123"/>
      <c r="FL311" s="6"/>
      <c r="FM311" s="6"/>
      <c r="FN311" s="6"/>
      <c r="FO311" s="138"/>
      <c r="FP311" s="138"/>
      <c r="FQ311" s="123"/>
      <c r="FR311" s="6"/>
      <c r="FS311" s="6"/>
      <c r="FT311" s="139"/>
      <c r="FU311" s="139"/>
      <c r="FV311" s="76"/>
      <c r="FW311" s="123"/>
      <c r="FX311" s="6"/>
    </row>
    <row r="312" spans="35:180">
      <c r="AI312" s="125"/>
      <c r="AJ312" s="16"/>
      <c r="AM312" s="16"/>
      <c r="AN312" s="16"/>
      <c r="AO312" s="125"/>
      <c r="AP312" s="16"/>
      <c r="AQ312" s="125"/>
      <c r="AZ312" s="125"/>
      <c r="BA312" s="142"/>
      <c r="BB312" s="125"/>
      <c r="BC312" s="16"/>
      <c r="BD312" s="125"/>
      <c r="BE312" s="125"/>
      <c r="BF312" s="16"/>
      <c r="BG312" s="125"/>
      <c r="BQ312" s="125"/>
      <c r="BR312" s="16"/>
      <c r="BS312" s="123"/>
      <c r="BT312" s="19"/>
      <c r="BU312" s="139"/>
      <c r="BV312" s="139"/>
      <c r="BW312" s="123"/>
      <c r="BX312" s="123"/>
      <c r="BY312" s="123"/>
      <c r="BZ312" s="123"/>
      <c r="CA312" s="123"/>
      <c r="CB312" s="123"/>
      <c r="CC312" s="6"/>
      <c r="CD312" s="123"/>
      <c r="CE312" s="6"/>
      <c r="CF312" s="123"/>
      <c r="CG312" s="6"/>
      <c r="CH312" s="6"/>
      <c r="CI312" s="6"/>
      <c r="CJ312" s="6"/>
      <c r="CK312" s="123"/>
      <c r="CL312" s="6"/>
      <c r="CM312" s="6"/>
      <c r="CN312" s="6"/>
      <c r="CO312" s="138"/>
      <c r="CP312" s="138"/>
      <c r="CQ312" s="123"/>
      <c r="CR312" s="6"/>
      <c r="CS312" s="6"/>
      <c r="CT312" s="139"/>
      <c r="CU312" s="139"/>
      <c r="CV312" s="76"/>
      <c r="CW312" s="123"/>
      <c r="CX312" s="6"/>
      <c r="DI312" s="125"/>
      <c r="DJ312" s="16"/>
      <c r="DM312" s="16"/>
      <c r="DN312" s="16"/>
      <c r="DO312" s="125"/>
      <c r="DP312" s="16"/>
      <c r="DQ312" s="125"/>
      <c r="DZ312" s="125"/>
      <c r="EA312" s="142"/>
      <c r="EB312" s="125"/>
      <c r="EC312" s="16"/>
      <c r="ED312" s="125"/>
      <c r="EE312" s="125"/>
      <c r="EF312" s="16"/>
      <c r="EG312" s="125"/>
      <c r="EQ312" s="125"/>
      <c r="ER312" s="16"/>
      <c r="ES312" s="123"/>
      <c r="ET312" s="19"/>
      <c r="EU312" s="139"/>
      <c r="EV312" s="139"/>
      <c r="EW312" s="123"/>
      <c r="EX312" s="123"/>
      <c r="EY312" s="123"/>
      <c r="EZ312" s="123"/>
      <c r="FA312" s="123"/>
      <c r="FB312" s="123"/>
      <c r="FC312" s="6"/>
      <c r="FD312" s="123"/>
      <c r="FE312" s="6"/>
      <c r="FF312" s="123"/>
      <c r="FG312" s="6"/>
      <c r="FH312" s="6"/>
      <c r="FI312" s="6"/>
      <c r="FJ312" s="6"/>
      <c r="FK312" s="123"/>
      <c r="FL312" s="6"/>
      <c r="FM312" s="6"/>
      <c r="FN312" s="6"/>
      <c r="FO312" s="138"/>
      <c r="FP312" s="138"/>
      <c r="FQ312" s="123"/>
      <c r="FR312" s="6"/>
      <c r="FS312" s="6"/>
      <c r="FT312" s="139"/>
      <c r="FU312" s="139"/>
      <c r="FV312" s="76"/>
      <c r="FW312" s="123"/>
      <c r="FX312" s="6"/>
    </row>
    <row r="313" spans="35:180">
      <c r="AI313" s="125"/>
      <c r="AJ313" s="16"/>
      <c r="AM313" s="16"/>
      <c r="AN313" s="16"/>
      <c r="AO313" s="125"/>
      <c r="AP313" s="16"/>
      <c r="AQ313" s="125"/>
      <c r="AZ313" s="125"/>
      <c r="BA313" s="142"/>
      <c r="BB313" s="125"/>
      <c r="BC313" s="16"/>
      <c r="BD313" s="125"/>
      <c r="BE313" s="125"/>
      <c r="BF313" s="16"/>
      <c r="BG313" s="125"/>
      <c r="BQ313" s="125"/>
      <c r="BR313" s="16"/>
      <c r="BS313" s="123"/>
      <c r="BT313" s="19"/>
      <c r="BU313" s="139"/>
      <c r="BV313" s="139"/>
      <c r="BW313" s="123"/>
      <c r="BX313" s="123"/>
      <c r="BY313" s="123"/>
      <c r="BZ313" s="123"/>
      <c r="CA313" s="123"/>
      <c r="CB313" s="123"/>
      <c r="CC313" s="6"/>
      <c r="CD313" s="123"/>
      <c r="CE313" s="6"/>
      <c r="CF313" s="123"/>
      <c r="CG313" s="6"/>
      <c r="CH313" s="6"/>
      <c r="CI313" s="6"/>
      <c r="CJ313" s="6"/>
      <c r="CK313" s="123"/>
      <c r="CL313" s="6"/>
      <c r="CM313" s="6"/>
      <c r="CN313" s="6"/>
      <c r="CO313" s="138"/>
      <c r="CP313" s="138"/>
      <c r="CQ313" s="123"/>
      <c r="CR313" s="6"/>
      <c r="CS313" s="6"/>
      <c r="CT313" s="139"/>
      <c r="CU313" s="139"/>
      <c r="CV313" s="76"/>
      <c r="CW313" s="123"/>
      <c r="CX313" s="6"/>
      <c r="DI313" s="125"/>
      <c r="DJ313" s="16"/>
      <c r="DM313" s="16"/>
      <c r="DN313" s="16"/>
      <c r="DO313" s="125"/>
      <c r="DP313" s="16"/>
      <c r="DQ313" s="125"/>
      <c r="DZ313" s="125"/>
      <c r="EA313" s="142"/>
      <c r="EB313" s="125"/>
      <c r="EC313" s="16"/>
      <c r="ED313" s="125"/>
      <c r="EE313" s="125"/>
      <c r="EF313" s="16"/>
      <c r="EG313" s="125"/>
      <c r="EQ313" s="125"/>
      <c r="ER313" s="16"/>
      <c r="ES313" s="123"/>
      <c r="ET313" s="19"/>
      <c r="EU313" s="139"/>
      <c r="EV313" s="139"/>
      <c r="EW313" s="123"/>
      <c r="EX313" s="123"/>
      <c r="EY313" s="123"/>
      <c r="EZ313" s="123"/>
      <c r="FA313" s="123"/>
      <c r="FB313" s="123"/>
      <c r="FC313" s="6"/>
      <c r="FD313" s="123"/>
      <c r="FE313" s="6"/>
      <c r="FF313" s="123"/>
      <c r="FG313" s="6"/>
      <c r="FH313" s="6"/>
      <c r="FI313" s="6"/>
      <c r="FJ313" s="6"/>
      <c r="FK313" s="123"/>
      <c r="FL313" s="6"/>
      <c r="FM313" s="6"/>
      <c r="FN313" s="6"/>
      <c r="FO313" s="138"/>
      <c r="FP313" s="138"/>
      <c r="FQ313" s="123"/>
      <c r="FR313" s="6"/>
      <c r="FS313" s="6"/>
      <c r="FT313" s="139"/>
      <c r="FU313" s="139"/>
      <c r="FV313" s="76"/>
      <c r="FW313" s="123"/>
      <c r="FX313" s="6"/>
    </row>
    <row r="314" spans="35:180">
      <c r="AI314" s="125"/>
      <c r="AJ314" s="16"/>
      <c r="AM314" s="16"/>
      <c r="AN314" s="16"/>
      <c r="AO314" s="125"/>
      <c r="AP314" s="16"/>
      <c r="AQ314" s="125"/>
      <c r="AZ314" s="125"/>
      <c r="BA314" s="142"/>
      <c r="BB314" s="125"/>
      <c r="BC314" s="16"/>
      <c r="BD314" s="125"/>
      <c r="BE314" s="125"/>
      <c r="BF314" s="16"/>
      <c r="BG314" s="125"/>
      <c r="BQ314" s="125"/>
      <c r="BR314" s="16"/>
      <c r="BS314" s="123"/>
      <c r="BT314" s="19"/>
      <c r="BU314" s="139"/>
      <c r="BV314" s="139"/>
      <c r="BW314" s="123"/>
      <c r="BX314" s="123"/>
      <c r="BY314" s="123"/>
      <c r="BZ314" s="123"/>
      <c r="CA314" s="123"/>
      <c r="CB314" s="123"/>
      <c r="CC314" s="6"/>
      <c r="CD314" s="123"/>
      <c r="CE314" s="6"/>
      <c r="CF314" s="123"/>
      <c r="CG314" s="6"/>
      <c r="CH314" s="6"/>
      <c r="CI314" s="6"/>
      <c r="CJ314" s="6"/>
      <c r="CK314" s="123"/>
      <c r="CL314" s="6"/>
      <c r="CM314" s="6"/>
      <c r="CN314" s="6"/>
      <c r="CO314" s="138"/>
      <c r="CP314" s="138"/>
      <c r="CQ314" s="123"/>
      <c r="CR314" s="6"/>
      <c r="CS314" s="6"/>
      <c r="CT314" s="139"/>
      <c r="CU314" s="139"/>
      <c r="CV314" s="76"/>
      <c r="CW314" s="123"/>
      <c r="CX314" s="6"/>
      <c r="DI314" s="125"/>
      <c r="DJ314" s="16"/>
      <c r="DM314" s="16"/>
      <c r="DN314" s="16"/>
      <c r="DO314" s="125"/>
      <c r="DP314" s="16"/>
      <c r="DQ314" s="125"/>
      <c r="DZ314" s="125"/>
      <c r="EA314" s="142"/>
      <c r="EB314" s="125"/>
      <c r="EC314" s="16"/>
      <c r="ED314" s="125"/>
      <c r="EE314" s="125"/>
      <c r="EF314" s="16"/>
      <c r="EG314" s="125"/>
      <c r="EQ314" s="125"/>
      <c r="ER314" s="16"/>
      <c r="ES314" s="123"/>
      <c r="ET314" s="19"/>
      <c r="EU314" s="139"/>
      <c r="EV314" s="139"/>
      <c r="EW314" s="123"/>
      <c r="EX314" s="123"/>
      <c r="EY314" s="123"/>
      <c r="EZ314" s="123"/>
      <c r="FA314" s="123"/>
      <c r="FB314" s="123"/>
      <c r="FC314" s="6"/>
      <c r="FD314" s="123"/>
      <c r="FE314" s="6"/>
      <c r="FF314" s="123"/>
      <c r="FG314" s="6"/>
      <c r="FH314" s="6"/>
      <c r="FI314" s="6"/>
      <c r="FJ314" s="6"/>
      <c r="FK314" s="123"/>
      <c r="FL314" s="6"/>
      <c r="FM314" s="6"/>
      <c r="FN314" s="6"/>
      <c r="FO314" s="138"/>
      <c r="FP314" s="138"/>
      <c r="FQ314" s="123"/>
      <c r="FR314" s="6"/>
      <c r="FS314" s="6"/>
      <c r="FT314" s="139"/>
      <c r="FU314" s="139"/>
      <c r="FV314" s="76"/>
      <c r="FW314" s="123"/>
      <c r="FX314" s="6"/>
    </row>
    <row r="315" spans="35:180">
      <c r="AI315" s="125"/>
      <c r="AJ315" s="16"/>
      <c r="AM315" s="16"/>
      <c r="AN315" s="16"/>
      <c r="AO315" s="125"/>
      <c r="AP315" s="16"/>
      <c r="AQ315" s="125"/>
      <c r="AZ315" s="125"/>
      <c r="BA315" s="142"/>
      <c r="BB315" s="125"/>
      <c r="BC315" s="16"/>
      <c r="BD315" s="125"/>
      <c r="BE315" s="125"/>
      <c r="BF315" s="16"/>
      <c r="BG315" s="125"/>
      <c r="BQ315" s="125"/>
      <c r="BR315" s="16"/>
      <c r="BS315" s="123"/>
      <c r="BT315" s="19"/>
      <c r="BU315" s="139"/>
      <c r="BV315" s="139"/>
      <c r="BW315" s="123"/>
      <c r="BX315" s="123"/>
      <c r="BY315" s="123"/>
      <c r="BZ315" s="123"/>
      <c r="CA315" s="123"/>
      <c r="CB315" s="123"/>
      <c r="CC315" s="6"/>
      <c r="CD315" s="123"/>
      <c r="CE315" s="6"/>
      <c r="CF315" s="123"/>
      <c r="CG315" s="6"/>
      <c r="CH315" s="6"/>
      <c r="CI315" s="6"/>
      <c r="CJ315" s="6"/>
      <c r="CK315" s="123"/>
      <c r="CL315" s="6"/>
      <c r="CM315" s="6"/>
      <c r="CN315" s="6"/>
      <c r="CO315" s="138"/>
      <c r="CP315" s="138"/>
      <c r="CQ315" s="123"/>
      <c r="CR315" s="6"/>
      <c r="CS315" s="6"/>
      <c r="CT315" s="139"/>
      <c r="CU315" s="139"/>
      <c r="CV315" s="76"/>
      <c r="CW315" s="123"/>
      <c r="CX315" s="6"/>
      <c r="DI315" s="125"/>
      <c r="DJ315" s="16"/>
      <c r="DM315" s="16"/>
      <c r="DN315" s="16"/>
      <c r="DO315" s="125"/>
      <c r="DP315" s="16"/>
      <c r="DQ315" s="125"/>
      <c r="DZ315" s="125"/>
      <c r="EA315" s="142"/>
      <c r="EB315" s="125"/>
      <c r="EC315" s="16"/>
      <c r="ED315" s="125"/>
      <c r="EE315" s="125"/>
      <c r="EF315" s="16"/>
      <c r="EG315" s="125"/>
      <c r="EQ315" s="125"/>
      <c r="ER315" s="16"/>
      <c r="ES315" s="123"/>
      <c r="ET315" s="19"/>
      <c r="EU315" s="139"/>
      <c r="EV315" s="139"/>
      <c r="EW315" s="123"/>
      <c r="EX315" s="123"/>
      <c r="EY315" s="123"/>
      <c r="EZ315" s="123"/>
      <c r="FA315" s="123"/>
      <c r="FB315" s="123"/>
      <c r="FC315" s="6"/>
      <c r="FD315" s="123"/>
      <c r="FE315" s="6"/>
      <c r="FF315" s="123"/>
      <c r="FG315" s="6"/>
      <c r="FH315" s="6"/>
      <c r="FI315" s="6"/>
      <c r="FJ315" s="6"/>
      <c r="FK315" s="123"/>
      <c r="FL315" s="6"/>
      <c r="FM315" s="6"/>
      <c r="FN315" s="6"/>
      <c r="FO315" s="138"/>
      <c r="FP315" s="138"/>
      <c r="FQ315" s="123"/>
      <c r="FR315" s="6"/>
      <c r="FS315" s="6"/>
      <c r="FT315" s="139"/>
      <c r="FU315" s="139"/>
      <c r="FV315" s="76"/>
      <c r="FW315" s="123"/>
      <c r="FX315" s="6"/>
    </row>
    <row r="316" spans="35:180">
      <c r="AI316" s="125"/>
      <c r="AJ316" s="16"/>
      <c r="AM316" s="16"/>
      <c r="AN316" s="16"/>
      <c r="AO316" s="125"/>
      <c r="AP316" s="16"/>
      <c r="AQ316" s="125"/>
      <c r="AZ316" s="125"/>
      <c r="BA316" s="142"/>
      <c r="BB316" s="125"/>
      <c r="BC316" s="16"/>
      <c r="BD316" s="125"/>
      <c r="BE316" s="125"/>
      <c r="BF316" s="16"/>
      <c r="BG316" s="125"/>
      <c r="BQ316" s="125"/>
      <c r="BR316" s="16"/>
      <c r="BS316" s="123"/>
      <c r="BT316" s="19"/>
      <c r="BU316" s="139"/>
      <c r="BV316" s="139"/>
      <c r="BW316" s="123"/>
      <c r="BX316" s="123"/>
      <c r="BY316" s="123"/>
      <c r="BZ316" s="123"/>
      <c r="CA316" s="123"/>
      <c r="CB316" s="123"/>
      <c r="CC316" s="6"/>
      <c r="CD316" s="123"/>
      <c r="CE316" s="6"/>
      <c r="CF316" s="123"/>
      <c r="CG316" s="6"/>
      <c r="CH316" s="6"/>
      <c r="CI316" s="6"/>
      <c r="CJ316" s="6"/>
      <c r="CK316" s="123"/>
      <c r="CL316" s="6"/>
      <c r="CM316" s="6"/>
      <c r="CN316" s="6"/>
      <c r="CO316" s="138"/>
      <c r="CP316" s="138"/>
      <c r="CQ316" s="123"/>
      <c r="CR316" s="6"/>
      <c r="CS316" s="6"/>
      <c r="CT316" s="139"/>
      <c r="CU316" s="139"/>
      <c r="CV316" s="76"/>
      <c r="CW316" s="123"/>
      <c r="CX316" s="6"/>
      <c r="DI316" s="125"/>
      <c r="DJ316" s="16"/>
      <c r="DM316" s="16"/>
      <c r="DN316" s="16"/>
      <c r="DO316" s="125"/>
      <c r="DP316" s="16"/>
      <c r="DQ316" s="125"/>
      <c r="DZ316" s="125"/>
      <c r="EA316" s="142"/>
      <c r="EB316" s="125"/>
      <c r="EC316" s="16"/>
      <c r="ED316" s="125"/>
      <c r="EE316" s="125"/>
      <c r="EF316" s="16"/>
      <c r="EG316" s="125"/>
      <c r="EQ316" s="125"/>
      <c r="ER316" s="16"/>
      <c r="ES316" s="123"/>
      <c r="ET316" s="19"/>
      <c r="EU316" s="139"/>
      <c r="EV316" s="139"/>
      <c r="EW316" s="123"/>
      <c r="EX316" s="123"/>
      <c r="EY316" s="123"/>
      <c r="EZ316" s="123"/>
      <c r="FA316" s="123"/>
      <c r="FB316" s="123"/>
      <c r="FC316" s="6"/>
      <c r="FD316" s="123"/>
      <c r="FE316" s="6"/>
      <c r="FF316" s="123"/>
      <c r="FG316" s="6"/>
      <c r="FH316" s="6"/>
      <c r="FI316" s="6"/>
      <c r="FJ316" s="6"/>
      <c r="FK316" s="123"/>
      <c r="FL316" s="6"/>
      <c r="FM316" s="6"/>
      <c r="FN316" s="6"/>
      <c r="FO316" s="138"/>
      <c r="FP316" s="138"/>
      <c r="FQ316" s="123"/>
      <c r="FR316" s="6"/>
      <c r="FS316" s="6"/>
      <c r="FT316" s="139"/>
      <c r="FU316" s="139"/>
      <c r="FV316" s="76"/>
      <c r="FW316" s="123"/>
      <c r="FX316" s="6"/>
    </row>
    <row r="317" spans="35:180">
      <c r="AI317" s="125"/>
      <c r="AJ317" s="16"/>
      <c r="AM317" s="16"/>
      <c r="AN317" s="16"/>
      <c r="AO317" s="125"/>
      <c r="AP317" s="16"/>
      <c r="AQ317" s="125"/>
      <c r="AZ317" s="125"/>
      <c r="BA317" s="142"/>
      <c r="BB317" s="125"/>
      <c r="BC317" s="16"/>
      <c r="BD317" s="125"/>
      <c r="BE317" s="125"/>
      <c r="BF317" s="16"/>
      <c r="BG317" s="125"/>
      <c r="BQ317" s="125"/>
      <c r="BR317" s="16"/>
      <c r="BS317" s="123"/>
      <c r="BT317" s="19"/>
      <c r="BU317" s="139"/>
      <c r="BV317" s="139"/>
      <c r="BW317" s="123"/>
      <c r="BX317" s="123"/>
      <c r="BY317" s="123"/>
      <c r="BZ317" s="123"/>
      <c r="CA317" s="123"/>
      <c r="CB317" s="123"/>
      <c r="CC317" s="6"/>
      <c r="CD317" s="123"/>
      <c r="CE317" s="6"/>
      <c r="CF317" s="123"/>
      <c r="CG317" s="6"/>
      <c r="CH317" s="6"/>
      <c r="CI317" s="6"/>
      <c r="CJ317" s="6"/>
      <c r="CK317" s="123"/>
      <c r="CL317" s="6"/>
      <c r="CM317" s="6"/>
      <c r="CN317" s="6"/>
      <c r="CO317" s="138"/>
      <c r="CP317" s="138"/>
      <c r="CQ317" s="123"/>
      <c r="CR317" s="6"/>
      <c r="CS317" s="6"/>
      <c r="CT317" s="139"/>
      <c r="CU317" s="139"/>
      <c r="CV317" s="76"/>
      <c r="CW317" s="123"/>
      <c r="CX317" s="6"/>
      <c r="DI317" s="125"/>
      <c r="DJ317" s="16"/>
      <c r="DM317" s="16"/>
      <c r="DN317" s="16"/>
      <c r="DO317" s="125"/>
      <c r="DP317" s="16"/>
      <c r="DQ317" s="125"/>
      <c r="DZ317" s="125"/>
      <c r="EA317" s="142"/>
      <c r="EB317" s="125"/>
      <c r="EC317" s="16"/>
      <c r="ED317" s="125"/>
      <c r="EE317" s="125"/>
      <c r="EF317" s="16"/>
      <c r="EG317" s="125"/>
      <c r="EQ317" s="125"/>
      <c r="ER317" s="16"/>
      <c r="ES317" s="123"/>
      <c r="ET317" s="19"/>
      <c r="EU317" s="139"/>
      <c r="EV317" s="139"/>
      <c r="EW317" s="123"/>
      <c r="EX317" s="123"/>
      <c r="EY317" s="123"/>
      <c r="EZ317" s="123"/>
      <c r="FA317" s="123"/>
      <c r="FB317" s="123"/>
      <c r="FC317" s="6"/>
      <c r="FD317" s="123"/>
      <c r="FE317" s="6"/>
      <c r="FF317" s="123"/>
      <c r="FG317" s="6"/>
      <c r="FH317" s="6"/>
      <c r="FI317" s="6"/>
      <c r="FJ317" s="6"/>
      <c r="FK317" s="123"/>
      <c r="FL317" s="6"/>
      <c r="FM317" s="6"/>
      <c r="FN317" s="6"/>
      <c r="FO317" s="138"/>
      <c r="FP317" s="138"/>
      <c r="FQ317" s="123"/>
      <c r="FR317" s="6"/>
      <c r="FS317" s="6"/>
      <c r="FT317" s="139"/>
      <c r="FU317" s="139"/>
      <c r="FV317" s="76"/>
      <c r="FW317" s="123"/>
      <c r="FX317" s="6"/>
    </row>
    <row r="318" spans="35:180">
      <c r="AI318" s="125"/>
      <c r="AJ318" s="16"/>
      <c r="AM318" s="16"/>
      <c r="AN318" s="16"/>
      <c r="AO318" s="125"/>
      <c r="AP318" s="16"/>
      <c r="AQ318" s="125"/>
      <c r="AZ318" s="125"/>
      <c r="BA318" s="142"/>
      <c r="BB318" s="125"/>
      <c r="BC318" s="16"/>
      <c r="BD318" s="125"/>
      <c r="BE318" s="125"/>
      <c r="BF318" s="16"/>
      <c r="BG318" s="125"/>
      <c r="BQ318" s="125"/>
      <c r="BR318" s="16"/>
      <c r="BS318" s="123"/>
      <c r="BT318" s="19"/>
      <c r="BU318" s="139"/>
      <c r="BV318" s="139"/>
      <c r="BW318" s="123"/>
      <c r="BX318" s="123"/>
      <c r="BY318" s="123"/>
      <c r="BZ318" s="123"/>
      <c r="CA318" s="123"/>
      <c r="CB318" s="123"/>
      <c r="CC318" s="6"/>
      <c r="CD318" s="123"/>
      <c r="CE318" s="6"/>
      <c r="CF318" s="123"/>
      <c r="CG318" s="6"/>
      <c r="CH318" s="6"/>
      <c r="CI318" s="6"/>
      <c r="CJ318" s="6"/>
      <c r="CK318" s="123"/>
      <c r="CL318" s="6"/>
      <c r="CM318" s="6"/>
      <c r="CN318" s="6"/>
      <c r="CO318" s="138"/>
      <c r="CP318" s="138"/>
      <c r="CQ318" s="123"/>
      <c r="CR318" s="6"/>
      <c r="CS318" s="6"/>
      <c r="CT318" s="139"/>
      <c r="CU318" s="139"/>
      <c r="CV318" s="76"/>
      <c r="CW318" s="123"/>
      <c r="CX318" s="6"/>
      <c r="DI318" s="125"/>
      <c r="DJ318" s="16"/>
      <c r="DM318" s="16"/>
      <c r="DN318" s="16"/>
      <c r="DO318" s="125"/>
      <c r="DP318" s="16"/>
      <c r="DQ318" s="125"/>
      <c r="DZ318" s="125"/>
      <c r="EA318" s="142"/>
      <c r="EB318" s="125"/>
      <c r="EC318" s="16"/>
      <c r="ED318" s="125"/>
      <c r="EE318" s="125"/>
      <c r="EF318" s="16"/>
      <c r="EG318" s="125"/>
      <c r="EQ318" s="125"/>
      <c r="ER318" s="16"/>
      <c r="ES318" s="123"/>
      <c r="ET318" s="19"/>
      <c r="EU318" s="139"/>
      <c r="EV318" s="139"/>
      <c r="EW318" s="123"/>
      <c r="EX318" s="123"/>
      <c r="EY318" s="123"/>
      <c r="EZ318" s="123"/>
      <c r="FA318" s="123"/>
      <c r="FB318" s="123"/>
      <c r="FC318" s="6"/>
      <c r="FD318" s="123"/>
      <c r="FE318" s="6"/>
      <c r="FF318" s="123"/>
      <c r="FG318" s="6"/>
      <c r="FH318" s="6"/>
      <c r="FI318" s="6"/>
      <c r="FJ318" s="6"/>
      <c r="FK318" s="123"/>
      <c r="FL318" s="6"/>
      <c r="FM318" s="6"/>
      <c r="FN318" s="6"/>
      <c r="FO318" s="138"/>
      <c r="FP318" s="138"/>
      <c r="FQ318" s="123"/>
      <c r="FR318" s="6"/>
      <c r="FS318" s="6"/>
      <c r="FT318" s="139"/>
      <c r="FU318" s="139"/>
      <c r="FV318" s="76"/>
      <c r="FW318" s="123"/>
      <c r="FX318" s="6"/>
    </row>
    <row r="319" spans="35:180">
      <c r="AI319" s="125"/>
      <c r="AJ319" s="16"/>
      <c r="AM319" s="16"/>
      <c r="AN319" s="16"/>
      <c r="AO319" s="125"/>
      <c r="AP319" s="16"/>
      <c r="AQ319" s="125"/>
      <c r="AZ319" s="125"/>
      <c r="BA319" s="142"/>
      <c r="BB319" s="125"/>
      <c r="BC319" s="16"/>
      <c r="BD319" s="125"/>
      <c r="BE319" s="125"/>
      <c r="BF319" s="16"/>
      <c r="BG319" s="125"/>
      <c r="BQ319" s="125"/>
      <c r="BR319" s="16"/>
      <c r="BS319" s="123"/>
      <c r="BT319" s="19"/>
      <c r="BU319" s="139"/>
      <c r="BV319" s="139"/>
      <c r="BW319" s="123"/>
      <c r="BX319" s="123"/>
      <c r="BY319" s="123"/>
      <c r="BZ319" s="123"/>
      <c r="CA319" s="123"/>
      <c r="CB319" s="123"/>
      <c r="CC319" s="6"/>
      <c r="CD319" s="123"/>
      <c r="CE319" s="6"/>
      <c r="CF319" s="123"/>
      <c r="CG319" s="6"/>
      <c r="CH319" s="6"/>
      <c r="CI319" s="6"/>
      <c r="CJ319" s="6"/>
      <c r="CK319" s="123"/>
      <c r="CL319" s="6"/>
      <c r="CM319" s="6"/>
      <c r="CN319" s="6"/>
      <c r="CO319" s="138"/>
      <c r="CP319" s="138"/>
      <c r="CQ319" s="123"/>
      <c r="CR319" s="6"/>
      <c r="CS319" s="6"/>
      <c r="CT319" s="139"/>
      <c r="CU319" s="139"/>
      <c r="CV319" s="76"/>
      <c r="CW319" s="123"/>
      <c r="CX319" s="6"/>
      <c r="DI319" s="125"/>
      <c r="DJ319" s="16"/>
      <c r="DM319" s="16"/>
      <c r="DN319" s="16"/>
      <c r="DO319" s="125"/>
      <c r="DP319" s="16"/>
      <c r="DQ319" s="125"/>
      <c r="DZ319" s="125"/>
      <c r="EA319" s="142"/>
      <c r="EB319" s="125"/>
      <c r="EC319" s="16"/>
      <c r="ED319" s="125"/>
      <c r="EE319" s="125"/>
      <c r="EF319" s="16"/>
      <c r="EG319" s="125"/>
      <c r="EQ319" s="125"/>
      <c r="ER319" s="16"/>
      <c r="ES319" s="123"/>
      <c r="ET319" s="19"/>
      <c r="EU319" s="139"/>
      <c r="EV319" s="139"/>
      <c r="EW319" s="123"/>
      <c r="EX319" s="123"/>
      <c r="EY319" s="123"/>
      <c r="EZ319" s="123"/>
      <c r="FA319" s="123"/>
      <c r="FB319" s="123"/>
      <c r="FC319" s="6"/>
      <c r="FD319" s="123"/>
      <c r="FE319" s="6"/>
      <c r="FF319" s="123"/>
      <c r="FG319" s="6"/>
      <c r="FH319" s="6"/>
      <c r="FI319" s="6"/>
      <c r="FJ319" s="6"/>
      <c r="FK319" s="123"/>
      <c r="FL319" s="6"/>
      <c r="FM319" s="6"/>
      <c r="FN319" s="6"/>
      <c r="FO319" s="138"/>
      <c r="FP319" s="138"/>
      <c r="FQ319" s="123"/>
      <c r="FR319" s="6"/>
      <c r="FS319" s="6"/>
      <c r="FT319" s="139"/>
      <c r="FU319" s="139"/>
      <c r="FV319" s="76"/>
      <c r="FW319" s="123"/>
      <c r="FX319" s="6"/>
    </row>
    <row r="320" spans="35:180">
      <c r="AI320" s="125"/>
      <c r="AJ320" s="16"/>
      <c r="AM320" s="16"/>
      <c r="AN320" s="16"/>
      <c r="AO320" s="125"/>
      <c r="AP320" s="16"/>
      <c r="AQ320" s="125"/>
      <c r="AZ320" s="125"/>
      <c r="BA320" s="142"/>
      <c r="BB320" s="125"/>
      <c r="BC320" s="16"/>
      <c r="BD320" s="125"/>
      <c r="BE320" s="125"/>
      <c r="BF320" s="16"/>
      <c r="BG320" s="125"/>
      <c r="BQ320" s="125"/>
      <c r="BR320" s="16"/>
      <c r="BS320" s="123"/>
      <c r="BT320" s="19"/>
      <c r="BU320" s="139"/>
      <c r="BV320" s="139"/>
      <c r="BW320" s="123"/>
      <c r="BX320" s="123"/>
      <c r="BY320" s="123"/>
      <c r="BZ320" s="123"/>
      <c r="CA320" s="123"/>
      <c r="CB320" s="123"/>
      <c r="CC320" s="6"/>
      <c r="CD320" s="123"/>
      <c r="CE320" s="6"/>
      <c r="CF320" s="123"/>
      <c r="CG320" s="6"/>
      <c r="CH320" s="6"/>
      <c r="CI320" s="6"/>
      <c r="CJ320" s="6"/>
      <c r="CK320" s="123"/>
      <c r="CL320" s="6"/>
      <c r="CM320" s="6"/>
      <c r="CN320" s="6"/>
      <c r="CO320" s="138"/>
      <c r="CP320" s="138"/>
      <c r="CQ320" s="123"/>
      <c r="CR320" s="6"/>
      <c r="CS320" s="6"/>
      <c r="CT320" s="139"/>
      <c r="CU320" s="139"/>
      <c r="CV320" s="76"/>
      <c r="CW320" s="123"/>
      <c r="CX320" s="6"/>
      <c r="DI320" s="125"/>
      <c r="DJ320" s="16"/>
      <c r="DM320" s="16"/>
      <c r="DN320" s="16"/>
      <c r="DO320" s="125"/>
      <c r="DP320" s="16"/>
      <c r="DQ320" s="125"/>
      <c r="DZ320" s="125"/>
      <c r="EA320" s="142"/>
      <c r="EB320" s="125"/>
      <c r="EC320" s="16"/>
      <c r="ED320" s="125"/>
      <c r="EE320" s="125"/>
      <c r="EF320" s="16"/>
      <c r="EG320" s="125"/>
      <c r="EQ320" s="125"/>
      <c r="ER320" s="16"/>
      <c r="ES320" s="123"/>
      <c r="ET320" s="19"/>
      <c r="EU320" s="139"/>
      <c r="EV320" s="139"/>
      <c r="EW320" s="123"/>
      <c r="EX320" s="123"/>
      <c r="EY320" s="123"/>
      <c r="EZ320" s="123"/>
      <c r="FA320" s="123"/>
      <c r="FB320" s="123"/>
      <c r="FC320" s="6"/>
      <c r="FD320" s="123"/>
      <c r="FE320" s="6"/>
      <c r="FF320" s="123"/>
      <c r="FG320" s="6"/>
      <c r="FH320" s="6"/>
      <c r="FI320" s="6"/>
      <c r="FJ320" s="6"/>
      <c r="FK320" s="123"/>
      <c r="FL320" s="6"/>
      <c r="FM320" s="6"/>
      <c r="FN320" s="6"/>
      <c r="FO320" s="138"/>
      <c r="FP320" s="138"/>
      <c r="FQ320" s="123"/>
      <c r="FR320" s="6"/>
      <c r="FS320" s="6"/>
      <c r="FT320" s="139"/>
      <c r="FU320" s="139"/>
      <c r="FV320" s="76"/>
      <c r="FW320" s="123"/>
      <c r="FX320" s="6"/>
    </row>
    <row r="321" spans="35:180">
      <c r="AI321" s="125"/>
      <c r="AJ321" s="16"/>
      <c r="AM321" s="16"/>
      <c r="AN321" s="16"/>
      <c r="AO321" s="125"/>
      <c r="AP321" s="16"/>
      <c r="AQ321" s="125"/>
      <c r="AZ321" s="125"/>
      <c r="BA321" s="142"/>
      <c r="BB321" s="125"/>
      <c r="BC321" s="16"/>
      <c r="BD321" s="125"/>
      <c r="BE321" s="125"/>
      <c r="BF321" s="16"/>
      <c r="BG321" s="125"/>
      <c r="BQ321" s="125"/>
      <c r="BR321" s="16"/>
      <c r="BS321" s="123"/>
      <c r="BT321" s="19"/>
      <c r="BU321" s="139"/>
      <c r="BV321" s="139"/>
      <c r="BW321" s="123"/>
      <c r="BX321" s="123"/>
      <c r="BY321" s="123"/>
      <c r="BZ321" s="123"/>
      <c r="CA321" s="123"/>
      <c r="CB321" s="123"/>
      <c r="CC321" s="6"/>
      <c r="CD321" s="123"/>
      <c r="CE321" s="6"/>
      <c r="CF321" s="123"/>
      <c r="CG321" s="6"/>
      <c r="CH321" s="6"/>
      <c r="CI321" s="6"/>
      <c r="CJ321" s="6"/>
      <c r="CK321" s="123"/>
      <c r="CL321" s="6"/>
      <c r="CM321" s="6"/>
      <c r="CN321" s="6"/>
      <c r="CO321" s="138"/>
      <c r="CP321" s="138"/>
      <c r="CQ321" s="123"/>
      <c r="CR321" s="6"/>
      <c r="CS321" s="6"/>
      <c r="CT321" s="139"/>
      <c r="CU321" s="139"/>
      <c r="CV321" s="76"/>
      <c r="CW321" s="123"/>
      <c r="CX321" s="6"/>
      <c r="DI321" s="125"/>
      <c r="DJ321" s="16"/>
      <c r="DM321" s="16"/>
      <c r="DN321" s="16"/>
      <c r="DO321" s="125"/>
      <c r="DP321" s="16"/>
      <c r="DQ321" s="125"/>
      <c r="DZ321" s="125"/>
      <c r="EA321" s="142"/>
      <c r="EB321" s="125"/>
      <c r="EC321" s="16"/>
      <c r="ED321" s="125"/>
      <c r="EE321" s="125"/>
      <c r="EF321" s="16"/>
      <c r="EG321" s="125"/>
      <c r="EQ321" s="125"/>
      <c r="ER321" s="16"/>
      <c r="ES321" s="123"/>
      <c r="ET321" s="19"/>
      <c r="EU321" s="139"/>
      <c r="EV321" s="139"/>
      <c r="EW321" s="123"/>
      <c r="EX321" s="123"/>
      <c r="EY321" s="123"/>
      <c r="EZ321" s="123"/>
      <c r="FA321" s="123"/>
      <c r="FB321" s="123"/>
      <c r="FC321" s="6"/>
      <c r="FD321" s="123"/>
      <c r="FE321" s="6"/>
      <c r="FF321" s="123"/>
      <c r="FG321" s="6"/>
      <c r="FH321" s="6"/>
      <c r="FI321" s="6"/>
      <c r="FJ321" s="6"/>
      <c r="FK321" s="123"/>
      <c r="FL321" s="6"/>
      <c r="FM321" s="6"/>
      <c r="FN321" s="6"/>
      <c r="FO321" s="138"/>
      <c r="FP321" s="138"/>
      <c r="FQ321" s="123"/>
      <c r="FR321" s="6"/>
      <c r="FS321" s="6"/>
      <c r="FT321" s="139"/>
      <c r="FU321" s="139"/>
      <c r="FV321" s="76"/>
      <c r="FW321" s="123"/>
      <c r="FX321" s="6"/>
    </row>
    <row r="322" spans="35:180">
      <c r="AI322" s="125"/>
      <c r="AJ322" s="16"/>
      <c r="AM322" s="16"/>
      <c r="AN322" s="16"/>
      <c r="AO322" s="125"/>
      <c r="AP322" s="16"/>
      <c r="AQ322" s="125"/>
      <c r="AZ322" s="125"/>
      <c r="BA322" s="142"/>
      <c r="BB322" s="125"/>
      <c r="BC322" s="16"/>
      <c r="BD322" s="125"/>
      <c r="BE322" s="125"/>
      <c r="BF322" s="16"/>
      <c r="BG322" s="125"/>
      <c r="BQ322" s="125"/>
      <c r="BR322" s="16"/>
      <c r="BS322" s="123"/>
      <c r="BT322" s="19"/>
      <c r="BU322" s="139"/>
      <c r="BV322" s="139"/>
      <c r="BW322" s="123"/>
      <c r="BX322" s="123"/>
      <c r="BY322" s="123"/>
      <c r="BZ322" s="123"/>
      <c r="CA322" s="123"/>
      <c r="CB322" s="123"/>
      <c r="CC322" s="6"/>
      <c r="CD322" s="123"/>
      <c r="CE322" s="6"/>
      <c r="CF322" s="123"/>
      <c r="CG322" s="6"/>
      <c r="CH322" s="6"/>
      <c r="CI322" s="6"/>
      <c r="CJ322" s="6"/>
      <c r="CK322" s="123"/>
      <c r="CL322" s="6"/>
      <c r="CM322" s="6"/>
      <c r="CN322" s="6"/>
      <c r="CO322" s="138"/>
      <c r="CP322" s="138"/>
      <c r="CQ322" s="123"/>
      <c r="CR322" s="6"/>
      <c r="CS322" s="6"/>
      <c r="CT322" s="139"/>
      <c r="CU322" s="139"/>
      <c r="CV322" s="76"/>
      <c r="CW322" s="123"/>
      <c r="CX322" s="6"/>
      <c r="DI322" s="125"/>
      <c r="DJ322" s="16"/>
      <c r="DM322" s="16"/>
      <c r="DN322" s="16"/>
      <c r="DO322" s="125"/>
      <c r="DP322" s="16"/>
      <c r="DQ322" s="125"/>
      <c r="DZ322" s="125"/>
      <c r="EA322" s="142"/>
      <c r="EB322" s="125"/>
      <c r="EC322" s="16"/>
      <c r="ED322" s="125"/>
      <c r="EE322" s="125"/>
      <c r="EF322" s="16"/>
      <c r="EG322" s="125"/>
      <c r="EQ322" s="125"/>
      <c r="ER322" s="16"/>
      <c r="ES322" s="123"/>
      <c r="ET322" s="19"/>
      <c r="EU322" s="139"/>
      <c r="EV322" s="139"/>
      <c r="EW322" s="123"/>
      <c r="EX322" s="123"/>
      <c r="EY322" s="123"/>
      <c r="EZ322" s="123"/>
      <c r="FA322" s="123"/>
      <c r="FB322" s="123"/>
      <c r="FC322" s="6"/>
      <c r="FD322" s="123"/>
      <c r="FE322" s="6"/>
      <c r="FF322" s="123"/>
      <c r="FG322" s="6"/>
      <c r="FH322" s="6"/>
      <c r="FI322" s="6"/>
      <c r="FJ322" s="6"/>
      <c r="FK322" s="123"/>
      <c r="FL322" s="6"/>
      <c r="FM322" s="6"/>
      <c r="FN322" s="6"/>
      <c r="FO322" s="138"/>
      <c r="FP322" s="138"/>
      <c r="FQ322" s="123"/>
      <c r="FR322" s="6"/>
      <c r="FS322" s="6"/>
      <c r="FT322" s="139"/>
      <c r="FU322" s="139"/>
      <c r="FV322" s="76"/>
      <c r="FW322" s="123"/>
      <c r="FX322" s="6"/>
    </row>
    <row r="323" spans="35:180">
      <c r="AI323" s="125"/>
      <c r="AJ323" s="16"/>
      <c r="AM323" s="16"/>
      <c r="AN323" s="16"/>
      <c r="AO323" s="125"/>
      <c r="AP323" s="16"/>
      <c r="AQ323" s="125"/>
      <c r="AZ323" s="125"/>
      <c r="BA323" s="142"/>
      <c r="BB323" s="125"/>
      <c r="BC323" s="16"/>
      <c r="BD323" s="125"/>
      <c r="BE323" s="125"/>
      <c r="BF323" s="16"/>
      <c r="BG323" s="125"/>
      <c r="BQ323" s="125"/>
      <c r="BR323" s="16"/>
      <c r="BS323" s="123"/>
      <c r="BT323" s="19"/>
      <c r="BU323" s="139"/>
      <c r="BV323" s="139"/>
      <c r="BW323" s="123"/>
      <c r="BX323" s="123"/>
      <c r="BY323" s="123"/>
      <c r="BZ323" s="123"/>
      <c r="CA323" s="123"/>
      <c r="CB323" s="123"/>
      <c r="CC323" s="6"/>
      <c r="CD323" s="123"/>
      <c r="CE323" s="6"/>
      <c r="CF323" s="123"/>
      <c r="CG323" s="6"/>
      <c r="CH323" s="6"/>
      <c r="CI323" s="6"/>
      <c r="CJ323" s="6"/>
      <c r="CK323" s="123"/>
      <c r="CL323" s="6"/>
      <c r="CM323" s="6"/>
      <c r="CN323" s="6"/>
      <c r="CO323" s="138"/>
      <c r="CP323" s="138"/>
      <c r="CQ323" s="123"/>
      <c r="CR323" s="6"/>
      <c r="CS323" s="6"/>
      <c r="CT323" s="139"/>
      <c r="CU323" s="139"/>
      <c r="CV323" s="76"/>
      <c r="CW323" s="123"/>
      <c r="CX323" s="6"/>
      <c r="DI323" s="125"/>
      <c r="DJ323" s="16"/>
      <c r="DM323" s="16"/>
      <c r="DN323" s="16"/>
      <c r="DO323" s="125"/>
      <c r="DP323" s="16"/>
      <c r="DQ323" s="125"/>
      <c r="DZ323" s="125"/>
      <c r="EA323" s="142"/>
      <c r="EB323" s="125"/>
      <c r="EC323" s="16"/>
      <c r="ED323" s="125"/>
      <c r="EE323" s="125"/>
      <c r="EF323" s="16"/>
      <c r="EG323" s="125"/>
      <c r="EQ323" s="125"/>
      <c r="ER323" s="16"/>
      <c r="ES323" s="123"/>
      <c r="ET323" s="19"/>
      <c r="EU323" s="139"/>
      <c r="EV323" s="139"/>
      <c r="EW323" s="123"/>
      <c r="EX323" s="123"/>
      <c r="EY323" s="123"/>
      <c r="EZ323" s="123"/>
      <c r="FA323" s="123"/>
      <c r="FB323" s="123"/>
      <c r="FC323" s="6"/>
      <c r="FD323" s="123"/>
      <c r="FE323" s="6"/>
      <c r="FF323" s="123"/>
      <c r="FG323" s="6"/>
      <c r="FH323" s="6"/>
      <c r="FI323" s="6"/>
      <c r="FJ323" s="6"/>
      <c r="FK323" s="123"/>
      <c r="FL323" s="6"/>
      <c r="FM323" s="6"/>
      <c r="FN323" s="6"/>
      <c r="FO323" s="138"/>
      <c r="FP323" s="138"/>
      <c r="FQ323" s="123"/>
      <c r="FR323" s="6"/>
      <c r="FS323" s="6"/>
      <c r="FT323" s="139"/>
      <c r="FU323" s="139"/>
      <c r="FV323" s="76"/>
      <c r="FW323" s="123"/>
      <c r="FX323" s="6"/>
    </row>
    <row r="324" spans="35:180">
      <c r="AI324" s="125"/>
      <c r="AJ324" s="16"/>
      <c r="AM324" s="16"/>
      <c r="AN324" s="16"/>
      <c r="AO324" s="125"/>
      <c r="AP324" s="16"/>
      <c r="AQ324" s="125"/>
      <c r="AZ324" s="125"/>
      <c r="BA324" s="142"/>
      <c r="BB324" s="125"/>
      <c r="BC324" s="16"/>
      <c r="BD324" s="125"/>
      <c r="BE324" s="125"/>
      <c r="BF324" s="16"/>
      <c r="BG324" s="125"/>
      <c r="BQ324" s="125"/>
      <c r="BR324" s="16"/>
      <c r="BS324" s="123"/>
      <c r="BT324" s="19"/>
      <c r="BU324" s="139"/>
      <c r="BV324" s="139"/>
      <c r="BW324" s="123"/>
      <c r="BX324" s="123"/>
      <c r="BY324" s="123"/>
      <c r="BZ324" s="123"/>
      <c r="CA324" s="123"/>
      <c r="CB324" s="123"/>
      <c r="CC324" s="6"/>
      <c r="CD324" s="123"/>
      <c r="CE324" s="6"/>
      <c r="CF324" s="123"/>
      <c r="CG324" s="6"/>
      <c r="CH324" s="6"/>
      <c r="CI324" s="6"/>
      <c r="CJ324" s="6"/>
      <c r="CK324" s="123"/>
      <c r="CL324" s="6"/>
      <c r="CM324" s="6"/>
      <c r="CN324" s="6"/>
      <c r="CO324" s="138"/>
      <c r="CP324" s="138"/>
      <c r="CQ324" s="123"/>
      <c r="CR324" s="6"/>
      <c r="CS324" s="6"/>
      <c r="CT324" s="139"/>
      <c r="CU324" s="139"/>
      <c r="CV324" s="76"/>
      <c r="CW324" s="123"/>
      <c r="CX324" s="6"/>
      <c r="DI324" s="125"/>
      <c r="DJ324" s="16"/>
      <c r="DM324" s="16"/>
      <c r="DN324" s="16"/>
      <c r="DO324" s="125"/>
      <c r="DP324" s="16"/>
      <c r="DQ324" s="125"/>
      <c r="DZ324" s="125"/>
      <c r="EA324" s="142"/>
      <c r="EB324" s="125"/>
      <c r="EC324" s="16"/>
      <c r="ED324" s="125"/>
      <c r="EE324" s="125"/>
      <c r="EF324" s="16"/>
      <c r="EG324" s="125"/>
      <c r="EQ324" s="125"/>
      <c r="ER324" s="16"/>
      <c r="ES324" s="123"/>
      <c r="ET324" s="19"/>
      <c r="EU324" s="139"/>
      <c r="EV324" s="139"/>
      <c r="EW324" s="123"/>
      <c r="EX324" s="123"/>
      <c r="EY324" s="123"/>
      <c r="EZ324" s="123"/>
      <c r="FA324" s="123"/>
      <c r="FB324" s="123"/>
      <c r="FC324" s="6"/>
      <c r="FD324" s="123"/>
      <c r="FE324" s="6"/>
      <c r="FF324" s="123"/>
      <c r="FG324" s="6"/>
      <c r="FH324" s="6"/>
      <c r="FI324" s="6"/>
      <c r="FJ324" s="6"/>
      <c r="FK324" s="123"/>
      <c r="FL324" s="6"/>
      <c r="FM324" s="6"/>
      <c r="FN324" s="6"/>
      <c r="FO324" s="138"/>
      <c r="FP324" s="138"/>
      <c r="FQ324" s="123"/>
      <c r="FR324" s="6"/>
      <c r="FS324" s="6"/>
      <c r="FT324" s="139"/>
      <c r="FU324" s="139"/>
      <c r="FV324" s="76"/>
      <c r="FW324" s="123"/>
      <c r="FX324" s="6"/>
    </row>
    <row r="325" spans="35:180">
      <c r="AI325" s="125"/>
      <c r="AJ325" s="16"/>
      <c r="AM325" s="16"/>
      <c r="AN325" s="16"/>
      <c r="AO325" s="125"/>
      <c r="AP325" s="16"/>
      <c r="AQ325" s="125"/>
      <c r="AZ325" s="125"/>
      <c r="BA325" s="142"/>
      <c r="BB325" s="125"/>
      <c r="BC325" s="16"/>
      <c r="BD325" s="125"/>
      <c r="BE325" s="125"/>
      <c r="BF325" s="16"/>
      <c r="BG325" s="125"/>
      <c r="BQ325" s="125"/>
      <c r="BR325" s="16"/>
      <c r="BS325" s="123"/>
      <c r="BT325" s="19"/>
      <c r="BU325" s="139"/>
      <c r="BV325" s="139"/>
      <c r="BW325" s="123"/>
      <c r="BX325" s="123"/>
      <c r="BY325" s="123"/>
      <c r="BZ325" s="123"/>
      <c r="CA325" s="123"/>
      <c r="CB325" s="123"/>
      <c r="CC325" s="6"/>
      <c r="CD325" s="123"/>
      <c r="CE325" s="6"/>
      <c r="CF325" s="123"/>
      <c r="CG325" s="6"/>
      <c r="CH325" s="6"/>
      <c r="CI325" s="6"/>
      <c r="CJ325" s="6"/>
      <c r="CK325" s="123"/>
      <c r="CL325" s="6"/>
      <c r="CM325" s="6"/>
      <c r="CN325" s="6"/>
      <c r="CO325" s="138"/>
      <c r="CP325" s="138"/>
      <c r="CQ325" s="123"/>
      <c r="CR325" s="6"/>
      <c r="CS325" s="6"/>
      <c r="CT325" s="139"/>
      <c r="CU325" s="139"/>
      <c r="CV325" s="76"/>
      <c r="CW325" s="123"/>
      <c r="CX325" s="6"/>
      <c r="DI325" s="125"/>
      <c r="DJ325" s="16"/>
      <c r="DM325" s="16"/>
      <c r="DN325" s="16"/>
      <c r="DO325" s="125"/>
      <c r="DP325" s="16"/>
      <c r="DQ325" s="125"/>
      <c r="DZ325" s="125"/>
      <c r="EA325" s="142"/>
      <c r="EB325" s="125"/>
      <c r="EC325" s="16"/>
      <c r="ED325" s="125"/>
      <c r="EE325" s="125"/>
      <c r="EF325" s="16"/>
      <c r="EG325" s="125"/>
      <c r="EQ325" s="125"/>
      <c r="ER325" s="16"/>
      <c r="ES325" s="123"/>
      <c r="ET325" s="19"/>
      <c r="EU325" s="139"/>
      <c r="EV325" s="139"/>
      <c r="EW325" s="123"/>
      <c r="EX325" s="123"/>
      <c r="EY325" s="123"/>
      <c r="EZ325" s="123"/>
      <c r="FA325" s="123"/>
      <c r="FB325" s="123"/>
      <c r="FC325" s="6"/>
      <c r="FD325" s="123"/>
      <c r="FE325" s="6"/>
      <c r="FF325" s="123"/>
      <c r="FG325" s="6"/>
      <c r="FH325" s="6"/>
      <c r="FI325" s="6"/>
      <c r="FJ325" s="6"/>
      <c r="FK325" s="123"/>
      <c r="FL325" s="6"/>
      <c r="FM325" s="6"/>
      <c r="FN325" s="6"/>
      <c r="FO325" s="138"/>
      <c r="FP325" s="138"/>
      <c r="FQ325" s="123"/>
      <c r="FR325" s="6"/>
      <c r="FS325" s="6"/>
      <c r="FT325" s="139"/>
      <c r="FU325" s="139"/>
      <c r="FV325" s="76"/>
      <c r="FW325" s="123"/>
      <c r="FX325" s="6"/>
    </row>
    <row r="326" spans="35:180">
      <c r="AI326" s="125"/>
      <c r="AJ326" s="16"/>
      <c r="AM326" s="16"/>
      <c r="AN326" s="16"/>
      <c r="AO326" s="125"/>
      <c r="AP326" s="16"/>
      <c r="AQ326" s="125"/>
      <c r="AZ326" s="125"/>
      <c r="BA326" s="142"/>
      <c r="BB326" s="125"/>
      <c r="BC326" s="16"/>
      <c r="BD326" s="125"/>
      <c r="BE326" s="125"/>
      <c r="BF326" s="16"/>
      <c r="BG326" s="125"/>
      <c r="BQ326" s="125"/>
      <c r="BR326" s="16"/>
      <c r="BS326" s="123"/>
      <c r="BT326" s="19"/>
      <c r="BU326" s="139"/>
      <c r="BV326" s="139"/>
      <c r="BW326" s="123"/>
      <c r="BX326" s="123"/>
      <c r="BY326" s="123"/>
      <c r="BZ326" s="123"/>
      <c r="CA326" s="123"/>
      <c r="CB326" s="123"/>
      <c r="CC326" s="6"/>
      <c r="CD326" s="123"/>
      <c r="CE326" s="6"/>
      <c r="CF326" s="123"/>
      <c r="CG326" s="6"/>
      <c r="CH326" s="6"/>
      <c r="CI326" s="6"/>
      <c r="CJ326" s="6"/>
      <c r="CK326" s="123"/>
      <c r="CL326" s="6"/>
      <c r="CM326" s="6"/>
      <c r="CN326" s="6"/>
      <c r="CO326" s="138"/>
      <c r="CP326" s="138"/>
      <c r="CQ326" s="123"/>
      <c r="CR326" s="6"/>
      <c r="CS326" s="6"/>
      <c r="CT326" s="139"/>
      <c r="CU326" s="139"/>
      <c r="CV326" s="76"/>
      <c r="CW326" s="123"/>
      <c r="CX326" s="6"/>
      <c r="DI326" s="125"/>
      <c r="DJ326" s="16"/>
      <c r="DM326" s="16"/>
      <c r="DN326" s="16"/>
      <c r="DO326" s="125"/>
      <c r="DP326" s="16"/>
      <c r="DQ326" s="125"/>
      <c r="DZ326" s="125"/>
      <c r="EA326" s="142"/>
      <c r="EB326" s="125"/>
      <c r="EC326" s="16"/>
      <c r="ED326" s="125"/>
      <c r="EE326" s="125"/>
      <c r="EF326" s="16"/>
      <c r="EG326" s="125"/>
      <c r="EQ326" s="125"/>
      <c r="ER326" s="16"/>
      <c r="ES326" s="123"/>
      <c r="ET326" s="19"/>
      <c r="EU326" s="139"/>
      <c r="EV326" s="139"/>
      <c r="EW326" s="123"/>
      <c r="EX326" s="123"/>
      <c r="EY326" s="123"/>
      <c r="EZ326" s="123"/>
      <c r="FA326" s="123"/>
      <c r="FB326" s="123"/>
      <c r="FC326" s="6"/>
      <c r="FD326" s="123"/>
      <c r="FE326" s="6"/>
      <c r="FF326" s="123"/>
      <c r="FG326" s="6"/>
      <c r="FH326" s="6"/>
      <c r="FI326" s="6"/>
      <c r="FJ326" s="6"/>
      <c r="FK326" s="123"/>
      <c r="FL326" s="6"/>
      <c r="FM326" s="6"/>
      <c r="FN326" s="6"/>
      <c r="FO326" s="138"/>
      <c r="FP326" s="138"/>
      <c r="FQ326" s="123"/>
      <c r="FR326" s="6"/>
      <c r="FS326" s="6"/>
      <c r="FT326" s="139"/>
      <c r="FU326" s="139"/>
      <c r="FV326" s="76"/>
      <c r="FW326" s="123"/>
      <c r="FX326" s="6"/>
    </row>
    <row r="327" spans="35:180">
      <c r="AI327" s="125"/>
      <c r="AJ327" s="16"/>
      <c r="AM327" s="16"/>
      <c r="AN327" s="16"/>
      <c r="AO327" s="125"/>
      <c r="AP327" s="16"/>
      <c r="AQ327" s="125"/>
      <c r="AZ327" s="125"/>
      <c r="BA327" s="142"/>
      <c r="BB327" s="125"/>
      <c r="BC327" s="16"/>
      <c r="BD327" s="125"/>
      <c r="BE327" s="125"/>
      <c r="BF327" s="16"/>
      <c r="BG327" s="125"/>
      <c r="BQ327" s="125"/>
      <c r="BR327" s="16"/>
      <c r="BS327" s="123"/>
      <c r="BT327" s="19"/>
      <c r="BU327" s="139"/>
      <c r="BV327" s="139"/>
      <c r="BW327" s="123"/>
      <c r="BX327" s="123"/>
      <c r="BY327" s="123"/>
      <c r="BZ327" s="123"/>
      <c r="CA327" s="123"/>
      <c r="CB327" s="123"/>
      <c r="CC327" s="6"/>
      <c r="CD327" s="123"/>
      <c r="CE327" s="6"/>
      <c r="CF327" s="123"/>
      <c r="CG327" s="6"/>
      <c r="CH327" s="6"/>
      <c r="CI327" s="6"/>
      <c r="CJ327" s="6"/>
      <c r="CK327" s="123"/>
      <c r="CL327" s="6"/>
      <c r="CM327" s="6"/>
      <c r="CN327" s="6"/>
      <c r="CO327" s="138"/>
      <c r="CP327" s="138"/>
      <c r="CQ327" s="123"/>
      <c r="CR327" s="6"/>
      <c r="CS327" s="6"/>
      <c r="CT327" s="139"/>
      <c r="CU327" s="139"/>
      <c r="CV327" s="76"/>
      <c r="CW327" s="123"/>
      <c r="CX327" s="6"/>
      <c r="DI327" s="125"/>
      <c r="DJ327" s="16"/>
      <c r="DM327" s="16"/>
      <c r="DN327" s="16"/>
      <c r="DO327" s="125"/>
      <c r="DP327" s="16"/>
      <c r="DQ327" s="125"/>
      <c r="DZ327" s="125"/>
      <c r="EA327" s="142"/>
      <c r="EB327" s="125"/>
      <c r="EC327" s="16"/>
      <c r="ED327" s="125"/>
      <c r="EE327" s="125"/>
      <c r="EF327" s="16"/>
      <c r="EG327" s="125"/>
      <c r="EQ327" s="125"/>
      <c r="ER327" s="16"/>
      <c r="ES327" s="123"/>
      <c r="ET327" s="19"/>
      <c r="EU327" s="139"/>
      <c r="EV327" s="139"/>
      <c r="EW327" s="123"/>
      <c r="EX327" s="123"/>
      <c r="EY327" s="123"/>
      <c r="EZ327" s="123"/>
      <c r="FA327" s="123"/>
      <c r="FB327" s="123"/>
      <c r="FC327" s="6"/>
      <c r="FD327" s="123"/>
      <c r="FE327" s="6"/>
      <c r="FF327" s="123"/>
      <c r="FG327" s="6"/>
      <c r="FH327" s="6"/>
      <c r="FI327" s="6"/>
      <c r="FJ327" s="6"/>
      <c r="FK327" s="123"/>
      <c r="FL327" s="6"/>
      <c r="FM327" s="6"/>
      <c r="FN327" s="6"/>
      <c r="FO327" s="138"/>
      <c r="FP327" s="138"/>
      <c r="FQ327" s="123"/>
      <c r="FR327" s="6"/>
      <c r="FS327" s="6"/>
      <c r="FT327" s="139"/>
      <c r="FU327" s="139"/>
      <c r="FV327" s="76"/>
      <c r="FW327" s="123"/>
      <c r="FX327" s="6"/>
    </row>
    <row r="328" spans="35:180">
      <c r="AI328" s="125"/>
      <c r="AJ328" s="16"/>
      <c r="AM328" s="16"/>
      <c r="AN328" s="16"/>
      <c r="AO328" s="125"/>
      <c r="AP328" s="16"/>
      <c r="AQ328" s="125"/>
      <c r="AZ328" s="125"/>
      <c r="BA328" s="142"/>
      <c r="BB328" s="125"/>
      <c r="BC328" s="16"/>
      <c r="BD328" s="125"/>
      <c r="BE328" s="125"/>
      <c r="BF328" s="16"/>
      <c r="BG328" s="125"/>
      <c r="BQ328" s="125"/>
      <c r="BR328" s="16"/>
      <c r="BS328" s="123"/>
      <c r="BT328" s="19"/>
      <c r="BU328" s="139"/>
      <c r="BV328" s="139"/>
      <c r="BW328" s="123"/>
      <c r="BX328" s="123"/>
      <c r="BY328" s="123"/>
      <c r="BZ328" s="123"/>
      <c r="CA328" s="123"/>
      <c r="CB328" s="123"/>
      <c r="CC328" s="6"/>
      <c r="CD328" s="123"/>
      <c r="CE328" s="6"/>
      <c r="CF328" s="123"/>
      <c r="CG328" s="6"/>
      <c r="CH328" s="6"/>
      <c r="CI328" s="6"/>
      <c r="CJ328" s="6"/>
      <c r="CK328" s="123"/>
      <c r="CL328" s="6"/>
      <c r="CM328" s="6"/>
      <c r="CN328" s="6"/>
      <c r="CO328" s="138"/>
      <c r="CP328" s="138"/>
      <c r="CQ328" s="123"/>
      <c r="CR328" s="6"/>
      <c r="CS328" s="6"/>
      <c r="CT328" s="139"/>
      <c r="CU328" s="139"/>
      <c r="CV328" s="76"/>
      <c r="CW328" s="123"/>
      <c r="CX328" s="6"/>
      <c r="DI328" s="125"/>
      <c r="DJ328" s="16"/>
      <c r="DM328" s="16"/>
      <c r="DN328" s="16"/>
      <c r="DO328" s="125"/>
      <c r="DP328" s="16"/>
      <c r="DQ328" s="125"/>
      <c r="DZ328" s="125"/>
      <c r="EA328" s="142"/>
      <c r="EB328" s="125"/>
      <c r="EC328" s="16"/>
      <c r="ED328" s="125"/>
      <c r="EE328" s="125"/>
      <c r="EF328" s="16"/>
      <c r="EG328" s="125"/>
      <c r="EQ328" s="125"/>
      <c r="ER328" s="16"/>
      <c r="ES328" s="123"/>
      <c r="ET328" s="19"/>
      <c r="EU328" s="139"/>
      <c r="EV328" s="139"/>
      <c r="EW328" s="123"/>
      <c r="EX328" s="123"/>
      <c r="EY328" s="123"/>
      <c r="EZ328" s="123"/>
      <c r="FA328" s="123"/>
      <c r="FB328" s="123"/>
      <c r="FC328" s="6"/>
      <c r="FD328" s="123"/>
      <c r="FE328" s="6"/>
      <c r="FF328" s="123"/>
      <c r="FG328" s="6"/>
      <c r="FH328" s="6"/>
      <c r="FI328" s="6"/>
      <c r="FJ328" s="6"/>
      <c r="FK328" s="123"/>
      <c r="FL328" s="6"/>
      <c r="FM328" s="6"/>
      <c r="FN328" s="6"/>
      <c r="FO328" s="138"/>
      <c r="FP328" s="138"/>
      <c r="FQ328" s="123"/>
      <c r="FR328" s="6"/>
      <c r="FS328" s="6"/>
      <c r="FT328" s="139"/>
      <c r="FU328" s="139"/>
      <c r="FV328" s="76"/>
      <c r="FW328" s="123"/>
      <c r="FX328" s="6"/>
    </row>
    <row r="329" spans="35:180">
      <c r="AI329" s="125"/>
      <c r="AJ329" s="16"/>
      <c r="AM329" s="16"/>
      <c r="AN329" s="16"/>
      <c r="AO329" s="125"/>
      <c r="AP329" s="16"/>
      <c r="AQ329" s="125"/>
      <c r="AZ329" s="125"/>
      <c r="BA329" s="142"/>
      <c r="BB329" s="125"/>
      <c r="BC329" s="16"/>
      <c r="BD329" s="125"/>
      <c r="BE329" s="125"/>
      <c r="BF329" s="16"/>
      <c r="BG329" s="125"/>
      <c r="BQ329" s="125"/>
      <c r="BR329" s="16"/>
      <c r="BS329" s="123"/>
      <c r="BT329" s="19"/>
      <c r="BU329" s="139"/>
      <c r="BV329" s="139"/>
      <c r="BW329" s="123"/>
      <c r="BX329" s="123"/>
      <c r="BY329" s="123"/>
      <c r="BZ329" s="123"/>
      <c r="CA329" s="123"/>
      <c r="CB329" s="123"/>
      <c r="CC329" s="6"/>
      <c r="CD329" s="123"/>
      <c r="CE329" s="6"/>
      <c r="CF329" s="123"/>
      <c r="CG329" s="6"/>
      <c r="CH329" s="6"/>
      <c r="CI329" s="6"/>
      <c r="CJ329" s="6"/>
      <c r="CK329" s="123"/>
      <c r="CL329" s="6"/>
      <c r="CM329" s="6"/>
      <c r="CN329" s="6"/>
      <c r="CO329" s="138"/>
      <c r="CP329" s="138"/>
      <c r="CQ329" s="123"/>
      <c r="CR329" s="6"/>
      <c r="CS329" s="6"/>
      <c r="CT329" s="139"/>
      <c r="CU329" s="139"/>
      <c r="CV329" s="76"/>
      <c r="CW329" s="123"/>
      <c r="CX329" s="6"/>
      <c r="DI329" s="125"/>
      <c r="DJ329" s="16"/>
      <c r="DM329" s="16"/>
      <c r="DN329" s="16"/>
      <c r="DO329" s="125"/>
      <c r="DP329" s="16"/>
      <c r="DQ329" s="125"/>
      <c r="DZ329" s="125"/>
      <c r="EA329" s="142"/>
      <c r="EB329" s="125"/>
      <c r="EC329" s="16"/>
      <c r="ED329" s="125"/>
      <c r="EE329" s="125"/>
      <c r="EF329" s="16"/>
      <c r="EG329" s="125"/>
      <c r="EQ329" s="125"/>
      <c r="ER329" s="16"/>
      <c r="ES329" s="123"/>
      <c r="ET329" s="19"/>
      <c r="EU329" s="139"/>
      <c r="EV329" s="139"/>
      <c r="EW329" s="123"/>
      <c r="EX329" s="123"/>
      <c r="EY329" s="123"/>
      <c r="EZ329" s="123"/>
      <c r="FA329" s="123"/>
      <c r="FB329" s="123"/>
      <c r="FC329" s="6"/>
      <c r="FD329" s="123"/>
      <c r="FE329" s="6"/>
      <c r="FF329" s="123"/>
      <c r="FG329" s="6"/>
      <c r="FH329" s="6"/>
      <c r="FI329" s="6"/>
      <c r="FJ329" s="6"/>
      <c r="FK329" s="123"/>
      <c r="FL329" s="6"/>
      <c r="FM329" s="6"/>
      <c r="FN329" s="6"/>
      <c r="FO329" s="138"/>
      <c r="FP329" s="138"/>
      <c r="FQ329" s="123"/>
      <c r="FR329" s="6"/>
      <c r="FS329" s="6"/>
      <c r="FT329" s="139"/>
      <c r="FU329" s="139"/>
      <c r="FV329" s="76"/>
      <c r="FW329" s="123"/>
      <c r="FX329" s="6"/>
    </row>
    <row r="330" spans="35:180">
      <c r="AI330" s="125"/>
      <c r="AJ330" s="16"/>
      <c r="AM330" s="16"/>
      <c r="AN330" s="16"/>
      <c r="AO330" s="125"/>
      <c r="AP330" s="16"/>
      <c r="AQ330" s="125"/>
      <c r="AZ330" s="125"/>
      <c r="BA330" s="142"/>
      <c r="BB330" s="125"/>
      <c r="BC330" s="16"/>
      <c r="BD330" s="125"/>
      <c r="BE330" s="125"/>
      <c r="BF330" s="16"/>
      <c r="BG330" s="125"/>
      <c r="BQ330" s="125"/>
      <c r="BR330" s="16"/>
      <c r="BS330" s="123"/>
      <c r="BT330" s="19"/>
      <c r="BU330" s="139"/>
      <c r="BV330" s="139"/>
      <c r="BW330" s="123"/>
      <c r="BX330" s="123"/>
      <c r="BY330" s="123"/>
      <c r="BZ330" s="123"/>
      <c r="CA330" s="123"/>
      <c r="CB330" s="123"/>
      <c r="CC330" s="6"/>
      <c r="CD330" s="123"/>
      <c r="CE330" s="6"/>
      <c r="CF330" s="123"/>
      <c r="CG330" s="6"/>
      <c r="CH330" s="6"/>
      <c r="CI330" s="6"/>
      <c r="CJ330" s="6"/>
      <c r="CK330" s="123"/>
      <c r="CL330" s="6"/>
      <c r="CM330" s="6"/>
      <c r="CN330" s="6"/>
      <c r="CO330" s="138"/>
      <c r="CP330" s="138"/>
      <c r="CQ330" s="123"/>
      <c r="CR330" s="6"/>
      <c r="CS330" s="6"/>
      <c r="CT330" s="139"/>
      <c r="CU330" s="139"/>
      <c r="CV330" s="76"/>
      <c r="CW330" s="123"/>
      <c r="CX330" s="6"/>
      <c r="DI330" s="125"/>
      <c r="DJ330" s="16"/>
      <c r="DM330" s="16"/>
      <c r="DN330" s="16"/>
      <c r="DO330" s="125"/>
      <c r="DP330" s="16"/>
      <c r="DQ330" s="125"/>
      <c r="DZ330" s="125"/>
      <c r="EA330" s="142"/>
      <c r="EB330" s="125"/>
      <c r="EC330" s="16"/>
      <c r="ED330" s="125"/>
      <c r="EE330" s="125"/>
      <c r="EF330" s="16"/>
      <c r="EG330" s="125"/>
      <c r="EQ330" s="125"/>
      <c r="ER330" s="16"/>
      <c r="ES330" s="123"/>
      <c r="ET330" s="19"/>
      <c r="EU330" s="139"/>
      <c r="EV330" s="139"/>
      <c r="EW330" s="123"/>
      <c r="EX330" s="123"/>
      <c r="EY330" s="123"/>
      <c r="EZ330" s="123"/>
      <c r="FA330" s="123"/>
      <c r="FB330" s="123"/>
      <c r="FC330" s="6"/>
      <c r="FD330" s="123"/>
      <c r="FE330" s="6"/>
      <c r="FF330" s="123"/>
      <c r="FG330" s="6"/>
      <c r="FH330" s="6"/>
      <c r="FI330" s="6"/>
      <c r="FJ330" s="6"/>
      <c r="FK330" s="123"/>
      <c r="FL330" s="6"/>
      <c r="FM330" s="6"/>
      <c r="FN330" s="6"/>
      <c r="FO330" s="138"/>
      <c r="FP330" s="138"/>
      <c r="FQ330" s="123"/>
      <c r="FR330" s="6"/>
      <c r="FS330" s="6"/>
      <c r="FT330" s="139"/>
      <c r="FU330" s="139"/>
      <c r="FV330" s="76"/>
      <c r="FW330" s="123"/>
      <c r="FX330" s="6"/>
    </row>
    <row r="331" spans="35:180">
      <c r="AI331" s="125"/>
      <c r="AJ331" s="16"/>
      <c r="AM331" s="16"/>
      <c r="AN331" s="16"/>
      <c r="AO331" s="125"/>
      <c r="AP331" s="16"/>
      <c r="AQ331" s="125"/>
      <c r="AZ331" s="125"/>
      <c r="BA331" s="142"/>
      <c r="BB331" s="125"/>
      <c r="BC331" s="16"/>
      <c r="BD331" s="125"/>
      <c r="BE331" s="125"/>
      <c r="BF331" s="16"/>
      <c r="BG331" s="125"/>
      <c r="BQ331" s="125"/>
      <c r="BR331" s="16"/>
      <c r="BS331" s="123"/>
      <c r="BT331" s="19"/>
      <c r="BU331" s="139"/>
      <c r="BV331" s="139"/>
      <c r="BW331" s="123"/>
      <c r="BX331" s="123"/>
      <c r="BY331" s="123"/>
      <c r="BZ331" s="123"/>
      <c r="CA331" s="123"/>
      <c r="CB331" s="123"/>
      <c r="CC331" s="6"/>
      <c r="CD331" s="123"/>
      <c r="CE331" s="6"/>
      <c r="CF331" s="123"/>
      <c r="CG331" s="6"/>
      <c r="CH331" s="6"/>
      <c r="CI331" s="6"/>
      <c r="CJ331" s="6"/>
      <c r="CK331" s="123"/>
      <c r="CL331" s="6"/>
      <c r="CM331" s="6"/>
      <c r="CN331" s="6"/>
      <c r="CO331" s="138"/>
      <c r="CP331" s="138"/>
      <c r="CQ331" s="123"/>
      <c r="CR331" s="6"/>
      <c r="CS331" s="6"/>
      <c r="CT331" s="139"/>
      <c r="CU331" s="139"/>
      <c r="CV331" s="76"/>
      <c r="CW331" s="123"/>
      <c r="CX331" s="6"/>
      <c r="DI331" s="125"/>
      <c r="DJ331" s="16"/>
      <c r="DM331" s="16"/>
      <c r="DN331" s="16"/>
      <c r="DO331" s="125"/>
      <c r="DP331" s="16"/>
      <c r="DQ331" s="125"/>
      <c r="DZ331" s="125"/>
      <c r="EA331" s="142"/>
      <c r="EB331" s="125"/>
      <c r="EC331" s="16"/>
      <c r="ED331" s="125"/>
      <c r="EE331" s="125"/>
      <c r="EF331" s="16"/>
      <c r="EG331" s="125"/>
      <c r="EQ331" s="125"/>
      <c r="ER331" s="16"/>
      <c r="ES331" s="123"/>
      <c r="ET331" s="19"/>
      <c r="EU331" s="139"/>
      <c r="EV331" s="139"/>
      <c r="EW331" s="123"/>
      <c r="EX331" s="123"/>
      <c r="EY331" s="123"/>
      <c r="EZ331" s="123"/>
      <c r="FA331" s="123"/>
      <c r="FB331" s="123"/>
      <c r="FC331" s="6"/>
      <c r="FD331" s="123"/>
      <c r="FE331" s="6"/>
      <c r="FF331" s="123"/>
      <c r="FG331" s="6"/>
      <c r="FH331" s="6"/>
      <c r="FI331" s="6"/>
      <c r="FJ331" s="6"/>
      <c r="FK331" s="123"/>
      <c r="FL331" s="6"/>
      <c r="FM331" s="6"/>
      <c r="FN331" s="6"/>
      <c r="FO331" s="138"/>
      <c r="FP331" s="138"/>
      <c r="FQ331" s="123"/>
      <c r="FR331" s="6"/>
      <c r="FS331" s="6"/>
      <c r="FT331" s="139"/>
      <c r="FU331" s="139"/>
      <c r="FV331" s="76"/>
      <c r="FW331" s="123"/>
      <c r="FX331" s="6"/>
    </row>
    <row r="332" spans="35:180">
      <c r="AI332" s="125"/>
      <c r="AJ332" s="16"/>
      <c r="AM332" s="16"/>
      <c r="AN332" s="16"/>
      <c r="AO332" s="125"/>
      <c r="AP332" s="16"/>
      <c r="AQ332" s="125"/>
      <c r="AZ332" s="125"/>
      <c r="BA332" s="142"/>
      <c r="BB332" s="125"/>
      <c r="BC332" s="16"/>
      <c r="BD332" s="125"/>
      <c r="BE332" s="125"/>
      <c r="BF332" s="16"/>
      <c r="BG332" s="125"/>
      <c r="BQ332" s="125"/>
      <c r="BR332" s="16"/>
      <c r="BS332" s="123"/>
      <c r="BT332" s="19"/>
      <c r="BU332" s="139"/>
      <c r="BV332" s="139"/>
      <c r="BW332" s="123"/>
      <c r="BX332" s="123"/>
      <c r="BY332" s="123"/>
      <c r="BZ332" s="123"/>
      <c r="CA332" s="123"/>
      <c r="CB332" s="123"/>
      <c r="CC332" s="6"/>
      <c r="CD332" s="123"/>
      <c r="CE332" s="6"/>
      <c r="CF332" s="123"/>
      <c r="CG332" s="6"/>
      <c r="CH332" s="6"/>
      <c r="CI332" s="6"/>
      <c r="CJ332" s="6"/>
      <c r="CK332" s="123"/>
      <c r="CL332" s="6"/>
      <c r="CM332" s="6"/>
      <c r="CN332" s="6"/>
      <c r="CO332" s="138"/>
      <c r="CP332" s="138"/>
      <c r="CQ332" s="123"/>
      <c r="CR332" s="6"/>
      <c r="CS332" s="6"/>
      <c r="CT332" s="139"/>
      <c r="CU332" s="139"/>
      <c r="CV332" s="76"/>
      <c r="CW332" s="123"/>
      <c r="CX332" s="6"/>
      <c r="DI332" s="125"/>
      <c r="DJ332" s="16"/>
      <c r="DM332" s="16"/>
      <c r="DN332" s="16"/>
      <c r="DO332" s="125"/>
      <c r="DP332" s="16"/>
      <c r="DQ332" s="125"/>
      <c r="DZ332" s="125"/>
      <c r="EA332" s="142"/>
      <c r="EB332" s="125"/>
      <c r="EC332" s="16"/>
      <c r="ED332" s="125"/>
      <c r="EE332" s="125"/>
      <c r="EF332" s="16"/>
      <c r="EG332" s="125"/>
      <c r="EQ332" s="125"/>
      <c r="ER332" s="16"/>
      <c r="ES332" s="123"/>
      <c r="ET332" s="19"/>
      <c r="EU332" s="139"/>
      <c r="EV332" s="139"/>
      <c r="EW332" s="123"/>
      <c r="EX332" s="123"/>
      <c r="EY332" s="123"/>
      <c r="EZ332" s="123"/>
      <c r="FA332" s="123"/>
      <c r="FB332" s="123"/>
      <c r="FC332" s="6"/>
      <c r="FD332" s="123"/>
      <c r="FE332" s="6"/>
      <c r="FF332" s="123"/>
      <c r="FG332" s="6"/>
      <c r="FH332" s="6"/>
      <c r="FI332" s="6"/>
      <c r="FJ332" s="6"/>
      <c r="FK332" s="123"/>
      <c r="FL332" s="6"/>
      <c r="FM332" s="6"/>
      <c r="FN332" s="6"/>
      <c r="FO332" s="138"/>
      <c r="FP332" s="138"/>
      <c r="FQ332" s="123"/>
      <c r="FR332" s="6"/>
      <c r="FS332" s="6"/>
      <c r="FT332" s="139"/>
      <c r="FU332" s="139"/>
      <c r="FV332" s="76"/>
      <c r="FW332" s="123"/>
      <c r="FX332" s="6"/>
    </row>
    <row r="333" spans="35:180">
      <c r="AI333" s="125"/>
      <c r="AJ333" s="16"/>
      <c r="AM333" s="16"/>
      <c r="AN333" s="16"/>
      <c r="AO333" s="125"/>
      <c r="AP333" s="16"/>
      <c r="AQ333" s="125"/>
      <c r="AZ333" s="125"/>
      <c r="BA333" s="142"/>
      <c r="BB333" s="125"/>
      <c r="BC333" s="16"/>
      <c r="BD333" s="125"/>
      <c r="BE333" s="125"/>
      <c r="BF333" s="16"/>
      <c r="BG333" s="125"/>
      <c r="BQ333" s="125"/>
      <c r="BR333" s="16"/>
      <c r="BS333" s="123"/>
      <c r="BT333" s="19"/>
      <c r="BU333" s="139"/>
      <c r="BV333" s="139"/>
      <c r="BW333" s="123"/>
      <c r="BX333" s="123"/>
      <c r="BY333" s="123"/>
      <c r="BZ333" s="123"/>
      <c r="CA333" s="123"/>
      <c r="CB333" s="123"/>
      <c r="CC333" s="6"/>
      <c r="CD333" s="123"/>
      <c r="CE333" s="6"/>
      <c r="CF333" s="123"/>
      <c r="CG333" s="6"/>
      <c r="CH333" s="6"/>
      <c r="CI333" s="6"/>
      <c r="CJ333" s="6"/>
      <c r="CK333" s="123"/>
      <c r="CL333" s="6"/>
      <c r="CM333" s="6"/>
      <c r="CN333" s="6"/>
      <c r="CO333" s="138"/>
      <c r="CP333" s="138"/>
      <c r="CQ333" s="123"/>
      <c r="CR333" s="6"/>
      <c r="CS333" s="6"/>
      <c r="CT333" s="139"/>
      <c r="CU333" s="139"/>
      <c r="CV333" s="76"/>
      <c r="CW333" s="123"/>
      <c r="CX333" s="6"/>
      <c r="DI333" s="125"/>
      <c r="DJ333" s="16"/>
      <c r="DM333" s="16"/>
      <c r="DN333" s="16"/>
      <c r="DO333" s="125"/>
      <c r="DP333" s="16"/>
      <c r="DQ333" s="125"/>
      <c r="DZ333" s="125"/>
      <c r="EA333" s="142"/>
      <c r="EB333" s="125"/>
      <c r="EC333" s="16"/>
      <c r="ED333" s="125"/>
      <c r="EE333" s="125"/>
      <c r="EF333" s="16"/>
      <c r="EG333" s="125"/>
      <c r="EQ333" s="125"/>
      <c r="ER333" s="16"/>
      <c r="ES333" s="123"/>
      <c r="ET333" s="19"/>
      <c r="EU333" s="139"/>
      <c r="EV333" s="139"/>
      <c r="EW333" s="123"/>
      <c r="EX333" s="123"/>
      <c r="EY333" s="123"/>
      <c r="EZ333" s="123"/>
      <c r="FA333" s="123"/>
      <c r="FB333" s="123"/>
      <c r="FC333" s="6"/>
      <c r="FD333" s="123"/>
      <c r="FE333" s="6"/>
      <c r="FF333" s="123"/>
      <c r="FG333" s="6"/>
      <c r="FH333" s="6"/>
      <c r="FI333" s="6"/>
      <c r="FJ333" s="6"/>
      <c r="FK333" s="123"/>
      <c r="FL333" s="6"/>
      <c r="FM333" s="6"/>
      <c r="FN333" s="6"/>
      <c r="FO333" s="138"/>
      <c r="FP333" s="138"/>
      <c r="FQ333" s="123"/>
      <c r="FR333" s="6"/>
      <c r="FS333" s="6"/>
      <c r="FT333" s="139"/>
      <c r="FU333" s="139"/>
      <c r="FV333" s="76"/>
      <c r="FW333" s="123"/>
      <c r="FX333" s="6"/>
    </row>
    <row r="334" spans="35:180">
      <c r="AI334" s="125"/>
      <c r="AJ334" s="16"/>
      <c r="AM334" s="16"/>
      <c r="AN334" s="16"/>
      <c r="AO334" s="125"/>
      <c r="AP334" s="16"/>
      <c r="AQ334" s="125"/>
      <c r="AZ334" s="125"/>
      <c r="BA334" s="142"/>
      <c r="BB334" s="125"/>
      <c r="BC334" s="16"/>
      <c r="BD334" s="125"/>
      <c r="BE334" s="125"/>
      <c r="BF334" s="16"/>
      <c r="BG334" s="125"/>
      <c r="BQ334" s="125"/>
      <c r="BR334" s="16"/>
      <c r="BS334" s="123"/>
      <c r="BT334" s="19"/>
      <c r="BU334" s="139"/>
      <c r="BV334" s="139"/>
      <c r="BW334" s="123"/>
      <c r="BX334" s="123"/>
      <c r="BY334" s="123"/>
      <c r="BZ334" s="123"/>
      <c r="CA334" s="123"/>
      <c r="CB334" s="123"/>
      <c r="CC334" s="6"/>
      <c r="CD334" s="123"/>
      <c r="CE334" s="6"/>
      <c r="CF334" s="123"/>
      <c r="CG334" s="6"/>
      <c r="CH334" s="6"/>
      <c r="CI334" s="6"/>
      <c r="CJ334" s="6"/>
      <c r="CK334" s="123"/>
      <c r="CL334" s="6"/>
      <c r="CM334" s="6"/>
      <c r="CN334" s="6"/>
      <c r="CO334" s="138"/>
      <c r="CP334" s="138"/>
      <c r="CQ334" s="123"/>
      <c r="CR334" s="6"/>
      <c r="CS334" s="6"/>
      <c r="CT334" s="139"/>
      <c r="CU334" s="139"/>
      <c r="CV334" s="76"/>
      <c r="CW334" s="123"/>
      <c r="CX334" s="6"/>
      <c r="DI334" s="125"/>
      <c r="DJ334" s="16"/>
      <c r="DM334" s="16"/>
      <c r="DN334" s="16"/>
      <c r="DO334" s="125"/>
      <c r="DP334" s="16"/>
      <c r="DQ334" s="125"/>
      <c r="DZ334" s="125"/>
      <c r="EA334" s="142"/>
      <c r="EB334" s="125"/>
      <c r="EC334" s="16"/>
      <c r="ED334" s="125"/>
      <c r="EE334" s="125"/>
      <c r="EF334" s="16"/>
      <c r="EG334" s="125"/>
      <c r="EQ334" s="125"/>
      <c r="ER334" s="16"/>
      <c r="ES334" s="123"/>
      <c r="ET334" s="19"/>
      <c r="EU334" s="139"/>
      <c r="EV334" s="139"/>
      <c r="EW334" s="123"/>
      <c r="EX334" s="123"/>
      <c r="EY334" s="123"/>
      <c r="EZ334" s="123"/>
      <c r="FA334" s="123"/>
      <c r="FB334" s="123"/>
      <c r="FC334" s="6"/>
      <c r="FD334" s="123"/>
      <c r="FE334" s="6"/>
      <c r="FF334" s="123"/>
      <c r="FG334" s="6"/>
      <c r="FH334" s="6"/>
      <c r="FI334" s="6"/>
      <c r="FJ334" s="6"/>
      <c r="FK334" s="123"/>
      <c r="FL334" s="6"/>
      <c r="FM334" s="6"/>
      <c r="FN334" s="6"/>
      <c r="FO334" s="138"/>
      <c r="FP334" s="138"/>
      <c r="FQ334" s="123"/>
      <c r="FR334" s="6"/>
      <c r="FS334" s="6"/>
      <c r="FT334" s="139"/>
      <c r="FU334" s="139"/>
      <c r="FV334" s="76"/>
      <c r="FW334" s="123"/>
      <c r="FX334" s="6"/>
    </row>
    <row r="335" spans="35:180">
      <c r="AI335" s="125"/>
      <c r="AJ335" s="16"/>
      <c r="AM335" s="16"/>
      <c r="AN335" s="16"/>
      <c r="AO335" s="125"/>
      <c r="AP335" s="16"/>
      <c r="AQ335" s="125"/>
      <c r="AZ335" s="125"/>
      <c r="BA335" s="142"/>
      <c r="BB335" s="125"/>
      <c r="BC335" s="16"/>
      <c r="BD335" s="125"/>
      <c r="BE335" s="125"/>
      <c r="BF335" s="16"/>
      <c r="BG335" s="125"/>
      <c r="BQ335" s="125"/>
      <c r="BR335" s="16"/>
      <c r="BS335" s="123"/>
      <c r="BT335" s="19"/>
      <c r="BU335" s="139"/>
      <c r="BV335" s="139"/>
      <c r="BW335" s="123"/>
      <c r="BX335" s="123"/>
      <c r="BY335" s="123"/>
      <c r="BZ335" s="123"/>
      <c r="CA335" s="123"/>
      <c r="CB335" s="123"/>
      <c r="CC335" s="6"/>
      <c r="CD335" s="123"/>
      <c r="CE335" s="6"/>
      <c r="CF335" s="123"/>
      <c r="CG335" s="6"/>
      <c r="CH335" s="6"/>
      <c r="CI335" s="6"/>
      <c r="CJ335" s="6"/>
      <c r="CK335" s="123"/>
      <c r="CL335" s="6"/>
      <c r="CM335" s="6"/>
      <c r="CN335" s="6"/>
      <c r="CO335" s="138"/>
      <c r="CP335" s="138"/>
      <c r="CQ335" s="123"/>
      <c r="CR335" s="6"/>
      <c r="CS335" s="6"/>
      <c r="CT335" s="139"/>
      <c r="CU335" s="139"/>
      <c r="CV335" s="76"/>
      <c r="CW335" s="123"/>
      <c r="CX335" s="6"/>
      <c r="DI335" s="125"/>
      <c r="DJ335" s="16"/>
      <c r="DM335" s="16"/>
      <c r="DN335" s="16"/>
      <c r="DO335" s="125"/>
      <c r="DP335" s="16"/>
      <c r="DQ335" s="125"/>
      <c r="DZ335" s="125"/>
      <c r="EA335" s="142"/>
      <c r="EB335" s="125"/>
      <c r="EC335" s="16"/>
      <c r="ED335" s="125"/>
      <c r="EE335" s="125"/>
      <c r="EF335" s="16"/>
      <c r="EG335" s="125"/>
      <c r="EQ335" s="125"/>
      <c r="ER335" s="16"/>
      <c r="ES335" s="123"/>
      <c r="ET335" s="19"/>
      <c r="EU335" s="139"/>
      <c r="EV335" s="139"/>
      <c r="EW335" s="123"/>
      <c r="EX335" s="123"/>
      <c r="EY335" s="123"/>
      <c r="EZ335" s="123"/>
      <c r="FA335" s="123"/>
      <c r="FB335" s="123"/>
      <c r="FC335" s="6"/>
      <c r="FD335" s="123"/>
      <c r="FE335" s="6"/>
      <c r="FF335" s="123"/>
      <c r="FG335" s="6"/>
      <c r="FH335" s="6"/>
      <c r="FI335" s="6"/>
      <c r="FJ335" s="6"/>
      <c r="FK335" s="123"/>
      <c r="FL335" s="6"/>
      <c r="FM335" s="6"/>
      <c r="FN335" s="6"/>
      <c r="FO335" s="138"/>
      <c r="FP335" s="138"/>
      <c r="FQ335" s="123"/>
      <c r="FR335" s="6"/>
      <c r="FS335" s="6"/>
      <c r="FT335" s="139"/>
      <c r="FU335" s="139"/>
      <c r="FV335" s="76"/>
      <c r="FW335" s="123"/>
      <c r="FX335" s="6"/>
    </row>
    <row r="336" spans="35:180">
      <c r="AI336" s="125"/>
      <c r="AJ336" s="16"/>
      <c r="AM336" s="16"/>
      <c r="AN336" s="16"/>
      <c r="AO336" s="125"/>
      <c r="AP336" s="16"/>
      <c r="AQ336" s="125"/>
      <c r="AZ336" s="125"/>
      <c r="BA336" s="142"/>
      <c r="BB336" s="125"/>
      <c r="BC336" s="16"/>
      <c r="BD336" s="125"/>
      <c r="BE336" s="125"/>
      <c r="BF336" s="16"/>
      <c r="BG336" s="125"/>
      <c r="BQ336" s="125"/>
      <c r="BR336" s="16"/>
      <c r="BS336" s="123"/>
      <c r="BT336" s="19"/>
      <c r="BU336" s="139"/>
      <c r="BV336" s="139"/>
      <c r="BW336" s="123"/>
      <c r="BX336" s="123"/>
      <c r="BY336" s="123"/>
      <c r="BZ336" s="123"/>
      <c r="CA336" s="123"/>
      <c r="CB336" s="123"/>
      <c r="CC336" s="6"/>
      <c r="CD336" s="123"/>
      <c r="CE336" s="6"/>
      <c r="CF336" s="123"/>
      <c r="CG336" s="6"/>
      <c r="CH336" s="6"/>
      <c r="CI336" s="6"/>
      <c r="CJ336" s="6"/>
      <c r="CK336" s="123"/>
      <c r="CL336" s="6"/>
      <c r="CM336" s="6"/>
      <c r="CN336" s="6"/>
      <c r="CO336" s="138"/>
      <c r="CP336" s="138"/>
      <c r="CQ336" s="123"/>
      <c r="CR336" s="6"/>
      <c r="CS336" s="6"/>
      <c r="CT336" s="139"/>
      <c r="CU336" s="139"/>
      <c r="CV336" s="76"/>
      <c r="CW336" s="123"/>
      <c r="CX336" s="6"/>
      <c r="DI336" s="125"/>
      <c r="DJ336" s="16"/>
      <c r="DM336" s="16"/>
      <c r="DN336" s="16"/>
      <c r="DO336" s="125"/>
      <c r="DP336" s="16"/>
      <c r="DQ336" s="125"/>
      <c r="DZ336" s="125"/>
      <c r="EA336" s="142"/>
      <c r="EB336" s="125"/>
      <c r="EC336" s="16"/>
      <c r="ED336" s="125"/>
      <c r="EE336" s="125"/>
      <c r="EF336" s="16"/>
      <c r="EG336" s="125"/>
      <c r="EQ336" s="125"/>
      <c r="ER336" s="16"/>
      <c r="ES336" s="123"/>
      <c r="ET336" s="19"/>
      <c r="EU336" s="139"/>
      <c r="EV336" s="139"/>
      <c r="EW336" s="123"/>
      <c r="EX336" s="123"/>
      <c r="EY336" s="123"/>
      <c r="EZ336" s="123"/>
      <c r="FA336" s="123"/>
      <c r="FB336" s="123"/>
      <c r="FC336" s="6"/>
      <c r="FD336" s="123"/>
      <c r="FE336" s="6"/>
      <c r="FF336" s="123"/>
      <c r="FG336" s="6"/>
      <c r="FH336" s="6"/>
      <c r="FI336" s="6"/>
      <c r="FJ336" s="6"/>
      <c r="FK336" s="123"/>
      <c r="FL336" s="6"/>
      <c r="FM336" s="6"/>
      <c r="FN336" s="6"/>
      <c r="FO336" s="138"/>
      <c r="FP336" s="138"/>
      <c r="FQ336" s="123"/>
      <c r="FR336" s="6"/>
      <c r="FS336" s="6"/>
      <c r="FT336" s="139"/>
      <c r="FU336" s="139"/>
      <c r="FV336" s="76"/>
      <c r="FW336" s="123"/>
      <c r="FX336" s="6"/>
    </row>
    <row r="337" spans="35:180">
      <c r="AI337" s="125"/>
      <c r="AJ337" s="16"/>
      <c r="AM337" s="16"/>
      <c r="AN337" s="16"/>
      <c r="AO337" s="125"/>
      <c r="AP337" s="16"/>
      <c r="AQ337" s="125"/>
      <c r="AZ337" s="125"/>
      <c r="BA337" s="142"/>
      <c r="BB337" s="125"/>
      <c r="BC337" s="16"/>
      <c r="BD337" s="125"/>
      <c r="BE337" s="125"/>
      <c r="BF337" s="16"/>
      <c r="BG337" s="125"/>
      <c r="BQ337" s="125"/>
      <c r="BR337" s="16"/>
      <c r="BS337" s="123"/>
      <c r="BT337" s="19"/>
      <c r="BU337" s="139"/>
      <c r="BV337" s="139"/>
      <c r="BW337" s="123"/>
      <c r="BX337" s="123"/>
      <c r="BY337" s="123"/>
      <c r="BZ337" s="123"/>
      <c r="CA337" s="123"/>
      <c r="CB337" s="123"/>
      <c r="CC337" s="6"/>
      <c r="CD337" s="123"/>
      <c r="CE337" s="6"/>
      <c r="CF337" s="123"/>
      <c r="CG337" s="6"/>
      <c r="CH337" s="6"/>
      <c r="CI337" s="6"/>
      <c r="CJ337" s="6"/>
      <c r="CK337" s="123"/>
      <c r="CL337" s="6"/>
      <c r="CM337" s="6"/>
      <c r="CN337" s="6"/>
      <c r="CO337" s="138"/>
      <c r="CP337" s="138"/>
      <c r="CQ337" s="123"/>
      <c r="CR337" s="6"/>
      <c r="CS337" s="6"/>
      <c r="CT337" s="139"/>
      <c r="CU337" s="139"/>
      <c r="CV337" s="76"/>
      <c r="CW337" s="123"/>
      <c r="CX337" s="6"/>
      <c r="DI337" s="125"/>
      <c r="DJ337" s="16"/>
      <c r="DM337" s="16"/>
      <c r="DN337" s="16"/>
      <c r="DO337" s="125"/>
      <c r="DP337" s="16"/>
      <c r="DQ337" s="125"/>
      <c r="DZ337" s="125"/>
      <c r="EA337" s="142"/>
      <c r="EB337" s="125"/>
      <c r="EC337" s="16"/>
      <c r="ED337" s="125"/>
      <c r="EE337" s="125"/>
      <c r="EF337" s="16"/>
      <c r="EG337" s="125"/>
      <c r="EQ337" s="125"/>
      <c r="ER337" s="16"/>
      <c r="ES337" s="123"/>
      <c r="ET337" s="19"/>
      <c r="EU337" s="139"/>
      <c r="EV337" s="139"/>
      <c r="EW337" s="123"/>
      <c r="EX337" s="123"/>
      <c r="EY337" s="123"/>
      <c r="EZ337" s="123"/>
      <c r="FA337" s="123"/>
      <c r="FB337" s="123"/>
      <c r="FC337" s="6"/>
      <c r="FD337" s="123"/>
      <c r="FE337" s="6"/>
      <c r="FF337" s="123"/>
      <c r="FG337" s="6"/>
      <c r="FH337" s="6"/>
      <c r="FI337" s="6"/>
      <c r="FJ337" s="6"/>
      <c r="FK337" s="123"/>
      <c r="FL337" s="6"/>
      <c r="FM337" s="6"/>
      <c r="FN337" s="6"/>
      <c r="FO337" s="138"/>
      <c r="FP337" s="138"/>
      <c r="FQ337" s="123"/>
      <c r="FR337" s="6"/>
      <c r="FS337" s="6"/>
      <c r="FT337" s="139"/>
      <c r="FU337" s="139"/>
      <c r="FV337" s="76"/>
      <c r="FW337" s="123"/>
      <c r="FX337" s="6"/>
    </row>
    <row r="338" spans="35:180">
      <c r="AI338" s="125"/>
      <c r="AJ338" s="16"/>
      <c r="AM338" s="16"/>
      <c r="AN338" s="16"/>
      <c r="AO338" s="125"/>
      <c r="AP338" s="16"/>
      <c r="AQ338" s="125"/>
      <c r="AZ338" s="125"/>
      <c r="BA338" s="142"/>
      <c r="BB338" s="125"/>
      <c r="BC338" s="16"/>
      <c r="BD338" s="125"/>
      <c r="BE338" s="125"/>
      <c r="BF338" s="16"/>
      <c r="BG338" s="125"/>
      <c r="BQ338" s="125"/>
      <c r="BR338" s="16"/>
      <c r="BS338" s="123"/>
      <c r="BT338" s="19"/>
      <c r="BU338" s="139"/>
      <c r="BV338" s="139"/>
      <c r="BW338" s="123"/>
      <c r="BX338" s="123"/>
      <c r="BY338" s="123"/>
      <c r="BZ338" s="123"/>
      <c r="CA338" s="123"/>
      <c r="CB338" s="123"/>
      <c r="CC338" s="6"/>
      <c r="CD338" s="123"/>
      <c r="CE338" s="6"/>
      <c r="CF338" s="123"/>
      <c r="CG338" s="6"/>
      <c r="CH338" s="6"/>
      <c r="CI338" s="6"/>
      <c r="CJ338" s="6"/>
      <c r="CK338" s="123"/>
      <c r="CL338" s="6"/>
      <c r="CM338" s="6"/>
      <c r="CN338" s="6"/>
      <c r="CO338" s="138"/>
      <c r="CP338" s="138"/>
      <c r="CQ338" s="123"/>
      <c r="CR338" s="6"/>
      <c r="CS338" s="6"/>
      <c r="CT338" s="139"/>
      <c r="CU338" s="139"/>
      <c r="CV338" s="76"/>
      <c r="CW338" s="123"/>
      <c r="CX338" s="6"/>
      <c r="DI338" s="125"/>
      <c r="DJ338" s="16"/>
      <c r="DM338" s="16"/>
      <c r="DN338" s="16"/>
      <c r="DO338" s="125"/>
      <c r="DP338" s="16"/>
      <c r="DQ338" s="125"/>
      <c r="DZ338" s="125"/>
      <c r="EA338" s="142"/>
      <c r="EB338" s="125"/>
      <c r="EC338" s="16"/>
      <c r="ED338" s="125"/>
      <c r="EE338" s="125"/>
      <c r="EF338" s="16"/>
      <c r="EG338" s="125"/>
      <c r="EQ338" s="125"/>
      <c r="ER338" s="16"/>
      <c r="ES338" s="123"/>
      <c r="ET338" s="19"/>
      <c r="EU338" s="139"/>
      <c r="EV338" s="139"/>
      <c r="EW338" s="123"/>
      <c r="EX338" s="123"/>
      <c r="EY338" s="123"/>
      <c r="EZ338" s="123"/>
      <c r="FA338" s="123"/>
      <c r="FB338" s="123"/>
      <c r="FC338" s="6"/>
      <c r="FD338" s="123"/>
      <c r="FE338" s="6"/>
      <c r="FF338" s="123"/>
      <c r="FG338" s="6"/>
      <c r="FH338" s="6"/>
      <c r="FI338" s="6"/>
      <c r="FJ338" s="6"/>
      <c r="FK338" s="123"/>
      <c r="FL338" s="6"/>
      <c r="FM338" s="6"/>
      <c r="FN338" s="6"/>
      <c r="FO338" s="138"/>
      <c r="FP338" s="138"/>
      <c r="FQ338" s="123"/>
      <c r="FR338" s="6"/>
      <c r="FS338" s="6"/>
      <c r="FT338" s="139"/>
      <c r="FU338" s="139"/>
      <c r="FV338" s="76"/>
      <c r="FW338" s="123"/>
      <c r="FX338" s="6"/>
    </row>
    <row r="339" spans="35:180">
      <c r="AI339" s="125"/>
      <c r="AJ339" s="16"/>
      <c r="AM339" s="16"/>
      <c r="AN339" s="16"/>
      <c r="AO339" s="125"/>
      <c r="AP339" s="16"/>
      <c r="AQ339" s="125"/>
      <c r="AZ339" s="125"/>
      <c r="BA339" s="142"/>
      <c r="BB339" s="125"/>
      <c r="BC339" s="16"/>
      <c r="BD339" s="125"/>
      <c r="BE339" s="125"/>
      <c r="BF339" s="16"/>
      <c r="BG339" s="125"/>
      <c r="BQ339" s="125"/>
      <c r="BR339" s="16"/>
      <c r="BS339" s="123"/>
      <c r="BT339" s="19"/>
      <c r="BU339" s="139"/>
      <c r="BV339" s="139"/>
      <c r="BW339" s="123"/>
      <c r="BX339" s="123"/>
      <c r="BY339" s="123"/>
      <c r="BZ339" s="123"/>
      <c r="CA339" s="123"/>
      <c r="CB339" s="123"/>
      <c r="CC339" s="6"/>
      <c r="CD339" s="123"/>
      <c r="CE339" s="6"/>
      <c r="CF339" s="123"/>
      <c r="CG339" s="6"/>
      <c r="CH339" s="6"/>
      <c r="CI339" s="6"/>
      <c r="CJ339" s="6"/>
      <c r="CK339" s="123"/>
      <c r="CL339" s="6"/>
      <c r="CM339" s="6"/>
      <c r="CN339" s="6"/>
      <c r="CO339" s="138"/>
      <c r="CP339" s="138"/>
      <c r="CQ339" s="123"/>
      <c r="CR339" s="6"/>
      <c r="CS339" s="6"/>
      <c r="CT339" s="139"/>
      <c r="CU339" s="139"/>
      <c r="CV339" s="76"/>
      <c r="CW339" s="123"/>
      <c r="CX339" s="6"/>
      <c r="DI339" s="125"/>
      <c r="DJ339" s="16"/>
      <c r="DM339" s="16"/>
      <c r="DN339" s="16"/>
      <c r="DO339" s="125"/>
      <c r="DP339" s="16"/>
      <c r="DQ339" s="125"/>
      <c r="DZ339" s="125"/>
      <c r="EA339" s="142"/>
      <c r="EB339" s="125"/>
      <c r="EC339" s="16"/>
      <c r="ED339" s="125"/>
      <c r="EE339" s="125"/>
      <c r="EF339" s="16"/>
      <c r="EG339" s="125"/>
      <c r="EQ339" s="125"/>
      <c r="ER339" s="16"/>
      <c r="ES339" s="123"/>
      <c r="ET339" s="19"/>
      <c r="EU339" s="139"/>
      <c r="EV339" s="139"/>
      <c r="EW339" s="123"/>
      <c r="EX339" s="123"/>
      <c r="EY339" s="123"/>
      <c r="EZ339" s="123"/>
      <c r="FA339" s="123"/>
      <c r="FB339" s="123"/>
      <c r="FC339" s="6"/>
      <c r="FD339" s="123"/>
      <c r="FE339" s="6"/>
      <c r="FF339" s="123"/>
      <c r="FG339" s="6"/>
      <c r="FH339" s="6"/>
      <c r="FI339" s="6"/>
      <c r="FJ339" s="6"/>
      <c r="FK339" s="123"/>
      <c r="FL339" s="6"/>
      <c r="FM339" s="6"/>
      <c r="FN339" s="6"/>
      <c r="FO339" s="138"/>
      <c r="FP339" s="138"/>
      <c r="FQ339" s="123"/>
      <c r="FR339" s="6"/>
      <c r="FS339" s="6"/>
      <c r="FT339" s="139"/>
      <c r="FU339" s="139"/>
      <c r="FV339" s="76"/>
      <c r="FW339" s="123"/>
      <c r="FX339" s="6"/>
    </row>
    <row r="340" spans="35:180">
      <c r="AI340" s="125"/>
      <c r="AJ340" s="16"/>
      <c r="AM340" s="16"/>
      <c r="AN340" s="16"/>
      <c r="AO340" s="125"/>
      <c r="AP340" s="16"/>
      <c r="AQ340" s="125"/>
      <c r="AZ340" s="125"/>
      <c r="BA340" s="142"/>
      <c r="BB340" s="125"/>
      <c r="BC340" s="16"/>
      <c r="BD340" s="125"/>
      <c r="BE340" s="125"/>
      <c r="BF340" s="16"/>
      <c r="BG340" s="125"/>
      <c r="BQ340" s="125"/>
      <c r="BR340" s="16"/>
      <c r="BS340" s="123"/>
      <c r="BT340" s="19"/>
      <c r="BU340" s="139"/>
      <c r="BV340" s="139"/>
      <c r="BW340" s="123"/>
      <c r="BX340" s="123"/>
      <c r="BY340" s="123"/>
      <c r="BZ340" s="123"/>
      <c r="CA340" s="123"/>
      <c r="CB340" s="123"/>
      <c r="CC340" s="6"/>
      <c r="CD340" s="123"/>
      <c r="CE340" s="6"/>
      <c r="CF340" s="123"/>
      <c r="CG340" s="6"/>
      <c r="CH340" s="6"/>
      <c r="CI340" s="6"/>
      <c r="CJ340" s="6"/>
      <c r="CK340" s="123"/>
      <c r="CL340" s="6"/>
      <c r="CM340" s="6"/>
      <c r="CN340" s="6"/>
      <c r="CO340" s="138"/>
      <c r="CP340" s="138"/>
      <c r="CQ340" s="123"/>
      <c r="CR340" s="6"/>
      <c r="CS340" s="6"/>
      <c r="CT340" s="139"/>
      <c r="CU340" s="139"/>
      <c r="CV340" s="76"/>
      <c r="CW340" s="123"/>
      <c r="CX340" s="6"/>
      <c r="DI340" s="125"/>
      <c r="DJ340" s="16"/>
      <c r="DM340" s="16"/>
      <c r="DN340" s="16"/>
      <c r="DO340" s="125"/>
      <c r="DP340" s="16"/>
      <c r="DQ340" s="125"/>
      <c r="DZ340" s="125"/>
      <c r="EA340" s="142"/>
      <c r="EB340" s="125"/>
      <c r="EC340" s="16"/>
      <c r="ED340" s="125"/>
      <c r="EE340" s="125"/>
      <c r="EF340" s="16"/>
      <c r="EG340" s="125"/>
      <c r="EQ340" s="125"/>
      <c r="ER340" s="16"/>
      <c r="ES340" s="123"/>
      <c r="ET340" s="19"/>
      <c r="EU340" s="139"/>
      <c r="EV340" s="139"/>
      <c r="EW340" s="123"/>
      <c r="EX340" s="123"/>
      <c r="EY340" s="123"/>
      <c r="EZ340" s="123"/>
      <c r="FA340" s="123"/>
      <c r="FB340" s="123"/>
      <c r="FC340" s="6"/>
      <c r="FD340" s="123"/>
      <c r="FE340" s="6"/>
      <c r="FF340" s="123"/>
      <c r="FG340" s="6"/>
      <c r="FH340" s="6"/>
      <c r="FI340" s="6"/>
      <c r="FJ340" s="6"/>
      <c r="FK340" s="123"/>
      <c r="FL340" s="6"/>
      <c r="FM340" s="6"/>
      <c r="FN340" s="6"/>
      <c r="FO340" s="138"/>
      <c r="FP340" s="138"/>
      <c r="FQ340" s="123"/>
      <c r="FR340" s="6"/>
      <c r="FS340" s="6"/>
      <c r="FT340" s="139"/>
      <c r="FU340" s="139"/>
      <c r="FV340" s="76"/>
      <c r="FW340" s="123"/>
      <c r="FX340" s="6"/>
    </row>
    <row r="341" spans="35:180">
      <c r="AI341" s="125"/>
      <c r="AJ341" s="16"/>
      <c r="AM341" s="16"/>
      <c r="AN341" s="16"/>
      <c r="AO341" s="125"/>
      <c r="AP341" s="16"/>
      <c r="AQ341" s="125"/>
      <c r="AZ341" s="125"/>
      <c r="BA341" s="142"/>
      <c r="BB341" s="125"/>
      <c r="BC341" s="16"/>
      <c r="BD341" s="125"/>
      <c r="BE341" s="125"/>
      <c r="BF341" s="16"/>
      <c r="BG341" s="125"/>
      <c r="BQ341" s="125"/>
      <c r="BR341" s="16"/>
      <c r="BS341" s="123"/>
      <c r="BT341" s="19"/>
      <c r="BU341" s="139"/>
      <c r="BV341" s="139"/>
      <c r="BW341" s="123"/>
      <c r="BX341" s="123"/>
      <c r="BY341" s="123"/>
      <c r="BZ341" s="123"/>
      <c r="CA341" s="123"/>
      <c r="CB341" s="123"/>
      <c r="CC341" s="6"/>
      <c r="CD341" s="123"/>
      <c r="CE341" s="6"/>
      <c r="CF341" s="123"/>
      <c r="CG341" s="6"/>
      <c r="CH341" s="6"/>
      <c r="CI341" s="6"/>
      <c r="CJ341" s="6"/>
      <c r="CK341" s="123"/>
      <c r="CL341" s="6"/>
      <c r="CM341" s="6"/>
      <c r="CN341" s="6"/>
      <c r="CO341" s="138"/>
      <c r="CP341" s="138"/>
      <c r="CQ341" s="123"/>
      <c r="CR341" s="6"/>
      <c r="CS341" s="6"/>
      <c r="CT341" s="139"/>
      <c r="CU341" s="139"/>
      <c r="CV341" s="76"/>
      <c r="CW341" s="123"/>
      <c r="CX341" s="6"/>
      <c r="DI341" s="125"/>
      <c r="DJ341" s="16"/>
      <c r="DM341" s="16"/>
      <c r="DN341" s="16"/>
      <c r="DO341" s="125"/>
      <c r="DP341" s="16"/>
      <c r="DQ341" s="125"/>
      <c r="DZ341" s="125"/>
      <c r="EA341" s="142"/>
      <c r="EB341" s="125"/>
      <c r="EC341" s="16"/>
      <c r="ED341" s="125"/>
      <c r="EE341" s="125"/>
      <c r="EF341" s="16"/>
      <c r="EG341" s="125"/>
      <c r="EQ341" s="125"/>
      <c r="ER341" s="16"/>
      <c r="ES341" s="123"/>
      <c r="ET341" s="19"/>
      <c r="EU341" s="139"/>
      <c r="EV341" s="139"/>
      <c r="EW341" s="123"/>
      <c r="EX341" s="123"/>
      <c r="EY341" s="123"/>
      <c r="EZ341" s="123"/>
      <c r="FA341" s="123"/>
      <c r="FB341" s="123"/>
      <c r="FC341" s="6"/>
      <c r="FD341" s="123"/>
      <c r="FE341" s="6"/>
      <c r="FF341" s="123"/>
      <c r="FG341" s="6"/>
      <c r="FH341" s="6"/>
      <c r="FI341" s="6"/>
      <c r="FJ341" s="6"/>
      <c r="FK341" s="123"/>
      <c r="FL341" s="6"/>
      <c r="FM341" s="6"/>
      <c r="FN341" s="6"/>
      <c r="FO341" s="138"/>
      <c r="FP341" s="138"/>
      <c r="FQ341" s="123"/>
      <c r="FR341" s="6"/>
      <c r="FS341" s="6"/>
      <c r="FT341" s="139"/>
      <c r="FU341" s="139"/>
      <c r="FV341" s="76"/>
      <c r="FW341" s="123"/>
      <c r="FX341" s="6"/>
    </row>
    <row r="342" spans="35:180">
      <c r="AI342" s="125"/>
      <c r="AJ342" s="16"/>
      <c r="AM342" s="16"/>
      <c r="AN342" s="16"/>
      <c r="AO342" s="125"/>
      <c r="AP342" s="16"/>
      <c r="AQ342" s="125"/>
      <c r="AZ342" s="125"/>
      <c r="BA342" s="142"/>
      <c r="BB342" s="125"/>
      <c r="BC342" s="16"/>
      <c r="BD342" s="125"/>
      <c r="BE342" s="125"/>
      <c r="BF342" s="16"/>
      <c r="BG342" s="125"/>
      <c r="BQ342" s="125"/>
      <c r="BR342" s="16"/>
      <c r="BS342" s="123"/>
      <c r="BT342" s="19"/>
      <c r="BU342" s="139"/>
      <c r="BV342" s="139"/>
      <c r="BW342" s="123"/>
      <c r="BX342" s="123"/>
      <c r="BY342" s="123"/>
      <c r="BZ342" s="123"/>
      <c r="CA342" s="123"/>
      <c r="CB342" s="123"/>
      <c r="CC342" s="6"/>
      <c r="CD342" s="123"/>
      <c r="CE342" s="6"/>
      <c r="CF342" s="123"/>
      <c r="CG342" s="6"/>
      <c r="CH342" s="6"/>
      <c r="CI342" s="6"/>
      <c r="CJ342" s="6"/>
      <c r="CK342" s="123"/>
      <c r="CL342" s="6"/>
      <c r="CM342" s="6"/>
      <c r="CN342" s="6"/>
      <c r="CO342" s="138"/>
      <c r="CP342" s="138"/>
      <c r="CQ342" s="123"/>
      <c r="CR342" s="6"/>
      <c r="CS342" s="6"/>
      <c r="CT342" s="139"/>
      <c r="CU342" s="139"/>
      <c r="CV342" s="76"/>
      <c r="CW342" s="123"/>
      <c r="CX342" s="6"/>
      <c r="DI342" s="125"/>
      <c r="DJ342" s="16"/>
      <c r="DM342" s="16"/>
      <c r="DN342" s="16"/>
      <c r="DO342" s="125"/>
      <c r="DP342" s="16"/>
      <c r="DQ342" s="125"/>
      <c r="DZ342" s="125"/>
      <c r="EA342" s="142"/>
      <c r="EB342" s="125"/>
      <c r="EC342" s="16"/>
      <c r="ED342" s="125"/>
      <c r="EE342" s="125"/>
      <c r="EF342" s="16"/>
      <c r="EG342" s="125"/>
      <c r="EQ342" s="125"/>
      <c r="ER342" s="16"/>
      <c r="ES342" s="123"/>
      <c r="ET342" s="19"/>
      <c r="EU342" s="139"/>
      <c r="EV342" s="139"/>
      <c r="EW342" s="123"/>
      <c r="EX342" s="123"/>
      <c r="EY342" s="123"/>
      <c r="EZ342" s="123"/>
      <c r="FA342" s="123"/>
      <c r="FB342" s="123"/>
      <c r="FC342" s="6"/>
      <c r="FD342" s="123"/>
      <c r="FE342" s="6"/>
      <c r="FF342" s="123"/>
      <c r="FG342" s="6"/>
      <c r="FH342" s="6"/>
      <c r="FI342" s="6"/>
      <c r="FJ342" s="6"/>
      <c r="FK342" s="123"/>
      <c r="FL342" s="6"/>
      <c r="FM342" s="6"/>
      <c r="FN342" s="6"/>
      <c r="FO342" s="138"/>
      <c r="FP342" s="138"/>
      <c r="FQ342" s="123"/>
      <c r="FR342" s="6"/>
      <c r="FS342" s="6"/>
      <c r="FT342" s="139"/>
      <c r="FU342" s="139"/>
      <c r="FV342" s="76"/>
      <c r="FW342" s="123"/>
      <c r="FX342" s="6"/>
    </row>
    <row r="343" spans="35:180">
      <c r="AI343" s="125"/>
      <c r="AJ343" s="16"/>
      <c r="AM343" s="16"/>
      <c r="AN343" s="16"/>
      <c r="AO343" s="125"/>
      <c r="AP343" s="16"/>
      <c r="AQ343" s="125"/>
      <c r="AZ343" s="125"/>
      <c r="BA343" s="142"/>
      <c r="BB343" s="125"/>
      <c r="BC343" s="16"/>
      <c r="BD343" s="125"/>
      <c r="BE343" s="125"/>
      <c r="BF343" s="16"/>
      <c r="BG343" s="125"/>
      <c r="BQ343" s="125"/>
      <c r="BR343" s="16"/>
      <c r="BS343" s="123"/>
      <c r="BT343" s="19"/>
      <c r="BU343" s="139"/>
      <c r="BV343" s="139"/>
      <c r="BW343" s="123"/>
      <c r="BX343" s="123"/>
      <c r="BY343" s="123"/>
      <c r="BZ343" s="123"/>
      <c r="CA343" s="123"/>
      <c r="CB343" s="123"/>
      <c r="CC343" s="6"/>
      <c r="CD343" s="123"/>
      <c r="CE343" s="6"/>
      <c r="CF343" s="123"/>
      <c r="CG343" s="6"/>
      <c r="CH343" s="6"/>
      <c r="CI343" s="6"/>
      <c r="CJ343" s="6"/>
      <c r="CK343" s="123"/>
      <c r="CL343" s="6"/>
      <c r="CM343" s="6"/>
      <c r="CN343" s="6"/>
      <c r="CO343" s="138"/>
      <c r="CP343" s="138"/>
      <c r="CQ343" s="123"/>
      <c r="CR343" s="6"/>
      <c r="CS343" s="6"/>
      <c r="CT343" s="139"/>
      <c r="CU343" s="139"/>
      <c r="CV343" s="76"/>
      <c r="CW343" s="123"/>
      <c r="CX343" s="6"/>
      <c r="DI343" s="125"/>
      <c r="DJ343" s="16"/>
      <c r="DM343" s="16"/>
      <c r="DN343" s="16"/>
      <c r="DO343" s="125"/>
      <c r="DP343" s="16"/>
      <c r="DQ343" s="125"/>
      <c r="DZ343" s="125"/>
      <c r="EA343" s="142"/>
      <c r="EB343" s="125"/>
      <c r="EC343" s="16"/>
      <c r="ED343" s="125"/>
      <c r="EE343" s="125"/>
      <c r="EF343" s="16"/>
      <c r="EG343" s="125"/>
      <c r="EQ343" s="125"/>
      <c r="ER343" s="16"/>
      <c r="ES343" s="123"/>
      <c r="ET343" s="19"/>
      <c r="EU343" s="139"/>
      <c r="EV343" s="139"/>
      <c r="EW343" s="123"/>
      <c r="EX343" s="123"/>
      <c r="EY343" s="123"/>
      <c r="EZ343" s="123"/>
      <c r="FA343" s="123"/>
      <c r="FB343" s="123"/>
      <c r="FC343" s="6"/>
      <c r="FD343" s="123"/>
      <c r="FE343" s="6"/>
      <c r="FF343" s="123"/>
      <c r="FG343" s="6"/>
      <c r="FH343" s="6"/>
      <c r="FI343" s="6"/>
      <c r="FJ343" s="6"/>
      <c r="FK343" s="123"/>
      <c r="FL343" s="6"/>
      <c r="FM343" s="6"/>
      <c r="FN343" s="6"/>
      <c r="FO343" s="138"/>
      <c r="FP343" s="138"/>
      <c r="FQ343" s="123"/>
      <c r="FR343" s="6"/>
      <c r="FS343" s="6"/>
      <c r="FT343" s="139"/>
      <c r="FU343" s="139"/>
      <c r="FV343" s="76"/>
      <c r="FW343" s="123"/>
      <c r="FX343" s="6"/>
    </row>
    <row r="344" spans="35:180">
      <c r="AI344" s="125"/>
      <c r="AJ344" s="16"/>
      <c r="AM344" s="16"/>
      <c r="AN344" s="16"/>
      <c r="AO344" s="125"/>
      <c r="AP344" s="16"/>
      <c r="AQ344" s="125"/>
      <c r="AZ344" s="125"/>
      <c r="BA344" s="142"/>
      <c r="BB344" s="125"/>
      <c r="BC344" s="16"/>
      <c r="BD344" s="125"/>
      <c r="BE344" s="125"/>
      <c r="BF344" s="16"/>
      <c r="BG344" s="125"/>
      <c r="BQ344" s="125"/>
      <c r="BR344" s="16"/>
      <c r="BS344" s="123"/>
      <c r="BT344" s="19"/>
      <c r="BU344" s="139"/>
      <c r="BV344" s="139"/>
      <c r="BW344" s="123"/>
      <c r="BX344" s="123"/>
      <c r="BY344" s="123"/>
      <c r="BZ344" s="123"/>
      <c r="CA344" s="123"/>
      <c r="CB344" s="123"/>
      <c r="CC344" s="6"/>
      <c r="CD344" s="123"/>
      <c r="CE344" s="6"/>
      <c r="CF344" s="123"/>
      <c r="CG344" s="6"/>
      <c r="CH344" s="6"/>
      <c r="CI344" s="6"/>
      <c r="CJ344" s="6"/>
      <c r="CK344" s="123"/>
      <c r="CL344" s="6"/>
      <c r="CM344" s="6"/>
      <c r="CN344" s="6"/>
      <c r="CO344" s="138"/>
      <c r="CP344" s="138"/>
      <c r="CQ344" s="123"/>
      <c r="CR344" s="6"/>
      <c r="CS344" s="6"/>
      <c r="CT344" s="139"/>
      <c r="CU344" s="139"/>
      <c r="CV344" s="76"/>
      <c r="CW344" s="123"/>
      <c r="CX344" s="6"/>
      <c r="DI344" s="125"/>
      <c r="DJ344" s="16"/>
      <c r="DM344" s="16"/>
      <c r="DN344" s="16"/>
      <c r="DO344" s="125"/>
      <c r="DP344" s="16"/>
      <c r="DQ344" s="125"/>
      <c r="DZ344" s="125"/>
      <c r="EA344" s="142"/>
      <c r="EB344" s="125"/>
      <c r="EC344" s="16"/>
      <c r="ED344" s="125"/>
      <c r="EE344" s="125"/>
      <c r="EF344" s="16"/>
      <c r="EG344" s="125"/>
      <c r="EQ344" s="125"/>
      <c r="ER344" s="16"/>
      <c r="ES344" s="123"/>
      <c r="ET344" s="19"/>
      <c r="EU344" s="139"/>
      <c r="EV344" s="139"/>
      <c r="EW344" s="123"/>
      <c r="EX344" s="123"/>
      <c r="EY344" s="123"/>
      <c r="EZ344" s="123"/>
      <c r="FA344" s="123"/>
      <c r="FB344" s="123"/>
      <c r="FC344" s="6"/>
      <c r="FD344" s="123"/>
      <c r="FE344" s="6"/>
      <c r="FF344" s="123"/>
      <c r="FG344" s="6"/>
      <c r="FH344" s="6"/>
      <c r="FI344" s="6"/>
      <c r="FJ344" s="6"/>
      <c r="FK344" s="123"/>
      <c r="FL344" s="6"/>
      <c r="FM344" s="6"/>
      <c r="FN344" s="6"/>
      <c r="FO344" s="138"/>
      <c r="FP344" s="138"/>
      <c r="FQ344" s="123"/>
      <c r="FR344" s="6"/>
      <c r="FS344" s="6"/>
      <c r="FT344" s="139"/>
      <c r="FU344" s="139"/>
      <c r="FV344" s="76"/>
      <c r="FW344" s="123"/>
      <c r="FX344" s="6"/>
    </row>
    <row r="345" spans="35:180">
      <c r="AI345" s="125"/>
      <c r="AJ345" s="16"/>
      <c r="AM345" s="16"/>
      <c r="AN345" s="16"/>
      <c r="AO345" s="125"/>
      <c r="AP345" s="16"/>
      <c r="AQ345" s="125"/>
      <c r="AZ345" s="125"/>
      <c r="BA345" s="142"/>
      <c r="BB345" s="125"/>
      <c r="BC345" s="16"/>
      <c r="BD345" s="125"/>
      <c r="BE345" s="125"/>
      <c r="BF345" s="16"/>
      <c r="BG345" s="125"/>
      <c r="BQ345" s="125"/>
      <c r="BR345" s="16"/>
      <c r="BS345" s="123"/>
      <c r="BT345" s="19"/>
      <c r="BU345" s="139"/>
      <c r="BV345" s="139"/>
      <c r="BW345" s="123"/>
      <c r="BX345" s="123"/>
      <c r="BY345" s="123"/>
      <c r="BZ345" s="123"/>
      <c r="CA345" s="123"/>
      <c r="CB345" s="123"/>
      <c r="CC345" s="6"/>
      <c r="CD345" s="123"/>
      <c r="CE345" s="6"/>
      <c r="CF345" s="123"/>
      <c r="CG345" s="6"/>
      <c r="CH345" s="6"/>
      <c r="CI345" s="6"/>
      <c r="CJ345" s="6"/>
      <c r="CK345" s="123"/>
      <c r="CL345" s="6"/>
      <c r="CM345" s="6"/>
      <c r="CN345" s="6"/>
      <c r="CO345" s="138"/>
      <c r="CP345" s="138"/>
      <c r="CQ345" s="123"/>
      <c r="CR345" s="6"/>
      <c r="CS345" s="6"/>
      <c r="CT345" s="139"/>
      <c r="CU345" s="139"/>
      <c r="CV345" s="76"/>
      <c r="CW345" s="123"/>
      <c r="CX345" s="6"/>
      <c r="DI345" s="125"/>
      <c r="DJ345" s="16"/>
      <c r="DM345" s="16"/>
      <c r="DN345" s="16"/>
      <c r="DO345" s="125"/>
      <c r="DP345" s="16"/>
      <c r="DQ345" s="125"/>
      <c r="DZ345" s="125"/>
      <c r="EA345" s="142"/>
      <c r="EB345" s="125"/>
      <c r="EC345" s="16"/>
      <c r="ED345" s="125"/>
      <c r="EE345" s="125"/>
      <c r="EF345" s="16"/>
      <c r="EG345" s="125"/>
      <c r="EQ345" s="125"/>
      <c r="ER345" s="16"/>
      <c r="ES345" s="123"/>
      <c r="ET345" s="19"/>
      <c r="EU345" s="139"/>
      <c r="EV345" s="139"/>
      <c r="EW345" s="123"/>
      <c r="EX345" s="123"/>
      <c r="EY345" s="123"/>
      <c r="EZ345" s="123"/>
      <c r="FA345" s="123"/>
      <c r="FB345" s="123"/>
      <c r="FC345" s="6"/>
      <c r="FD345" s="123"/>
      <c r="FE345" s="6"/>
      <c r="FF345" s="123"/>
      <c r="FG345" s="6"/>
      <c r="FH345" s="6"/>
      <c r="FI345" s="6"/>
      <c r="FJ345" s="6"/>
      <c r="FK345" s="123"/>
      <c r="FL345" s="6"/>
      <c r="FM345" s="6"/>
      <c r="FN345" s="6"/>
      <c r="FO345" s="138"/>
      <c r="FP345" s="138"/>
      <c r="FQ345" s="123"/>
      <c r="FR345" s="6"/>
      <c r="FS345" s="6"/>
      <c r="FT345" s="139"/>
      <c r="FU345" s="139"/>
      <c r="FV345" s="76"/>
      <c r="FW345" s="123"/>
      <c r="FX345" s="6"/>
    </row>
    <row r="346" spans="35:180">
      <c r="AI346" s="125"/>
      <c r="AJ346" s="16"/>
      <c r="AM346" s="16"/>
      <c r="AN346" s="16"/>
      <c r="AO346" s="125"/>
      <c r="AP346" s="16"/>
      <c r="AQ346" s="125"/>
      <c r="AZ346" s="125"/>
      <c r="BA346" s="142"/>
      <c r="BB346" s="125"/>
      <c r="BC346" s="16"/>
      <c r="BD346" s="125"/>
      <c r="BE346" s="125"/>
      <c r="BF346" s="16"/>
      <c r="BG346" s="125"/>
      <c r="BQ346" s="125"/>
      <c r="BR346" s="16"/>
      <c r="BS346" s="123"/>
      <c r="BT346" s="19"/>
      <c r="BU346" s="139"/>
      <c r="BV346" s="139"/>
      <c r="BW346" s="123"/>
      <c r="BX346" s="123"/>
      <c r="BY346" s="123"/>
      <c r="BZ346" s="123"/>
      <c r="CA346" s="123"/>
      <c r="CB346" s="123"/>
      <c r="CC346" s="6"/>
      <c r="CD346" s="123"/>
      <c r="CE346" s="6"/>
      <c r="CF346" s="123"/>
      <c r="CG346" s="6"/>
      <c r="CH346" s="6"/>
      <c r="CI346" s="6"/>
      <c r="CJ346" s="6"/>
      <c r="CK346" s="123"/>
      <c r="CL346" s="6"/>
      <c r="CM346" s="6"/>
      <c r="CN346" s="6"/>
      <c r="CO346" s="138"/>
      <c r="CP346" s="138"/>
      <c r="CQ346" s="123"/>
      <c r="CR346" s="6"/>
      <c r="CS346" s="6"/>
      <c r="CT346" s="139"/>
      <c r="CU346" s="139"/>
      <c r="CV346" s="76"/>
      <c r="CW346" s="123"/>
      <c r="CX346" s="6"/>
      <c r="DI346" s="125"/>
      <c r="DJ346" s="16"/>
      <c r="DM346" s="16"/>
      <c r="DN346" s="16"/>
      <c r="DO346" s="125"/>
      <c r="DP346" s="16"/>
      <c r="DQ346" s="125"/>
      <c r="DZ346" s="125"/>
      <c r="EA346" s="142"/>
      <c r="EB346" s="125"/>
      <c r="EC346" s="16"/>
      <c r="ED346" s="125"/>
      <c r="EE346" s="125"/>
      <c r="EF346" s="16"/>
      <c r="EG346" s="125"/>
      <c r="EQ346" s="125"/>
      <c r="ER346" s="16"/>
      <c r="ES346" s="123"/>
      <c r="ET346" s="19"/>
      <c r="EU346" s="139"/>
      <c r="EV346" s="139"/>
      <c r="EW346" s="123"/>
      <c r="EX346" s="123"/>
      <c r="EY346" s="123"/>
      <c r="EZ346" s="123"/>
      <c r="FA346" s="123"/>
      <c r="FB346" s="123"/>
      <c r="FC346" s="6"/>
      <c r="FD346" s="123"/>
      <c r="FE346" s="6"/>
      <c r="FF346" s="123"/>
      <c r="FG346" s="6"/>
      <c r="FH346" s="6"/>
      <c r="FI346" s="6"/>
      <c r="FJ346" s="6"/>
      <c r="FK346" s="123"/>
      <c r="FL346" s="6"/>
      <c r="FM346" s="6"/>
      <c r="FN346" s="6"/>
      <c r="FO346" s="138"/>
      <c r="FP346" s="138"/>
      <c r="FQ346" s="123"/>
      <c r="FR346" s="6"/>
      <c r="FS346" s="6"/>
      <c r="FT346" s="139"/>
      <c r="FU346" s="139"/>
      <c r="FV346" s="76"/>
      <c r="FW346" s="123"/>
      <c r="FX346" s="6"/>
    </row>
    <row r="347" spans="35:180">
      <c r="AI347" s="125"/>
      <c r="AJ347" s="16"/>
      <c r="AM347" s="16"/>
      <c r="AN347" s="16"/>
      <c r="AO347" s="125"/>
      <c r="AP347" s="16"/>
      <c r="AQ347" s="125"/>
      <c r="AZ347" s="125"/>
      <c r="BA347" s="142"/>
      <c r="BB347" s="125"/>
      <c r="BC347" s="16"/>
      <c r="BD347" s="125"/>
      <c r="BE347" s="125"/>
      <c r="BF347" s="16"/>
      <c r="BG347" s="125"/>
      <c r="BQ347" s="125"/>
      <c r="BR347" s="16"/>
      <c r="BS347" s="123"/>
      <c r="BT347" s="19"/>
      <c r="BU347" s="139"/>
      <c r="BV347" s="139"/>
      <c r="BW347" s="123"/>
      <c r="BX347" s="123"/>
      <c r="BY347" s="123"/>
      <c r="BZ347" s="123"/>
      <c r="CA347" s="123"/>
      <c r="CB347" s="123"/>
      <c r="CC347" s="6"/>
      <c r="CD347" s="123"/>
      <c r="CE347" s="6"/>
      <c r="CF347" s="123"/>
      <c r="CG347" s="6"/>
      <c r="CH347" s="6"/>
      <c r="CI347" s="6"/>
      <c r="CJ347" s="6"/>
      <c r="CK347" s="123"/>
      <c r="CL347" s="6"/>
      <c r="CM347" s="6"/>
      <c r="CN347" s="6"/>
      <c r="CO347" s="138"/>
      <c r="CP347" s="138"/>
      <c r="CQ347" s="123"/>
      <c r="CR347" s="6"/>
      <c r="CS347" s="6"/>
      <c r="CT347" s="139"/>
      <c r="CU347" s="139"/>
      <c r="CV347" s="76"/>
      <c r="CW347" s="123"/>
      <c r="CX347" s="6"/>
      <c r="DI347" s="125"/>
      <c r="DJ347" s="16"/>
      <c r="DM347" s="16"/>
      <c r="DN347" s="16"/>
      <c r="DO347" s="125"/>
      <c r="DP347" s="16"/>
      <c r="DQ347" s="125"/>
      <c r="DZ347" s="125"/>
      <c r="EA347" s="142"/>
      <c r="EB347" s="125"/>
      <c r="EC347" s="16"/>
      <c r="ED347" s="125"/>
      <c r="EE347" s="125"/>
      <c r="EF347" s="16"/>
      <c r="EG347" s="125"/>
      <c r="EQ347" s="125"/>
      <c r="ER347" s="16"/>
      <c r="ES347" s="123"/>
      <c r="ET347" s="19"/>
      <c r="EU347" s="139"/>
      <c r="EV347" s="139"/>
      <c r="EW347" s="123"/>
      <c r="EX347" s="123"/>
      <c r="EY347" s="123"/>
      <c r="EZ347" s="123"/>
      <c r="FA347" s="123"/>
      <c r="FB347" s="123"/>
      <c r="FC347" s="6"/>
      <c r="FD347" s="123"/>
      <c r="FE347" s="6"/>
      <c r="FF347" s="123"/>
      <c r="FG347" s="6"/>
      <c r="FH347" s="6"/>
      <c r="FI347" s="6"/>
      <c r="FJ347" s="6"/>
      <c r="FK347" s="123"/>
      <c r="FL347" s="6"/>
      <c r="FM347" s="6"/>
      <c r="FN347" s="6"/>
      <c r="FO347" s="138"/>
      <c r="FP347" s="138"/>
      <c r="FQ347" s="123"/>
      <c r="FR347" s="6"/>
      <c r="FS347" s="6"/>
      <c r="FT347" s="139"/>
      <c r="FU347" s="139"/>
      <c r="FV347" s="76"/>
      <c r="FW347" s="123"/>
      <c r="FX347" s="6"/>
    </row>
    <row r="348" spans="35:180">
      <c r="AI348" s="125"/>
      <c r="AJ348" s="16"/>
      <c r="AM348" s="16"/>
      <c r="AN348" s="16"/>
      <c r="AO348" s="125"/>
      <c r="AP348" s="16"/>
      <c r="AQ348" s="125"/>
      <c r="AZ348" s="125"/>
      <c r="BA348" s="142"/>
      <c r="BB348" s="125"/>
      <c r="BC348" s="16"/>
      <c r="BD348" s="125"/>
      <c r="BE348" s="125"/>
      <c r="BF348" s="16"/>
      <c r="BG348" s="125"/>
      <c r="BQ348" s="125"/>
      <c r="BR348" s="16"/>
      <c r="BS348" s="123"/>
      <c r="BT348" s="19"/>
      <c r="BU348" s="139"/>
      <c r="BV348" s="139"/>
      <c r="BW348" s="123"/>
      <c r="BX348" s="123"/>
      <c r="BY348" s="123"/>
      <c r="BZ348" s="123"/>
      <c r="CA348" s="123"/>
      <c r="CB348" s="123"/>
      <c r="CC348" s="6"/>
      <c r="CD348" s="123"/>
      <c r="CE348" s="6"/>
      <c r="CF348" s="123"/>
      <c r="CG348" s="6"/>
      <c r="CH348" s="6"/>
      <c r="CI348" s="6"/>
      <c r="CJ348" s="6"/>
      <c r="CK348" s="123"/>
      <c r="CL348" s="6"/>
      <c r="CM348" s="6"/>
      <c r="CN348" s="6"/>
      <c r="CO348" s="138"/>
      <c r="CP348" s="138"/>
      <c r="CQ348" s="123"/>
      <c r="CR348" s="6"/>
      <c r="CS348" s="6"/>
      <c r="CT348" s="139"/>
      <c r="CU348" s="139"/>
      <c r="CV348" s="76"/>
      <c r="CW348" s="123"/>
      <c r="CX348" s="6"/>
      <c r="DI348" s="125"/>
      <c r="DJ348" s="16"/>
      <c r="DM348" s="16"/>
      <c r="DN348" s="16"/>
      <c r="DO348" s="125"/>
      <c r="DP348" s="16"/>
      <c r="DQ348" s="125"/>
      <c r="DZ348" s="125"/>
      <c r="EA348" s="142"/>
      <c r="EB348" s="125"/>
      <c r="EC348" s="16"/>
      <c r="ED348" s="125"/>
      <c r="EE348" s="125"/>
      <c r="EF348" s="16"/>
      <c r="EG348" s="125"/>
      <c r="EQ348" s="125"/>
      <c r="ER348" s="16"/>
      <c r="ES348" s="123"/>
      <c r="ET348" s="19"/>
      <c r="EU348" s="139"/>
      <c r="EV348" s="139"/>
      <c r="EW348" s="123"/>
      <c r="EX348" s="123"/>
      <c r="EY348" s="123"/>
      <c r="EZ348" s="123"/>
      <c r="FA348" s="123"/>
      <c r="FB348" s="123"/>
      <c r="FC348" s="6"/>
      <c r="FD348" s="123"/>
      <c r="FE348" s="6"/>
      <c r="FF348" s="123"/>
      <c r="FG348" s="6"/>
      <c r="FH348" s="6"/>
      <c r="FI348" s="6"/>
      <c r="FJ348" s="6"/>
      <c r="FK348" s="123"/>
      <c r="FL348" s="6"/>
      <c r="FM348" s="6"/>
      <c r="FN348" s="6"/>
      <c r="FO348" s="138"/>
      <c r="FP348" s="138"/>
      <c r="FQ348" s="123"/>
      <c r="FR348" s="6"/>
      <c r="FS348" s="6"/>
      <c r="FT348" s="139"/>
      <c r="FU348" s="139"/>
      <c r="FV348" s="76"/>
      <c r="FW348" s="123"/>
      <c r="FX348" s="6"/>
    </row>
    <row r="349" spans="35:180">
      <c r="AI349" s="125"/>
      <c r="AJ349" s="16"/>
      <c r="AM349" s="16"/>
      <c r="AN349" s="16"/>
      <c r="AO349" s="125"/>
      <c r="AP349" s="16"/>
      <c r="AQ349" s="125"/>
      <c r="AZ349" s="125"/>
      <c r="BA349" s="142"/>
      <c r="BB349" s="125"/>
      <c r="BC349" s="16"/>
      <c r="BD349" s="125"/>
      <c r="BE349" s="125"/>
      <c r="BF349" s="16"/>
      <c r="BG349" s="125"/>
      <c r="BQ349" s="125"/>
      <c r="BR349" s="16"/>
      <c r="BS349" s="123"/>
      <c r="BT349" s="19"/>
      <c r="BU349" s="139"/>
      <c r="BV349" s="139"/>
      <c r="BW349" s="123"/>
      <c r="BX349" s="123"/>
      <c r="BY349" s="123"/>
      <c r="BZ349" s="123"/>
      <c r="CA349" s="123"/>
      <c r="CB349" s="123"/>
      <c r="CC349" s="6"/>
      <c r="CD349" s="123"/>
      <c r="CE349" s="6"/>
      <c r="CF349" s="123"/>
      <c r="CG349" s="6"/>
      <c r="CH349" s="6"/>
      <c r="CI349" s="6"/>
      <c r="CJ349" s="6"/>
      <c r="CK349" s="123"/>
      <c r="CL349" s="6"/>
      <c r="CM349" s="6"/>
      <c r="CN349" s="6"/>
      <c r="CO349" s="138"/>
      <c r="CP349" s="138"/>
      <c r="CQ349" s="123"/>
      <c r="CR349" s="6"/>
      <c r="CS349" s="6"/>
      <c r="CT349" s="139"/>
      <c r="CU349" s="139"/>
      <c r="CV349" s="76"/>
      <c r="CW349" s="123"/>
      <c r="CX349" s="6"/>
      <c r="DI349" s="125"/>
      <c r="DJ349" s="16"/>
      <c r="DM349" s="16"/>
      <c r="DN349" s="16"/>
      <c r="DO349" s="125"/>
      <c r="DP349" s="16"/>
      <c r="DQ349" s="125"/>
      <c r="DZ349" s="125"/>
      <c r="EA349" s="142"/>
      <c r="EB349" s="125"/>
      <c r="EC349" s="16"/>
      <c r="ED349" s="125"/>
      <c r="EE349" s="125"/>
      <c r="EF349" s="16"/>
      <c r="EG349" s="125"/>
      <c r="EQ349" s="125"/>
      <c r="ER349" s="16"/>
      <c r="ES349" s="123"/>
      <c r="ET349" s="19"/>
      <c r="EU349" s="139"/>
      <c r="EV349" s="139"/>
      <c r="EW349" s="123"/>
      <c r="EX349" s="123"/>
      <c r="EY349" s="123"/>
      <c r="EZ349" s="123"/>
      <c r="FA349" s="123"/>
      <c r="FB349" s="123"/>
      <c r="FC349" s="6"/>
      <c r="FD349" s="123"/>
      <c r="FE349" s="6"/>
      <c r="FF349" s="123"/>
      <c r="FG349" s="6"/>
      <c r="FH349" s="6"/>
      <c r="FI349" s="6"/>
      <c r="FJ349" s="6"/>
      <c r="FK349" s="123"/>
      <c r="FL349" s="6"/>
      <c r="FM349" s="6"/>
      <c r="FN349" s="6"/>
      <c r="FO349" s="138"/>
      <c r="FP349" s="138"/>
      <c r="FQ349" s="123"/>
      <c r="FR349" s="6"/>
      <c r="FS349" s="6"/>
      <c r="FT349" s="139"/>
      <c r="FU349" s="139"/>
      <c r="FV349" s="76"/>
      <c r="FW349" s="123"/>
      <c r="FX349" s="6"/>
    </row>
    <row r="350" spans="35:180">
      <c r="AI350" s="125"/>
      <c r="AJ350" s="16"/>
      <c r="AM350" s="16"/>
      <c r="AN350" s="16"/>
      <c r="AO350" s="125"/>
      <c r="AP350" s="16"/>
      <c r="AQ350" s="125"/>
      <c r="AZ350" s="125"/>
      <c r="BA350" s="142"/>
      <c r="BB350" s="125"/>
      <c r="BC350" s="16"/>
      <c r="BD350" s="125"/>
      <c r="BE350" s="125"/>
      <c r="BF350" s="16"/>
      <c r="BG350" s="125"/>
      <c r="BQ350" s="125"/>
      <c r="BR350" s="16"/>
      <c r="BS350" s="123"/>
      <c r="BT350" s="19"/>
      <c r="BU350" s="139"/>
      <c r="BV350" s="139"/>
      <c r="BW350" s="123"/>
      <c r="BX350" s="123"/>
      <c r="BY350" s="123"/>
      <c r="BZ350" s="123"/>
      <c r="CA350" s="123"/>
      <c r="CB350" s="123"/>
      <c r="CC350" s="6"/>
      <c r="CD350" s="123"/>
      <c r="CE350" s="6"/>
      <c r="CF350" s="123"/>
      <c r="CG350" s="6"/>
      <c r="CH350" s="6"/>
      <c r="CI350" s="6"/>
      <c r="CJ350" s="6"/>
      <c r="CK350" s="123"/>
      <c r="CL350" s="6"/>
      <c r="CM350" s="6"/>
      <c r="CN350" s="6"/>
      <c r="CO350" s="138"/>
      <c r="CP350" s="138"/>
      <c r="CQ350" s="123"/>
      <c r="CR350" s="6"/>
      <c r="CS350" s="6"/>
      <c r="CT350" s="139"/>
      <c r="CU350" s="139"/>
      <c r="CV350" s="76"/>
      <c r="CW350" s="123"/>
      <c r="CX350" s="6"/>
      <c r="DI350" s="125"/>
      <c r="DJ350" s="16"/>
      <c r="DM350" s="16"/>
      <c r="DN350" s="16"/>
      <c r="DO350" s="125"/>
      <c r="DP350" s="16"/>
      <c r="DQ350" s="125"/>
      <c r="DZ350" s="125"/>
      <c r="EA350" s="142"/>
      <c r="EB350" s="125"/>
      <c r="EC350" s="16"/>
      <c r="ED350" s="125"/>
      <c r="EE350" s="125"/>
      <c r="EF350" s="16"/>
      <c r="EG350" s="125"/>
      <c r="EQ350" s="125"/>
      <c r="ER350" s="16"/>
      <c r="ES350" s="123"/>
      <c r="ET350" s="19"/>
      <c r="EU350" s="139"/>
      <c r="EV350" s="139"/>
      <c r="EW350" s="123"/>
      <c r="EX350" s="123"/>
      <c r="EY350" s="123"/>
      <c r="EZ350" s="123"/>
      <c r="FA350" s="123"/>
      <c r="FB350" s="123"/>
      <c r="FC350" s="6"/>
      <c r="FD350" s="123"/>
      <c r="FE350" s="6"/>
      <c r="FF350" s="123"/>
      <c r="FG350" s="6"/>
      <c r="FH350" s="6"/>
      <c r="FI350" s="6"/>
      <c r="FJ350" s="6"/>
      <c r="FK350" s="123"/>
      <c r="FL350" s="6"/>
      <c r="FM350" s="6"/>
      <c r="FN350" s="6"/>
      <c r="FO350" s="138"/>
      <c r="FP350" s="138"/>
      <c r="FQ350" s="123"/>
      <c r="FR350" s="6"/>
      <c r="FS350" s="6"/>
      <c r="FT350" s="139"/>
      <c r="FU350" s="139"/>
      <c r="FV350" s="76"/>
      <c r="FW350" s="123"/>
      <c r="FX350" s="6"/>
    </row>
    <row r="351" spans="35:180">
      <c r="AI351" s="125"/>
      <c r="AJ351" s="16"/>
      <c r="AM351" s="16"/>
      <c r="AN351" s="16"/>
      <c r="AO351" s="125"/>
      <c r="AP351" s="16"/>
      <c r="AQ351" s="125"/>
      <c r="AZ351" s="125"/>
      <c r="BA351" s="142"/>
      <c r="BB351" s="125"/>
      <c r="BC351" s="16"/>
      <c r="BD351" s="125"/>
      <c r="BE351" s="125"/>
      <c r="BF351" s="16"/>
      <c r="BG351" s="125"/>
      <c r="BQ351" s="125"/>
      <c r="BR351" s="16"/>
      <c r="BS351" s="123"/>
      <c r="BT351" s="19"/>
      <c r="BU351" s="139"/>
      <c r="BV351" s="139"/>
      <c r="BW351" s="123"/>
      <c r="BX351" s="123"/>
      <c r="BY351" s="123"/>
      <c r="BZ351" s="123"/>
      <c r="CA351" s="123"/>
      <c r="CB351" s="123"/>
      <c r="CC351" s="6"/>
      <c r="CD351" s="123"/>
      <c r="CE351" s="6"/>
      <c r="CF351" s="123"/>
      <c r="CG351" s="6"/>
      <c r="CH351" s="6"/>
      <c r="CI351" s="6"/>
      <c r="CJ351" s="6"/>
      <c r="CK351" s="123"/>
      <c r="CL351" s="6"/>
      <c r="CM351" s="6"/>
      <c r="CN351" s="6"/>
      <c r="CO351" s="138"/>
      <c r="CP351" s="138"/>
      <c r="CQ351" s="123"/>
      <c r="CR351" s="6"/>
      <c r="CS351" s="6"/>
      <c r="CT351" s="139"/>
      <c r="CU351" s="139"/>
      <c r="CV351" s="76"/>
      <c r="CW351" s="123"/>
      <c r="CX351" s="6"/>
      <c r="DI351" s="125"/>
      <c r="DJ351" s="16"/>
      <c r="DM351" s="16"/>
      <c r="DN351" s="16"/>
      <c r="DO351" s="125"/>
      <c r="DP351" s="16"/>
      <c r="DQ351" s="125"/>
      <c r="DZ351" s="125"/>
      <c r="EA351" s="142"/>
      <c r="EB351" s="125"/>
      <c r="EC351" s="16"/>
      <c r="ED351" s="125"/>
      <c r="EE351" s="125"/>
      <c r="EF351" s="16"/>
      <c r="EG351" s="125"/>
      <c r="EQ351" s="125"/>
      <c r="ER351" s="16"/>
      <c r="ES351" s="123"/>
      <c r="ET351" s="19"/>
      <c r="EU351" s="139"/>
      <c r="EV351" s="139"/>
      <c r="EW351" s="123"/>
      <c r="EX351" s="123"/>
      <c r="EY351" s="123"/>
      <c r="EZ351" s="123"/>
      <c r="FA351" s="123"/>
      <c r="FB351" s="123"/>
      <c r="FC351" s="6"/>
      <c r="FD351" s="123"/>
      <c r="FE351" s="6"/>
      <c r="FF351" s="123"/>
      <c r="FG351" s="6"/>
      <c r="FH351" s="6"/>
      <c r="FI351" s="6"/>
      <c r="FJ351" s="6"/>
      <c r="FK351" s="123"/>
      <c r="FL351" s="6"/>
      <c r="FM351" s="6"/>
      <c r="FN351" s="6"/>
      <c r="FO351" s="138"/>
      <c r="FP351" s="138"/>
      <c r="FQ351" s="123"/>
      <c r="FR351" s="6"/>
      <c r="FS351" s="6"/>
      <c r="FT351" s="139"/>
      <c r="FU351" s="139"/>
      <c r="FV351" s="76"/>
      <c r="FW351" s="123"/>
      <c r="FX351" s="6"/>
    </row>
    <row r="352" spans="35:180">
      <c r="AI352" s="125"/>
      <c r="AJ352" s="16"/>
      <c r="AM352" s="16"/>
      <c r="AN352" s="16"/>
      <c r="AO352" s="125"/>
      <c r="AP352" s="16"/>
      <c r="AQ352" s="125"/>
      <c r="AZ352" s="125"/>
      <c r="BA352" s="142"/>
      <c r="BB352" s="125"/>
      <c r="BC352" s="16"/>
      <c r="BD352" s="125"/>
      <c r="BE352" s="125"/>
      <c r="BF352" s="16"/>
      <c r="BG352" s="125"/>
      <c r="BQ352" s="125"/>
      <c r="BR352" s="16"/>
      <c r="BS352" s="123"/>
      <c r="BT352" s="19"/>
      <c r="BU352" s="139"/>
      <c r="BV352" s="139"/>
      <c r="BW352" s="123"/>
      <c r="BX352" s="123"/>
      <c r="BY352" s="123"/>
      <c r="BZ352" s="123"/>
      <c r="CA352" s="123"/>
      <c r="CB352" s="123"/>
      <c r="CC352" s="6"/>
      <c r="CD352" s="123"/>
      <c r="CE352" s="6"/>
      <c r="CF352" s="123"/>
      <c r="CG352" s="6"/>
      <c r="CH352" s="6"/>
      <c r="CI352" s="6"/>
      <c r="CJ352" s="6"/>
      <c r="CK352" s="123"/>
      <c r="CL352" s="6"/>
      <c r="CM352" s="6"/>
      <c r="CN352" s="6"/>
      <c r="CO352" s="138"/>
      <c r="CP352" s="138"/>
      <c r="CQ352" s="123"/>
      <c r="CR352" s="6"/>
      <c r="CS352" s="6"/>
      <c r="CT352" s="139"/>
      <c r="CU352" s="139"/>
      <c r="CV352" s="76"/>
      <c r="CW352" s="123"/>
      <c r="CX352" s="6"/>
      <c r="DI352" s="125"/>
      <c r="DJ352" s="16"/>
      <c r="DM352" s="16"/>
      <c r="DN352" s="16"/>
      <c r="DO352" s="125"/>
      <c r="DP352" s="16"/>
      <c r="DQ352" s="125"/>
      <c r="DZ352" s="125"/>
      <c r="EA352" s="142"/>
      <c r="EB352" s="125"/>
      <c r="EC352" s="16"/>
      <c r="ED352" s="125"/>
      <c r="EE352" s="125"/>
      <c r="EF352" s="16"/>
      <c r="EG352" s="125"/>
      <c r="EQ352" s="125"/>
      <c r="ER352" s="16"/>
      <c r="ES352" s="123"/>
      <c r="ET352" s="19"/>
      <c r="EU352" s="139"/>
      <c r="EV352" s="139"/>
      <c r="EW352" s="123"/>
      <c r="EX352" s="123"/>
      <c r="EY352" s="123"/>
      <c r="EZ352" s="123"/>
      <c r="FA352" s="123"/>
      <c r="FB352" s="123"/>
      <c r="FC352" s="6"/>
      <c r="FD352" s="123"/>
      <c r="FE352" s="6"/>
      <c r="FF352" s="123"/>
      <c r="FG352" s="6"/>
      <c r="FH352" s="6"/>
      <c r="FI352" s="6"/>
      <c r="FJ352" s="6"/>
      <c r="FK352" s="123"/>
      <c r="FL352" s="6"/>
      <c r="FM352" s="6"/>
      <c r="FN352" s="6"/>
      <c r="FO352" s="138"/>
      <c r="FP352" s="138"/>
      <c r="FQ352" s="123"/>
      <c r="FR352" s="6"/>
      <c r="FS352" s="6"/>
      <c r="FT352" s="139"/>
      <c r="FU352" s="139"/>
      <c r="FV352" s="76"/>
      <c r="FW352" s="123"/>
      <c r="FX352" s="6"/>
    </row>
    <row r="353" spans="35:180">
      <c r="AI353" s="125"/>
      <c r="AJ353" s="16"/>
      <c r="AM353" s="16"/>
      <c r="AN353" s="16"/>
      <c r="AO353" s="125"/>
      <c r="AP353" s="16"/>
      <c r="AQ353" s="125"/>
      <c r="AZ353" s="125"/>
      <c r="BA353" s="142"/>
      <c r="BB353" s="125"/>
      <c r="BC353" s="16"/>
      <c r="BD353" s="125"/>
      <c r="BE353" s="125"/>
      <c r="BF353" s="16"/>
      <c r="BG353" s="125"/>
      <c r="BQ353" s="125"/>
      <c r="BR353" s="16"/>
      <c r="BS353" s="123"/>
      <c r="BT353" s="19"/>
      <c r="BU353" s="139"/>
      <c r="BV353" s="139"/>
      <c r="BW353" s="123"/>
      <c r="BX353" s="123"/>
      <c r="BY353" s="123"/>
      <c r="BZ353" s="123"/>
      <c r="CA353" s="123"/>
      <c r="CB353" s="123"/>
      <c r="CC353" s="6"/>
      <c r="CD353" s="123"/>
      <c r="CE353" s="6"/>
      <c r="CF353" s="123"/>
      <c r="CG353" s="6"/>
      <c r="CH353" s="6"/>
      <c r="CI353" s="6"/>
      <c r="CJ353" s="6"/>
      <c r="CK353" s="123"/>
      <c r="CL353" s="6"/>
      <c r="CM353" s="6"/>
      <c r="CN353" s="6"/>
      <c r="CO353" s="138"/>
      <c r="CP353" s="138"/>
      <c r="CQ353" s="123"/>
      <c r="CR353" s="6"/>
      <c r="CS353" s="6"/>
      <c r="CT353" s="139"/>
      <c r="CU353" s="139"/>
      <c r="CV353" s="76"/>
      <c r="CW353" s="123"/>
      <c r="CX353" s="6"/>
      <c r="DI353" s="125"/>
      <c r="DJ353" s="16"/>
      <c r="DM353" s="16"/>
      <c r="DN353" s="16"/>
      <c r="DO353" s="125"/>
      <c r="DP353" s="16"/>
      <c r="DQ353" s="125"/>
      <c r="DZ353" s="125"/>
      <c r="EA353" s="142"/>
      <c r="EB353" s="125"/>
      <c r="EC353" s="16"/>
      <c r="ED353" s="125"/>
      <c r="EE353" s="125"/>
      <c r="EF353" s="16"/>
      <c r="EG353" s="125"/>
      <c r="EQ353" s="125"/>
      <c r="ER353" s="16"/>
      <c r="ES353" s="123"/>
      <c r="ET353" s="19"/>
      <c r="EU353" s="139"/>
      <c r="EV353" s="139"/>
      <c r="EW353" s="123"/>
      <c r="EX353" s="123"/>
      <c r="EY353" s="123"/>
      <c r="EZ353" s="123"/>
      <c r="FA353" s="123"/>
      <c r="FB353" s="123"/>
      <c r="FC353" s="6"/>
      <c r="FD353" s="123"/>
      <c r="FE353" s="6"/>
      <c r="FF353" s="123"/>
      <c r="FG353" s="6"/>
      <c r="FH353" s="6"/>
      <c r="FI353" s="6"/>
      <c r="FJ353" s="6"/>
      <c r="FK353" s="123"/>
      <c r="FL353" s="6"/>
      <c r="FM353" s="6"/>
      <c r="FN353" s="6"/>
      <c r="FO353" s="138"/>
      <c r="FP353" s="138"/>
      <c r="FQ353" s="123"/>
      <c r="FR353" s="6"/>
      <c r="FS353" s="6"/>
      <c r="FT353" s="139"/>
      <c r="FU353" s="139"/>
      <c r="FV353" s="76"/>
      <c r="FW353" s="123"/>
      <c r="FX353" s="6"/>
    </row>
    <row r="354" spans="35:180">
      <c r="AI354" s="125"/>
      <c r="AJ354" s="16"/>
      <c r="AM354" s="16"/>
      <c r="AN354" s="16"/>
      <c r="AO354" s="125"/>
      <c r="AP354" s="16"/>
      <c r="AQ354" s="125"/>
      <c r="AZ354" s="125"/>
      <c r="BA354" s="142"/>
      <c r="BB354" s="125"/>
      <c r="BC354" s="16"/>
      <c r="BD354" s="125"/>
      <c r="BE354" s="125"/>
      <c r="BF354" s="16"/>
      <c r="BG354" s="125"/>
      <c r="BQ354" s="125"/>
      <c r="BR354" s="16"/>
      <c r="BS354" s="123"/>
      <c r="BT354" s="19"/>
      <c r="BU354" s="139"/>
      <c r="BV354" s="139"/>
      <c r="BW354" s="123"/>
      <c r="BX354" s="123"/>
      <c r="BY354" s="123"/>
      <c r="BZ354" s="123"/>
      <c r="CA354" s="123"/>
      <c r="CB354" s="123"/>
      <c r="CC354" s="6"/>
      <c r="CD354" s="123"/>
      <c r="CE354" s="6"/>
      <c r="CF354" s="123"/>
      <c r="CG354" s="6"/>
      <c r="CH354" s="6"/>
      <c r="CI354" s="6"/>
      <c r="CJ354" s="6"/>
      <c r="CK354" s="123"/>
      <c r="CL354" s="6"/>
      <c r="CM354" s="6"/>
      <c r="CN354" s="6"/>
      <c r="CO354" s="138"/>
      <c r="CP354" s="138"/>
      <c r="CQ354" s="123"/>
      <c r="CR354" s="6"/>
      <c r="CS354" s="6"/>
      <c r="CT354" s="139"/>
      <c r="CU354" s="139"/>
      <c r="CV354" s="76"/>
      <c r="CW354" s="123"/>
      <c r="CX354" s="6"/>
      <c r="DI354" s="125"/>
      <c r="DJ354" s="16"/>
      <c r="DM354" s="16"/>
      <c r="DN354" s="16"/>
      <c r="DO354" s="125"/>
      <c r="DP354" s="16"/>
      <c r="DQ354" s="125"/>
      <c r="DZ354" s="125"/>
      <c r="EA354" s="142"/>
      <c r="EB354" s="125"/>
      <c r="EC354" s="16"/>
      <c r="ED354" s="125"/>
      <c r="EE354" s="125"/>
      <c r="EF354" s="16"/>
      <c r="EG354" s="125"/>
      <c r="EQ354" s="125"/>
      <c r="ER354" s="16"/>
      <c r="ES354" s="123"/>
      <c r="ET354" s="19"/>
      <c r="EU354" s="139"/>
      <c r="EV354" s="139"/>
      <c r="EW354" s="123"/>
      <c r="EX354" s="123"/>
      <c r="EY354" s="123"/>
      <c r="EZ354" s="123"/>
      <c r="FA354" s="123"/>
      <c r="FB354" s="123"/>
      <c r="FC354" s="6"/>
      <c r="FD354" s="123"/>
      <c r="FE354" s="6"/>
      <c r="FF354" s="123"/>
      <c r="FG354" s="6"/>
      <c r="FH354" s="6"/>
      <c r="FI354" s="6"/>
      <c r="FJ354" s="6"/>
      <c r="FK354" s="123"/>
      <c r="FL354" s="6"/>
      <c r="FM354" s="6"/>
      <c r="FN354" s="6"/>
      <c r="FO354" s="138"/>
      <c r="FP354" s="138"/>
      <c r="FQ354" s="123"/>
      <c r="FR354" s="6"/>
      <c r="FS354" s="6"/>
      <c r="FT354" s="139"/>
      <c r="FU354" s="139"/>
      <c r="FV354" s="76"/>
      <c r="FW354" s="123"/>
      <c r="FX354" s="6"/>
    </row>
    <row r="355" spans="35:180">
      <c r="AI355" s="125"/>
      <c r="AJ355" s="16"/>
      <c r="AM355" s="16"/>
      <c r="AN355" s="16"/>
      <c r="AO355" s="125"/>
      <c r="AP355" s="16"/>
      <c r="AQ355" s="125"/>
      <c r="AZ355" s="125"/>
      <c r="BA355" s="142"/>
      <c r="BB355" s="125"/>
      <c r="BC355" s="16"/>
      <c r="BD355" s="125"/>
      <c r="BE355" s="125"/>
      <c r="BF355" s="16"/>
      <c r="BG355" s="125"/>
      <c r="BQ355" s="125"/>
      <c r="BR355" s="16"/>
      <c r="BS355" s="123"/>
      <c r="BT355" s="19"/>
      <c r="BU355" s="139"/>
      <c r="BV355" s="139"/>
      <c r="BW355" s="123"/>
      <c r="BX355" s="123"/>
      <c r="BY355" s="123"/>
      <c r="BZ355" s="123"/>
      <c r="CA355" s="123"/>
      <c r="CB355" s="123"/>
      <c r="CC355" s="6"/>
      <c r="CD355" s="123"/>
      <c r="CE355" s="6"/>
      <c r="CF355" s="123"/>
      <c r="CG355" s="6"/>
      <c r="CH355" s="6"/>
      <c r="CI355" s="6"/>
      <c r="CJ355" s="6"/>
      <c r="CK355" s="123"/>
      <c r="CL355" s="6"/>
      <c r="CM355" s="6"/>
      <c r="CN355" s="6"/>
      <c r="CO355" s="138"/>
      <c r="CP355" s="138"/>
      <c r="CQ355" s="123"/>
      <c r="CR355" s="6"/>
      <c r="CS355" s="6"/>
      <c r="CT355" s="139"/>
      <c r="CU355" s="139"/>
      <c r="CV355" s="76"/>
      <c r="CW355" s="123"/>
      <c r="CX355" s="6"/>
      <c r="DI355" s="125"/>
      <c r="DJ355" s="16"/>
      <c r="DM355" s="16"/>
      <c r="DN355" s="16"/>
      <c r="DO355" s="125"/>
      <c r="DP355" s="16"/>
      <c r="DQ355" s="125"/>
      <c r="DZ355" s="125"/>
      <c r="EA355" s="142"/>
      <c r="EB355" s="125"/>
      <c r="EC355" s="16"/>
      <c r="ED355" s="125"/>
      <c r="EE355" s="125"/>
      <c r="EF355" s="16"/>
      <c r="EG355" s="125"/>
      <c r="EQ355" s="125"/>
      <c r="ER355" s="16"/>
      <c r="ES355" s="123"/>
      <c r="ET355" s="19"/>
      <c r="EU355" s="139"/>
      <c r="EV355" s="139"/>
      <c r="EW355" s="123"/>
      <c r="EX355" s="123"/>
      <c r="EY355" s="123"/>
      <c r="EZ355" s="123"/>
      <c r="FA355" s="123"/>
      <c r="FB355" s="123"/>
      <c r="FC355" s="6"/>
      <c r="FD355" s="123"/>
      <c r="FE355" s="6"/>
      <c r="FF355" s="123"/>
      <c r="FG355" s="6"/>
      <c r="FH355" s="6"/>
      <c r="FI355" s="6"/>
      <c r="FJ355" s="6"/>
      <c r="FK355" s="123"/>
      <c r="FL355" s="6"/>
      <c r="FM355" s="6"/>
      <c r="FN355" s="6"/>
      <c r="FO355" s="138"/>
      <c r="FP355" s="138"/>
      <c r="FQ355" s="123"/>
      <c r="FR355" s="6"/>
      <c r="FS355" s="6"/>
      <c r="FT355" s="139"/>
      <c r="FU355" s="139"/>
      <c r="FV355" s="76"/>
      <c r="FW355" s="123"/>
      <c r="FX355" s="6"/>
    </row>
    <row r="356" spans="35:180">
      <c r="AI356" s="125"/>
      <c r="AJ356" s="16"/>
      <c r="AM356" s="16"/>
      <c r="AN356" s="16"/>
      <c r="AO356" s="125"/>
      <c r="AP356" s="16"/>
      <c r="AQ356" s="125"/>
      <c r="AZ356" s="125"/>
      <c r="BA356" s="142"/>
      <c r="BB356" s="125"/>
      <c r="BC356" s="16"/>
      <c r="BD356" s="125"/>
      <c r="BE356" s="125"/>
      <c r="BF356" s="16"/>
      <c r="BG356" s="125"/>
      <c r="BQ356" s="125"/>
      <c r="BR356" s="16"/>
      <c r="BS356" s="123"/>
      <c r="BT356" s="19"/>
      <c r="BU356" s="139"/>
      <c r="BV356" s="139"/>
      <c r="BW356" s="123"/>
      <c r="BX356" s="123"/>
      <c r="BY356" s="123"/>
      <c r="BZ356" s="123"/>
      <c r="CA356" s="123"/>
      <c r="CB356" s="123"/>
      <c r="CC356" s="6"/>
      <c r="CD356" s="123"/>
      <c r="CE356" s="6"/>
      <c r="CF356" s="123"/>
      <c r="CG356" s="6"/>
      <c r="CH356" s="6"/>
      <c r="CI356" s="6"/>
      <c r="CJ356" s="6"/>
      <c r="CK356" s="123"/>
      <c r="CL356" s="6"/>
      <c r="CM356" s="6"/>
      <c r="CN356" s="6"/>
      <c r="CO356" s="138"/>
      <c r="CP356" s="138"/>
      <c r="CQ356" s="123"/>
      <c r="CR356" s="6"/>
      <c r="CS356" s="6"/>
      <c r="CT356" s="139"/>
      <c r="CU356" s="139"/>
      <c r="CV356" s="76"/>
      <c r="CW356" s="123"/>
      <c r="CX356" s="6"/>
      <c r="DI356" s="125"/>
      <c r="DJ356" s="16"/>
      <c r="DM356" s="16"/>
      <c r="DN356" s="16"/>
      <c r="DO356" s="125"/>
      <c r="DP356" s="16"/>
      <c r="DQ356" s="125"/>
      <c r="DZ356" s="125"/>
      <c r="EA356" s="142"/>
      <c r="EB356" s="125"/>
      <c r="EC356" s="16"/>
      <c r="ED356" s="125"/>
      <c r="EE356" s="125"/>
      <c r="EF356" s="16"/>
      <c r="EG356" s="125"/>
      <c r="EQ356" s="125"/>
      <c r="ER356" s="16"/>
      <c r="ES356" s="123"/>
      <c r="ET356" s="19"/>
      <c r="EU356" s="139"/>
      <c r="EV356" s="139"/>
      <c r="EW356" s="123"/>
      <c r="EX356" s="123"/>
      <c r="EY356" s="123"/>
      <c r="EZ356" s="123"/>
      <c r="FA356" s="123"/>
      <c r="FB356" s="123"/>
      <c r="FC356" s="6"/>
      <c r="FD356" s="123"/>
      <c r="FE356" s="6"/>
      <c r="FF356" s="123"/>
      <c r="FG356" s="6"/>
      <c r="FH356" s="6"/>
      <c r="FI356" s="6"/>
      <c r="FJ356" s="6"/>
      <c r="FK356" s="123"/>
      <c r="FL356" s="6"/>
      <c r="FM356" s="6"/>
      <c r="FN356" s="6"/>
      <c r="FO356" s="138"/>
      <c r="FP356" s="138"/>
      <c r="FQ356" s="123"/>
      <c r="FR356" s="6"/>
      <c r="FS356" s="6"/>
      <c r="FT356" s="139"/>
      <c r="FU356" s="139"/>
      <c r="FV356" s="76"/>
      <c r="FW356" s="123"/>
      <c r="FX356" s="6"/>
    </row>
    <row r="357" spans="35:180">
      <c r="AI357" s="125"/>
      <c r="AJ357" s="16"/>
      <c r="AM357" s="16"/>
      <c r="AN357" s="16"/>
      <c r="AO357" s="125"/>
      <c r="AP357" s="16"/>
      <c r="AQ357" s="125"/>
      <c r="AZ357" s="125"/>
      <c r="BA357" s="142"/>
      <c r="BB357" s="125"/>
      <c r="BC357" s="16"/>
      <c r="BD357" s="125"/>
      <c r="BE357" s="125"/>
      <c r="BF357" s="16"/>
      <c r="BG357" s="125"/>
      <c r="BQ357" s="125"/>
      <c r="BR357" s="16"/>
      <c r="BS357" s="123"/>
      <c r="BT357" s="19"/>
      <c r="BU357" s="139"/>
      <c r="BV357" s="139"/>
      <c r="BW357" s="123"/>
      <c r="BX357" s="123"/>
      <c r="BY357" s="123"/>
      <c r="BZ357" s="123"/>
      <c r="CA357" s="123"/>
      <c r="CB357" s="123"/>
      <c r="CC357" s="6"/>
      <c r="CD357" s="123"/>
      <c r="CE357" s="6"/>
      <c r="CF357" s="123"/>
      <c r="CG357" s="6"/>
      <c r="CH357" s="6"/>
      <c r="CI357" s="6"/>
      <c r="CJ357" s="6"/>
      <c r="CK357" s="123"/>
      <c r="CL357" s="6"/>
      <c r="CM357" s="6"/>
      <c r="CN357" s="6"/>
      <c r="CO357" s="138"/>
      <c r="CP357" s="138"/>
      <c r="CQ357" s="123"/>
      <c r="CR357" s="6"/>
      <c r="CS357" s="6"/>
      <c r="CT357" s="139"/>
      <c r="CU357" s="139"/>
      <c r="CV357" s="76"/>
      <c r="CW357" s="123"/>
      <c r="CX357" s="6"/>
      <c r="DI357" s="125"/>
      <c r="DJ357" s="16"/>
      <c r="DM357" s="16"/>
      <c r="DN357" s="16"/>
      <c r="DO357" s="125"/>
      <c r="DP357" s="16"/>
      <c r="DQ357" s="125"/>
      <c r="DZ357" s="125"/>
      <c r="EA357" s="142"/>
      <c r="EB357" s="125"/>
      <c r="EC357" s="16"/>
      <c r="ED357" s="125"/>
      <c r="EE357" s="125"/>
      <c r="EF357" s="16"/>
      <c r="EG357" s="125"/>
      <c r="EQ357" s="125"/>
      <c r="ER357" s="16"/>
      <c r="ES357" s="123"/>
      <c r="ET357" s="19"/>
      <c r="EU357" s="139"/>
      <c r="EV357" s="139"/>
      <c r="EW357" s="123"/>
      <c r="EX357" s="123"/>
      <c r="EY357" s="123"/>
      <c r="EZ357" s="123"/>
      <c r="FA357" s="123"/>
      <c r="FB357" s="123"/>
      <c r="FC357" s="6"/>
      <c r="FD357" s="123"/>
      <c r="FE357" s="6"/>
      <c r="FF357" s="123"/>
      <c r="FG357" s="6"/>
      <c r="FH357" s="6"/>
      <c r="FI357" s="6"/>
      <c r="FJ357" s="6"/>
      <c r="FK357" s="123"/>
      <c r="FL357" s="6"/>
      <c r="FM357" s="6"/>
      <c r="FN357" s="6"/>
      <c r="FO357" s="138"/>
      <c r="FP357" s="138"/>
      <c r="FQ357" s="123"/>
      <c r="FR357" s="6"/>
      <c r="FS357" s="6"/>
      <c r="FT357" s="139"/>
      <c r="FU357" s="139"/>
      <c r="FV357" s="76"/>
      <c r="FW357" s="123"/>
      <c r="FX357" s="6"/>
    </row>
    <row r="358" spans="35:180">
      <c r="AI358" s="125"/>
      <c r="AJ358" s="16"/>
      <c r="AM358" s="16"/>
      <c r="AN358" s="16"/>
      <c r="AO358" s="125"/>
      <c r="AP358" s="16"/>
      <c r="AQ358" s="125"/>
      <c r="AZ358" s="125"/>
      <c r="BA358" s="142"/>
      <c r="BB358" s="125"/>
      <c r="BC358" s="16"/>
      <c r="BD358" s="125"/>
      <c r="BE358" s="125"/>
      <c r="BF358" s="16"/>
      <c r="BG358" s="125"/>
      <c r="BQ358" s="125"/>
      <c r="BR358" s="16"/>
      <c r="BS358" s="123"/>
      <c r="BT358" s="19"/>
      <c r="BU358" s="139"/>
      <c r="BV358" s="139"/>
      <c r="BW358" s="123"/>
      <c r="BX358" s="123"/>
      <c r="BY358" s="123"/>
      <c r="BZ358" s="123"/>
      <c r="CA358" s="123"/>
      <c r="CB358" s="123"/>
      <c r="CC358" s="6"/>
      <c r="CD358" s="123"/>
      <c r="CE358" s="6"/>
      <c r="CF358" s="123"/>
      <c r="CG358" s="6"/>
      <c r="CH358" s="6"/>
      <c r="CI358" s="6"/>
      <c r="CJ358" s="6"/>
      <c r="CK358" s="123"/>
      <c r="CL358" s="6"/>
      <c r="CM358" s="6"/>
      <c r="CN358" s="6"/>
      <c r="CO358" s="138"/>
      <c r="CP358" s="138"/>
      <c r="CQ358" s="123"/>
      <c r="CR358" s="6"/>
      <c r="CS358" s="6"/>
      <c r="CT358" s="139"/>
      <c r="CU358" s="139"/>
      <c r="CV358" s="76"/>
      <c r="CW358" s="123"/>
      <c r="CX358" s="6"/>
      <c r="DI358" s="125"/>
      <c r="DJ358" s="16"/>
      <c r="DM358" s="16"/>
      <c r="DN358" s="16"/>
      <c r="DO358" s="125"/>
      <c r="DP358" s="16"/>
      <c r="DQ358" s="125"/>
      <c r="DZ358" s="125"/>
      <c r="EA358" s="142"/>
      <c r="EB358" s="125"/>
      <c r="EC358" s="16"/>
      <c r="ED358" s="125"/>
      <c r="EE358" s="125"/>
      <c r="EF358" s="16"/>
      <c r="EG358" s="125"/>
      <c r="EQ358" s="125"/>
      <c r="ER358" s="16"/>
      <c r="ES358" s="123"/>
      <c r="ET358" s="19"/>
      <c r="EU358" s="139"/>
      <c r="EV358" s="139"/>
      <c r="EW358" s="123"/>
      <c r="EX358" s="123"/>
      <c r="EY358" s="123"/>
      <c r="EZ358" s="123"/>
      <c r="FA358" s="123"/>
      <c r="FB358" s="123"/>
      <c r="FC358" s="6"/>
      <c r="FD358" s="123"/>
      <c r="FE358" s="6"/>
      <c r="FF358" s="123"/>
      <c r="FG358" s="6"/>
      <c r="FH358" s="6"/>
      <c r="FI358" s="6"/>
      <c r="FJ358" s="6"/>
      <c r="FK358" s="123"/>
      <c r="FL358" s="6"/>
      <c r="FM358" s="6"/>
      <c r="FN358" s="6"/>
      <c r="FO358" s="138"/>
      <c r="FP358" s="138"/>
      <c r="FQ358" s="123"/>
      <c r="FR358" s="6"/>
      <c r="FS358" s="6"/>
      <c r="FT358" s="139"/>
      <c r="FU358" s="139"/>
      <c r="FV358" s="76"/>
      <c r="FW358" s="123"/>
      <c r="FX358" s="6"/>
    </row>
    <row r="359" spans="35:180">
      <c r="AI359" s="125"/>
      <c r="AJ359" s="16"/>
      <c r="AM359" s="16"/>
      <c r="AN359" s="16"/>
      <c r="AO359" s="125"/>
      <c r="AP359" s="16"/>
      <c r="AQ359" s="125"/>
      <c r="AZ359" s="125"/>
      <c r="BA359" s="142"/>
      <c r="BB359" s="125"/>
      <c r="BC359" s="16"/>
      <c r="BD359" s="125"/>
      <c r="BE359" s="125"/>
      <c r="BF359" s="16"/>
      <c r="BG359" s="125"/>
      <c r="BQ359" s="125"/>
      <c r="BR359" s="16"/>
      <c r="BS359" s="123"/>
      <c r="BT359" s="19"/>
      <c r="BU359" s="139"/>
      <c r="BV359" s="139"/>
      <c r="BW359" s="123"/>
      <c r="BX359" s="123"/>
      <c r="BY359" s="123"/>
      <c r="BZ359" s="123"/>
      <c r="CA359" s="123"/>
      <c r="CB359" s="123"/>
      <c r="CC359" s="6"/>
      <c r="CD359" s="123"/>
      <c r="CE359" s="6"/>
      <c r="CF359" s="123"/>
      <c r="CG359" s="6"/>
      <c r="CH359" s="6"/>
      <c r="CI359" s="6"/>
      <c r="CJ359" s="6"/>
      <c r="CK359" s="123"/>
      <c r="CL359" s="6"/>
      <c r="CM359" s="6"/>
      <c r="CN359" s="6"/>
      <c r="CO359" s="138"/>
      <c r="CP359" s="138"/>
      <c r="CQ359" s="123"/>
      <c r="CR359" s="6"/>
      <c r="CS359" s="6"/>
      <c r="CT359" s="139"/>
      <c r="CU359" s="139"/>
      <c r="CV359" s="76"/>
      <c r="CW359" s="123"/>
      <c r="CX359" s="6"/>
      <c r="DI359" s="125"/>
      <c r="DJ359" s="16"/>
      <c r="DM359" s="16"/>
      <c r="DN359" s="16"/>
      <c r="DO359" s="125"/>
      <c r="DP359" s="16"/>
      <c r="DQ359" s="125"/>
      <c r="DZ359" s="125"/>
      <c r="EA359" s="142"/>
      <c r="EB359" s="125"/>
      <c r="EC359" s="16"/>
      <c r="ED359" s="125"/>
      <c r="EE359" s="125"/>
      <c r="EF359" s="16"/>
      <c r="EG359" s="125"/>
      <c r="EQ359" s="125"/>
      <c r="ER359" s="16"/>
      <c r="ES359" s="123"/>
      <c r="ET359" s="19"/>
      <c r="EU359" s="139"/>
      <c r="EV359" s="139"/>
      <c r="EW359" s="123"/>
      <c r="EX359" s="123"/>
      <c r="EY359" s="123"/>
      <c r="EZ359" s="123"/>
      <c r="FA359" s="123"/>
      <c r="FB359" s="123"/>
      <c r="FC359" s="6"/>
      <c r="FD359" s="123"/>
      <c r="FE359" s="6"/>
      <c r="FF359" s="123"/>
      <c r="FG359" s="6"/>
      <c r="FH359" s="6"/>
      <c r="FI359" s="6"/>
      <c r="FJ359" s="6"/>
      <c r="FK359" s="123"/>
      <c r="FL359" s="6"/>
      <c r="FM359" s="6"/>
      <c r="FN359" s="6"/>
      <c r="FO359" s="138"/>
      <c r="FP359" s="138"/>
      <c r="FQ359" s="123"/>
      <c r="FR359" s="6"/>
      <c r="FS359" s="6"/>
      <c r="FT359" s="139"/>
      <c r="FU359" s="139"/>
      <c r="FV359" s="76"/>
      <c r="FW359" s="123"/>
      <c r="FX359" s="6"/>
    </row>
    <row r="360" spans="35:180">
      <c r="AI360" s="125"/>
      <c r="AJ360" s="16"/>
      <c r="AM360" s="16"/>
      <c r="AN360" s="16"/>
      <c r="AO360" s="125"/>
      <c r="AP360" s="16"/>
      <c r="AQ360" s="125"/>
      <c r="AZ360" s="125"/>
      <c r="BA360" s="142"/>
      <c r="BB360" s="125"/>
      <c r="BC360" s="16"/>
      <c r="BD360" s="125"/>
      <c r="BE360" s="125"/>
      <c r="BF360" s="16"/>
      <c r="BG360" s="125"/>
      <c r="BQ360" s="125"/>
      <c r="BR360" s="16"/>
      <c r="BS360" s="123"/>
      <c r="BT360" s="19"/>
      <c r="BU360" s="139"/>
      <c r="BV360" s="139"/>
      <c r="BW360" s="123"/>
      <c r="BX360" s="123"/>
      <c r="BY360" s="123"/>
      <c r="BZ360" s="123"/>
      <c r="CA360" s="123"/>
      <c r="CB360" s="123"/>
      <c r="CC360" s="6"/>
      <c r="CD360" s="123"/>
      <c r="CE360" s="6"/>
      <c r="CF360" s="123"/>
      <c r="CG360" s="6"/>
      <c r="CH360" s="6"/>
      <c r="CI360" s="6"/>
      <c r="CJ360" s="6"/>
      <c r="CK360" s="123"/>
      <c r="CL360" s="6"/>
      <c r="CM360" s="6"/>
      <c r="CN360" s="6"/>
      <c r="CO360" s="138"/>
      <c r="CP360" s="138"/>
      <c r="CQ360" s="123"/>
      <c r="CR360" s="6"/>
      <c r="CS360" s="6"/>
      <c r="CT360" s="139"/>
      <c r="CU360" s="139"/>
      <c r="CV360" s="76"/>
      <c r="CW360" s="123"/>
      <c r="CX360" s="6"/>
      <c r="DI360" s="125"/>
      <c r="DJ360" s="16"/>
      <c r="DM360" s="16"/>
      <c r="DN360" s="16"/>
      <c r="DO360" s="125"/>
      <c r="DP360" s="16"/>
      <c r="DQ360" s="125"/>
      <c r="DZ360" s="125"/>
      <c r="EA360" s="142"/>
      <c r="EB360" s="125"/>
      <c r="EC360" s="16"/>
      <c r="ED360" s="125"/>
      <c r="EE360" s="125"/>
      <c r="EF360" s="16"/>
      <c r="EG360" s="125"/>
      <c r="EQ360" s="125"/>
      <c r="ER360" s="16"/>
      <c r="ES360" s="123"/>
      <c r="ET360" s="19"/>
      <c r="EU360" s="139"/>
      <c r="EV360" s="139"/>
      <c r="EW360" s="123"/>
      <c r="EX360" s="123"/>
      <c r="EY360" s="123"/>
      <c r="EZ360" s="123"/>
      <c r="FA360" s="123"/>
      <c r="FB360" s="123"/>
      <c r="FC360" s="6"/>
      <c r="FD360" s="123"/>
      <c r="FE360" s="6"/>
      <c r="FF360" s="123"/>
      <c r="FG360" s="6"/>
      <c r="FH360" s="6"/>
      <c r="FI360" s="6"/>
      <c r="FJ360" s="6"/>
      <c r="FK360" s="123"/>
      <c r="FL360" s="6"/>
      <c r="FM360" s="6"/>
      <c r="FN360" s="6"/>
      <c r="FO360" s="138"/>
      <c r="FP360" s="138"/>
      <c r="FQ360" s="123"/>
      <c r="FR360" s="6"/>
      <c r="FS360" s="6"/>
      <c r="FT360" s="139"/>
      <c r="FU360" s="139"/>
      <c r="FV360" s="76"/>
      <c r="FW360" s="123"/>
      <c r="FX360" s="6"/>
    </row>
    <row r="361" spans="35:180">
      <c r="AI361" s="125"/>
      <c r="AJ361" s="16"/>
      <c r="AM361" s="16"/>
      <c r="AN361" s="16"/>
      <c r="AO361" s="125"/>
      <c r="AP361" s="16"/>
      <c r="AQ361" s="125"/>
      <c r="AZ361" s="125"/>
      <c r="BA361" s="142"/>
      <c r="BB361" s="125"/>
      <c r="BC361" s="16"/>
      <c r="BD361" s="125"/>
      <c r="BE361" s="125"/>
      <c r="BF361" s="16"/>
      <c r="BG361" s="125"/>
      <c r="BQ361" s="125"/>
      <c r="BR361" s="16"/>
      <c r="BS361" s="123"/>
      <c r="BT361" s="19"/>
      <c r="BU361" s="139"/>
      <c r="BV361" s="139"/>
      <c r="BW361" s="123"/>
      <c r="BX361" s="123"/>
      <c r="BY361" s="123"/>
      <c r="BZ361" s="123"/>
      <c r="CA361" s="123"/>
      <c r="CB361" s="123"/>
      <c r="CC361" s="6"/>
      <c r="CD361" s="123"/>
      <c r="CE361" s="6"/>
      <c r="CF361" s="123"/>
      <c r="CG361" s="6"/>
      <c r="CH361" s="6"/>
      <c r="CI361" s="6"/>
      <c r="CJ361" s="6"/>
      <c r="CK361" s="123"/>
      <c r="CL361" s="6"/>
      <c r="CM361" s="6"/>
      <c r="CN361" s="6"/>
      <c r="CO361" s="138"/>
      <c r="CP361" s="138"/>
      <c r="CQ361" s="123"/>
      <c r="CR361" s="6"/>
      <c r="CS361" s="6"/>
      <c r="CT361" s="139"/>
      <c r="CU361" s="139"/>
      <c r="CV361" s="76"/>
      <c r="CW361" s="123"/>
      <c r="CX361" s="6"/>
      <c r="DI361" s="125"/>
      <c r="DJ361" s="16"/>
      <c r="DM361" s="16"/>
      <c r="DN361" s="16"/>
      <c r="DO361" s="125"/>
      <c r="DP361" s="16"/>
      <c r="DQ361" s="125"/>
      <c r="DZ361" s="125"/>
      <c r="EA361" s="142"/>
      <c r="EB361" s="125"/>
      <c r="EC361" s="16"/>
      <c r="ED361" s="125"/>
      <c r="EE361" s="125"/>
      <c r="EF361" s="16"/>
      <c r="EG361" s="125"/>
      <c r="EQ361" s="125"/>
      <c r="ER361" s="16"/>
      <c r="ES361" s="123"/>
      <c r="ET361" s="19"/>
      <c r="EU361" s="139"/>
      <c r="EV361" s="139"/>
      <c r="EW361" s="123"/>
      <c r="EX361" s="123"/>
      <c r="EY361" s="123"/>
      <c r="EZ361" s="123"/>
      <c r="FA361" s="123"/>
      <c r="FB361" s="123"/>
      <c r="FC361" s="6"/>
      <c r="FD361" s="123"/>
      <c r="FE361" s="6"/>
      <c r="FF361" s="123"/>
      <c r="FG361" s="6"/>
      <c r="FH361" s="6"/>
      <c r="FI361" s="6"/>
      <c r="FJ361" s="6"/>
      <c r="FK361" s="123"/>
      <c r="FL361" s="6"/>
      <c r="FM361" s="6"/>
      <c r="FN361" s="6"/>
      <c r="FO361" s="138"/>
      <c r="FP361" s="138"/>
      <c r="FQ361" s="123"/>
      <c r="FR361" s="6"/>
      <c r="FS361" s="6"/>
      <c r="FT361" s="139"/>
      <c r="FU361" s="139"/>
      <c r="FV361" s="76"/>
      <c r="FW361" s="123"/>
      <c r="FX361" s="6"/>
    </row>
    <row r="362" spans="35:180">
      <c r="AI362" s="125"/>
      <c r="AJ362" s="16"/>
      <c r="AM362" s="16"/>
      <c r="AN362" s="16"/>
      <c r="AO362" s="125"/>
      <c r="AP362" s="16"/>
      <c r="AQ362" s="125"/>
      <c r="AZ362" s="125"/>
      <c r="BA362" s="142"/>
      <c r="BB362" s="125"/>
      <c r="BC362" s="16"/>
      <c r="BD362" s="125"/>
      <c r="BE362" s="125"/>
      <c r="BF362" s="16"/>
      <c r="BG362" s="125"/>
      <c r="BQ362" s="125"/>
      <c r="BR362" s="16"/>
      <c r="BS362" s="123"/>
      <c r="BT362" s="19"/>
      <c r="BU362" s="139"/>
      <c r="BV362" s="139"/>
      <c r="BW362" s="123"/>
      <c r="BX362" s="123"/>
      <c r="BY362" s="123"/>
      <c r="BZ362" s="123"/>
      <c r="CA362" s="123"/>
      <c r="CB362" s="123"/>
      <c r="CC362" s="6"/>
      <c r="CD362" s="123"/>
      <c r="CE362" s="6"/>
      <c r="CF362" s="123"/>
      <c r="CG362" s="6"/>
      <c r="CH362" s="6"/>
      <c r="CI362" s="6"/>
      <c r="CJ362" s="6"/>
      <c r="CK362" s="123"/>
      <c r="CL362" s="6"/>
      <c r="CM362" s="6"/>
      <c r="CN362" s="6"/>
      <c r="CO362" s="138"/>
      <c r="CP362" s="138"/>
      <c r="CQ362" s="123"/>
      <c r="CR362" s="6"/>
      <c r="CS362" s="6"/>
      <c r="CT362" s="139"/>
      <c r="CU362" s="139"/>
      <c r="CV362" s="76"/>
      <c r="CW362" s="123"/>
      <c r="CX362" s="6"/>
      <c r="DI362" s="125"/>
      <c r="DJ362" s="16"/>
      <c r="DM362" s="16"/>
      <c r="DN362" s="16"/>
      <c r="DO362" s="125"/>
      <c r="DP362" s="16"/>
      <c r="DQ362" s="125"/>
      <c r="DZ362" s="125"/>
      <c r="EA362" s="142"/>
      <c r="EB362" s="125"/>
      <c r="EC362" s="16"/>
      <c r="ED362" s="125"/>
      <c r="EE362" s="125"/>
      <c r="EF362" s="16"/>
      <c r="EG362" s="125"/>
      <c r="EQ362" s="125"/>
      <c r="ER362" s="16"/>
      <c r="ES362" s="123"/>
      <c r="ET362" s="19"/>
      <c r="EU362" s="139"/>
      <c r="EV362" s="139"/>
      <c r="EW362" s="123"/>
      <c r="EX362" s="123"/>
      <c r="EY362" s="123"/>
      <c r="EZ362" s="123"/>
      <c r="FA362" s="123"/>
      <c r="FB362" s="123"/>
      <c r="FC362" s="6"/>
      <c r="FD362" s="123"/>
      <c r="FE362" s="6"/>
      <c r="FF362" s="123"/>
      <c r="FG362" s="6"/>
      <c r="FH362" s="6"/>
      <c r="FI362" s="6"/>
      <c r="FJ362" s="6"/>
      <c r="FK362" s="123"/>
      <c r="FL362" s="6"/>
      <c r="FM362" s="6"/>
      <c r="FN362" s="6"/>
      <c r="FO362" s="138"/>
      <c r="FP362" s="138"/>
      <c r="FQ362" s="123"/>
      <c r="FR362" s="6"/>
      <c r="FS362" s="6"/>
      <c r="FT362" s="139"/>
      <c r="FU362" s="139"/>
      <c r="FV362" s="76"/>
      <c r="FW362" s="123"/>
      <c r="FX362" s="6"/>
    </row>
    <row r="363" spans="35:180">
      <c r="AI363" s="125"/>
      <c r="AJ363" s="16"/>
      <c r="AM363" s="16"/>
      <c r="AN363" s="16"/>
      <c r="AO363" s="125"/>
      <c r="AP363" s="16"/>
      <c r="AQ363" s="125"/>
      <c r="AZ363" s="125"/>
      <c r="BA363" s="142"/>
      <c r="BB363" s="125"/>
      <c r="BC363" s="16"/>
      <c r="BD363" s="125"/>
      <c r="BE363" s="125"/>
      <c r="BF363" s="16"/>
      <c r="BG363" s="125"/>
      <c r="BQ363" s="125"/>
      <c r="BR363" s="16"/>
      <c r="BS363" s="123"/>
      <c r="BT363" s="19"/>
      <c r="BU363" s="139"/>
      <c r="BV363" s="139"/>
      <c r="BW363" s="123"/>
      <c r="BX363" s="123"/>
      <c r="BY363" s="123"/>
      <c r="BZ363" s="123"/>
      <c r="CA363" s="123"/>
      <c r="CB363" s="123"/>
      <c r="CC363" s="6"/>
      <c r="CD363" s="123"/>
      <c r="CE363" s="6"/>
      <c r="CF363" s="123"/>
      <c r="CG363" s="6"/>
      <c r="CH363" s="6"/>
      <c r="CI363" s="6"/>
      <c r="CJ363" s="6"/>
      <c r="CK363" s="123"/>
      <c r="CL363" s="6"/>
      <c r="CM363" s="6"/>
      <c r="CN363" s="6"/>
      <c r="CO363" s="138"/>
      <c r="CP363" s="138"/>
      <c r="CQ363" s="123"/>
      <c r="CR363" s="6"/>
      <c r="CS363" s="6"/>
      <c r="CT363" s="139"/>
      <c r="CU363" s="139"/>
      <c r="CV363" s="76"/>
      <c r="CW363" s="123"/>
      <c r="CX363" s="6"/>
      <c r="DI363" s="125"/>
      <c r="DJ363" s="16"/>
      <c r="DM363" s="16"/>
      <c r="DN363" s="16"/>
      <c r="DO363" s="125"/>
      <c r="DP363" s="16"/>
      <c r="DQ363" s="125"/>
      <c r="DZ363" s="125"/>
      <c r="EA363" s="142"/>
      <c r="EB363" s="125"/>
      <c r="EC363" s="16"/>
      <c r="ED363" s="125"/>
      <c r="EE363" s="125"/>
      <c r="EF363" s="16"/>
      <c r="EG363" s="125"/>
      <c r="EQ363" s="125"/>
      <c r="ER363" s="16"/>
      <c r="ES363" s="123"/>
      <c r="ET363" s="19"/>
      <c r="EU363" s="139"/>
      <c r="EV363" s="139"/>
      <c r="EW363" s="123"/>
      <c r="EX363" s="123"/>
      <c r="EY363" s="123"/>
      <c r="EZ363" s="123"/>
      <c r="FA363" s="123"/>
      <c r="FB363" s="123"/>
      <c r="FC363" s="6"/>
      <c r="FD363" s="123"/>
      <c r="FE363" s="6"/>
      <c r="FF363" s="123"/>
      <c r="FG363" s="6"/>
      <c r="FH363" s="6"/>
      <c r="FI363" s="6"/>
      <c r="FJ363" s="6"/>
      <c r="FK363" s="123"/>
      <c r="FL363" s="6"/>
      <c r="FM363" s="6"/>
      <c r="FN363" s="6"/>
      <c r="FO363" s="138"/>
      <c r="FP363" s="138"/>
      <c r="FQ363" s="123"/>
      <c r="FR363" s="6"/>
      <c r="FS363" s="6"/>
      <c r="FT363" s="139"/>
      <c r="FU363" s="139"/>
      <c r="FV363" s="76"/>
      <c r="FW363" s="123"/>
      <c r="FX363" s="6"/>
    </row>
    <row r="364" spans="35:180">
      <c r="AI364" s="125"/>
      <c r="AJ364" s="16"/>
      <c r="AM364" s="16"/>
      <c r="AN364" s="16"/>
      <c r="AO364" s="125"/>
      <c r="AP364" s="16"/>
      <c r="AQ364" s="125"/>
      <c r="AZ364" s="125"/>
      <c r="BA364" s="142"/>
      <c r="BB364" s="125"/>
      <c r="BC364" s="16"/>
      <c r="BD364" s="125"/>
      <c r="BE364" s="125"/>
      <c r="BF364" s="16"/>
      <c r="BG364" s="125"/>
      <c r="BQ364" s="125"/>
      <c r="BR364" s="16"/>
      <c r="BS364" s="123"/>
      <c r="BT364" s="19"/>
      <c r="BU364" s="139"/>
      <c r="BV364" s="139"/>
      <c r="BW364" s="123"/>
      <c r="BX364" s="123"/>
      <c r="BY364" s="123"/>
      <c r="BZ364" s="123"/>
      <c r="CA364" s="123"/>
      <c r="CB364" s="123"/>
      <c r="CC364" s="6"/>
      <c r="CD364" s="123"/>
      <c r="CE364" s="6"/>
      <c r="CF364" s="123"/>
      <c r="CG364" s="6"/>
      <c r="CH364" s="6"/>
      <c r="CI364" s="6"/>
      <c r="CJ364" s="6"/>
      <c r="CK364" s="123"/>
      <c r="CL364" s="6"/>
      <c r="CM364" s="6"/>
      <c r="CN364" s="6"/>
      <c r="CO364" s="138"/>
      <c r="CP364" s="138"/>
      <c r="CQ364" s="123"/>
      <c r="CR364" s="6"/>
      <c r="CS364" s="6"/>
      <c r="CT364" s="139"/>
      <c r="CU364" s="139"/>
      <c r="CV364" s="76"/>
      <c r="CW364" s="123"/>
      <c r="CX364" s="6"/>
      <c r="DI364" s="125"/>
      <c r="DJ364" s="16"/>
      <c r="DM364" s="16"/>
      <c r="DN364" s="16"/>
      <c r="DO364" s="125"/>
      <c r="DP364" s="16"/>
      <c r="DQ364" s="125"/>
      <c r="DZ364" s="125"/>
      <c r="EA364" s="142"/>
      <c r="EB364" s="125"/>
      <c r="EC364" s="16"/>
      <c r="ED364" s="125"/>
      <c r="EE364" s="125"/>
      <c r="EF364" s="16"/>
      <c r="EG364" s="125"/>
      <c r="EQ364" s="125"/>
      <c r="ER364" s="16"/>
      <c r="ES364" s="123"/>
      <c r="ET364" s="19"/>
      <c r="EU364" s="139"/>
      <c r="EV364" s="139"/>
      <c r="EW364" s="123"/>
      <c r="EX364" s="123"/>
      <c r="EY364" s="123"/>
      <c r="EZ364" s="123"/>
      <c r="FA364" s="123"/>
      <c r="FB364" s="123"/>
      <c r="FC364" s="6"/>
      <c r="FD364" s="123"/>
      <c r="FE364" s="6"/>
      <c r="FF364" s="123"/>
      <c r="FG364" s="6"/>
      <c r="FH364" s="6"/>
      <c r="FI364" s="6"/>
      <c r="FJ364" s="6"/>
      <c r="FK364" s="123"/>
      <c r="FL364" s="6"/>
      <c r="FM364" s="6"/>
      <c r="FN364" s="6"/>
      <c r="FO364" s="138"/>
      <c r="FP364" s="138"/>
      <c r="FQ364" s="123"/>
      <c r="FR364" s="6"/>
      <c r="FS364" s="6"/>
      <c r="FT364" s="139"/>
      <c r="FU364" s="139"/>
      <c r="FV364" s="76"/>
      <c r="FW364" s="123"/>
      <c r="FX364" s="6"/>
    </row>
    <row r="365" spans="35:180">
      <c r="AI365" s="125"/>
      <c r="AJ365" s="16"/>
      <c r="AM365" s="16"/>
      <c r="AN365" s="16"/>
      <c r="AO365" s="125"/>
      <c r="AP365" s="16"/>
      <c r="AQ365" s="125"/>
      <c r="AZ365" s="125"/>
      <c r="BA365" s="142"/>
      <c r="BB365" s="125"/>
      <c r="BC365" s="16"/>
      <c r="BD365" s="125"/>
      <c r="BE365" s="125"/>
      <c r="BF365" s="16"/>
      <c r="BG365" s="125"/>
      <c r="BQ365" s="125"/>
      <c r="BR365" s="16"/>
      <c r="BS365" s="123"/>
      <c r="BT365" s="19"/>
      <c r="BU365" s="139"/>
      <c r="BV365" s="139"/>
      <c r="BW365" s="123"/>
      <c r="BX365" s="123"/>
      <c r="BY365" s="123"/>
      <c r="BZ365" s="123"/>
      <c r="CA365" s="123"/>
      <c r="CB365" s="123"/>
      <c r="CC365" s="6"/>
      <c r="CD365" s="123"/>
      <c r="CE365" s="6"/>
      <c r="CF365" s="123"/>
      <c r="CG365" s="6"/>
      <c r="CH365" s="6"/>
      <c r="CI365" s="6"/>
      <c r="CJ365" s="6"/>
      <c r="CK365" s="123"/>
      <c r="CL365" s="6"/>
      <c r="CM365" s="6"/>
      <c r="CN365" s="6"/>
      <c r="CO365" s="138"/>
      <c r="CP365" s="138"/>
      <c r="CQ365" s="123"/>
      <c r="CR365" s="6"/>
      <c r="CS365" s="6"/>
      <c r="CT365" s="139"/>
      <c r="CU365" s="139"/>
      <c r="CV365" s="76"/>
      <c r="CW365" s="123"/>
      <c r="CX365" s="6"/>
      <c r="DI365" s="125"/>
      <c r="DJ365" s="16"/>
      <c r="DM365" s="16"/>
      <c r="DN365" s="16"/>
      <c r="DO365" s="125"/>
      <c r="DP365" s="16"/>
      <c r="DQ365" s="125"/>
      <c r="DZ365" s="125"/>
      <c r="EA365" s="142"/>
      <c r="EB365" s="125"/>
      <c r="EC365" s="16"/>
      <c r="ED365" s="125"/>
      <c r="EE365" s="125"/>
      <c r="EF365" s="16"/>
      <c r="EG365" s="125"/>
      <c r="EQ365" s="125"/>
      <c r="ER365" s="16"/>
      <c r="ES365" s="123"/>
      <c r="ET365" s="19"/>
      <c r="EU365" s="139"/>
      <c r="EV365" s="139"/>
      <c r="EW365" s="123"/>
      <c r="EX365" s="123"/>
      <c r="EY365" s="123"/>
      <c r="EZ365" s="123"/>
      <c r="FA365" s="123"/>
      <c r="FB365" s="123"/>
      <c r="FC365" s="6"/>
      <c r="FD365" s="123"/>
      <c r="FE365" s="6"/>
      <c r="FF365" s="123"/>
      <c r="FG365" s="6"/>
      <c r="FH365" s="6"/>
      <c r="FI365" s="6"/>
      <c r="FJ365" s="6"/>
      <c r="FK365" s="123"/>
      <c r="FL365" s="6"/>
      <c r="FM365" s="6"/>
      <c r="FN365" s="6"/>
      <c r="FO365" s="138"/>
      <c r="FP365" s="138"/>
      <c r="FQ365" s="123"/>
      <c r="FR365" s="6"/>
      <c r="FS365" s="6"/>
      <c r="FT365" s="139"/>
      <c r="FU365" s="139"/>
      <c r="FV365" s="76"/>
      <c r="FW365" s="123"/>
      <c r="FX365" s="6"/>
    </row>
    <row r="366" spans="35:180">
      <c r="AI366" s="125"/>
      <c r="AJ366" s="16"/>
      <c r="AM366" s="16"/>
      <c r="AN366" s="16"/>
      <c r="AO366" s="125"/>
      <c r="AP366" s="16"/>
      <c r="AQ366" s="125"/>
      <c r="AZ366" s="125"/>
      <c r="BA366" s="142"/>
      <c r="BB366" s="125"/>
      <c r="BC366" s="16"/>
      <c r="BD366" s="125"/>
      <c r="BE366" s="125"/>
      <c r="BF366" s="16"/>
      <c r="BG366" s="125"/>
      <c r="BQ366" s="125"/>
      <c r="BR366" s="16"/>
      <c r="BS366" s="123"/>
      <c r="BT366" s="19"/>
      <c r="BU366" s="139"/>
      <c r="BV366" s="139"/>
      <c r="BW366" s="123"/>
      <c r="BX366" s="123"/>
      <c r="BY366" s="123"/>
      <c r="BZ366" s="123"/>
      <c r="CA366" s="123"/>
      <c r="CB366" s="123"/>
      <c r="CC366" s="6"/>
      <c r="CD366" s="123"/>
      <c r="CE366" s="6"/>
      <c r="CF366" s="123"/>
      <c r="CG366" s="6"/>
      <c r="CH366" s="6"/>
      <c r="CI366" s="6"/>
      <c r="CJ366" s="6"/>
      <c r="CK366" s="123"/>
      <c r="CL366" s="6"/>
      <c r="CM366" s="6"/>
      <c r="CN366" s="6"/>
      <c r="CO366" s="138"/>
      <c r="CP366" s="138"/>
      <c r="CQ366" s="123"/>
      <c r="CR366" s="6"/>
      <c r="CS366" s="6"/>
      <c r="CT366" s="139"/>
      <c r="CU366" s="139"/>
      <c r="CV366" s="76"/>
      <c r="CW366" s="123"/>
      <c r="CX366" s="6"/>
      <c r="DI366" s="125"/>
      <c r="DJ366" s="16"/>
      <c r="DM366" s="16"/>
      <c r="DN366" s="16"/>
      <c r="DO366" s="125"/>
      <c r="DP366" s="16"/>
      <c r="DQ366" s="125"/>
      <c r="DZ366" s="125"/>
      <c r="EA366" s="142"/>
      <c r="EB366" s="125"/>
      <c r="EC366" s="16"/>
      <c r="ED366" s="125"/>
      <c r="EE366" s="125"/>
      <c r="EF366" s="16"/>
      <c r="EG366" s="125"/>
      <c r="EQ366" s="125"/>
      <c r="ER366" s="16"/>
      <c r="ES366" s="123"/>
      <c r="ET366" s="19"/>
      <c r="EU366" s="139"/>
      <c r="EV366" s="139"/>
      <c r="EW366" s="123"/>
      <c r="EX366" s="123"/>
      <c r="EY366" s="123"/>
      <c r="EZ366" s="123"/>
      <c r="FA366" s="123"/>
      <c r="FB366" s="123"/>
      <c r="FC366" s="6"/>
      <c r="FD366" s="123"/>
      <c r="FE366" s="6"/>
      <c r="FF366" s="123"/>
      <c r="FG366" s="6"/>
      <c r="FH366" s="6"/>
      <c r="FI366" s="6"/>
      <c r="FJ366" s="6"/>
      <c r="FK366" s="123"/>
      <c r="FL366" s="6"/>
      <c r="FM366" s="6"/>
      <c r="FN366" s="6"/>
      <c r="FO366" s="138"/>
      <c r="FP366" s="138"/>
      <c r="FQ366" s="123"/>
      <c r="FR366" s="6"/>
      <c r="FS366" s="6"/>
      <c r="FT366" s="139"/>
      <c r="FU366" s="139"/>
      <c r="FV366" s="76"/>
      <c r="FW366" s="123"/>
      <c r="FX366" s="6"/>
    </row>
    <row r="367" spans="35:180">
      <c r="AI367" s="125"/>
      <c r="AJ367" s="16"/>
      <c r="AM367" s="16"/>
      <c r="AN367" s="16"/>
      <c r="AO367" s="125"/>
      <c r="AP367" s="16"/>
      <c r="AQ367" s="125"/>
      <c r="AZ367" s="125"/>
      <c r="BA367" s="142"/>
      <c r="BB367" s="125"/>
      <c r="BC367" s="16"/>
      <c r="BD367" s="125"/>
      <c r="BE367" s="125"/>
      <c r="BF367" s="16"/>
      <c r="BG367" s="125"/>
      <c r="BQ367" s="125"/>
      <c r="BR367" s="16"/>
      <c r="BS367" s="123"/>
      <c r="BT367" s="19"/>
      <c r="BU367" s="139"/>
      <c r="BV367" s="139"/>
      <c r="BW367" s="123"/>
      <c r="BX367" s="123"/>
      <c r="BY367" s="123"/>
      <c r="BZ367" s="123"/>
      <c r="CA367" s="123"/>
      <c r="CB367" s="123"/>
      <c r="CC367" s="6"/>
      <c r="CD367" s="123"/>
      <c r="CE367" s="6"/>
      <c r="CF367" s="123"/>
      <c r="CG367" s="6"/>
      <c r="CH367" s="6"/>
      <c r="CI367" s="6"/>
      <c r="CJ367" s="6"/>
      <c r="CK367" s="123"/>
      <c r="CL367" s="6"/>
      <c r="CM367" s="6"/>
      <c r="CN367" s="6"/>
      <c r="CO367" s="138"/>
      <c r="CP367" s="138"/>
      <c r="CQ367" s="123"/>
      <c r="CR367" s="6"/>
      <c r="CS367" s="6"/>
      <c r="CT367" s="139"/>
      <c r="CU367" s="139"/>
      <c r="CV367" s="76"/>
      <c r="CW367" s="123"/>
      <c r="CX367" s="6"/>
      <c r="DI367" s="125"/>
      <c r="DJ367" s="16"/>
      <c r="DM367" s="16"/>
      <c r="DN367" s="16"/>
      <c r="DO367" s="125"/>
      <c r="DP367" s="16"/>
      <c r="DQ367" s="125"/>
      <c r="DZ367" s="125"/>
      <c r="EA367" s="142"/>
      <c r="EB367" s="125"/>
      <c r="EC367" s="16"/>
      <c r="ED367" s="125"/>
      <c r="EE367" s="125"/>
      <c r="EF367" s="16"/>
      <c r="EG367" s="125"/>
      <c r="EQ367" s="125"/>
      <c r="ER367" s="16"/>
      <c r="ES367" s="123"/>
      <c r="ET367" s="19"/>
      <c r="EU367" s="139"/>
      <c r="EV367" s="139"/>
      <c r="EW367" s="123"/>
      <c r="EX367" s="123"/>
      <c r="EY367" s="123"/>
      <c r="EZ367" s="123"/>
      <c r="FA367" s="123"/>
      <c r="FB367" s="123"/>
      <c r="FC367" s="6"/>
      <c r="FD367" s="123"/>
      <c r="FE367" s="6"/>
      <c r="FF367" s="123"/>
      <c r="FG367" s="6"/>
      <c r="FH367" s="6"/>
      <c r="FI367" s="6"/>
      <c r="FJ367" s="6"/>
      <c r="FK367" s="123"/>
      <c r="FL367" s="6"/>
      <c r="FM367" s="6"/>
      <c r="FN367" s="6"/>
      <c r="FO367" s="138"/>
      <c r="FP367" s="138"/>
      <c r="FQ367" s="123"/>
      <c r="FR367" s="6"/>
      <c r="FS367" s="6"/>
      <c r="FT367" s="139"/>
      <c r="FU367" s="139"/>
      <c r="FV367" s="76"/>
      <c r="FW367" s="123"/>
      <c r="FX367" s="6"/>
    </row>
    <row r="368" spans="35:180">
      <c r="AI368" s="125"/>
      <c r="AJ368" s="16"/>
      <c r="AM368" s="16"/>
      <c r="AN368" s="16"/>
      <c r="AO368" s="125"/>
      <c r="AP368" s="16"/>
      <c r="AQ368" s="125"/>
      <c r="AZ368" s="125"/>
      <c r="BA368" s="142"/>
      <c r="BB368" s="125"/>
      <c r="BC368" s="16"/>
      <c r="BD368" s="125"/>
      <c r="BE368" s="125"/>
      <c r="BF368" s="16"/>
      <c r="BG368" s="125"/>
      <c r="BQ368" s="125"/>
      <c r="BR368" s="16"/>
      <c r="BS368" s="123"/>
      <c r="BT368" s="19"/>
      <c r="BU368" s="139"/>
      <c r="BV368" s="139"/>
      <c r="BW368" s="123"/>
      <c r="BX368" s="123"/>
      <c r="BY368" s="123"/>
      <c r="BZ368" s="123"/>
      <c r="CA368" s="123"/>
      <c r="CB368" s="123"/>
      <c r="CC368" s="6"/>
      <c r="CD368" s="123"/>
      <c r="CE368" s="6"/>
      <c r="CF368" s="123"/>
      <c r="CG368" s="6"/>
      <c r="CH368" s="6"/>
      <c r="CI368" s="6"/>
      <c r="CJ368" s="6"/>
      <c r="CK368" s="123"/>
      <c r="CL368" s="6"/>
      <c r="CM368" s="6"/>
      <c r="CN368" s="6"/>
      <c r="CO368" s="138"/>
      <c r="CP368" s="138"/>
      <c r="CQ368" s="123"/>
      <c r="CR368" s="6"/>
      <c r="CS368" s="6"/>
      <c r="CT368" s="139"/>
      <c r="CU368" s="139"/>
      <c r="CV368" s="76"/>
      <c r="CW368" s="123"/>
      <c r="CX368" s="6"/>
      <c r="DI368" s="125"/>
      <c r="DJ368" s="16"/>
      <c r="DM368" s="16"/>
      <c r="DN368" s="16"/>
      <c r="DO368" s="125"/>
      <c r="DP368" s="16"/>
      <c r="DQ368" s="125"/>
      <c r="DZ368" s="125"/>
      <c r="EA368" s="142"/>
      <c r="EB368" s="125"/>
      <c r="EC368" s="16"/>
      <c r="ED368" s="125"/>
      <c r="EE368" s="125"/>
      <c r="EF368" s="16"/>
      <c r="EG368" s="125"/>
      <c r="EQ368" s="125"/>
      <c r="ER368" s="16"/>
      <c r="ES368" s="123"/>
      <c r="ET368" s="19"/>
      <c r="EU368" s="139"/>
      <c r="EV368" s="139"/>
      <c r="EW368" s="123"/>
      <c r="EX368" s="123"/>
      <c r="EY368" s="123"/>
      <c r="EZ368" s="123"/>
      <c r="FA368" s="123"/>
      <c r="FB368" s="123"/>
      <c r="FC368" s="6"/>
      <c r="FD368" s="123"/>
      <c r="FE368" s="6"/>
      <c r="FF368" s="123"/>
      <c r="FG368" s="6"/>
      <c r="FH368" s="6"/>
      <c r="FI368" s="6"/>
      <c r="FJ368" s="6"/>
      <c r="FK368" s="123"/>
      <c r="FL368" s="6"/>
      <c r="FM368" s="6"/>
      <c r="FN368" s="6"/>
      <c r="FO368" s="138"/>
      <c r="FP368" s="138"/>
      <c r="FQ368" s="123"/>
      <c r="FR368" s="6"/>
      <c r="FS368" s="6"/>
      <c r="FT368" s="139"/>
      <c r="FU368" s="139"/>
      <c r="FV368" s="76"/>
      <c r="FW368" s="123"/>
      <c r="FX368" s="6"/>
    </row>
    <row r="369" spans="35:180">
      <c r="AI369" s="125"/>
      <c r="AJ369" s="16"/>
      <c r="AM369" s="16"/>
      <c r="AN369" s="16"/>
      <c r="AO369" s="125"/>
      <c r="AP369" s="16"/>
      <c r="AQ369" s="125"/>
      <c r="AZ369" s="125"/>
      <c r="BA369" s="142"/>
      <c r="BB369" s="125"/>
      <c r="BC369" s="16"/>
      <c r="BD369" s="125"/>
      <c r="BE369" s="125"/>
      <c r="BF369" s="16"/>
      <c r="BG369" s="125"/>
      <c r="BQ369" s="125"/>
      <c r="BR369" s="16"/>
      <c r="BS369" s="123"/>
      <c r="BT369" s="19"/>
      <c r="BU369" s="139"/>
      <c r="BV369" s="139"/>
      <c r="BW369" s="123"/>
      <c r="BX369" s="123"/>
      <c r="BY369" s="123"/>
      <c r="BZ369" s="123"/>
      <c r="CA369" s="123"/>
      <c r="CB369" s="123"/>
      <c r="CC369" s="6"/>
      <c r="CD369" s="123"/>
      <c r="CE369" s="6"/>
      <c r="CF369" s="123"/>
      <c r="CG369" s="6"/>
      <c r="CH369" s="6"/>
      <c r="CI369" s="6"/>
      <c r="CJ369" s="6"/>
      <c r="CK369" s="123"/>
      <c r="CL369" s="6"/>
      <c r="CM369" s="6"/>
      <c r="CN369" s="6"/>
      <c r="CO369" s="138"/>
      <c r="CP369" s="138"/>
      <c r="CQ369" s="123"/>
      <c r="CR369" s="6"/>
      <c r="CS369" s="6"/>
      <c r="CT369" s="139"/>
      <c r="CU369" s="139"/>
      <c r="CV369" s="76"/>
      <c r="CW369" s="123"/>
      <c r="CX369" s="6"/>
      <c r="DI369" s="125"/>
      <c r="DJ369" s="16"/>
      <c r="DM369" s="16"/>
      <c r="DN369" s="16"/>
      <c r="DO369" s="125"/>
      <c r="DP369" s="16"/>
      <c r="DQ369" s="125"/>
      <c r="DZ369" s="125"/>
      <c r="EA369" s="142"/>
      <c r="EB369" s="125"/>
      <c r="EC369" s="16"/>
      <c r="ED369" s="125"/>
      <c r="EE369" s="125"/>
      <c r="EF369" s="16"/>
      <c r="EG369" s="125"/>
      <c r="EQ369" s="125"/>
      <c r="ER369" s="16"/>
      <c r="ES369" s="123"/>
      <c r="ET369" s="19"/>
      <c r="EU369" s="139"/>
      <c r="EV369" s="139"/>
      <c r="EW369" s="123"/>
      <c r="EX369" s="123"/>
      <c r="EY369" s="123"/>
      <c r="EZ369" s="123"/>
      <c r="FA369" s="123"/>
      <c r="FB369" s="123"/>
      <c r="FC369" s="6"/>
      <c r="FD369" s="123"/>
      <c r="FE369" s="6"/>
      <c r="FF369" s="123"/>
      <c r="FG369" s="6"/>
      <c r="FH369" s="6"/>
      <c r="FI369" s="6"/>
      <c r="FJ369" s="6"/>
      <c r="FK369" s="123"/>
      <c r="FL369" s="6"/>
      <c r="FM369" s="6"/>
      <c r="FN369" s="6"/>
      <c r="FO369" s="138"/>
      <c r="FP369" s="138"/>
      <c r="FQ369" s="123"/>
      <c r="FR369" s="6"/>
      <c r="FS369" s="6"/>
      <c r="FT369" s="139"/>
      <c r="FU369" s="139"/>
      <c r="FV369" s="76"/>
      <c r="FW369" s="123"/>
      <c r="FX369" s="6"/>
    </row>
    <row r="370" spans="35:180">
      <c r="AI370" s="125"/>
      <c r="AJ370" s="16"/>
      <c r="AM370" s="16"/>
      <c r="AN370" s="16"/>
      <c r="AO370" s="125"/>
      <c r="AP370" s="16"/>
      <c r="AQ370" s="125"/>
      <c r="AZ370" s="125"/>
      <c r="BA370" s="142"/>
      <c r="BB370" s="125"/>
      <c r="BC370" s="16"/>
      <c r="BD370" s="125"/>
      <c r="BE370" s="125"/>
      <c r="BF370" s="16"/>
      <c r="BG370" s="125"/>
      <c r="BQ370" s="125"/>
      <c r="BR370" s="16"/>
      <c r="BS370" s="123"/>
      <c r="BT370" s="19"/>
      <c r="BU370" s="139"/>
      <c r="BV370" s="139"/>
      <c r="BW370" s="123"/>
      <c r="BX370" s="123"/>
      <c r="BY370" s="123"/>
      <c r="BZ370" s="123"/>
      <c r="CA370" s="123"/>
      <c r="CB370" s="123"/>
      <c r="CC370" s="6"/>
      <c r="CD370" s="123"/>
      <c r="CE370" s="6"/>
      <c r="CF370" s="123"/>
      <c r="CG370" s="6"/>
      <c r="CH370" s="6"/>
      <c r="CI370" s="6"/>
      <c r="CJ370" s="6"/>
      <c r="CK370" s="123"/>
      <c r="CL370" s="6"/>
      <c r="CM370" s="6"/>
      <c r="CN370" s="6"/>
      <c r="CO370" s="138"/>
      <c r="CP370" s="138"/>
      <c r="CQ370" s="123"/>
      <c r="CR370" s="6"/>
      <c r="CS370" s="6"/>
      <c r="CT370" s="139"/>
      <c r="CU370" s="139"/>
      <c r="CV370" s="76"/>
      <c r="CW370" s="123"/>
      <c r="CX370" s="6"/>
      <c r="DI370" s="125"/>
      <c r="DJ370" s="16"/>
      <c r="DM370" s="16"/>
      <c r="DN370" s="16"/>
      <c r="DO370" s="125"/>
      <c r="DP370" s="16"/>
      <c r="DQ370" s="125"/>
      <c r="DZ370" s="125"/>
      <c r="EA370" s="142"/>
      <c r="EB370" s="125"/>
      <c r="EC370" s="16"/>
      <c r="ED370" s="125"/>
      <c r="EE370" s="125"/>
      <c r="EF370" s="16"/>
      <c r="EG370" s="125"/>
      <c r="EQ370" s="125"/>
      <c r="ER370" s="16"/>
      <c r="ES370" s="123"/>
      <c r="ET370" s="19"/>
      <c r="EU370" s="139"/>
      <c r="EV370" s="139"/>
      <c r="EW370" s="123"/>
      <c r="EX370" s="123"/>
      <c r="EY370" s="123"/>
      <c r="EZ370" s="123"/>
      <c r="FA370" s="123"/>
      <c r="FB370" s="123"/>
      <c r="FC370" s="6"/>
      <c r="FD370" s="123"/>
      <c r="FE370" s="6"/>
      <c r="FF370" s="123"/>
      <c r="FG370" s="6"/>
      <c r="FH370" s="6"/>
      <c r="FI370" s="6"/>
      <c r="FJ370" s="6"/>
      <c r="FK370" s="123"/>
      <c r="FL370" s="6"/>
      <c r="FM370" s="6"/>
      <c r="FN370" s="6"/>
      <c r="FO370" s="138"/>
      <c r="FP370" s="138"/>
      <c r="FQ370" s="123"/>
      <c r="FR370" s="6"/>
      <c r="FS370" s="6"/>
      <c r="FT370" s="139"/>
      <c r="FU370" s="139"/>
      <c r="FV370" s="76"/>
      <c r="FW370" s="123"/>
      <c r="FX370" s="6"/>
    </row>
    <row r="371" spans="35:180">
      <c r="AI371" s="125"/>
      <c r="AJ371" s="16"/>
      <c r="AM371" s="16"/>
      <c r="AN371" s="16"/>
      <c r="AO371" s="125"/>
      <c r="AP371" s="16"/>
      <c r="AQ371" s="125"/>
      <c r="AZ371" s="125"/>
      <c r="BA371" s="142"/>
      <c r="BB371" s="125"/>
      <c r="BC371" s="16"/>
      <c r="BD371" s="125"/>
      <c r="BE371" s="125"/>
      <c r="BF371" s="16"/>
      <c r="BG371" s="125"/>
      <c r="BQ371" s="125"/>
      <c r="BR371" s="16"/>
      <c r="BS371" s="123"/>
      <c r="BT371" s="19"/>
      <c r="BU371" s="139"/>
      <c r="BV371" s="139"/>
      <c r="BW371" s="123"/>
      <c r="BX371" s="123"/>
      <c r="BY371" s="123"/>
      <c r="BZ371" s="123"/>
      <c r="CA371" s="123"/>
      <c r="CB371" s="123"/>
      <c r="CC371" s="6"/>
      <c r="CD371" s="123"/>
      <c r="CE371" s="6"/>
      <c r="CF371" s="123"/>
      <c r="CG371" s="6"/>
      <c r="CH371" s="6"/>
      <c r="CI371" s="6"/>
      <c r="CJ371" s="6"/>
      <c r="CK371" s="123"/>
      <c r="CL371" s="6"/>
      <c r="CM371" s="6"/>
      <c r="CN371" s="6"/>
      <c r="CO371" s="138"/>
      <c r="CP371" s="138"/>
      <c r="CQ371" s="123"/>
      <c r="CR371" s="6"/>
      <c r="CS371" s="6"/>
      <c r="CT371" s="139"/>
      <c r="CU371" s="139"/>
      <c r="CV371" s="76"/>
      <c r="CW371" s="123"/>
      <c r="CX371" s="6"/>
      <c r="DI371" s="125"/>
      <c r="DJ371" s="16"/>
      <c r="DM371" s="16"/>
      <c r="DN371" s="16"/>
      <c r="DO371" s="125"/>
      <c r="DP371" s="16"/>
      <c r="DQ371" s="125"/>
      <c r="DZ371" s="125"/>
      <c r="EA371" s="142"/>
      <c r="EB371" s="125"/>
      <c r="EC371" s="16"/>
      <c r="ED371" s="125"/>
      <c r="EE371" s="125"/>
      <c r="EF371" s="16"/>
      <c r="EG371" s="125"/>
      <c r="EQ371" s="125"/>
      <c r="ER371" s="16"/>
      <c r="ES371" s="123"/>
      <c r="ET371" s="19"/>
      <c r="EU371" s="139"/>
      <c r="EV371" s="139"/>
      <c r="EW371" s="123"/>
      <c r="EX371" s="123"/>
      <c r="EY371" s="123"/>
      <c r="EZ371" s="123"/>
      <c r="FA371" s="123"/>
      <c r="FB371" s="123"/>
      <c r="FC371" s="6"/>
      <c r="FD371" s="123"/>
      <c r="FE371" s="6"/>
      <c r="FF371" s="123"/>
      <c r="FG371" s="6"/>
      <c r="FH371" s="6"/>
      <c r="FI371" s="6"/>
      <c r="FJ371" s="6"/>
      <c r="FK371" s="123"/>
      <c r="FL371" s="6"/>
      <c r="FM371" s="6"/>
      <c r="FN371" s="6"/>
      <c r="FO371" s="138"/>
      <c r="FP371" s="138"/>
      <c r="FQ371" s="123"/>
      <c r="FR371" s="6"/>
      <c r="FS371" s="6"/>
      <c r="FT371" s="139"/>
      <c r="FU371" s="139"/>
      <c r="FV371" s="76"/>
      <c r="FW371" s="123"/>
      <c r="FX371" s="6"/>
    </row>
    <row r="372" spans="35:180">
      <c r="AI372" s="125"/>
      <c r="AJ372" s="16"/>
      <c r="AM372" s="16"/>
      <c r="AN372" s="16"/>
      <c r="AO372" s="125"/>
      <c r="AP372" s="16"/>
      <c r="AQ372" s="125"/>
      <c r="AZ372" s="125"/>
      <c r="BA372" s="142"/>
      <c r="BB372" s="125"/>
      <c r="BC372" s="16"/>
      <c r="BD372" s="125"/>
      <c r="BE372" s="125"/>
      <c r="BF372" s="16"/>
      <c r="BG372" s="125"/>
      <c r="BQ372" s="125"/>
      <c r="BR372" s="16"/>
      <c r="BS372" s="123"/>
      <c r="BT372" s="19"/>
      <c r="BU372" s="139"/>
      <c r="BV372" s="139"/>
      <c r="BW372" s="123"/>
      <c r="BX372" s="123"/>
      <c r="BY372" s="123"/>
      <c r="BZ372" s="123"/>
      <c r="CA372" s="123"/>
      <c r="CB372" s="123"/>
      <c r="CC372" s="6"/>
      <c r="CD372" s="123"/>
      <c r="CE372" s="6"/>
      <c r="CF372" s="123"/>
      <c r="CG372" s="6"/>
      <c r="CH372" s="6"/>
      <c r="CI372" s="6"/>
      <c r="CJ372" s="6"/>
      <c r="CK372" s="123"/>
      <c r="CL372" s="6"/>
      <c r="CM372" s="6"/>
      <c r="CN372" s="6"/>
      <c r="CO372" s="138"/>
      <c r="CP372" s="138"/>
      <c r="CQ372" s="123"/>
      <c r="CR372" s="6"/>
      <c r="CS372" s="6"/>
      <c r="CT372" s="139"/>
      <c r="CU372" s="139"/>
      <c r="CV372" s="76"/>
      <c r="CW372" s="123"/>
      <c r="CX372" s="6"/>
      <c r="DI372" s="125"/>
      <c r="DJ372" s="16"/>
      <c r="DM372" s="16"/>
      <c r="DN372" s="16"/>
      <c r="DO372" s="125"/>
      <c r="DP372" s="16"/>
      <c r="DQ372" s="125"/>
      <c r="DZ372" s="125"/>
      <c r="EA372" s="142"/>
      <c r="EB372" s="125"/>
      <c r="EC372" s="16"/>
      <c r="ED372" s="125"/>
      <c r="EE372" s="125"/>
      <c r="EF372" s="16"/>
      <c r="EG372" s="125"/>
      <c r="EQ372" s="125"/>
      <c r="ER372" s="16"/>
      <c r="ES372" s="123"/>
      <c r="ET372" s="19"/>
      <c r="EU372" s="139"/>
      <c r="EV372" s="139"/>
      <c r="EW372" s="123"/>
      <c r="EX372" s="123"/>
      <c r="EY372" s="123"/>
      <c r="EZ372" s="123"/>
      <c r="FA372" s="123"/>
      <c r="FB372" s="123"/>
      <c r="FC372" s="6"/>
      <c r="FD372" s="123"/>
      <c r="FE372" s="6"/>
      <c r="FF372" s="123"/>
      <c r="FG372" s="6"/>
      <c r="FH372" s="6"/>
      <c r="FI372" s="6"/>
      <c r="FJ372" s="6"/>
      <c r="FK372" s="123"/>
      <c r="FL372" s="6"/>
      <c r="FM372" s="6"/>
      <c r="FN372" s="6"/>
      <c r="FO372" s="138"/>
      <c r="FP372" s="138"/>
      <c r="FQ372" s="123"/>
      <c r="FR372" s="6"/>
      <c r="FS372" s="6"/>
      <c r="FT372" s="139"/>
      <c r="FU372" s="139"/>
      <c r="FV372" s="76"/>
      <c r="FW372" s="123"/>
      <c r="FX372" s="6"/>
    </row>
    <row r="373" spans="35:180">
      <c r="AI373" s="125"/>
      <c r="AJ373" s="16"/>
      <c r="AM373" s="16"/>
      <c r="AN373" s="16"/>
      <c r="AO373" s="125"/>
      <c r="AP373" s="16"/>
      <c r="AQ373" s="125"/>
      <c r="AZ373" s="125"/>
      <c r="BA373" s="142"/>
      <c r="BB373" s="125"/>
      <c r="BC373" s="16"/>
      <c r="BD373" s="125"/>
      <c r="BE373" s="125"/>
      <c r="BF373" s="16"/>
      <c r="BG373" s="125"/>
      <c r="BQ373" s="125"/>
      <c r="BR373" s="16"/>
      <c r="BS373" s="123"/>
      <c r="BT373" s="19"/>
      <c r="BU373" s="139"/>
      <c r="BV373" s="139"/>
      <c r="BW373" s="123"/>
      <c r="BX373" s="123"/>
      <c r="BY373" s="123"/>
      <c r="BZ373" s="123"/>
      <c r="CA373" s="123"/>
      <c r="CB373" s="123"/>
      <c r="CC373" s="6"/>
      <c r="CD373" s="123"/>
      <c r="CE373" s="6"/>
      <c r="CF373" s="123"/>
      <c r="CG373" s="6"/>
      <c r="CH373" s="6"/>
      <c r="CI373" s="6"/>
      <c r="CJ373" s="6"/>
      <c r="CK373" s="123"/>
      <c r="CL373" s="6"/>
      <c r="CM373" s="6"/>
      <c r="CN373" s="6"/>
      <c r="CO373" s="138"/>
      <c r="CP373" s="138"/>
      <c r="CQ373" s="123"/>
      <c r="CR373" s="6"/>
      <c r="CS373" s="6"/>
      <c r="CT373" s="139"/>
      <c r="CU373" s="139"/>
      <c r="CV373" s="76"/>
      <c r="CW373" s="123"/>
      <c r="CX373" s="6"/>
      <c r="DI373" s="125"/>
      <c r="DJ373" s="16"/>
      <c r="DM373" s="16"/>
      <c r="DN373" s="16"/>
      <c r="DO373" s="125"/>
      <c r="DP373" s="16"/>
      <c r="DQ373" s="125"/>
      <c r="DZ373" s="125"/>
      <c r="EA373" s="142"/>
      <c r="EB373" s="125"/>
      <c r="EC373" s="16"/>
      <c r="ED373" s="125"/>
      <c r="EE373" s="125"/>
      <c r="EF373" s="16"/>
      <c r="EG373" s="125"/>
      <c r="EQ373" s="125"/>
      <c r="ER373" s="16"/>
      <c r="ES373" s="123"/>
      <c r="ET373" s="19"/>
      <c r="EU373" s="139"/>
      <c r="EV373" s="139"/>
      <c r="EW373" s="123"/>
      <c r="EX373" s="123"/>
      <c r="EY373" s="123"/>
      <c r="EZ373" s="123"/>
      <c r="FA373" s="123"/>
      <c r="FB373" s="123"/>
      <c r="FC373" s="6"/>
      <c r="FD373" s="123"/>
      <c r="FE373" s="6"/>
      <c r="FF373" s="123"/>
      <c r="FG373" s="6"/>
      <c r="FH373" s="6"/>
      <c r="FI373" s="6"/>
      <c r="FJ373" s="6"/>
      <c r="FK373" s="123"/>
      <c r="FL373" s="6"/>
      <c r="FM373" s="6"/>
      <c r="FN373" s="6"/>
      <c r="FO373" s="138"/>
      <c r="FP373" s="138"/>
      <c r="FQ373" s="123"/>
      <c r="FR373" s="6"/>
      <c r="FS373" s="6"/>
      <c r="FT373" s="139"/>
      <c r="FU373" s="139"/>
      <c r="FV373" s="76"/>
      <c r="FW373" s="123"/>
      <c r="FX373" s="6"/>
    </row>
    <row r="374" spans="35:180">
      <c r="AI374" s="125"/>
      <c r="AJ374" s="16"/>
      <c r="AM374" s="16"/>
      <c r="AN374" s="16"/>
      <c r="AO374" s="125"/>
      <c r="AP374" s="16"/>
      <c r="AQ374" s="125"/>
      <c r="AZ374" s="125"/>
      <c r="BA374" s="142"/>
      <c r="BB374" s="125"/>
      <c r="BC374" s="16"/>
      <c r="BD374" s="125"/>
      <c r="BE374" s="125"/>
      <c r="BF374" s="16"/>
      <c r="BG374" s="125"/>
      <c r="BQ374" s="125"/>
      <c r="BR374" s="16"/>
      <c r="BS374" s="123"/>
      <c r="BT374" s="19"/>
      <c r="BU374" s="139"/>
      <c r="BV374" s="139"/>
      <c r="BW374" s="123"/>
      <c r="BX374" s="123"/>
      <c r="BY374" s="123"/>
      <c r="BZ374" s="123"/>
      <c r="CA374" s="123"/>
      <c r="CB374" s="123"/>
      <c r="CC374" s="6"/>
      <c r="CD374" s="123"/>
      <c r="CE374" s="6"/>
      <c r="CF374" s="123"/>
      <c r="CG374" s="6"/>
      <c r="CH374" s="6"/>
      <c r="CI374" s="6"/>
      <c r="CJ374" s="6"/>
      <c r="CK374" s="123"/>
      <c r="CL374" s="6"/>
      <c r="CM374" s="6"/>
      <c r="CN374" s="6"/>
      <c r="CO374" s="138"/>
      <c r="CP374" s="138"/>
      <c r="CQ374" s="123"/>
      <c r="CR374" s="6"/>
      <c r="CS374" s="6"/>
      <c r="CT374" s="139"/>
      <c r="CU374" s="139"/>
      <c r="CV374" s="76"/>
      <c r="CW374" s="123"/>
      <c r="CX374" s="6"/>
      <c r="DI374" s="125"/>
      <c r="DJ374" s="16"/>
      <c r="DM374" s="16"/>
      <c r="DN374" s="16"/>
      <c r="DO374" s="125"/>
      <c r="DP374" s="16"/>
      <c r="DQ374" s="125"/>
      <c r="DZ374" s="125"/>
      <c r="EA374" s="142"/>
      <c r="EB374" s="125"/>
      <c r="EC374" s="16"/>
      <c r="ED374" s="125"/>
      <c r="EE374" s="125"/>
      <c r="EF374" s="16"/>
      <c r="EG374" s="125"/>
      <c r="EQ374" s="125"/>
      <c r="ER374" s="16"/>
      <c r="ES374" s="123"/>
      <c r="ET374" s="19"/>
      <c r="EU374" s="139"/>
      <c r="EV374" s="139"/>
      <c r="EW374" s="123"/>
      <c r="EX374" s="123"/>
      <c r="EY374" s="123"/>
      <c r="EZ374" s="123"/>
      <c r="FA374" s="123"/>
      <c r="FB374" s="123"/>
      <c r="FC374" s="6"/>
      <c r="FD374" s="123"/>
      <c r="FE374" s="6"/>
      <c r="FF374" s="123"/>
      <c r="FG374" s="6"/>
      <c r="FH374" s="6"/>
      <c r="FI374" s="6"/>
      <c r="FJ374" s="6"/>
      <c r="FK374" s="123"/>
      <c r="FL374" s="6"/>
      <c r="FM374" s="6"/>
      <c r="FN374" s="6"/>
      <c r="FO374" s="138"/>
      <c r="FP374" s="138"/>
      <c r="FQ374" s="123"/>
      <c r="FR374" s="6"/>
      <c r="FS374" s="6"/>
      <c r="FT374" s="139"/>
      <c r="FU374" s="139"/>
      <c r="FV374" s="76"/>
      <c r="FW374" s="123"/>
      <c r="FX374" s="6"/>
    </row>
    <row r="375" spans="35:180">
      <c r="AI375" s="125"/>
      <c r="AJ375" s="16"/>
      <c r="AM375" s="16"/>
      <c r="AN375" s="16"/>
      <c r="AO375" s="125"/>
      <c r="AP375" s="16"/>
      <c r="AQ375" s="125"/>
      <c r="AZ375" s="125"/>
      <c r="BA375" s="142"/>
      <c r="BB375" s="125"/>
      <c r="BC375" s="16"/>
      <c r="BD375" s="125"/>
      <c r="BE375" s="125"/>
      <c r="BF375" s="16"/>
      <c r="BG375" s="125"/>
      <c r="BQ375" s="125"/>
      <c r="BR375" s="16"/>
      <c r="BS375" s="123"/>
      <c r="BT375" s="19"/>
      <c r="BU375" s="139"/>
      <c r="BV375" s="139"/>
      <c r="BW375" s="123"/>
      <c r="BX375" s="123"/>
      <c r="BY375" s="123"/>
      <c r="BZ375" s="123"/>
      <c r="CA375" s="123"/>
      <c r="CB375" s="123"/>
      <c r="CC375" s="6"/>
      <c r="CD375" s="123"/>
      <c r="CE375" s="6"/>
      <c r="CF375" s="123"/>
      <c r="CG375" s="6"/>
      <c r="CH375" s="6"/>
      <c r="CI375" s="6"/>
      <c r="CJ375" s="6"/>
      <c r="CK375" s="123"/>
      <c r="CL375" s="6"/>
      <c r="CM375" s="6"/>
      <c r="CN375" s="6"/>
      <c r="CO375" s="138"/>
      <c r="CP375" s="138"/>
      <c r="CQ375" s="123"/>
      <c r="CR375" s="6"/>
      <c r="CS375" s="6"/>
      <c r="CT375" s="139"/>
      <c r="CU375" s="139"/>
      <c r="CV375" s="76"/>
      <c r="CW375" s="123"/>
      <c r="CX375" s="6"/>
      <c r="DI375" s="125"/>
      <c r="DJ375" s="16"/>
      <c r="DM375" s="16"/>
      <c r="DN375" s="16"/>
      <c r="DO375" s="125"/>
      <c r="DP375" s="16"/>
      <c r="DQ375" s="125"/>
      <c r="DZ375" s="125"/>
      <c r="EA375" s="142"/>
      <c r="EB375" s="125"/>
      <c r="EC375" s="16"/>
      <c r="ED375" s="125"/>
      <c r="EE375" s="125"/>
      <c r="EF375" s="16"/>
      <c r="EG375" s="125"/>
      <c r="EQ375" s="125"/>
      <c r="ER375" s="16"/>
      <c r="ES375" s="123"/>
      <c r="ET375" s="19"/>
      <c r="EU375" s="139"/>
      <c r="EV375" s="139"/>
      <c r="EW375" s="123"/>
      <c r="EX375" s="123"/>
      <c r="EY375" s="123"/>
      <c r="EZ375" s="123"/>
      <c r="FA375" s="123"/>
      <c r="FB375" s="123"/>
      <c r="FC375" s="6"/>
      <c r="FD375" s="123"/>
      <c r="FE375" s="6"/>
      <c r="FF375" s="123"/>
      <c r="FG375" s="6"/>
      <c r="FH375" s="6"/>
      <c r="FI375" s="6"/>
      <c r="FJ375" s="6"/>
      <c r="FK375" s="123"/>
      <c r="FL375" s="6"/>
      <c r="FM375" s="6"/>
      <c r="FN375" s="6"/>
      <c r="FO375" s="138"/>
      <c r="FP375" s="138"/>
      <c r="FQ375" s="123"/>
      <c r="FR375" s="6"/>
      <c r="FS375" s="6"/>
      <c r="FT375" s="139"/>
      <c r="FU375" s="139"/>
      <c r="FV375" s="76"/>
      <c r="FW375" s="123"/>
      <c r="FX375" s="6"/>
    </row>
    <row r="376" spans="35:180">
      <c r="AI376" s="125"/>
      <c r="AJ376" s="16"/>
      <c r="AM376" s="16"/>
      <c r="AN376" s="16"/>
      <c r="AO376" s="125"/>
      <c r="AP376" s="16"/>
      <c r="AQ376" s="125"/>
      <c r="AZ376" s="125"/>
      <c r="BA376" s="142"/>
      <c r="BB376" s="125"/>
      <c r="BC376" s="16"/>
      <c r="BD376" s="125"/>
      <c r="BE376" s="125"/>
      <c r="BF376" s="16"/>
      <c r="BG376" s="125"/>
      <c r="BQ376" s="125"/>
      <c r="BR376" s="16"/>
      <c r="BS376" s="123"/>
      <c r="BT376" s="19"/>
      <c r="BU376" s="139"/>
      <c r="BV376" s="139"/>
      <c r="BW376" s="123"/>
      <c r="BX376" s="123"/>
      <c r="BY376" s="123"/>
      <c r="BZ376" s="123"/>
      <c r="CA376" s="123"/>
      <c r="CB376" s="123"/>
      <c r="CC376" s="6"/>
      <c r="CD376" s="123"/>
      <c r="CE376" s="6"/>
      <c r="CF376" s="123"/>
      <c r="CG376" s="6"/>
      <c r="CH376" s="6"/>
      <c r="CI376" s="6"/>
      <c r="CJ376" s="6"/>
      <c r="CK376" s="123"/>
      <c r="CL376" s="6"/>
      <c r="CM376" s="6"/>
      <c r="CN376" s="6"/>
      <c r="CO376" s="138"/>
      <c r="CP376" s="138"/>
      <c r="CQ376" s="123"/>
      <c r="CR376" s="6"/>
      <c r="CS376" s="6"/>
      <c r="CT376" s="139"/>
      <c r="CU376" s="139"/>
      <c r="CV376" s="76"/>
      <c r="CW376" s="123"/>
      <c r="CX376" s="6"/>
      <c r="DI376" s="125"/>
      <c r="DJ376" s="16"/>
      <c r="DM376" s="16"/>
      <c r="DN376" s="16"/>
      <c r="DO376" s="125"/>
      <c r="DP376" s="16"/>
      <c r="DQ376" s="125"/>
      <c r="DZ376" s="125"/>
      <c r="EA376" s="142"/>
      <c r="EB376" s="125"/>
      <c r="EC376" s="16"/>
      <c r="ED376" s="125"/>
      <c r="EE376" s="125"/>
      <c r="EF376" s="16"/>
      <c r="EG376" s="125"/>
      <c r="EQ376" s="125"/>
      <c r="ER376" s="16"/>
      <c r="ES376" s="123"/>
      <c r="ET376" s="19"/>
      <c r="EU376" s="139"/>
      <c r="EV376" s="139"/>
      <c r="EW376" s="123"/>
      <c r="EX376" s="123"/>
      <c r="EY376" s="123"/>
      <c r="EZ376" s="123"/>
      <c r="FA376" s="123"/>
      <c r="FB376" s="123"/>
      <c r="FC376" s="6"/>
      <c r="FD376" s="123"/>
      <c r="FE376" s="6"/>
      <c r="FF376" s="123"/>
      <c r="FG376" s="6"/>
      <c r="FH376" s="6"/>
      <c r="FI376" s="6"/>
      <c r="FJ376" s="6"/>
      <c r="FK376" s="123"/>
      <c r="FL376" s="6"/>
      <c r="FM376" s="6"/>
      <c r="FN376" s="6"/>
      <c r="FO376" s="138"/>
      <c r="FP376" s="138"/>
      <c r="FQ376" s="123"/>
      <c r="FR376" s="6"/>
      <c r="FS376" s="6"/>
      <c r="FT376" s="139"/>
      <c r="FU376" s="139"/>
      <c r="FV376" s="76"/>
      <c r="FW376" s="123"/>
      <c r="FX376" s="6"/>
    </row>
    <row r="377" spans="35:180">
      <c r="AI377" s="125"/>
      <c r="AJ377" s="16"/>
      <c r="AM377" s="16"/>
      <c r="AN377" s="16"/>
      <c r="AO377" s="125"/>
      <c r="AP377" s="16"/>
      <c r="AQ377" s="125"/>
      <c r="AZ377" s="125"/>
      <c r="BA377" s="142"/>
      <c r="BB377" s="125"/>
      <c r="BC377" s="16"/>
      <c r="BD377" s="125"/>
      <c r="BE377" s="125"/>
      <c r="BF377" s="16"/>
      <c r="BG377" s="125"/>
      <c r="BQ377" s="125"/>
      <c r="BR377" s="16"/>
      <c r="BS377" s="123"/>
      <c r="BT377" s="19"/>
      <c r="BU377" s="139"/>
      <c r="BV377" s="139"/>
      <c r="BW377" s="123"/>
      <c r="BX377" s="123"/>
      <c r="BY377" s="123"/>
      <c r="BZ377" s="123"/>
      <c r="CA377" s="123"/>
      <c r="CB377" s="123"/>
      <c r="CC377" s="6"/>
      <c r="CD377" s="123"/>
      <c r="CE377" s="6"/>
      <c r="CF377" s="123"/>
      <c r="CG377" s="6"/>
      <c r="CH377" s="6"/>
      <c r="CI377" s="6"/>
      <c r="CJ377" s="6"/>
      <c r="CK377" s="123"/>
      <c r="CL377" s="6"/>
      <c r="CM377" s="6"/>
      <c r="CN377" s="6"/>
      <c r="CO377" s="138"/>
      <c r="CP377" s="138"/>
      <c r="CQ377" s="123"/>
      <c r="CR377" s="6"/>
      <c r="CS377" s="6"/>
      <c r="CT377" s="139"/>
      <c r="CU377" s="139"/>
      <c r="CV377" s="76"/>
      <c r="CW377" s="123"/>
      <c r="CX377" s="6"/>
      <c r="DI377" s="125"/>
      <c r="DJ377" s="16"/>
      <c r="DM377" s="16"/>
      <c r="DN377" s="16"/>
      <c r="DO377" s="125"/>
      <c r="DP377" s="16"/>
      <c r="DQ377" s="125"/>
      <c r="DZ377" s="125"/>
      <c r="EA377" s="142"/>
      <c r="EB377" s="125"/>
      <c r="EC377" s="16"/>
      <c r="ED377" s="125"/>
      <c r="EE377" s="125"/>
      <c r="EF377" s="16"/>
      <c r="EG377" s="125"/>
      <c r="EQ377" s="125"/>
      <c r="ER377" s="16"/>
      <c r="ES377" s="123"/>
      <c r="ET377" s="19"/>
      <c r="EU377" s="139"/>
      <c r="EV377" s="139"/>
      <c r="EW377" s="123"/>
      <c r="EX377" s="123"/>
      <c r="EY377" s="123"/>
      <c r="EZ377" s="123"/>
      <c r="FA377" s="123"/>
      <c r="FB377" s="123"/>
      <c r="FC377" s="6"/>
      <c r="FD377" s="123"/>
      <c r="FE377" s="6"/>
      <c r="FF377" s="123"/>
      <c r="FG377" s="6"/>
      <c r="FH377" s="6"/>
      <c r="FI377" s="6"/>
      <c r="FJ377" s="6"/>
      <c r="FK377" s="123"/>
      <c r="FL377" s="6"/>
      <c r="FM377" s="6"/>
      <c r="FN377" s="6"/>
      <c r="FO377" s="138"/>
      <c r="FP377" s="138"/>
      <c r="FQ377" s="123"/>
      <c r="FR377" s="6"/>
      <c r="FS377" s="6"/>
      <c r="FT377" s="139"/>
      <c r="FU377" s="139"/>
      <c r="FV377" s="76"/>
      <c r="FW377" s="123"/>
      <c r="FX377" s="6"/>
    </row>
    <row r="378" spans="35:180">
      <c r="AI378" s="125"/>
      <c r="AJ378" s="16"/>
      <c r="AM378" s="16"/>
      <c r="AN378" s="16"/>
      <c r="AO378" s="125"/>
      <c r="AP378" s="16"/>
      <c r="AQ378" s="125"/>
      <c r="AZ378" s="125"/>
      <c r="BA378" s="142"/>
      <c r="BB378" s="125"/>
      <c r="BC378" s="16"/>
      <c r="BD378" s="125"/>
      <c r="BE378" s="125"/>
      <c r="BF378" s="16"/>
      <c r="BG378" s="125"/>
      <c r="BQ378" s="125"/>
      <c r="BR378" s="16"/>
      <c r="BS378" s="123"/>
      <c r="BT378" s="19"/>
      <c r="BU378" s="139"/>
      <c r="BV378" s="139"/>
      <c r="BW378" s="123"/>
      <c r="BX378" s="123"/>
      <c r="BY378" s="123"/>
      <c r="BZ378" s="123"/>
      <c r="CA378" s="123"/>
      <c r="CB378" s="123"/>
      <c r="CC378" s="6"/>
      <c r="CD378" s="123"/>
      <c r="CE378" s="6"/>
      <c r="CF378" s="123"/>
      <c r="CG378" s="6"/>
      <c r="CH378" s="6"/>
      <c r="CI378" s="6"/>
      <c r="CJ378" s="6"/>
      <c r="CK378" s="123"/>
      <c r="CL378" s="6"/>
      <c r="CM378" s="6"/>
      <c r="CN378" s="6"/>
      <c r="CO378" s="138"/>
      <c r="CP378" s="138"/>
      <c r="CQ378" s="123"/>
      <c r="CR378" s="6"/>
      <c r="CS378" s="6"/>
      <c r="CT378" s="139"/>
      <c r="CU378" s="139"/>
      <c r="CV378" s="76"/>
      <c r="CW378" s="123"/>
      <c r="CX378" s="6"/>
      <c r="DI378" s="125"/>
      <c r="DJ378" s="16"/>
      <c r="DM378" s="16"/>
      <c r="DN378" s="16"/>
      <c r="DO378" s="125"/>
      <c r="DP378" s="16"/>
      <c r="DQ378" s="125"/>
      <c r="DZ378" s="125"/>
      <c r="EA378" s="142"/>
      <c r="EB378" s="125"/>
      <c r="EC378" s="16"/>
      <c r="ED378" s="125"/>
      <c r="EE378" s="125"/>
      <c r="EF378" s="16"/>
      <c r="EG378" s="125"/>
      <c r="EQ378" s="125"/>
      <c r="ER378" s="16"/>
      <c r="ES378" s="123"/>
      <c r="ET378" s="19"/>
      <c r="EU378" s="139"/>
      <c r="EV378" s="139"/>
      <c r="EW378" s="123"/>
      <c r="EX378" s="123"/>
      <c r="EY378" s="123"/>
      <c r="EZ378" s="123"/>
      <c r="FA378" s="123"/>
      <c r="FB378" s="123"/>
      <c r="FC378" s="6"/>
      <c r="FD378" s="123"/>
      <c r="FE378" s="6"/>
      <c r="FF378" s="123"/>
      <c r="FG378" s="6"/>
      <c r="FH378" s="6"/>
      <c r="FI378" s="6"/>
      <c r="FJ378" s="6"/>
      <c r="FK378" s="123"/>
      <c r="FL378" s="6"/>
      <c r="FM378" s="6"/>
      <c r="FN378" s="6"/>
      <c r="FO378" s="138"/>
      <c r="FP378" s="138"/>
      <c r="FQ378" s="123"/>
      <c r="FR378" s="6"/>
      <c r="FS378" s="6"/>
      <c r="FT378" s="139"/>
      <c r="FU378" s="139"/>
      <c r="FV378" s="76"/>
      <c r="FW378" s="123"/>
      <c r="FX378" s="6"/>
    </row>
    <row r="379" spans="35:180">
      <c r="AI379" s="125"/>
      <c r="AJ379" s="16"/>
      <c r="AM379" s="16"/>
      <c r="AN379" s="16"/>
      <c r="AO379" s="125"/>
      <c r="AP379" s="16"/>
      <c r="AQ379" s="125"/>
      <c r="AZ379" s="125"/>
      <c r="BA379" s="142"/>
      <c r="BB379" s="125"/>
      <c r="BC379" s="16"/>
      <c r="BD379" s="125"/>
      <c r="BE379" s="125"/>
      <c r="BF379" s="16"/>
      <c r="BG379" s="125"/>
      <c r="BQ379" s="125"/>
      <c r="BR379" s="16"/>
      <c r="BS379" s="123"/>
      <c r="BT379" s="19"/>
      <c r="BU379" s="139"/>
      <c r="BV379" s="139"/>
      <c r="BW379" s="123"/>
      <c r="BX379" s="123"/>
      <c r="BY379" s="123"/>
      <c r="BZ379" s="123"/>
      <c r="CA379" s="123"/>
      <c r="CB379" s="123"/>
      <c r="CC379" s="6"/>
      <c r="CD379" s="123"/>
      <c r="CE379" s="6"/>
      <c r="CF379" s="123"/>
      <c r="CG379" s="6"/>
      <c r="CH379" s="6"/>
      <c r="CI379" s="6"/>
      <c r="CJ379" s="6"/>
      <c r="CK379" s="123"/>
      <c r="CL379" s="6"/>
      <c r="CM379" s="6"/>
      <c r="CN379" s="6"/>
      <c r="CO379" s="138"/>
      <c r="CP379" s="138"/>
      <c r="CQ379" s="123"/>
      <c r="CR379" s="6"/>
      <c r="CS379" s="6"/>
      <c r="CT379" s="139"/>
      <c r="CU379" s="139"/>
      <c r="CV379" s="76"/>
      <c r="CW379" s="123"/>
      <c r="CX379" s="6"/>
      <c r="DI379" s="125"/>
      <c r="DJ379" s="16"/>
      <c r="DM379" s="16"/>
      <c r="DN379" s="16"/>
      <c r="DO379" s="125"/>
      <c r="DP379" s="16"/>
      <c r="DQ379" s="125"/>
      <c r="DZ379" s="125"/>
      <c r="EA379" s="142"/>
      <c r="EB379" s="125"/>
      <c r="EC379" s="16"/>
      <c r="ED379" s="125"/>
      <c r="EE379" s="125"/>
      <c r="EF379" s="16"/>
      <c r="EG379" s="125"/>
      <c r="EQ379" s="125"/>
      <c r="ER379" s="16"/>
      <c r="ES379" s="123"/>
      <c r="ET379" s="19"/>
      <c r="EU379" s="139"/>
      <c r="EV379" s="139"/>
      <c r="EW379" s="123"/>
      <c r="EX379" s="123"/>
      <c r="EY379" s="123"/>
      <c r="EZ379" s="123"/>
      <c r="FA379" s="123"/>
      <c r="FB379" s="123"/>
      <c r="FC379" s="6"/>
      <c r="FD379" s="123"/>
      <c r="FE379" s="6"/>
      <c r="FF379" s="123"/>
      <c r="FG379" s="6"/>
      <c r="FH379" s="6"/>
      <c r="FI379" s="6"/>
      <c r="FJ379" s="6"/>
      <c r="FK379" s="123"/>
      <c r="FL379" s="6"/>
      <c r="FM379" s="6"/>
      <c r="FN379" s="6"/>
      <c r="FO379" s="138"/>
      <c r="FP379" s="138"/>
      <c r="FQ379" s="123"/>
      <c r="FR379" s="6"/>
      <c r="FS379" s="6"/>
      <c r="FT379" s="139"/>
      <c r="FU379" s="139"/>
      <c r="FV379" s="76"/>
      <c r="FW379" s="123"/>
      <c r="FX379" s="6"/>
    </row>
    <row r="380" spans="35:180">
      <c r="AI380" s="125"/>
      <c r="AJ380" s="16"/>
      <c r="AM380" s="16"/>
      <c r="AN380" s="16"/>
      <c r="AO380" s="125"/>
      <c r="AP380" s="16"/>
      <c r="AQ380" s="125"/>
      <c r="AZ380" s="125"/>
      <c r="BA380" s="142"/>
      <c r="BB380" s="125"/>
      <c r="BC380" s="16"/>
      <c r="BD380" s="125"/>
      <c r="BE380" s="125"/>
      <c r="BF380" s="16"/>
      <c r="BG380" s="125"/>
      <c r="BQ380" s="125"/>
      <c r="BR380" s="16"/>
      <c r="BS380" s="123"/>
      <c r="BT380" s="19"/>
      <c r="BU380" s="139"/>
      <c r="BV380" s="139"/>
      <c r="BW380" s="123"/>
      <c r="BX380" s="123"/>
      <c r="BY380" s="123"/>
      <c r="BZ380" s="123"/>
      <c r="CA380" s="123"/>
      <c r="CB380" s="123"/>
      <c r="CC380" s="6"/>
      <c r="CD380" s="123"/>
      <c r="CE380" s="6"/>
      <c r="CF380" s="123"/>
      <c r="CG380" s="6"/>
      <c r="CH380" s="6"/>
      <c r="CI380" s="6"/>
      <c r="CJ380" s="6"/>
      <c r="CK380" s="123"/>
      <c r="CL380" s="6"/>
      <c r="CM380" s="6"/>
      <c r="CN380" s="6"/>
      <c r="CO380" s="138"/>
      <c r="CP380" s="138"/>
      <c r="CQ380" s="123"/>
      <c r="CR380" s="6"/>
      <c r="CS380" s="6"/>
      <c r="CT380" s="139"/>
      <c r="CU380" s="139"/>
      <c r="CV380" s="76"/>
      <c r="CW380" s="123"/>
      <c r="CX380" s="6"/>
      <c r="DI380" s="125"/>
      <c r="DJ380" s="16"/>
      <c r="DM380" s="16"/>
      <c r="DN380" s="16"/>
      <c r="DO380" s="125"/>
      <c r="DP380" s="16"/>
      <c r="DQ380" s="125"/>
      <c r="DZ380" s="125"/>
      <c r="EA380" s="142"/>
      <c r="EB380" s="125"/>
      <c r="EC380" s="16"/>
      <c r="ED380" s="125"/>
      <c r="EE380" s="125"/>
      <c r="EF380" s="16"/>
      <c r="EG380" s="125"/>
      <c r="EQ380" s="125"/>
      <c r="ER380" s="16"/>
      <c r="ES380" s="123"/>
      <c r="ET380" s="19"/>
      <c r="EU380" s="139"/>
      <c r="EV380" s="139"/>
      <c r="EW380" s="123"/>
      <c r="EX380" s="123"/>
      <c r="EY380" s="123"/>
      <c r="EZ380" s="123"/>
      <c r="FA380" s="123"/>
      <c r="FB380" s="123"/>
      <c r="FC380" s="6"/>
      <c r="FD380" s="123"/>
      <c r="FE380" s="6"/>
      <c r="FF380" s="123"/>
      <c r="FG380" s="6"/>
      <c r="FH380" s="6"/>
      <c r="FI380" s="6"/>
      <c r="FJ380" s="6"/>
      <c r="FK380" s="123"/>
      <c r="FL380" s="6"/>
      <c r="FM380" s="6"/>
      <c r="FN380" s="6"/>
      <c r="FO380" s="138"/>
      <c r="FP380" s="138"/>
      <c r="FQ380" s="123"/>
      <c r="FR380" s="6"/>
      <c r="FS380" s="6"/>
      <c r="FT380" s="139"/>
      <c r="FU380" s="139"/>
      <c r="FV380" s="76"/>
      <c r="FW380" s="123"/>
      <c r="FX380" s="6"/>
    </row>
    <row r="381" spans="35:180">
      <c r="AI381" s="125"/>
      <c r="AJ381" s="16"/>
      <c r="AM381" s="16"/>
      <c r="AN381" s="16"/>
      <c r="AO381" s="125"/>
      <c r="AP381" s="16"/>
      <c r="AQ381" s="125"/>
      <c r="AZ381" s="125"/>
      <c r="BA381" s="142"/>
      <c r="BB381" s="125"/>
      <c r="BC381" s="16"/>
      <c r="BD381" s="125"/>
      <c r="BE381" s="125"/>
      <c r="BF381" s="16"/>
      <c r="BG381" s="125"/>
      <c r="BQ381" s="125"/>
      <c r="BR381" s="16"/>
      <c r="BS381" s="123"/>
      <c r="BT381" s="19"/>
      <c r="BU381" s="139"/>
      <c r="BV381" s="139"/>
      <c r="BW381" s="123"/>
      <c r="BX381" s="123"/>
      <c r="BY381" s="123"/>
      <c r="BZ381" s="123"/>
      <c r="CA381" s="123"/>
      <c r="CB381" s="123"/>
      <c r="CC381" s="6"/>
      <c r="CD381" s="123"/>
      <c r="CE381" s="6"/>
      <c r="CF381" s="123"/>
      <c r="CG381" s="6"/>
      <c r="CH381" s="6"/>
      <c r="CI381" s="6"/>
      <c r="CJ381" s="6"/>
      <c r="CK381" s="123"/>
      <c r="CL381" s="6"/>
      <c r="CM381" s="6"/>
      <c r="CN381" s="6"/>
      <c r="CO381" s="138"/>
      <c r="CP381" s="138"/>
      <c r="CQ381" s="123"/>
      <c r="CR381" s="6"/>
      <c r="CS381" s="6"/>
      <c r="CT381" s="139"/>
      <c r="CU381" s="139"/>
      <c r="CV381" s="76"/>
      <c r="CW381" s="123"/>
      <c r="CX381" s="6"/>
      <c r="DI381" s="125"/>
      <c r="DJ381" s="16"/>
      <c r="DM381" s="16"/>
      <c r="DN381" s="16"/>
      <c r="DO381" s="125"/>
      <c r="DP381" s="16"/>
      <c r="DQ381" s="125"/>
      <c r="DZ381" s="125"/>
      <c r="EA381" s="142"/>
      <c r="EB381" s="125"/>
      <c r="EC381" s="16"/>
      <c r="ED381" s="125"/>
      <c r="EE381" s="125"/>
      <c r="EF381" s="16"/>
      <c r="EG381" s="125"/>
      <c r="EQ381" s="125"/>
      <c r="ER381" s="16"/>
      <c r="ES381" s="123"/>
      <c r="ET381" s="19"/>
      <c r="EU381" s="139"/>
      <c r="EV381" s="139"/>
      <c r="EW381" s="123"/>
      <c r="EX381" s="123"/>
      <c r="EY381" s="123"/>
      <c r="EZ381" s="123"/>
      <c r="FA381" s="123"/>
      <c r="FB381" s="123"/>
      <c r="FC381" s="6"/>
      <c r="FD381" s="123"/>
      <c r="FE381" s="6"/>
      <c r="FF381" s="123"/>
      <c r="FG381" s="6"/>
      <c r="FH381" s="6"/>
      <c r="FI381" s="6"/>
      <c r="FJ381" s="6"/>
      <c r="FK381" s="123"/>
      <c r="FL381" s="6"/>
      <c r="FM381" s="6"/>
      <c r="FN381" s="6"/>
      <c r="FO381" s="138"/>
      <c r="FP381" s="138"/>
      <c r="FQ381" s="123"/>
      <c r="FR381" s="6"/>
      <c r="FS381" s="6"/>
      <c r="FT381" s="139"/>
      <c r="FU381" s="139"/>
      <c r="FV381" s="76"/>
      <c r="FW381" s="123"/>
      <c r="FX381" s="6"/>
    </row>
    <row r="382" spans="35:180">
      <c r="AI382" s="125"/>
      <c r="AJ382" s="16"/>
      <c r="AM382" s="16"/>
      <c r="AN382" s="16"/>
      <c r="AO382" s="125"/>
      <c r="AP382" s="16"/>
      <c r="AQ382" s="125"/>
      <c r="AZ382" s="125"/>
      <c r="BA382" s="142"/>
      <c r="BB382" s="125"/>
      <c r="BC382" s="16"/>
      <c r="BD382" s="125"/>
      <c r="BE382" s="125"/>
      <c r="BF382" s="16"/>
      <c r="BG382" s="125"/>
      <c r="BQ382" s="125"/>
      <c r="BR382" s="16"/>
      <c r="BS382" s="123"/>
      <c r="BT382" s="19"/>
      <c r="BU382" s="139"/>
      <c r="BV382" s="139"/>
      <c r="BW382" s="123"/>
      <c r="BX382" s="123"/>
      <c r="BY382" s="123"/>
      <c r="BZ382" s="123"/>
      <c r="CA382" s="123"/>
      <c r="CB382" s="123"/>
      <c r="CC382" s="6"/>
      <c r="CD382" s="123"/>
      <c r="CE382" s="6"/>
      <c r="CF382" s="123"/>
      <c r="CG382" s="6"/>
      <c r="CH382" s="6"/>
      <c r="CI382" s="6"/>
      <c r="CJ382" s="6"/>
      <c r="CK382" s="123"/>
      <c r="CL382" s="6"/>
      <c r="CM382" s="6"/>
      <c r="CN382" s="6"/>
      <c r="CO382" s="138"/>
      <c r="CP382" s="138"/>
      <c r="CQ382" s="123"/>
      <c r="CR382" s="6"/>
      <c r="CS382" s="6"/>
      <c r="CT382" s="139"/>
      <c r="CU382" s="139"/>
      <c r="CV382" s="76"/>
      <c r="CW382" s="123"/>
      <c r="CX382" s="6"/>
      <c r="DI382" s="125"/>
      <c r="DJ382" s="16"/>
      <c r="DM382" s="16"/>
      <c r="DN382" s="16"/>
      <c r="DO382" s="125"/>
      <c r="DP382" s="16"/>
      <c r="DQ382" s="125"/>
      <c r="DZ382" s="125"/>
      <c r="EA382" s="142"/>
      <c r="EB382" s="125"/>
      <c r="EC382" s="16"/>
      <c r="ED382" s="125"/>
      <c r="EE382" s="125"/>
      <c r="EF382" s="16"/>
      <c r="EG382" s="125"/>
      <c r="EQ382" s="125"/>
      <c r="ER382" s="16"/>
      <c r="ES382" s="123"/>
      <c r="ET382" s="19"/>
      <c r="EU382" s="139"/>
      <c r="EV382" s="139"/>
      <c r="EW382" s="123"/>
      <c r="EX382" s="123"/>
      <c r="EY382" s="123"/>
      <c r="EZ382" s="123"/>
      <c r="FA382" s="123"/>
      <c r="FB382" s="123"/>
      <c r="FC382" s="6"/>
      <c r="FD382" s="123"/>
      <c r="FE382" s="6"/>
      <c r="FF382" s="123"/>
      <c r="FG382" s="6"/>
      <c r="FH382" s="6"/>
      <c r="FI382" s="6"/>
      <c r="FJ382" s="6"/>
      <c r="FK382" s="123"/>
      <c r="FL382" s="6"/>
      <c r="FM382" s="6"/>
      <c r="FN382" s="6"/>
      <c r="FO382" s="138"/>
      <c r="FP382" s="138"/>
      <c r="FQ382" s="123"/>
      <c r="FR382" s="6"/>
      <c r="FS382" s="6"/>
      <c r="FT382" s="139"/>
      <c r="FU382" s="139"/>
      <c r="FV382" s="76"/>
      <c r="FW382" s="123"/>
      <c r="FX382" s="6"/>
    </row>
    <row r="383" spans="35:180">
      <c r="AI383" s="125"/>
      <c r="AJ383" s="16"/>
      <c r="AM383" s="16"/>
      <c r="AN383" s="16"/>
      <c r="AO383" s="125"/>
      <c r="AP383" s="16"/>
      <c r="AQ383" s="125"/>
      <c r="AZ383" s="125"/>
      <c r="BA383" s="142"/>
      <c r="BB383" s="125"/>
      <c r="BC383" s="16"/>
      <c r="BD383" s="125"/>
      <c r="BE383" s="125"/>
      <c r="BF383" s="16"/>
      <c r="BG383" s="125"/>
      <c r="BQ383" s="125"/>
      <c r="BR383" s="16"/>
      <c r="BS383" s="123"/>
      <c r="BT383" s="19"/>
      <c r="BU383" s="139"/>
      <c r="BV383" s="139"/>
      <c r="BW383" s="123"/>
      <c r="BX383" s="123"/>
      <c r="BY383" s="123"/>
      <c r="BZ383" s="123"/>
      <c r="CA383" s="123"/>
      <c r="CB383" s="123"/>
      <c r="CC383" s="6"/>
      <c r="CD383" s="123"/>
      <c r="CE383" s="6"/>
      <c r="CF383" s="123"/>
      <c r="CG383" s="6"/>
      <c r="CH383" s="6"/>
      <c r="CI383" s="6"/>
      <c r="CJ383" s="6"/>
      <c r="CK383" s="123"/>
      <c r="CL383" s="6"/>
      <c r="CM383" s="6"/>
      <c r="CN383" s="6"/>
      <c r="CO383" s="138"/>
      <c r="CP383" s="138"/>
      <c r="CQ383" s="123"/>
      <c r="CR383" s="6"/>
      <c r="CS383" s="6"/>
      <c r="CT383" s="139"/>
      <c r="CU383" s="139"/>
      <c r="CV383" s="76"/>
      <c r="CW383" s="123"/>
      <c r="CX383" s="6"/>
      <c r="DI383" s="125"/>
      <c r="DJ383" s="16"/>
      <c r="DM383" s="16"/>
      <c r="DN383" s="16"/>
      <c r="DO383" s="125"/>
      <c r="DP383" s="16"/>
      <c r="DQ383" s="125"/>
      <c r="DZ383" s="125"/>
      <c r="EA383" s="142"/>
      <c r="EB383" s="125"/>
      <c r="EC383" s="16"/>
      <c r="ED383" s="125"/>
      <c r="EE383" s="125"/>
      <c r="EF383" s="16"/>
      <c r="EG383" s="125"/>
      <c r="EQ383" s="125"/>
      <c r="ER383" s="16"/>
      <c r="ES383" s="123"/>
      <c r="ET383" s="19"/>
      <c r="EU383" s="139"/>
      <c r="EV383" s="139"/>
      <c r="EW383" s="123"/>
      <c r="EX383" s="123"/>
      <c r="EY383" s="123"/>
      <c r="EZ383" s="123"/>
      <c r="FA383" s="123"/>
      <c r="FB383" s="123"/>
      <c r="FC383" s="6"/>
      <c r="FD383" s="123"/>
      <c r="FE383" s="6"/>
      <c r="FF383" s="123"/>
      <c r="FG383" s="6"/>
      <c r="FH383" s="6"/>
      <c r="FI383" s="6"/>
      <c r="FJ383" s="6"/>
      <c r="FK383" s="123"/>
      <c r="FL383" s="6"/>
      <c r="FM383" s="6"/>
      <c r="FN383" s="6"/>
      <c r="FO383" s="138"/>
      <c r="FP383" s="138"/>
      <c r="FQ383" s="123"/>
      <c r="FR383" s="6"/>
      <c r="FS383" s="6"/>
      <c r="FT383" s="139"/>
      <c r="FU383" s="139"/>
      <c r="FV383" s="76"/>
      <c r="FW383" s="123"/>
      <c r="FX383" s="6"/>
    </row>
    <row r="384" spans="35:180">
      <c r="AI384" s="125"/>
      <c r="AJ384" s="16"/>
      <c r="AM384" s="16"/>
      <c r="AN384" s="16"/>
      <c r="AO384" s="125"/>
      <c r="AP384" s="16"/>
      <c r="AQ384" s="125"/>
      <c r="AZ384" s="125"/>
      <c r="BA384" s="142"/>
      <c r="BB384" s="125"/>
      <c r="BC384" s="16"/>
      <c r="BD384" s="125"/>
      <c r="BE384" s="125"/>
      <c r="BF384" s="16"/>
      <c r="BG384" s="125"/>
      <c r="BQ384" s="125"/>
      <c r="BR384" s="16"/>
      <c r="BS384" s="123"/>
      <c r="BT384" s="19"/>
      <c r="BU384" s="139"/>
      <c r="BV384" s="139"/>
      <c r="BW384" s="123"/>
      <c r="BX384" s="123"/>
      <c r="BY384" s="123"/>
      <c r="BZ384" s="123"/>
      <c r="CA384" s="123"/>
      <c r="CB384" s="123"/>
      <c r="CC384" s="6"/>
      <c r="CD384" s="123"/>
      <c r="CE384" s="6"/>
      <c r="CF384" s="123"/>
      <c r="CG384" s="6"/>
      <c r="CH384" s="6"/>
      <c r="CI384" s="6"/>
      <c r="CJ384" s="6"/>
      <c r="CK384" s="123"/>
      <c r="CL384" s="6"/>
      <c r="CM384" s="6"/>
      <c r="CN384" s="6"/>
      <c r="CO384" s="138"/>
      <c r="CP384" s="138"/>
      <c r="CQ384" s="123"/>
      <c r="CR384" s="6"/>
      <c r="CS384" s="6"/>
      <c r="CT384" s="139"/>
      <c r="CU384" s="139"/>
      <c r="CV384" s="76"/>
      <c r="CW384" s="123"/>
      <c r="CX384" s="6"/>
      <c r="DI384" s="125"/>
      <c r="DJ384" s="16"/>
      <c r="DM384" s="16"/>
      <c r="DN384" s="16"/>
      <c r="DO384" s="125"/>
      <c r="DP384" s="16"/>
      <c r="DQ384" s="125"/>
      <c r="DZ384" s="125"/>
      <c r="EA384" s="142"/>
      <c r="EB384" s="125"/>
      <c r="EC384" s="16"/>
      <c r="ED384" s="125"/>
      <c r="EE384" s="125"/>
      <c r="EF384" s="16"/>
      <c r="EG384" s="125"/>
      <c r="EQ384" s="125"/>
      <c r="ER384" s="16"/>
      <c r="ES384" s="123"/>
      <c r="ET384" s="19"/>
      <c r="EU384" s="139"/>
      <c r="EV384" s="139"/>
      <c r="EW384" s="123"/>
      <c r="EX384" s="123"/>
      <c r="EY384" s="123"/>
      <c r="EZ384" s="123"/>
      <c r="FA384" s="123"/>
      <c r="FB384" s="123"/>
      <c r="FC384" s="6"/>
      <c r="FD384" s="123"/>
      <c r="FE384" s="6"/>
      <c r="FF384" s="123"/>
      <c r="FG384" s="6"/>
      <c r="FH384" s="6"/>
      <c r="FI384" s="6"/>
      <c r="FJ384" s="6"/>
      <c r="FK384" s="123"/>
      <c r="FL384" s="6"/>
      <c r="FM384" s="6"/>
      <c r="FN384" s="6"/>
      <c r="FO384" s="138"/>
      <c r="FP384" s="138"/>
      <c r="FQ384" s="123"/>
      <c r="FR384" s="6"/>
      <c r="FS384" s="6"/>
      <c r="FT384" s="139"/>
      <c r="FU384" s="139"/>
      <c r="FV384" s="76"/>
      <c r="FW384" s="123"/>
      <c r="FX384" s="6"/>
    </row>
    <row r="385" spans="35:180">
      <c r="AI385" s="125"/>
      <c r="AJ385" s="16"/>
      <c r="AM385" s="16"/>
      <c r="AN385" s="16"/>
      <c r="AO385" s="125"/>
      <c r="AP385" s="16"/>
      <c r="AQ385" s="125"/>
      <c r="AZ385" s="125"/>
      <c r="BA385" s="142"/>
      <c r="BB385" s="125"/>
      <c r="BC385" s="16"/>
      <c r="BD385" s="125"/>
      <c r="BE385" s="125"/>
      <c r="BF385" s="16"/>
      <c r="BG385" s="125"/>
      <c r="BQ385" s="125"/>
      <c r="BR385" s="16"/>
      <c r="BS385" s="123"/>
      <c r="BT385" s="19"/>
      <c r="BU385" s="139"/>
      <c r="BV385" s="139"/>
      <c r="BW385" s="123"/>
      <c r="BX385" s="123"/>
      <c r="BY385" s="123"/>
      <c r="BZ385" s="123"/>
      <c r="CA385" s="123"/>
      <c r="CB385" s="123"/>
      <c r="CC385" s="6"/>
      <c r="CD385" s="123"/>
      <c r="CE385" s="6"/>
      <c r="CF385" s="123"/>
      <c r="CG385" s="6"/>
      <c r="CH385" s="6"/>
      <c r="CI385" s="6"/>
      <c r="CJ385" s="6"/>
      <c r="CK385" s="123"/>
      <c r="CL385" s="6"/>
      <c r="CM385" s="6"/>
      <c r="CN385" s="6"/>
      <c r="CO385" s="138"/>
      <c r="CP385" s="138"/>
      <c r="CQ385" s="123"/>
      <c r="CR385" s="6"/>
      <c r="CS385" s="6"/>
      <c r="CT385" s="139"/>
      <c r="CU385" s="139"/>
      <c r="CV385" s="76"/>
      <c r="CW385" s="123"/>
      <c r="CX385" s="6"/>
      <c r="DI385" s="125"/>
      <c r="DJ385" s="16"/>
      <c r="DM385" s="16"/>
      <c r="DN385" s="16"/>
      <c r="DO385" s="125"/>
      <c r="DP385" s="16"/>
      <c r="DQ385" s="125"/>
      <c r="DZ385" s="125"/>
      <c r="EA385" s="142"/>
      <c r="EB385" s="125"/>
      <c r="EC385" s="16"/>
      <c r="ED385" s="125"/>
      <c r="EE385" s="125"/>
      <c r="EF385" s="16"/>
      <c r="EG385" s="125"/>
      <c r="EQ385" s="125"/>
      <c r="ER385" s="16"/>
      <c r="ES385" s="123"/>
      <c r="ET385" s="19"/>
      <c r="EU385" s="139"/>
      <c r="EV385" s="139"/>
      <c r="EW385" s="123"/>
      <c r="EX385" s="123"/>
      <c r="EY385" s="123"/>
      <c r="EZ385" s="123"/>
      <c r="FA385" s="123"/>
      <c r="FB385" s="123"/>
      <c r="FC385" s="6"/>
      <c r="FD385" s="123"/>
      <c r="FE385" s="6"/>
      <c r="FF385" s="123"/>
      <c r="FG385" s="6"/>
      <c r="FH385" s="6"/>
      <c r="FI385" s="6"/>
      <c r="FJ385" s="6"/>
      <c r="FK385" s="123"/>
      <c r="FL385" s="6"/>
      <c r="FM385" s="6"/>
      <c r="FN385" s="6"/>
      <c r="FO385" s="138"/>
      <c r="FP385" s="138"/>
      <c r="FQ385" s="123"/>
      <c r="FR385" s="6"/>
      <c r="FS385" s="6"/>
      <c r="FT385" s="139"/>
      <c r="FU385" s="139"/>
      <c r="FV385" s="76"/>
      <c r="FW385" s="123"/>
      <c r="FX385" s="6"/>
    </row>
    <row r="386" spans="35:180">
      <c r="AI386" s="125"/>
      <c r="AJ386" s="16"/>
      <c r="AM386" s="16"/>
      <c r="AN386" s="16"/>
      <c r="AO386" s="125"/>
      <c r="AP386" s="16"/>
      <c r="AQ386" s="125"/>
      <c r="AZ386" s="125"/>
      <c r="BA386" s="142"/>
      <c r="BB386" s="125"/>
      <c r="BC386" s="16"/>
      <c r="BD386" s="125"/>
      <c r="BE386" s="125"/>
      <c r="BF386" s="16"/>
      <c r="BG386" s="125"/>
      <c r="BQ386" s="125"/>
      <c r="BR386" s="16"/>
      <c r="BS386" s="123"/>
      <c r="BT386" s="19"/>
      <c r="BU386" s="139"/>
      <c r="BV386" s="139"/>
      <c r="BW386" s="123"/>
      <c r="BX386" s="123"/>
      <c r="BY386" s="123"/>
      <c r="BZ386" s="123"/>
      <c r="CA386" s="123"/>
      <c r="CB386" s="123"/>
      <c r="CC386" s="6"/>
      <c r="CD386" s="123"/>
      <c r="CE386" s="6"/>
      <c r="CF386" s="123"/>
      <c r="CG386" s="6"/>
      <c r="CH386" s="6"/>
      <c r="CI386" s="6"/>
      <c r="CJ386" s="6"/>
      <c r="CK386" s="123"/>
      <c r="CL386" s="6"/>
      <c r="CM386" s="6"/>
      <c r="CN386" s="6"/>
      <c r="CO386" s="138"/>
      <c r="CP386" s="138"/>
      <c r="CQ386" s="123"/>
      <c r="CR386" s="6"/>
      <c r="CS386" s="6"/>
      <c r="CT386" s="139"/>
      <c r="CU386" s="139"/>
      <c r="CV386" s="76"/>
      <c r="CW386" s="123"/>
      <c r="CX386" s="6"/>
      <c r="DI386" s="125"/>
      <c r="DJ386" s="16"/>
      <c r="DM386" s="16"/>
      <c r="DN386" s="16"/>
      <c r="DO386" s="125"/>
      <c r="DP386" s="16"/>
      <c r="DQ386" s="125"/>
      <c r="DZ386" s="125"/>
      <c r="EA386" s="142"/>
      <c r="EB386" s="125"/>
      <c r="EC386" s="16"/>
      <c r="ED386" s="125"/>
      <c r="EE386" s="125"/>
      <c r="EF386" s="16"/>
      <c r="EG386" s="125"/>
      <c r="EQ386" s="125"/>
      <c r="ER386" s="16"/>
      <c r="ES386" s="123"/>
      <c r="ET386" s="19"/>
      <c r="EU386" s="139"/>
      <c r="EV386" s="139"/>
      <c r="EW386" s="123"/>
      <c r="EX386" s="123"/>
      <c r="EY386" s="123"/>
      <c r="EZ386" s="123"/>
      <c r="FA386" s="123"/>
      <c r="FB386" s="123"/>
      <c r="FC386" s="6"/>
      <c r="FD386" s="123"/>
      <c r="FE386" s="6"/>
      <c r="FF386" s="123"/>
      <c r="FG386" s="6"/>
      <c r="FH386" s="6"/>
      <c r="FI386" s="6"/>
      <c r="FJ386" s="6"/>
      <c r="FK386" s="123"/>
      <c r="FL386" s="6"/>
      <c r="FM386" s="6"/>
      <c r="FN386" s="6"/>
      <c r="FO386" s="138"/>
      <c r="FP386" s="138"/>
      <c r="FQ386" s="123"/>
      <c r="FR386" s="6"/>
      <c r="FS386" s="6"/>
      <c r="FT386" s="139"/>
      <c r="FU386" s="139"/>
      <c r="FV386" s="76"/>
      <c r="FW386" s="123"/>
      <c r="FX386" s="6"/>
    </row>
    <row r="387" spans="35:180">
      <c r="AI387" s="125"/>
      <c r="AJ387" s="16"/>
      <c r="AM387" s="16"/>
      <c r="AN387" s="16"/>
      <c r="AO387" s="125"/>
      <c r="AP387" s="16"/>
      <c r="AQ387" s="125"/>
      <c r="AZ387" s="125"/>
      <c r="BA387" s="142"/>
      <c r="BB387" s="125"/>
      <c r="BC387" s="16"/>
      <c r="BD387" s="125"/>
      <c r="BE387" s="125"/>
      <c r="BF387" s="16"/>
      <c r="BG387" s="125"/>
      <c r="BQ387" s="125"/>
      <c r="BR387" s="16"/>
      <c r="BS387" s="123"/>
      <c r="BT387" s="19"/>
      <c r="BU387" s="139"/>
      <c r="BV387" s="139"/>
      <c r="BW387" s="123"/>
      <c r="BX387" s="123"/>
      <c r="BY387" s="123"/>
      <c r="BZ387" s="123"/>
      <c r="CA387" s="123"/>
      <c r="CB387" s="123"/>
      <c r="CC387" s="6"/>
      <c r="CD387" s="123"/>
      <c r="CE387" s="6"/>
      <c r="CF387" s="123"/>
      <c r="CG387" s="6"/>
      <c r="CH387" s="6"/>
      <c r="CI387" s="6"/>
      <c r="CJ387" s="6"/>
      <c r="CK387" s="123"/>
      <c r="CL387" s="6"/>
      <c r="CM387" s="6"/>
      <c r="CN387" s="6"/>
      <c r="CO387" s="138"/>
      <c r="CP387" s="138"/>
      <c r="CQ387" s="123"/>
      <c r="CR387" s="6"/>
      <c r="CS387" s="6"/>
      <c r="CT387" s="139"/>
      <c r="CU387" s="139"/>
      <c r="CV387" s="76"/>
      <c r="CW387" s="123"/>
      <c r="CX387" s="6"/>
      <c r="DI387" s="125"/>
      <c r="DJ387" s="16"/>
      <c r="DM387" s="16"/>
      <c r="DN387" s="16"/>
      <c r="DO387" s="125"/>
      <c r="DP387" s="16"/>
      <c r="DQ387" s="125"/>
      <c r="DZ387" s="125"/>
      <c r="EA387" s="142"/>
      <c r="EB387" s="125"/>
      <c r="EC387" s="16"/>
      <c r="ED387" s="125"/>
      <c r="EE387" s="125"/>
      <c r="EF387" s="16"/>
      <c r="EG387" s="125"/>
      <c r="EQ387" s="125"/>
      <c r="ER387" s="16"/>
      <c r="ES387" s="123"/>
      <c r="ET387" s="19"/>
      <c r="EU387" s="139"/>
      <c r="EV387" s="139"/>
      <c r="EW387" s="123"/>
      <c r="EX387" s="123"/>
      <c r="EY387" s="123"/>
      <c r="EZ387" s="123"/>
      <c r="FA387" s="123"/>
      <c r="FB387" s="123"/>
      <c r="FC387" s="6"/>
      <c r="FD387" s="123"/>
      <c r="FE387" s="6"/>
      <c r="FF387" s="123"/>
      <c r="FG387" s="6"/>
      <c r="FH387" s="6"/>
      <c r="FI387" s="6"/>
      <c r="FJ387" s="6"/>
      <c r="FK387" s="123"/>
      <c r="FL387" s="6"/>
      <c r="FM387" s="6"/>
      <c r="FN387" s="6"/>
      <c r="FO387" s="138"/>
      <c r="FP387" s="138"/>
      <c r="FQ387" s="123"/>
      <c r="FR387" s="6"/>
      <c r="FS387" s="6"/>
      <c r="FT387" s="139"/>
      <c r="FU387" s="139"/>
      <c r="FV387" s="76"/>
      <c r="FW387" s="123"/>
      <c r="FX387" s="6"/>
    </row>
    <row r="388" spans="35:180">
      <c r="AI388" s="125"/>
      <c r="AJ388" s="16"/>
      <c r="AM388" s="16"/>
      <c r="AN388" s="16"/>
      <c r="AO388" s="125"/>
      <c r="AP388" s="16"/>
      <c r="AQ388" s="125"/>
      <c r="AZ388" s="125"/>
      <c r="BA388" s="142"/>
      <c r="BB388" s="125"/>
      <c r="BC388" s="16"/>
      <c r="BD388" s="125"/>
      <c r="BE388" s="125"/>
      <c r="BF388" s="16"/>
      <c r="BG388" s="125"/>
      <c r="BQ388" s="125"/>
      <c r="BR388" s="16"/>
      <c r="BS388" s="123"/>
      <c r="BT388" s="19"/>
      <c r="BU388" s="139"/>
      <c r="BV388" s="139"/>
      <c r="BW388" s="123"/>
      <c r="BX388" s="123"/>
      <c r="BY388" s="123"/>
      <c r="BZ388" s="123"/>
      <c r="CA388" s="123"/>
      <c r="CB388" s="123"/>
      <c r="CC388" s="6"/>
      <c r="CD388" s="123"/>
      <c r="CE388" s="6"/>
      <c r="CF388" s="123"/>
      <c r="CG388" s="6"/>
      <c r="CH388" s="6"/>
      <c r="CI388" s="6"/>
      <c r="CJ388" s="6"/>
      <c r="CK388" s="123"/>
      <c r="CL388" s="6"/>
      <c r="CM388" s="6"/>
      <c r="CN388" s="6"/>
      <c r="CO388" s="138"/>
      <c r="CP388" s="138"/>
      <c r="CQ388" s="123"/>
      <c r="CR388" s="6"/>
      <c r="CS388" s="6"/>
      <c r="CT388" s="139"/>
      <c r="CU388" s="139"/>
      <c r="CV388" s="76"/>
      <c r="CW388" s="123"/>
      <c r="CX388" s="6"/>
      <c r="DI388" s="125"/>
      <c r="DJ388" s="16"/>
      <c r="DM388" s="16"/>
      <c r="DN388" s="16"/>
      <c r="DO388" s="125"/>
      <c r="DP388" s="16"/>
      <c r="DQ388" s="125"/>
      <c r="DZ388" s="125"/>
      <c r="EA388" s="142"/>
      <c r="EB388" s="125"/>
      <c r="EC388" s="16"/>
      <c r="ED388" s="125"/>
      <c r="EE388" s="125"/>
      <c r="EF388" s="16"/>
      <c r="EG388" s="125"/>
      <c r="EQ388" s="125"/>
      <c r="ER388" s="16"/>
      <c r="ES388" s="123"/>
      <c r="ET388" s="19"/>
      <c r="EU388" s="139"/>
      <c r="EV388" s="139"/>
      <c r="EW388" s="123"/>
      <c r="EX388" s="123"/>
      <c r="EY388" s="123"/>
      <c r="EZ388" s="123"/>
      <c r="FA388" s="123"/>
      <c r="FB388" s="123"/>
      <c r="FC388" s="6"/>
      <c r="FD388" s="123"/>
      <c r="FE388" s="6"/>
      <c r="FF388" s="123"/>
      <c r="FG388" s="6"/>
      <c r="FH388" s="6"/>
      <c r="FI388" s="6"/>
      <c r="FJ388" s="6"/>
      <c r="FK388" s="123"/>
      <c r="FL388" s="6"/>
      <c r="FM388" s="6"/>
      <c r="FN388" s="6"/>
      <c r="FO388" s="138"/>
      <c r="FP388" s="138"/>
      <c r="FQ388" s="123"/>
      <c r="FR388" s="6"/>
      <c r="FS388" s="6"/>
      <c r="FT388" s="139"/>
      <c r="FU388" s="139"/>
      <c r="FV388" s="76"/>
      <c r="FW388" s="123"/>
      <c r="FX388" s="6"/>
    </row>
    <row r="389" spans="35:180">
      <c r="AI389" s="125"/>
      <c r="AJ389" s="16"/>
      <c r="AM389" s="16"/>
      <c r="AN389" s="16"/>
      <c r="AO389" s="125"/>
      <c r="AP389" s="16"/>
      <c r="AQ389" s="125"/>
      <c r="AZ389" s="125"/>
      <c r="BA389" s="142"/>
      <c r="BB389" s="125"/>
      <c r="BC389" s="16"/>
      <c r="BD389" s="125"/>
      <c r="BE389" s="125"/>
      <c r="BF389" s="16"/>
      <c r="BG389" s="125"/>
      <c r="BQ389" s="125"/>
      <c r="BR389" s="16"/>
      <c r="BS389" s="123"/>
      <c r="BT389" s="19"/>
      <c r="BU389" s="139"/>
      <c r="BV389" s="139"/>
      <c r="BW389" s="123"/>
      <c r="BX389" s="123"/>
      <c r="BY389" s="123"/>
      <c r="BZ389" s="123"/>
      <c r="CA389" s="123"/>
      <c r="CB389" s="123"/>
      <c r="CC389" s="6"/>
      <c r="CD389" s="123"/>
      <c r="CE389" s="6"/>
      <c r="CF389" s="123"/>
      <c r="CG389" s="6"/>
      <c r="CH389" s="6"/>
      <c r="CI389" s="6"/>
      <c r="CJ389" s="6"/>
      <c r="CK389" s="123"/>
      <c r="CL389" s="6"/>
      <c r="CM389" s="6"/>
      <c r="CN389" s="6"/>
      <c r="CO389" s="138"/>
      <c r="CP389" s="138"/>
      <c r="CQ389" s="123"/>
      <c r="CR389" s="6"/>
      <c r="CS389" s="6"/>
      <c r="CT389" s="139"/>
      <c r="CU389" s="139"/>
      <c r="CV389" s="76"/>
      <c r="CW389" s="123"/>
      <c r="CX389" s="6"/>
      <c r="DI389" s="125"/>
      <c r="DJ389" s="16"/>
      <c r="DM389" s="16"/>
      <c r="DN389" s="16"/>
      <c r="DO389" s="125"/>
      <c r="DP389" s="16"/>
      <c r="DQ389" s="125"/>
      <c r="DZ389" s="125"/>
      <c r="EA389" s="142"/>
      <c r="EB389" s="125"/>
      <c r="EC389" s="16"/>
      <c r="ED389" s="125"/>
      <c r="EE389" s="125"/>
      <c r="EF389" s="16"/>
      <c r="EG389" s="125"/>
      <c r="EQ389" s="125"/>
      <c r="ER389" s="16"/>
      <c r="ES389" s="123"/>
      <c r="ET389" s="19"/>
      <c r="EU389" s="139"/>
      <c r="EV389" s="139"/>
      <c r="EW389" s="123"/>
      <c r="EX389" s="123"/>
      <c r="EY389" s="123"/>
      <c r="EZ389" s="123"/>
      <c r="FA389" s="123"/>
      <c r="FB389" s="123"/>
      <c r="FC389" s="6"/>
      <c r="FD389" s="123"/>
      <c r="FE389" s="6"/>
      <c r="FF389" s="123"/>
      <c r="FG389" s="6"/>
      <c r="FH389" s="6"/>
      <c r="FI389" s="6"/>
      <c r="FJ389" s="6"/>
      <c r="FK389" s="123"/>
      <c r="FL389" s="6"/>
      <c r="FM389" s="6"/>
      <c r="FN389" s="6"/>
      <c r="FO389" s="138"/>
      <c r="FP389" s="138"/>
      <c r="FQ389" s="123"/>
      <c r="FR389" s="6"/>
      <c r="FS389" s="6"/>
      <c r="FT389" s="139"/>
      <c r="FU389" s="139"/>
      <c r="FV389" s="76"/>
      <c r="FW389" s="123"/>
      <c r="FX389" s="6"/>
    </row>
    <row r="390" spans="35:180">
      <c r="AI390" s="125"/>
      <c r="AJ390" s="16"/>
      <c r="AM390" s="16"/>
      <c r="AN390" s="16"/>
      <c r="AO390" s="125"/>
      <c r="AP390" s="16"/>
      <c r="AQ390" s="125"/>
      <c r="AZ390" s="125"/>
      <c r="BA390" s="142"/>
      <c r="BB390" s="125"/>
      <c r="BC390" s="16"/>
      <c r="BD390" s="125"/>
      <c r="BE390" s="125"/>
      <c r="BF390" s="16"/>
      <c r="BG390" s="125"/>
      <c r="BQ390" s="125"/>
      <c r="BR390" s="16"/>
      <c r="BS390" s="123"/>
      <c r="BT390" s="19"/>
      <c r="BU390" s="139"/>
      <c r="BV390" s="139"/>
      <c r="BW390" s="123"/>
      <c r="BX390" s="123"/>
      <c r="BY390" s="123"/>
      <c r="BZ390" s="123"/>
      <c r="CA390" s="123"/>
      <c r="CB390" s="123"/>
      <c r="CC390" s="6"/>
      <c r="CD390" s="123"/>
      <c r="CE390" s="6"/>
      <c r="CF390" s="123"/>
      <c r="CG390" s="6"/>
      <c r="CH390" s="6"/>
      <c r="CI390" s="6"/>
      <c r="CJ390" s="6"/>
      <c r="CK390" s="123"/>
      <c r="CL390" s="6"/>
      <c r="CM390" s="6"/>
      <c r="CN390" s="6"/>
      <c r="CO390" s="138"/>
      <c r="CP390" s="138"/>
      <c r="CQ390" s="123"/>
      <c r="CR390" s="6"/>
      <c r="CS390" s="6"/>
      <c r="CT390" s="139"/>
      <c r="CU390" s="139"/>
      <c r="CV390" s="76"/>
      <c r="CW390" s="123"/>
      <c r="CX390" s="6"/>
      <c r="DI390" s="125"/>
      <c r="DJ390" s="16"/>
      <c r="DM390" s="16"/>
      <c r="DN390" s="16"/>
      <c r="DO390" s="125"/>
      <c r="DP390" s="16"/>
      <c r="DQ390" s="125"/>
      <c r="DZ390" s="125"/>
      <c r="EA390" s="142"/>
      <c r="EB390" s="125"/>
      <c r="EC390" s="16"/>
      <c r="ED390" s="125"/>
      <c r="EE390" s="125"/>
      <c r="EF390" s="16"/>
      <c r="EG390" s="125"/>
      <c r="EQ390" s="125"/>
      <c r="ER390" s="16"/>
      <c r="ES390" s="123"/>
      <c r="ET390" s="19"/>
      <c r="EU390" s="139"/>
      <c r="EV390" s="139"/>
      <c r="EW390" s="123"/>
      <c r="EX390" s="123"/>
      <c r="EY390" s="123"/>
      <c r="EZ390" s="123"/>
      <c r="FA390" s="123"/>
      <c r="FB390" s="123"/>
      <c r="FC390" s="6"/>
      <c r="FD390" s="123"/>
      <c r="FE390" s="6"/>
      <c r="FF390" s="123"/>
      <c r="FG390" s="6"/>
      <c r="FH390" s="6"/>
      <c r="FI390" s="6"/>
      <c r="FJ390" s="6"/>
      <c r="FK390" s="123"/>
      <c r="FL390" s="6"/>
      <c r="FM390" s="6"/>
      <c r="FN390" s="6"/>
      <c r="FO390" s="138"/>
      <c r="FP390" s="138"/>
      <c r="FQ390" s="123"/>
      <c r="FR390" s="6"/>
      <c r="FS390" s="6"/>
      <c r="FT390" s="139"/>
      <c r="FU390" s="139"/>
      <c r="FV390" s="76"/>
      <c r="FW390" s="123"/>
      <c r="FX390" s="6"/>
    </row>
    <row r="391" spans="35:180">
      <c r="AI391" s="125"/>
      <c r="AJ391" s="16"/>
      <c r="AM391" s="16"/>
      <c r="AN391" s="16"/>
      <c r="AO391" s="125"/>
      <c r="AP391" s="16"/>
      <c r="AQ391" s="125"/>
      <c r="AZ391" s="125"/>
      <c r="BA391" s="142"/>
      <c r="BB391" s="125"/>
      <c r="BC391" s="16"/>
      <c r="BD391" s="125"/>
      <c r="BE391" s="125"/>
      <c r="BF391" s="16"/>
      <c r="BG391" s="125"/>
      <c r="BQ391" s="125"/>
      <c r="BR391" s="16"/>
      <c r="BS391" s="123"/>
      <c r="BT391" s="19"/>
      <c r="BU391" s="139"/>
      <c r="BV391" s="139"/>
      <c r="BW391" s="123"/>
      <c r="BX391" s="123"/>
      <c r="BY391" s="123"/>
      <c r="BZ391" s="123"/>
      <c r="CA391" s="123"/>
      <c r="CB391" s="123"/>
      <c r="CC391" s="6"/>
      <c r="CD391" s="123"/>
      <c r="CE391" s="6"/>
      <c r="CF391" s="123"/>
      <c r="CG391" s="6"/>
      <c r="CH391" s="6"/>
      <c r="CI391" s="6"/>
      <c r="CJ391" s="6"/>
      <c r="CK391" s="123"/>
      <c r="CL391" s="6"/>
      <c r="CM391" s="6"/>
      <c r="CN391" s="6"/>
      <c r="CO391" s="138"/>
      <c r="CP391" s="138"/>
      <c r="CQ391" s="123"/>
      <c r="CR391" s="6"/>
      <c r="CS391" s="6"/>
      <c r="CT391" s="139"/>
      <c r="CU391" s="139"/>
      <c r="CV391" s="76"/>
      <c r="CW391" s="123"/>
      <c r="CX391" s="6"/>
      <c r="DI391" s="125"/>
      <c r="DJ391" s="16"/>
      <c r="DM391" s="16"/>
      <c r="DN391" s="16"/>
      <c r="DO391" s="125"/>
      <c r="DP391" s="16"/>
      <c r="DQ391" s="125"/>
      <c r="DZ391" s="125"/>
      <c r="EA391" s="142"/>
      <c r="EB391" s="125"/>
      <c r="EC391" s="16"/>
      <c r="ED391" s="125"/>
      <c r="EE391" s="125"/>
      <c r="EF391" s="16"/>
      <c r="EG391" s="125"/>
      <c r="EQ391" s="125"/>
      <c r="ER391" s="16"/>
      <c r="ES391" s="123"/>
      <c r="ET391" s="19"/>
      <c r="EU391" s="139"/>
      <c r="EV391" s="139"/>
      <c r="EW391" s="123"/>
      <c r="EX391" s="123"/>
      <c r="EY391" s="123"/>
      <c r="EZ391" s="123"/>
      <c r="FA391" s="123"/>
      <c r="FB391" s="123"/>
      <c r="FC391" s="6"/>
      <c r="FD391" s="123"/>
      <c r="FE391" s="6"/>
      <c r="FF391" s="123"/>
      <c r="FG391" s="6"/>
      <c r="FH391" s="6"/>
      <c r="FI391" s="6"/>
      <c r="FJ391" s="6"/>
      <c r="FK391" s="123"/>
      <c r="FL391" s="6"/>
      <c r="FM391" s="6"/>
      <c r="FN391" s="6"/>
      <c r="FO391" s="138"/>
      <c r="FP391" s="138"/>
      <c r="FQ391" s="123"/>
      <c r="FR391" s="6"/>
      <c r="FS391" s="6"/>
      <c r="FT391" s="139"/>
      <c r="FU391" s="139"/>
      <c r="FV391" s="76"/>
      <c r="FW391" s="123"/>
      <c r="FX391" s="6"/>
    </row>
    <row r="392" spans="35:180">
      <c r="AI392" s="125"/>
      <c r="AJ392" s="16"/>
      <c r="AM392" s="16"/>
      <c r="AN392" s="16"/>
      <c r="AO392" s="125"/>
      <c r="AP392" s="16"/>
      <c r="AQ392" s="125"/>
      <c r="AZ392" s="125"/>
      <c r="BA392" s="142"/>
      <c r="BB392" s="125"/>
      <c r="BC392" s="16"/>
      <c r="BD392" s="125"/>
      <c r="BE392" s="125"/>
      <c r="BF392" s="16"/>
      <c r="BG392" s="125"/>
      <c r="BQ392" s="125"/>
      <c r="BR392" s="16"/>
      <c r="BS392" s="123"/>
      <c r="BT392" s="19"/>
      <c r="BU392" s="139"/>
      <c r="BV392" s="139"/>
      <c r="BW392" s="123"/>
      <c r="BX392" s="123"/>
      <c r="BY392" s="123"/>
      <c r="BZ392" s="123"/>
      <c r="CA392" s="123"/>
      <c r="CB392" s="123"/>
      <c r="CC392" s="6"/>
      <c r="CD392" s="123"/>
      <c r="CE392" s="6"/>
      <c r="CF392" s="123"/>
      <c r="CG392" s="6"/>
      <c r="CH392" s="6"/>
      <c r="CI392" s="6"/>
      <c r="CJ392" s="6"/>
      <c r="CK392" s="123"/>
      <c r="CL392" s="6"/>
      <c r="CM392" s="6"/>
      <c r="CN392" s="6"/>
      <c r="CO392" s="138"/>
      <c r="CP392" s="138"/>
      <c r="CQ392" s="123"/>
      <c r="CR392" s="6"/>
      <c r="CS392" s="6"/>
      <c r="CT392" s="139"/>
      <c r="CU392" s="139"/>
      <c r="CV392" s="76"/>
      <c r="CW392" s="123"/>
      <c r="CX392" s="6"/>
      <c r="DI392" s="125"/>
      <c r="DJ392" s="16"/>
      <c r="DM392" s="16"/>
      <c r="DN392" s="16"/>
      <c r="DO392" s="125"/>
      <c r="DP392" s="16"/>
      <c r="DQ392" s="125"/>
      <c r="DZ392" s="125"/>
      <c r="EA392" s="142"/>
      <c r="EB392" s="125"/>
      <c r="EC392" s="16"/>
      <c r="ED392" s="125"/>
      <c r="EE392" s="125"/>
      <c r="EF392" s="16"/>
      <c r="EG392" s="125"/>
      <c r="EQ392" s="125"/>
      <c r="ER392" s="16"/>
      <c r="ES392" s="123"/>
      <c r="ET392" s="19"/>
      <c r="EU392" s="139"/>
      <c r="EV392" s="139"/>
      <c r="EW392" s="123"/>
      <c r="EX392" s="123"/>
      <c r="EY392" s="123"/>
      <c r="EZ392" s="123"/>
      <c r="FA392" s="123"/>
      <c r="FB392" s="123"/>
      <c r="FC392" s="6"/>
      <c r="FD392" s="123"/>
      <c r="FE392" s="6"/>
      <c r="FF392" s="123"/>
      <c r="FG392" s="6"/>
      <c r="FH392" s="6"/>
      <c r="FI392" s="6"/>
      <c r="FJ392" s="6"/>
      <c r="FK392" s="123"/>
      <c r="FL392" s="6"/>
      <c r="FM392" s="6"/>
      <c r="FN392" s="6"/>
      <c r="FO392" s="138"/>
      <c r="FP392" s="138"/>
      <c r="FQ392" s="123"/>
      <c r="FR392" s="6"/>
      <c r="FS392" s="6"/>
      <c r="FT392" s="139"/>
      <c r="FU392" s="139"/>
      <c r="FV392" s="76"/>
      <c r="FW392" s="123"/>
      <c r="FX392" s="6"/>
    </row>
    <row r="393" spans="35:180">
      <c r="AI393" s="125"/>
      <c r="AJ393" s="16"/>
      <c r="AM393" s="16"/>
      <c r="AN393" s="16"/>
      <c r="AO393" s="125"/>
      <c r="AP393" s="16"/>
      <c r="AQ393" s="125"/>
      <c r="AZ393" s="125"/>
      <c r="BA393" s="142"/>
      <c r="BB393" s="125"/>
      <c r="BC393" s="16"/>
      <c r="BD393" s="125"/>
      <c r="BE393" s="125"/>
      <c r="BF393" s="16"/>
      <c r="BG393" s="125"/>
      <c r="BQ393" s="125"/>
      <c r="BR393" s="16"/>
      <c r="BS393" s="123"/>
      <c r="BT393" s="19"/>
      <c r="BU393" s="139"/>
      <c r="BV393" s="139"/>
      <c r="BW393" s="123"/>
      <c r="BX393" s="123"/>
      <c r="BY393" s="123"/>
      <c r="BZ393" s="123"/>
      <c r="CA393" s="123"/>
      <c r="CB393" s="123"/>
      <c r="CC393" s="6"/>
      <c r="CD393" s="123"/>
      <c r="CE393" s="6"/>
      <c r="CF393" s="123"/>
      <c r="CG393" s="6"/>
      <c r="CH393" s="6"/>
      <c r="CI393" s="6"/>
      <c r="CJ393" s="6"/>
      <c r="CK393" s="123"/>
      <c r="CL393" s="6"/>
      <c r="CM393" s="6"/>
      <c r="CN393" s="6"/>
      <c r="CO393" s="138"/>
      <c r="CP393" s="138"/>
      <c r="CQ393" s="123"/>
      <c r="CR393" s="6"/>
      <c r="CS393" s="6"/>
      <c r="CT393" s="139"/>
      <c r="CU393" s="139"/>
      <c r="CV393" s="76"/>
      <c r="CW393" s="123"/>
      <c r="CX393" s="6"/>
      <c r="DI393" s="125"/>
      <c r="DJ393" s="16"/>
      <c r="DM393" s="16"/>
      <c r="DN393" s="16"/>
      <c r="DO393" s="125"/>
      <c r="DP393" s="16"/>
      <c r="DQ393" s="125"/>
      <c r="DZ393" s="125"/>
      <c r="EA393" s="142"/>
      <c r="EB393" s="125"/>
      <c r="EC393" s="16"/>
      <c r="ED393" s="125"/>
      <c r="EE393" s="125"/>
      <c r="EF393" s="16"/>
      <c r="EG393" s="125"/>
      <c r="EQ393" s="125"/>
      <c r="ER393" s="16"/>
      <c r="ES393" s="123"/>
      <c r="ET393" s="19"/>
      <c r="EU393" s="139"/>
      <c r="EV393" s="139"/>
      <c r="EW393" s="123"/>
      <c r="EX393" s="123"/>
      <c r="EY393" s="123"/>
      <c r="EZ393" s="123"/>
      <c r="FA393" s="123"/>
      <c r="FB393" s="123"/>
      <c r="FC393" s="6"/>
      <c r="FD393" s="123"/>
      <c r="FE393" s="6"/>
      <c r="FF393" s="123"/>
      <c r="FG393" s="6"/>
      <c r="FH393" s="6"/>
      <c r="FI393" s="6"/>
      <c r="FJ393" s="6"/>
      <c r="FK393" s="123"/>
      <c r="FL393" s="6"/>
      <c r="FM393" s="6"/>
      <c r="FN393" s="6"/>
      <c r="FO393" s="138"/>
      <c r="FP393" s="138"/>
      <c r="FQ393" s="123"/>
      <c r="FR393" s="6"/>
      <c r="FS393" s="6"/>
      <c r="FT393" s="139"/>
      <c r="FU393" s="139"/>
      <c r="FV393" s="76"/>
      <c r="FW393" s="123"/>
      <c r="FX393" s="6"/>
    </row>
    <row r="394" spans="35:180">
      <c r="AI394" s="125"/>
      <c r="AJ394" s="16"/>
      <c r="AM394" s="16"/>
      <c r="AN394" s="16"/>
      <c r="AO394" s="125"/>
      <c r="AP394" s="16"/>
      <c r="AQ394" s="125"/>
      <c r="AZ394" s="125"/>
      <c r="BA394" s="142"/>
      <c r="BB394" s="125"/>
      <c r="BC394" s="16"/>
      <c r="BD394" s="125"/>
      <c r="BE394" s="125"/>
      <c r="BF394" s="16"/>
      <c r="BG394" s="125"/>
      <c r="BQ394" s="125"/>
      <c r="BR394" s="16"/>
      <c r="BS394" s="123"/>
      <c r="BT394" s="19"/>
      <c r="BU394" s="139"/>
      <c r="BV394" s="139"/>
      <c r="BW394" s="123"/>
      <c r="BX394" s="123"/>
      <c r="BY394" s="123"/>
      <c r="BZ394" s="123"/>
      <c r="CA394" s="123"/>
      <c r="CB394" s="123"/>
      <c r="CC394" s="6"/>
      <c r="CD394" s="123"/>
      <c r="CE394" s="6"/>
      <c r="CF394" s="123"/>
      <c r="CG394" s="6"/>
      <c r="CH394" s="6"/>
      <c r="CI394" s="6"/>
      <c r="CJ394" s="6"/>
      <c r="CK394" s="123"/>
      <c r="CL394" s="6"/>
      <c r="CM394" s="6"/>
      <c r="CN394" s="6"/>
      <c r="CO394" s="138"/>
      <c r="CP394" s="138"/>
      <c r="CQ394" s="123"/>
      <c r="CR394" s="6"/>
      <c r="CS394" s="6"/>
      <c r="CT394" s="139"/>
      <c r="CU394" s="139"/>
      <c r="CV394" s="76"/>
      <c r="CW394" s="123"/>
      <c r="CX394" s="6"/>
      <c r="DI394" s="125"/>
      <c r="DJ394" s="16"/>
      <c r="DM394" s="16"/>
      <c r="DN394" s="16"/>
      <c r="DO394" s="125"/>
      <c r="DP394" s="16"/>
      <c r="DQ394" s="125"/>
      <c r="DZ394" s="125"/>
      <c r="EA394" s="142"/>
      <c r="EB394" s="125"/>
      <c r="EC394" s="16"/>
      <c r="ED394" s="125"/>
      <c r="EE394" s="125"/>
      <c r="EF394" s="16"/>
      <c r="EG394" s="125"/>
      <c r="EQ394" s="125"/>
      <c r="ER394" s="16"/>
      <c r="ES394" s="123"/>
      <c r="ET394" s="19"/>
      <c r="EU394" s="139"/>
      <c r="EV394" s="139"/>
      <c r="EW394" s="123"/>
      <c r="EX394" s="123"/>
      <c r="EY394" s="123"/>
      <c r="EZ394" s="123"/>
      <c r="FA394" s="123"/>
      <c r="FB394" s="123"/>
      <c r="FC394" s="6"/>
      <c r="FD394" s="123"/>
      <c r="FE394" s="6"/>
      <c r="FF394" s="123"/>
      <c r="FG394" s="6"/>
      <c r="FH394" s="6"/>
      <c r="FI394" s="6"/>
      <c r="FJ394" s="6"/>
      <c r="FK394" s="123"/>
      <c r="FL394" s="6"/>
      <c r="FM394" s="6"/>
      <c r="FN394" s="6"/>
      <c r="FO394" s="138"/>
      <c r="FP394" s="138"/>
      <c r="FQ394" s="123"/>
      <c r="FR394" s="6"/>
      <c r="FS394" s="6"/>
      <c r="FT394" s="139"/>
      <c r="FU394" s="139"/>
      <c r="FV394" s="76"/>
      <c r="FW394" s="123"/>
      <c r="FX394" s="6"/>
    </row>
    <row r="395" spans="35:180">
      <c r="AI395" s="125"/>
      <c r="AJ395" s="16"/>
      <c r="AM395" s="16"/>
      <c r="AN395" s="16"/>
      <c r="AO395" s="125"/>
      <c r="AP395" s="16"/>
      <c r="AQ395" s="125"/>
      <c r="AZ395" s="125"/>
      <c r="BA395" s="142"/>
      <c r="BB395" s="125"/>
      <c r="BC395" s="16"/>
      <c r="BD395" s="125"/>
      <c r="BE395" s="125"/>
      <c r="BF395" s="16"/>
      <c r="BG395" s="125"/>
      <c r="BQ395" s="125"/>
      <c r="BR395" s="16"/>
      <c r="BS395" s="123"/>
      <c r="BT395" s="19"/>
      <c r="BU395" s="139"/>
      <c r="BV395" s="139"/>
      <c r="BW395" s="123"/>
      <c r="BX395" s="123"/>
      <c r="BY395" s="123"/>
      <c r="BZ395" s="123"/>
      <c r="CA395" s="123"/>
      <c r="CB395" s="123"/>
      <c r="CC395" s="6"/>
      <c r="CD395" s="123"/>
      <c r="CE395" s="6"/>
      <c r="CF395" s="123"/>
      <c r="CG395" s="6"/>
      <c r="CH395" s="6"/>
      <c r="CI395" s="6"/>
      <c r="CJ395" s="6"/>
      <c r="CK395" s="123"/>
      <c r="CL395" s="6"/>
      <c r="CM395" s="6"/>
      <c r="CN395" s="6"/>
      <c r="CO395" s="138"/>
      <c r="CP395" s="138"/>
      <c r="CQ395" s="123"/>
      <c r="CR395" s="6"/>
      <c r="CS395" s="6"/>
      <c r="CT395" s="139"/>
      <c r="CU395" s="139"/>
      <c r="CV395" s="76"/>
      <c r="CW395" s="123"/>
      <c r="CX395" s="6"/>
      <c r="DI395" s="125"/>
      <c r="DJ395" s="16"/>
      <c r="DM395" s="16"/>
      <c r="DN395" s="16"/>
      <c r="DO395" s="125"/>
      <c r="DP395" s="16"/>
      <c r="DQ395" s="125"/>
      <c r="DZ395" s="125"/>
      <c r="EA395" s="142"/>
      <c r="EB395" s="125"/>
      <c r="EC395" s="16"/>
      <c r="ED395" s="125"/>
      <c r="EE395" s="125"/>
      <c r="EF395" s="16"/>
      <c r="EG395" s="125"/>
      <c r="EQ395" s="125"/>
      <c r="ER395" s="16"/>
      <c r="ES395" s="123"/>
      <c r="ET395" s="19"/>
      <c r="EU395" s="139"/>
      <c r="EV395" s="139"/>
      <c r="EW395" s="123"/>
      <c r="EX395" s="123"/>
      <c r="EY395" s="123"/>
      <c r="EZ395" s="123"/>
      <c r="FA395" s="123"/>
      <c r="FB395" s="123"/>
      <c r="FC395" s="6"/>
      <c r="FD395" s="123"/>
      <c r="FE395" s="6"/>
      <c r="FF395" s="123"/>
      <c r="FG395" s="6"/>
      <c r="FH395" s="6"/>
      <c r="FI395" s="6"/>
      <c r="FJ395" s="6"/>
      <c r="FK395" s="123"/>
      <c r="FL395" s="6"/>
      <c r="FM395" s="6"/>
      <c r="FN395" s="6"/>
      <c r="FO395" s="138"/>
      <c r="FP395" s="138"/>
      <c r="FQ395" s="123"/>
      <c r="FR395" s="6"/>
      <c r="FS395" s="6"/>
      <c r="FT395" s="139"/>
      <c r="FU395" s="139"/>
      <c r="FV395" s="76"/>
      <c r="FW395" s="123"/>
      <c r="FX395" s="6"/>
    </row>
    <row r="396" spans="35:180">
      <c r="AI396" s="125"/>
      <c r="AJ396" s="16"/>
      <c r="AM396" s="16"/>
      <c r="AN396" s="16"/>
      <c r="AO396" s="125"/>
      <c r="AP396" s="16"/>
      <c r="AQ396" s="125"/>
      <c r="AZ396" s="125"/>
      <c r="BA396" s="142"/>
      <c r="BB396" s="125"/>
      <c r="BC396" s="16"/>
      <c r="BD396" s="125"/>
      <c r="BE396" s="125"/>
      <c r="BF396" s="16"/>
      <c r="BG396" s="125"/>
      <c r="BQ396" s="125"/>
      <c r="BR396" s="16"/>
      <c r="BS396" s="123"/>
      <c r="BT396" s="19"/>
      <c r="BU396" s="139"/>
      <c r="BV396" s="139"/>
      <c r="BW396" s="123"/>
      <c r="BX396" s="123"/>
      <c r="BY396" s="123"/>
      <c r="BZ396" s="123"/>
      <c r="CA396" s="123"/>
      <c r="CB396" s="123"/>
      <c r="CC396" s="6"/>
      <c r="CD396" s="123"/>
      <c r="CE396" s="6"/>
      <c r="CF396" s="123"/>
      <c r="CG396" s="6"/>
      <c r="CH396" s="6"/>
      <c r="CI396" s="6"/>
      <c r="CJ396" s="6"/>
      <c r="CK396" s="123"/>
      <c r="CL396" s="6"/>
      <c r="CM396" s="6"/>
      <c r="CN396" s="6"/>
      <c r="CO396" s="138"/>
      <c r="CP396" s="138"/>
      <c r="CQ396" s="123"/>
      <c r="CR396" s="6"/>
      <c r="CS396" s="6"/>
      <c r="CT396" s="139"/>
      <c r="CU396" s="139"/>
      <c r="CV396" s="76"/>
      <c r="CW396" s="123"/>
      <c r="CX396" s="6"/>
      <c r="DI396" s="125"/>
      <c r="DJ396" s="16"/>
      <c r="DM396" s="16"/>
      <c r="DN396" s="16"/>
      <c r="DO396" s="125"/>
      <c r="DP396" s="16"/>
      <c r="DQ396" s="125"/>
      <c r="DZ396" s="125"/>
      <c r="EA396" s="142"/>
      <c r="EB396" s="125"/>
      <c r="EC396" s="16"/>
      <c r="ED396" s="125"/>
      <c r="EE396" s="125"/>
      <c r="EF396" s="16"/>
      <c r="EG396" s="125"/>
      <c r="EQ396" s="125"/>
      <c r="ER396" s="16"/>
      <c r="ES396" s="123"/>
      <c r="ET396" s="19"/>
      <c r="EU396" s="139"/>
      <c r="EV396" s="139"/>
      <c r="EW396" s="123"/>
      <c r="EX396" s="123"/>
      <c r="EY396" s="123"/>
      <c r="EZ396" s="123"/>
      <c r="FA396" s="123"/>
      <c r="FB396" s="123"/>
      <c r="FC396" s="6"/>
      <c r="FD396" s="123"/>
      <c r="FE396" s="6"/>
      <c r="FF396" s="123"/>
      <c r="FG396" s="6"/>
      <c r="FH396" s="6"/>
      <c r="FI396" s="6"/>
      <c r="FJ396" s="6"/>
      <c r="FK396" s="123"/>
      <c r="FL396" s="6"/>
      <c r="FM396" s="6"/>
      <c r="FN396" s="6"/>
      <c r="FO396" s="138"/>
      <c r="FP396" s="138"/>
      <c r="FQ396" s="123"/>
      <c r="FR396" s="6"/>
      <c r="FS396" s="6"/>
      <c r="FT396" s="139"/>
      <c r="FU396" s="139"/>
      <c r="FV396" s="76"/>
      <c r="FW396" s="123"/>
      <c r="FX396" s="6"/>
    </row>
    <row r="397" spans="35:180">
      <c r="AI397" s="125"/>
      <c r="AJ397" s="16"/>
      <c r="AM397" s="16"/>
      <c r="AN397" s="16"/>
      <c r="AO397" s="125"/>
      <c r="AP397" s="16"/>
      <c r="AQ397" s="125"/>
      <c r="AZ397" s="125"/>
      <c r="BA397" s="142"/>
      <c r="BB397" s="125"/>
      <c r="BC397" s="16"/>
      <c r="BD397" s="125"/>
      <c r="BE397" s="125"/>
      <c r="BF397" s="16"/>
      <c r="BG397" s="125"/>
      <c r="BQ397" s="125"/>
      <c r="BR397" s="16"/>
      <c r="BS397" s="123"/>
      <c r="BT397" s="19"/>
      <c r="BU397" s="139"/>
      <c r="BV397" s="139"/>
      <c r="BW397" s="123"/>
      <c r="BX397" s="123"/>
      <c r="BY397" s="123"/>
      <c r="BZ397" s="123"/>
      <c r="CA397" s="123"/>
      <c r="CB397" s="123"/>
      <c r="CC397" s="6"/>
      <c r="CD397" s="123"/>
      <c r="CE397" s="6"/>
      <c r="CF397" s="123"/>
      <c r="CG397" s="6"/>
      <c r="CH397" s="6"/>
      <c r="CI397" s="6"/>
      <c r="CJ397" s="6"/>
      <c r="CK397" s="123"/>
      <c r="CL397" s="6"/>
      <c r="CM397" s="6"/>
      <c r="CN397" s="6"/>
      <c r="CO397" s="138"/>
      <c r="CP397" s="138"/>
      <c r="CQ397" s="123"/>
      <c r="CR397" s="6"/>
      <c r="CS397" s="6"/>
      <c r="CT397" s="139"/>
      <c r="CU397" s="139"/>
      <c r="CV397" s="76"/>
      <c r="CW397" s="123"/>
      <c r="CX397" s="6"/>
      <c r="DI397" s="125"/>
      <c r="DJ397" s="16"/>
      <c r="DM397" s="16"/>
      <c r="DN397" s="16"/>
      <c r="DO397" s="125"/>
      <c r="DP397" s="16"/>
      <c r="DQ397" s="125"/>
      <c r="DZ397" s="125"/>
      <c r="EA397" s="142"/>
      <c r="EB397" s="125"/>
      <c r="EC397" s="16"/>
      <c r="ED397" s="125"/>
      <c r="EE397" s="125"/>
      <c r="EF397" s="16"/>
      <c r="EG397" s="125"/>
      <c r="EQ397" s="125"/>
      <c r="ER397" s="16"/>
      <c r="ES397" s="123"/>
      <c r="ET397" s="19"/>
      <c r="EU397" s="139"/>
      <c r="EV397" s="139"/>
      <c r="EW397" s="123"/>
      <c r="EX397" s="123"/>
      <c r="EY397" s="123"/>
      <c r="EZ397" s="123"/>
      <c r="FA397" s="123"/>
      <c r="FB397" s="123"/>
      <c r="FC397" s="6"/>
      <c r="FD397" s="123"/>
      <c r="FE397" s="6"/>
      <c r="FF397" s="123"/>
      <c r="FG397" s="6"/>
      <c r="FH397" s="6"/>
      <c r="FI397" s="6"/>
      <c r="FJ397" s="6"/>
      <c r="FK397" s="123"/>
      <c r="FL397" s="6"/>
      <c r="FM397" s="6"/>
      <c r="FN397" s="6"/>
      <c r="FO397" s="138"/>
      <c r="FP397" s="138"/>
      <c r="FQ397" s="123"/>
      <c r="FR397" s="6"/>
      <c r="FS397" s="6"/>
      <c r="FT397" s="139"/>
      <c r="FU397" s="139"/>
      <c r="FV397" s="76"/>
      <c r="FW397" s="123"/>
      <c r="FX397" s="6"/>
    </row>
    <row r="398" spans="35:180">
      <c r="AI398" s="125"/>
      <c r="AJ398" s="16"/>
      <c r="AM398" s="16"/>
      <c r="AN398" s="16"/>
      <c r="AO398" s="125"/>
      <c r="AP398" s="16"/>
      <c r="AQ398" s="125"/>
      <c r="AZ398" s="125"/>
      <c r="BA398" s="142"/>
      <c r="BB398" s="125"/>
      <c r="BC398" s="16"/>
      <c r="BD398" s="125"/>
      <c r="BE398" s="125"/>
      <c r="BF398" s="16"/>
      <c r="BG398" s="125"/>
      <c r="BQ398" s="125"/>
      <c r="BR398" s="16"/>
      <c r="BS398" s="123"/>
      <c r="BT398" s="19"/>
      <c r="BU398" s="139"/>
      <c r="BV398" s="139"/>
      <c r="BW398" s="123"/>
      <c r="BX398" s="123"/>
      <c r="BY398" s="123"/>
      <c r="BZ398" s="123"/>
      <c r="CA398" s="123"/>
      <c r="CB398" s="123"/>
      <c r="CC398" s="6"/>
      <c r="CD398" s="123"/>
      <c r="CE398" s="6"/>
      <c r="CF398" s="123"/>
      <c r="CG398" s="6"/>
      <c r="CH398" s="6"/>
      <c r="CI398" s="6"/>
      <c r="CJ398" s="6"/>
      <c r="CK398" s="123"/>
      <c r="CL398" s="6"/>
      <c r="CM398" s="6"/>
      <c r="CN398" s="6"/>
      <c r="CO398" s="138"/>
      <c r="CP398" s="138"/>
      <c r="CQ398" s="123"/>
      <c r="CR398" s="6"/>
      <c r="CS398" s="6"/>
      <c r="CT398" s="139"/>
      <c r="CU398" s="139"/>
      <c r="CV398" s="76"/>
      <c r="CW398" s="123"/>
      <c r="CX398" s="6"/>
      <c r="DI398" s="125"/>
      <c r="DJ398" s="16"/>
      <c r="DM398" s="16"/>
      <c r="DN398" s="16"/>
      <c r="DO398" s="125"/>
      <c r="DP398" s="16"/>
      <c r="DQ398" s="125"/>
      <c r="DZ398" s="125"/>
      <c r="EA398" s="142"/>
      <c r="EB398" s="125"/>
      <c r="EC398" s="16"/>
      <c r="ED398" s="125"/>
      <c r="EE398" s="125"/>
      <c r="EF398" s="16"/>
      <c r="EG398" s="125"/>
      <c r="EQ398" s="125"/>
      <c r="ER398" s="16"/>
      <c r="ES398" s="123"/>
      <c r="ET398" s="19"/>
      <c r="EU398" s="139"/>
      <c r="EV398" s="139"/>
      <c r="EW398" s="123"/>
      <c r="EX398" s="123"/>
      <c r="EY398" s="123"/>
      <c r="EZ398" s="123"/>
      <c r="FA398" s="123"/>
      <c r="FB398" s="123"/>
      <c r="FC398" s="6"/>
      <c r="FD398" s="123"/>
      <c r="FE398" s="6"/>
      <c r="FF398" s="123"/>
      <c r="FG398" s="6"/>
      <c r="FH398" s="6"/>
      <c r="FI398" s="6"/>
      <c r="FJ398" s="6"/>
      <c r="FK398" s="123"/>
      <c r="FL398" s="6"/>
      <c r="FM398" s="6"/>
      <c r="FN398" s="6"/>
      <c r="FO398" s="138"/>
      <c r="FP398" s="138"/>
      <c r="FQ398" s="123"/>
      <c r="FR398" s="6"/>
      <c r="FS398" s="6"/>
      <c r="FT398" s="139"/>
      <c r="FU398" s="139"/>
      <c r="FV398" s="76"/>
      <c r="FW398" s="123"/>
      <c r="FX398" s="6"/>
    </row>
    <row r="399" spans="35:180">
      <c r="AI399" s="125"/>
      <c r="AJ399" s="16"/>
      <c r="AM399" s="16"/>
      <c r="AN399" s="16"/>
      <c r="AO399" s="125"/>
      <c r="AP399" s="16"/>
      <c r="AQ399" s="125"/>
      <c r="AZ399" s="125"/>
      <c r="BA399" s="142"/>
      <c r="BB399" s="125"/>
      <c r="BC399" s="16"/>
      <c r="BD399" s="125"/>
      <c r="BE399" s="125"/>
      <c r="BF399" s="16"/>
      <c r="BG399" s="125"/>
      <c r="BQ399" s="125"/>
      <c r="BR399" s="16"/>
      <c r="BS399" s="123"/>
      <c r="BT399" s="19"/>
      <c r="BU399" s="139"/>
      <c r="BV399" s="139"/>
      <c r="BW399" s="123"/>
      <c r="BX399" s="123"/>
      <c r="BY399" s="123"/>
      <c r="BZ399" s="123"/>
      <c r="CA399" s="123"/>
      <c r="CB399" s="123"/>
      <c r="CC399" s="6"/>
      <c r="CD399" s="123"/>
      <c r="CE399" s="6"/>
      <c r="CF399" s="123"/>
      <c r="CG399" s="6"/>
      <c r="CH399" s="6"/>
      <c r="CI399" s="6"/>
      <c r="CJ399" s="6"/>
      <c r="CK399" s="123"/>
      <c r="CL399" s="6"/>
      <c r="CM399" s="6"/>
      <c r="CN399" s="6"/>
      <c r="CO399" s="138"/>
      <c r="CP399" s="138"/>
      <c r="CQ399" s="123"/>
      <c r="CR399" s="6"/>
      <c r="CS399" s="6"/>
      <c r="CT399" s="139"/>
      <c r="CU399" s="139"/>
      <c r="CV399" s="76"/>
      <c r="CW399" s="123"/>
      <c r="CX399" s="6"/>
      <c r="DI399" s="125"/>
      <c r="DJ399" s="16"/>
      <c r="DM399" s="16"/>
      <c r="DN399" s="16"/>
      <c r="DO399" s="125"/>
      <c r="DP399" s="16"/>
      <c r="DQ399" s="125"/>
      <c r="DZ399" s="125"/>
      <c r="EA399" s="142"/>
      <c r="EB399" s="125"/>
      <c r="EC399" s="16"/>
      <c r="ED399" s="125"/>
      <c r="EE399" s="125"/>
      <c r="EF399" s="16"/>
      <c r="EG399" s="125"/>
      <c r="EQ399" s="125"/>
      <c r="ER399" s="16"/>
      <c r="ES399" s="123"/>
      <c r="ET399" s="19"/>
      <c r="EU399" s="139"/>
      <c r="EV399" s="139"/>
      <c r="EW399" s="123"/>
      <c r="EX399" s="123"/>
      <c r="EY399" s="123"/>
      <c r="EZ399" s="123"/>
      <c r="FA399" s="123"/>
      <c r="FB399" s="123"/>
      <c r="FC399" s="6"/>
      <c r="FD399" s="123"/>
      <c r="FE399" s="6"/>
      <c r="FF399" s="123"/>
      <c r="FG399" s="6"/>
      <c r="FH399" s="6"/>
      <c r="FI399" s="6"/>
      <c r="FJ399" s="6"/>
      <c r="FK399" s="123"/>
      <c r="FL399" s="6"/>
      <c r="FM399" s="6"/>
      <c r="FN399" s="6"/>
      <c r="FO399" s="138"/>
      <c r="FP399" s="138"/>
      <c r="FQ399" s="123"/>
      <c r="FR399" s="6"/>
      <c r="FS399" s="6"/>
      <c r="FT399" s="139"/>
      <c r="FU399" s="139"/>
      <c r="FV399" s="76"/>
      <c r="FW399" s="123"/>
      <c r="FX399" s="6"/>
    </row>
    <row r="400" spans="35:180">
      <c r="AI400" s="125"/>
      <c r="AJ400" s="16"/>
      <c r="AM400" s="16"/>
      <c r="AN400" s="16"/>
      <c r="AO400" s="125"/>
      <c r="AP400" s="16"/>
      <c r="AQ400" s="125"/>
      <c r="AZ400" s="125"/>
      <c r="BA400" s="142"/>
      <c r="BB400" s="125"/>
      <c r="BC400" s="16"/>
      <c r="BD400" s="125"/>
      <c r="BE400" s="125"/>
      <c r="BF400" s="16"/>
      <c r="BG400" s="125"/>
      <c r="BQ400" s="125"/>
      <c r="BR400" s="16"/>
      <c r="BS400" s="123"/>
      <c r="BT400" s="19"/>
      <c r="BU400" s="139"/>
      <c r="BV400" s="139"/>
      <c r="BW400" s="123"/>
      <c r="BX400" s="123"/>
      <c r="BY400" s="123"/>
      <c r="BZ400" s="123"/>
      <c r="CA400" s="123"/>
      <c r="CB400" s="123"/>
      <c r="CC400" s="6"/>
      <c r="CD400" s="123"/>
      <c r="CE400" s="6"/>
      <c r="CF400" s="123"/>
      <c r="CG400" s="6"/>
      <c r="CH400" s="6"/>
      <c r="CI400" s="6"/>
      <c r="CJ400" s="6"/>
      <c r="CK400" s="123"/>
      <c r="CL400" s="6"/>
      <c r="CM400" s="6"/>
      <c r="CN400" s="6"/>
      <c r="CO400" s="138"/>
      <c r="CP400" s="138"/>
      <c r="CQ400" s="123"/>
      <c r="CR400" s="6"/>
      <c r="CS400" s="6"/>
      <c r="CT400" s="139"/>
      <c r="CU400" s="139"/>
      <c r="CV400" s="76"/>
      <c r="CW400" s="123"/>
      <c r="CX400" s="6"/>
      <c r="DI400" s="125"/>
      <c r="DJ400" s="16"/>
      <c r="DM400" s="16"/>
      <c r="DN400" s="16"/>
      <c r="DO400" s="125"/>
      <c r="DP400" s="16"/>
      <c r="DQ400" s="125"/>
      <c r="DZ400" s="125"/>
      <c r="EA400" s="142"/>
      <c r="EB400" s="125"/>
      <c r="EC400" s="16"/>
      <c r="ED400" s="125"/>
      <c r="EE400" s="125"/>
      <c r="EF400" s="16"/>
      <c r="EG400" s="125"/>
      <c r="EQ400" s="125"/>
      <c r="ER400" s="16"/>
      <c r="ES400" s="123"/>
      <c r="ET400" s="19"/>
      <c r="EU400" s="139"/>
      <c r="EV400" s="139"/>
      <c r="EW400" s="123"/>
      <c r="EX400" s="123"/>
      <c r="EY400" s="123"/>
      <c r="EZ400" s="123"/>
      <c r="FA400" s="123"/>
      <c r="FB400" s="123"/>
      <c r="FC400" s="6"/>
      <c r="FD400" s="123"/>
      <c r="FE400" s="6"/>
      <c r="FF400" s="123"/>
      <c r="FG400" s="6"/>
      <c r="FH400" s="6"/>
      <c r="FI400" s="6"/>
      <c r="FJ400" s="6"/>
      <c r="FK400" s="123"/>
      <c r="FL400" s="6"/>
      <c r="FM400" s="6"/>
      <c r="FN400" s="6"/>
      <c r="FO400" s="138"/>
      <c r="FP400" s="138"/>
      <c r="FQ400" s="123"/>
      <c r="FR400" s="6"/>
      <c r="FS400" s="6"/>
      <c r="FT400" s="139"/>
      <c r="FU400" s="139"/>
      <c r="FV400" s="76"/>
      <c r="FW400" s="123"/>
      <c r="FX400" s="6"/>
    </row>
    <row r="401" spans="35:180">
      <c r="AI401" s="125"/>
      <c r="AJ401" s="16"/>
      <c r="AM401" s="16"/>
      <c r="AN401" s="16"/>
      <c r="AO401" s="125"/>
      <c r="AP401" s="16"/>
      <c r="AQ401" s="125"/>
      <c r="AZ401" s="125"/>
      <c r="BA401" s="142"/>
      <c r="BB401" s="125"/>
      <c r="BC401" s="16"/>
      <c r="BD401" s="125"/>
      <c r="BE401" s="125"/>
      <c r="BF401" s="16"/>
      <c r="BG401" s="125"/>
      <c r="BQ401" s="125"/>
      <c r="BR401" s="16"/>
      <c r="BS401" s="123"/>
      <c r="BT401" s="19"/>
      <c r="BU401" s="139"/>
      <c r="BV401" s="139"/>
      <c r="BW401" s="123"/>
      <c r="BX401" s="123"/>
      <c r="BY401" s="123"/>
      <c r="BZ401" s="123"/>
      <c r="CA401" s="123"/>
      <c r="CB401" s="123"/>
      <c r="CC401" s="6"/>
      <c r="CD401" s="123"/>
      <c r="CE401" s="6"/>
      <c r="CF401" s="123"/>
      <c r="CG401" s="6"/>
      <c r="CH401" s="6"/>
      <c r="CI401" s="6"/>
      <c r="CJ401" s="6"/>
      <c r="CK401" s="123"/>
      <c r="CL401" s="6"/>
      <c r="CM401" s="6"/>
      <c r="CN401" s="6"/>
      <c r="CO401" s="138"/>
      <c r="CP401" s="138"/>
      <c r="CQ401" s="123"/>
      <c r="CR401" s="6"/>
      <c r="CS401" s="6"/>
      <c r="CT401" s="139"/>
      <c r="CU401" s="139"/>
      <c r="CV401" s="76"/>
      <c r="CW401" s="123"/>
      <c r="CX401" s="6"/>
      <c r="DI401" s="125"/>
      <c r="DJ401" s="16"/>
      <c r="DM401" s="16"/>
      <c r="DN401" s="16"/>
      <c r="DO401" s="125"/>
      <c r="DP401" s="16"/>
      <c r="DQ401" s="125"/>
      <c r="DZ401" s="125"/>
      <c r="EA401" s="142"/>
      <c r="EB401" s="125"/>
      <c r="EC401" s="16"/>
      <c r="ED401" s="125"/>
      <c r="EE401" s="125"/>
      <c r="EF401" s="16"/>
      <c r="EG401" s="125"/>
      <c r="EQ401" s="125"/>
      <c r="ER401" s="16"/>
      <c r="ES401" s="123"/>
      <c r="ET401" s="19"/>
      <c r="EU401" s="139"/>
      <c r="EV401" s="139"/>
      <c r="EW401" s="123"/>
      <c r="EX401" s="123"/>
      <c r="EY401" s="123"/>
      <c r="EZ401" s="123"/>
      <c r="FA401" s="123"/>
      <c r="FB401" s="123"/>
      <c r="FC401" s="6"/>
      <c r="FD401" s="123"/>
      <c r="FE401" s="6"/>
      <c r="FF401" s="123"/>
      <c r="FG401" s="6"/>
      <c r="FH401" s="6"/>
      <c r="FI401" s="6"/>
      <c r="FJ401" s="6"/>
      <c r="FK401" s="123"/>
      <c r="FL401" s="6"/>
      <c r="FM401" s="6"/>
      <c r="FN401" s="6"/>
      <c r="FO401" s="138"/>
      <c r="FP401" s="138"/>
      <c r="FQ401" s="123"/>
      <c r="FR401" s="6"/>
      <c r="FS401" s="6"/>
      <c r="FT401" s="139"/>
      <c r="FU401" s="139"/>
      <c r="FV401" s="76"/>
      <c r="FW401" s="123"/>
      <c r="FX401" s="6"/>
    </row>
    <row r="402" spans="35:180">
      <c r="AI402" s="125"/>
      <c r="AJ402" s="16"/>
      <c r="AM402" s="16"/>
      <c r="AN402" s="16"/>
      <c r="AO402" s="125"/>
      <c r="AP402" s="16"/>
      <c r="AQ402" s="125"/>
      <c r="AZ402" s="125"/>
      <c r="BA402" s="142"/>
      <c r="BB402" s="125"/>
      <c r="BC402" s="16"/>
      <c r="BD402" s="125"/>
      <c r="BE402" s="125"/>
      <c r="BF402" s="16"/>
      <c r="BG402" s="125"/>
      <c r="BQ402" s="125"/>
      <c r="BR402" s="16"/>
      <c r="BS402" s="123"/>
      <c r="BT402" s="19"/>
      <c r="BU402" s="139"/>
      <c r="BV402" s="139"/>
      <c r="BW402" s="123"/>
      <c r="BX402" s="123"/>
      <c r="BY402" s="123"/>
      <c r="BZ402" s="123"/>
      <c r="CA402" s="123"/>
      <c r="CB402" s="123"/>
      <c r="CC402" s="6"/>
      <c r="CD402" s="123"/>
      <c r="CE402" s="6"/>
      <c r="CF402" s="123"/>
      <c r="CG402" s="6"/>
      <c r="CH402" s="6"/>
      <c r="CI402" s="6"/>
      <c r="CJ402" s="6"/>
      <c r="CK402" s="123"/>
      <c r="CL402" s="6"/>
      <c r="CM402" s="6"/>
      <c r="CN402" s="6"/>
      <c r="CO402" s="138"/>
      <c r="CP402" s="138"/>
      <c r="CQ402" s="123"/>
      <c r="CR402" s="6"/>
      <c r="CS402" s="6"/>
      <c r="CT402" s="139"/>
      <c r="CU402" s="139"/>
      <c r="CV402" s="76"/>
      <c r="CW402" s="123"/>
      <c r="CX402" s="6"/>
      <c r="DI402" s="125"/>
      <c r="DJ402" s="16"/>
      <c r="DM402" s="16"/>
      <c r="DN402" s="16"/>
      <c r="DO402" s="125"/>
      <c r="DP402" s="16"/>
      <c r="DQ402" s="125"/>
      <c r="DZ402" s="125"/>
      <c r="EA402" s="142"/>
      <c r="EB402" s="125"/>
      <c r="EC402" s="16"/>
      <c r="ED402" s="125"/>
      <c r="EE402" s="125"/>
      <c r="EF402" s="16"/>
      <c r="EG402" s="125"/>
      <c r="EQ402" s="125"/>
      <c r="ER402" s="16"/>
      <c r="ES402" s="123"/>
      <c r="ET402" s="19"/>
      <c r="EU402" s="139"/>
      <c r="EV402" s="139"/>
      <c r="EW402" s="123"/>
      <c r="EX402" s="123"/>
      <c r="EY402" s="123"/>
      <c r="EZ402" s="123"/>
      <c r="FA402" s="123"/>
      <c r="FB402" s="123"/>
      <c r="FC402" s="6"/>
      <c r="FD402" s="123"/>
      <c r="FE402" s="6"/>
      <c r="FF402" s="123"/>
      <c r="FG402" s="6"/>
      <c r="FH402" s="6"/>
      <c r="FI402" s="6"/>
      <c r="FJ402" s="6"/>
      <c r="FK402" s="123"/>
      <c r="FL402" s="6"/>
      <c r="FM402" s="6"/>
      <c r="FN402" s="6"/>
      <c r="FO402" s="138"/>
      <c r="FP402" s="138"/>
      <c r="FQ402" s="123"/>
      <c r="FR402" s="6"/>
      <c r="FS402" s="6"/>
      <c r="FT402" s="139"/>
      <c r="FU402" s="139"/>
      <c r="FV402" s="76"/>
      <c r="FW402" s="123"/>
      <c r="FX402" s="6"/>
    </row>
    <row r="403" spans="35:180">
      <c r="AI403" s="125"/>
      <c r="AJ403" s="16"/>
      <c r="AM403" s="16"/>
      <c r="AN403" s="16"/>
      <c r="AO403" s="125"/>
      <c r="AP403" s="16"/>
      <c r="AQ403" s="125"/>
      <c r="AZ403" s="125"/>
      <c r="BA403" s="142"/>
      <c r="BB403" s="125"/>
      <c r="BC403" s="16"/>
      <c r="BD403" s="125"/>
      <c r="BE403" s="125"/>
      <c r="BF403" s="16"/>
      <c r="BG403" s="125"/>
      <c r="BQ403" s="125"/>
      <c r="BR403" s="16"/>
      <c r="BS403" s="123"/>
      <c r="BT403" s="19"/>
      <c r="BU403" s="139"/>
      <c r="BV403" s="139"/>
      <c r="BW403" s="123"/>
      <c r="BX403" s="123"/>
      <c r="BY403" s="123"/>
      <c r="BZ403" s="123"/>
      <c r="CA403" s="123"/>
      <c r="CB403" s="123"/>
      <c r="CC403" s="6"/>
      <c r="CD403" s="123"/>
      <c r="CE403" s="6"/>
      <c r="CF403" s="123"/>
      <c r="CG403" s="6"/>
      <c r="CH403" s="6"/>
      <c r="CI403" s="6"/>
      <c r="CJ403" s="6"/>
      <c r="CK403" s="123"/>
      <c r="CL403" s="6"/>
      <c r="CM403" s="6"/>
      <c r="CN403" s="6"/>
      <c r="CO403" s="138"/>
      <c r="CP403" s="138"/>
      <c r="CQ403" s="123"/>
      <c r="CR403" s="6"/>
      <c r="CS403" s="6"/>
      <c r="CT403" s="139"/>
      <c r="CU403" s="139"/>
      <c r="CV403" s="76"/>
      <c r="CW403" s="123"/>
      <c r="CX403" s="6"/>
      <c r="DI403" s="125"/>
      <c r="DJ403" s="16"/>
      <c r="DM403" s="16"/>
      <c r="DN403" s="16"/>
      <c r="DO403" s="125"/>
      <c r="DP403" s="16"/>
      <c r="DQ403" s="125"/>
      <c r="DZ403" s="125"/>
      <c r="EA403" s="142"/>
      <c r="EB403" s="125"/>
      <c r="EC403" s="16"/>
      <c r="ED403" s="125"/>
      <c r="EE403" s="125"/>
      <c r="EF403" s="16"/>
      <c r="EG403" s="125"/>
      <c r="EQ403" s="125"/>
      <c r="ER403" s="16"/>
      <c r="ES403" s="123"/>
      <c r="ET403" s="19"/>
      <c r="EU403" s="139"/>
      <c r="EV403" s="139"/>
      <c r="EW403" s="123"/>
      <c r="EX403" s="123"/>
      <c r="EY403" s="123"/>
      <c r="EZ403" s="123"/>
      <c r="FA403" s="123"/>
      <c r="FB403" s="123"/>
      <c r="FC403" s="6"/>
      <c r="FD403" s="123"/>
      <c r="FE403" s="6"/>
      <c r="FF403" s="123"/>
      <c r="FG403" s="6"/>
      <c r="FH403" s="6"/>
      <c r="FI403" s="6"/>
      <c r="FJ403" s="6"/>
      <c r="FK403" s="123"/>
      <c r="FL403" s="6"/>
      <c r="FM403" s="6"/>
      <c r="FN403" s="6"/>
      <c r="FO403" s="138"/>
      <c r="FP403" s="138"/>
      <c r="FQ403" s="123"/>
      <c r="FR403" s="6"/>
      <c r="FS403" s="6"/>
      <c r="FT403" s="139"/>
      <c r="FU403" s="139"/>
      <c r="FV403" s="76"/>
      <c r="FW403" s="123"/>
      <c r="FX403" s="6"/>
    </row>
    <row r="404" spans="35:180">
      <c r="AI404" s="125"/>
      <c r="AJ404" s="16"/>
      <c r="AM404" s="16"/>
      <c r="AN404" s="16"/>
      <c r="AO404" s="125"/>
      <c r="AP404" s="16"/>
      <c r="AQ404" s="125"/>
      <c r="AZ404" s="125"/>
      <c r="BA404" s="142"/>
      <c r="BB404" s="125"/>
      <c r="BC404" s="16"/>
      <c r="BD404" s="125"/>
      <c r="BE404" s="125"/>
      <c r="BF404" s="16"/>
      <c r="BG404" s="125"/>
      <c r="BQ404" s="125"/>
      <c r="BR404" s="16"/>
      <c r="BS404" s="123"/>
      <c r="BT404" s="19"/>
      <c r="BU404" s="139"/>
      <c r="BV404" s="139"/>
      <c r="BW404" s="123"/>
      <c r="BX404" s="123"/>
      <c r="BY404" s="123"/>
      <c r="BZ404" s="123"/>
      <c r="CA404" s="123"/>
      <c r="CB404" s="123"/>
      <c r="CC404" s="6"/>
      <c r="CD404" s="123"/>
      <c r="CE404" s="6"/>
      <c r="CF404" s="123"/>
      <c r="CG404" s="6"/>
      <c r="CH404" s="6"/>
      <c r="CI404" s="6"/>
      <c r="CJ404" s="6"/>
      <c r="CK404" s="123"/>
      <c r="CL404" s="6"/>
      <c r="CM404" s="6"/>
      <c r="CN404" s="6"/>
      <c r="CO404" s="138"/>
      <c r="CP404" s="138"/>
      <c r="CQ404" s="123"/>
      <c r="CR404" s="6"/>
      <c r="CS404" s="6"/>
      <c r="CT404" s="139"/>
      <c r="CU404" s="139"/>
      <c r="CV404" s="76"/>
      <c r="CW404" s="123"/>
      <c r="CX404" s="6"/>
      <c r="DI404" s="125"/>
      <c r="DJ404" s="16"/>
      <c r="DM404" s="16"/>
      <c r="DN404" s="16"/>
      <c r="DO404" s="125"/>
      <c r="DP404" s="16"/>
      <c r="DQ404" s="125"/>
      <c r="DZ404" s="125"/>
      <c r="EA404" s="142"/>
      <c r="EB404" s="125"/>
      <c r="EC404" s="16"/>
      <c r="ED404" s="125"/>
      <c r="EE404" s="125"/>
      <c r="EF404" s="16"/>
      <c r="EG404" s="125"/>
      <c r="EQ404" s="125"/>
      <c r="ER404" s="16"/>
      <c r="ES404" s="123"/>
      <c r="ET404" s="19"/>
      <c r="EU404" s="139"/>
      <c r="EV404" s="139"/>
      <c r="EW404" s="123"/>
      <c r="EX404" s="123"/>
      <c r="EY404" s="123"/>
      <c r="EZ404" s="123"/>
      <c r="FA404" s="123"/>
      <c r="FB404" s="123"/>
      <c r="FC404" s="6"/>
      <c r="FD404" s="123"/>
      <c r="FE404" s="6"/>
      <c r="FF404" s="123"/>
      <c r="FG404" s="6"/>
      <c r="FH404" s="6"/>
      <c r="FI404" s="6"/>
      <c r="FJ404" s="6"/>
      <c r="FK404" s="123"/>
      <c r="FL404" s="6"/>
      <c r="FM404" s="6"/>
      <c r="FN404" s="6"/>
      <c r="FO404" s="138"/>
      <c r="FP404" s="138"/>
      <c r="FQ404" s="123"/>
      <c r="FR404" s="6"/>
      <c r="FS404" s="6"/>
      <c r="FT404" s="139"/>
      <c r="FU404" s="139"/>
      <c r="FV404" s="76"/>
      <c r="FW404" s="123"/>
      <c r="FX404" s="6"/>
    </row>
    <row r="405" spans="35:180">
      <c r="AI405" s="125"/>
      <c r="AJ405" s="16"/>
      <c r="AM405" s="16"/>
      <c r="AN405" s="16"/>
      <c r="AO405" s="125"/>
      <c r="AP405" s="16"/>
      <c r="AQ405" s="125"/>
      <c r="AZ405" s="125"/>
      <c r="BA405" s="142"/>
      <c r="BB405" s="125"/>
      <c r="BC405" s="16"/>
      <c r="BD405" s="125"/>
      <c r="BE405" s="125"/>
      <c r="BF405" s="16"/>
      <c r="BG405" s="125"/>
      <c r="BQ405" s="125"/>
      <c r="BR405" s="16"/>
      <c r="BS405" s="123"/>
      <c r="BT405" s="19"/>
      <c r="BU405" s="139"/>
      <c r="BV405" s="139"/>
      <c r="BW405" s="123"/>
      <c r="BX405" s="123"/>
      <c r="BY405" s="123"/>
      <c r="BZ405" s="123"/>
      <c r="CA405" s="123"/>
      <c r="CB405" s="123"/>
      <c r="CC405" s="6"/>
      <c r="CD405" s="123"/>
      <c r="CE405" s="6"/>
      <c r="CF405" s="123"/>
      <c r="CG405" s="6"/>
      <c r="CH405" s="6"/>
      <c r="CI405" s="6"/>
      <c r="CJ405" s="6"/>
      <c r="CK405" s="123"/>
      <c r="CL405" s="6"/>
      <c r="CM405" s="6"/>
      <c r="CN405" s="6"/>
      <c r="CO405" s="138"/>
      <c r="CP405" s="138"/>
      <c r="CQ405" s="123"/>
      <c r="CR405" s="6"/>
      <c r="CS405" s="6"/>
      <c r="CT405" s="139"/>
      <c r="CU405" s="139"/>
      <c r="CV405" s="76"/>
      <c r="CW405" s="123"/>
      <c r="CX405" s="6"/>
      <c r="DI405" s="125"/>
      <c r="DJ405" s="16"/>
      <c r="DM405" s="16"/>
      <c r="DN405" s="16"/>
      <c r="DO405" s="125"/>
      <c r="DP405" s="16"/>
      <c r="DQ405" s="125"/>
      <c r="DZ405" s="125"/>
      <c r="EA405" s="142"/>
      <c r="EB405" s="125"/>
      <c r="EC405" s="16"/>
      <c r="ED405" s="125"/>
      <c r="EE405" s="125"/>
      <c r="EF405" s="16"/>
      <c r="EG405" s="125"/>
      <c r="EQ405" s="125"/>
      <c r="ER405" s="16"/>
      <c r="ES405" s="123"/>
      <c r="ET405" s="19"/>
      <c r="EU405" s="139"/>
      <c r="EV405" s="139"/>
      <c r="EW405" s="123"/>
      <c r="EX405" s="123"/>
      <c r="EY405" s="123"/>
      <c r="EZ405" s="123"/>
      <c r="FA405" s="123"/>
      <c r="FB405" s="123"/>
      <c r="FC405" s="6"/>
      <c r="FD405" s="123"/>
      <c r="FE405" s="6"/>
      <c r="FF405" s="123"/>
      <c r="FG405" s="6"/>
      <c r="FH405" s="6"/>
      <c r="FI405" s="6"/>
      <c r="FJ405" s="6"/>
      <c r="FK405" s="123"/>
      <c r="FL405" s="6"/>
      <c r="FM405" s="6"/>
      <c r="FN405" s="6"/>
      <c r="FO405" s="138"/>
      <c r="FP405" s="138"/>
      <c r="FQ405" s="123"/>
      <c r="FR405" s="6"/>
      <c r="FS405" s="6"/>
      <c r="FT405" s="139"/>
      <c r="FU405" s="139"/>
      <c r="FV405" s="76"/>
      <c r="FW405" s="123"/>
      <c r="FX405" s="6"/>
    </row>
    <row r="406" spans="35:180">
      <c r="AI406" s="125"/>
      <c r="AJ406" s="16"/>
      <c r="AM406" s="16"/>
      <c r="AN406" s="16"/>
      <c r="AO406" s="125"/>
      <c r="AP406" s="16"/>
      <c r="AQ406" s="125"/>
      <c r="AZ406" s="125"/>
      <c r="BA406" s="142"/>
      <c r="BB406" s="125"/>
      <c r="BC406" s="16"/>
      <c r="BD406" s="125"/>
      <c r="BE406" s="125"/>
      <c r="BF406" s="16"/>
      <c r="BG406" s="125"/>
      <c r="BQ406" s="125"/>
      <c r="BR406" s="16"/>
      <c r="BS406" s="123"/>
      <c r="BT406" s="19"/>
      <c r="BU406" s="139"/>
      <c r="BV406" s="139"/>
      <c r="BW406" s="123"/>
      <c r="BX406" s="123"/>
      <c r="BY406" s="123"/>
      <c r="BZ406" s="123"/>
      <c r="CA406" s="123"/>
      <c r="CB406" s="123"/>
      <c r="CC406" s="6"/>
      <c r="CD406" s="123"/>
      <c r="CE406" s="6"/>
      <c r="CF406" s="123"/>
      <c r="CG406" s="6"/>
      <c r="CH406" s="6"/>
      <c r="CI406" s="6"/>
      <c r="CJ406" s="6"/>
      <c r="CK406" s="123"/>
      <c r="CL406" s="6"/>
      <c r="CM406" s="6"/>
      <c r="CN406" s="6"/>
      <c r="CO406" s="138"/>
      <c r="CP406" s="138"/>
      <c r="CQ406" s="123"/>
      <c r="CR406" s="6"/>
      <c r="CS406" s="6"/>
      <c r="CT406" s="139"/>
      <c r="CU406" s="139"/>
      <c r="CV406" s="76"/>
      <c r="CW406" s="123"/>
      <c r="CX406" s="6"/>
      <c r="DI406" s="125"/>
      <c r="DJ406" s="16"/>
      <c r="DM406" s="16"/>
      <c r="DN406" s="16"/>
      <c r="DO406" s="125"/>
      <c r="DP406" s="16"/>
      <c r="DQ406" s="125"/>
      <c r="DZ406" s="125"/>
      <c r="EA406" s="142"/>
      <c r="EB406" s="125"/>
      <c r="EC406" s="16"/>
      <c r="ED406" s="125"/>
      <c r="EE406" s="125"/>
      <c r="EF406" s="16"/>
      <c r="EG406" s="125"/>
      <c r="EQ406" s="125"/>
      <c r="ER406" s="16"/>
      <c r="ES406" s="123"/>
      <c r="ET406" s="19"/>
      <c r="EU406" s="139"/>
      <c r="EV406" s="139"/>
      <c r="EW406" s="123"/>
      <c r="EX406" s="123"/>
      <c r="EY406" s="123"/>
      <c r="EZ406" s="123"/>
      <c r="FA406" s="123"/>
      <c r="FB406" s="123"/>
      <c r="FC406" s="6"/>
      <c r="FD406" s="123"/>
      <c r="FE406" s="6"/>
      <c r="FF406" s="123"/>
      <c r="FG406" s="6"/>
      <c r="FH406" s="6"/>
      <c r="FI406" s="6"/>
      <c r="FJ406" s="6"/>
      <c r="FK406" s="123"/>
      <c r="FL406" s="6"/>
      <c r="FM406" s="6"/>
      <c r="FN406" s="6"/>
      <c r="FO406" s="138"/>
      <c r="FP406" s="138"/>
      <c r="FQ406" s="123"/>
      <c r="FR406" s="6"/>
      <c r="FS406" s="6"/>
      <c r="FT406" s="139"/>
      <c r="FU406" s="139"/>
      <c r="FV406" s="76"/>
      <c r="FW406" s="123"/>
      <c r="FX406" s="6"/>
    </row>
    <row r="407" spans="35:180">
      <c r="AI407" s="125"/>
      <c r="AJ407" s="16"/>
      <c r="AM407" s="16"/>
      <c r="AN407" s="16"/>
      <c r="AO407" s="125"/>
      <c r="AP407" s="16"/>
      <c r="AQ407" s="125"/>
      <c r="AZ407" s="125"/>
      <c r="BA407" s="142"/>
      <c r="BB407" s="125"/>
      <c r="BC407" s="16"/>
      <c r="BD407" s="125"/>
      <c r="BE407" s="125"/>
      <c r="BF407" s="16"/>
      <c r="BG407" s="125"/>
      <c r="BQ407" s="125"/>
      <c r="BR407" s="16"/>
      <c r="BS407" s="123"/>
      <c r="BT407" s="19"/>
      <c r="BU407" s="139"/>
      <c r="BV407" s="139"/>
      <c r="BW407" s="123"/>
      <c r="BX407" s="123"/>
      <c r="BY407" s="123"/>
      <c r="BZ407" s="123"/>
      <c r="CA407" s="123"/>
      <c r="CB407" s="123"/>
      <c r="CC407" s="6"/>
      <c r="CD407" s="123"/>
      <c r="CE407" s="6"/>
      <c r="CF407" s="123"/>
      <c r="CG407" s="6"/>
      <c r="CH407" s="6"/>
      <c r="CI407" s="6"/>
      <c r="CJ407" s="6"/>
      <c r="CK407" s="123"/>
      <c r="CL407" s="6"/>
      <c r="CM407" s="6"/>
      <c r="CN407" s="6"/>
      <c r="CO407" s="138"/>
      <c r="CP407" s="138"/>
      <c r="CQ407" s="123"/>
      <c r="CR407" s="6"/>
      <c r="CS407" s="6"/>
      <c r="CT407" s="139"/>
      <c r="CU407" s="139"/>
      <c r="CV407" s="76"/>
      <c r="CW407" s="123"/>
      <c r="CX407" s="6"/>
      <c r="DI407" s="125"/>
      <c r="DJ407" s="16"/>
      <c r="DM407" s="16"/>
      <c r="DN407" s="16"/>
      <c r="DO407" s="125"/>
      <c r="DP407" s="16"/>
      <c r="DQ407" s="125"/>
      <c r="DZ407" s="125"/>
      <c r="EA407" s="142"/>
      <c r="EB407" s="125"/>
      <c r="EC407" s="16"/>
      <c r="ED407" s="125"/>
      <c r="EE407" s="125"/>
      <c r="EF407" s="16"/>
      <c r="EG407" s="125"/>
      <c r="EQ407" s="125"/>
      <c r="ER407" s="16"/>
      <c r="ES407" s="123"/>
      <c r="ET407" s="19"/>
      <c r="EU407" s="139"/>
      <c r="EV407" s="139"/>
      <c r="EW407" s="123"/>
      <c r="EX407" s="123"/>
      <c r="EY407" s="123"/>
      <c r="EZ407" s="123"/>
      <c r="FA407" s="123"/>
      <c r="FB407" s="123"/>
      <c r="FC407" s="6"/>
      <c r="FD407" s="123"/>
      <c r="FE407" s="6"/>
      <c r="FF407" s="123"/>
      <c r="FG407" s="6"/>
      <c r="FH407" s="6"/>
      <c r="FI407" s="6"/>
      <c r="FJ407" s="6"/>
      <c r="FK407" s="123"/>
      <c r="FL407" s="6"/>
      <c r="FM407" s="6"/>
      <c r="FN407" s="6"/>
      <c r="FO407" s="138"/>
      <c r="FP407" s="138"/>
      <c r="FQ407" s="123"/>
      <c r="FR407" s="6"/>
      <c r="FS407" s="6"/>
      <c r="FT407" s="139"/>
      <c r="FU407" s="139"/>
      <c r="FV407" s="76"/>
      <c r="FW407" s="123"/>
      <c r="FX407" s="6"/>
    </row>
    <row r="408" spans="35:180">
      <c r="AI408" s="125"/>
      <c r="AJ408" s="16"/>
      <c r="AM408" s="16"/>
      <c r="AN408" s="16"/>
      <c r="AO408" s="125"/>
      <c r="AP408" s="16"/>
      <c r="AQ408" s="125"/>
      <c r="AZ408" s="125"/>
      <c r="BA408" s="142"/>
      <c r="BB408" s="125"/>
      <c r="BC408" s="16"/>
      <c r="BD408" s="125"/>
      <c r="BE408" s="125"/>
      <c r="BF408" s="16"/>
      <c r="BG408" s="125"/>
      <c r="BQ408" s="125"/>
      <c r="BR408" s="16"/>
      <c r="BS408" s="123"/>
      <c r="BT408" s="19"/>
      <c r="BU408" s="139"/>
      <c r="BV408" s="139"/>
      <c r="BW408" s="123"/>
      <c r="BX408" s="123"/>
      <c r="BY408" s="123"/>
      <c r="BZ408" s="123"/>
      <c r="CA408" s="123"/>
      <c r="CB408" s="123"/>
      <c r="CC408" s="6"/>
      <c r="CD408" s="123"/>
      <c r="CE408" s="6"/>
      <c r="CF408" s="123"/>
      <c r="CG408" s="6"/>
      <c r="CH408" s="6"/>
      <c r="CI408" s="6"/>
      <c r="CJ408" s="6"/>
      <c r="CK408" s="123"/>
      <c r="CL408" s="6"/>
      <c r="CM408" s="6"/>
      <c r="CN408" s="6"/>
      <c r="CO408" s="138"/>
      <c r="CP408" s="138"/>
      <c r="CQ408" s="123"/>
      <c r="CR408" s="6"/>
      <c r="CS408" s="6"/>
      <c r="CT408" s="139"/>
      <c r="CU408" s="139"/>
      <c r="CV408" s="76"/>
      <c r="CW408" s="123"/>
      <c r="CX408" s="6"/>
      <c r="DI408" s="125"/>
      <c r="DJ408" s="16"/>
      <c r="DM408" s="16"/>
      <c r="DN408" s="16"/>
      <c r="DO408" s="125"/>
      <c r="DP408" s="16"/>
      <c r="DQ408" s="125"/>
      <c r="DZ408" s="125"/>
      <c r="EA408" s="142"/>
      <c r="EB408" s="125"/>
      <c r="EC408" s="16"/>
      <c r="ED408" s="125"/>
      <c r="EE408" s="125"/>
      <c r="EF408" s="16"/>
      <c r="EG408" s="125"/>
      <c r="EQ408" s="125"/>
      <c r="ER408" s="16"/>
      <c r="ES408" s="123"/>
      <c r="ET408" s="19"/>
      <c r="EU408" s="139"/>
      <c r="EV408" s="139"/>
      <c r="EW408" s="123"/>
      <c r="EX408" s="123"/>
      <c r="EY408" s="123"/>
      <c r="EZ408" s="123"/>
      <c r="FA408" s="123"/>
      <c r="FB408" s="123"/>
      <c r="FC408" s="6"/>
      <c r="FD408" s="123"/>
      <c r="FE408" s="6"/>
      <c r="FF408" s="123"/>
      <c r="FG408" s="6"/>
      <c r="FH408" s="6"/>
      <c r="FI408" s="6"/>
      <c r="FJ408" s="6"/>
      <c r="FK408" s="123"/>
      <c r="FL408" s="6"/>
      <c r="FM408" s="6"/>
      <c r="FN408" s="6"/>
      <c r="FO408" s="138"/>
      <c r="FP408" s="138"/>
      <c r="FQ408" s="123"/>
      <c r="FR408" s="6"/>
      <c r="FS408" s="6"/>
      <c r="FT408" s="139"/>
      <c r="FU408" s="139"/>
      <c r="FV408" s="76"/>
      <c r="FW408" s="123"/>
      <c r="FX408" s="6"/>
    </row>
    <row r="409" spans="35:180">
      <c r="AI409" s="125"/>
      <c r="AJ409" s="16"/>
      <c r="AM409" s="16"/>
      <c r="AN409" s="16"/>
      <c r="AO409" s="125"/>
      <c r="AP409" s="16"/>
      <c r="AQ409" s="125"/>
      <c r="AZ409" s="125"/>
      <c r="BA409" s="142"/>
      <c r="BB409" s="125"/>
      <c r="BC409" s="16"/>
      <c r="BD409" s="125"/>
      <c r="BE409" s="125"/>
      <c r="BF409" s="16"/>
      <c r="BG409" s="125"/>
      <c r="BQ409" s="125"/>
      <c r="BR409" s="16"/>
      <c r="BS409" s="123"/>
      <c r="BT409" s="19"/>
      <c r="BU409" s="139"/>
      <c r="BV409" s="139"/>
      <c r="BW409" s="123"/>
      <c r="BX409" s="123"/>
      <c r="BY409" s="123"/>
      <c r="BZ409" s="123"/>
      <c r="CA409" s="123"/>
      <c r="CB409" s="123"/>
      <c r="CC409" s="6"/>
      <c r="CD409" s="123"/>
      <c r="CE409" s="6"/>
      <c r="CF409" s="123"/>
      <c r="CG409" s="6"/>
      <c r="CH409" s="6"/>
      <c r="CI409" s="6"/>
      <c r="CJ409" s="6"/>
      <c r="CK409" s="123"/>
      <c r="CL409" s="6"/>
      <c r="CM409" s="6"/>
      <c r="CN409" s="6"/>
      <c r="CO409" s="138"/>
      <c r="CP409" s="138"/>
      <c r="CQ409" s="123"/>
      <c r="CR409" s="6"/>
      <c r="CS409" s="6"/>
      <c r="CT409" s="139"/>
      <c r="CU409" s="139"/>
      <c r="CV409" s="76"/>
      <c r="CW409" s="123"/>
      <c r="CX409" s="6"/>
      <c r="DI409" s="125"/>
      <c r="DJ409" s="16"/>
      <c r="DM409" s="16"/>
      <c r="DN409" s="16"/>
      <c r="DO409" s="125"/>
      <c r="DP409" s="16"/>
      <c r="DQ409" s="125"/>
      <c r="DZ409" s="125"/>
      <c r="EA409" s="142"/>
      <c r="EB409" s="125"/>
      <c r="EC409" s="16"/>
      <c r="ED409" s="125"/>
      <c r="EE409" s="125"/>
      <c r="EF409" s="16"/>
      <c r="EG409" s="125"/>
      <c r="EQ409" s="125"/>
      <c r="ER409" s="16"/>
      <c r="ES409" s="123"/>
      <c r="ET409" s="19"/>
      <c r="EU409" s="139"/>
      <c r="EV409" s="139"/>
      <c r="EW409" s="123"/>
      <c r="EX409" s="123"/>
      <c r="EY409" s="123"/>
      <c r="EZ409" s="123"/>
      <c r="FA409" s="123"/>
      <c r="FB409" s="123"/>
      <c r="FC409" s="6"/>
      <c r="FD409" s="123"/>
      <c r="FE409" s="6"/>
      <c r="FF409" s="123"/>
      <c r="FG409" s="6"/>
      <c r="FH409" s="6"/>
      <c r="FI409" s="6"/>
      <c r="FJ409" s="6"/>
      <c r="FK409" s="123"/>
      <c r="FL409" s="6"/>
      <c r="FM409" s="6"/>
      <c r="FN409" s="6"/>
      <c r="FO409" s="138"/>
      <c r="FP409" s="138"/>
      <c r="FQ409" s="123"/>
      <c r="FR409" s="6"/>
      <c r="FS409" s="6"/>
      <c r="FT409" s="139"/>
      <c r="FU409" s="139"/>
      <c r="FV409" s="76"/>
      <c r="FW409" s="123"/>
      <c r="FX409" s="6"/>
    </row>
    <row r="410" spans="35:180">
      <c r="AI410" s="125"/>
      <c r="AJ410" s="16"/>
      <c r="AM410" s="16"/>
      <c r="AN410" s="16"/>
      <c r="AO410" s="125"/>
      <c r="AP410" s="16"/>
      <c r="AQ410" s="125"/>
      <c r="AZ410" s="125"/>
      <c r="BA410" s="142"/>
      <c r="BB410" s="125"/>
      <c r="BC410" s="16"/>
      <c r="BD410" s="125"/>
      <c r="BE410" s="125"/>
      <c r="BF410" s="16"/>
      <c r="BG410" s="125"/>
      <c r="BQ410" s="125"/>
      <c r="BR410" s="16"/>
      <c r="BS410" s="123"/>
      <c r="BT410" s="19"/>
      <c r="BU410" s="139"/>
      <c r="BV410" s="139"/>
      <c r="BW410" s="123"/>
      <c r="BX410" s="123"/>
      <c r="BY410" s="123"/>
      <c r="BZ410" s="123"/>
      <c r="CA410" s="123"/>
      <c r="CB410" s="123"/>
      <c r="CC410" s="6"/>
      <c r="CD410" s="123"/>
      <c r="CE410" s="6"/>
      <c r="CF410" s="123"/>
      <c r="CG410" s="6"/>
      <c r="CH410" s="6"/>
      <c r="CI410" s="6"/>
      <c r="CJ410" s="6"/>
      <c r="CK410" s="123"/>
      <c r="CL410" s="6"/>
      <c r="CM410" s="6"/>
      <c r="CN410" s="6"/>
      <c r="CO410" s="138"/>
      <c r="CP410" s="138"/>
      <c r="CQ410" s="123"/>
      <c r="CR410" s="6"/>
      <c r="CS410" s="6"/>
      <c r="CT410" s="139"/>
      <c r="CU410" s="139"/>
      <c r="CV410" s="76"/>
      <c r="CW410" s="123"/>
      <c r="CX410" s="6"/>
      <c r="DI410" s="125"/>
      <c r="DJ410" s="16"/>
      <c r="DM410" s="16"/>
      <c r="DN410" s="16"/>
      <c r="DO410" s="125"/>
      <c r="DP410" s="16"/>
      <c r="DQ410" s="125"/>
      <c r="DZ410" s="125"/>
      <c r="EA410" s="142"/>
      <c r="EB410" s="125"/>
      <c r="EC410" s="16"/>
      <c r="ED410" s="125"/>
      <c r="EE410" s="125"/>
      <c r="EF410" s="16"/>
      <c r="EG410" s="125"/>
      <c r="EQ410" s="125"/>
      <c r="ER410" s="16"/>
      <c r="ES410" s="123"/>
      <c r="ET410" s="19"/>
      <c r="EU410" s="139"/>
      <c r="EV410" s="139"/>
      <c r="EW410" s="123"/>
      <c r="EX410" s="123"/>
      <c r="EY410" s="123"/>
      <c r="EZ410" s="123"/>
      <c r="FA410" s="123"/>
      <c r="FB410" s="123"/>
      <c r="FC410" s="6"/>
      <c r="FD410" s="123"/>
      <c r="FE410" s="6"/>
      <c r="FF410" s="123"/>
      <c r="FG410" s="6"/>
      <c r="FH410" s="6"/>
      <c r="FI410" s="6"/>
      <c r="FJ410" s="6"/>
      <c r="FK410" s="123"/>
      <c r="FL410" s="6"/>
      <c r="FM410" s="6"/>
      <c r="FN410" s="6"/>
      <c r="FO410" s="138"/>
      <c r="FP410" s="138"/>
      <c r="FQ410" s="123"/>
      <c r="FR410" s="6"/>
      <c r="FS410" s="6"/>
      <c r="FT410" s="139"/>
      <c r="FU410" s="139"/>
      <c r="FV410" s="76"/>
      <c r="FW410" s="123"/>
      <c r="FX410" s="6"/>
    </row>
    <row r="411" spans="35:180">
      <c r="AI411" s="125"/>
      <c r="AJ411" s="16"/>
      <c r="AM411" s="16"/>
      <c r="AN411" s="16"/>
      <c r="AO411" s="125"/>
      <c r="AP411" s="16"/>
      <c r="AQ411" s="125"/>
      <c r="AZ411" s="125"/>
      <c r="BA411" s="142"/>
      <c r="BB411" s="125"/>
      <c r="BC411" s="16"/>
      <c r="BD411" s="125"/>
      <c r="BE411" s="125"/>
      <c r="BF411" s="16"/>
      <c r="BG411" s="125"/>
      <c r="BQ411" s="125"/>
      <c r="BR411" s="16"/>
      <c r="BS411" s="123"/>
      <c r="BT411" s="19"/>
      <c r="BU411" s="139"/>
      <c r="BV411" s="139"/>
      <c r="BW411" s="123"/>
      <c r="BX411" s="123"/>
      <c r="BY411" s="123"/>
      <c r="BZ411" s="123"/>
      <c r="CA411" s="123"/>
      <c r="CB411" s="123"/>
      <c r="CC411" s="6"/>
      <c r="CD411" s="123"/>
      <c r="CE411" s="6"/>
      <c r="CF411" s="123"/>
      <c r="CG411" s="6"/>
      <c r="CH411" s="6"/>
      <c r="CI411" s="6"/>
      <c r="CJ411" s="6"/>
      <c r="CK411" s="123"/>
      <c r="CL411" s="6"/>
      <c r="CM411" s="6"/>
      <c r="CN411" s="6"/>
      <c r="CO411" s="138"/>
      <c r="CP411" s="138"/>
      <c r="CQ411" s="123"/>
      <c r="CR411" s="6"/>
      <c r="CS411" s="6"/>
      <c r="CT411" s="139"/>
      <c r="CU411" s="139"/>
      <c r="CV411" s="76"/>
      <c r="CW411" s="123"/>
      <c r="CX411" s="6"/>
      <c r="DI411" s="125"/>
      <c r="DJ411" s="16"/>
      <c r="DM411" s="16"/>
      <c r="DN411" s="16"/>
      <c r="DO411" s="125"/>
      <c r="DP411" s="16"/>
      <c r="DQ411" s="125"/>
      <c r="DZ411" s="125"/>
      <c r="EA411" s="142"/>
      <c r="EB411" s="125"/>
      <c r="EC411" s="16"/>
      <c r="ED411" s="125"/>
      <c r="EE411" s="125"/>
      <c r="EF411" s="16"/>
      <c r="EG411" s="125"/>
      <c r="EQ411" s="125"/>
      <c r="ER411" s="16"/>
      <c r="ES411" s="123"/>
      <c r="ET411" s="19"/>
      <c r="EU411" s="139"/>
      <c r="EV411" s="139"/>
      <c r="EW411" s="123"/>
      <c r="EX411" s="123"/>
      <c r="EY411" s="123"/>
      <c r="EZ411" s="123"/>
      <c r="FA411" s="123"/>
      <c r="FB411" s="123"/>
      <c r="FC411" s="6"/>
      <c r="FD411" s="123"/>
      <c r="FE411" s="6"/>
      <c r="FF411" s="123"/>
      <c r="FG411" s="6"/>
      <c r="FH411" s="6"/>
      <c r="FI411" s="6"/>
      <c r="FJ411" s="6"/>
      <c r="FK411" s="123"/>
      <c r="FL411" s="6"/>
      <c r="FM411" s="6"/>
      <c r="FN411" s="6"/>
      <c r="FO411" s="138"/>
      <c r="FP411" s="138"/>
      <c r="FQ411" s="123"/>
      <c r="FR411" s="6"/>
      <c r="FS411" s="6"/>
      <c r="FT411" s="139"/>
      <c r="FU411" s="139"/>
      <c r="FV411" s="76"/>
      <c r="FW411" s="123"/>
      <c r="FX411" s="6"/>
    </row>
    <row r="412" spans="35:180">
      <c r="AI412" s="125"/>
      <c r="AJ412" s="16"/>
      <c r="AM412" s="16"/>
      <c r="AN412" s="16"/>
      <c r="AO412" s="125"/>
      <c r="AP412" s="16"/>
      <c r="AQ412" s="125"/>
      <c r="AZ412" s="125"/>
      <c r="BA412" s="142"/>
      <c r="BB412" s="125"/>
      <c r="BC412" s="16"/>
      <c r="BD412" s="125"/>
      <c r="BE412" s="125"/>
      <c r="BF412" s="16"/>
      <c r="BG412" s="125"/>
      <c r="BQ412" s="125"/>
      <c r="BR412" s="16"/>
      <c r="BS412" s="123"/>
      <c r="BT412" s="19"/>
      <c r="BU412" s="139"/>
      <c r="BV412" s="139"/>
      <c r="BW412" s="123"/>
      <c r="BX412" s="123"/>
      <c r="BY412" s="123"/>
      <c r="BZ412" s="123"/>
      <c r="CA412" s="123"/>
      <c r="CB412" s="123"/>
      <c r="CC412" s="6"/>
      <c r="CD412" s="123"/>
      <c r="CE412" s="6"/>
      <c r="CF412" s="123"/>
      <c r="CG412" s="6"/>
      <c r="CH412" s="6"/>
      <c r="CI412" s="6"/>
      <c r="CJ412" s="6"/>
      <c r="CK412" s="123"/>
      <c r="CL412" s="6"/>
      <c r="CM412" s="6"/>
      <c r="CN412" s="6"/>
      <c r="CO412" s="138"/>
      <c r="CP412" s="138"/>
      <c r="CQ412" s="123"/>
      <c r="CR412" s="6"/>
      <c r="CS412" s="6"/>
      <c r="CT412" s="139"/>
      <c r="CU412" s="139"/>
      <c r="CV412" s="76"/>
      <c r="CW412" s="123"/>
      <c r="CX412" s="6"/>
      <c r="DI412" s="125"/>
      <c r="DJ412" s="16"/>
      <c r="DM412" s="16"/>
      <c r="DN412" s="16"/>
      <c r="DO412" s="125"/>
      <c r="DP412" s="16"/>
      <c r="DQ412" s="125"/>
      <c r="DZ412" s="125"/>
      <c r="EA412" s="142"/>
      <c r="EB412" s="125"/>
      <c r="EC412" s="16"/>
      <c r="ED412" s="125"/>
      <c r="EE412" s="125"/>
      <c r="EF412" s="16"/>
      <c r="EG412" s="125"/>
      <c r="EQ412" s="125"/>
      <c r="ER412" s="16"/>
      <c r="ES412" s="123"/>
      <c r="ET412" s="19"/>
      <c r="EU412" s="139"/>
      <c r="EV412" s="139"/>
      <c r="EW412" s="123"/>
      <c r="EX412" s="123"/>
      <c r="EY412" s="123"/>
      <c r="EZ412" s="123"/>
      <c r="FA412" s="123"/>
      <c r="FB412" s="123"/>
      <c r="FC412" s="6"/>
      <c r="FD412" s="123"/>
      <c r="FE412" s="6"/>
      <c r="FF412" s="123"/>
      <c r="FG412" s="6"/>
      <c r="FH412" s="6"/>
      <c r="FI412" s="6"/>
      <c r="FJ412" s="6"/>
      <c r="FK412" s="123"/>
      <c r="FL412" s="6"/>
      <c r="FM412" s="6"/>
      <c r="FN412" s="6"/>
      <c r="FO412" s="138"/>
      <c r="FP412" s="138"/>
      <c r="FQ412" s="123"/>
      <c r="FR412" s="6"/>
      <c r="FS412" s="6"/>
      <c r="FT412" s="139"/>
      <c r="FU412" s="139"/>
      <c r="FV412" s="76"/>
      <c r="FW412" s="123"/>
      <c r="FX412" s="6"/>
    </row>
    <row r="413" spans="35:180">
      <c r="AI413" s="125"/>
      <c r="AJ413" s="16"/>
      <c r="AM413" s="16"/>
      <c r="AN413" s="16"/>
      <c r="AO413" s="125"/>
      <c r="AP413" s="16"/>
      <c r="AQ413" s="125"/>
      <c r="AZ413" s="125"/>
      <c r="BA413" s="142"/>
      <c r="BB413" s="125"/>
      <c r="BC413" s="16"/>
      <c r="BD413" s="125"/>
      <c r="BE413" s="125"/>
      <c r="BF413" s="16"/>
      <c r="BG413" s="125"/>
      <c r="BQ413" s="125"/>
      <c r="BR413" s="16"/>
      <c r="BS413" s="123"/>
      <c r="BT413" s="19"/>
      <c r="BU413" s="139"/>
      <c r="BV413" s="139"/>
      <c r="BW413" s="123"/>
      <c r="BX413" s="123"/>
      <c r="BY413" s="123"/>
      <c r="BZ413" s="123"/>
      <c r="CA413" s="123"/>
      <c r="CB413" s="123"/>
      <c r="CC413" s="6"/>
      <c r="CD413" s="123"/>
      <c r="CE413" s="6"/>
      <c r="CF413" s="123"/>
      <c r="CG413" s="6"/>
      <c r="CH413" s="6"/>
      <c r="CI413" s="6"/>
      <c r="CJ413" s="6"/>
      <c r="CK413" s="123"/>
      <c r="CL413" s="6"/>
      <c r="CM413" s="6"/>
      <c r="CN413" s="6"/>
      <c r="CO413" s="138"/>
      <c r="CP413" s="138"/>
      <c r="CQ413" s="123"/>
      <c r="CR413" s="6"/>
      <c r="CS413" s="6"/>
      <c r="CT413" s="139"/>
      <c r="CU413" s="139"/>
      <c r="CV413" s="76"/>
      <c r="CW413" s="123"/>
      <c r="CX413" s="6"/>
      <c r="DI413" s="125"/>
      <c r="DJ413" s="16"/>
      <c r="DM413" s="16"/>
      <c r="DN413" s="16"/>
      <c r="DO413" s="125"/>
      <c r="DP413" s="16"/>
      <c r="DQ413" s="125"/>
      <c r="DZ413" s="125"/>
      <c r="EA413" s="142"/>
      <c r="EB413" s="125"/>
      <c r="EC413" s="16"/>
      <c r="ED413" s="125"/>
      <c r="EE413" s="125"/>
      <c r="EF413" s="16"/>
      <c r="EG413" s="125"/>
      <c r="EQ413" s="125"/>
      <c r="ER413" s="16"/>
      <c r="ES413" s="123"/>
      <c r="ET413" s="19"/>
      <c r="EU413" s="139"/>
      <c r="EV413" s="139"/>
      <c r="EW413" s="123"/>
      <c r="EX413" s="123"/>
      <c r="EY413" s="123"/>
      <c r="EZ413" s="123"/>
      <c r="FA413" s="123"/>
      <c r="FB413" s="123"/>
      <c r="FC413" s="6"/>
      <c r="FD413" s="123"/>
      <c r="FE413" s="6"/>
      <c r="FF413" s="123"/>
      <c r="FG413" s="6"/>
      <c r="FH413" s="6"/>
      <c r="FI413" s="6"/>
      <c r="FJ413" s="6"/>
      <c r="FK413" s="123"/>
      <c r="FL413" s="6"/>
      <c r="FM413" s="6"/>
      <c r="FN413" s="6"/>
      <c r="FO413" s="138"/>
      <c r="FP413" s="138"/>
      <c r="FQ413" s="123"/>
      <c r="FR413" s="6"/>
      <c r="FS413" s="6"/>
      <c r="FT413" s="139"/>
      <c r="FU413" s="139"/>
      <c r="FV413" s="76"/>
      <c r="FW413" s="123"/>
      <c r="FX413" s="6"/>
    </row>
    <row r="414" spans="35:180">
      <c r="AI414" s="125"/>
      <c r="AJ414" s="16"/>
      <c r="AM414" s="16"/>
      <c r="AN414" s="16"/>
      <c r="AO414" s="125"/>
      <c r="AP414" s="16"/>
      <c r="AQ414" s="125"/>
      <c r="AZ414" s="125"/>
      <c r="BA414" s="142"/>
      <c r="BB414" s="125"/>
      <c r="BC414" s="16"/>
      <c r="BD414" s="125"/>
      <c r="BE414" s="125"/>
      <c r="BF414" s="16"/>
      <c r="BG414" s="125"/>
      <c r="BQ414" s="125"/>
      <c r="BR414" s="16"/>
      <c r="BS414" s="123"/>
      <c r="BT414" s="19"/>
      <c r="BU414" s="139"/>
      <c r="BV414" s="139"/>
      <c r="BW414" s="123"/>
      <c r="BX414" s="123"/>
      <c r="BY414" s="123"/>
      <c r="BZ414" s="123"/>
      <c r="CA414" s="123"/>
      <c r="CB414" s="123"/>
      <c r="CC414" s="6"/>
      <c r="CD414" s="123"/>
      <c r="CE414" s="6"/>
      <c r="CF414" s="123"/>
      <c r="CG414" s="6"/>
      <c r="CH414" s="6"/>
      <c r="CI414" s="6"/>
      <c r="CJ414" s="6"/>
      <c r="CK414" s="123"/>
      <c r="CL414" s="6"/>
      <c r="CM414" s="6"/>
      <c r="CN414" s="6"/>
      <c r="CO414" s="138"/>
      <c r="CP414" s="138"/>
      <c r="CQ414" s="123"/>
      <c r="CR414" s="6"/>
      <c r="CS414" s="6"/>
      <c r="CT414" s="139"/>
      <c r="CU414" s="139"/>
      <c r="CV414" s="76"/>
      <c r="CW414" s="123"/>
      <c r="CX414" s="6"/>
      <c r="DI414" s="125"/>
      <c r="DJ414" s="16"/>
      <c r="DM414" s="16"/>
      <c r="DN414" s="16"/>
      <c r="DO414" s="125"/>
      <c r="DP414" s="16"/>
      <c r="DQ414" s="125"/>
      <c r="DZ414" s="125"/>
      <c r="EA414" s="142"/>
      <c r="EB414" s="125"/>
      <c r="EC414" s="16"/>
      <c r="ED414" s="125"/>
      <c r="EE414" s="125"/>
      <c r="EF414" s="16"/>
      <c r="EG414" s="125"/>
      <c r="EQ414" s="125"/>
      <c r="ER414" s="16"/>
      <c r="ES414" s="123"/>
      <c r="ET414" s="19"/>
      <c r="EU414" s="139"/>
      <c r="EV414" s="139"/>
      <c r="EW414" s="123"/>
      <c r="EX414" s="123"/>
      <c r="EY414" s="123"/>
      <c r="EZ414" s="123"/>
      <c r="FA414" s="123"/>
      <c r="FB414" s="123"/>
      <c r="FC414" s="6"/>
      <c r="FD414" s="123"/>
      <c r="FE414" s="6"/>
      <c r="FF414" s="123"/>
      <c r="FG414" s="6"/>
      <c r="FH414" s="6"/>
      <c r="FI414" s="6"/>
      <c r="FJ414" s="6"/>
      <c r="FK414" s="123"/>
      <c r="FL414" s="6"/>
      <c r="FM414" s="6"/>
      <c r="FN414" s="6"/>
      <c r="FO414" s="138"/>
      <c r="FP414" s="138"/>
      <c r="FQ414" s="123"/>
      <c r="FR414" s="6"/>
      <c r="FS414" s="6"/>
      <c r="FT414" s="139"/>
      <c r="FU414" s="139"/>
      <c r="FV414" s="76"/>
      <c r="FW414" s="123"/>
      <c r="FX414" s="6"/>
    </row>
    <row r="415" spans="35:180">
      <c r="AI415" s="125"/>
      <c r="AJ415" s="16"/>
      <c r="AM415" s="16"/>
      <c r="AN415" s="16"/>
      <c r="AO415" s="125"/>
      <c r="AP415" s="16"/>
      <c r="AQ415" s="125"/>
      <c r="AZ415" s="125"/>
      <c r="BA415" s="142"/>
      <c r="BB415" s="125"/>
      <c r="BC415" s="16"/>
      <c r="BD415" s="125"/>
      <c r="BE415" s="125"/>
      <c r="BF415" s="16"/>
      <c r="BG415" s="125"/>
      <c r="BQ415" s="125"/>
      <c r="BR415" s="16"/>
      <c r="BS415" s="123"/>
      <c r="BT415" s="19"/>
      <c r="BU415" s="139"/>
      <c r="BV415" s="139"/>
      <c r="BW415" s="123"/>
      <c r="BX415" s="123"/>
      <c r="BY415" s="123"/>
      <c r="BZ415" s="123"/>
      <c r="CA415" s="123"/>
      <c r="CB415" s="123"/>
      <c r="CC415" s="6"/>
      <c r="CD415" s="123"/>
      <c r="CE415" s="6"/>
      <c r="CF415" s="123"/>
      <c r="CG415" s="6"/>
      <c r="CH415" s="6"/>
      <c r="CI415" s="6"/>
      <c r="CJ415" s="6"/>
      <c r="CK415" s="123"/>
      <c r="CL415" s="6"/>
      <c r="CM415" s="6"/>
      <c r="CN415" s="6"/>
      <c r="CO415" s="138"/>
      <c r="CP415" s="138"/>
      <c r="CQ415" s="123"/>
      <c r="CR415" s="6"/>
      <c r="CS415" s="6"/>
      <c r="CT415" s="139"/>
      <c r="CU415" s="139"/>
      <c r="CV415" s="76"/>
      <c r="CW415" s="123"/>
      <c r="CX415" s="6"/>
      <c r="DI415" s="125"/>
      <c r="DJ415" s="16"/>
      <c r="DM415" s="16"/>
      <c r="DN415" s="16"/>
      <c r="DO415" s="125"/>
      <c r="DP415" s="16"/>
      <c r="DQ415" s="125"/>
      <c r="DZ415" s="125"/>
      <c r="EA415" s="142"/>
      <c r="EB415" s="125"/>
      <c r="EC415" s="16"/>
      <c r="ED415" s="125"/>
      <c r="EE415" s="125"/>
      <c r="EF415" s="16"/>
      <c r="EG415" s="125"/>
      <c r="EQ415" s="125"/>
      <c r="ER415" s="16"/>
      <c r="ES415" s="123"/>
      <c r="ET415" s="19"/>
      <c r="EU415" s="139"/>
      <c r="EV415" s="139"/>
      <c r="EW415" s="123"/>
      <c r="EX415" s="123"/>
      <c r="EY415" s="123"/>
      <c r="EZ415" s="123"/>
      <c r="FA415" s="123"/>
      <c r="FB415" s="123"/>
      <c r="FC415" s="6"/>
      <c r="FD415" s="123"/>
      <c r="FE415" s="6"/>
      <c r="FF415" s="123"/>
      <c r="FG415" s="6"/>
      <c r="FH415" s="6"/>
      <c r="FI415" s="6"/>
      <c r="FJ415" s="6"/>
      <c r="FK415" s="123"/>
      <c r="FL415" s="6"/>
      <c r="FM415" s="6"/>
      <c r="FN415" s="6"/>
      <c r="FO415" s="138"/>
      <c r="FP415" s="138"/>
      <c r="FQ415" s="123"/>
      <c r="FR415" s="6"/>
      <c r="FS415" s="6"/>
      <c r="FT415" s="139"/>
      <c r="FU415" s="139"/>
      <c r="FV415" s="76"/>
      <c r="FW415" s="123"/>
      <c r="FX415" s="6"/>
    </row>
    <row r="416" spans="35:180">
      <c r="AI416" s="125"/>
      <c r="AJ416" s="16"/>
      <c r="AM416" s="16"/>
      <c r="AN416" s="16"/>
      <c r="AO416" s="125"/>
      <c r="AP416" s="16"/>
      <c r="AQ416" s="125"/>
      <c r="AZ416" s="125"/>
      <c r="BA416" s="142"/>
      <c r="BB416" s="125"/>
      <c r="BC416" s="16"/>
      <c r="BD416" s="125"/>
      <c r="BE416" s="125"/>
      <c r="BF416" s="16"/>
      <c r="BG416" s="125"/>
      <c r="BQ416" s="125"/>
      <c r="BR416" s="16"/>
      <c r="BS416" s="123"/>
      <c r="BT416" s="19"/>
      <c r="BU416" s="139"/>
      <c r="BV416" s="139"/>
      <c r="BW416" s="123"/>
      <c r="BX416" s="123"/>
      <c r="BY416" s="123"/>
      <c r="BZ416" s="123"/>
      <c r="CA416" s="123"/>
      <c r="CB416" s="123"/>
      <c r="CC416" s="6"/>
      <c r="CD416" s="123"/>
      <c r="CE416" s="6"/>
      <c r="CF416" s="123"/>
      <c r="CG416" s="6"/>
      <c r="CH416" s="6"/>
      <c r="CI416" s="6"/>
      <c r="CJ416" s="6"/>
      <c r="CK416" s="123"/>
      <c r="CL416" s="6"/>
      <c r="CM416" s="6"/>
      <c r="CN416" s="6"/>
      <c r="CO416" s="138"/>
      <c r="CP416" s="138"/>
      <c r="CQ416" s="123"/>
      <c r="CR416" s="6"/>
      <c r="CS416" s="6"/>
      <c r="CT416" s="139"/>
      <c r="CU416" s="139"/>
      <c r="CV416" s="76"/>
      <c r="CW416" s="123"/>
      <c r="CX416" s="6"/>
      <c r="DI416" s="125"/>
      <c r="DJ416" s="16"/>
      <c r="DM416" s="16"/>
      <c r="DN416" s="16"/>
      <c r="DO416" s="125"/>
      <c r="DP416" s="16"/>
      <c r="DQ416" s="125"/>
      <c r="DZ416" s="125"/>
      <c r="EA416" s="142"/>
      <c r="EB416" s="125"/>
      <c r="EC416" s="16"/>
      <c r="ED416" s="125"/>
      <c r="EE416" s="125"/>
      <c r="EF416" s="16"/>
      <c r="EG416" s="125"/>
      <c r="EQ416" s="125"/>
      <c r="ER416" s="16"/>
      <c r="ES416" s="123"/>
      <c r="ET416" s="19"/>
      <c r="EU416" s="139"/>
      <c r="EV416" s="139"/>
      <c r="EW416" s="123"/>
      <c r="EX416" s="123"/>
      <c r="EY416" s="123"/>
      <c r="EZ416" s="123"/>
      <c r="FA416" s="123"/>
      <c r="FB416" s="123"/>
      <c r="FC416" s="6"/>
      <c r="FD416" s="123"/>
      <c r="FE416" s="6"/>
      <c r="FF416" s="123"/>
      <c r="FG416" s="6"/>
      <c r="FH416" s="6"/>
      <c r="FI416" s="6"/>
      <c r="FJ416" s="6"/>
      <c r="FK416" s="123"/>
      <c r="FL416" s="6"/>
      <c r="FM416" s="6"/>
      <c r="FN416" s="6"/>
      <c r="FO416" s="138"/>
      <c r="FP416" s="138"/>
      <c r="FQ416" s="123"/>
      <c r="FR416" s="6"/>
      <c r="FS416" s="6"/>
      <c r="FT416" s="139"/>
      <c r="FU416" s="139"/>
      <c r="FV416" s="76"/>
      <c r="FW416" s="123"/>
      <c r="FX416" s="6"/>
    </row>
    <row r="417" spans="35:180">
      <c r="AI417" s="125"/>
      <c r="AJ417" s="16"/>
      <c r="AM417" s="16"/>
      <c r="AN417" s="16"/>
      <c r="AO417" s="125"/>
      <c r="AP417" s="16"/>
      <c r="AQ417" s="125"/>
      <c r="AZ417" s="125"/>
      <c r="BA417" s="142"/>
      <c r="BB417" s="125"/>
      <c r="BC417" s="16"/>
      <c r="BD417" s="125"/>
      <c r="BE417" s="125"/>
      <c r="BF417" s="16"/>
      <c r="BG417" s="125"/>
      <c r="BQ417" s="125"/>
      <c r="BR417" s="16"/>
      <c r="BS417" s="123"/>
      <c r="BT417" s="19"/>
      <c r="BU417" s="139"/>
      <c r="BV417" s="139"/>
      <c r="BW417" s="123"/>
      <c r="BX417" s="123"/>
      <c r="BY417" s="123"/>
      <c r="BZ417" s="123"/>
      <c r="CA417" s="123"/>
      <c r="CB417" s="123"/>
      <c r="CC417" s="6"/>
      <c r="CD417" s="123"/>
      <c r="CE417" s="6"/>
      <c r="CF417" s="123"/>
      <c r="CG417" s="6"/>
      <c r="CH417" s="6"/>
      <c r="CI417" s="6"/>
      <c r="CJ417" s="6"/>
      <c r="CK417" s="123"/>
      <c r="CL417" s="6"/>
      <c r="CM417" s="6"/>
      <c r="CN417" s="6"/>
      <c r="CO417" s="138"/>
      <c r="CP417" s="138"/>
      <c r="CQ417" s="123"/>
      <c r="CR417" s="6"/>
      <c r="CS417" s="6"/>
      <c r="CT417" s="139"/>
      <c r="CU417" s="139"/>
      <c r="CV417" s="76"/>
      <c r="CW417" s="123"/>
      <c r="CX417" s="6"/>
      <c r="DI417" s="125"/>
      <c r="DJ417" s="16"/>
      <c r="DM417" s="16"/>
      <c r="DN417" s="16"/>
      <c r="DO417" s="125"/>
      <c r="DP417" s="16"/>
      <c r="DQ417" s="125"/>
      <c r="DZ417" s="125"/>
      <c r="EA417" s="142"/>
      <c r="EB417" s="125"/>
      <c r="EC417" s="16"/>
      <c r="ED417" s="125"/>
      <c r="EE417" s="125"/>
      <c r="EF417" s="16"/>
      <c r="EG417" s="125"/>
      <c r="EQ417" s="125"/>
      <c r="ER417" s="16"/>
      <c r="ES417" s="123"/>
      <c r="ET417" s="19"/>
      <c r="EU417" s="139"/>
      <c r="EV417" s="139"/>
      <c r="EW417" s="123"/>
      <c r="EX417" s="123"/>
      <c r="EY417" s="123"/>
      <c r="EZ417" s="123"/>
      <c r="FA417" s="123"/>
      <c r="FB417" s="123"/>
      <c r="FC417" s="6"/>
      <c r="FD417" s="123"/>
      <c r="FE417" s="6"/>
      <c r="FF417" s="123"/>
      <c r="FG417" s="6"/>
      <c r="FH417" s="6"/>
      <c r="FI417" s="6"/>
      <c r="FJ417" s="6"/>
      <c r="FK417" s="123"/>
      <c r="FL417" s="6"/>
      <c r="FM417" s="6"/>
      <c r="FN417" s="6"/>
      <c r="FO417" s="138"/>
      <c r="FP417" s="138"/>
      <c r="FQ417" s="123"/>
      <c r="FR417" s="6"/>
      <c r="FS417" s="6"/>
      <c r="FT417" s="139"/>
      <c r="FU417" s="139"/>
      <c r="FV417" s="76"/>
      <c r="FW417" s="123"/>
      <c r="FX417" s="6"/>
    </row>
    <row r="418" spans="35:180">
      <c r="AI418" s="125"/>
      <c r="AJ418" s="16"/>
      <c r="AM418" s="16"/>
      <c r="AN418" s="16"/>
      <c r="AO418" s="125"/>
      <c r="AP418" s="16"/>
      <c r="AQ418" s="125"/>
      <c r="AZ418" s="125"/>
      <c r="BA418" s="142"/>
      <c r="BB418" s="125"/>
      <c r="BC418" s="16"/>
      <c r="BD418" s="125"/>
      <c r="BE418" s="125"/>
      <c r="BF418" s="16"/>
      <c r="BG418" s="125"/>
      <c r="BQ418" s="125"/>
      <c r="BR418" s="16"/>
      <c r="BS418" s="123"/>
      <c r="BT418" s="19"/>
      <c r="BU418" s="139"/>
      <c r="BV418" s="139"/>
      <c r="BW418" s="123"/>
      <c r="BX418" s="123"/>
      <c r="BY418" s="123"/>
      <c r="BZ418" s="123"/>
      <c r="CA418" s="123"/>
      <c r="CB418" s="123"/>
      <c r="CC418" s="6"/>
      <c r="CD418" s="123"/>
      <c r="CE418" s="6"/>
      <c r="CF418" s="123"/>
      <c r="CG418" s="6"/>
      <c r="CH418" s="6"/>
      <c r="CI418" s="6"/>
      <c r="CJ418" s="6"/>
      <c r="CK418" s="123"/>
      <c r="CL418" s="6"/>
      <c r="CM418" s="6"/>
      <c r="CN418" s="6"/>
      <c r="CO418" s="138"/>
      <c r="CP418" s="138"/>
      <c r="CQ418" s="123"/>
      <c r="CR418" s="6"/>
      <c r="CS418" s="6"/>
      <c r="CT418" s="139"/>
      <c r="CU418" s="139"/>
      <c r="CV418" s="76"/>
      <c r="CW418" s="123"/>
      <c r="CX418" s="6"/>
      <c r="DI418" s="125"/>
      <c r="DJ418" s="16"/>
      <c r="DM418" s="16"/>
      <c r="DN418" s="16"/>
      <c r="DO418" s="125"/>
      <c r="DP418" s="16"/>
      <c r="DQ418" s="125"/>
      <c r="DZ418" s="125"/>
      <c r="EA418" s="142"/>
      <c r="EB418" s="125"/>
      <c r="EC418" s="16"/>
      <c r="ED418" s="125"/>
      <c r="EE418" s="125"/>
      <c r="EF418" s="16"/>
      <c r="EG418" s="125"/>
      <c r="EQ418" s="125"/>
      <c r="ER418" s="16"/>
      <c r="ES418" s="123"/>
      <c r="ET418" s="19"/>
      <c r="EU418" s="139"/>
      <c r="EV418" s="139"/>
      <c r="EW418" s="123"/>
      <c r="EX418" s="123"/>
      <c r="EY418" s="123"/>
      <c r="EZ418" s="123"/>
      <c r="FA418" s="123"/>
      <c r="FB418" s="123"/>
      <c r="FC418" s="6"/>
      <c r="FD418" s="123"/>
      <c r="FE418" s="6"/>
      <c r="FF418" s="123"/>
      <c r="FG418" s="6"/>
      <c r="FH418" s="6"/>
      <c r="FI418" s="6"/>
      <c r="FJ418" s="6"/>
      <c r="FK418" s="123"/>
      <c r="FL418" s="6"/>
      <c r="FM418" s="6"/>
      <c r="FN418" s="6"/>
      <c r="FO418" s="138"/>
      <c r="FP418" s="138"/>
      <c r="FQ418" s="123"/>
      <c r="FR418" s="6"/>
      <c r="FS418" s="6"/>
      <c r="FT418" s="139"/>
      <c r="FU418" s="139"/>
      <c r="FV418" s="76"/>
      <c r="FW418" s="123"/>
      <c r="FX418" s="6"/>
    </row>
    <row r="419" spans="35:180">
      <c r="AI419" s="125"/>
      <c r="AJ419" s="16"/>
      <c r="AM419" s="16"/>
      <c r="AN419" s="16"/>
      <c r="AO419" s="125"/>
      <c r="AP419" s="16"/>
      <c r="AQ419" s="125"/>
      <c r="AZ419" s="125"/>
      <c r="BA419" s="142"/>
      <c r="BB419" s="125"/>
      <c r="BC419" s="16"/>
      <c r="BD419" s="125"/>
      <c r="BE419" s="125"/>
      <c r="BF419" s="16"/>
      <c r="BG419" s="125"/>
      <c r="BQ419" s="125"/>
      <c r="BR419" s="16"/>
      <c r="BS419" s="123"/>
      <c r="BT419" s="19"/>
      <c r="BU419" s="139"/>
      <c r="BV419" s="139"/>
      <c r="BW419" s="123"/>
      <c r="BX419" s="123"/>
      <c r="BY419" s="123"/>
      <c r="BZ419" s="123"/>
      <c r="CA419" s="123"/>
      <c r="CB419" s="123"/>
      <c r="CC419" s="6"/>
      <c r="CD419" s="123"/>
      <c r="CE419" s="6"/>
      <c r="CF419" s="123"/>
      <c r="CG419" s="6"/>
      <c r="CH419" s="6"/>
      <c r="CI419" s="6"/>
      <c r="CJ419" s="6"/>
      <c r="CK419" s="123"/>
      <c r="CL419" s="6"/>
      <c r="CM419" s="6"/>
      <c r="CN419" s="6"/>
      <c r="CO419" s="138"/>
      <c r="CP419" s="138"/>
      <c r="CQ419" s="123"/>
      <c r="CR419" s="6"/>
      <c r="CS419" s="6"/>
      <c r="CT419" s="139"/>
      <c r="CU419" s="139"/>
      <c r="CV419" s="76"/>
      <c r="CW419" s="123"/>
      <c r="CX419" s="6"/>
      <c r="DI419" s="125"/>
      <c r="DJ419" s="16"/>
      <c r="DM419" s="16"/>
      <c r="DN419" s="16"/>
      <c r="DO419" s="125"/>
      <c r="DP419" s="16"/>
      <c r="DQ419" s="125"/>
      <c r="DZ419" s="125"/>
      <c r="EA419" s="142"/>
      <c r="EB419" s="125"/>
      <c r="EC419" s="16"/>
      <c r="ED419" s="125"/>
      <c r="EE419" s="125"/>
      <c r="EF419" s="16"/>
      <c r="EG419" s="125"/>
      <c r="EQ419" s="125"/>
      <c r="ER419" s="16"/>
      <c r="ES419" s="123"/>
      <c r="ET419" s="19"/>
      <c r="EU419" s="139"/>
      <c r="EV419" s="139"/>
      <c r="EW419" s="123"/>
      <c r="EX419" s="123"/>
      <c r="EY419" s="123"/>
      <c r="EZ419" s="123"/>
      <c r="FA419" s="123"/>
      <c r="FB419" s="123"/>
      <c r="FC419" s="6"/>
      <c r="FD419" s="123"/>
      <c r="FE419" s="6"/>
      <c r="FF419" s="123"/>
      <c r="FG419" s="6"/>
      <c r="FH419" s="6"/>
      <c r="FI419" s="6"/>
      <c r="FJ419" s="6"/>
      <c r="FK419" s="123"/>
      <c r="FL419" s="6"/>
      <c r="FM419" s="6"/>
      <c r="FN419" s="6"/>
      <c r="FO419" s="138"/>
      <c r="FP419" s="138"/>
      <c r="FQ419" s="123"/>
      <c r="FR419" s="6"/>
      <c r="FS419" s="6"/>
      <c r="FT419" s="139"/>
      <c r="FU419" s="139"/>
      <c r="FV419" s="76"/>
      <c r="FW419" s="123"/>
      <c r="FX419" s="6"/>
    </row>
    <row r="420" spans="35:180">
      <c r="AI420" s="125"/>
      <c r="AJ420" s="16"/>
      <c r="AM420" s="16"/>
      <c r="AN420" s="16"/>
      <c r="AO420" s="125"/>
      <c r="AP420" s="16"/>
      <c r="AQ420" s="125"/>
      <c r="AZ420" s="125"/>
      <c r="BA420" s="142"/>
      <c r="BB420" s="125"/>
      <c r="BC420" s="16"/>
      <c r="BD420" s="125"/>
      <c r="BE420" s="125"/>
      <c r="BF420" s="16"/>
      <c r="BG420" s="125"/>
      <c r="BQ420" s="125"/>
      <c r="BR420" s="16"/>
      <c r="BS420" s="123"/>
      <c r="BT420" s="19"/>
      <c r="BU420" s="139"/>
      <c r="BV420" s="139"/>
      <c r="BW420" s="123"/>
      <c r="BX420" s="123"/>
      <c r="BY420" s="123"/>
      <c r="BZ420" s="123"/>
      <c r="CA420" s="123"/>
      <c r="CB420" s="123"/>
      <c r="CC420" s="6"/>
      <c r="CD420" s="123"/>
      <c r="CE420" s="6"/>
      <c r="CF420" s="123"/>
      <c r="CG420" s="6"/>
      <c r="CH420" s="6"/>
      <c r="CI420" s="6"/>
      <c r="CJ420" s="6"/>
      <c r="CK420" s="123"/>
      <c r="CL420" s="6"/>
      <c r="CM420" s="6"/>
      <c r="CN420" s="6"/>
      <c r="CO420" s="138"/>
      <c r="CP420" s="138"/>
      <c r="CQ420" s="123"/>
      <c r="CR420" s="6"/>
      <c r="CS420" s="6"/>
      <c r="CT420" s="139"/>
      <c r="CU420" s="139"/>
      <c r="CV420" s="76"/>
      <c r="CW420" s="123"/>
      <c r="CX420" s="6"/>
      <c r="DI420" s="125"/>
      <c r="DJ420" s="16"/>
      <c r="DM420" s="16"/>
      <c r="DN420" s="16"/>
      <c r="DO420" s="125"/>
      <c r="DP420" s="16"/>
      <c r="DQ420" s="125"/>
      <c r="DZ420" s="125"/>
      <c r="EA420" s="142"/>
      <c r="EB420" s="125"/>
      <c r="EC420" s="16"/>
      <c r="ED420" s="125"/>
      <c r="EE420" s="125"/>
      <c r="EF420" s="16"/>
      <c r="EG420" s="125"/>
      <c r="EQ420" s="125"/>
      <c r="ER420" s="16"/>
      <c r="ES420" s="123"/>
      <c r="ET420" s="19"/>
      <c r="EU420" s="139"/>
      <c r="EV420" s="139"/>
      <c r="EW420" s="123"/>
      <c r="EX420" s="123"/>
      <c r="EY420" s="123"/>
      <c r="EZ420" s="123"/>
      <c r="FA420" s="123"/>
      <c r="FB420" s="123"/>
      <c r="FC420" s="6"/>
      <c r="FD420" s="123"/>
      <c r="FE420" s="6"/>
      <c r="FF420" s="123"/>
      <c r="FG420" s="6"/>
      <c r="FH420" s="6"/>
      <c r="FI420" s="6"/>
      <c r="FJ420" s="6"/>
      <c r="FK420" s="123"/>
      <c r="FL420" s="6"/>
      <c r="FM420" s="6"/>
      <c r="FN420" s="6"/>
      <c r="FO420" s="138"/>
      <c r="FP420" s="138"/>
      <c r="FQ420" s="123"/>
      <c r="FR420" s="6"/>
      <c r="FS420" s="6"/>
      <c r="FT420" s="139"/>
      <c r="FU420" s="139"/>
      <c r="FV420" s="76"/>
      <c r="FW420" s="123"/>
      <c r="FX420" s="6"/>
    </row>
    <row r="421" spans="35:180">
      <c r="AI421" s="125"/>
      <c r="AJ421" s="16"/>
      <c r="AM421" s="16"/>
      <c r="AN421" s="16"/>
      <c r="AO421" s="125"/>
      <c r="AP421" s="16"/>
      <c r="AQ421" s="125"/>
      <c r="AZ421" s="125"/>
      <c r="BA421" s="142"/>
      <c r="BB421" s="125"/>
      <c r="BC421" s="16"/>
      <c r="BD421" s="125"/>
      <c r="BE421" s="125"/>
      <c r="BF421" s="16"/>
      <c r="BG421" s="125"/>
      <c r="BQ421" s="125"/>
      <c r="BR421" s="16"/>
      <c r="BS421" s="123"/>
      <c r="BT421" s="19"/>
      <c r="BU421" s="139"/>
      <c r="BV421" s="139"/>
      <c r="BW421" s="123"/>
      <c r="BX421" s="123"/>
      <c r="BY421" s="123"/>
      <c r="BZ421" s="123"/>
      <c r="CA421" s="123"/>
      <c r="CB421" s="123"/>
      <c r="CC421" s="6"/>
      <c r="CD421" s="123"/>
      <c r="CE421" s="6"/>
      <c r="CF421" s="123"/>
      <c r="CG421" s="6"/>
      <c r="CH421" s="6"/>
      <c r="CI421" s="6"/>
      <c r="CJ421" s="6"/>
      <c r="CK421" s="123"/>
      <c r="CL421" s="6"/>
      <c r="CM421" s="6"/>
      <c r="CN421" s="6"/>
      <c r="CO421" s="138"/>
      <c r="CP421" s="138"/>
      <c r="CQ421" s="123"/>
      <c r="CR421" s="6"/>
      <c r="CS421" s="6"/>
      <c r="CT421" s="139"/>
      <c r="CU421" s="139"/>
      <c r="CV421" s="76"/>
      <c r="CW421" s="123"/>
      <c r="CX421" s="6"/>
      <c r="DI421" s="125"/>
      <c r="DJ421" s="16"/>
      <c r="DM421" s="16"/>
      <c r="DN421" s="16"/>
      <c r="DO421" s="125"/>
      <c r="DP421" s="16"/>
      <c r="DQ421" s="125"/>
      <c r="DZ421" s="125"/>
      <c r="EA421" s="142"/>
      <c r="EB421" s="125"/>
      <c r="EC421" s="16"/>
      <c r="ED421" s="125"/>
      <c r="EE421" s="125"/>
      <c r="EF421" s="16"/>
      <c r="EG421" s="125"/>
      <c r="EQ421" s="125"/>
      <c r="ER421" s="16"/>
      <c r="ES421" s="123"/>
      <c r="ET421" s="19"/>
      <c r="EU421" s="139"/>
      <c r="EV421" s="139"/>
      <c r="EW421" s="123"/>
      <c r="EX421" s="123"/>
      <c r="EY421" s="123"/>
      <c r="EZ421" s="123"/>
      <c r="FA421" s="123"/>
      <c r="FB421" s="123"/>
      <c r="FC421" s="6"/>
      <c r="FD421" s="123"/>
      <c r="FE421" s="6"/>
      <c r="FF421" s="123"/>
      <c r="FG421" s="6"/>
      <c r="FH421" s="6"/>
      <c r="FI421" s="6"/>
      <c r="FJ421" s="6"/>
      <c r="FK421" s="123"/>
      <c r="FL421" s="6"/>
      <c r="FM421" s="6"/>
      <c r="FN421" s="6"/>
      <c r="FO421" s="138"/>
      <c r="FP421" s="138"/>
      <c r="FQ421" s="123"/>
      <c r="FR421" s="6"/>
      <c r="FS421" s="6"/>
      <c r="FT421" s="139"/>
      <c r="FU421" s="139"/>
      <c r="FV421" s="76"/>
      <c r="FW421" s="123"/>
      <c r="FX421" s="6"/>
    </row>
    <row r="422" spans="35:180">
      <c r="AI422" s="125"/>
      <c r="AJ422" s="16"/>
      <c r="AM422" s="16"/>
      <c r="AN422" s="16"/>
      <c r="AO422" s="125"/>
      <c r="AP422" s="16"/>
      <c r="AQ422" s="125"/>
      <c r="AZ422" s="125"/>
      <c r="BA422" s="142"/>
      <c r="BB422" s="125"/>
      <c r="BC422" s="16"/>
      <c r="BD422" s="125"/>
      <c r="BE422" s="125"/>
      <c r="BF422" s="16"/>
      <c r="BG422" s="125"/>
      <c r="BQ422" s="125"/>
      <c r="BR422" s="16"/>
      <c r="BS422" s="123"/>
      <c r="BT422" s="19"/>
      <c r="BU422" s="139"/>
      <c r="BV422" s="139"/>
      <c r="BW422" s="123"/>
      <c r="BX422" s="123"/>
      <c r="BY422" s="123"/>
      <c r="BZ422" s="123"/>
      <c r="CA422" s="123"/>
      <c r="CB422" s="123"/>
      <c r="CC422" s="6"/>
      <c r="CD422" s="123"/>
      <c r="CE422" s="6"/>
      <c r="CF422" s="123"/>
      <c r="CG422" s="6"/>
      <c r="CH422" s="6"/>
      <c r="CI422" s="6"/>
      <c r="CJ422" s="6"/>
      <c r="CK422" s="123"/>
      <c r="CL422" s="6"/>
      <c r="CM422" s="6"/>
      <c r="CN422" s="6"/>
      <c r="CO422" s="138"/>
      <c r="CP422" s="138"/>
      <c r="CQ422" s="123"/>
      <c r="CR422" s="6"/>
      <c r="CS422" s="6"/>
      <c r="CT422" s="139"/>
      <c r="CU422" s="139"/>
      <c r="CV422" s="76"/>
      <c r="CW422" s="123"/>
      <c r="CX422" s="6"/>
      <c r="DI422" s="125"/>
      <c r="DJ422" s="16"/>
      <c r="DM422" s="16"/>
      <c r="DN422" s="16"/>
      <c r="DO422" s="125"/>
      <c r="DP422" s="16"/>
      <c r="DQ422" s="125"/>
      <c r="DZ422" s="125"/>
      <c r="EA422" s="142"/>
      <c r="EB422" s="125"/>
      <c r="EC422" s="16"/>
      <c r="ED422" s="125"/>
      <c r="EE422" s="125"/>
      <c r="EF422" s="16"/>
      <c r="EG422" s="125"/>
      <c r="EQ422" s="125"/>
      <c r="ER422" s="16"/>
      <c r="ES422" s="123"/>
      <c r="ET422" s="19"/>
      <c r="EU422" s="139"/>
      <c r="EV422" s="139"/>
      <c r="EW422" s="123"/>
      <c r="EX422" s="123"/>
      <c r="EY422" s="123"/>
      <c r="EZ422" s="123"/>
      <c r="FA422" s="123"/>
      <c r="FB422" s="123"/>
      <c r="FC422" s="6"/>
      <c r="FD422" s="123"/>
      <c r="FE422" s="6"/>
      <c r="FF422" s="123"/>
      <c r="FG422" s="6"/>
      <c r="FH422" s="6"/>
      <c r="FI422" s="6"/>
      <c r="FJ422" s="6"/>
      <c r="FK422" s="123"/>
      <c r="FL422" s="6"/>
      <c r="FM422" s="6"/>
      <c r="FN422" s="6"/>
      <c r="FO422" s="138"/>
      <c r="FP422" s="138"/>
      <c r="FQ422" s="123"/>
      <c r="FR422" s="6"/>
      <c r="FS422" s="6"/>
      <c r="FT422" s="139"/>
      <c r="FU422" s="139"/>
      <c r="FV422" s="76"/>
      <c r="FW422" s="123"/>
      <c r="FX422" s="6"/>
    </row>
    <row r="423" spans="35:180">
      <c r="AI423" s="125"/>
      <c r="AJ423" s="16"/>
      <c r="AM423" s="16"/>
      <c r="AN423" s="16"/>
      <c r="AO423" s="125"/>
      <c r="AP423" s="16"/>
      <c r="AQ423" s="125"/>
      <c r="AZ423" s="125"/>
      <c r="BA423" s="142"/>
      <c r="BB423" s="125"/>
      <c r="BC423" s="16"/>
      <c r="BD423" s="125"/>
      <c r="BE423" s="125"/>
      <c r="BF423" s="16"/>
      <c r="BG423" s="125"/>
      <c r="BQ423" s="125"/>
      <c r="BR423" s="16"/>
      <c r="BS423" s="123"/>
      <c r="BT423" s="19"/>
      <c r="BU423" s="139"/>
      <c r="BV423" s="139"/>
      <c r="BW423" s="123"/>
      <c r="BX423" s="123"/>
      <c r="BY423" s="123"/>
      <c r="BZ423" s="123"/>
      <c r="CA423" s="123"/>
      <c r="CB423" s="123"/>
      <c r="CC423" s="6"/>
      <c r="CD423" s="123"/>
      <c r="CE423" s="6"/>
      <c r="CF423" s="123"/>
      <c r="CG423" s="6"/>
      <c r="CH423" s="6"/>
      <c r="CI423" s="6"/>
      <c r="CJ423" s="6"/>
      <c r="CK423" s="123"/>
      <c r="CL423" s="6"/>
      <c r="CM423" s="6"/>
      <c r="CN423" s="6"/>
      <c r="CO423" s="138"/>
      <c r="CP423" s="138"/>
      <c r="CQ423" s="123"/>
      <c r="CR423" s="6"/>
      <c r="CS423" s="6"/>
      <c r="CT423" s="139"/>
      <c r="CU423" s="139"/>
      <c r="CV423" s="76"/>
      <c r="CW423" s="123"/>
      <c r="CX423" s="6"/>
      <c r="DI423" s="125"/>
      <c r="DJ423" s="16"/>
      <c r="DM423" s="16"/>
      <c r="DN423" s="16"/>
      <c r="DO423" s="125"/>
      <c r="DP423" s="16"/>
      <c r="DQ423" s="125"/>
      <c r="DZ423" s="125"/>
      <c r="EA423" s="142"/>
      <c r="EB423" s="125"/>
      <c r="EC423" s="16"/>
      <c r="ED423" s="125"/>
      <c r="EE423" s="125"/>
      <c r="EF423" s="16"/>
      <c r="EG423" s="125"/>
      <c r="EQ423" s="125"/>
      <c r="ER423" s="16"/>
      <c r="ES423" s="123"/>
      <c r="ET423" s="19"/>
      <c r="EU423" s="139"/>
      <c r="EV423" s="139"/>
      <c r="EW423" s="123"/>
      <c r="EX423" s="123"/>
      <c r="EY423" s="123"/>
      <c r="EZ423" s="123"/>
      <c r="FA423" s="123"/>
      <c r="FB423" s="123"/>
      <c r="FC423" s="6"/>
      <c r="FD423" s="123"/>
      <c r="FE423" s="6"/>
      <c r="FF423" s="123"/>
      <c r="FG423" s="6"/>
      <c r="FH423" s="6"/>
      <c r="FI423" s="6"/>
      <c r="FJ423" s="6"/>
      <c r="FK423" s="123"/>
      <c r="FL423" s="6"/>
      <c r="FM423" s="6"/>
      <c r="FN423" s="6"/>
      <c r="FO423" s="138"/>
      <c r="FP423" s="138"/>
      <c r="FQ423" s="123"/>
      <c r="FR423" s="6"/>
      <c r="FS423" s="6"/>
      <c r="FT423" s="139"/>
      <c r="FU423" s="139"/>
      <c r="FV423" s="76"/>
      <c r="FW423" s="123"/>
      <c r="FX423" s="6"/>
    </row>
    <row r="424" spans="35:180">
      <c r="AI424" s="125"/>
      <c r="AJ424" s="16"/>
      <c r="AM424" s="16"/>
      <c r="AN424" s="16"/>
      <c r="AO424" s="125"/>
      <c r="AP424" s="16"/>
      <c r="AQ424" s="125"/>
      <c r="AZ424" s="125"/>
      <c r="BA424" s="142"/>
      <c r="BB424" s="125"/>
      <c r="BC424" s="16"/>
      <c r="BD424" s="125"/>
      <c r="BE424" s="125"/>
      <c r="BF424" s="16"/>
      <c r="BG424" s="125"/>
      <c r="BQ424" s="125"/>
      <c r="BR424" s="16"/>
      <c r="BS424" s="123"/>
      <c r="BT424" s="19"/>
      <c r="BU424" s="139"/>
      <c r="BV424" s="139"/>
      <c r="BW424" s="123"/>
      <c r="BX424" s="123"/>
      <c r="BY424" s="123"/>
      <c r="BZ424" s="123"/>
      <c r="CA424" s="123"/>
      <c r="CB424" s="123"/>
      <c r="CC424" s="6"/>
      <c r="CD424" s="123"/>
      <c r="CE424" s="6"/>
      <c r="CF424" s="123"/>
      <c r="CG424" s="6"/>
      <c r="CH424" s="6"/>
      <c r="CI424" s="6"/>
      <c r="CJ424" s="6"/>
      <c r="CK424" s="123"/>
      <c r="CL424" s="6"/>
      <c r="CM424" s="6"/>
      <c r="CN424" s="6"/>
      <c r="CO424" s="138"/>
      <c r="CP424" s="138"/>
      <c r="CQ424" s="123"/>
      <c r="CR424" s="6"/>
      <c r="CS424" s="6"/>
      <c r="CT424" s="139"/>
      <c r="CU424" s="139"/>
      <c r="CV424" s="76"/>
      <c r="CW424" s="123"/>
      <c r="CX424" s="6"/>
      <c r="DI424" s="125"/>
      <c r="DJ424" s="16"/>
      <c r="DM424" s="16"/>
      <c r="DN424" s="16"/>
      <c r="DO424" s="125"/>
      <c r="DP424" s="16"/>
      <c r="DQ424" s="125"/>
      <c r="DZ424" s="125"/>
      <c r="EA424" s="142"/>
      <c r="EB424" s="125"/>
      <c r="EC424" s="16"/>
      <c r="ED424" s="125"/>
      <c r="EE424" s="125"/>
      <c r="EF424" s="16"/>
      <c r="EG424" s="125"/>
      <c r="EQ424" s="125"/>
      <c r="ER424" s="16"/>
      <c r="ES424" s="123"/>
      <c r="ET424" s="19"/>
      <c r="EU424" s="139"/>
      <c r="EV424" s="139"/>
      <c r="EW424" s="123"/>
      <c r="EX424" s="123"/>
      <c r="EY424" s="123"/>
      <c r="EZ424" s="123"/>
      <c r="FA424" s="123"/>
      <c r="FB424" s="123"/>
      <c r="FC424" s="6"/>
      <c r="FD424" s="123"/>
      <c r="FE424" s="6"/>
      <c r="FF424" s="123"/>
      <c r="FG424" s="6"/>
      <c r="FH424" s="6"/>
      <c r="FI424" s="6"/>
      <c r="FJ424" s="6"/>
      <c r="FK424" s="123"/>
      <c r="FL424" s="6"/>
      <c r="FM424" s="6"/>
      <c r="FN424" s="6"/>
      <c r="FO424" s="138"/>
      <c r="FP424" s="138"/>
      <c r="FQ424" s="123"/>
      <c r="FR424" s="6"/>
      <c r="FS424" s="6"/>
      <c r="FT424" s="139"/>
      <c r="FU424" s="139"/>
      <c r="FV424" s="76"/>
      <c r="FW424" s="123"/>
      <c r="FX424" s="6"/>
    </row>
    <row r="425" spans="35:180">
      <c r="AI425" s="125"/>
      <c r="AJ425" s="16"/>
      <c r="AM425" s="16"/>
      <c r="AN425" s="16"/>
      <c r="AO425" s="125"/>
      <c r="AP425" s="16"/>
      <c r="AQ425" s="125"/>
      <c r="AZ425" s="125"/>
      <c r="BA425" s="142"/>
      <c r="BB425" s="125"/>
      <c r="BC425" s="16"/>
      <c r="BD425" s="125"/>
      <c r="BE425" s="125"/>
      <c r="BF425" s="16"/>
      <c r="BG425" s="125"/>
      <c r="BQ425" s="125"/>
      <c r="BR425" s="16"/>
      <c r="BS425" s="123"/>
      <c r="BT425" s="19"/>
      <c r="BU425" s="139"/>
      <c r="BV425" s="139"/>
      <c r="BW425" s="123"/>
      <c r="BX425" s="123"/>
      <c r="BY425" s="123"/>
      <c r="BZ425" s="123"/>
      <c r="CA425" s="123"/>
      <c r="CB425" s="123"/>
      <c r="CC425" s="6"/>
      <c r="CD425" s="123"/>
      <c r="CE425" s="6"/>
      <c r="CF425" s="123"/>
      <c r="CG425" s="6"/>
      <c r="CH425" s="6"/>
      <c r="CI425" s="6"/>
      <c r="CJ425" s="6"/>
      <c r="CK425" s="123"/>
      <c r="CL425" s="6"/>
      <c r="CM425" s="6"/>
      <c r="CN425" s="6"/>
      <c r="CO425" s="138"/>
      <c r="CP425" s="138"/>
      <c r="CQ425" s="123"/>
      <c r="CR425" s="6"/>
      <c r="CS425" s="6"/>
      <c r="CT425" s="139"/>
      <c r="CU425" s="139"/>
      <c r="CV425" s="76"/>
      <c r="CW425" s="123"/>
      <c r="CX425" s="6"/>
      <c r="DI425" s="125"/>
      <c r="DJ425" s="16"/>
      <c r="DM425" s="16"/>
      <c r="DN425" s="16"/>
      <c r="DO425" s="125"/>
      <c r="DP425" s="16"/>
      <c r="DQ425" s="125"/>
      <c r="DZ425" s="125"/>
      <c r="EA425" s="142"/>
      <c r="EB425" s="125"/>
      <c r="EC425" s="16"/>
      <c r="ED425" s="125"/>
      <c r="EE425" s="125"/>
      <c r="EF425" s="16"/>
      <c r="EG425" s="125"/>
      <c r="EQ425" s="125"/>
      <c r="ER425" s="16"/>
      <c r="ES425" s="123"/>
      <c r="ET425" s="19"/>
      <c r="EU425" s="139"/>
      <c r="EV425" s="139"/>
      <c r="EW425" s="123"/>
      <c r="EX425" s="123"/>
      <c r="EY425" s="123"/>
      <c r="EZ425" s="123"/>
      <c r="FA425" s="123"/>
      <c r="FB425" s="123"/>
      <c r="FC425" s="6"/>
      <c r="FD425" s="123"/>
      <c r="FE425" s="6"/>
      <c r="FF425" s="123"/>
      <c r="FG425" s="6"/>
      <c r="FH425" s="6"/>
      <c r="FI425" s="6"/>
      <c r="FJ425" s="6"/>
      <c r="FK425" s="123"/>
      <c r="FL425" s="6"/>
      <c r="FM425" s="6"/>
      <c r="FN425" s="6"/>
      <c r="FO425" s="138"/>
      <c r="FP425" s="138"/>
      <c r="FQ425" s="123"/>
      <c r="FR425" s="6"/>
      <c r="FS425" s="6"/>
      <c r="FT425" s="139"/>
      <c r="FU425" s="139"/>
      <c r="FV425" s="76"/>
      <c r="FW425" s="123"/>
      <c r="FX425" s="6"/>
    </row>
    <row r="426" spans="35:180">
      <c r="AI426" s="125"/>
      <c r="AJ426" s="16"/>
      <c r="AM426" s="16"/>
      <c r="AN426" s="16"/>
      <c r="AO426" s="125"/>
      <c r="AP426" s="16"/>
      <c r="AQ426" s="125"/>
      <c r="AZ426" s="125"/>
      <c r="BA426" s="142"/>
      <c r="BB426" s="125"/>
      <c r="BC426" s="16"/>
      <c r="BD426" s="125"/>
      <c r="BE426" s="125"/>
      <c r="BF426" s="16"/>
      <c r="BG426" s="125"/>
      <c r="BQ426" s="125"/>
      <c r="BR426" s="16"/>
      <c r="BS426" s="123"/>
      <c r="BT426" s="19"/>
      <c r="BU426" s="139"/>
      <c r="BV426" s="139"/>
      <c r="BW426" s="123"/>
      <c r="BX426" s="123"/>
      <c r="BY426" s="123"/>
      <c r="BZ426" s="123"/>
      <c r="CA426" s="123"/>
      <c r="CB426" s="123"/>
      <c r="CC426" s="6"/>
      <c r="CD426" s="123"/>
      <c r="CE426" s="6"/>
      <c r="CF426" s="123"/>
      <c r="CG426" s="6"/>
      <c r="CH426" s="6"/>
      <c r="CI426" s="6"/>
      <c r="CJ426" s="6"/>
      <c r="CK426" s="123"/>
      <c r="CL426" s="6"/>
      <c r="CM426" s="6"/>
      <c r="CN426" s="6"/>
      <c r="CO426" s="138"/>
      <c r="CP426" s="138"/>
      <c r="CQ426" s="123"/>
      <c r="CR426" s="6"/>
      <c r="CS426" s="6"/>
      <c r="CT426" s="139"/>
      <c r="CU426" s="139"/>
      <c r="CV426" s="76"/>
      <c r="CW426" s="123"/>
      <c r="CX426" s="6"/>
      <c r="DI426" s="125"/>
      <c r="DJ426" s="16"/>
      <c r="DM426" s="16"/>
      <c r="DN426" s="16"/>
      <c r="DO426" s="125"/>
      <c r="DP426" s="16"/>
      <c r="DQ426" s="125"/>
      <c r="DZ426" s="125"/>
      <c r="EA426" s="142"/>
      <c r="EB426" s="125"/>
      <c r="EC426" s="16"/>
      <c r="ED426" s="125"/>
      <c r="EE426" s="125"/>
      <c r="EF426" s="16"/>
      <c r="EG426" s="125"/>
      <c r="EQ426" s="125"/>
      <c r="ER426" s="16"/>
      <c r="ES426" s="123"/>
      <c r="ET426" s="19"/>
      <c r="EU426" s="139"/>
      <c r="EV426" s="139"/>
      <c r="EW426" s="123"/>
      <c r="EX426" s="123"/>
      <c r="EY426" s="123"/>
      <c r="EZ426" s="123"/>
      <c r="FA426" s="123"/>
      <c r="FB426" s="123"/>
      <c r="FC426" s="6"/>
      <c r="FD426" s="123"/>
      <c r="FE426" s="6"/>
      <c r="FF426" s="123"/>
      <c r="FG426" s="6"/>
      <c r="FH426" s="6"/>
      <c r="FI426" s="6"/>
      <c r="FJ426" s="6"/>
      <c r="FK426" s="123"/>
      <c r="FL426" s="6"/>
      <c r="FM426" s="6"/>
      <c r="FN426" s="6"/>
      <c r="FO426" s="138"/>
      <c r="FP426" s="138"/>
      <c r="FQ426" s="123"/>
      <c r="FR426" s="6"/>
      <c r="FS426" s="6"/>
      <c r="FT426" s="139"/>
      <c r="FU426" s="139"/>
      <c r="FV426" s="76"/>
      <c r="FW426" s="123"/>
      <c r="FX426" s="6"/>
    </row>
    <row r="427" spans="35:180">
      <c r="AI427" s="125"/>
      <c r="AJ427" s="16"/>
      <c r="AM427" s="16"/>
      <c r="AN427" s="16"/>
      <c r="AO427" s="125"/>
      <c r="AP427" s="16"/>
      <c r="AQ427" s="125"/>
      <c r="AZ427" s="125"/>
      <c r="BA427" s="142"/>
      <c r="BB427" s="125"/>
      <c r="BC427" s="16"/>
      <c r="BD427" s="125"/>
      <c r="BE427" s="125"/>
      <c r="BF427" s="16"/>
      <c r="BG427" s="125"/>
      <c r="BQ427" s="125"/>
      <c r="BR427" s="16"/>
      <c r="BS427" s="123"/>
      <c r="BT427" s="19"/>
      <c r="BU427" s="139"/>
      <c r="BV427" s="139"/>
      <c r="BW427" s="123"/>
      <c r="BX427" s="123"/>
      <c r="BY427" s="123"/>
      <c r="BZ427" s="123"/>
      <c r="CA427" s="123"/>
      <c r="CB427" s="123"/>
      <c r="CC427" s="6"/>
      <c r="CD427" s="123"/>
      <c r="CE427" s="6"/>
      <c r="CF427" s="123"/>
      <c r="CG427" s="6"/>
      <c r="CH427" s="6"/>
      <c r="CI427" s="6"/>
      <c r="CJ427" s="6"/>
      <c r="CK427" s="123"/>
      <c r="CL427" s="6"/>
      <c r="CM427" s="6"/>
      <c r="CN427" s="6"/>
      <c r="CO427" s="138"/>
      <c r="CP427" s="138"/>
      <c r="CQ427" s="123"/>
      <c r="CR427" s="6"/>
      <c r="CS427" s="6"/>
      <c r="CT427" s="139"/>
      <c r="CU427" s="139"/>
      <c r="CV427" s="76"/>
      <c r="CW427" s="123"/>
      <c r="CX427" s="6"/>
      <c r="DI427" s="125"/>
      <c r="DJ427" s="16"/>
      <c r="DM427" s="16"/>
      <c r="DN427" s="16"/>
      <c r="DO427" s="125"/>
      <c r="DP427" s="16"/>
      <c r="DQ427" s="125"/>
      <c r="DZ427" s="125"/>
      <c r="EA427" s="142"/>
      <c r="EB427" s="125"/>
      <c r="EC427" s="16"/>
      <c r="ED427" s="125"/>
      <c r="EE427" s="125"/>
      <c r="EF427" s="16"/>
      <c r="EG427" s="125"/>
      <c r="EQ427" s="125"/>
      <c r="ER427" s="16"/>
      <c r="ES427" s="123"/>
      <c r="ET427" s="19"/>
      <c r="EU427" s="139"/>
      <c r="EV427" s="139"/>
      <c r="EW427" s="123"/>
      <c r="EX427" s="123"/>
      <c r="EY427" s="123"/>
      <c r="EZ427" s="123"/>
      <c r="FA427" s="123"/>
      <c r="FB427" s="123"/>
      <c r="FC427" s="6"/>
      <c r="FD427" s="123"/>
      <c r="FE427" s="6"/>
      <c r="FF427" s="123"/>
      <c r="FG427" s="6"/>
      <c r="FH427" s="6"/>
      <c r="FI427" s="6"/>
      <c r="FJ427" s="6"/>
      <c r="FK427" s="123"/>
      <c r="FL427" s="6"/>
      <c r="FM427" s="6"/>
      <c r="FN427" s="6"/>
      <c r="FO427" s="138"/>
      <c r="FP427" s="138"/>
      <c r="FQ427" s="123"/>
      <c r="FR427" s="6"/>
      <c r="FS427" s="6"/>
      <c r="FT427" s="139"/>
      <c r="FU427" s="139"/>
      <c r="FV427" s="76"/>
      <c r="FW427" s="123"/>
      <c r="FX427" s="6"/>
    </row>
    <row r="428" spans="35:180">
      <c r="AI428" s="125"/>
      <c r="AJ428" s="16"/>
      <c r="AM428" s="16"/>
      <c r="AN428" s="16"/>
      <c r="AO428" s="125"/>
      <c r="AP428" s="16"/>
      <c r="AQ428" s="125"/>
      <c r="AZ428" s="125"/>
      <c r="BA428" s="142"/>
      <c r="BB428" s="125"/>
      <c r="BC428" s="16"/>
      <c r="BD428" s="125"/>
      <c r="BE428" s="125"/>
      <c r="BF428" s="16"/>
      <c r="BG428" s="125"/>
      <c r="BQ428" s="125"/>
      <c r="BR428" s="16"/>
      <c r="BS428" s="123"/>
      <c r="BT428" s="19"/>
      <c r="BU428" s="139"/>
      <c r="BV428" s="139"/>
      <c r="BW428" s="123"/>
      <c r="BX428" s="123"/>
      <c r="BY428" s="123"/>
      <c r="BZ428" s="123"/>
      <c r="CA428" s="123"/>
      <c r="CB428" s="123"/>
      <c r="CC428" s="6"/>
      <c r="CD428" s="123"/>
      <c r="CE428" s="6"/>
      <c r="CF428" s="123"/>
      <c r="CG428" s="6"/>
      <c r="CH428" s="6"/>
      <c r="CI428" s="6"/>
      <c r="CJ428" s="6"/>
      <c r="CK428" s="123"/>
      <c r="CL428" s="6"/>
      <c r="CM428" s="6"/>
      <c r="CN428" s="6"/>
      <c r="CO428" s="138"/>
      <c r="CP428" s="138"/>
      <c r="CQ428" s="123"/>
      <c r="CR428" s="6"/>
      <c r="CS428" s="6"/>
      <c r="CT428" s="139"/>
      <c r="CU428" s="139"/>
      <c r="CV428" s="76"/>
      <c r="CW428" s="123"/>
      <c r="CX428" s="6"/>
      <c r="DI428" s="125"/>
      <c r="DJ428" s="16"/>
      <c r="DM428" s="16"/>
      <c r="DN428" s="16"/>
      <c r="DO428" s="125"/>
      <c r="DP428" s="16"/>
      <c r="DQ428" s="125"/>
      <c r="DZ428" s="125"/>
      <c r="EA428" s="142"/>
      <c r="EB428" s="125"/>
      <c r="EC428" s="16"/>
      <c r="ED428" s="125"/>
      <c r="EE428" s="125"/>
      <c r="EF428" s="16"/>
      <c r="EG428" s="125"/>
      <c r="EQ428" s="125"/>
      <c r="ER428" s="16"/>
      <c r="ES428" s="123"/>
      <c r="ET428" s="19"/>
      <c r="EU428" s="139"/>
      <c r="EV428" s="139"/>
      <c r="EW428" s="123"/>
      <c r="EX428" s="123"/>
      <c r="EY428" s="123"/>
      <c r="EZ428" s="123"/>
      <c r="FA428" s="123"/>
      <c r="FB428" s="123"/>
      <c r="FC428" s="6"/>
      <c r="FD428" s="123"/>
      <c r="FE428" s="6"/>
      <c r="FF428" s="123"/>
      <c r="FG428" s="6"/>
      <c r="FH428" s="6"/>
      <c r="FI428" s="6"/>
      <c r="FJ428" s="6"/>
      <c r="FK428" s="123"/>
      <c r="FL428" s="6"/>
      <c r="FM428" s="6"/>
      <c r="FN428" s="6"/>
      <c r="FO428" s="138"/>
      <c r="FP428" s="138"/>
      <c r="FQ428" s="123"/>
      <c r="FR428" s="6"/>
      <c r="FS428" s="6"/>
      <c r="FT428" s="139"/>
      <c r="FU428" s="139"/>
      <c r="FV428" s="76"/>
      <c r="FW428" s="123"/>
      <c r="FX428" s="6"/>
    </row>
    <row r="429" spans="35:180">
      <c r="AI429" s="125"/>
      <c r="AJ429" s="16"/>
      <c r="AM429" s="16"/>
      <c r="AN429" s="16"/>
      <c r="AO429" s="125"/>
      <c r="AP429" s="16"/>
      <c r="AQ429" s="125"/>
      <c r="AZ429" s="125"/>
      <c r="BA429" s="142"/>
      <c r="BB429" s="125"/>
      <c r="BC429" s="16"/>
      <c r="BD429" s="125"/>
      <c r="BE429" s="125"/>
      <c r="BF429" s="16"/>
      <c r="BG429" s="125"/>
      <c r="BQ429" s="125"/>
      <c r="BR429" s="16"/>
      <c r="BS429" s="123"/>
      <c r="BT429" s="19"/>
      <c r="BU429" s="139"/>
      <c r="BV429" s="139"/>
      <c r="BW429" s="123"/>
      <c r="BX429" s="123"/>
      <c r="BY429" s="123"/>
      <c r="BZ429" s="123"/>
      <c r="CA429" s="123"/>
      <c r="CB429" s="123"/>
      <c r="CC429" s="6"/>
      <c r="CD429" s="123"/>
      <c r="CE429" s="6"/>
      <c r="CF429" s="123"/>
      <c r="CG429" s="6"/>
      <c r="CH429" s="6"/>
      <c r="CI429" s="6"/>
      <c r="CJ429" s="6"/>
      <c r="CK429" s="123"/>
      <c r="CL429" s="6"/>
      <c r="CM429" s="6"/>
      <c r="CN429" s="6"/>
      <c r="CO429" s="138"/>
      <c r="CP429" s="138"/>
      <c r="CQ429" s="123"/>
      <c r="CR429" s="6"/>
      <c r="CS429" s="6"/>
      <c r="CT429" s="139"/>
      <c r="CU429" s="139"/>
      <c r="CV429" s="76"/>
      <c r="CW429" s="123"/>
      <c r="CX429" s="6"/>
      <c r="DI429" s="125"/>
      <c r="DJ429" s="16"/>
      <c r="DM429" s="16"/>
      <c r="DN429" s="16"/>
      <c r="DO429" s="125"/>
      <c r="DP429" s="16"/>
      <c r="DQ429" s="125"/>
      <c r="DZ429" s="125"/>
      <c r="EA429" s="142"/>
      <c r="EB429" s="125"/>
      <c r="EC429" s="16"/>
      <c r="ED429" s="125"/>
      <c r="EE429" s="125"/>
      <c r="EF429" s="16"/>
      <c r="EG429" s="125"/>
      <c r="EQ429" s="125"/>
      <c r="ER429" s="16"/>
      <c r="ES429" s="123"/>
      <c r="ET429" s="19"/>
      <c r="EU429" s="139"/>
      <c r="EV429" s="139"/>
      <c r="EW429" s="123"/>
      <c r="EX429" s="123"/>
      <c r="EY429" s="123"/>
      <c r="EZ429" s="123"/>
      <c r="FA429" s="123"/>
      <c r="FB429" s="123"/>
      <c r="FC429" s="6"/>
      <c r="FD429" s="123"/>
      <c r="FE429" s="6"/>
      <c r="FF429" s="123"/>
      <c r="FG429" s="6"/>
      <c r="FH429" s="6"/>
      <c r="FI429" s="6"/>
      <c r="FJ429" s="6"/>
      <c r="FK429" s="123"/>
      <c r="FL429" s="6"/>
      <c r="FM429" s="6"/>
      <c r="FN429" s="6"/>
      <c r="FO429" s="138"/>
      <c r="FP429" s="138"/>
      <c r="FQ429" s="123"/>
      <c r="FR429" s="6"/>
      <c r="FS429" s="6"/>
      <c r="FT429" s="139"/>
      <c r="FU429" s="139"/>
      <c r="FV429" s="76"/>
      <c r="FW429" s="123"/>
      <c r="FX429" s="6"/>
    </row>
    <row r="430" spans="35:180">
      <c r="AI430" s="125"/>
      <c r="AJ430" s="16"/>
      <c r="AM430" s="16"/>
      <c r="AN430" s="16"/>
      <c r="AO430" s="125"/>
      <c r="AP430" s="16"/>
      <c r="AQ430" s="125"/>
      <c r="AZ430" s="125"/>
      <c r="BA430" s="142"/>
      <c r="BB430" s="125"/>
      <c r="BC430" s="16"/>
      <c r="BD430" s="125"/>
      <c r="BE430" s="125"/>
      <c r="BF430" s="16"/>
      <c r="BG430" s="125"/>
      <c r="BQ430" s="125"/>
      <c r="BR430" s="16"/>
      <c r="BS430" s="123"/>
      <c r="BT430" s="19"/>
      <c r="BU430" s="139"/>
      <c r="BV430" s="139"/>
      <c r="BW430" s="123"/>
      <c r="BX430" s="123"/>
      <c r="BY430" s="123"/>
      <c r="BZ430" s="123"/>
      <c r="CA430" s="123"/>
      <c r="CB430" s="123"/>
      <c r="CC430" s="6"/>
      <c r="CD430" s="123"/>
      <c r="CE430" s="6"/>
      <c r="CF430" s="123"/>
      <c r="CG430" s="6"/>
      <c r="CH430" s="6"/>
      <c r="CI430" s="6"/>
      <c r="CJ430" s="6"/>
      <c r="CK430" s="123"/>
      <c r="CL430" s="6"/>
      <c r="CM430" s="6"/>
      <c r="CN430" s="6"/>
      <c r="CO430" s="138"/>
      <c r="CP430" s="138"/>
      <c r="CQ430" s="123"/>
      <c r="CR430" s="6"/>
      <c r="CS430" s="6"/>
      <c r="CT430" s="139"/>
      <c r="CU430" s="139"/>
      <c r="CV430" s="76"/>
      <c r="CW430" s="123"/>
      <c r="CX430" s="6"/>
      <c r="DI430" s="125"/>
      <c r="DJ430" s="16"/>
      <c r="DM430" s="16"/>
      <c r="DN430" s="16"/>
      <c r="DO430" s="125"/>
      <c r="DP430" s="16"/>
      <c r="DQ430" s="125"/>
      <c r="DZ430" s="125"/>
      <c r="EA430" s="142"/>
      <c r="EB430" s="125"/>
      <c r="EC430" s="16"/>
      <c r="ED430" s="125"/>
      <c r="EE430" s="125"/>
      <c r="EF430" s="16"/>
      <c r="EG430" s="125"/>
      <c r="EQ430" s="125"/>
      <c r="ER430" s="16"/>
      <c r="ES430" s="123"/>
      <c r="ET430" s="19"/>
      <c r="EU430" s="139"/>
      <c r="EV430" s="139"/>
      <c r="EW430" s="123"/>
      <c r="EX430" s="123"/>
      <c r="EY430" s="123"/>
      <c r="EZ430" s="123"/>
      <c r="FA430" s="123"/>
      <c r="FB430" s="123"/>
      <c r="FC430" s="6"/>
      <c r="FD430" s="123"/>
      <c r="FE430" s="6"/>
      <c r="FF430" s="123"/>
      <c r="FG430" s="6"/>
      <c r="FH430" s="6"/>
      <c r="FI430" s="6"/>
      <c r="FJ430" s="6"/>
      <c r="FK430" s="123"/>
      <c r="FL430" s="6"/>
      <c r="FM430" s="6"/>
      <c r="FN430" s="6"/>
      <c r="FO430" s="138"/>
      <c r="FP430" s="138"/>
      <c r="FQ430" s="123"/>
      <c r="FR430" s="6"/>
      <c r="FS430" s="6"/>
      <c r="FT430" s="139"/>
      <c r="FU430" s="139"/>
      <c r="FV430" s="76"/>
      <c r="FW430" s="123"/>
      <c r="FX430" s="6"/>
    </row>
    <row r="431" spans="35:180">
      <c r="AI431" s="125"/>
      <c r="AJ431" s="16"/>
      <c r="AM431" s="16"/>
      <c r="AN431" s="16"/>
      <c r="AO431" s="125"/>
      <c r="AP431" s="16"/>
      <c r="AQ431" s="125"/>
      <c r="AZ431" s="125"/>
      <c r="BA431" s="142"/>
      <c r="BB431" s="125"/>
      <c r="BC431" s="16"/>
      <c r="BD431" s="125"/>
      <c r="BE431" s="125"/>
      <c r="BF431" s="16"/>
      <c r="BG431" s="125"/>
      <c r="BQ431" s="125"/>
      <c r="BR431" s="16"/>
      <c r="BS431" s="123"/>
      <c r="BT431" s="19"/>
      <c r="BU431" s="139"/>
      <c r="BV431" s="139"/>
      <c r="BW431" s="123"/>
      <c r="BX431" s="123"/>
      <c r="BY431" s="123"/>
      <c r="BZ431" s="123"/>
      <c r="CA431" s="123"/>
      <c r="CB431" s="123"/>
      <c r="CC431" s="6"/>
      <c r="CD431" s="123"/>
      <c r="CE431" s="6"/>
      <c r="CF431" s="123"/>
      <c r="CG431" s="6"/>
      <c r="CH431" s="6"/>
      <c r="CI431" s="6"/>
      <c r="CJ431" s="6"/>
      <c r="CK431" s="123"/>
      <c r="CL431" s="6"/>
      <c r="CM431" s="6"/>
      <c r="CN431" s="6"/>
      <c r="CO431" s="138"/>
      <c r="CP431" s="138"/>
      <c r="CQ431" s="123"/>
      <c r="CR431" s="6"/>
      <c r="CS431" s="6"/>
      <c r="CT431" s="139"/>
      <c r="CU431" s="139"/>
      <c r="CV431" s="76"/>
      <c r="CW431" s="123"/>
      <c r="CX431" s="6"/>
      <c r="DI431" s="125"/>
      <c r="DJ431" s="16"/>
      <c r="DM431" s="16"/>
      <c r="DN431" s="16"/>
      <c r="DO431" s="125"/>
      <c r="DP431" s="16"/>
      <c r="DQ431" s="125"/>
      <c r="DZ431" s="125"/>
      <c r="EA431" s="142"/>
      <c r="EB431" s="125"/>
      <c r="EC431" s="16"/>
      <c r="ED431" s="125"/>
      <c r="EE431" s="125"/>
      <c r="EF431" s="16"/>
      <c r="EG431" s="125"/>
      <c r="EQ431" s="125"/>
      <c r="ER431" s="16"/>
      <c r="ES431" s="123"/>
      <c r="ET431" s="19"/>
      <c r="EU431" s="139"/>
      <c r="EV431" s="139"/>
      <c r="EW431" s="123"/>
      <c r="EX431" s="123"/>
      <c r="EY431" s="123"/>
      <c r="EZ431" s="123"/>
      <c r="FA431" s="123"/>
      <c r="FB431" s="123"/>
      <c r="FC431" s="6"/>
      <c r="FD431" s="123"/>
      <c r="FE431" s="6"/>
      <c r="FF431" s="123"/>
      <c r="FG431" s="6"/>
      <c r="FH431" s="6"/>
      <c r="FI431" s="6"/>
      <c r="FJ431" s="6"/>
      <c r="FK431" s="123"/>
      <c r="FL431" s="6"/>
      <c r="FM431" s="6"/>
      <c r="FN431" s="6"/>
      <c r="FO431" s="138"/>
      <c r="FP431" s="138"/>
      <c r="FQ431" s="123"/>
      <c r="FR431" s="6"/>
      <c r="FS431" s="6"/>
      <c r="FT431" s="139"/>
      <c r="FU431" s="139"/>
      <c r="FV431" s="76"/>
      <c r="FW431" s="123"/>
      <c r="FX431" s="6"/>
    </row>
    <row r="432" spans="35:180">
      <c r="AI432" s="125"/>
      <c r="AJ432" s="16"/>
      <c r="AM432" s="16"/>
      <c r="AN432" s="16"/>
      <c r="AO432" s="125"/>
      <c r="AP432" s="16"/>
      <c r="AQ432" s="125"/>
      <c r="AZ432" s="125"/>
      <c r="BA432" s="142"/>
      <c r="BB432" s="125"/>
      <c r="BC432" s="16"/>
      <c r="BD432" s="125"/>
      <c r="BE432" s="125"/>
      <c r="BF432" s="16"/>
      <c r="BG432" s="125"/>
      <c r="BQ432" s="125"/>
      <c r="BR432" s="16"/>
      <c r="BS432" s="123"/>
      <c r="BT432" s="19"/>
      <c r="BU432" s="139"/>
      <c r="BV432" s="139"/>
      <c r="BW432" s="123"/>
      <c r="BX432" s="123"/>
      <c r="BY432" s="123"/>
      <c r="BZ432" s="123"/>
      <c r="CA432" s="123"/>
      <c r="CB432" s="123"/>
      <c r="CC432" s="6"/>
      <c r="CD432" s="123"/>
      <c r="CE432" s="6"/>
      <c r="CF432" s="123"/>
      <c r="CG432" s="6"/>
      <c r="CH432" s="6"/>
      <c r="CI432" s="6"/>
      <c r="CJ432" s="6"/>
      <c r="CK432" s="123"/>
      <c r="CL432" s="6"/>
      <c r="CM432" s="6"/>
      <c r="CN432" s="6"/>
      <c r="CO432" s="138"/>
      <c r="CP432" s="138"/>
      <c r="CQ432" s="123"/>
      <c r="CR432" s="6"/>
      <c r="CS432" s="6"/>
      <c r="CT432" s="139"/>
      <c r="CU432" s="139"/>
      <c r="CV432" s="76"/>
      <c r="CW432" s="123"/>
      <c r="CX432" s="6"/>
      <c r="DI432" s="125"/>
      <c r="DJ432" s="16"/>
      <c r="DM432" s="16"/>
      <c r="DN432" s="16"/>
      <c r="DO432" s="125"/>
      <c r="DP432" s="16"/>
      <c r="DQ432" s="125"/>
      <c r="DZ432" s="125"/>
      <c r="EA432" s="142"/>
      <c r="EB432" s="125"/>
      <c r="EC432" s="16"/>
      <c r="ED432" s="125"/>
      <c r="EE432" s="125"/>
      <c r="EF432" s="16"/>
      <c r="EG432" s="125"/>
      <c r="EQ432" s="125"/>
      <c r="ER432" s="16"/>
      <c r="ES432" s="123"/>
      <c r="ET432" s="19"/>
      <c r="EU432" s="139"/>
      <c r="EV432" s="139"/>
      <c r="EW432" s="123"/>
      <c r="EX432" s="123"/>
      <c r="EY432" s="123"/>
      <c r="EZ432" s="123"/>
      <c r="FA432" s="123"/>
      <c r="FB432" s="123"/>
      <c r="FC432" s="6"/>
      <c r="FD432" s="123"/>
      <c r="FE432" s="6"/>
      <c r="FF432" s="123"/>
      <c r="FG432" s="6"/>
      <c r="FH432" s="6"/>
      <c r="FI432" s="6"/>
      <c r="FJ432" s="6"/>
      <c r="FK432" s="123"/>
      <c r="FL432" s="6"/>
      <c r="FM432" s="6"/>
      <c r="FN432" s="6"/>
      <c r="FO432" s="138"/>
      <c r="FP432" s="138"/>
      <c r="FQ432" s="123"/>
      <c r="FR432" s="6"/>
      <c r="FS432" s="6"/>
      <c r="FT432" s="139"/>
      <c r="FU432" s="139"/>
      <c r="FV432" s="76"/>
      <c r="FW432" s="123"/>
      <c r="FX432" s="6"/>
    </row>
    <row r="433" spans="35:180">
      <c r="AI433" s="125"/>
      <c r="AJ433" s="16"/>
      <c r="AM433" s="16"/>
      <c r="AN433" s="16"/>
      <c r="AO433" s="125"/>
      <c r="AP433" s="16"/>
      <c r="AQ433" s="125"/>
      <c r="AZ433" s="125"/>
      <c r="BA433" s="142"/>
      <c r="BB433" s="125"/>
      <c r="BC433" s="16"/>
      <c r="BD433" s="125"/>
      <c r="BE433" s="125"/>
      <c r="BF433" s="16"/>
      <c r="BG433" s="125"/>
      <c r="BQ433" s="125"/>
      <c r="BR433" s="16"/>
      <c r="BS433" s="123"/>
      <c r="BT433" s="19"/>
      <c r="BU433" s="139"/>
      <c r="BV433" s="139"/>
      <c r="BW433" s="123"/>
      <c r="BX433" s="123"/>
      <c r="BY433" s="123"/>
      <c r="BZ433" s="123"/>
      <c r="CA433" s="123"/>
      <c r="CB433" s="123"/>
      <c r="CC433" s="6"/>
      <c r="CD433" s="123"/>
      <c r="CE433" s="6"/>
      <c r="CF433" s="123"/>
      <c r="CG433" s="6"/>
      <c r="CH433" s="6"/>
      <c r="CI433" s="6"/>
      <c r="CJ433" s="6"/>
      <c r="CK433" s="123"/>
      <c r="CL433" s="6"/>
      <c r="CM433" s="6"/>
      <c r="CN433" s="6"/>
      <c r="CO433" s="138"/>
      <c r="CP433" s="138"/>
      <c r="CQ433" s="123"/>
      <c r="CR433" s="6"/>
      <c r="CS433" s="6"/>
      <c r="CT433" s="139"/>
      <c r="CU433" s="139"/>
      <c r="CV433" s="76"/>
      <c r="CW433" s="123"/>
      <c r="CX433" s="6"/>
      <c r="DI433" s="125"/>
      <c r="DJ433" s="16"/>
      <c r="DM433" s="16"/>
      <c r="DN433" s="16"/>
      <c r="DO433" s="125"/>
      <c r="DP433" s="16"/>
      <c r="DQ433" s="125"/>
      <c r="DZ433" s="125"/>
      <c r="EA433" s="142"/>
      <c r="EB433" s="125"/>
      <c r="EC433" s="16"/>
      <c r="ED433" s="125"/>
      <c r="EE433" s="125"/>
      <c r="EF433" s="16"/>
      <c r="EG433" s="125"/>
      <c r="EQ433" s="125"/>
      <c r="ER433" s="16"/>
      <c r="ES433" s="123"/>
      <c r="ET433" s="19"/>
      <c r="EU433" s="139"/>
      <c r="EV433" s="139"/>
      <c r="EW433" s="123"/>
      <c r="EX433" s="123"/>
      <c r="EY433" s="123"/>
      <c r="EZ433" s="123"/>
      <c r="FA433" s="123"/>
      <c r="FB433" s="123"/>
      <c r="FC433" s="6"/>
      <c r="FD433" s="123"/>
      <c r="FE433" s="6"/>
      <c r="FF433" s="123"/>
      <c r="FG433" s="6"/>
      <c r="FH433" s="6"/>
      <c r="FI433" s="6"/>
      <c r="FJ433" s="6"/>
      <c r="FK433" s="123"/>
      <c r="FL433" s="6"/>
      <c r="FM433" s="6"/>
      <c r="FN433" s="6"/>
      <c r="FO433" s="138"/>
      <c r="FP433" s="138"/>
      <c r="FQ433" s="123"/>
      <c r="FR433" s="6"/>
      <c r="FS433" s="6"/>
      <c r="FT433" s="139"/>
      <c r="FU433" s="139"/>
      <c r="FV433" s="76"/>
      <c r="FW433" s="123"/>
      <c r="FX433" s="6"/>
    </row>
    <row r="434" spans="35:180">
      <c r="AI434" s="125"/>
      <c r="AJ434" s="16"/>
      <c r="AM434" s="16"/>
      <c r="AN434" s="16"/>
      <c r="AO434" s="125"/>
      <c r="AP434" s="16"/>
      <c r="AQ434" s="125"/>
      <c r="AZ434" s="125"/>
      <c r="BA434" s="142"/>
      <c r="BB434" s="125"/>
      <c r="BC434" s="16"/>
      <c r="BD434" s="125"/>
      <c r="BE434" s="125"/>
      <c r="BF434" s="16"/>
      <c r="BG434" s="125"/>
      <c r="BQ434" s="125"/>
      <c r="BR434" s="16"/>
      <c r="BS434" s="123"/>
      <c r="BT434" s="19"/>
      <c r="BU434" s="139"/>
      <c r="BV434" s="139"/>
      <c r="BW434" s="123"/>
      <c r="BX434" s="123"/>
      <c r="BY434" s="123"/>
      <c r="BZ434" s="123"/>
      <c r="CA434" s="123"/>
      <c r="CB434" s="123"/>
      <c r="CC434" s="6"/>
      <c r="CD434" s="123"/>
      <c r="CE434" s="6"/>
      <c r="CF434" s="123"/>
      <c r="CG434" s="6"/>
      <c r="CH434" s="6"/>
      <c r="CI434" s="6"/>
      <c r="CJ434" s="6"/>
      <c r="CK434" s="123"/>
      <c r="CL434" s="6"/>
      <c r="CM434" s="6"/>
      <c r="CN434" s="6"/>
      <c r="CO434" s="138"/>
      <c r="CP434" s="138"/>
      <c r="CQ434" s="123"/>
      <c r="CR434" s="6"/>
      <c r="CS434" s="6"/>
      <c r="CT434" s="139"/>
      <c r="CU434" s="139"/>
      <c r="CV434" s="76"/>
      <c r="CW434" s="123"/>
      <c r="CX434" s="6"/>
      <c r="DI434" s="125"/>
      <c r="DJ434" s="16"/>
      <c r="DM434" s="16"/>
      <c r="DN434" s="16"/>
      <c r="DO434" s="125"/>
      <c r="DP434" s="16"/>
      <c r="DQ434" s="125"/>
      <c r="DZ434" s="125"/>
      <c r="EA434" s="142"/>
      <c r="EB434" s="125"/>
      <c r="EC434" s="16"/>
      <c r="ED434" s="125"/>
      <c r="EE434" s="125"/>
      <c r="EF434" s="16"/>
      <c r="EG434" s="125"/>
      <c r="EQ434" s="125"/>
      <c r="ER434" s="16"/>
      <c r="ES434" s="123"/>
      <c r="ET434" s="19"/>
      <c r="EU434" s="139"/>
      <c r="EV434" s="139"/>
      <c r="EW434" s="123"/>
      <c r="EX434" s="123"/>
      <c r="EY434" s="123"/>
      <c r="EZ434" s="123"/>
      <c r="FA434" s="123"/>
      <c r="FB434" s="123"/>
      <c r="FC434" s="6"/>
      <c r="FD434" s="123"/>
      <c r="FE434" s="6"/>
      <c r="FF434" s="123"/>
      <c r="FG434" s="6"/>
      <c r="FH434" s="6"/>
      <c r="FI434" s="6"/>
      <c r="FJ434" s="6"/>
      <c r="FK434" s="123"/>
      <c r="FL434" s="6"/>
      <c r="FM434" s="6"/>
      <c r="FN434" s="6"/>
      <c r="FO434" s="138"/>
      <c r="FP434" s="138"/>
      <c r="FQ434" s="123"/>
      <c r="FR434" s="6"/>
      <c r="FS434" s="6"/>
      <c r="FT434" s="139"/>
      <c r="FU434" s="139"/>
      <c r="FV434" s="76"/>
      <c r="FW434" s="123"/>
      <c r="FX434" s="6"/>
    </row>
    <row r="435" spans="35:180">
      <c r="AI435" s="125"/>
      <c r="AJ435" s="16"/>
      <c r="AM435" s="16"/>
      <c r="AN435" s="16"/>
      <c r="AO435" s="125"/>
      <c r="AP435" s="16"/>
      <c r="AQ435" s="125"/>
      <c r="AZ435" s="125"/>
      <c r="BA435" s="142"/>
      <c r="BB435" s="125"/>
      <c r="BC435" s="16"/>
      <c r="BD435" s="125"/>
      <c r="BE435" s="125"/>
      <c r="BF435" s="16"/>
      <c r="BG435" s="125"/>
      <c r="BQ435" s="125"/>
      <c r="BR435" s="16"/>
      <c r="BS435" s="123"/>
      <c r="BT435" s="19"/>
      <c r="BU435" s="139"/>
      <c r="BV435" s="139"/>
      <c r="BW435" s="123"/>
      <c r="BX435" s="123"/>
      <c r="BY435" s="123"/>
      <c r="BZ435" s="123"/>
      <c r="CA435" s="123"/>
      <c r="CB435" s="123"/>
      <c r="CC435" s="6"/>
      <c r="CD435" s="123"/>
      <c r="CE435" s="6"/>
      <c r="CF435" s="123"/>
      <c r="CG435" s="6"/>
      <c r="CH435" s="6"/>
      <c r="CI435" s="6"/>
      <c r="CJ435" s="6"/>
      <c r="CK435" s="123"/>
      <c r="CL435" s="6"/>
      <c r="CM435" s="6"/>
      <c r="CN435" s="6"/>
      <c r="CO435" s="138"/>
      <c r="CP435" s="138"/>
      <c r="CQ435" s="123"/>
      <c r="CR435" s="6"/>
      <c r="CS435" s="6"/>
      <c r="CT435" s="139"/>
      <c r="CU435" s="139"/>
      <c r="CV435" s="76"/>
      <c r="CW435" s="123"/>
      <c r="CX435" s="6"/>
      <c r="DI435" s="125"/>
      <c r="DJ435" s="16"/>
      <c r="DM435" s="16"/>
      <c r="DN435" s="16"/>
      <c r="DO435" s="125"/>
      <c r="DP435" s="16"/>
      <c r="DQ435" s="125"/>
      <c r="DZ435" s="125"/>
      <c r="EA435" s="142"/>
      <c r="EB435" s="125"/>
      <c r="EC435" s="16"/>
      <c r="ED435" s="125"/>
      <c r="EE435" s="125"/>
      <c r="EF435" s="16"/>
      <c r="EG435" s="125"/>
      <c r="EQ435" s="125"/>
      <c r="ER435" s="16"/>
      <c r="ES435" s="123"/>
      <c r="ET435" s="19"/>
      <c r="EU435" s="139"/>
      <c r="EV435" s="139"/>
      <c r="EW435" s="123"/>
      <c r="EX435" s="123"/>
      <c r="EY435" s="123"/>
      <c r="EZ435" s="123"/>
      <c r="FA435" s="123"/>
      <c r="FB435" s="123"/>
      <c r="FC435" s="6"/>
      <c r="FD435" s="123"/>
      <c r="FE435" s="6"/>
      <c r="FF435" s="123"/>
      <c r="FG435" s="6"/>
      <c r="FH435" s="6"/>
      <c r="FI435" s="6"/>
      <c r="FJ435" s="6"/>
      <c r="FK435" s="123"/>
      <c r="FL435" s="6"/>
      <c r="FM435" s="6"/>
      <c r="FN435" s="6"/>
      <c r="FO435" s="138"/>
      <c r="FP435" s="138"/>
      <c r="FQ435" s="123"/>
      <c r="FR435" s="6"/>
      <c r="FS435" s="6"/>
      <c r="FT435" s="139"/>
      <c r="FU435" s="139"/>
      <c r="FV435" s="76"/>
      <c r="FW435" s="123"/>
      <c r="FX435" s="6"/>
    </row>
    <row r="436" spans="35:180">
      <c r="AI436" s="125"/>
      <c r="AJ436" s="16"/>
      <c r="AM436" s="16"/>
      <c r="AN436" s="16"/>
      <c r="AO436" s="125"/>
      <c r="AP436" s="16"/>
      <c r="AQ436" s="125"/>
      <c r="AZ436" s="125"/>
      <c r="BA436" s="142"/>
      <c r="BB436" s="125"/>
      <c r="BC436" s="16"/>
      <c r="BD436" s="125"/>
      <c r="BE436" s="125"/>
      <c r="BF436" s="16"/>
      <c r="BG436" s="125"/>
      <c r="BQ436" s="125"/>
      <c r="BR436" s="16"/>
      <c r="BS436" s="123"/>
      <c r="BT436" s="19"/>
      <c r="BU436" s="139"/>
      <c r="BV436" s="139"/>
      <c r="BW436" s="123"/>
      <c r="BX436" s="123"/>
      <c r="BY436" s="123"/>
      <c r="BZ436" s="123"/>
      <c r="CA436" s="123"/>
      <c r="CB436" s="123"/>
      <c r="CC436" s="6"/>
      <c r="CD436" s="123"/>
      <c r="CE436" s="6"/>
      <c r="CF436" s="123"/>
      <c r="CG436" s="6"/>
      <c r="CH436" s="6"/>
      <c r="CI436" s="6"/>
      <c r="CJ436" s="6"/>
      <c r="CK436" s="123"/>
      <c r="CL436" s="6"/>
      <c r="CM436" s="6"/>
      <c r="CN436" s="6"/>
      <c r="CO436" s="138"/>
      <c r="CP436" s="138"/>
      <c r="CQ436" s="123"/>
      <c r="CR436" s="6"/>
      <c r="CS436" s="6"/>
      <c r="CT436" s="139"/>
      <c r="CU436" s="139"/>
      <c r="CV436" s="76"/>
      <c r="CW436" s="123"/>
      <c r="CX436" s="6"/>
      <c r="DI436" s="125"/>
      <c r="DJ436" s="16"/>
      <c r="DM436" s="16"/>
      <c r="DN436" s="16"/>
      <c r="DO436" s="125"/>
      <c r="DP436" s="16"/>
      <c r="DQ436" s="125"/>
      <c r="DZ436" s="125"/>
      <c r="EA436" s="142"/>
      <c r="EB436" s="125"/>
      <c r="EC436" s="16"/>
      <c r="ED436" s="125"/>
      <c r="EE436" s="125"/>
      <c r="EF436" s="16"/>
      <c r="EG436" s="125"/>
      <c r="EQ436" s="125"/>
      <c r="ER436" s="16"/>
      <c r="ES436" s="123"/>
      <c r="ET436" s="19"/>
      <c r="EU436" s="139"/>
      <c r="EV436" s="139"/>
      <c r="EW436" s="123"/>
      <c r="EX436" s="123"/>
      <c r="EY436" s="123"/>
      <c r="EZ436" s="123"/>
      <c r="FA436" s="123"/>
      <c r="FB436" s="123"/>
      <c r="FC436" s="6"/>
      <c r="FD436" s="123"/>
      <c r="FE436" s="6"/>
      <c r="FF436" s="123"/>
      <c r="FG436" s="6"/>
      <c r="FH436" s="6"/>
      <c r="FI436" s="6"/>
      <c r="FJ436" s="6"/>
      <c r="FK436" s="123"/>
      <c r="FL436" s="6"/>
      <c r="FM436" s="6"/>
      <c r="FN436" s="6"/>
      <c r="FO436" s="138"/>
      <c r="FP436" s="138"/>
      <c r="FQ436" s="123"/>
      <c r="FR436" s="6"/>
      <c r="FS436" s="6"/>
      <c r="FT436" s="139"/>
      <c r="FU436" s="139"/>
      <c r="FV436" s="76"/>
      <c r="FW436" s="123"/>
      <c r="FX436" s="6"/>
    </row>
    <row r="437" spans="35:180">
      <c r="AI437" s="125"/>
      <c r="AJ437" s="16"/>
      <c r="AM437" s="16"/>
      <c r="AN437" s="16"/>
      <c r="AO437" s="125"/>
      <c r="AP437" s="16"/>
      <c r="AQ437" s="125"/>
      <c r="AZ437" s="125"/>
      <c r="BA437" s="142"/>
      <c r="BB437" s="125"/>
      <c r="BC437" s="16"/>
      <c r="BD437" s="125"/>
      <c r="BE437" s="125"/>
      <c r="BF437" s="16"/>
      <c r="BG437" s="125"/>
      <c r="BQ437" s="125"/>
      <c r="BR437" s="16"/>
      <c r="BS437" s="123"/>
      <c r="BT437" s="19"/>
      <c r="BU437" s="139"/>
      <c r="BV437" s="139"/>
      <c r="BW437" s="123"/>
      <c r="BX437" s="123"/>
      <c r="BY437" s="123"/>
      <c r="BZ437" s="123"/>
      <c r="CA437" s="123"/>
      <c r="CB437" s="123"/>
      <c r="CC437" s="6"/>
      <c r="CD437" s="123"/>
      <c r="CE437" s="6"/>
      <c r="CF437" s="123"/>
      <c r="CG437" s="6"/>
      <c r="CH437" s="6"/>
      <c r="CI437" s="6"/>
      <c r="CJ437" s="6"/>
      <c r="CK437" s="123"/>
      <c r="CL437" s="6"/>
      <c r="CM437" s="6"/>
      <c r="CN437" s="6"/>
      <c r="CO437" s="138"/>
      <c r="CP437" s="138"/>
      <c r="CQ437" s="123"/>
      <c r="CR437" s="6"/>
      <c r="CS437" s="6"/>
      <c r="CT437" s="139"/>
      <c r="CU437" s="139"/>
      <c r="CV437" s="76"/>
      <c r="CW437" s="123"/>
      <c r="CX437" s="6"/>
      <c r="DI437" s="125"/>
      <c r="DJ437" s="16"/>
      <c r="DM437" s="16"/>
      <c r="DN437" s="16"/>
      <c r="DO437" s="125"/>
      <c r="DP437" s="16"/>
      <c r="DQ437" s="125"/>
      <c r="DZ437" s="125"/>
      <c r="EA437" s="142"/>
      <c r="EB437" s="125"/>
      <c r="EC437" s="16"/>
      <c r="ED437" s="125"/>
      <c r="EE437" s="125"/>
      <c r="EF437" s="16"/>
      <c r="EG437" s="125"/>
      <c r="EQ437" s="125"/>
      <c r="ER437" s="16"/>
      <c r="ES437" s="123"/>
      <c r="ET437" s="19"/>
      <c r="EU437" s="139"/>
      <c r="EV437" s="139"/>
      <c r="EW437" s="123"/>
      <c r="EX437" s="123"/>
      <c r="EY437" s="123"/>
      <c r="EZ437" s="123"/>
      <c r="FA437" s="123"/>
      <c r="FB437" s="123"/>
      <c r="FC437" s="6"/>
      <c r="FD437" s="123"/>
      <c r="FE437" s="6"/>
      <c r="FF437" s="123"/>
      <c r="FG437" s="6"/>
      <c r="FH437" s="6"/>
      <c r="FI437" s="6"/>
      <c r="FJ437" s="6"/>
      <c r="FK437" s="123"/>
      <c r="FL437" s="6"/>
      <c r="FM437" s="6"/>
      <c r="FN437" s="6"/>
      <c r="FO437" s="138"/>
      <c r="FP437" s="138"/>
      <c r="FQ437" s="123"/>
      <c r="FR437" s="6"/>
      <c r="FS437" s="6"/>
      <c r="FT437" s="139"/>
      <c r="FU437" s="139"/>
      <c r="FV437" s="76"/>
      <c r="FW437" s="123"/>
      <c r="FX437" s="6"/>
    </row>
    <row r="438" spans="35:180">
      <c r="AI438" s="125"/>
      <c r="AJ438" s="16"/>
      <c r="AM438" s="16"/>
      <c r="AN438" s="16"/>
      <c r="AO438" s="125"/>
      <c r="AP438" s="16"/>
      <c r="AQ438" s="125"/>
      <c r="AZ438" s="125"/>
      <c r="BA438" s="142"/>
      <c r="BB438" s="125"/>
      <c r="BC438" s="16"/>
      <c r="BD438" s="125"/>
      <c r="BE438" s="125"/>
      <c r="BF438" s="16"/>
      <c r="BG438" s="125"/>
      <c r="BQ438" s="125"/>
      <c r="BR438" s="16"/>
      <c r="BS438" s="123"/>
      <c r="BT438" s="19"/>
      <c r="BU438" s="139"/>
      <c r="BV438" s="139"/>
      <c r="BW438" s="123"/>
      <c r="BX438" s="123"/>
      <c r="BY438" s="123"/>
      <c r="BZ438" s="123"/>
      <c r="CA438" s="123"/>
      <c r="CB438" s="123"/>
      <c r="CC438" s="6"/>
      <c r="CD438" s="123"/>
      <c r="CE438" s="6"/>
      <c r="CF438" s="123"/>
      <c r="CG438" s="6"/>
      <c r="CH438" s="6"/>
      <c r="CI438" s="6"/>
      <c r="CJ438" s="6"/>
      <c r="CK438" s="123"/>
      <c r="CL438" s="6"/>
      <c r="CM438" s="6"/>
      <c r="CN438" s="6"/>
      <c r="CO438" s="138"/>
      <c r="CP438" s="138"/>
      <c r="CQ438" s="123"/>
      <c r="CR438" s="6"/>
      <c r="CS438" s="6"/>
      <c r="CT438" s="139"/>
      <c r="CU438" s="139"/>
      <c r="CV438" s="76"/>
      <c r="CW438" s="123"/>
      <c r="CX438" s="6"/>
      <c r="DI438" s="125"/>
      <c r="DJ438" s="16"/>
      <c r="DM438" s="16"/>
      <c r="DN438" s="16"/>
      <c r="DO438" s="125"/>
      <c r="DP438" s="16"/>
      <c r="DQ438" s="125"/>
      <c r="DZ438" s="125"/>
      <c r="EA438" s="142"/>
      <c r="EB438" s="125"/>
      <c r="EC438" s="16"/>
      <c r="ED438" s="125"/>
      <c r="EE438" s="125"/>
      <c r="EF438" s="16"/>
      <c r="EG438" s="125"/>
      <c r="EQ438" s="125"/>
      <c r="ER438" s="16"/>
      <c r="ES438" s="123"/>
      <c r="ET438" s="19"/>
      <c r="EU438" s="139"/>
      <c r="EV438" s="139"/>
      <c r="EW438" s="123"/>
      <c r="EX438" s="123"/>
      <c r="EY438" s="123"/>
      <c r="EZ438" s="123"/>
      <c r="FA438" s="123"/>
      <c r="FB438" s="123"/>
      <c r="FC438" s="6"/>
      <c r="FD438" s="123"/>
      <c r="FE438" s="6"/>
      <c r="FF438" s="123"/>
      <c r="FG438" s="6"/>
      <c r="FH438" s="6"/>
      <c r="FI438" s="6"/>
      <c r="FJ438" s="6"/>
      <c r="FK438" s="123"/>
      <c r="FL438" s="6"/>
      <c r="FM438" s="6"/>
      <c r="FN438" s="6"/>
      <c r="FO438" s="138"/>
      <c r="FP438" s="138"/>
      <c r="FQ438" s="123"/>
      <c r="FR438" s="6"/>
      <c r="FS438" s="6"/>
      <c r="FT438" s="139"/>
      <c r="FU438" s="139"/>
      <c r="FV438" s="76"/>
      <c r="FW438" s="123"/>
      <c r="FX438" s="6"/>
    </row>
    <row r="439" spans="35:180">
      <c r="AI439" s="125"/>
      <c r="AJ439" s="16"/>
      <c r="AM439" s="16"/>
      <c r="AN439" s="16"/>
      <c r="AO439" s="125"/>
      <c r="AP439" s="16"/>
      <c r="AQ439" s="125"/>
      <c r="AZ439" s="125"/>
      <c r="BA439" s="142"/>
      <c r="BB439" s="125"/>
      <c r="BC439" s="16"/>
      <c r="BD439" s="125"/>
      <c r="BE439" s="125"/>
      <c r="BF439" s="16"/>
      <c r="BG439" s="125"/>
      <c r="BQ439" s="125"/>
      <c r="BR439" s="16"/>
      <c r="BS439" s="123"/>
      <c r="BT439" s="19"/>
      <c r="BU439" s="139"/>
      <c r="BV439" s="139"/>
      <c r="BW439" s="123"/>
      <c r="BX439" s="123"/>
      <c r="BY439" s="123"/>
      <c r="BZ439" s="123"/>
      <c r="CA439" s="123"/>
      <c r="CB439" s="123"/>
      <c r="CC439" s="6"/>
      <c r="CD439" s="123"/>
      <c r="CE439" s="6"/>
      <c r="CF439" s="123"/>
      <c r="CG439" s="6"/>
      <c r="CH439" s="6"/>
      <c r="CI439" s="6"/>
      <c r="CJ439" s="6"/>
      <c r="CK439" s="123"/>
      <c r="CL439" s="6"/>
      <c r="CM439" s="6"/>
      <c r="CN439" s="6"/>
      <c r="CO439" s="138"/>
      <c r="CP439" s="138"/>
      <c r="CQ439" s="123"/>
      <c r="CR439" s="6"/>
      <c r="CS439" s="6"/>
      <c r="CT439" s="139"/>
      <c r="CU439" s="139"/>
      <c r="CV439" s="76"/>
      <c r="CW439" s="123"/>
      <c r="CX439" s="6"/>
      <c r="DI439" s="125"/>
      <c r="DJ439" s="16"/>
      <c r="DM439" s="16"/>
      <c r="DN439" s="16"/>
      <c r="DO439" s="125"/>
      <c r="DP439" s="16"/>
      <c r="DQ439" s="125"/>
      <c r="DZ439" s="125"/>
      <c r="EA439" s="142"/>
      <c r="EB439" s="125"/>
      <c r="EC439" s="16"/>
      <c r="ED439" s="125"/>
      <c r="EE439" s="125"/>
      <c r="EF439" s="16"/>
      <c r="EG439" s="125"/>
      <c r="EQ439" s="125"/>
      <c r="ER439" s="16"/>
      <c r="ES439" s="123"/>
      <c r="ET439" s="19"/>
      <c r="EU439" s="139"/>
      <c r="EV439" s="139"/>
      <c r="EW439" s="123"/>
      <c r="EX439" s="123"/>
      <c r="EY439" s="123"/>
      <c r="EZ439" s="123"/>
      <c r="FA439" s="123"/>
      <c r="FB439" s="123"/>
      <c r="FC439" s="6"/>
      <c r="FD439" s="123"/>
      <c r="FE439" s="6"/>
      <c r="FF439" s="123"/>
      <c r="FG439" s="6"/>
      <c r="FH439" s="6"/>
      <c r="FI439" s="6"/>
      <c r="FJ439" s="6"/>
      <c r="FK439" s="123"/>
      <c r="FL439" s="6"/>
      <c r="FM439" s="6"/>
      <c r="FN439" s="6"/>
      <c r="FO439" s="138"/>
      <c r="FP439" s="138"/>
      <c r="FQ439" s="123"/>
      <c r="FR439" s="6"/>
      <c r="FS439" s="6"/>
      <c r="FT439" s="139"/>
      <c r="FU439" s="139"/>
      <c r="FV439" s="76"/>
      <c r="FW439" s="123"/>
      <c r="FX439" s="6"/>
    </row>
    <row r="440" spans="35:180">
      <c r="AI440" s="125"/>
      <c r="AJ440" s="16"/>
      <c r="AM440" s="16"/>
      <c r="AN440" s="16"/>
      <c r="AO440" s="125"/>
      <c r="AP440" s="16"/>
      <c r="AQ440" s="125"/>
      <c r="AZ440" s="125"/>
      <c r="BA440" s="142"/>
      <c r="BB440" s="125"/>
      <c r="BC440" s="16"/>
      <c r="BD440" s="125"/>
      <c r="BE440" s="125"/>
      <c r="BF440" s="16"/>
      <c r="BG440" s="125"/>
      <c r="BQ440" s="125"/>
      <c r="BR440" s="16"/>
      <c r="BS440" s="123"/>
      <c r="BT440" s="19"/>
      <c r="BU440" s="139"/>
      <c r="BV440" s="139"/>
      <c r="BW440" s="123"/>
      <c r="BX440" s="123"/>
      <c r="BY440" s="123"/>
      <c r="BZ440" s="123"/>
      <c r="CA440" s="123"/>
      <c r="CB440" s="123"/>
      <c r="CC440" s="6"/>
      <c r="CD440" s="123"/>
      <c r="CE440" s="6"/>
      <c r="CF440" s="123"/>
      <c r="CG440" s="6"/>
      <c r="CH440" s="6"/>
      <c r="CI440" s="6"/>
      <c r="CJ440" s="6"/>
      <c r="CK440" s="123"/>
      <c r="CL440" s="6"/>
      <c r="CM440" s="6"/>
      <c r="CN440" s="6"/>
      <c r="CO440" s="138"/>
      <c r="CP440" s="138"/>
      <c r="CQ440" s="123"/>
      <c r="CR440" s="6"/>
      <c r="CS440" s="6"/>
      <c r="CT440" s="139"/>
      <c r="CU440" s="139"/>
      <c r="CV440" s="76"/>
      <c r="CW440" s="123"/>
      <c r="CX440" s="6"/>
      <c r="DI440" s="125"/>
      <c r="DJ440" s="16"/>
      <c r="DM440" s="16"/>
      <c r="DN440" s="16"/>
      <c r="DO440" s="125"/>
      <c r="DP440" s="16"/>
      <c r="DQ440" s="125"/>
      <c r="DZ440" s="125"/>
      <c r="EA440" s="142"/>
      <c r="EB440" s="125"/>
      <c r="EC440" s="16"/>
      <c r="ED440" s="125"/>
      <c r="EE440" s="125"/>
      <c r="EF440" s="16"/>
      <c r="EG440" s="125"/>
      <c r="EQ440" s="125"/>
      <c r="ER440" s="16"/>
      <c r="ES440" s="123"/>
      <c r="ET440" s="19"/>
      <c r="EU440" s="139"/>
      <c r="EV440" s="139"/>
      <c r="EW440" s="123"/>
      <c r="EX440" s="123"/>
      <c r="EY440" s="123"/>
      <c r="EZ440" s="123"/>
      <c r="FA440" s="123"/>
      <c r="FB440" s="123"/>
      <c r="FC440" s="6"/>
      <c r="FD440" s="123"/>
      <c r="FE440" s="6"/>
      <c r="FF440" s="123"/>
      <c r="FG440" s="6"/>
      <c r="FH440" s="6"/>
      <c r="FI440" s="6"/>
      <c r="FJ440" s="6"/>
      <c r="FK440" s="123"/>
      <c r="FL440" s="6"/>
      <c r="FM440" s="6"/>
      <c r="FN440" s="6"/>
      <c r="FO440" s="138"/>
      <c r="FP440" s="138"/>
      <c r="FQ440" s="123"/>
      <c r="FR440" s="6"/>
      <c r="FS440" s="6"/>
      <c r="FT440" s="139"/>
      <c r="FU440" s="139"/>
      <c r="FV440" s="76"/>
      <c r="FW440" s="123"/>
      <c r="FX440" s="6"/>
    </row>
    <row r="441" spans="35:180">
      <c r="AI441" s="125"/>
      <c r="AJ441" s="16"/>
      <c r="AM441" s="16"/>
      <c r="AN441" s="16"/>
      <c r="AO441" s="125"/>
      <c r="AP441" s="16"/>
      <c r="AQ441" s="125"/>
      <c r="AZ441" s="125"/>
      <c r="BA441" s="142"/>
      <c r="BB441" s="125"/>
      <c r="BC441" s="16"/>
      <c r="BD441" s="125"/>
      <c r="BE441" s="125"/>
      <c r="BF441" s="16"/>
      <c r="BG441" s="125"/>
      <c r="BQ441" s="125"/>
      <c r="BR441" s="16"/>
      <c r="BS441" s="123"/>
      <c r="BT441" s="19"/>
      <c r="BU441" s="139"/>
      <c r="BV441" s="139"/>
      <c r="BW441" s="123"/>
      <c r="BX441" s="123"/>
      <c r="BY441" s="123"/>
      <c r="BZ441" s="123"/>
      <c r="CA441" s="123"/>
      <c r="CB441" s="123"/>
      <c r="CC441" s="6"/>
      <c r="CD441" s="123"/>
      <c r="CE441" s="6"/>
      <c r="CF441" s="123"/>
      <c r="CG441" s="6"/>
      <c r="CH441" s="6"/>
      <c r="CI441" s="6"/>
      <c r="CJ441" s="6"/>
      <c r="CK441" s="123"/>
      <c r="CL441" s="6"/>
      <c r="CM441" s="6"/>
      <c r="CN441" s="6"/>
      <c r="CO441" s="138"/>
      <c r="CP441" s="138"/>
      <c r="CQ441" s="123"/>
      <c r="CR441" s="6"/>
      <c r="CS441" s="6"/>
      <c r="CT441" s="139"/>
      <c r="CU441" s="139"/>
      <c r="CV441" s="76"/>
      <c r="CW441" s="123"/>
      <c r="CX441" s="6"/>
      <c r="DI441" s="125"/>
      <c r="DJ441" s="16"/>
      <c r="DM441" s="16"/>
      <c r="DN441" s="16"/>
      <c r="DO441" s="125"/>
      <c r="DP441" s="16"/>
      <c r="DQ441" s="125"/>
      <c r="DZ441" s="125"/>
      <c r="EA441" s="142"/>
      <c r="EB441" s="125"/>
      <c r="EC441" s="16"/>
      <c r="ED441" s="125"/>
      <c r="EE441" s="125"/>
      <c r="EF441" s="16"/>
      <c r="EG441" s="125"/>
      <c r="EQ441" s="125"/>
      <c r="ER441" s="16"/>
      <c r="ES441" s="123"/>
      <c r="ET441" s="19"/>
      <c r="EU441" s="139"/>
      <c r="EV441" s="139"/>
      <c r="EW441" s="123"/>
      <c r="EX441" s="123"/>
      <c r="EY441" s="123"/>
      <c r="EZ441" s="123"/>
      <c r="FA441" s="123"/>
      <c r="FB441" s="123"/>
      <c r="FC441" s="6"/>
      <c r="FD441" s="123"/>
      <c r="FE441" s="6"/>
      <c r="FF441" s="123"/>
      <c r="FG441" s="6"/>
      <c r="FH441" s="6"/>
      <c r="FI441" s="6"/>
      <c r="FJ441" s="6"/>
      <c r="FK441" s="123"/>
      <c r="FL441" s="6"/>
      <c r="FM441" s="6"/>
      <c r="FN441" s="6"/>
      <c r="FO441" s="138"/>
      <c r="FP441" s="138"/>
      <c r="FQ441" s="123"/>
      <c r="FR441" s="6"/>
      <c r="FS441" s="6"/>
      <c r="FT441" s="139"/>
      <c r="FU441" s="139"/>
      <c r="FV441" s="76"/>
      <c r="FW441" s="123"/>
      <c r="FX441" s="6"/>
    </row>
    <row r="442" spans="35:180">
      <c r="AI442" s="125"/>
      <c r="AJ442" s="16"/>
      <c r="AM442" s="16"/>
      <c r="AN442" s="16"/>
      <c r="AO442" s="125"/>
      <c r="AP442" s="16"/>
      <c r="AQ442" s="125"/>
      <c r="AZ442" s="125"/>
      <c r="BA442" s="142"/>
      <c r="BB442" s="125"/>
      <c r="BC442" s="16"/>
      <c r="BD442" s="125"/>
      <c r="BE442" s="125"/>
      <c r="BF442" s="16"/>
      <c r="BG442" s="125"/>
      <c r="BQ442" s="125"/>
      <c r="BR442" s="16"/>
      <c r="BS442" s="123"/>
      <c r="BT442" s="19"/>
      <c r="BU442" s="139"/>
      <c r="BV442" s="139"/>
      <c r="BW442" s="123"/>
      <c r="BX442" s="123"/>
      <c r="BY442" s="123"/>
      <c r="BZ442" s="123"/>
      <c r="CA442" s="123"/>
      <c r="CB442" s="123"/>
      <c r="CC442" s="6"/>
      <c r="CD442" s="123"/>
      <c r="CE442" s="6"/>
      <c r="CF442" s="123"/>
      <c r="CG442" s="6"/>
      <c r="CH442" s="6"/>
      <c r="CI442" s="6"/>
      <c r="CJ442" s="6"/>
      <c r="CK442" s="123"/>
      <c r="CL442" s="6"/>
      <c r="CM442" s="6"/>
      <c r="CN442" s="6"/>
      <c r="CO442" s="138"/>
      <c r="CP442" s="138"/>
      <c r="CQ442" s="123"/>
      <c r="CR442" s="6"/>
      <c r="CS442" s="6"/>
      <c r="CT442" s="139"/>
      <c r="CU442" s="139"/>
      <c r="CV442" s="76"/>
      <c r="CW442" s="123"/>
      <c r="CX442" s="6"/>
      <c r="DI442" s="125"/>
      <c r="DJ442" s="16"/>
      <c r="DM442" s="16"/>
      <c r="DN442" s="16"/>
      <c r="DO442" s="125"/>
      <c r="DP442" s="16"/>
      <c r="DQ442" s="125"/>
      <c r="DZ442" s="125"/>
      <c r="EA442" s="142"/>
      <c r="EB442" s="125"/>
      <c r="EC442" s="16"/>
      <c r="ED442" s="125"/>
      <c r="EE442" s="125"/>
      <c r="EF442" s="16"/>
      <c r="EG442" s="125"/>
      <c r="EQ442" s="125"/>
      <c r="ER442" s="16"/>
      <c r="ES442" s="123"/>
      <c r="ET442" s="19"/>
      <c r="EU442" s="139"/>
      <c r="EV442" s="139"/>
      <c r="EW442" s="123"/>
      <c r="EX442" s="123"/>
      <c r="EY442" s="123"/>
      <c r="EZ442" s="123"/>
      <c r="FA442" s="123"/>
      <c r="FB442" s="123"/>
      <c r="FC442" s="6"/>
      <c r="FD442" s="123"/>
      <c r="FE442" s="6"/>
      <c r="FF442" s="123"/>
      <c r="FG442" s="6"/>
      <c r="FH442" s="6"/>
      <c r="FI442" s="6"/>
      <c r="FJ442" s="6"/>
      <c r="FK442" s="123"/>
      <c r="FL442" s="6"/>
      <c r="FM442" s="6"/>
      <c r="FN442" s="6"/>
      <c r="FO442" s="138"/>
      <c r="FP442" s="138"/>
      <c r="FQ442" s="123"/>
      <c r="FR442" s="6"/>
      <c r="FS442" s="6"/>
      <c r="FT442" s="139"/>
      <c r="FU442" s="139"/>
      <c r="FV442" s="76"/>
      <c r="FW442" s="123"/>
      <c r="FX442" s="6"/>
    </row>
    <row r="443" spans="35:180">
      <c r="AI443" s="125"/>
      <c r="AJ443" s="16"/>
      <c r="AM443" s="16"/>
      <c r="AN443" s="16"/>
      <c r="AO443" s="125"/>
      <c r="AP443" s="16"/>
      <c r="AQ443" s="125"/>
      <c r="AZ443" s="125"/>
      <c r="BA443" s="142"/>
      <c r="BB443" s="125"/>
      <c r="BC443" s="16"/>
      <c r="BD443" s="125"/>
      <c r="BE443" s="125"/>
      <c r="BF443" s="16"/>
      <c r="BG443" s="125"/>
      <c r="BQ443" s="125"/>
      <c r="BR443" s="16"/>
      <c r="BS443" s="123"/>
      <c r="BT443" s="19"/>
      <c r="BU443" s="139"/>
      <c r="BV443" s="139"/>
      <c r="BW443" s="123"/>
      <c r="BX443" s="123"/>
      <c r="BY443" s="123"/>
      <c r="BZ443" s="123"/>
      <c r="CA443" s="123"/>
      <c r="CB443" s="123"/>
      <c r="CC443" s="6"/>
      <c r="CD443" s="123"/>
      <c r="CE443" s="6"/>
      <c r="CF443" s="123"/>
      <c r="CG443" s="6"/>
      <c r="CH443" s="6"/>
      <c r="CI443" s="6"/>
      <c r="CJ443" s="6"/>
      <c r="CK443" s="123"/>
      <c r="CL443" s="6"/>
      <c r="CM443" s="6"/>
      <c r="CN443" s="6"/>
      <c r="CO443" s="138"/>
      <c r="CP443" s="138"/>
      <c r="CQ443" s="123"/>
      <c r="CR443" s="6"/>
      <c r="CS443" s="6"/>
      <c r="CT443" s="139"/>
      <c r="CU443" s="139"/>
      <c r="CV443" s="76"/>
      <c r="CW443" s="123"/>
      <c r="CX443" s="6"/>
      <c r="DI443" s="125"/>
      <c r="DJ443" s="16"/>
      <c r="DM443" s="16"/>
      <c r="DN443" s="16"/>
      <c r="DO443" s="125"/>
      <c r="DP443" s="16"/>
      <c r="DQ443" s="125"/>
      <c r="DZ443" s="125"/>
      <c r="EA443" s="142"/>
      <c r="EB443" s="125"/>
      <c r="EC443" s="16"/>
      <c r="ED443" s="125"/>
      <c r="EE443" s="125"/>
      <c r="EF443" s="16"/>
      <c r="EG443" s="125"/>
      <c r="EQ443" s="125"/>
      <c r="ER443" s="16"/>
      <c r="ES443" s="123"/>
      <c r="ET443" s="19"/>
      <c r="EU443" s="139"/>
      <c r="EV443" s="139"/>
      <c r="EW443" s="123"/>
      <c r="EX443" s="123"/>
      <c r="EY443" s="123"/>
      <c r="EZ443" s="123"/>
      <c r="FA443" s="123"/>
      <c r="FB443" s="123"/>
      <c r="FC443" s="6"/>
      <c r="FD443" s="123"/>
      <c r="FE443" s="6"/>
      <c r="FF443" s="123"/>
      <c r="FG443" s="6"/>
      <c r="FH443" s="6"/>
      <c r="FI443" s="6"/>
      <c r="FJ443" s="6"/>
      <c r="FK443" s="123"/>
      <c r="FL443" s="6"/>
      <c r="FM443" s="6"/>
      <c r="FN443" s="6"/>
      <c r="FO443" s="138"/>
      <c r="FP443" s="138"/>
      <c r="FQ443" s="123"/>
      <c r="FR443" s="6"/>
      <c r="FS443" s="6"/>
      <c r="FT443" s="139"/>
      <c r="FU443" s="139"/>
      <c r="FV443" s="76"/>
      <c r="FW443" s="123"/>
      <c r="FX443" s="6"/>
    </row>
    <row r="444" spans="35:180">
      <c r="AI444" s="125"/>
      <c r="AJ444" s="16"/>
      <c r="AM444" s="16"/>
      <c r="AN444" s="16"/>
      <c r="AO444" s="125"/>
      <c r="AP444" s="16"/>
      <c r="AQ444" s="125"/>
      <c r="AZ444" s="125"/>
      <c r="BA444" s="142"/>
      <c r="BB444" s="125"/>
      <c r="BC444" s="16"/>
      <c r="BD444" s="125"/>
      <c r="BE444" s="125"/>
      <c r="BF444" s="16"/>
      <c r="BG444" s="125"/>
      <c r="BQ444" s="125"/>
      <c r="BR444" s="16"/>
      <c r="BS444" s="123"/>
      <c r="BT444" s="19"/>
      <c r="BU444" s="139"/>
      <c r="BV444" s="139"/>
      <c r="BW444" s="123"/>
      <c r="BX444" s="123"/>
      <c r="BY444" s="123"/>
      <c r="BZ444" s="123"/>
      <c r="CA444" s="123"/>
      <c r="CB444" s="123"/>
      <c r="CC444" s="6"/>
      <c r="CD444" s="123"/>
      <c r="CE444" s="6"/>
      <c r="CF444" s="123"/>
      <c r="CG444" s="6"/>
      <c r="CH444" s="6"/>
      <c r="CI444" s="6"/>
      <c r="CJ444" s="6"/>
      <c r="CK444" s="123"/>
      <c r="CL444" s="6"/>
      <c r="CM444" s="6"/>
      <c r="CN444" s="6"/>
      <c r="CO444" s="138"/>
      <c r="CP444" s="138"/>
      <c r="CQ444" s="123"/>
      <c r="CR444" s="6"/>
      <c r="CS444" s="6"/>
      <c r="CT444" s="139"/>
      <c r="CU444" s="139"/>
      <c r="CV444" s="76"/>
      <c r="CW444" s="123"/>
      <c r="CX444" s="6"/>
      <c r="DI444" s="125"/>
      <c r="DJ444" s="16"/>
      <c r="DM444" s="16"/>
      <c r="DN444" s="16"/>
      <c r="DO444" s="125"/>
      <c r="DP444" s="16"/>
      <c r="DQ444" s="125"/>
      <c r="DZ444" s="125"/>
      <c r="EA444" s="142"/>
      <c r="EB444" s="125"/>
      <c r="EC444" s="16"/>
      <c r="ED444" s="125"/>
      <c r="EE444" s="125"/>
      <c r="EF444" s="16"/>
      <c r="EG444" s="125"/>
      <c r="EQ444" s="125"/>
      <c r="ER444" s="16"/>
      <c r="ES444" s="123"/>
      <c r="ET444" s="19"/>
      <c r="EU444" s="139"/>
      <c r="EV444" s="139"/>
      <c r="EW444" s="123"/>
      <c r="EX444" s="123"/>
      <c r="EY444" s="123"/>
      <c r="EZ444" s="123"/>
      <c r="FA444" s="123"/>
      <c r="FB444" s="123"/>
      <c r="FC444" s="6"/>
      <c r="FD444" s="123"/>
      <c r="FE444" s="6"/>
      <c r="FF444" s="123"/>
      <c r="FG444" s="6"/>
      <c r="FH444" s="6"/>
      <c r="FI444" s="6"/>
      <c r="FJ444" s="6"/>
      <c r="FK444" s="123"/>
      <c r="FL444" s="6"/>
      <c r="FM444" s="6"/>
      <c r="FN444" s="6"/>
      <c r="FO444" s="138"/>
      <c r="FP444" s="138"/>
      <c r="FQ444" s="123"/>
      <c r="FR444" s="6"/>
      <c r="FS444" s="6"/>
      <c r="FT444" s="139"/>
      <c r="FU444" s="139"/>
      <c r="FV444" s="76"/>
      <c r="FW444" s="123"/>
      <c r="FX444" s="6"/>
    </row>
    <row r="445" spans="35:180">
      <c r="AI445" s="125"/>
      <c r="AJ445" s="16"/>
      <c r="AM445" s="16"/>
      <c r="AN445" s="16"/>
      <c r="AO445" s="125"/>
      <c r="AP445" s="16"/>
      <c r="AQ445" s="125"/>
      <c r="AZ445" s="125"/>
      <c r="BA445" s="142"/>
      <c r="BB445" s="125"/>
      <c r="BC445" s="16"/>
      <c r="BD445" s="125"/>
      <c r="BE445" s="125"/>
      <c r="BF445" s="16"/>
      <c r="BG445" s="125"/>
      <c r="BQ445" s="125"/>
      <c r="BR445" s="16"/>
      <c r="BS445" s="123"/>
      <c r="BT445" s="19"/>
      <c r="BU445" s="139"/>
      <c r="BV445" s="139"/>
      <c r="BW445" s="123"/>
      <c r="BX445" s="123"/>
      <c r="BY445" s="123"/>
      <c r="BZ445" s="123"/>
      <c r="CA445" s="123"/>
      <c r="CB445" s="123"/>
      <c r="CC445" s="6"/>
      <c r="CD445" s="123"/>
      <c r="CE445" s="6"/>
      <c r="CF445" s="123"/>
      <c r="CG445" s="6"/>
      <c r="CH445" s="6"/>
      <c r="CI445" s="6"/>
      <c r="CJ445" s="6"/>
      <c r="CK445" s="123"/>
      <c r="CL445" s="6"/>
      <c r="CM445" s="6"/>
      <c r="CN445" s="6"/>
      <c r="CO445" s="138"/>
      <c r="CP445" s="138"/>
      <c r="CQ445" s="123"/>
      <c r="CR445" s="6"/>
      <c r="CS445" s="6"/>
      <c r="CT445" s="139"/>
      <c r="CU445" s="139"/>
      <c r="CV445" s="76"/>
      <c r="CW445" s="123"/>
      <c r="CX445" s="6"/>
      <c r="DI445" s="125"/>
      <c r="DJ445" s="16"/>
      <c r="DM445" s="16"/>
      <c r="DN445" s="16"/>
      <c r="DO445" s="125"/>
      <c r="DP445" s="16"/>
      <c r="DQ445" s="125"/>
      <c r="DZ445" s="125"/>
      <c r="EA445" s="142"/>
      <c r="EB445" s="125"/>
      <c r="EC445" s="16"/>
      <c r="ED445" s="125"/>
      <c r="EE445" s="125"/>
      <c r="EF445" s="16"/>
      <c r="EG445" s="125"/>
      <c r="EQ445" s="125"/>
      <c r="ER445" s="16"/>
      <c r="ES445" s="123"/>
      <c r="ET445" s="19"/>
      <c r="EU445" s="139"/>
      <c r="EV445" s="139"/>
      <c r="EW445" s="123"/>
      <c r="EX445" s="123"/>
      <c r="EY445" s="123"/>
      <c r="EZ445" s="123"/>
      <c r="FA445" s="123"/>
      <c r="FB445" s="123"/>
      <c r="FC445" s="6"/>
      <c r="FD445" s="123"/>
      <c r="FE445" s="6"/>
      <c r="FF445" s="123"/>
      <c r="FG445" s="6"/>
      <c r="FH445" s="6"/>
      <c r="FI445" s="6"/>
      <c r="FJ445" s="6"/>
      <c r="FK445" s="123"/>
      <c r="FL445" s="6"/>
      <c r="FM445" s="6"/>
      <c r="FN445" s="6"/>
      <c r="FO445" s="138"/>
      <c r="FP445" s="138"/>
      <c r="FQ445" s="123"/>
      <c r="FR445" s="6"/>
      <c r="FS445" s="6"/>
      <c r="FT445" s="139"/>
      <c r="FU445" s="139"/>
      <c r="FV445" s="76"/>
      <c r="FW445" s="123"/>
      <c r="FX445" s="6"/>
    </row>
    <row r="446" spans="35:180">
      <c r="AI446" s="125"/>
      <c r="AJ446" s="16"/>
      <c r="AM446" s="16"/>
      <c r="AN446" s="16"/>
      <c r="AO446" s="125"/>
      <c r="AP446" s="16"/>
      <c r="AQ446" s="125"/>
      <c r="AZ446" s="125"/>
      <c r="BA446" s="142"/>
      <c r="BB446" s="125"/>
      <c r="BC446" s="16"/>
      <c r="BD446" s="125"/>
      <c r="BE446" s="125"/>
      <c r="BF446" s="16"/>
      <c r="BG446" s="125"/>
      <c r="BQ446" s="125"/>
      <c r="BR446" s="16"/>
      <c r="BS446" s="123"/>
      <c r="BT446" s="19"/>
      <c r="BU446" s="139"/>
      <c r="BV446" s="139"/>
      <c r="BW446" s="123"/>
      <c r="BX446" s="123"/>
      <c r="BY446" s="123"/>
      <c r="BZ446" s="123"/>
      <c r="CA446" s="123"/>
      <c r="CB446" s="123"/>
      <c r="CC446" s="6"/>
      <c r="CD446" s="123"/>
      <c r="CE446" s="6"/>
      <c r="CF446" s="123"/>
      <c r="CG446" s="6"/>
      <c r="CH446" s="6"/>
      <c r="CI446" s="6"/>
      <c r="CJ446" s="6"/>
      <c r="CK446" s="123"/>
      <c r="CL446" s="6"/>
      <c r="CM446" s="6"/>
      <c r="CN446" s="6"/>
      <c r="CO446" s="138"/>
      <c r="CP446" s="138"/>
      <c r="CQ446" s="123"/>
      <c r="CR446" s="6"/>
      <c r="CS446" s="6"/>
      <c r="CT446" s="139"/>
      <c r="CU446" s="139"/>
      <c r="CV446" s="76"/>
      <c r="CW446" s="123"/>
      <c r="CX446" s="6"/>
      <c r="DI446" s="125"/>
      <c r="DJ446" s="16"/>
      <c r="DM446" s="16"/>
      <c r="DN446" s="16"/>
      <c r="DO446" s="125"/>
      <c r="DP446" s="16"/>
      <c r="DQ446" s="125"/>
      <c r="DZ446" s="125"/>
      <c r="EA446" s="142"/>
      <c r="EB446" s="125"/>
      <c r="EC446" s="16"/>
      <c r="ED446" s="125"/>
      <c r="EE446" s="125"/>
      <c r="EF446" s="16"/>
      <c r="EG446" s="125"/>
      <c r="EQ446" s="125"/>
      <c r="ER446" s="16"/>
      <c r="ES446" s="123"/>
      <c r="ET446" s="19"/>
      <c r="EU446" s="139"/>
      <c r="EV446" s="139"/>
      <c r="EW446" s="123"/>
      <c r="EX446" s="123"/>
      <c r="EY446" s="123"/>
      <c r="EZ446" s="123"/>
      <c r="FA446" s="123"/>
      <c r="FB446" s="123"/>
      <c r="FC446" s="6"/>
      <c r="FD446" s="123"/>
      <c r="FE446" s="6"/>
      <c r="FF446" s="123"/>
      <c r="FG446" s="6"/>
      <c r="FH446" s="6"/>
      <c r="FI446" s="6"/>
      <c r="FJ446" s="6"/>
      <c r="FK446" s="123"/>
      <c r="FL446" s="6"/>
      <c r="FM446" s="6"/>
      <c r="FN446" s="6"/>
      <c r="FO446" s="138"/>
      <c r="FP446" s="138"/>
      <c r="FQ446" s="123"/>
      <c r="FR446" s="6"/>
      <c r="FS446" s="6"/>
      <c r="FT446" s="139"/>
      <c r="FU446" s="139"/>
      <c r="FV446" s="76"/>
      <c r="FW446" s="123"/>
      <c r="FX446" s="6"/>
    </row>
    <row r="447" spans="35:180">
      <c r="AI447" s="125"/>
      <c r="AJ447" s="16"/>
      <c r="AM447" s="16"/>
      <c r="AN447" s="16"/>
      <c r="AO447" s="125"/>
      <c r="AP447" s="16"/>
      <c r="AQ447" s="125"/>
      <c r="AZ447" s="125"/>
      <c r="BA447" s="142"/>
      <c r="BB447" s="125"/>
      <c r="BC447" s="16"/>
      <c r="BD447" s="125"/>
      <c r="BE447" s="125"/>
      <c r="BF447" s="16"/>
      <c r="BG447" s="125"/>
      <c r="BQ447" s="125"/>
      <c r="BR447" s="16"/>
      <c r="BS447" s="123"/>
      <c r="BT447" s="19"/>
      <c r="BU447" s="139"/>
      <c r="BV447" s="139"/>
      <c r="BW447" s="123"/>
      <c r="BX447" s="123"/>
      <c r="BY447" s="123"/>
      <c r="BZ447" s="123"/>
      <c r="CA447" s="123"/>
      <c r="CB447" s="123"/>
      <c r="CC447" s="6"/>
      <c r="CD447" s="123"/>
      <c r="CE447" s="6"/>
      <c r="CF447" s="123"/>
      <c r="CG447" s="6"/>
      <c r="CH447" s="6"/>
      <c r="CI447" s="6"/>
      <c r="CJ447" s="6"/>
      <c r="CK447" s="123"/>
      <c r="CL447" s="6"/>
      <c r="CM447" s="6"/>
      <c r="CN447" s="6"/>
      <c r="CO447" s="138"/>
      <c r="CP447" s="138"/>
      <c r="CQ447" s="123"/>
      <c r="CR447" s="6"/>
      <c r="CS447" s="6"/>
      <c r="CT447" s="139"/>
      <c r="CU447" s="139"/>
      <c r="CV447" s="76"/>
      <c r="CW447" s="123"/>
      <c r="CX447" s="6"/>
      <c r="DI447" s="125"/>
      <c r="DJ447" s="16"/>
      <c r="DM447" s="16"/>
      <c r="DN447" s="16"/>
      <c r="DO447" s="125"/>
      <c r="DP447" s="16"/>
      <c r="DQ447" s="125"/>
      <c r="DZ447" s="125"/>
      <c r="EA447" s="142"/>
      <c r="EB447" s="125"/>
      <c r="EC447" s="16"/>
      <c r="ED447" s="125"/>
      <c r="EE447" s="125"/>
      <c r="EF447" s="16"/>
      <c r="EG447" s="125"/>
      <c r="EQ447" s="125"/>
      <c r="ER447" s="16"/>
      <c r="ES447" s="123"/>
      <c r="ET447" s="19"/>
      <c r="EU447" s="139"/>
      <c r="EV447" s="139"/>
      <c r="EW447" s="123"/>
      <c r="EX447" s="123"/>
      <c r="EY447" s="123"/>
      <c r="EZ447" s="123"/>
      <c r="FA447" s="123"/>
      <c r="FB447" s="123"/>
      <c r="FC447" s="6"/>
      <c r="FD447" s="123"/>
      <c r="FE447" s="6"/>
      <c r="FF447" s="123"/>
      <c r="FG447" s="6"/>
      <c r="FH447" s="6"/>
      <c r="FI447" s="6"/>
      <c r="FJ447" s="6"/>
      <c r="FK447" s="123"/>
      <c r="FL447" s="6"/>
      <c r="FM447" s="6"/>
      <c r="FN447" s="6"/>
      <c r="FO447" s="138"/>
      <c r="FP447" s="138"/>
      <c r="FQ447" s="123"/>
      <c r="FR447" s="6"/>
      <c r="FS447" s="6"/>
      <c r="FT447" s="139"/>
      <c r="FU447" s="139"/>
      <c r="FV447" s="76"/>
      <c r="FW447" s="123"/>
      <c r="FX447" s="6"/>
    </row>
    <row r="448" spans="35:180">
      <c r="AI448" s="125"/>
      <c r="AJ448" s="16"/>
      <c r="AM448" s="16"/>
      <c r="AN448" s="16"/>
      <c r="AO448" s="125"/>
      <c r="AP448" s="16"/>
      <c r="AQ448" s="125"/>
      <c r="AZ448" s="125"/>
      <c r="BA448" s="142"/>
      <c r="BB448" s="125"/>
      <c r="BC448" s="16"/>
      <c r="BD448" s="125"/>
      <c r="BE448" s="125"/>
      <c r="BF448" s="16"/>
      <c r="BG448" s="125"/>
      <c r="BQ448" s="125"/>
      <c r="BR448" s="16"/>
      <c r="BS448" s="123"/>
      <c r="BT448" s="19"/>
      <c r="BU448" s="139"/>
      <c r="BV448" s="139"/>
      <c r="BW448" s="123"/>
      <c r="BX448" s="123"/>
      <c r="BY448" s="123"/>
      <c r="BZ448" s="123"/>
      <c r="CA448" s="123"/>
      <c r="CB448" s="123"/>
      <c r="CC448" s="6"/>
      <c r="CD448" s="123"/>
      <c r="CE448" s="6"/>
      <c r="CF448" s="123"/>
      <c r="CG448" s="6"/>
      <c r="CH448" s="6"/>
      <c r="CI448" s="6"/>
      <c r="CJ448" s="6"/>
      <c r="CK448" s="123"/>
      <c r="CL448" s="6"/>
      <c r="CM448" s="6"/>
      <c r="CN448" s="6"/>
      <c r="CO448" s="138"/>
      <c r="CP448" s="138"/>
      <c r="CQ448" s="123"/>
      <c r="CR448" s="6"/>
      <c r="CS448" s="6"/>
      <c r="CT448" s="139"/>
      <c r="CU448" s="139"/>
      <c r="CV448" s="76"/>
      <c r="CW448" s="123"/>
      <c r="CX448" s="6"/>
      <c r="DI448" s="125"/>
      <c r="DJ448" s="16"/>
      <c r="DM448" s="16"/>
      <c r="DN448" s="16"/>
      <c r="DO448" s="125"/>
      <c r="DP448" s="16"/>
      <c r="DQ448" s="125"/>
      <c r="DZ448" s="125"/>
      <c r="EA448" s="142"/>
      <c r="EB448" s="125"/>
      <c r="EC448" s="16"/>
      <c r="ED448" s="125"/>
      <c r="EE448" s="125"/>
      <c r="EF448" s="16"/>
      <c r="EG448" s="125"/>
      <c r="EQ448" s="125"/>
      <c r="ER448" s="16"/>
      <c r="ES448" s="123"/>
      <c r="ET448" s="19"/>
      <c r="EU448" s="139"/>
      <c r="EV448" s="139"/>
      <c r="EW448" s="123"/>
      <c r="EX448" s="123"/>
      <c r="EY448" s="123"/>
      <c r="EZ448" s="123"/>
      <c r="FA448" s="123"/>
      <c r="FB448" s="123"/>
      <c r="FC448" s="6"/>
      <c r="FD448" s="123"/>
      <c r="FE448" s="6"/>
      <c r="FF448" s="123"/>
      <c r="FG448" s="6"/>
      <c r="FH448" s="6"/>
      <c r="FI448" s="6"/>
      <c r="FJ448" s="6"/>
      <c r="FK448" s="123"/>
      <c r="FL448" s="6"/>
      <c r="FM448" s="6"/>
      <c r="FN448" s="6"/>
      <c r="FO448" s="138"/>
      <c r="FP448" s="138"/>
      <c r="FQ448" s="123"/>
      <c r="FR448" s="6"/>
      <c r="FS448" s="6"/>
      <c r="FT448" s="139"/>
      <c r="FU448" s="139"/>
      <c r="FV448" s="76"/>
      <c r="FW448" s="123"/>
      <c r="FX448" s="6"/>
    </row>
    <row r="449" spans="35:180">
      <c r="AI449" s="125"/>
      <c r="AJ449" s="16"/>
      <c r="AM449" s="16"/>
      <c r="AN449" s="16"/>
      <c r="AO449" s="125"/>
      <c r="AP449" s="16"/>
      <c r="AQ449" s="125"/>
      <c r="AZ449" s="125"/>
      <c r="BA449" s="142"/>
      <c r="BB449" s="125"/>
      <c r="BC449" s="16"/>
      <c r="BD449" s="125"/>
      <c r="BE449" s="125"/>
      <c r="BF449" s="16"/>
      <c r="BG449" s="125"/>
      <c r="BQ449" s="125"/>
      <c r="BR449" s="16"/>
      <c r="BS449" s="123"/>
      <c r="BT449" s="19"/>
      <c r="BU449" s="139"/>
      <c r="BV449" s="139"/>
      <c r="BW449" s="123"/>
      <c r="BX449" s="123"/>
      <c r="BY449" s="123"/>
      <c r="BZ449" s="123"/>
      <c r="CA449" s="123"/>
      <c r="CB449" s="123"/>
      <c r="CC449" s="6"/>
      <c r="CD449" s="123"/>
      <c r="CE449" s="6"/>
      <c r="CF449" s="123"/>
      <c r="CG449" s="6"/>
      <c r="CH449" s="6"/>
      <c r="CI449" s="6"/>
      <c r="CJ449" s="6"/>
      <c r="CK449" s="123"/>
      <c r="CL449" s="6"/>
      <c r="CM449" s="6"/>
      <c r="CN449" s="6"/>
      <c r="CO449" s="138"/>
      <c r="CP449" s="138"/>
      <c r="CQ449" s="123"/>
      <c r="CR449" s="6"/>
      <c r="CS449" s="6"/>
      <c r="CT449" s="139"/>
      <c r="CU449" s="139"/>
      <c r="CV449" s="76"/>
      <c r="CW449" s="123"/>
      <c r="CX449" s="6"/>
      <c r="DI449" s="125"/>
      <c r="DJ449" s="16"/>
      <c r="DM449" s="16"/>
      <c r="DN449" s="16"/>
      <c r="DO449" s="125"/>
      <c r="DP449" s="16"/>
      <c r="DQ449" s="125"/>
      <c r="DZ449" s="125"/>
      <c r="EA449" s="142"/>
      <c r="EB449" s="125"/>
      <c r="EC449" s="16"/>
      <c r="ED449" s="125"/>
      <c r="EE449" s="125"/>
      <c r="EF449" s="16"/>
      <c r="EG449" s="125"/>
      <c r="EQ449" s="125"/>
      <c r="ER449" s="16"/>
      <c r="ES449" s="123"/>
      <c r="ET449" s="19"/>
      <c r="EU449" s="139"/>
      <c r="EV449" s="139"/>
      <c r="EW449" s="123"/>
      <c r="EX449" s="123"/>
      <c r="EY449" s="123"/>
      <c r="EZ449" s="123"/>
      <c r="FA449" s="123"/>
      <c r="FB449" s="123"/>
      <c r="FC449" s="6"/>
      <c r="FD449" s="123"/>
      <c r="FE449" s="6"/>
      <c r="FF449" s="123"/>
      <c r="FG449" s="6"/>
      <c r="FH449" s="6"/>
      <c r="FI449" s="6"/>
      <c r="FJ449" s="6"/>
      <c r="FK449" s="123"/>
      <c r="FL449" s="6"/>
      <c r="FM449" s="6"/>
      <c r="FN449" s="6"/>
      <c r="FO449" s="138"/>
      <c r="FP449" s="138"/>
      <c r="FQ449" s="123"/>
      <c r="FR449" s="6"/>
      <c r="FS449" s="6"/>
      <c r="FT449" s="139"/>
      <c r="FU449" s="139"/>
      <c r="FV449" s="76"/>
      <c r="FW449" s="123"/>
      <c r="FX449" s="6"/>
    </row>
    <row r="450" spans="35:180">
      <c r="AI450" s="125"/>
      <c r="AJ450" s="16"/>
      <c r="AM450" s="16"/>
      <c r="AN450" s="16"/>
      <c r="AO450" s="125"/>
      <c r="AP450" s="16"/>
      <c r="AQ450" s="125"/>
      <c r="AZ450" s="125"/>
      <c r="BA450" s="142"/>
      <c r="BB450" s="125"/>
      <c r="BC450" s="16"/>
      <c r="BD450" s="125"/>
      <c r="BE450" s="125"/>
      <c r="BF450" s="16"/>
      <c r="BG450" s="125"/>
      <c r="BQ450" s="125"/>
      <c r="BR450" s="16"/>
      <c r="BS450" s="123"/>
      <c r="BT450" s="19"/>
      <c r="BU450" s="139"/>
      <c r="BV450" s="139"/>
      <c r="BW450" s="123"/>
      <c r="BX450" s="123"/>
      <c r="BY450" s="123"/>
      <c r="BZ450" s="123"/>
      <c r="CA450" s="123"/>
      <c r="CB450" s="123"/>
      <c r="CC450" s="6"/>
      <c r="CD450" s="123"/>
      <c r="CE450" s="6"/>
      <c r="CF450" s="123"/>
      <c r="CG450" s="6"/>
      <c r="CH450" s="6"/>
      <c r="CI450" s="6"/>
      <c r="CJ450" s="6"/>
      <c r="CK450" s="123"/>
      <c r="CL450" s="6"/>
      <c r="CM450" s="6"/>
      <c r="CN450" s="6"/>
      <c r="CO450" s="138"/>
      <c r="CP450" s="138"/>
      <c r="CQ450" s="123"/>
      <c r="CR450" s="6"/>
      <c r="CS450" s="6"/>
      <c r="CT450" s="139"/>
      <c r="CU450" s="139"/>
      <c r="CV450" s="76"/>
      <c r="CW450" s="123"/>
      <c r="CX450" s="6"/>
      <c r="DI450" s="125"/>
      <c r="DJ450" s="16"/>
      <c r="DM450" s="16"/>
      <c r="DN450" s="16"/>
      <c r="DO450" s="125"/>
      <c r="DP450" s="16"/>
      <c r="DQ450" s="125"/>
      <c r="DZ450" s="125"/>
      <c r="EA450" s="142"/>
      <c r="EB450" s="125"/>
      <c r="EC450" s="16"/>
      <c r="ED450" s="125"/>
      <c r="EE450" s="125"/>
      <c r="EF450" s="16"/>
      <c r="EG450" s="125"/>
      <c r="EQ450" s="125"/>
      <c r="ER450" s="16"/>
      <c r="ES450" s="123"/>
      <c r="ET450" s="19"/>
      <c r="EU450" s="139"/>
      <c r="EV450" s="139"/>
      <c r="EW450" s="123"/>
      <c r="EX450" s="123"/>
      <c r="EY450" s="123"/>
      <c r="EZ450" s="123"/>
      <c r="FA450" s="123"/>
      <c r="FB450" s="123"/>
      <c r="FC450" s="6"/>
      <c r="FD450" s="123"/>
      <c r="FE450" s="6"/>
      <c r="FF450" s="123"/>
      <c r="FG450" s="6"/>
      <c r="FH450" s="6"/>
      <c r="FI450" s="6"/>
      <c r="FJ450" s="6"/>
      <c r="FK450" s="123"/>
      <c r="FL450" s="6"/>
      <c r="FM450" s="6"/>
      <c r="FN450" s="6"/>
      <c r="FO450" s="138"/>
      <c r="FP450" s="138"/>
      <c r="FQ450" s="123"/>
      <c r="FR450" s="6"/>
      <c r="FS450" s="6"/>
      <c r="FT450" s="139"/>
      <c r="FU450" s="139"/>
      <c r="FV450" s="76"/>
      <c r="FW450" s="123"/>
      <c r="FX450" s="6"/>
    </row>
    <row r="451" spans="35:180">
      <c r="AI451" s="125"/>
      <c r="AJ451" s="16"/>
      <c r="AM451" s="16"/>
      <c r="AN451" s="16"/>
      <c r="AO451" s="125"/>
      <c r="AP451" s="16"/>
      <c r="AQ451" s="125"/>
      <c r="AZ451" s="125"/>
      <c r="BA451" s="142"/>
      <c r="BB451" s="125"/>
      <c r="BC451" s="16"/>
      <c r="BD451" s="125"/>
      <c r="BE451" s="125"/>
      <c r="BF451" s="16"/>
      <c r="BG451" s="125"/>
      <c r="BQ451" s="125"/>
      <c r="BR451" s="16"/>
      <c r="BS451" s="123"/>
      <c r="BT451" s="19"/>
      <c r="BU451" s="139"/>
      <c r="BV451" s="139"/>
      <c r="BW451" s="123"/>
      <c r="BX451" s="123"/>
      <c r="BY451" s="123"/>
      <c r="BZ451" s="123"/>
      <c r="CA451" s="123"/>
      <c r="CB451" s="123"/>
      <c r="CC451" s="6"/>
      <c r="CD451" s="123"/>
      <c r="CE451" s="6"/>
      <c r="CF451" s="123"/>
      <c r="CG451" s="6"/>
      <c r="CH451" s="6"/>
      <c r="CI451" s="6"/>
      <c r="CJ451" s="6"/>
      <c r="CK451" s="123"/>
      <c r="CL451" s="6"/>
      <c r="CM451" s="6"/>
      <c r="CN451" s="6"/>
      <c r="CO451" s="138"/>
      <c r="CP451" s="138"/>
      <c r="CQ451" s="123"/>
      <c r="CR451" s="6"/>
      <c r="CS451" s="6"/>
      <c r="CT451" s="139"/>
      <c r="CU451" s="139"/>
      <c r="CV451" s="76"/>
      <c r="CW451" s="123"/>
      <c r="CX451" s="6"/>
      <c r="DI451" s="125"/>
      <c r="DJ451" s="16"/>
      <c r="DM451" s="16"/>
      <c r="DN451" s="16"/>
      <c r="DO451" s="125"/>
      <c r="DP451" s="16"/>
      <c r="DQ451" s="125"/>
      <c r="DZ451" s="125"/>
      <c r="EA451" s="142"/>
      <c r="EB451" s="125"/>
      <c r="EC451" s="16"/>
      <c r="ED451" s="125"/>
      <c r="EE451" s="125"/>
      <c r="EF451" s="16"/>
      <c r="EG451" s="125"/>
      <c r="EQ451" s="125"/>
      <c r="ER451" s="16"/>
      <c r="ES451" s="123"/>
      <c r="ET451" s="19"/>
      <c r="EU451" s="139"/>
      <c r="EV451" s="139"/>
      <c r="EW451" s="123"/>
      <c r="EX451" s="123"/>
      <c r="EY451" s="123"/>
      <c r="EZ451" s="123"/>
      <c r="FA451" s="123"/>
      <c r="FB451" s="123"/>
      <c r="FC451" s="6"/>
      <c r="FD451" s="123"/>
      <c r="FE451" s="6"/>
      <c r="FF451" s="123"/>
      <c r="FG451" s="6"/>
      <c r="FH451" s="6"/>
      <c r="FI451" s="6"/>
      <c r="FJ451" s="6"/>
      <c r="FK451" s="123"/>
      <c r="FL451" s="6"/>
      <c r="FM451" s="6"/>
      <c r="FN451" s="6"/>
      <c r="FO451" s="138"/>
      <c r="FP451" s="138"/>
      <c r="FQ451" s="123"/>
      <c r="FR451" s="6"/>
      <c r="FS451" s="6"/>
      <c r="FT451" s="139"/>
      <c r="FU451" s="139"/>
      <c r="FV451" s="76"/>
      <c r="FW451" s="123"/>
      <c r="FX451" s="6"/>
    </row>
    <row r="452" spans="35:180">
      <c r="AI452" s="125"/>
      <c r="AJ452" s="16"/>
      <c r="AM452" s="16"/>
      <c r="AN452" s="16"/>
      <c r="AO452" s="125"/>
      <c r="AP452" s="16"/>
      <c r="AQ452" s="125"/>
      <c r="AZ452" s="125"/>
      <c r="BA452" s="142"/>
      <c r="BB452" s="125"/>
      <c r="BC452" s="16"/>
      <c r="BD452" s="125"/>
      <c r="BE452" s="125"/>
      <c r="BF452" s="16"/>
      <c r="BG452" s="125"/>
      <c r="BQ452" s="125"/>
      <c r="BR452" s="16"/>
      <c r="BS452" s="123"/>
      <c r="BT452" s="19"/>
      <c r="BU452" s="139"/>
      <c r="BV452" s="139"/>
      <c r="BW452" s="123"/>
      <c r="BX452" s="123"/>
      <c r="BY452" s="123"/>
      <c r="BZ452" s="123"/>
      <c r="CA452" s="123"/>
      <c r="CB452" s="123"/>
      <c r="CC452" s="6"/>
      <c r="CD452" s="123"/>
      <c r="CE452" s="6"/>
      <c r="CF452" s="123"/>
      <c r="CG452" s="6"/>
      <c r="CH452" s="6"/>
      <c r="CI452" s="6"/>
      <c r="CJ452" s="6"/>
      <c r="CK452" s="123"/>
      <c r="CL452" s="6"/>
      <c r="CM452" s="6"/>
      <c r="CN452" s="6"/>
      <c r="CO452" s="138"/>
      <c r="CP452" s="138"/>
      <c r="CQ452" s="123"/>
      <c r="CR452" s="6"/>
      <c r="CS452" s="6"/>
      <c r="CT452" s="139"/>
      <c r="CU452" s="139"/>
      <c r="CV452" s="76"/>
      <c r="CW452" s="123"/>
      <c r="CX452" s="6"/>
      <c r="DI452" s="125"/>
      <c r="DJ452" s="16"/>
      <c r="DM452" s="16"/>
      <c r="DN452" s="16"/>
      <c r="DO452" s="125"/>
      <c r="DP452" s="16"/>
      <c r="DQ452" s="125"/>
      <c r="DZ452" s="125"/>
      <c r="EA452" s="142"/>
      <c r="EB452" s="125"/>
      <c r="EC452" s="16"/>
      <c r="ED452" s="125"/>
      <c r="EE452" s="125"/>
      <c r="EF452" s="16"/>
      <c r="EG452" s="125"/>
      <c r="EQ452" s="125"/>
      <c r="ER452" s="16"/>
      <c r="ES452" s="123"/>
      <c r="ET452" s="19"/>
      <c r="EU452" s="139"/>
      <c r="EV452" s="139"/>
      <c r="EW452" s="123"/>
      <c r="EX452" s="123"/>
      <c r="EY452" s="123"/>
      <c r="EZ452" s="123"/>
      <c r="FA452" s="123"/>
      <c r="FB452" s="123"/>
      <c r="FC452" s="6"/>
      <c r="FD452" s="123"/>
      <c r="FE452" s="6"/>
      <c r="FF452" s="123"/>
      <c r="FG452" s="6"/>
      <c r="FH452" s="6"/>
      <c r="FI452" s="6"/>
      <c r="FJ452" s="6"/>
      <c r="FK452" s="123"/>
      <c r="FL452" s="6"/>
      <c r="FM452" s="6"/>
      <c r="FN452" s="6"/>
      <c r="FO452" s="138"/>
      <c r="FP452" s="138"/>
      <c r="FQ452" s="123"/>
      <c r="FR452" s="6"/>
      <c r="FS452" s="6"/>
      <c r="FT452" s="139"/>
      <c r="FU452" s="139"/>
      <c r="FV452" s="76"/>
      <c r="FW452" s="123"/>
      <c r="FX452" s="6"/>
    </row>
    <row r="453" spans="35:180">
      <c r="AI453" s="125"/>
      <c r="AJ453" s="16"/>
      <c r="AM453" s="16"/>
      <c r="AN453" s="16"/>
      <c r="AO453" s="125"/>
      <c r="AP453" s="16"/>
      <c r="AQ453" s="125"/>
      <c r="AZ453" s="125"/>
      <c r="BA453" s="142"/>
      <c r="BB453" s="125"/>
      <c r="BC453" s="16"/>
      <c r="BD453" s="125"/>
      <c r="BE453" s="125"/>
      <c r="BF453" s="16"/>
      <c r="BG453" s="125"/>
      <c r="BQ453" s="125"/>
      <c r="BR453" s="16"/>
      <c r="BS453" s="123"/>
      <c r="BT453" s="19"/>
      <c r="BU453" s="139"/>
      <c r="BV453" s="139"/>
      <c r="BW453" s="123"/>
      <c r="BX453" s="123"/>
      <c r="BY453" s="123"/>
      <c r="BZ453" s="123"/>
      <c r="CA453" s="123"/>
      <c r="CB453" s="123"/>
      <c r="CC453" s="6"/>
      <c r="CD453" s="123"/>
      <c r="CE453" s="6"/>
      <c r="CF453" s="123"/>
      <c r="CG453" s="6"/>
      <c r="CH453" s="6"/>
      <c r="CI453" s="6"/>
      <c r="CJ453" s="6"/>
      <c r="CK453" s="123"/>
      <c r="CL453" s="6"/>
      <c r="CM453" s="6"/>
      <c r="CN453" s="6"/>
      <c r="CO453" s="138"/>
      <c r="CP453" s="138"/>
      <c r="CQ453" s="123"/>
      <c r="CR453" s="6"/>
      <c r="CS453" s="6"/>
      <c r="CT453" s="139"/>
      <c r="CU453" s="139"/>
      <c r="CV453" s="76"/>
      <c r="CW453" s="123"/>
      <c r="CX453" s="6"/>
      <c r="DI453" s="125"/>
      <c r="DJ453" s="16"/>
      <c r="DM453" s="16"/>
      <c r="DN453" s="16"/>
      <c r="DO453" s="125"/>
      <c r="DP453" s="16"/>
      <c r="DQ453" s="125"/>
      <c r="DZ453" s="125"/>
      <c r="EA453" s="142"/>
      <c r="EB453" s="125"/>
      <c r="EC453" s="16"/>
      <c r="ED453" s="125"/>
      <c r="EE453" s="125"/>
      <c r="EF453" s="16"/>
      <c r="EG453" s="125"/>
      <c r="EQ453" s="125"/>
      <c r="ER453" s="16"/>
      <c r="ES453" s="123"/>
      <c r="ET453" s="19"/>
      <c r="EU453" s="139"/>
      <c r="EV453" s="139"/>
      <c r="EW453" s="123"/>
      <c r="EX453" s="123"/>
      <c r="EY453" s="123"/>
      <c r="EZ453" s="123"/>
      <c r="FA453" s="123"/>
      <c r="FB453" s="123"/>
      <c r="FC453" s="6"/>
      <c r="FD453" s="123"/>
      <c r="FE453" s="6"/>
      <c r="FF453" s="123"/>
      <c r="FG453" s="6"/>
      <c r="FH453" s="6"/>
      <c r="FI453" s="6"/>
      <c r="FJ453" s="6"/>
      <c r="FK453" s="123"/>
      <c r="FL453" s="6"/>
      <c r="FM453" s="6"/>
      <c r="FN453" s="6"/>
      <c r="FO453" s="138"/>
      <c r="FP453" s="138"/>
      <c r="FQ453" s="123"/>
      <c r="FR453" s="6"/>
      <c r="FS453" s="6"/>
      <c r="FT453" s="139"/>
      <c r="FU453" s="139"/>
      <c r="FV453" s="76"/>
      <c r="FW453" s="123"/>
      <c r="FX453" s="6"/>
    </row>
    <row r="454" spans="35:180">
      <c r="AI454" s="125"/>
      <c r="AJ454" s="16"/>
      <c r="AM454" s="16"/>
      <c r="AN454" s="16"/>
      <c r="AO454" s="125"/>
      <c r="AP454" s="16"/>
      <c r="AQ454" s="125"/>
      <c r="AZ454" s="125"/>
      <c r="BA454" s="142"/>
      <c r="BB454" s="125"/>
      <c r="BC454" s="16"/>
      <c r="BD454" s="125"/>
      <c r="BE454" s="125"/>
      <c r="BF454" s="16"/>
      <c r="BG454" s="125"/>
      <c r="BQ454" s="125"/>
      <c r="BR454" s="16"/>
      <c r="BS454" s="123"/>
      <c r="BT454" s="19"/>
      <c r="BU454" s="139"/>
      <c r="BV454" s="139"/>
      <c r="BW454" s="123"/>
      <c r="BX454" s="123"/>
      <c r="BY454" s="123"/>
      <c r="BZ454" s="123"/>
      <c r="CA454" s="123"/>
      <c r="CB454" s="123"/>
      <c r="CC454" s="6"/>
      <c r="CD454" s="123"/>
      <c r="CE454" s="6"/>
      <c r="CF454" s="123"/>
      <c r="CG454" s="6"/>
      <c r="CH454" s="6"/>
      <c r="CI454" s="6"/>
      <c r="CJ454" s="6"/>
      <c r="CK454" s="123"/>
      <c r="CL454" s="6"/>
      <c r="CM454" s="6"/>
      <c r="CN454" s="6"/>
      <c r="CO454" s="138"/>
      <c r="CP454" s="138"/>
      <c r="CQ454" s="123"/>
      <c r="CR454" s="6"/>
      <c r="CS454" s="6"/>
      <c r="CT454" s="139"/>
      <c r="CU454" s="139"/>
      <c r="CV454" s="76"/>
      <c r="CW454" s="123"/>
      <c r="CX454" s="6"/>
      <c r="DI454" s="125"/>
      <c r="DJ454" s="16"/>
      <c r="DM454" s="16"/>
      <c r="DN454" s="16"/>
      <c r="DO454" s="125"/>
      <c r="DP454" s="16"/>
      <c r="DQ454" s="125"/>
      <c r="DZ454" s="125"/>
      <c r="EA454" s="142"/>
      <c r="EB454" s="125"/>
      <c r="EC454" s="16"/>
      <c r="ED454" s="125"/>
      <c r="EE454" s="125"/>
      <c r="EF454" s="16"/>
      <c r="EG454" s="125"/>
      <c r="EQ454" s="125"/>
      <c r="ER454" s="16"/>
      <c r="ES454" s="123"/>
      <c r="ET454" s="19"/>
      <c r="EU454" s="139"/>
      <c r="EV454" s="139"/>
      <c r="EW454" s="123"/>
      <c r="EX454" s="123"/>
      <c r="EY454" s="123"/>
      <c r="EZ454" s="123"/>
      <c r="FA454" s="123"/>
      <c r="FB454" s="123"/>
      <c r="FC454" s="6"/>
      <c r="FD454" s="123"/>
      <c r="FE454" s="6"/>
      <c r="FF454" s="123"/>
      <c r="FG454" s="6"/>
      <c r="FH454" s="6"/>
      <c r="FI454" s="6"/>
      <c r="FJ454" s="6"/>
      <c r="FK454" s="123"/>
      <c r="FL454" s="6"/>
      <c r="FM454" s="6"/>
      <c r="FN454" s="6"/>
      <c r="FO454" s="138"/>
      <c r="FP454" s="138"/>
      <c r="FQ454" s="123"/>
      <c r="FR454" s="6"/>
      <c r="FS454" s="6"/>
      <c r="FT454" s="139"/>
      <c r="FU454" s="139"/>
      <c r="FV454" s="76"/>
      <c r="FW454" s="123"/>
      <c r="FX454" s="6"/>
    </row>
    <row r="455" spans="35:180">
      <c r="AI455" s="125"/>
      <c r="AJ455" s="16"/>
      <c r="AM455" s="16"/>
      <c r="AN455" s="16"/>
      <c r="AO455" s="125"/>
      <c r="AP455" s="16"/>
      <c r="AQ455" s="125"/>
      <c r="AZ455" s="125"/>
      <c r="BA455" s="142"/>
      <c r="BB455" s="125"/>
      <c r="BC455" s="16"/>
      <c r="BD455" s="125"/>
      <c r="BE455" s="125"/>
      <c r="BF455" s="16"/>
      <c r="BG455" s="125"/>
      <c r="BQ455" s="125"/>
      <c r="BR455" s="16"/>
      <c r="BS455" s="123"/>
      <c r="BT455" s="19"/>
      <c r="BU455" s="139"/>
      <c r="BV455" s="139"/>
      <c r="BW455" s="123"/>
      <c r="BX455" s="123"/>
      <c r="BY455" s="123"/>
      <c r="BZ455" s="123"/>
      <c r="CA455" s="123"/>
      <c r="CB455" s="123"/>
      <c r="CC455" s="6"/>
      <c r="CD455" s="123"/>
      <c r="CE455" s="6"/>
      <c r="CF455" s="123"/>
      <c r="CG455" s="6"/>
      <c r="CH455" s="6"/>
      <c r="CI455" s="6"/>
      <c r="CJ455" s="6"/>
      <c r="CK455" s="123"/>
      <c r="CL455" s="6"/>
      <c r="CM455" s="6"/>
      <c r="CN455" s="6"/>
      <c r="CO455" s="138"/>
      <c r="CP455" s="138"/>
      <c r="CQ455" s="123"/>
      <c r="CR455" s="6"/>
      <c r="CS455" s="6"/>
      <c r="CT455" s="139"/>
      <c r="CU455" s="139"/>
      <c r="CV455" s="76"/>
      <c r="CW455" s="123"/>
      <c r="CX455" s="6"/>
      <c r="DI455" s="125"/>
      <c r="DJ455" s="16"/>
      <c r="DM455" s="16"/>
      <c r="DN455" s="16"/>
      <c r="DO455" s="125"/>
      <c r="DP455" s="16"/>
      <c r="DQ455" s="125"/>
      <c r="DZ455" s="125"/>
      <c r="EA455" s="142"/>
      <c r="EB455" s="125"/>
      <c r="EC455" s="16"/>
      <c r="ED455" s="125"/>
      <c r="EE455" s="125"/>
      <c r="EF455" s="16"/>
      <c r="EG455" s="125"/>
      <c r="EQ455" s="125"/>
      <c r="ER455" s="16"/>
      <c r="ES455" s="123"/>
      <c r="ET455" s="19"/>
      <c r="EU455" s="139"/>
      <c r="EV455" s="139"/>
      <c r="EW455" s="123"/>
      <c r="EX455" s="123"/>
      <c r="EY455" s="123"/>
      <c r="EZ455" s="123"/>
      <c r="FA455" s="123"/>
      <c r="FB455" s="123"/>
      <c r="FC455" s="6"/>
      <c r="FD455" s="123"/>
      <c r="FE455" s="6"/>
      <c r="FF455" s="123"/>
      <c r="FG455" s="6"/>
      <c r="FH455" s="6"/>
      <c r="FI455" s="6"/>
      <c r="FJ455" s="6"/>
      <c r="FK455" s="123"/>
      <c r="FL455" s="6"/>
      <c r="FM455" s="6"/>
      <c r="FN455" s="6"/>
      <c r="FO455" s="138"/>
      <c r="FP455" s="138"/>
      <c r="FQ455" s="123"/>
      <c r="FR455" s="6"/>
      <c r="FS455" s="6"/>
      <c r="FT455" s="139"/>
      <c r="FU455" s="139"/>
      <c r="FV455" s="76"/>
      <c r="FW455" s="123"/>
      <c r="FX455" s="6"/>
    </row>
    <row r="456" spans="35:180">
      <c r="AI456" s="125"/>
      <c r="AJ456" s="16"/>
      <c r="AM456" s="16"/>
      <c r="AN456" s="16"/>
      <c r="AO456" s="125"/>
      <c r="AP456" s="16"/>
      <c r="AQ456" s="125"/>
      <c r="AZ456" s="125"/>
      <c r="BA456" s="142"/>
      <c r="BB456" s="125"/>
      <c r="BC456" s="16"/>
      <c r="BD456" s="125"/>
      <c r="BE456" s="125"/>
      <c r="BF456" s="16"/>
      <c r="BG456" s="125"/>
      <c r="BQ456" s="125"/>
      <c r="BR456" s="16"/>
      <c r="BS456" s="123"/>
      <c r="BT456" s="19"/>
      <c r="BU456" s="139"/>
      <c r="BV456" s="139"/>
      <c r="BW456" s="123"/>
      <c r="BX456" s="123"/>
      <c r="BY456" s="123"/>
      <c r="BZ456" s="123"/>
      <c r="CA456" s="123"/>
      <c r="CB456" s="123"/>
      <c r="CC456" s="6"/>
      <c r="CD456" s="123"/>
      <c r="CE456" s="6"/>
      <c r="CF456" s="123"/>
      <c r="CG456" s="6"/>
      <c r="CH456" s="6"/>
      <c r="CI456" s="6"/>
      <c r="CJ456" s="6"/>
      <c r="CK456" s="123"/>
      <c r="CL456" s="6"/>
      <c r="CM456" s="6"/>
      <c r="CN456" s="6"/>
      <c r="CO456" s="138"/>
      <c r="CP456" s="138"/>
      <c r="CQ456" s="123"/>
      <c r="CR456" s="6"/>
      <c r="CS456" s="6"/>
      <c r="CT456" s="139"/>
      <c r="CU456" s="139"/>
      <c r="CV456" s="76"/>
      <c r="CW456" s="123"/>
      <c r="CX456" s="6"/>
      <c r="DI456" s="125"/>
      <c r="DJ456" s="16"/>
      <c r="DM456" s="16"/>
      <c r="DN456" s="16"/>
      <c r="DO456" s="125"/>
      <c r="DP456" s="16"/>
      <c r="DQ456" s="125"/>
      <c r="DZ456" s="125"/>
      <c r="EA456" s="142"/>
      <c r="EB456" s="125"/>
      <c r="EC456" s="16"/>
      <c r="ED456" s="125"/>
      <c r="EE456" s="125"/>
      <c r="EF456" s="16"/>
      <c r="EG456" s="125"/>
      <c r="EQ456" s="125"/>
      <c r="ER456" s="16"/>
      <c r="ES456" s="123"/>
      <c r="ET456" s="19"/>
      <c r="EU456" s="139"/>
      <c r="EV456" s="139"/>
      <c r="EW456" s="123"/>
      <c r="EX456" s="123"/>
      <c r="EY456" s="123"/>
      <c r="EZ456" s="123"/>
      <c r="FA456" s="123"/>
      <c r="FB456" s="123"/>
      <c r="FC456" s="6"/>
      <c r="FD456" s="123"/>
      <c r="FE456" s="6"/>
      <c r="FF456" s="123"/>
      <c r="FG456" s="6"/>
      <c r="FH456" s="6"/>
      <c r="FI456" s="6"/>
      <c r="FJ456" s="6"/>
      <c r="FK456" s="123"/>
      <c r="FL456" s="6"/>
      <c r="FM456" s="6"/>
      <c r="FN456" s="6"/>
      <c r="FO456" s="138"/>
      <c r="FP456" s="138"/>
      <c r="FQ456" s="123"/>
      <c r="FR456" s="6"/>
      <c r="FS456" s="6"/>
      <c r="FT456" s="139"/>
      <c r="FU456" s="139"/>
      <c r="FV456" s="76"/>
      <c r="FW456" s="123"/>
      <c r="FX456" s="6"/>
    </row>
    <row r="457" spans="35:180">
      <c r="AI457" s="125"/>
      <c r="AJ457" s="16"/>
      <c r="AM457" s="16"/>
      <c r="AN457" s="16"/>
      <c r="AO457" s="125"/>
      <c r="AP457" s="16"/>
      <c r="AQ457" s="125"/>
      <c r="AZ457" s="125"/>
      <c r="BA457" s="142"/>
      <c r="BB457" s="125"/>
      <c r="BC457" s="16"/>
      <c r="BD457" s="125"/>
      <c r="BE457" s="125"/>
      <c r="BF457" s="16"/>
      <c r="BG457" s="125"/>
      <c r="BQ457" s="125"/>
      <c r="BR457" s="16"/>
      <c r="BS457" s="123"/>
      <c r="BT457" s="19"/>
      <c r="BU457" s="139"/>
      <c r="BV457" s="139"/>
      <c r="BW457" s="123"/>
      <c r="BX457" s="123"/>
      <c r="BY457" s="123"/>
      <c r="BZ457" s="123"/>
      <c r="CA457" s="123"/>
      <c r="CB457" s="123"/>
      <c r="CC457" s="6"/>
      <c r="CD457" s="123"/>
      <c r="CE457" s="6"/>
      <c r="CF457" s="123"/>
      <c r="CG457" s="6"/>
      <c r="CH457" s="6"/>
      <c r="CI457" s="6"/>
      <c r="CJ457" s="6"/>
      <c r="CK457" s="123"/>
      <c r="CL457" s="6"/>
      <c r="CM457" s="6"/>
      <c r="CN457" s="6"/>
      <c r="CO457" s="138"/>
      <c r="CP457" s="138"/>
      <c r="CQ457" s="123"/>
      <c r="CR457" s="6"/>
      <c r="CS457" s="6"/>
      <c r="CT457" s="139"/>
      <c r="CU457" s="139"/>
      <c r="CV457" s="76"/>
      <c r="CW457" s="123"/>
      <c r="CX457" s="6"/>
      <c r="DI457" s="125"/>
      <c r="DJ457" s="16"/>
      <c r="DM457" s="16"/>
      <c r="DN457" s="16"/>
      <c r="DO457" s="125"/>
      <c r="DP457" s="16"/>
      <c r="DQ457" s="125"/>
      <c r="DZ457" s="125"/>
      <c r="EA457" s="142"/>
      <c r="EB457" s="125"/>
      <c r="EC457" s="16"/>
      <c r="ED457" s="125"/>
      <c r="EE457" s="125"/>
      <c r="EF457" s="16"/>
      <c r="EG457" s="125"/>
      <c r="EQ457" s="125"/>
      <c r="ER457" s="16"/>
      <c r="ES457" s="123"/>
      <c r="ET457" s="19"/>
      <c r="EU457" s="139"/>
      <c r="EV457" s="139"/>
      <c r="EW457" s="123"/>
      <c r="EX457" s="123"/>
      <c r="EY457" s="123"/>
      <c r="EZ457" s="123"/>
      <c r="FA457" s="123"/>
      <c r="FB457" s="123"/>
      <c r="FC457" s="6"/>
      <c r="FD457" s="123"/>
      <c r="FE457" s="6"/>
      <c r="FF457" s="123"/>
      <c r="FG457" s="6"/>
      <c r="FH457" s="6"/>
      <c r="FI457" s="6"/>
      <c r="FJ457" s="6"/>
      <c r="FK457" s="123"/>
      <c r="FL457" s="6"/>
      <c r="FM457" s="6"/>
      <c r="FN457" s="6"/>
      <c r="FO457" s="138"/>
      <c r="FP457" s="138"/>
      <c r="FQ457" s="123"/>
      <c r="FR457" s="6"/>
      <c r="FS457" s="6"/>
      <c r="FT457" s="139"/>
      <c r="FU457" s="139"/>
      <c r="FV457" s="76"/>
      <c r="FW457" s="123"/>
      <c r="FX457" s="6"/>
    </row>
    <row r="458" spans="35:180">
      <c r="AI458" s="125"/>
      <c r="AJ458" s="16"/>
      <c r="AM458" s="16"/>
      <c r="AN458" s="16"/>
      <c r="AO458" s="125"/>
      <c r="AP458" s="16"/>
      <c r="AQ458" s="125"/>
      <c r="AZ458" s="125"/>
      <c r="BA458" s="142"/>
      <c r="BB458" s="125"/>
      <c r="BC458" s="16"/>
      <c r="BD458" s="125"/>
      <c r="BE458" s="125"/>
      <c r="BF458" s="16"/>
      <c r="BG458" s="125"/>
      <c r="BQ458" s="125"/>
      <c r="BR458" s="16"/>
      <c r="BS458" s="123"/>
      <c r="BT458" s="19"/>
      <c r="BU458" s="139"/>
      <c r="BV458" s="139"/>
      <c r="BW458" s="123"/>
      <c r="BX458" s="123"/>
      <c r="BY458" s="123"/>
      <c r="BZ458" s="123"/>
      <c r="CA458" s="123"/>
      <c r="CB458" s="123"/>
      <c r="CC458" s="6"/>
      <c r="CD458" s="123"/>
      <c r="CE458" s="6"/>
      <c r="CF458" s="123"/>
      <c r="CG458" s="6"/>
      <c r="CH458" s="6"/>
      <c r="CI458" s="6"/>
      <c r="CJ458" s="6"/>
      <c r="CK458" s="123"/>
      <c r="CL458" s="6"/>
      <c r="CM458" s="6"/>
      <c r="CN458" s="6"/>
      <c r="CO458" s="138"/>
      <c r="CP458" s="138"/>
      <c r="CQ458" s="123"/>
      <c r="CR458" s="6"/>
      <c r="CS458" s="6"/>
      <c r="CT458" s="139"/>
      <c r="CU458" s="139"/>
      <c r="CV458" s="76"/>
      <c r="CW458" s="123"/>
      <c r="CX458" s="6"/>
      <c r="DI458" s="125"/>
      <c r="DJ458" s="16"/>
      <c r="DM458" s="16"/>
      <c r="DN458" s="16"/>
      <c r="DO458" s="125"/>
      <c r="DP458" s="16"/>
      <c r="DQ458" s="125"/>
      <c r="DZ458" s="125"/>
      <c r="EA458" s="142"/>
      <c r="EB458" s="125"/>
      <c r="EC458" s="16"/>
      <c r="ED458" s="125"/>
      <c r="EE458" s="125"/>
      <c r="EF458" s="16"/>
      <c r="EG458" s="125"/>
      <c r="EQ458" s="125"/>
      <c r="ER458" s="16"/>
      <c r="ES458" s="123"/>
      <c r="ET458" s="19"/>
      <c r="EU458" s="139"/>
      <c r="EV458" s="139"/>
      <c r="EW458" s="123"/>
      <c r="EX458" s="123"/>
      <c r="EY458" s="123"/>
      <c r="EZ458" s="123"/>
      <c r="FA458" s="123"/>
      <c r="FB458" s="123"/>
      <c r="FC458" s="6"/>
      <c r="FD458" s="123"/>
      <c r="FE458" s="6"/>
      <c r="FF458" s="123"/>
      <c r="FG458" s="6"/>
      <c r="FH458" s="6"/>
      <c r="FI458" s="6"/>
      <c r="FJ458" s="6"/>
      <c r="FK458" s="123"/>
      <c r="FL458" s="6"/>
      <c r="FM458" s="6"/>
      <c r="FN458" s="6"/>
      <c r="FO458" s="138"/>
      <c r="FP458" s="138"/>
      <c r="FQ458" s="123"/>
      <c r="FR458" s="6"/>
      <c r="FS458" s="6"/>
      <c r="FT458" s="139"/>
      <c r="FU458" s="139"/>
      <c r="FV458" s="76"/>
      <c r="FW458" s="123"/>
      <c r="FX458" s="6"/>
    </row>
    <row r="459" spans="35:180">
      <c r="AI459" s="125"/>
      <c r="AJ459" s="16"/>
      <c r="AM459" s="16"/>
      <c r="AN459" s="16"/>
      <c r="AO459" s="125"/>
      <c r="AP459" s="16"/>
      <c r="AQ459" s="125"/>
      <c r="AZ459" s="125"/>
      <c r="BA459" s="142"/>
      <c r="BB459" s="125"/>
      <c r="BC459" s="16"/>
      <c r="BD459" s="125"/>
      <c r="BE459" s="125"/>
      <c r="BF459" s="16"/>
      <c r="BG459" s="125"/>
      <c r="BQ459" s="125"/>
      <c r="BR459" s="16"/>
      <c r="BS459" s="123"/>
      <c r="BT459" s="19"/>
      <c r="BU459" s="139"/>
      <c r="BV459" s="139"/>
      <c r="BW459" s="123"/>
      <c r="BX459" s="123"/>
      <c r="BY459" s="123"/>
      <c r="BZ459" s="123"/>
      <c r="CA459" s="123"/>
      <c r="CB459" s="123"/>
      <c r="CC459" s="6"/>
      <c r="CD459" s="123"/>
      <c r="CE459" s="6"/>
      <c r="CF459" s="123"/>
      <c r="CG459" s="6"/>
      <c r="CH459" s="6"/>
      <c r="CI459" s="6"/>
      <c r="CJ459" s="6"/>
      <c r="CK459" s="123"/>
      <c r="CL459" s="6"/>
      <c r="CM459" s="6"/>
      <c r="CN459" s="6"/>
      <c r="CO459" s="138"/>
      <c r="CP459" s="138"/>
      <c r="CQ459" s="123"/>
      <c r="CR459" s="6"/>
      <c r="CS459" s="6"/>
      <c r="CT459" s="139"/>
      <c r="CU459" s="139"/>
      <c r="CV459" s="76"/>
      <c r="CW459" s="123"/>
      <c r="CX459" s="6"/>
      <c r="DI459" s="125"/>
      <c r="DJ459" s="16"/>
      <c r="DM459" s="16"/>
      <c r="DN459" s="16"/>
      <c r="DO459" s="125"/>
      <c r="DP459" s="16"/>
      <c r="DQ459" s="125"/>
      <c r="DZ459" s="125"/>
      <c r="EA459" s="142"/>
      <c r="EB459" s="125"/>
      <c r="EC459" s="16"/>
      <c r="ED459" s="125"/>
      <c r="EE459" s="125"/>
      <c r="EF459" s="16"/>
      <c r="EG459" s="125"/>
      <c r="EQ459" s="125"/>
      <c r="ER459" s="16"/>
      <c r="ES459" s="123"/>
      <c r="ET459" s="19"/>
      <c r="EU459" s="139"/>
      <c r="EV459" s="139"/>
      <c r="EW459" s="123"/>
      <c r="EX459" s="123"/>
      <c r="EY459" s="123"/>
      <c r="EZ459" s="123"/>
      <c r="FA459" s="123"/>
      <c r="FB459" s="123"/>
      <c r="FC459" s="6"/>
      <c r="FD459" s="123"/>
      <c r="FE459" s="6"/>
      <c r="FF459" s="123"/>
      <c r="FG459" s="6"/>
      <c r="FH459" s="6"/>
      <c r="FI459" s="6"/>
      <c r="FJ459" s="6"/>
      <c r="FK459" s="123"/>
      <c r="FL459" s="6"/>
      <c r="FM459" s="6"/>
      <c r="FN459" s="6"/>
      <c r="FO459" s="138"/>
      <c r="FP459" s="138"/>
      <c r="FQ459" s="123"/>
      <c r="FR459" s="6"/>
      <c r="FS459" s="6"/>
      <c r="FT459" s="139"/>
      <c r="FU459" s="139"/>
      <c r="FV459" s="76"/>
      <c r="FW459" s="123"/>
      <c r="FX459" s="6"/>
    </row>
    <row r="460" spans="35:180">
      <c r="AI460" s="125"/>
      <c r="AJ460" s="16"/>
      <c r="AM460" s="16"/>
      <c r="AN460" s="16"/>
      <c r="AO460" s="125"/>
      <c r="AP460" s="16"/>
      <c r="AQ460" s="125"/>
      <c r="AZ460" s="125"/>
      <c r="BA460" s="142"/>
      <c r="BB460" s="125"/>
      <c r="BC460" s="16"/>
      <c r="BD460" s="125"/>
      <c r="BE460" s="125"/>
      <c r="BF460" s="16"/>
      <c r="BG460" s="125"/>
      <c r="BQ460" s="125"/>
      <c r="BR460" s="16"/>
      <c r="BS460" s="123"/>
      <c r="BT460" s="19"/>
      <c r="BU460" s="139"/>
      <c r="BV460" s="139"/>
      <c r="BW460" s="123"/>
      <c r="BX460" s="123"/>
      <c r="BY460" s="123"/>
      <c r="BZ460" s="123"/>
      <c r="CA460" s="123"/>
      <c r="CB460" s="123"/>
      <c r="CC460" s="6"/>
      <c r="CD460" s="123"/>
      <c r="CE460" s="6"/>
      <c r="CF460" s="123"/>
      <c r="CG460" s="6"/>
      <c r="CH460" s="6"/>
      <c r="CI460" s="6"/>
      <c r="CJ460" s="6"/>
      <c r="CK460" s="123"/>
      <c r="CL460" s="6"/>
      <c r="CM460" s="6"/>
      <c r="CN460" s="6"/>
      <c r="CO460" s="138"/>
      <c r="CP460" s="138"/>
      <c r="CQ460" s="123"/>
      <c r="CR460" s="6"/>
      <c r="CS460" s="6"/>
      <c r="CT460" s="139"/>
      <c r="CU460" s="139"/>
      <c r="CV460" s="76"/>
      <c r="CW460" s="123"/>
      <c r="CX460" s="6"/>
      <c r="DI460" s="125"/>
      <c r="DJ460" s="16"/>
      <c r="DM460" s="16"/>
      <c r="DN460" s="16"/>
      <c r="DO460" s="125"/>
      <c r="DP460" s="16"/>
      <c r="DQ460" s="125"/>
      <c r="DZ460" s="125"/>
      <c r="EA460" s="142"/>
      <c r="EB460" s="125"/>
      <c r="EC460" s="16"/>
      <c r="ED460" s="125"/>
      <c r="EE460" s="125"/>
      <c r="EF460" s="16"/>
      <c r="EG460" s="125"/>
      <c r="EQ460" s="125"/>
      <c r="ER460" s="16"/>
      <c r="ES460" s="123"/>
      <c r="ET460" s="19"/>
      <c r="EU460" s="139"/>
      <c r="EV460" s="139"/>
      <c r="EW460" s="123"/>
      <c r="EX460" s="123"/>
      <c r="EY460" s="123"/>
      <c r="EZ460" s="123"/>
      <c r="FA460" s="123"/>
      <c r="FB460" s="123"/>
      <c r="FC460" s="6"/>
      <c r="FD460" s="123"/>
      <c r="FE460" s="6"/>
      <c r="FF460" s="123"/>
      <c r="FG460" s="6"/>
      <c r="FH460" s="6"/>
      <c r="FI460" s="6"/>
      <c r="FJ460" s="6"/>
      <c r="FK460" s="123"/>
      <c r="FL460" s="6"/>
      <c r="FM460" s="6"/>
      <c r="FN460" s="6"/>
      <c r="FO460" s="138"/>
      <c r="FP460" s="138"/>
      <c r="FQ460" s="123"/>
      <c r="FR460" s="6"/>
      <c r="FS460" s="6"/>
      <c r="FT460" s="139"/>
      <c r="FU460" s="139"/>
      <c r="FV460" s="76"/>
      <c r="FW460" s="123"/>
      <c r="FX460" s="6"/>
    </row>
    <row r="461" spans="35:180">
      <c r="AI461" s="125"/>
      <c r="AJ461" s="16"/>
      <c r="AM461" s="16"/>
      <c r="AN461" s="16"/>
      <c r="AO461" s="125"/>
      <c r="AP461" s="16"/>
      <c r="AQ461" s="125"/>
      <c r="AZ461" s="125"/>
      <c r="BA461" s="142"/>
      <c r="BB461" s="125"/>
      <c r="BC461" s="16"/>
      <c r="BD461" s="125"/>
      <c r="BE461" s="125"/>
      <c r="BF461" s="16"/>
      <c r="BG461" s="125"/>
      <c r="BQ461" s="125"/>
      <c r="BR461" s="16"/>
      <c r="BS461" s="123"/>
      <c r="BT461" s="19"/>
      <c r="BU461" s="139"/>
      <c r="BV461" s="139"/>
      <c r="BW461" s="123"/>
      <c r="BX461" s="123"/>
      <c r="BY461" s="123"/>
      <c r="BZ461" s="123"/>
      <c r="CA461" s="123"/>
      <c r="CB461" s="123"/>
      <c r="CC461" s="6"/>
      <c r="CD461" s="123"/>
      <c r="CE461" s="6"/>
      <c r="CF461" s="123"/>
      <c r="CG461" s="6"/>
      <c r="CH461" s="6"/>
      <c r="CI461" s="6"/>
      <c r="CJ461" s="6"/>
      <c r="CK461" s="123"/>
      <c r="CL461" s="6"/>
      <c r="CM461" s="6"/>
      <c r="CN461" s="6"/>
      <c r="CO461" s="138"/>
      <c r="CP461" s="138"/>
      <c r="CQ461" s="123"/>
      <c r="CR461" s="6"/>
      <c r="CS461" s="6"/>
      <c r="CT461" s="139"/>
      <c r="CU461" s="139"/>
      <c r="CV461" s="76"/>
      <c r="CW461" s="123"/>
      <c r="CX461" s="6"/>
      <c r="DI461" s="125"/>
      <c r="DJ461" s="16"/>
      <c r="DM461" s="16"/>
      <c r="DN461" s="16"/>
      <c r="DO461" s="125"/>
      <c r="DP461" s="16"/>
      <c r="DQ461" s="125"/>
      <c r="DZ461" s="125"/>
      <c r="EA461" s="142"/>
      <c r="EB461" s="125"/>
      <c r="EC461" s="16"/>
      <c r="ED461" s="125"/>
      <c r="EE461" s="125"/>
      <c r="EF461" s="16"/>
      <c r="EG461" s="125"/>
      <c r="EQ461" s="125"/>
      <c r="ER461" s="16"/>
      <c r="ES461" s="123"/>
      <c r="ET461" s="19"/>
      <c r="EU461" s="139"/>
      <c r="EV461" s="139"/>
      <c r="EW461" s="123"/>
      <c r="EX461" s="123"/>
      <c r="EY461" s="123"/>
      <c r="EZ461" s="123"/>
      <c r="FA461" s="123"/>
      <c r="FB461" s="123"/>
      <c r="FC461" s="6"/>
      <c r="FD461" s="123"/>
      <c r="FE461" s="6"/>
      <c r="FF461" s="123"/>
      <c r="FG461" s="6"/>
      <c r="FH461" s="6"/>
      <c r="FI461" s="6"/>
      <c r="FJ461" s="6"/>
      <c r="FK461" s="123"/>
      <c r="FL461" s="6"/>
      <c r="FM461" s="6"/>
      <c r="FN461" s="6"/>
      <c r="FO461" s="138"/>
      <c r="FP461" s="138"/>
      <c r="FQ461" s="123"/>
      <c r="FR461" s="6"/>
      <c r="FS461" s="6"/>
      <c r="FT461" s="139"/>
      <c r="FU461" s="139"/>
      <c r="FV461" s="76"/>
      <c r="FW461" s="123"/>
      <c r="FX461" s="6"/>
    </row>
    <row r="462" spans="35:180">
      <c r="AI462" s="125"/>
      <c r="AJ462" s="16"/>
      <c r="AM462" s="16"/>
      <c r="AN462" s="16"/>
      <c r="AO462" s="125"/>
      <c r="AP462" s="16"/>
      <c r="AQ462" s="125"/>
      <c r="AZ462" s="125"/>
      <c r="BA462" s="142"/>
      <c r="BB462" s="125"/>
      <c r="BC462" s="16"/>
      <c r="BD462" s="125"/>
      <c r="BE462" s="125"/>
      <c r="BF462" s="16"/>
      <c r="BG462" s="125"/>
      <c r="BQ462" s="125"/>
      <c r="BR462" s="16"/>
      <c r="BS462" s="123"/>
      <c r="BT462" s="19"/>
      <c r="BU462" s="139"/>
      <c r="BV462" s="139"/>
      <c r="BW462" s="123"/>
      <c r="BX462" s="123"/>
      <c r="BY462" s="123"/>
      <c r="BZ462" s="123"/>
      <c r="CA462" s="123"/>
      <c r="CB462" s="123"/>
      <c r="CC462" s="6"/>
      <c r="CD462" s="123"/>
      <c r="CE462" s="6"/>
      <c r="CF462" s="123"/>
      <c r="CG462" s="6"/>
      <c r="CH462" s="6"/>
      <c r="CI462" s="6"/>
      <c r="CJ462" s="6"/>
      <c r="CK462" s="123"/>
      <c r="CL462" s="6"/>
      <c r="CM462" s="6"/>
      <c r="CN462" s="6"/>
      <c r="CO462" s="138"/>
      <c r="CP462" s="138"/>
      <c r="CQ462" s="123"/>
      <c r="CR462" s="6"/>
      <c r="CS462" s="6"/>
      <c r="CT462" s="139"/>
      <c r="CU462" s="139"/>
      <c r="CV462" s="76"/>
      <c r="CW462" s="123"/>
      <c r="CX462" s="6"/>
      <c r="DI462" s="125"/>
      <c r="DJ462" s="16"/>
      <c r="DM462" s="16"/>
      <c r="DN462" s="16"/>
      <c r="DO462" s="125"/>
      <c r="DP462" s="16"/>
      <c r="DQ462" s="125"/>
      <c r="DZ462" s="125"/>
      <c r="EA462" s="142"/>
      <c r="EB462" s="125"/>
      <c r="EC462" s="16"/>
      <c r="ED462" s="125"/>
      <c r="EE462" s="125"/>
      <c r="EF462" s="16"/>
      <c r="EG462" s="125"/>
      <c r="EQ462" s="125"/>
      <c r="ER462" s="16"/>
      <c r="ES462" s="123"/>
      <c r="ET462" s="19"/>
      <c r="EU462" s="139"/>
      <c r="EV462" s="139"/>
      <c r="EW462" s="123"/>
      <c r="EX462" s="123"/>
      <c r="EY462" s="123"/>
      <c r="EZ462" s="123"/>
      <c r="FA462" s="123"/>
      <c r="FB462" s="123"/>
      <c r="FC462" s="6"/>
      <c r="FD462" s="123"/>
      <c r="FE462" s="6"/>
      <c r="FF462" s="123"/>
      <c r="FG462" s="6"/>
      <c r="FH462" s="6"/>
      <c r="FI462" s="6"/>
      <c r="FJ462" s="6"/>
      <c r="FK462" s="123"/>
      <c r="FL462" s="6"/>
      <c r="FM462" s="6"/>
      <c r="FN462" s="6"/>
      <c r="FO462" s="138"/>
      <c r="FP462" s="138"/>
      <c r="FQ462" s="123"/>
      <c r="FR462" s="6"/>
      <c r="FS462" s="6"/>
      <c r="FT462" s="139"/>
      <c r="FU462" s="139"/>
      <c r="FV462" s="76"/>
      <c r="FW462" s="123"/>
      <c r="FX462" s="6"/>
    </row>
    <row r="463" spans="35:180">
      <c r="AI463" s="125"/>
      <c r="AJ463" s="16"/>
      <c r="AM463" s="16"/>
      <c r="AN463" s="16"/>
      <c r="AO463" s="125"/>
      <c r="AP463" s="16"/>
      <c r="AQ463" s="125"/>
      <c r="AZ463" s="125"/>
      <c r="BA463" s="142"/>
      <c r="BB463" s="125"/>
      <c r="BC463" s="16"/>
      <c r="BD463" s="125"/>
      <c r="BE463" s="125"/>
      <c r="BF463" s="16"/>
      <c r="BG463" s="125"/>
      <c r="BQ463" s="125"/>
      <c r="BR463" s="16"/>
      <c r="BS463" s="123"/>
      <c r="BT463" s="19"/>
      <c r="BU463" s="139"/>
      <c r="BV463" s="139"/>
      <c r="BW463" s="123"/>
      <c r="BX463" s="123"/>
      <c r="BY463" s="123"/>
      <c r="BZ463" s="123"/>
      <c r="CA463" s="123"/>
      <c r="CB463" s="123"/>
      <c r="CC463" s="6"/>
      <c r="CD463" s="123"/>
      <c r="CE463" s="6"/>
      <c r="CF463" s="123"/>
      <c r="CG463" s="6"/>
      <c r="CH463" s="6"/>
      <c r="CI463" s="6"/>
      <c r="CJ463" s="6"/>
      <c r="CK463" s="123"/>
      <c r="CL463" s="6"/>
      <c r="CM463" s="6"/>
      <c r="CN463" s="6"/>
      <c r="CO463" s="138"/>
      <c r="CP463" s="138"/>
      <c r="CQ463" s="123"/>
      <c r="CR463" s="6"/>
      <c r="CS463" s="6"/>
      <c r="CT463" s="139"/>
      <c r="CU463" s="139"/>
      <c r="CV463" s="76"/>
      <c r="CW463" s="123"/>
      <c r="CX463" s="6"/>
      <c r="DI463" s="125"/>
      <c r="DJ463" s="16"/>
      <c r="DM463" s="16"/>
      <c r="DN463" s="16"/>
      <c r="DO463" s="125"/>
      <c r="DP463" s="16"/>
      <c r="DQ463" s="125"/>
      <c r="DZ463" s="125"/>
      <c r="EA463" s="142"/>
      <c r="EB463" s="125"/>
      <c r="EC463" s="16"/>
      <c r="ED463" s="125"/>
      <c r="EE463" s="125"/>
      <c r="EF463" s="16"/>
      <c r="EG463" s="125"/>
      <c r="EQ463" s="125"/>
      <c r="ER463" s="16"/>
      <c r="ES463" s="123"/>
      <c r="ET463" s="19"/>
      <c r="EU463" s="139"/>
      <c r="EV463" s="139"/>
      <c r="EW463" s="123"/>
      <c r="EX463" s="123"/>
      <c r="EY463" s="123"/>
      <c r="EZ463" s="123"/>
      <c r="FA463" s="123"/>
      <c r="FB463" s="123"/>
      <c r="FC463" s="6"/>
      <c r="FD463" s="123"/>
      <c r="FE463" s="6"/>
      <c r="FF463" s="123"/>
      <c r="FG463" s="6"/>
      <c r="FH463" s="6"/>
      <c r="FI463" s="6"/>
      <c r="FJ463" s="6"/>
      <c r="FK463" s="123"/>
      <c r="FL463" s="6"/>
      <c r="FM463" s="6"/>
      <c r="FN463" s="6"/>
      <c r="FO463" s="138"/>
      <c r="FP463" s="138"/>
      <c r="FQ463" s="123"/>
      <c r="FR463" s="6"/>
      <c r="FS463" s="6"/>
      <c r="FT463" s="139"/>
      <c r="FU463" s="139"/>
      <c r="FV463" s="76"/>
      <c r="FW463" s="123"/>
      <c r="FX463" s="6"/>
    </row>
    <row r="464" spans="35:180">
      <c r="AI464" s="125"/>
      <c r="AJ464" s="16"/>
      <c r="AM464" s="16"/>
      <c r="AN464" s="16"/>
      <c r="AO464" s="125"/>
      <c r="AP464" s="16"/>
      <c r="AQ464" s="125"/>
      <c r="AZ464" s="125"/>
      <c r="BA464" s="142"/>
      <c r="BB464" s="125"/>
      <c r="BC464" s="16"/>
      <c r="BD464" s="125"/>
      <c r="BE464" s="125"/>
      <c r="BF464" s="16"/>
      <c r="BG464" s="125"/>
      <c r="BQ464" s="125"/>
      <c r="BR464" s="16"/>
      <c r="BS464" s="123"/>
      <c r="BT464" s="19"/>
      <c r="BU464" s="139"/>
      <c r="BV464" s="139"/>
      <c r="BW464" s="123"/>
      <c r="BX464" s="123"/>
      <c r="BY464" s="123"/>
      <c r="BZ464" s="123"/>
      <c r="CA464" s="123"/>
      <c r="CB464" s="123"/>
      <c r="CC464" s="6"/>
      <c r="CD464" s="123"/>
      <c r="CE464" s="6"/>
      <c r="CF464" s="123"/>
      <c r="CG464" s="6"/>
      <c r="CH464" s="6"/>
      <c r="CI464" s="6"/>
      <c r="CJ464" s="6"/>
      <c r="CK464" s="123"/>
      <c r="CL464" s="6"/>
      <c r="CM464" s="6"/>
      <c r="CN464" s="6"/>
      <c r="CO464" s="138"/>
      <c r="CP464" s="138"/>
      <c r="CQ464" s="123"/>
      <c r="CR464" s="6"/>
      <c r="CS464" s="6"/>
      <c r="CT464" s="139"/>
      <c r="CU464" s="139"/>
      <c r="CV464" s="76"/>
      <c r="CW464" s="123"/>
      <c r="CX464" s="6"/>
      <c r="DI464" s="125"/>
      <c r="DJ464" s="16"/>
      <c r="DM464" s="16"/>
      <c r="DN464" s="16"/>
      <c r="DO464" s="125"/>
      <c r="DP464" s="16"/>
      <c r="DQ464" s="125"/>
      <c r="DZ464" s="125"/>
      <c r="EA464" s="142"/>
      <c r="EB464" s="125"/>
      <c r="EC464" s="16"/>
      <c r="ED464" s="125"/>
      <c r="EE464" s="125"/>
      <c r="EF464" s="16"/>
      <c r="EG464" s="125"/>
      <c r="EQ464" s="125"/>
      <c r="ER464" s="16"/>
      <c r="ES464" s="123"/>
      <c r="ET464" s="19"/>
      <c r="EU464" s="139"/>
      <c r="EV464" s="139"/>
      <c r="EW464" s="123"/>
      <c r="EX464" s="123"/>
      <c r="EY464" s="123"/>
      <c r="EZ464" s="123"/>
      <c r="FA464" s="123"/>
      <c r="FB464" s="123"/>
      <c r="FC464" s="6"/>
      <c r="FD464" s="123"/>
      <c r="FE464" s="6"/>
      <c r="FF464" s="123"/>
      <c r="FG464" s="6"/>
      <c r="FH464" s="6"/>
      <c r="FI464" s="6"/>
      <c r="FJ464" s="6"/>
      <c r="FK464" s="123"/>
      <c r="FL464" s="6"/>
      <c r="FM464" s="6"/>
      <c r="FN464" s="6"/>
      <c r="FO464" s="138"/>
      <c r="FP464" s="138"/>
      <c r="FQ464" s="123"/>
      <c r="FR464" s="6"/>
      <c r="FS464" s="6"/>
      <c r="FT464" s="139"/>
      <c r="FU464" s="139"/>
      <c r="FV464" s="76"/>
      <c r="FW464" s="123"/>
      <c r="FX464" s="6"/>
    </row>
    <row r="465" spans="35:180">
      <c r="AI465" s="125"/>
      <c r="AJ465" s="16"/>
      <c r="AM465" s="16"/>
      <c r="AN465" s="16"/>
      <c r="AO465" s="125"/>
      <c r="AP465" s="16"/>
      <c r="AQ465" s="125"/>
      <c r="AZ465" s="125"/>
      <c r="BA465" s="142"/>
      <c r="BB465" s="125"/>
      <c r="BC465" s="16"/>
      <c r="BD465" s="125"/>
      <c r="BE465" s="125"/>
      <c r="BF465" s="16"/>
      <c r="BG465" s="125"/>
      <c r="BQ465" s="125"/>
      <c r="BR465" s="16"/>
      <c r="BS465" s="123"/>
      <c r="BT465" s="19"/>
      <c r="BU465" s="139"/>
      <c r="BV465" s="139"/>
      <c r="BW465" s="123"/>
      <c r="BX465" s="123"/>
      <c r="BY465" s="123"/>
      <c r="BZ465" s="123"/>
      <c r="CA465" s="123"/>
      <c r="CB465" s="123"/>
      <c r="CC465" s="6"/>
      <c r="CD465" s="123"/>
      <c r="CE465" s="6"/>
      <c r="CF465" s="123"/>
      <c r="CG465" s="6"/>
      <c r="CH465" s="6"/>
      <c r="CI465" s="6"/>
      <c r="CJ465" s="6"/>
      <c r="CK465" s="123"/>
      <c r="CL465" s="6"/>
      <c r="CM465" s="6"/>
      <c r="CN465" s="6"/>
      <c r="CO465" s="138"/>
      <c r="CP465" s="138"/>
      <c r="CQ465" s="123"/>
      <c r="CR465" s="6"/>
      <c r="CS465" s="6"/>
      <c r="CT465" s="139"/>
      <c r="CU465" s="139"/>
      <c r="CV465" s="76"/>
      <c r="CW465" s="123"/>
      <c r="CX465" s="6"/>
      <c r="DI465" s="125"/>
      <c r="DJ465" s="16"/>
      <c r="DM465" s="16"/>
      <c r="DN465" s="16"/>
      <c r="DO465" s="125"/>
      <c r="DP465" s="16"/>
      <c r="DQ465" s="125"/>
      <c r="DZ465" s="125"/>
      <c r="EA465" s="142"/>
      <c r="EB465" s="125"/>
      <c r="EC465" s="16"/>
      <c r="ED465" s="125"/>
      <c r="EE465" s="125"/>
      <c r="EF465" s="16"/>
      <c r="EG465" s="125"/>
      <c r="EQ465" s="125"/>
      <c r="ER465" s="16"/>
      <c r="ES465" s="123"/>
      <c r="ET465" s="19"/>
      <c r="EU465" s="139"/>
      <c r="EV465" s="139"/>
      <c r="EW465" s="123"/>
      <c r="EX465" s="123"/>
      <c r="EY465" s="123"/>
      <c r="EZ465" s="123"/>
      <c r="FA465" s="123"/>
      <c r="FB465" s="123"/>
      <c r="FC465" s="6"/>
      <c r="FD465" s="123"/>
      <c r="FE465" s="6"/>
      <c r="FF465" s="123"/>
      <c r="FG465" s="6"/>
      <c r="FH465" s="6"/>
      <c r="FI465" s="6"/>
      <c r="FJ465" s="6"/>
      <c r="FK465" s="123"/>
      <c r="FL465" s="6"/>
      <c r="FM465" s="6"/>
      <c r="FN465" s="6"/>
      <c r="FO465" s="138"/>
      <c r="FP465" s="138"/>
      <c r="FQ465" s="123"/>
      <c r="FR465" s="6"/>
      <c r="FS465" s="6"/>
      <c r="FT465" s="139"/>
      <c r="FU465" s="139"/>
      <c r="FV465" s="76"/>
      <c r="FW465" s="123"/>
      <c r="FX465" s="6"/>
    </row>
    <row r="466" spans="35:180">
      <c r="AI466" s="125"/>
      <c r="AJ466" s="16"/>
      <c r="AM466" s="16"/>
      <c r="AN466" s="16"/>
      <c r="AO466" s="125"/>
      <c r="AP466" s="16"/>
      <c r="AQ466" s="125"/>
      <c r="AZ466" s="125"/>
      <c r="BA466" s="142"/>
      <c r="BB466" s="125"/>
      <c r="BC466" s="16"/>
      <c r="BD466" s="125"/>
      <c r="BE466" s="125"/>
      <c r="BF466" s="16"/>
      <c r="BG466" s="125"/>
      <c r="BQ466" s="125"/>
      <c r="BR466" s="16"/>
      <c r="BS466" s="123"/>
      <c r="BT466" s="19"/>
      <c r="BU466" s="139"/>
      <c r="BV466" s="139"/>
      <c r="BW466" s="123"/>
      <c r="BX466" s="123"/>
      <c r="BY466" s="123"/>
      <c r="BZ466" s="123"/>
      <c r="CA466" s="123"/>
      <c r="CB466" s="123"/>
      <c r="CC466" s="6"/>
      <c r="CD466" s="123"/>
      <c r="CE466" s="6"/>
      <c r="CF466" s="123"/>
      <c r="CG466" s="6"/>
      <c r="CH466" s="6"/>
      <c r="CI466" s="6"/>
      <c r="CJ466" s="6"/>
      <c r="CK466" s="123"/>
      <c r="CL466" s="6"/>
      <c r="CM466" s="6"/>
      <c r="CN466" s="6"/>
      <c r="CO466" s="138"/>
      <c r="CP466" s="138"/>
      <c r="CQ466" s="123"/>
      <c r="CR466" s="6"/>
      <c r="CS466" s="6"/>
      <c r="CT466" s="139"/>
      <c r="CU466" s="139"/>
      <c r="CV466" s="76"/>
      <c r="CW466" s="123"/>
      <c r="CX466" s="6"/>
      <c r="DI466" s="125"/>
      <c r="DJ466" s="16"/>
      <c r="DM466" s="16"/>
      <c r="DN466" s="16"/>
      <c r="DO466" s="125"/>
      <c r="DP466" s="16"/>
      <c r="DQ466" s="125"/>
      <c r="DZ466" s="125"/>
      <c r="EA466" s="142"/>
      <c r="EB466" s="125"/>
      <c r="EC466" s="16"/>
      <c r="ED466" s="125"/>
      <c r="EE466" s="125"/>
      <c r="EF466" s="16"/>
      <c r="EG466" s="125"/>
      <c r="EQ466" s="125"/>
      <c r="ER466" s="16"/>
      <c r="ES466" s="123"/>
      <c r="ET466" s="19"/>
      <c r="EU466" s="139"/>
      <c r="EV466" s="139"/>
      <c r="EW466" s="123"/>
      <c r="EX466" s="123"/>
      <c r="EY466" s="123"/>
      <c r="EZ466" s="123"/>
      <c r="FA466" s="123"/>
      <c r="FB466" s="123"/>
      <c r="FC466" s="6"/>
      <c r="FD466" s="123"/>
      <c r="FE466" s="6"/>
      <c r="FF466" s="123"/>
      <c r="FG466" s="6"/>
      <c r="FH466" s="6"/>
      <c r="FI466" s="6"/>
      <c r="FJ466" s="6"/>
      <c r="FK466" s="123"/>
      <c r="FL466" s="6"/>
      <c r="FM466" s="6"/>
      <c r="FN466" s="6"/>
      <c r="FO466" s="138"/>
      <c r="FP466" s="138"/>
      <c r="FQ466" s="123"/>
      <c r="FR466" s="6"/>
      <c r="FS466" s="6"/>
      <c r="FT466" s="139"/>
      <c r="FU466" s="139"/>
      <c r="FV466" s="76"/>
      <c r="FW466" s="123"/>
      <c r="FX466" s="6"/>
    </row>
    <row r="467" spans="35:180">
      <c r="AI467" s="125"/>
      <c r="AJ467" s="16"/>
      <c r="AM467" s="16"/>
      <c r="AN467" s="16"/>
      <c r="AO467" s="125"/>
      <c r="AP467" s="16"/>
      <c r="AQ467" s="125"/>
      <c r="AZ467" s="125"/>
      <c r="BA467" s="142"/>
      <c r="BB467" s="125"/>
      <c r="BC467" s="16"/>
      <c r="BD467" s="125"/>
      <c r="BE467" s="125"/>
      <c r="BF467" s="16"/>
      <c r="BG467" s="125"/>
      <c r="BQ467" s="125"/>
      <c r="BR467" s="16"/>
      <c r="BS467" s="123"/>
      <c r="BT467" s="19"/>
      <c r="BU467" s="139"/>
      <c r="BV467" s="139"/>
      <c r="BW467" s="123"/>
      <c r="BX467" s="123"/>
      <c r="BY467" s="123"/>
      <c r="BZ467" s="123"/>
      <c r="CA467" s="123"/>
      <c r="CB467" s="123"/>
      <c r="CC467" s="6"/>
      <c r="CD467" s="123"/>
      <c r="CE467" s="6"/>
      <c r="CF467" s="123"/>
      <c r="CG467" s="6"/>
      <c r="CH467" s="6"/>
      <c r="CI467" s="6"/>
      <c r="CJ467" s="6"/>
      <c r="CK467" s="123"/>
      <c r="CL467" s="6"/>
      <c r="CM467" s="6"/>
      <c r="CN467" s="6"/>
      <c r="CO467" s="138"/>
      <c r="CP467" s="138"/>
      <c r="CQ467" s="123"/>
      <c r="CR467" s="6"/>
      <c r="CS467" s="6"/>
      <c r="CT467" s="139"/>
      <c r="CU467" s="139"/>
      <c r="CV467" s="76"/>
      <c r="CW467" s="123"/>
      <c r="CX467" s="6"/>
      <c r="DI467" s="125"/>
      <c r="DJ467" s="16"/>
      <c r="DM467" s="16"/>
      <c r="DN467" s="16"/>
      <c r="DO467" s="125"/>
      <c r="DP467" s="16"/>
      <c r="DQ467" s="125"/>
      <c r="DZ467" s="125"/>
      <c r="EA467" s="142"/>
      <c r="EB467" s="125"/>
      <c r="EC467" s="16"/>
      <c r="ED467" s="125"/>
      <c r="EE467" s="125"/>
      <c r="EF467" s="16"/>
      <c r="EG467" s="125"/>
      <c r="EQ467" s="125"/>
      <c r="ER467" s="16"/>
      <c r="ES467" s="123"/>
      <c r="ET467" s="19"/>
      <c r="EU467" s="139"/>
      <c r="EV467" s="139"/>
      <c r="EW467" s="123"/>
      <c r="EX467" s="123"/>
      <c r="EY467" s="123"/>
      <c r="EZ467" s="123"/>
      <c r="FA467" s="123"/>
      <c r="FB467" s="123"/>
      <c r="FC467" s="6"/>
      <c r="FD467" s="123"/>
      <c r="FE467" s="6"/>
      <c r="FF467" s="123"/>
      <c r="FG467" s="6"/>
      <c r="FH467" s="6"/>
      <c r="FI467" s="6"/>
      <c r="FJ467" s="6"/>
      <c r="FK467" s="123"/>
      <c r="FL467" s="6"/>
      <c r="FM467" s="6"/>
      <c r="FN467" s="6"/>
      <c r="FO467" s="138"/>
      <c r="FP467" s="138"/>
      <c r="FQ467" s="123"/>
      <c r="FR467" s="6"/>
      <c r="FS467" s="6"/>
      <c r="FT467" s="139"/>
      <c r="FU467" s="139"/>
      <c r="FV467" s="76"/>
      <c r="FW467" s="123"/>
      <c r="FX467" s="6"/>
    </row>
    <row r="468" spans="35:180">
      <c r="AI468" s="125"/>
      <c r="AJ468" s="16"/>
      <c r="AM468" s="16"/>
      <c r="AN468" s="16"/>
      <c r="AO468" s="125"/>
      <c r="AP468" s="16"/>
      <c r="AQ468" s="125"/>
      <c r="AZ468" s="125"/>
      <c r="BA468" s="142"/>
      <c r="BB468" s="125"/>
      <c r="BC468" s="16"/>
      <c r="BD468" s="125"/>
      <c r="BE468" s="125"/>
      <c r="BF468" s="16"/>
      <c r="BG468" s="125"/>
      <c r="BQ468" s="125"/>
      <c r="BR468" s="16"/>
      <c r="BS468" s="123"/>
      <c r="BT468" s="19"/>
      <c r="BU468" s="139"/>
      <c r="BV468" s="139"/>
      <c r="BW468" s="123"/>
      <c r="BX468" s="123"/>
      <c r="BY468" s="123"/>
      <c r="BZ468" s="123"/>
      <c r="CA468" s="123"/>
      <c r="CB468" s="123"/>
      <c r="CC468" s="6"/>
      <c r="CD468" s="123"/>
      <c r="CE468" s="6"/>
      <c r="CF468" s="123"/>
      <c r="CG468" s="6"/>
      <c r="CH468" s="6"/>
      <c r="CI468" s="6"/>
      <c r="CJ468" s="6"/>
      <c r="CK468" s="123"/>
      <c r="CL468" s="6"/>
      <c r="CM468" s="6"/>
      <c r="CN468" s="6"/>
      <c r="CO468" s="138"/>
      <c r="CP468" s="138"/>
      <c r="CQ468" s="123"/>
      <c r="CR468" s="6"/>
      <c r="CS468" s="6"/>
      <c r="CT468" s="139"/>
      <c r="CU468" s="139"/>
      <c r="CV468" s="76"/>
      <c r="CW468" s="123"/>
      <c r="CX468" s="6"/>
      <c r="DI468" s="125"/>
      <c r="DJ468" s="16"/>
      <c r="DM468" s="16"/>
      <c r="DN468" s="16"/>
      <c r="DO468" s="125"/>
      <c r="DP468" s="16"/>
      <c r="DQ468" s="125"/>
      <c r="DZ468" s="125"/>
      <c r="EA468" s="142"/>
      <c r="EB468" s="125"/>
      <c r="EC468" s="16"/>
      <c r="ED468" s="125"/>
      <c r="EE468" s="125"/>
      <c r="EF468" s="16"/>
      <c r="EG468" s="125"/>
      <c r="EQ468" s="125"/>
      <c r="ER468" s="16"/>
      <c r="ES468" s="123"/>
      <c r="ET468" s="19"/>
      <c r="EU468" s="139"/>
      <c r="EV468" s="139"/>
      <c r="EW468" s="123"/>
      <c r="EX468" s="123"/>
      <c r="EY468" s="123"/>
      <c r="EZ468" s="123"/>
      <c r="FA468" s="123"/>
      <c r="FB468" s="123"/>
      <c r="FC468" s="6"/>
      <c r="FD468" s="123"/>
      <c r="FE468" s="6"/>
      <c r="FF468" s="123"/>
      <c r="FG468" s="6"/>
      <c r="FH468" s="6"/>
      <c r="FI468" s="6"/>
      <c r="FJ468" s="6"/>
      <c r="FK468" s="123"/>
      <c r="FL468" s="6"/>
      <c r="FM468" s="6"/>
      <c r="FN468" s="6"/>
      <c r="FO468" s="138"/>
      <c r="FP468" s="138"/>
      <c r="FQ468" s="123"/>
      <c r="FR468" s="6"/>
      <c r="FS468" s="6"/>
      <c r="FT468" s="139"/>
      <c r="FU468" s="139"/>
      <c r="FV468" s="76"/>
      <c r="FW468" s="123"/>
      <c r="FX468" s="6"/>
    </row>
    <row r="469" spans="35:180">
      <c r="AI469" s="125"/>
      <c r="AJ469" s="16"/>
      <c r="AM469" s="16"/>
      <c r="AN469" s="16"/>
      <c r="AO469" s="125"/>
      <c r="AP469" s="16"/>
      <c r="AQ469" s="125"/>
      <c r="AZ469" s="125"/>
      <c r="BA469" s="142"/>
      <c r="BB469" s="125"/>
      <c r="BC469" s="16"/>
      <c r="BD469" s="125"/>
      <c r="BE469" s="125"/>
      <c r="BF469" s="16"/>
      <c r="BG469" s="125"/>
      <c r="BQ469" s="125"/>
      <c r="BR469" s="16"/>
      <c r="BS469" s="123"/>
      <c r="BT469" s="19"/>
      <c r="BU469" s="139"/>
      <c r="BV469" s="139"/>
      <c r="BW469" s="123"/>
      <c r="BX469" s="123"/>
      <c r="BY469" s="123"/>
      <c r="BZ469" s="123"/>
      <c r="CA469" s="123"/>
      <c r="CB469" s="123"/>
      <c r="CC469" s="6"/>
      <c r="CD469" s="123"/>
      <c r="CE469" s="6"/>
      <c r="CF469" s="123"/>
      <c r="CG469" s="6"/>
      <c r="CH469" s="6"/>
      <c r="CI469" s="6"/>
      <c r="CJ469" s="6"/>
      <c r="CK469" s="123"/>
      <c r="CL469" s="6"/>
      <c r="CM469" s="6"/>
      <c r="CN469" s="6"/>
      <c r="CO469" s="138"/>
      <c r="CP469" s="138"/>
      <c r="CQ469" s="123"/>
      <c r="CR469" s="6"/>
      <c r="CS469" s="6"/>
      <c r="CT469" s="139"/>
      <c r="CU469" s="139"/>
      <c r="CV469" s="76"/>
      <c r="CW469" s="123"/>
      <c r="CX469" s="6"/>
      <c r="DI469" s="125"/>
      <c r="DJ469" s="16"/>
      <c r="DM469" s="16"/>
      <c r="DN469" s="16"/>
      <c r="DO469" s="125"/>
      <c r="DP469" s="16"/>
      <c r="DQ469" s="125"/>
      <c r="DZ469" s="125"/>
      <c r="EA469" s="142"/>
      <c r="EB469" s="125"/>
      <c r="EC469" s="16"/>
      <c r="ED469" s="125"/>
      <c r="EE469" s="125"/>
      <c r="EF469" s="16"/>
      <c r="EG469" s="125"/>
      <c r="EQ469" s="125"/>
      <c r="ER469" s="16"/>
      <c r="ES469" s="123"/>
      <c r="ET469" s="19"/>
      <c r="EU469" s="139"/>
      <c r="EV469" s="139"/>
      <c r="EW469" s="123"/>
      <c r="EX469" s="123"/>
      <c r="EY469" s="123"/>
      <c r="EZ469" s="123"/>
      <c r="FA469" s="123"/>
      <c r="FB469" s="123"/>
      <c r="FC469" s="6"/>
      <c r="FD469" s="123"/>
      <c r="FE469" s="6"/>
      <c r="FF469" s="123"/>
      <c r="FG469" s="6"/>
      <c r="FH469" s="6"/>
      <c r="FI469" s="6"/>
      <c r="FJ469" s="6"/>
      <c r="FK469" s="123"/>
      <c r="FL469" s="6"/>
      <c r="FM469" s="6"/>
      <c r="FN469" s="6"/>
      <c r="FO469" s="138"/>
      <c r="FP469" s="138"/>
      <c r="FQ469" s="123"/>
      <c r="FR469" s="6"/>
      <c r="FS469" s="6"/>
      <c r="FT469" s="139"/>
      <c r="FU469" s="139"/>
      <c r="FV469" s="76"/>
      <c r="FW469" s="123"/>
      <c r="FX469" s="6"/>
    </row>
    <row r="470" spans="35:180">
      <c r="AI470" s="125"/>
      <c r="AJ470" s="16"/>
      <c r="AM470" s="16"/>
      <c r="AN470" s="16"/>
      <c r="AO470" s="125"/>
      <c r="AP470" s="16"/>
      <c r="AQ470" s="125"/>
      <c r="AZ470" s="125"/>
      <c r="BA470" s="142"/>
      <c r="BB470" s="125"/>
      <c r="BC470" s="16"/>
      <c r="BD470" s="125"/>
      <c r="BE470" s="125"/>
      <c r="BF470" s="16"/>
      <c r="BG470" s="125"/>
      <c r="BQ470" s="125"/>
      <c r="BR470" s="16"/>
      <c r="BS470" s="123"/>
      <c r="BT470" s="19"/>
      <c r="BU470" s="139"/>
      <c r="BV470" s="139"/>
      <c r="BW470" s="123"/>
      <c r="BX470" s="123"/>
      <c r="BY470" s="123"/>
      <c r="BZ470" s="123"/>
      <c r="CA470" s="123"/>
      <c r="CB470" s="123"/>
      <c r="CC470" s="6"/>
      <c r="CD470" s="123"/>
      <c r="CE470" s="6"/>
      <c r="CF470" s="123"/>
      <c r="CG470" s="6"/>
      <c r="CH470" s="6"/>
      <c r="CI470" s="6"/>
      <c r="CJ470" s="6"/>
      <c r="CK470" s="123"/>
      <c r="CL470" s="6"/>
      <c r="CM470" s="6"/>
      <c r="CN470" s="6"/>
      <c r="CO470" s="138"/>
      <c r="CP470" s="138"/>
      <c r="CQ470" s="123"/>
      <c r="CR470" s="6"/>
      <c r="CS470" s="6"/>
      <c r="CT470" s="139"/>
      <c r="CU470" s="139"/>
      <c r="CV470" s="76"/>
      <c r="CW470" s="123"/>
      <c r="CX470" s="6"/>
      <c r="DI470" s="125"/>
      <c r="DJ470" s="16"/>
      <c r="DM470" s="16"/>
      <c r="DN470" s="16"/>
      <c r="DO470" s="125"/>
      <c r="DP470" s="16"/>
      <c r="DQ470" s="125"/>
      <c r="DZ470" s="125"/>
      <c r="EA470" s="142"/>
      <c r="EB470" s="125"/>
      <c r="EC470" s="16"/>
      <c r="ED470" s="125"/>
      <c r="EE470" s="125"/>
      <c r="EF470" s="16"/>
      <c r="EG470" s="125"/>
      <c r="EQ470" s="125"/>
      <c r="ER470" s="16"/>
      <c r="ES470" s="123"/>
      <c r="ET470" s="19"/>
      <c r="EU470" s="139"/>
      <c r="EV470" s="139"/>
      <c r="EW470" s="123"/>
      <c r="EX470" s="123"/>
      <c r="EY470" s="123"/>
      <c r="EZ470" s="123"/>
      <c r="FA470" s="123"/>
      <c r="FB470" s="123"/>
      <c r="FC470" s="6"/>
      <c r="FD470" s="123"/>
      <c r="FE470" s="6"/>
      <c r="FF470" s="123"/>
      <c r="FG470" s="6"/>
      <c r="FH470" s="6"/>
      <c r="FI470" s="6"/>
      <c r="FJ470" s="6"/>
      <c r="FK470" s="123"/>
      <c r="FL470" s="6"/>
      <c r="FM470" s="6"/>
      <c r="FN470" s="6"/>
      <c r="FO470" s="138"/>
      <c r="FP470" s="138"/>
      <c r="FQ470" s="123"/>
      <c r="FR470" s="6"/>
      <c r="FS470" s="6"/>
      <c r="FT470" s="139"/>
      <c r="FU470" s="139"/>
      <c r="FV470" s="76"/>
      <c r="FW470" s="123"/>
      <c r="FX470" s="6"/>
    </row>
    <row r="471" spans="35:180">
      <c r="AI471" s="125"/>
      <c r="AJ471" s="16"/>
      <c r="AM471" s="16"/>
      <c r="AN471" s="16"/>
      <c r="AO471" s="125"/>
      <c r="AP471" s="16"/>
      <c r="AQ471" s="125"/>
      <c r="AZ471" s="125"/>
      <c r="BA471" s="142"/>
      <c r="BB471" s="125"/>
      <c r="BC471" s="16"/>
      <c r="BD471" s="125"/>
      <c r="BE471" s="125"/>
      <c r="BF471" s="16"/>
      <c r="BG471" s="125"/>
      <c r="BQ471" s="125"/>
      <c r="BR471" s="16"/>
      <c r="BS471" s="123"/>
      <c r="BT471" s="19"/>
      <c r="BU471" s="139"/>
      <c r="BV471" s="139"/>
      <c r="BW471" s="123"/>
      <c r="BX471" s="123"/>
      <c r="BY471" s="123"/>
      <c r="BZ471" s="123"/>
      <c r="CA471" s="123"/>
      <c r="CB471" s="123"/>
      <c r="CC471" s="6"/>
      <c r="CD471" s="123"/>
      <c r="CE471" s="6"/>
      <c r="CF471" s="123"/>
      <c r="CG471" s="6"/>
      <c r="CH471" s="6"/>
      <c r="CI471" s="6"/>
      <c r="CJ471" s="6"/>
      <c r="CK471" s="123"/>
      <c r="CL471" s="6"/>
      <c r="CM471" s="6"/>
      <c r="CN471" s="6"/>
      <c r="CO471" s="138"/>
      <c r="CP471" s="138"/>
      <c r="CQ471" s="123"/>
      <c r="CR471" s="6"/>
      <c r="CS471" s="6"/>
      <c r="CT471" s="139"/>
      <c r="CU471" s="139"/>
      <c r="CV471" s="76"/>
      <c r="CW471" s="123"/>
      <c r="CX471" s="6"/>
      <c r="DI471" s="125"/>
      <c r="DJ471" s="16"/>
      <c r="DM471" s="16"/>
      <c r="DN471" s="16"/>
      <c r="DO471" s="125"/>
      <c r="DP471" s="16"/>
      <c r="DQ471" s="125"/>
      <c r="DZ471" s="125"/>
      <c r="EA471" s="142"/>
      <c r="EB471" s="125"/>
      <c r="EC471" s="16"/>
      <c r="ED471" s="125"/>
      <c r="EE471" s="125"/>
      <c r="EF471" s="16"/>
      <c r="EG471" s="125"/>
      <c r="EQ471" s="125"/>
      <c r="ER471" s="16"/>
      <c r="ES471" s="123"/>
      <c r="ET471" s="19"/>
      <c r="EU471" s="139"/>
      <c r="EV471" s="139"/>
      <c r="EW471" s="123"/>
      <c r="EX471" s="123"/>
      <c r="EY471" s="123"/>
      <c r="EZ471" s="123"/>
      <c r="FA471" s="123"/>
      <c r="FB471" s="123"/>
      <c r="FC471" s="6"/>
      <c r="FD471" s="123"/>
      <c r="FE471" s="6"/>
      <c r="FF471" s="123"/>
      <c r="FG471" s="6"/>
      <c r="FH471" s="6"/>
      <c r="FI471" s="6"/>
      <c r="FJ471" s="6"/>
      <c r="FK471" s="123"/>
      <c r="FL471" s="6"/>
      <c r="FM471" s="6"/>
      <c r="FN471" s="6"/>
      <c r="FO471" s="138"/>
      <c r="FP471" s="138"/>
      <c r="FQ471" s="123"/>
      <c r="FR471" s="6"/>
      <c r="FS471" s="6"/>
      <c r="FT471" s="139"/>
      <c r="FU471" s="139"/>
      <c r="FV471" s="76"/>
      <c r="FW471" s="123"/>
      <c r="FX471" s="6"/>
    </row>
    <row r="472" spans="35:180">
      <c r="AI472" s="125"/>
      <c r="AJ472" s="16"/>
      <c r="AM472" s="16"/>
      <c r="AN472" s="16"/>
      <c r="AO472" s="125"/>
      <c r="AP472" s="16"/>
      <c r="AQ472" s="125"/>
      <c r="AZ472" s="125"/>
      <c r="BA472" s="142"/>
      <c r="BB472" s="125"/>
      <c r="BC472" s="16"/>
      <c r="BD472" s="125"/>
      <c r="BE472" s="125"/>
      <c r="BF472" s="16"/>
      <c r="BG472" s="125"/>
      <c r="BQ472" s="125"/>
      <c r="BR472" s="16"/>
      <c r="BS472" s="123"/>
      <c r="BT472" s="19"/>
      <c r="BU472" s="139"/>
      <c r="BV472" s="139"/>
      <c r="BW472" s="123"/>
      <c r="BX472" s="123"/>
      <c r="BY472" s="123"/>
      <c r="BZ472" s="123"/>
      <c r="CA472" s="123"/>
      <c r="CB472" s="123"/>
      <c r="CC472" s="6"/>
      <c r="CD472" s="123"/>
      <c r="CE472" s="6"/>
      <c r="CF472" s="123"/>
      <c r="CG472" s="6"/>
      <c r="CH472" s="6"/>
      <c r="CI472" s="6"/>
      <c r="CJ472" s="6"/>
      <c r="CK472" s="123"/>
      <c r="CL472" s="6"/>
      <c r="CM472" s="6"/>
      <c r="CN472" s="6"/>
      <c r="CO472" s="138"/>
      <c r="CP472" s="138"/>
      <c r="CQ472" s="123"/>
      <c r="CR472" s="6"/>
      <c r="CS472" s="6"/>
      <c r="CT472" s="139"/>
      <c r="CU472" s="139"/>
      <c r="CV472" s="76"/>
      <c r="CW472" s="123"/>
      <c r="CX472" s="6"/>
      <c r="DI472" s="125"/>
      <c r="DJ472" s="16"/>
      <c r="DM472" s="16"/>
      <c r="DN472" s="16"/>
      <c r="DO472" s="125"/>
      <c r="DP472" s="16"/>
      <c r="DQ472" s="125"/>
      <c r="DZ472" s="125"/>
      <c r="EA472" s="142"/>
      <c r="EB472" s="125"/>
      <c r="EC472" s="16"/>
      <c r="ED472" s="125"/>
      <c r="EE472" s="125"/>
      <c r="EF472" s="16"/>
      <c r="EG472" s="125"/>
      <c r="EQ472" s="125"/>
      <c r="ER472" s="16"/>
      <c r="ES472" s="123"/>
      <c r="ET472" s="19"/>
      <c r="EU472" s="139"/>
      <c r="EV472" s="139"/>
      <c r="EW472" s="123"/>
      <c r="EX472" s="123"/>
      <c r="EY472" s="123"/>
      <c r="EZ472" s="123"/>
      <c r="FA472" s="123"/>
      <c r="FB472" s="123"/>
      <c r="FC472" s="6"/>
      <c r="FD472" s="123"/>
      <c r="FE472" s="6"/>
      <c r="FF472" s="123"/>
      <c r="FG472" s="6"/>
      <c r="FH472" s="6"/>
      <c r="FI472" s="6"/>
      <c r="FJ472" s="6"/>
      <c r="FK472" s="123"/>
      <c r="FL472" s="6"/>
      <c r="FM472" s="6"/>
      <c r="FN472" s="6"/>
      <c r="FO472" s="138"/>
      <c r="FP472" s="138"/>
      <c r="FQ472" s="123"/>
      <c r="FR472" s="6"/>
      <c r="FS472" s="6"/>
      <c r="FT472" s="139"/>
      <c r="FU472" s="139"/>
      <c r="FV472" s="76"/>
      <c r="FW472" s="123"/>
      <c r="FX472" s="6"/>
    </row>
    <row r="473" spans="35:180">
      <c r="AI473" s="125"/>
      <c r="AJ473" s="16"/>
      <c r="AM473" s="16"/>
      <c r="AN473" s="16"/>
      <c r="AO473" s="125"/>
      <c r="AP473" s="16"/>
      <c r="AQ473" s="125"/>
      <c r="AZ473" s="125"/>
      <c r="BA473" s="142"/>
      <c r="BB473" s="125"/>
      <c r="BC473" s="16"/>
      <c r="BD473" s="125"/>
      <c r="BE473" s="125"/>
      <c r="BF473" s="16"/>
      <c r="BG473" s="125"/>
      <c r="BQ473" s="125"/>
      <c r="BR473" s="16"/>
      <c r="BS473" s="123"/>
      <c r="BT473" s="19"/>
      <c r="BU473" s="139"/>
      <c r="BV473" s="139"/>
      <c r="BW473" s="123"/>
      <c r="BX473" s="123"/>
      <c r="BY473" s="123"/>
      <c r="BZ473" s="123"/>
      <c r="CA473" s="123"/>
      <c r="CB473" s="123"/>
      <c r="CC473" s="6"/>
      <c r="CD473" s="123"/>
      <c r="CE473" s="6"/>
      <c r="CF473" s="123"/>
      <c r="CG473" s="6"/>
      <c r="CH473" s="6"/>
      <c r="CI473" s="6"/>
      <c r="CJ473" s="6"/>
      <c r="CK473" s="123"/>
      <c r="CL473" s="6"/>
      <c r="CM473" s="6"/>
      <c r="CN473" s="6"/>
      <c r="CO473" s="138"/>
      <c r="CP473" s="138"/>
      <c r="CQ473" s="123"/>
      <c r="CR473" s="6"/>
      <c r="CS473" s="6"/>
      <c r="CT473" s="139"/>
      <c r="CU473" s="139"/>
      <c r="CV473" s="76"/>
      <c r="CW473" s="123"/>
      <c r="CX473" s="6"/>
      <c r="DI473" s="125"/>
      <c r="DJ473" s="16"/>
      <c r="DM473" s="16"/>
      <c r="DN473" s="16"/>
      <c r="DO473" s="125"/>
      <c r="DP473" s="16"/>
      <c r="DQ473" s="125"/>
      <c r="DZ473" s="125"/>
      <c r="EA473" s="142"/>
      <c r="EB473" s="125"/>
      <c r="EC473" s="16"/>
      <c r="ED473" s="125"/>
      <c r="EE473" s="125"/>
      <c r="EF473" s="16"/>
      <c r="EG473" s="125"/>
      <c r="EQ473" s="125"/>
      <c r="ER473" s="16"/>
      <c r="ES473" s="123"/>
      <c r="ET473" s="19"/>
      <c r="EU473" s="139"/>
      <c r="EV473" s="139"/>
      <c r="EW473" s="123"/>
      <c r="EX473" s="123"/>
      <c r="EY473" s="123"/>
      <c r="EZ473" s="123"/>
      <c r="FA473" s="123"/>
      <c r="FB473" s="123"/>
      <c r="FC473" s="6"/>
      <c r="FD473" s="123"/>
      <c r="FE473" s="6"/>
      <c r="FF473" s="123"/>
      <c r="FG473" s="6"/>
      <c r="FH473" s="6"/>
      <c r="FI473" s="6"/>
      <c r="FJ473" s="6"/>
      <c r="FK473" s="123"/>
      <c r="FL473" s="6"/>
      <c r="FM473" s="6"/>
      <c r="FN473" s="6"/>
      <c r="FO473" s="138"/>
      <c r="FP473" s="138"/>
      <c r="FQ473" s="123"/>
      <c r="FR473" s="6"/>
      <c r="FS473" s="6"/>
      <c r="FT473" s="139"/>
      <c r="FU473" s="139"/>
      <c r="FV473" s="76"/>
      <c r="FW473" s="123"/>
      <c r="FX473" s="6"/>
    </row>
    <row r="474" spans="35:180">
      <c r="AI474" s="125"/>
      <c r="AJ474" s="16"/>
      <c r="AM474" s="16"/>
      <c r="AN474" s="16"/>
      <c r="AO474" s="125"/>
      <c r="AP474" s="16"/>
      <c r="AQ474" s="125"/>
      <c r="AZ474" s="125"/>
      <c r="BA474" s="142"/>
      <c r="BB474" s="125"/>
      <c r="BC474" s="16"/>
      <c r="BD474" s="125"/>
      <c r="BE474" s="125"/>
      <c r="BF474" s="16"/>
      <c r="BG474" s="125"/>
      <c r="BQ474" s="125"/>
      <c r="BR474" s="16"/>
      <c r="BS474" s="123"/>
      <c r="BT474" s="19"/>
      <c r="BU474" s="139"/>
      <c r="BV474" s="139"/>
      <c r="BW474" s="123"/>
      <c r="BX474" s="123"/>
      <c r="BY474" s="123"/>
      <c r="BZ474" s="123"/>
      <c r="CA474" s="123"/>
      <c r="CB474" s="123"/>
      <c r="CC474" s="6"/>
      <c r="CD474" s="123"/>
      <c r="CE474" s="6"/>
      <c r="CF474" s="123"/>
      <c r="CG474" s="6"/>
      <c r="CH474" s="6"/>
      <c r="CI474" s="6"/>
      <c r="CJ474" s="6"/>
      <c r="CK474" s="123"/>
      <c r="CL474" s="6"/>
      <c r="CM474" s="6"/>
      <c r="CN474" s="6"/>
      <c r="CO474" s="138"/>
      <c r="CP474" s="138"/>
      <c r="CQ474" s="123"/>
      <c r="CR474" s="6"/>
      <c r="CS474" s="6"/>
      <c r="CT474" s="139"/>
      <c r="CU474" s="139"/>
      <c r="CV474" s="76"/>
      <c r="CW474" s="123"/>
      <c r="CX474" s="6"/>
      <c r="DI474" s="125"/>
      <c r="DJ474" s="16"/>
      <c r="DM474" s="16"/>
      <c r="DN474" s="16"/>
      <c r="DO474" s="125"/>
      <c r="DP474" s="16"/>
      <c r="DQ474" s="125"/>
      <c r="DZ474" s="125"/>
      <c r="EA474" s="142"/>
      <c r="EB474" s="125"/>
      <c r="EC474" s="16"/>
      <c r="ED474" s="125"/>
      <c r="EE474" s="125"/>
      <c r="EF474" s="16"/>
      <c r="EG474" s="125"/>
      <c r="EQ474" s="125"/>
      <c r="ER474" s="16"/>
      <c r="ES474" s="123"/>
      <c r="ET474" s="19"/>
      <c r="EU474" s="139"/>
      <c r="EV474" s="139"/>
      <c r="EW474" s="123"/>
      <c r="EX474" s="123"/>
      <c r="EY474" s="123"/>
      <c r="EZ474" s="123"/>
      <c r="FA474" s="123"/>
      <c r="FB474" s="123"/>
      <c r="FC474" s="6"/>
      <c r="FD474" s="123"/>
      <c r="FE474" s="6"/>
      <c r="FF474" s="123"/>
      <c r="FG474" s="6"/>
      <c r="FH474" s="6"/>
      <c r="FI474" s="6"/>
      <c r="FJ474" s="6"/>
      <c r="FK474" s="123"/>
      <c r="FL474" s="6"/>
      <c r="FM474" s="6"/>
      <c r="FN474" s="6"/>
      <c r="FO474" s="138"/>
      <c r="FP474" s="138"/>
      <c r="FQ474" s="123"/>
      <c r="FR474" s="6"/>
      <c r="FS474" s="6"/>
      <c r="FT474" s="139"/>
      <c r="FU474" s="139"/>
      <c r="FV474" s="76"/>
      <c r="FW474" s="123"/>
      <c r="FX474" s="6"/>
    </row>
    <row r="475" spans="35:180">
      <c r="AI475" s="125"/>
      <c r="AJ475" s="16"/>
      <c r="AM475" s="16"/>
      <c r="AN475" s="16"/>
      <c r="AO475" s="125"/>
      <c r="AP475" s="16"/>
      <c r="AQ475" s="125"/>
      <c r="AZ475" s="125"/>
      <c r="BA475" s="142"/>
      <c r="BB475" s="125"/>
      <c r="BC475" s="16"/>
      <c r="BD475" s="125"/>
      <c r="BE475" s="125"/>
      <c r="BF475" s="16"/>
      <c r="BG475" s="125"/>
      <c r="BQ475" s="125"/>
      <c r="BR475" s="16"/>
      <c r="BS475" s="123"/>
      <c r="BT475" s="19"/>
      <c r="BU475" s="139"/>
      <c r="BV475" s="139"/>
      <c r="BW475" s="123"/>
      <c r="BX475" s="123"/>
      <c r="BY475" s="123"/>
      <c r="BZ475" s="123"/>
      <c r="CA475" s="123"/>
      <c r="CB475" s="123"/>
      <c r="CC475" s="6"/>
      <c r="CD475" s="123"/>
      <c r="CE475" s="6"/>
      <c r="CF475" s="123"/>
      <c r="CG475" s="6"/>
      <c r="CH475" s="6"/>
      <c r="CI475" s="6"/>
      <c r="CJ475" s="6"/>
      <c r="CK475" s="123"/>
      <c r="CL475" s="6"/>
      <c r="CM475" s="6"/>
      <c r="CN475" s="6"/>
      <c r="CO475" s="138"/>
      <c r="CP475" s="138"/>
      <c r="CQ475" s="123"/>
      <c r="CR475" s="6"/>
      <c r="CS475" s="6"/>
      <c r="CT475" s="139"/>
      <c r="CU475" s="139"/>
      <c r="CV475" s="76"/>
      <c r="CW475" s="123"/>
      <c r="CX475" s="6"/>
      <c r="DI475" s="125"/>
      <c r="DJ475" s="16"/>
      <c r="DM475" s="16"/>
      <c r="DN475" s="16"/>
      <c r="DO475" s="125"/>
      <c r="DP475" s="16"/>
      <c r="DQ475" s="125"/>
      <c r="DZ475" s="125"/>
      <c r="EA475" s="142"/>
      <c r="EB475" s="125"/>
      <c r="EC475" s="16"/>
      <c r="ED475" s="125"/>
      <c r="EE475" s="125"/>
      <c r="EF475" s="16"/>
      <c r="EG475" s="125"/>
      <c r="EQ475" s="125"/>
      <c r="ER475" s="16"/>
      <c r="ES475" s="123"/>
      <c r="ET475" s="19"/>
      <c r="EU475" s="139"/>
      <c r="EV475" s="139"/>
      <c r="EW475" s="123"/>
      <c r="EX475" s="123"/>
      <c r="EY475" s="123"/>
      <c r="EZ475" s="123"/>
      <c r="FA475" s="123"/>
      <c r="FB475" s="123"/>
      <c r="FC475" s="6"/>
      <c r="FD475" s="123"/>
      <c r="FE475" s="6"/>
      <c r="FF475" s="123"/>
      <c r="FG475" s="6"/>
      <c r="FH475" s="6"/>
      <c r="FI475" s="6"/>
      <c r="FJ475" s="6"/>
      <c r="FK475" s="123"/>
      <c r="FL475" s="6"/>
      <c r="FM475" s="6"/>
      <c r="FN475" s="6"/>
      <c r="FO475" s="138"/>
      <c r="FP475" s="138"/>
      <c r="FQ475" s="123"/>
      <c r="FR475" s="6"/>
      <c r="FS475" s="6"/>
      <c r="FT475" s="139"/>
      <c r="FU475" s="139"/>
      <c r="FV475" s="76"/>
      <c r="FW475" s="123"/>
      <c r="FX475" s="6"/>
    </row>
    <row r="476" spans="35:180">
      <c r="AI476" s="125"/>
      <c r="AJ476" s="16"/>
      <c r="AM476" s="16"/>
      <c r="AN476" s="16"/>
      <c r="AO476" s="125"/>
      <c r="AP476" s="16"/>
      <c r="AQ476" s="125"/>
      <c r="AZ476" s="125"/>
      <c r="BA476" s="142"/>
      <c r="BB476" s="125"/>
      <c r="BC476" s="16"/>
      <c r="BD476" s="125"/>
      <c r="BE476" s="125"/>
      <c r="BF476" s="16"/>
      <c r="BG476" s="125"/>
      <c r="BQ476" s="125"/>
      <c r="BR476" s="16"/>
      <c r="BS476" s="123"/>
      <c r="BT476" s="19"/>
      <c r="BU476" s="139"/>
      <c r="BV476" s="139"/>
      <c r="BW476" s="123"/>
      <c r="BX476" s="123"/>
      <c r="BY476" s="123"/>
      <c r="BZ476" s="123"/>
      <c r="CA476" s="123"/>
      <c r="CB476" s="123"/>
      <c r="CC476" s="6"/>
      <c r="CD476" s="123"/>
      <c r="CE476" s="6"/>
      <c r="CF476" s="123"/>
      <c r="CG476" s="6"/>
      <c r="CH476" s="6"/>
      <c r="CI476" s="6"/>
      <c r="CJ476" s="6"/>
      <c r="CK476" s="123"/>
      <c r="CL476" s="6"/>
      <c r="CM476" s="6"/>
      <c r="CN476" s="6"/>
      <c r="CO476" s="138"/>
      <c r="CP476" s="138"/>
      <c r="CQ476" s="123"/>
      <c r="CR476" s="6"/>
      <c r="CS476" s="6"/>
      <c r="CT476" s="139"/>
      <c r="CU476" s="139"/>
      <c r="CV476" s="76"/>
      <c r="CW476" s="123"/>
      <c r="CX476" s="6"/>
      <c r="DI476" s="125"/>
      <c r="DJ476" s="16"/>
      <c r="DM476" s="16"/>
      <c r="DN476" s="16"/>
      <c r="DO476" s="125"/>
      <c r="DP476" s="16"/>
      <c r="DQ476" s="125"/>
      <c r="DZ476" s="125"/>
      <c r="EA476" s="142"/>
      <c r="EB476" s="125"/>
      <c r="EC476" s="16"/>
      <c r="ED476" s="125"/>
      <c r="EE476" s="125"/>
      <c r="EF476" s="16"/>
      <c r="EG476" s="125"/>
      <c r="EQ476" s="125"/>
      <c r="ER476" s="16"/>
      <c r="ES476" s="123"/>
      <c r="ET476" s="19"/>
      <c r="EU476" s="139"/>
      <c r="EV476" s="139"/>
      <c r="EW476" s="123"/>
      <c r="EX476" s="123"/>
      <c r="EY476" s="123"/>
      <c r="EZ476" s="123"/>
      <c r="FA476" s="123"/>
      <c r="FB476" s="123"/>
      <c r="FC476" s="6"/>
      <c r="FD476" s="123"/>
      <c r="FE476" s="6"/>
      <c r="FF476" s="123"/>
      <c r="FG476" s="6"/>
      <c r="FH476" s="6"/>
      <c r="FI476" s="6"/>
      <c r="FJ476" s="6"/>
      <c r="FK476" s="123"/>
      <c r="FL476" s="6"/>
      <c r="FM476" s="6"/>
      <c r="FN476" s="6"/>
      <c r="FO476" s="138"/>
      <c r="FP476" s="138"/>
      <c r="FQ476" s="123"/>
      <c r="FR476" s="6"/>
      <c r="FS476" s="6"/>
      <c r="FT476" s="139"/>
      <c r="FU476" s="139"/>
      <c r="FV476" s="76"/>
      <c r="FW476" s="123"/>
      <c r="FX476" s="6"/>
    </row>
    <row r="477" spans="35:180">
      <c r="AI477" s="125"/>
      <c r="AJ477" s="16"/>
      <c r="AM477" s="16"/>
      <c r="AN477" s="16"/>
      <c r="AO477" s="125"/>
      <c r="AP477" s="16"/>
      <c r="AQ477" s="125"/>
      <c r="AZ477" s="125"/>
      <c r="BA477" s="142"/>
      <c r="BB477" s="125"/>
      <c r="BC477" s="16"/>
      <c r="BD477" s="125"/>
      <c r="BE477" s="125"/>
      <c r="BF477" s="16"/>
      <c r="BG477" s="125"/>
      <c r="BQ477" s="125"/>
      <c r="BR477" s="16"/>
      <c r="BS477" s="123"/>
      <c r="BT477" s="19"/>
      <c r="BU477" s="139"/>
      <c r="BV477" s="139"/>
      <c r="BW477" s="123"/>
      <c r="BX477" s="123"/>
      <c r="BY477" s="123"/>
      <c r="BZ477" s="123"/>
      <c r="CA477" s="123"/>
      <c r="CB477" s="123"/>
      <c r="CC477" s="6"/>
      <c r="CD477" s="123"/>
      <c r="CE477" s="6"/>
      <c r="CF477" s="123"/>
      <c r="CG477" s="6"/>
      <c r="CH477" s="6"/>
      <c r="CI477" s="6"/>
      <c r="CJ477" s="6"/>
      <c r="CK477" s="123"/>
      <c r="CL477" s="6"/>
      <c r="CM477" s="6"/>
      <c r="CN477" s="6"/>
      <c r="CO477" s="138"/>
      <c r="CP477" s="138"/>
      <c r="CQ477" s="123"/>
      <c r="CR477" s="6"/>
      <c r="CS477" s="6"/>
      <c r="CT477" s="139"/>
      <c r="CU477" s="139"/>
      <c r="CV477" s="76"/>
      <c r="CW477" s="123"/>
      <c r="CX477" s="6"/>
      <c r="DI477" s="125"/>
      <c r="DJ477" s="16"/>
      <c r="DM477" s="16"/>
      <c r="DN477" s="16"/>
      <c r="DO477" s="125"/>
      <c r="DP477" s="16"/>
      <c r="DQ477" s="125"/>
      <c r="DZ477" s="125"/>
      <c r="EA477" s="142"/>
      <c r="EB477" s="125"/>
      <c r="EC477" s="16"/>
      <c r="ED477" s="125"/>
      <c r="EE477" s="125"/>
      <c r="EF477" s="16"/>
      <c r="EG477" s="125"/>
      <c r="EQ477" s="125"/>
      <c r="ER477" s="16"/>
      <c r="ES477" s="123"/>
      <c r="ET477" s="19"/>
      <c r="EU477" s="139"/>
      <c r="EV477" s="139"/>
      <c r="EW477" s="123"/>
      <c r="EX477" s="123"/>
      <c r="EY477" s="123"/>
      <c r="EZ477" s="123"/>
      <c r="FA477" s="123"/>
      <c r="FB477" s="123"/>
      <c r="FC477" s="6"/>
      <c r="FD477" s="123"/>
      <c r="FE477" s="6"/>
      <c r="FF477" s="123"/>
      <c r="FG477" s="6"/>
      <c r="FH477" s="6"/>
      <c r="FI477" s="6"/>
      <c r="FJ477" s="6"/>
      <c r="FK477" s="123"/>
      <c r="FL477" s="6"/>
      <c r="FM477" s="6"/>
      <c r="FN477" s="6"/>
      <c r="FO477" s="138"/>
      <c r="FP477" s="138"/>
      <c r="FQ477" s="123"/>
      <c r="FR477" s="6"/>
      <c r="FS477" s="6"/>
      <c r="FT477" s="139"/>
      <c r="FU477" s="139"/>
      <c r="FV477" s="76"/>
      <c r="FW477" s="123"/>
      <c r="FX477" s="6"/>
    </row>
    <row r="478" spans="35:180">
      <c r="AI478" s="125"/>
      <c r="AJ478" s="16"/>
      <c r="AM478" s="16"/>
      <c r="AN478" s="16"/>
      <c r="AO478" s="125"/>
      <c r="AP478" s="16"/>
      <c r="AQ478" s="125"/>
      <c r="AZ478" s="125"/>
      <c r="BA478" s="142"/>
      <c r="BB478" s="125"/>
      <c r="BC478" s="16"/>
      <c r="BD478" s="125"/>
      <c r="BE478" s="125"/>
      <c r="BF478" s="16"/>
      <c r="BG478" s="125"/>
      <c r="BQ478" s="125"/>
      <c r="BR478" s="16"/>
      <c r="BS478" s="123"/>
      <c r="BT478" s="19"/>
      <c r="BU478" s="139"/>
      <c r="BV478" s="139"/>
      <c r="BW478" s="123"/>
      <c r="BX478" s="123"/>
      <c r="BY478" s="123"/>
      <c r="BZ478" s="123"/>
      <c r="CA478" s="123"/>
      <c r="CB478" s="123"/>
      <c r="CC478" s="6"/>
      <c r="CD478" s="123"/>
      <c r="CE478" s="6"/>
      <c r="CF478" s="123"/>
      <c r="CG478" s="6"/>
      <c r="CH478" s="6"/>
      <c r="CI478" s="6"/>
      <c r="CJ478" s="6"/>
      <c r="CK478" s="123"/>
      <c r="CL478" s="6"/>
      <c r="CM478" s="6"/>
      <c r="CN478" s="6"/>
      <c r="CO478" s="138"/>
      <c r="CP478" s="138"/>
      <c r="CQ478" s="123"/>
      <c r="CR478" s="6"/>
      <c r="CS478" s="6"/>
      <c r="CT478" s="139"/>
      <c r="CU478" s="139"/>
      <c r="CV478" s="76"/>
      <c r="CW478" s="123"/>
      <c r="CX478" s="6"/>
      <c r="DI478" s="125"/>
      <c r="DJ478" s="16"/>
      <c r="DM478" s="16"/>
      <c r="DN478" s="16"/>
      <c r="DO478" s="125"/>
      <c r="DP478" s="16"/>
      <c r="DQ478" s="125"/>
      <c r="DZ478" s="125"/>
      <c r="EA478" s="142"/>
      <c r="EB478" s="125"/>
      <c r="EC478" s="16"/>
      <c r="ED478" s="125"/>
      <c r="EE478" s="125"/>
      <c r="EF478" s="16"/>
      <c r="EG478" s="125"/>
      <c r="EQ478" s="125"/>
      <c r="ER478" s="16"/>
      <c r="ES478" s="123"/>
      <c r="ET478" s="19"/>
      <c r="EU478" s="139"/>
      <c r="EV478" s="139"/>
      <c r="EW478" s="123"/>
      <c r="EX478" s="123"/>
      <c r="EY478" s="123"/>
      <c r="EZ478" s="123"/>
      <c r="FA478" s="123"/>
      <c r="FB478" s="123"/>
      <c r="FC478" s="6"/>
      <c r="FD478" s="123"/>
      <c r="FE478" s="6"/>
      <c r="FF478" s="123"/>
      <c r="FG478" s="6"/>
      <c r="FH478" s="6"/>
      <c r="FI478" s="6"/>
      <c r="FJ478" s="6"/>
      <c r="FK478" s="123"/>
      <c r="FL478" s="6"/>
      <c r="FM478" s="6"/>
      <c r="FN478" s="6"/>
      <c r="FO478" s="138"/>
      <c r="FP478" s="138"/>
      <c r="FQ478" s="123"/>
      <c r="FR478" s="6"/>
      <c r="FS478" s="6"/>
      <c r="FT478" s="139"/>
      <c r="FU478" s="139"/>
      <c r="FV478" s="76"/>
      <c r="FW478" s="123"/>
      <c r="FX478" s="6"/>
    </row>
    <row r="479" spans="35:180">
      <c r="AI479" s="125"/>
      <c r="AJ479" s="16"/>
      <c r="AM479" s="16"/>
      <c r="AN479" s="16"/>
      <c r="AO479" s="125"/>
      <c r="AP479" s="16"/>
      <c r="AQ479" s="125"/>
      <c r="AZ479" s="125"/>
      <c r="BA479" s="142"/>
      <c r="BB479" s="125"/>
      <c r="BC479" s="16"/>
      <c r="BD479" s="125"/>
      <c r="BE479" s="125"/>
      <c r="BF479" s="16"/>
      <c r="BG479" s="125"/>
      <c r="BQ479" s="125"/>
      <c r="BR479" s="16"/>
      <c r="BS479" s="123"/>
      <c r="BT479" s="19"/>
      <c r="BU479" s="139"/>
      <c r="BV479" s="139"/>
      <c r="BW479" s="123"/>
      <c r="BX479" s="123"/>
      <c r="BY479" s="123"/>
      <c r="BZ479" s="123"/>
      <c r="CA479" s="123"/>
      <c r="CB479" s="123"/>
      <c r="CC479" s="6"/>
      <c r="CD479" s="123"/>
      <c r="CE479" s="6"/>
      <c r="CF479" s="123"/>
      <c r="CG479" s="6"/>
      <c r="CH479" s="6"/>
      <c r="CI479" s="6"/>
      <c r="CJ479" s="6"/>
      <c r="CK479" s="123"/>
      <c r="CL479" s="6"/>
      <c r="CM479" s="6"/>
      <c r="CN479" s="6"/>
      <c r="CO479" s="138"/>
      <c r="CP479" s="138"/>
      <c r="CQ479" s="123"/>
      <c r="CR479" s="6"/>
      <c r="CS479" s="6"/>
      <c r="CT479" s="139"/>
      <c r="CU479" s="139"/>
      <c r="CV479" s="76"/>
      <c r="CW479" s="123"/>
      <c r="CX479" s="6"/>
      <c r="DI479" s="125"/>
      <c r="DJ479" s="16"/>
      <c r="DM479" s="16"/>
      <c r="DN479" s="16"/>
      <c r="DO479" s="125"/>
      <c r="DP479" s="16"/>
      <c r="DQ479" s="125"/>
      <c r="DZ479" s="125"/>
      <c r="EA479" s="142"/>
      <c r="EB479" s="125"/>
      <c r="EC479" s="16"/>
      <c r="ED479" s="125"/>
      <c r="EE479" s="125"/>
      <c r="EF479" s="16"/>
      <c r="EG479" s="125"/>
      <c r="EQ479" s="125"/>
      <c r="ER479" s="16"/>
      <c r="ES479" s="123"/>
      <c r="ET479" s="19"/>
      <c r="EU479" s="139"/>
      <c r="EV479" s="139"/>
      <c r="EW479" s="123"/>
      <c r="EX479" s="123"/>
      <c r="EY479" s="123"/>
      <c r="EZ479" s="123"/>
      <c r="FA479" s="123"/>
      <c r="FB479" s="123"/>
      <c r="FC479" s="6"/>
      <c r="FD479" s="123"/>
      <c r="FE479" s="6"/>
      <c r="FF479" s="123"/>
      <c r="FG479" s="6"/>
      <c r="FH479" s="6"/>
      <c r="FI479" s="6"/>
      <c r="FJ479" s="6"/>
      <c r="FK479" s="123"/>
      <c r="FL479" s="6"/>
      <c r="FM479" s="6"/>
      <c r="FN479" s="6"/>
      <c r="FO479" s="138"/>
      <c r="FP479" s="138"/>
      <c r="FQ479" s="123"/>
      <c r="FR479" s="6"/>
      <c r="FS479" s="6"/>
      <c r="FT479" s="139"/>
      <c r="FU479" s="139"/>
      <c r="FV479" s="76"/>
      <c r="FW479" s="123"/>
      <c r="FX479" s="6"/>
    </row>
    <row r="480" spans="35:180">
      <c r="AI480" s="125"/>
      <c r="AJ480" s="16"/>
      <c r="AM480" s="16"/>
      <c r="AN480" s="16"/>
      <c r="AO480" s="125"/>
      <c r="AP480" s="16"/>
      <c r="AQ480" s="125"/>
      <c r="AZ480" s="125"/>
      <c r="BA480" s="142"/>
      <c r="BB480" s="125"/>
      <c r="BC480" s="16"/>
      <c r="BD480" s="125"/>
      <c r="BE480" s="125"/>
      <c r="BF480" s="16"/>
      <c r="BG480" s="125"/>
      <c r="BQ480" s="125"/>
      <c r="BR480" s="16"/>
      <c r="BS480" s="123"/>
      <c r="BT480" s="19"/>
      <c r="BU480" s="139"/>
      <c r="BV480" s="139"/>
      <c r="BW480" s="123"/>
      <c r="BX480" s="123"/>
      <c r="BY480" s="123"/>
      <c r="BZ480" s="123"/>
      <c r="CA480" s="123"/>
      <c r="CB480" s="123"/>
      <c r="CC480" s="6"/>
      <c r="CD480" s="123"/>
      <c r="CE480" s="6"/>
      <c r="CF480" s="123"/>
      <c r="CG480" s="6"/>
      <c r="CH480" s="6"/>
      <c r="CI480" s="6"/>
      <c r="CJ480" s="6"/>
      <c r="CK480" s="123"/>
      <c r="CL480" s="6"/>
      <c r="CM480" s="6"/>
      <c r="CN480" s="6"/>
      <c r="CO480" s="138"/>
      <c r="CP480" s="138"/>
      <c r="CQ480" s="123"/>
      <c r="CR480" s="6"/>
      <c r="CS480" s="6"/>
      <c r="CT480" s="139"/>
      <c r="CU480" s="139"/>
      <c r="CV480" s="76"/>
      <c r="CW480" s="123"/>
      <c r="CX480" s="6"/>
      <c r="DI480" s="125"/>
      <c r="DJ480" s="16"/>
      <c r="DM480" s="16"/>
      <c r="DN480" s="16"/>
      <c r="DO480" s="125"/>
      <c r="DP480" s="16"/>
      <c r="DQ480" s="125"/>
      <c r="DZ480" s="125"/>
      <c r="EA480" s="142"/>
      <c r="EB480" s="125"/>
      <c r="EC480" s="16"/>
      <c r="ED480" s="125"/>
      <c r="EE480" s="125"/>
      <c r="EF480" s="16"/>
      <c r="EG480" s="125"/>
      <c r="EQ480" s="125"/>
      <c r="ER480" s="16"/>
      <c r="ES480" s="123"/>
      <c r="ET480" s="19"/>
      <c r="EU480" s="139"/>
      <c r="EV480" s="139"/>
      <c r="EW480" s="123"/>
      <c r="EX480" s="123"/>
      <c r="EY480" s="123"/>
      <c r="EZ480" s="123"/>
      <c r="FA480" s="123"/>
      <c r="FB480" s="123"/>
      <c r="FC480" s="6"/>
      <c r="FD480" s="123"/>
      <c r="FE480" s="6"/>
      <c r="FF480" s="123"/>
      <c r="FG480" s="6"/>
      <c r="FH480" s="6"/>
      <c r="FI480" s="6"/>
      <c r="FJ480" s="6"/>
      <c r="FK480" s="123"/>
      <c r="FL480" s="6"/>
      <c r="FM480" s="6"/>
      <c r="FN480" s="6"/>
      <c r="FO480" s="138"/>
      <c r="FP480" s="138"/>
      <c r="FQ480" s="123"/>
      <c r="FR480" s="6"/>
      <c r="FS480" s="6"/>
      <c r="FT480" s="139"/>
      <c r="FU480" s="139"/>
      <c r="FV480" s="76"/>
      <c r="FW480" s="123"/>
      <c r="FX480" s="6"/>
    </row>
    <row r="481" spans="35:180">
      <c r="AI481" s="125"/>
      <c r="AJ481" s="16"/>
      <c r="AM481" s="16"/>
      <c r="AN481" s="16"/>
      <c r="AO481" s="125"/>
      <c r="AP481" s="16"/>
      <c r="AQ481" s="125"/>
      <c r="AZ481" s="125"/>
      <c r="BA481" s="142"/>
      <c r="BB481" s="125"/>
      <c r="BC481" s="16"/>
      <c r="BD481" s="125"/>
      <c r="BE481" s="125"/>
      <c r="BF481" s="16"/>
      <c r="BG481" s="125"/>
      <c r="BQ481" s="125"/>
      <c r="BR481" s="16"/>
      <c r="BS481" s="123"/>
      <c r="BT481" s="19"/>
      <c r="BU481" s="139"/>
      <c r="BV481" s="139"/>
      <c r="BW481" s="123"/>
      <c r="BX481" s="123"/>
      <c r="BY481" s="123"/>
      <c r="BZ481" s="123"/>
      <c r="CA481" s="123"/>
      <c r="CB481" s="123"/>
      <c r="CC481" s="6"/>
      <c r="CD481" s="123"/>
      <c r="CE481" s="6"/>
      <c r="CF481" s="123"/>
      <c r="CG481" s="6"/>
      <c r="CH481" s="6"/>
      <c r="CI481" s="6"/>
      <c r="CJ481" s="6"/>
      <c r="CK481" s="123"/>
      <c r="CL481" s="6"/>
      <c r="CM481" s="6"/>
      <c r="CN481" s="6"/>
      <c r="CO481" s="138"/>
      <c r="CP481" s="138"/>
      <c r="CQ481" s="123"/>
      <c r="CR481" s="6"/>
      <c r="CS481" s="6"/>
      <c r="CT481" s="139"/>
      <c r="CU481" s="139"/>
      <c r="CV481" s="76"/>
      <c r="CW481" s="123"/>
      <c r="CX481" s="6"/>
      <c r="DI481" s="125"/>
      <c r="DJ481" s="16"/>
      <c r="DM481" s="16"/>
      <c r="DN481" s="16"/>
      <c r="DO481" s="125"/>
      <c r="DP481" s="16"/>
      <c r="DQ481" s="125"/>
      <c r="DZ481" s="125"/>
      <c r="EA481" s="142"/>
      <c r="EB481" s="125"/>
      <c r="EC481" s="16"/>
      <c r="ED481" s="125"/>
      <c r="EE481" s="125"/>
      <c r="EF481" s="16"/>
      <c r="EG481" s="125"/>
      <c r="EQ481" s="125"/>
      <c r="ER481" s="16"/>
      <c r="ES481" s="123"/>
      <c r="ET481" s="19"/>
      <c r="EU481" s="139"/>
      <c r="EV481" s="139"/>
      <c r="EW481" s="123"/>
      <c r="EX481" s="123"/>
      <c r="EY481" s="123"/>
      <c r="EZ481" s="123"/>
      <c r="FA481" s="123"/>
      <c r="FB481" s="123"/>
      <c r="FC481" s="6"/>
      <c r="FD481" s="123"/>
      <c r="FE481" s="6"/>
      <c r="FF481" s="123"/>
      <c r="FG481" s="6"/>
      <c r="FH481" s="6"/>
      <c r="FI481" s="6"/>
      <c r="FJ481" s="6"/>
      <c r="FK481" s="123"/>
      <c r="FL481" s="6"/>
      <c r="FM481" s="6"/>
      <c r="FN481" s="6"/>
      <c r="FO481" s="138"/>
      <c r="FP481" s="138"/>
      <c r="FQ481" s="123"/>
      <c r="FR481" s="6"/>
      <c r="FS481" s="6"/>
      <c r="FT481" s="139"/>
      <c r="FU481" s="139"/>
      <c r="FV481" s="76"/>
      <c r="FW481" s="123"/>
      <c r="FX481" s="6"/>
    </row>
    <row r="482" spans="35:180">
      <c r="AI482" s="125"/>
      <c r="AJ482" s="16"/>
      <c r="AM482" s="16"/>
      <c r="AN482" s="16"/>
      <c r="AO482" s="125"/>
      <c r="AP482" s="16"/>
      <c r="AQ482" s="125"/>
      <c r="AZ482" s="125"/>
      <c r="BA482" s="142"/>
      <c r="BB482" s="125"/>
      <c r="BC482" s="16"/>
      <c r="BD482" s="125"/>
      <c r="BE482" s="125"/>
      <c r="BF482" s="16"/>
      <c r="BG482" s="125"/>
      <c r="BQ482" s="125"/>
      <c r="BR482" s="16"/>
      <c r="BS482" s="123"/>
      <c r="BT482" s="19"/>
      <c r="BU482" s="139"/>
      <c r="BV482" s="139"/>
      <c r="BW482" s="123"/>
      <c r="BX482" s="123"/>
      <c r="BY482" s="123"/>
      <c r="BZ482" s="123"/>
      <c r="CA482" s="123"/>
      <c r="CB482" s="123"/>
      <c r="CC482" s="6"/>
      <c r="CD482" s="123"/>
      <c r="CE482" s="6"/>
      <c r="CF482" s="123"/>
      <c r="CG482" s="6"/>
      <c r="CH482" s="6"/>
      <c r="CI482" s="6"/>
      <c r="CJ482" s="6"/>
      <c r="CK482" s="123"/>
      <c r="CL482" s="6"/>
      <c r="CM482" s="6"/>
      <c r="CN482" s="6"/>
      <c r="CO482" s="138"/>
      <c r="CP482" s="138"/>
      <c r="CQ482" s="123"/>
      <c r="CR482" s="6"/>
      <c r="CS482" s="6"/>
      <c r="CT482" s="139"/>
      <c r="CU482" s="139"/>
      <c r="CV482" s="76"/>
      <c r="CW482" s="123"/>
      <c r="CX482" s="6"/>
      <c r="DI482" s="125"/>
      <c r="DJ482" s="16"/>
      <c r="DM482" s="16"/>
      <c r="DN482" s="16"/>
      <c r="DO482" s="125"/>
      <c r="DP482" s="16"/>
      <c r="DQ482" s="125"/>
      <c r="DZ482" s="125"/>
      <c r="EA482" s="142"/>
      <c r="EB482" s="125"/>
      <c r="EC482" s="16"/>
      <c r="ED482" s="125"/>
      <c r="EE482" s="125"/>
      <c r="EF482" s="16"/>
      <c r="EG482" s="125"/>
      <c r="EQ482" s="125"/>
      <c r="ER482" s="16"/>
      <c r="ES482" s="123"/>
      <c r="ET482" s="19"/>
      <c r="EU482" s="139"/>
      <c r="EV482" s="139"/>
      <c r="EW482" s="123"/>
      <c r="EX482" s="123"/>
      <c r="EY482" s="123"/>
      <c r="EZ482" s="123"/>
      <c r="FA482" s="123"/>
      <c r="FB482" s="123"/>
      <c r="FC482" s="6"/>
      <c r="FD482" s="123"/>
      <c r="FE482" s="6"/>
      <c r="FF482" s="123"/>
      <c r="FG482" s="6"/>
      <c r="FH482" s="6"/>
      <c r="FI482" s="6"/>
      <c r="FJ482" s="6"/>
      <c r="FK482" s="123"/>
      <c r="FL482" s="6"/>
      <c r="FM482" s="6"/>
      <c r="FN482" s="6"/>
      <c r="FO482" s="138"/>
      <c r="FP482" s="138"/>
      <c r="FQ482" s="123"/>
      <c r="FR482" s="6"/>
      <c r="FS482" s="6"/>
      <c r="FT482" s="139"/>
      <c r="FU482" s="139"/>
      <c r="FV482" s="76"/>
      <c r="FW482" s="123"/>
      <c r="FX482" s="6"/>
    </row>
    <row r="483" spans="35:180">
      <c r="AI483" s="125"/>
      <c r="AJ483" s="16"/>
      <c r="AM483" s="16"/>
      <c r="AN483" s="16"/>
      <c r="AO483" s="125"/>
      <c r="AP483" s="16"/>
      <c r="AQ483" s="125"/>
      <c r="AZ483" s="125"/>
      <c r="BA483" s="142"/>
      <c r="BB483" s="125"/>
      <c r="BC483" s="16"/>
      <c r="BD483" s="125"/>
      <c r="BE483" s="125"/>
      <c r="BF483" s="16"/>
      <c r="BG483" s="125"/>
      <c r="BQ483" s="125"/>
      <c r="BR483" s="16"/>
      <c r="BS483" s="123"/>
      <c r="BT483" s="19"/>
      <c r="BU483" s="139"/>
      <c r="BV483" s="139"/>
      <c r="BW483" s="123"/>
      <c r="BX483" s="123"/>
      <c r="BY483" s="123"/>
      <c r="BZ483" s="123"/>
      <c r="CA483" s="123"/>
      <c r="CB483" s="123"/>
      <c r="CC483" s="6"/>
      <c r="CD483" s="123"/>
      <c r="CE483" s="6"/>
      <c r="CF483" s="123"/>
      <c r="CG483" s="6"/>
      <c r="CH483" s="6"/>
      <c r="CI483" s="6"/>
      <c r="CJ483" s="6"/>
      <c r="CK483" s="123"/>
      <c r="CL483" s="6"/>
      <c r="CM483" s="6"/>
      <c r="CN483" s="6"/>
      <c r="CO483" s="138"/>
      <c r="CP483" s="138"/>
      <c r="CQ483" s="123"/>
      <c r="CR483" s="6"/>
      <c r="CS483" s="6"/>
      <c r="CT483" s="139"/>
      <c r="CU483" s="139"/>
      <c r="CV483" s="76"/>
      <c r="CW483" s="123"/>
      <c r="CX483" s="6"/>
      <c r="DI483" s="125"/>
      <c r="DJ483" s="16"/>
      <c r="DM483" s="16"/>
      <c r="DN483" s="16"/>
      <c r="DO483" s="125"/>
      <c r="DP483" s="16"/>
      <c r="DQ483" s="125"/>
      <c r="DZ483" s="125"/>
      <c r="EA483" s="142"/>
      <c r="EB483" s="125"/>
      <c r="EC483" s="16"/>
      <c r="ED483" s="125"/>
      <c r="EE483" s="125"/>
      <c r="EF483" s="16"/>
      <c r="EG483" s="125"/>
      <c r="EQ483" s="125"/>
      <c r="ER483" s="16"/>
      <c r="ES483" s="123"/>
      <c r="ET483" s="19"/>
      <c r="EU483" s="139"/>
      <c r="EV483" s="139"/>
      <c r="EW483" s="123"/>
      <c r="EX483" s="123"/>
      <c r="EY483" s="123"/>
      <c r="EZ483" s="123"/>
      <c r="FA483" s="123"/>
      <c r="FB483" s="123"/>
      <c r="FC483" s="6"/>
      <c r="FD483" s="123"/>
      <c r="FE483" s="6"/>
      <c r="FF483" s="123"/>
      <c r="FG483" s="6"/>
      <c r="FH483" s="6"/>
      <c r="FI483" s="6"/>
      <c r="FJ483" s="6"/>
      <c r="FK483" s="123"/>
      <c r="FL483" s="6"/>
      <c r="FM483" s="6"/>
      <c r="FN483" s="6"/>
      <c r="FO483" s="138"/>
      <c r="FP483" s="138"/>
      <c r="FQ483" s="123"/>
      <c r="FR483" s="6"/>
      <c r="FS483" s="6"/>
      <c r="FT483" s="139"/>
      <c r="FU483" s="139"/>
      <c r="FV483" s="76"/>
      <c r="FW483" s="123"/>
      <c r="FX483" s="6"/>
    </row>
    <row r="484" spans="35:180">
      <c r="AI484" s="125"/>
      <c r="AJ484" s="16"/>
      <c r="AM484" s="16"/>
      <c r="AN484" s="16"/>
      <c r="AO484" s="125"/>
      <c r="AP484" s="16"/>
      <c r="AQ484" s="125"/>
      <c r="AZ484" s="125"/>
      <c r="BA484" s="142"/>
      <c r="BB484" s="125"/>
      <c r="BC484" s="16"/>
      <c r="BD484" s="125"/>
      <c r="BE484" s="125"/>
      <c r="BF484" s="16"/>
      <c r="BG484" s="125"/>
      <c r="BQ484" s="125"/>
      <c r="BR484" s="16"/>
      <c r="BS484" s="123"/>
      <c r="BT484" s="19"/>
      <c r="BU484" s="139"/>
      <c r="BV484" s="139"/>
      <c r="BW484" s="123"/>
      <c r="BX484" s="123"/>
      <c r="BY484" s="123"/>
      <c r="BZ484" s="123"/>
      <c r="CA484" s="123"/>
      <c r="CB484" s="123"/>
      <c r="CC484" s="6"/>
      <c r="CD484" s="123"/>
      <c r="CE484" s="6"/>
      <c r="CF484" s="123"/>
      <c r="CG484" s="6"/>
      <c r="CH484" s="6"/>
      <c r="CI484" s="6"/>
      <c r="CJ484" s="6"/>
      <c r="CK484" s="123"/>
      <c r="CL484" s="6"/>
      <c r="CM484" s="6"/>
      <c r="CN484" s="6"/>
      <c r="CO484" s="138"/>
      <c r="CP484" s="138"/>
      <c r="CQ484" s="123"/>
      <c r="CR484" s="6"/>
      <c r="CS484" s="6"/>
      <c r="CT484" s="139"/>
      <c r="CU484" s="139"/>
      <c r="CV484" s="76"/>
      <c r="CW484" s="123"/>
      <c r="CX484" s="6"/>
      <c r="DI484" s="125"/>
      <c r="DJ484" s="16"/>
      <c r="DM484" s="16"/>
      <c r="DN484" s="16"/>
      <c r="DO484" s="125"/>
      <c r="DP484" s="16"/>
      <c r="DQ484" s="125"/>
      <c r="DZ484" s="125"/>
      <c r="EA484" s="142"/>
      <c r="EB484" s="125"/>
      <c r="EC484" s="16"/>
      <c r="ED484" s="125"/>
      <c r="EE484" s="125"/>
      <c r="EF484" s="16"/>
      <c r="EG484" s="125"/>
      <c r="EQ484" s="125"/>
      <c r="ER484" s="16"/>
      <c r="ES484" s="123"/>
      <c r="ET484" s="19"/>
      <c r="EU484" s="139"/>
      <c r="EV484" s="139"/>
      <c r="EW484" s="123"/>
      <c r="EX484" s="123"/>
      <c r="EY484" s="123"/>
      <c r="EZ484" s="123"/>
      <c r="FA484" s="123"/>
      <c r="FB484" s="123"/>
      <c r="FC484" s="6"/>
      <c r="FD484" s="123"/>
      <c r="FE484" s="6"/>
      <c r="FF484" s="123"/>
      <c r="FG484" s="6"/>
      <c r="FH484" s="6"/>
      <c r="FI484" s="6"/>
      <c r="FJ484" s="6"/>
      <c r="FK484" s="123"/>
      <c r="FL484" s="6"/>
      <c r="FM484" s="6"/>
      <c r="FN484" s="6"/>
      <c r="FO484" s="138"/>
      <c r="FP484" s="138"/>
      <c r="FQ484" s="123"/>
      <c r="FR484" s="6"/>
      <c r="FS484" s="6"/>
      <c r="FT484" s="139"/>
      <c r="FU484" s="139"/>
      <c r="FV484" s="76"/>
      <c r="FW484" s="123"/>
      <c r="FX484" s="6"/>
    </row>
    <row r="485" spans="35:180">
      <c r="AI485" s="125"/>
      <c r="AJ485" s="16"/>
      <c r="AM485" s="16"/>
      <c r="AN485" s="16"/>
      <c r="AO485" s="125"/>
      <c r="AP485" s="16"/>
      <c r="AQ485" s="125"/>
      <c r="AZ485" s="125"/>
      <c r="BA485" s="142"/>
      <c r="BB485" s="125"/>
      <c r="BC485" s="16"/>
      <c r="BD485" s="125"/>
      <c r="BE485" s="125"/>
      <c r="BF485" s="16"/>
      <c r="BG485" s="125"/>
      <c r="BQ485" s="125"/>
      <c r="BR485" s="16"/>
      <c r="BS485" s="123"/>
      <c r="BT485" s="19"/>
      <c r="BU485" s="139"/>
      <c r="BV485" s="139"/>
      <c r="BW485" s="123"/>
      <c r="BX485" s="123"/>
      <c r="BY485" s="123"/>
      <c r="BZ485" s="123"/>
      <c r="CA485" s="123"/>
      <c r="CB485" s="123"/>
      <c r="CC485" s="6"/>
      <c r="CD485" s="123"/>
      <c r="CE485" s="6"/>
      <c r="CF485" s="123"/>
      <c r="CG485" s="6"/>
      <c r="CH485" s="6"/>
      <c r="CI485" s="6"/>
      <c r="CJ485" s="6"/>
      <c r="CK485" s="123"/>
      <c r="CL485" s="6"/>
      <c r="CM485" s="6"/>
      <c r="CN485" s="6"/>
      <c r="CO485" s="138"/>
      <c r="CP485" s="138"/>
      <c r="CQ485" s="123"/>
      <c r="CR485" s="6"/>
      <c r="CS485" s="6"/>
      <c r="CT485" s="139"/>
      <c r="CU485" s="139"/>
      <c r="CV485" s="76"/>
      <c r="CW485" s="123"/>
      <c r="CX485" s="6"/>
      <c r="DI485" s="125"/>
      <c r="DJ485" s="16"/>
      <c r="DM485" s="16"/>
      <c r="DN485" s="16"/>
      <c r="DO485" s="125"/>
      <c r="DP485" s="16"/>
      <c r="DQ485" s="125"/>
      <c r="DZ485" s="125"/>
      <c r="EA485" s="142"/>
      <c r="EB485" s="125"/>
      <c r="EC485" s="16"/>
      <c r="ED485" s="125"/>
      <c r="EE485" s="125"/>
      <c r="EF485" s="16"/>
      <c r="EG485" s="125"/>
      <c r="EQ485" s="125"/>
      <c r="ER485" s="16"/>
      <c r="ES485" s="123"/>
      <c r="ET485" s="19"/>
      <c r="EU485" s="139"/>
      <c r="EV485" s="139"/>
      <c r="EW485" s="123"/>
      <c r="EX485" s="123"/>
      <c r="EY485" s="123"/>
      <c r="EZ485" s="123"/>
      <c r="FA485" s="123"/>
      <c r="FB485" s="123"/>
      <c r="FC485" s="6"/>
      <c r="FD485" s="123"/>
      <c r="FE485" s="6"/>
      <c r="FF485" s="123"/>
      <c r="FG485" s="6"/>
      <c r="FH485" s="6"/>
      <c r="FI485" s="6"/>
      <c r="FJ485" s="6"/>
      <c r="FK485" s="123"/>
      <c r="FL485" s="6"/>
      <c r="FM485" s="6"/>
      <c r="FN485" s="6"/>
      <c r="FO485" s="138"/>
      <c r="FP485" s="138"/>
      <c r="FQ485" s="123"/>
      <c r="FR485" s="6"/>
      <c r="FS485" s="6"/>
      <c r="FT485" s="139"/>
      <c r="FU485" s="139"/>
      <c r="FV485" s="76"/>
      <c r="FW485" s="123"/>
      <c r="FX485" s="6"/>
    </row>
    <row r="486" spans="35:180">
      <c r="AI486" s="125"/>
      <c r="AJ486" s="16"/>
      <c r="AM486" s="16"/>
      <c r="AN486" s="16"/>
      <c r="AO486" s="125"/>
      <c r="AP486" s="16"/>
      <c r="AQ486" s="125"/>
      <c r="AZ486" s="125"/>
      <c r="BA486" s="142"/>
      <c r="BB486" s="125"/>
      <c r="BC486" s="16"/>
      <c r="BD486" s="125"/>
      <c r="BE486" s="125"/>
      <c r="BF486" s="16"/>
      <c r="BG486" s="125"/>
      <c r="BQ486" s="125"/>
      <c r="BR486" s="16"/>
      <c r="BS486" s="123"/>
      <c r="BT486" s="19"/>
      <c r="BU486" s="139"/>
      <c r="BV486" s="139"/>
      <c r="BW486" s="123"/>
      <c r="BX486" s="123"/>
      <c r="BY486" s="123"/>
      <c r="BZ486" s="123"/>
      <c r="CA486" s="123"/>
      <c r="CB486" s="123"/>
      <c r="CC486" s="6"/>
      <c r="CD486" s="123"/>
      <c r="CE486" s="6"/>
      <c r="CF486" s="123"/>
      <c r="CG486" s="6"/>
      <c r="CH486" s="6"/>
      <c r="CI486" s="6"/>
      <c r="CJ486" s="6"/>
      <c r="CK486" s="123"/>
      <c r="CL486" s="6"/>
      <c r="CM486" s="6"/>
      <c r="CN486" s="6"/>
      <c r="CO486" s="138"/>
      <c r="CP486" s="138"/>
      <c r="CQ486" s="123"/>
      <c r="CR486" s="6"/>
      <c r="CS486" s="6"/>
      <c r="CT486" s="139"/>
      <c r="CU486" s="139"/>
      <c r="CV486" s="76"/>
      <c r="CW486" s="123"/>
      <c r="CX486" s="6"/>
      <c r="DI486" s="125"/>
      <c r="DJ486" s="16"/>
      <c r="DM486" s="16"/>
      <c r="DN486" s="16"/>
      <c r="DO486" s="125"/>
      <c r="DP486" s="16"/>
      <c r="DQ486" s="125"/>
      <c r="DZ486" s="125"/>
      <c r="EA486" s="142"/>
      <c r="EB486" s="125"/>
      <c r="EC486" s="16"/>
      <c r="ED486" s="125"/>
      <c r="EE486" s="125"/>
      <c r="EF486" s="16"/>
      <c r="EG486" s="125"/>
      <c r="EQ486" s="125"/>
      <c r="ER486" s="16"/>
      <c r="ES486" s="123"/>
      <c r="ET486" s="19"/>
      <c r="EU486" s="139"/>
      <c r="EV486" s="139"/>
      <c r="EW486" s="123"/>
      <c r="EX486" s="123"/>
      <c r="EY486" s="123"/>
      <c r="EZ486" s="123"/>
      <c r="FA486" s="123"/>
      <c r="FB486" s="123"/>
      <c r="FC486" s="6"/>
      <c r="FD486" s="123"/>
      <c r="FE486" s="6"/>
      <c r="FF486" s="123"/>
      <c r="FG486" s="6"/>
      <c r="FH486" s="6"/>
      <c r="FI486" s="6"/>
      <c r="FJ486" s="6"/>
      <c r="FK486" s="123"/>
      <c r="FL486" s="6"/>
      <c r="FM486" s="6"/>
      <c r="FN486" s="6"/>
      <c r="FO486" s="138"/>
      <c r="FP486" s="138"/>
      <c r="FQ486" s="123"/>
      <c r="FR486" s="6"/>
      <c r="FS486" s="6"/>
      <c r="FT486" s="139"/>
      <c r="FU486" s="139"/>
      <c r="FV486" s="76"/>
      <c r="FW486" s="123"/>
      <c r="FX486" s="6"/>
    </row>
    <row r="487" spans="35:180">
      <c r="AI487" s="125"/>
      <c r="AJ487" s="16"/>
      <c r="AM487" s="16"/>
      <c r="AN487" s="16"/>
      <c r="AO487" s="125"/>
      <c r="AP487" s="16"/>
      <c r="AQ487" s="125"/>
      <c r="AZ487" s="125"/>
      <c r="BA487" s="142"/>
      <c r="BB487" s="125"/>
      <c r="BC487" s="16"/>
      <c r="BD487" s="125"/>
      <c r="BE487" s="125"/>
      <c r="BF487" s="16"/>
      <c r="BG487" s="125"/>
      <c r="BQ487" s="125"/>
      <c r="BR487" s="16"/>
      <c r="BS487" s="123"/>
      <c r="BT487" s="19"/>
      <c r="BU487" s="139"/>
      <c r="BV487" s="139"/>
      <c r="BW487" s="123"/>
      <c r="BX487" s="123"/>
      <c r="BY487" s="123"/>
      <c r="BZ487" s="123"/>
      <c r="CA487" s="123"/>
      <c r="CB487" s="123"/>
      <c r="CC487" s="6"/>
      <c r="CD487" s="123"/>
      <c r="CE487" s="6"/>
      <c r="CF487" s="123"/>
      <c r="CG487" s="6"/>
      <c r="CH487" s="6"/>
      <c r="CI487" s="6"/>
      <c r="CJ487" s="6"/>
      <c r="CK487" s="123"/>
      <c r="CL487" s="6"/>
      <c r="CM487" s="6"/>
      <c r="CN487" s="6"/>
      <c r="CO487" s="138"/>
      <c r="CP487" s="138"/>
      <c r="CQ487" s="123"/>
      <c r="CR487" s="6"/>
      <c r="CS487" s="6"/>
      <c r="CT487" s="139"/>
      <c r="CU487" s="139"/>
      <c r="CV487" s="76"/>
      <c r="CW487" s="123"/>
      <c r="CX487" s="6"/>
      <c r="DI487" s="125"/>
      <c r="DJ487" s="16"/>
      <c r="DM487" s="16"/>
      <c r="DN487" s="16"/>
      <c r="DO487" s="125"/>
      <c r="DP487" s="16"/>
      <c r="DQ487" s="125"/>
      <c r="DZ487" s="125"/>
      <c r="EA487" s="142"/>
      <c r="EB487" s="125"/>
      <c r="EC487" s="16"/>
      <c r="ED487" s="125"/>
      <c r="EE487" s="125"/>
      <c r="EF487" s="16"/>
      <c r="EG487" s="125"/>
      <c r="EQ487" s="125"/>
      <c r="ER487" s="16"/>
      <c r="ES487" s="123"/>
      <c r="ET487" s="19"/>
      <c r="EU487" s="139"/>
      <c r="EV487" s="139"/>
      <c r="EW487" s="123"/>
      <c r="EX487" s="123"/>
      <c r="EY487" s="123"/>
      <c r="EZ487" s="123"/>
      <c r="FA487" s="123"/>
      <c r="FB487" s="123"/>
      <c r="FC487" s="6"/>
      <c r="FD487" s="123"/>
      <c r="FE487" s="6"/>
      <c r="FF487" s="123"/>
      <c r="FG487" s="6"/>
      <c r="FH487" s="6"/>
      <c r="FI487" s="6"/>
      <c r="FJ487" s="6"/>
      <c r="FK487" s="123"/>
      <c r="FL487" s="6"/>
      <c r="FM487" s="6"/>
      <c r="FN487" s="6"/>
      <c r="FO487" s="138"/>
      <c r="FP487" s="138"/>
      <c r="FQ487" s="123"/>
      <c r="FR487" s="6"/>
      <c r="FS487" s="6"/>
      <c r="FT487" s="139"/>
      <c r="FU487" s="139"/>
      <c r="FV487" s="76"/>
      <c r="FW487" s="123"/>
      <c r="FX487" s="6"/>
    </row>
    <row r="488" spans="35:180">
      <c r="AI488" s="125"/>
      <c r="AJ488" s="16"/>
      <c r="AM488" s="16"/>
      <c r="AN488" s="16"/>
      <c r="AO488" s="125"/>
      <c r="AP488" s="16"/>
      <c r="AQ488" s="125"/>
      <c r="AZ488" s="125"/>
      <c r="BA488" s="142"/>
      <c r="BB488" s="125"/>
      <c r="BC488" s="16"/>
      <c r="BD488" s="125"/>
      <c r="BE488" s="125"/>
      <c r="BF488" s="16"/>
      <c r="BG488" s="125"/>
      <c r="BQ488" s="125"/>
      <c r="BR488" s="16"/>
      <c r="BS488" s="123"/>
      <c r="BT488" s="19"/>
      <c r="BU488" s="139"/>
      <c r="BV488" s="139"/>
      <c r="BW488" s="123"/>
      <c r="BX488" s="123"/>
      <c r="BY488" s="123"/>
      <c r="BZ488" s="123"/>
      <c r="CA488" s="123"/>
      <c r="CB488" s="123"/>
      <c r="CC488" s="6"/>
      <c r="CD488" s="123"/>
      <c r="CE488" s="6"/>
      <c r="CF488" s="123"/>
      <c r="CG488" s="6"/>
      <c r="CH488" s="6"/>
      <c r="CI488" s="6"/>
      <c r="CJ488" s="6"/>
      <c r="CK488" s="123"/>
      <c r="CL488" s="6"/>
      <c r="CM488" s="6"/>
      <c r="CN488" s="6"/>
      <c r="CO488" s="138"/>
      <c r="CP488" s="138"/>
      <c r="CQ488" s="123"/>
      <c r="CR488" s="6"/>
      <c r="CS488" s="6"/>
      <c r="CT488" s="139"/>
      <c r="CU488" s="139"/>
      <c r="CV488" s="76"/>
      <c r="CW488" s="123"/>
      <c r="CX488" s="6"/>
      <c r="DI488" s="125"/>
      <c r="DJ488" s="16"/>
      <c r="DM488" s="16"/>
      <c r="DN488" s="16"/>
      <c r="DO488" s="125"/>
      <c r="DP488" s="16"/>
      <c r="DQ488" s="125"/>
      <c r="DZ488" s="125"/>
      <c r="EA488" s="142"/>
      <c r="EB488" s="125"/>
      <c r="EC488" s="16"/>
      <c r="ED488" s="125"/>
      <c r="EE488" s="125"/>
      <c r="EF488" s="16"/>
      <c r="EG488" s="125"/>
      <c r="EQ488" s="125"/>
      <c r="ER488" s="16"/>
      <c r="ES488" s="123"/>
      <c r="ET488" s="19"/>
      <c r="EU488" s="139"/>
      <c r="EV488" s="139"/>
      <c r="EW488" s="123"/>
      <c r="EX488" s="123"/>
      <c r="EY488" s="123"/>
      <c r="EZ488" s="123"/>
      <c r="FA488" s="123"/>
      <c r="FB488" s="123"/>
      <c r="FC488" s="6"/>
      <c r="FD488" s="123"/>
      <c r="FE488" s="6"/>
      <c r="FF488" s="123"/>
      <c r="FG488" s="6"/>
      <c r="FH488" s="6"/>
      <c r="FI488" s="6"/>
      <c r="FJ488" s="6"/>
      <c r="FK488" s="123"/>
      <c r="FL488" s="6"/>
      <c r="FM488" s="6"/>
      <c r="FN488" s="6"/>
      <c r="FO488" s="138"/>
      <c r="FP488" s="138"/>
      <c r="FQ488" s="123"/>
      <c r="FR488" s="6"/>
      <c r="FS488" s="6"/>
      <c r="FT488" s="139"/>
      <c r="FU488" s="139"/>
      <c r="FV488" s="76"/>
      <c r="FW488" s="123"/>
      <c r="FX488" s="6"/>
    </row>
    <row r="489" spans="35:180">
      <c r="AI489" s="125"/>
      <c r="AJ489" s="16"/>
      <c r="AM489" s="16"/>
      <c r="AN489" s="16"/>
      <c r="AO489" s="125"/>
      <c r="AP489" s="16"/>
      <c r="AQ489" s="125"/>
      <c r="AZ489" s="125"/>
      <c r="BA489" s="142"/>
      <c r="BB489" s="125"/>
      <c r="BC489" s="16"/>
      <c r="BD489" s="125"/>
      <c r="BE489" s="125"/>
      <c r="BF489" s="16"/>
      <c r="BG489" s="125"/>
      <c r="BQ489" s="125"/>
      <c r="BR489" s="16"/>
      <c r="BS489" s="123"/>
      <c r="BT489" s="19"/>
      <c r="BU489" s="139"/>
      <c r="BV489" s="139"/>
      <c r="BW489" s="123"/>
      <c r="BX489" s="123"/>
      <c r="BY489" s="123"/>
      <c r="BZ489" s="123"/>
      <c r="CA489" s="123"/>
      <c r="CB489" s="123"/>
      <c r="CC489" s="6"/>
      <c r="CD489" s="123"/>
      <c r="CE489" s="6"/>
      <c r="CF489" s="123"/>
      <c r="CG489" s="6"/>
      <c r="CH489" s="6"/>
      <c r="CI489" s="6"/>
      <c r="CJ489" s="6"/>
      <c r="CK489" s="123"/>
      <c r="CL489" s="6"/>
      <c r="CM489" s="6"/>
      <c r="CN489" s="6"/>
      <c r="CO489" s="138"/>
      <c r="CP489" s="138"/>
      <c r="CQ489" s="123"/>
      <c r="CR489" s="6"/>
      <c r="CS489" s="6"/>
      <c r="CT489" s="139"/>
      <c r="CU489" s="139"/>
      <c r="CV489" s="76"/>
      <c r="CW489" s="123"/>
      <c r="CX489" s="6"/>
      <c r="DI489" s="125"/>
      <c r="DJ489" s="16"/>
      <c r="DM489" s="16"/>
      <c r="DN489" s="16"/>
      <c r="DO489" s="125"/>
      <c r="DP489" s="16"/>
      <c r="DQ489" s="125"/>
      <c r="DZ489" s="125"/>
      <c r="EA489" s="142"/>
      <c r="EB489" s="125"/>
      <c r="EC489" s="16"/>
      <c r="ED489" s="125"/>
      <c r="EE489" s="125"/>
      <c r="EF489" s="16"/>
      <c r="EG489" s="125"/>
      <c r="EQ489" s="125"/>
      <c r="ER489" s="16"/>
      <c r="ES489" s="123"/>
      <c r="ET489" s="19"/>
      <c r="EU489" s="139"/>
      <c r="EV489" s="139"/>
      <c r="EW489" s="123"/>
      <c r="EX489" s="123"/>
      <c r="EY489" s="123"/>
      <c r="EZ489" s="123"/>
      <c r="FA489" s="123"/>
      <c r="FB489" s="123"/>
      <c r="FC489" s="6"/>
      <c r="FD489" s="123"/>
      <c r="FE489" s="6"/>
      <c r="FF489" s="123"/>
      <c r="FG489" s="6"/>
      <c r="FH489" s="6"/>
      <c r="FI489" s="6"/>
      <c r="FJ489" s="6"/>
      <c r="FK489" s="123"/>
      <c r="FL489" s="6"/>
      <c r="FM489" s="6"/>
      <c r="FN489" s="6"/>
      <c r="FO489" s="138"/>
      <c r="FP489" s="138"/>
      <c r="FQ489" s="123"/>
      <c r="FR489" s="6"/>
      <c r="FS489" s="6"/>
      <c r="FT489" s="139"/>
      <c r="FU489" s="139"/>
      <c r="FV489" s="76"/>
      <c r="FW489" s="123"/>
      <c r="FX489" s="6"/>
    </row>
    <row r="490" spans="35:180">
      <c r="AI490" s="125"/>
      <c r="AJ490" s="16"/>
      <c r="AM490" s="16"/>
      <c r="AN490" s="16"/>
      <c r="AO490" s="125"/>
      <c r="AP490" s="16"/>
      <c r="AQ490" s="125"/>
      <c r="AZ490" s="125"/>
      <c r="BA490" s="142"/>
      <c r="BB490" s="125"/>
      <c r="BC490" s="16"/>
      <c r="BD490" s="125"/>
      <c r="BE490" s="125"/>
      <c r="BF490" s="16"/>
      <c r="BG490" s="125"/>
      <c r="BQ490" s="125"/>
      <c r="BR490" s="16"/>
      <c r="BS490" s="123"/>
      <c r="BT490" s="19"/>
      <c r="BU490" s="139"/>
      <c r="BV490" s="139"/>
      <c r="BW490" s="123"/>
      <c r="BX490" s="123"/>
      <c r="BY490" s="123"/>
      <c r="BZ490" s="123"/>
      <c r="CA490" s="123"/>
      <c r="CB490" s="123"/>
      <c r="CC490" s="6"/>
      <c r="CD490" s="123"/>
      <c r="CE490" s="6"/>
      <c r="CF490" s="123"/>
      <c r="CG490" s="6"/>
      <c r="CH490" s="6"/>
      <c r="CI490" s="6"/>
      <c r="CJ490" s="6"/>
      <c r="CK490" s="123"/>
      <c r="CL490" s="6"/>
      <c r="CM490" s="6"/>
      <c r="CN490" s="6"/>
      <c r="CO490" s="138"/>
      <c r="CP490" s="138"/>
      <c r="CQ490" s="123"/>
      <c r="CR490" s="6"/>
      <c r="CS490" s="6"/>
      <c r="CT490" s="139"/>
      <c r="CU490" s="139"/>
      <c r="CV490" s="76"/>
      <c r="CW490" s="123"/>
      <c r="CX490" s="6"/>
      <c r="DI490" s="125"/>
      <c r="DJ490" s="16"/>
      <c r="DM490" s="16"/>
      <c r="DN490" s="16"/>
      <c r="DO490" s="125"/>
      <c r="DP490" s="16"/>
      <c r="DQ490" s="125"/>
      <c r="DZ490" s="125"/>
      <c r="EA490" s="142"/>
      <c r="EB490" s="125"/>
      <c r="EC490" s="16"/>
      <c r="ED490" s="125"/>
      <c r="EE490" s="125"/>
      <c r="EF490" s="16"/>
      <c r="EG490" s="125"/>
      <c r="EQ490" s="125"/>
      <c r="ER490" s="16"/>
      <c r="ES490" s="123"/>
      <c r="ET490" s="19"/>
      <c r="EU490" s="139"/>
      <c r="EV490" s="139"/>
      <c r="EW490" s="123"/>
      <c r="EX490" s="123"/>
      <c r="EY490" s="123"/>
      <c r="EZ490" s="123"/>
      <c r="FA490" s="123"/>
      <c r="FB490" s="123"/>
      <c r="FC490" s="6"/>
      <c r="FD490" s="123"/>
      <c r="FE490" s="6"/>
      <c r="FF490" s="123"/>
      <c r="FG490" s="6"/>
      <c r="FH490" s="6"/>
      <c r="FI490" s="6"/>
      <c r="FJ490" s="6"/>
      <c r="FK490" s="123"/>
      <c r="FL490" s="6"/>
      <c r="FM490" s="6"/>
      <c r="FN490" s="6"/>
      <c r="FO490" s="138"/>
      <c r="FP490" s="138"/>
      <c r="FQ490" s="123"/>
      <c r="FR490" s="6"/>
      <c r="FS490" s="6"/>
      <c r="FT490" s="139"/>
      <c r="FU490" s="139"/>
      <c r="FV490" s="76"/>
      <c r="FW490" s="123"/>
      <c r="FX490" s="6"/>
    </row>
    <row r="491" spans="35:180">
      <c r="AI491" s="125"/>
      <c r="AJ491" s="16"/>
      <c r="AM491" s="16"/>
      <c r="AN491" s="16"/>
      <c r="AO491" s="125"/>
      <c r="AP491" s="16"/>
      <c r="AQ491" s="125"/>
      <c r="AZ491" s="125"/>
      <c r="BA491" s="142"/>
      <c r="BB491" s="125"/>
      <c r="BC491" s="16"/>
      <c r="BD491" s="125"/>
      <c r="BE491" s="125"/>
      <c r="BF491" s="16"/>
      <c r="BG491" s="125"/>
      <c r="BQ491" s="125"/>
      <c r="BR491" s="16"/>
      <c r="BS491" s="123"/>
      <c r="BT491" s="19"/>
      <c r="BU491" s="139"/>
      <c r="BV491" s="139"/>
      <c r="BW491" s="123"/>
      <c r="BX491" s="123"/>
      <c r="BY491" s="123"/>
      <c r="BZ491" s="123"/>
      <c r="CA491" s="123"/>
      <c r="CB491" s="123"/>
      <c r="CC491" s="6"/>
      <c r="CD491" s="123"/>
      <c r="CE491" s="6"/>
      <c r="CF491" s="123"/>
      <c r="CG491" s="6"/>
      <c r="CH491" s="6"/>
      <c r="CI491" s="6"/>
      <c r="CJ491" s="6"/>
      <c r="CK491" s="123"/>
      <c r="CL491" s="6"/>
      <c r="CM491" s="6"/>
      <c r="CN491" s="6"/>
      <c r="CO491" s="138"/>
      <c r="CP491" s="138"/>
      <c r="CQ491" s="123"/>
      <c r="CR491" s="6"/>
      <c r="CS491" s="6"/>
      <c r="CT491" s="139"/>
      <c r="CU491" s="139"/>
      <c r="CV491" s="76"/>
      <c r="CW491" s="123"/>
      <c r="CX491" s="6"/>
      <c r="DI491" s="125"/>
      <c r="DJ491" s="16"/>
      <c r="DM491" s="16"/>
      <c r="DN491" s="16"/>
      <c r="DO491" s="125"/>
      <c r="DP491" s="16"/>
      <c r="DQ491" s="125"/>
      <c r="DZ491" s="125"/>
      <c r="EA491" s="142"/>
      <c r="EB491" s="125"/>
      <c r="EC491" s="16"/>
      <c r="ED491" s="125"/>
      <c r="EE491" s="125"/>
      <c r="EF491" s="16"/>
      <c r="EG491" s="125"/>
      <c r="EQ491" s="125"/>
      <c r="ER491" s="16"/>
      <c r="ES491" s="123"/>
      <c r="ET491" s="19"/>
      <c r="EU491" s="139"/>
      <c r="EV491" s="139"/>
      <c r="EW491" s="123"/>
      <c r="EX491" s="123"/>
      <c r="EY491" s="123"/>
      <c r="EZ491" s="123"/>
      <c r="FA491" s="123"/>
      <c r="FB491" s="123"/>
      <c r="FC491" s="6"/>
      <c r="FD491" s="123"/>
      <c r="FE491" s="6"/>
      <c r="FF491" s="123"/>
      <c r="FG491" s="6"/>
      <c r="FH491" s="6"/>
      <c r="FI491" s="6"/>
      <c r="FJ491" s="6"/>
      <c r="FK491" s="123"/>
      <c r="FL491" s="6"/>
      <c r="FM491" s="6"/>
      <c r="FN491" s="6"/>
      <c r="FO491" s="138"/>
      <c r="FP491" s="138"/>
      <c r="FQ491" s="123"/>
      <c r="FR491" s="6"/>
      <c r="FS491" s="6"/>
      <c r="FT491" s="139"/>
      <c r="FU491" s="139"/>
      <c r="FV491" s="76"/>
      <c r="FW491" s="123"/>
      <c r="FX491" s="6"/>
    </row>
    <row r="492" spans="35:180">
      <c r="AI492" s="125"/>
      <c r="AJ492" s="16"/>
      <c r="AM492" s="16"/>
      <c r="AN492" s="16"/>
      <c r="AO492" s="125"/>
      <c r="AP492" s="16"/>
      <c r="AQ492" s="125"/>
      <c r="AZ492" s="125"/>
      <c r="BA492" s="142"/>
      <c r="BB492" s="125"/>
      <c r="BC492" s="16"/>
      <c r="BD492" s="125"/>
      <c r="BE492" s="125"/>
      <c r="BF492" s="16"/>
      <c r="BG492" s="125"/>
      <c r="BQ492" s="125"/>
      <c r="BR492" s="16"/>
      <c r="BS492" s="123"/>
      <c r="BT492" s="19"/>
      <c r="BU492" s="139"/>
      <c r="BV492" s="139"/>
      <c r="BW492" s="123"/>
      <c r="BX492" s="123"/>
      <c r="BY492" s="123"/>
      <c r="BZ492" s="123"/>
      <c r="CA492" s="123"/>
      <c r="CB492" s="123"/>
      <c r="CC492" s="6"/>
      <c r="CD492" s="123"/>
      <c r="CE492" s="6"/>
      <c r="CF492" s="123"/>
      <c r="CG492" s="6"/>
      <c r="CH492" s="6"/>
      <c r="CI492" s="6"/>
      <c r="CJ492" s="6"/>
      <c r="CK492" s="123"/>
      <c r="CL492" s="6"/>
      <c r="CM492" s="6"/>
      <c r="CN492" s="6"/>
      <c r="CO492" s="138"/>
      <c r="CP492" s="138"/>
      <c r="CQ492" s="123"/>
      <c r="CR492" s="6"/>
      <c r="CS492" s="6"/>
      <c r="CT492" s="139"/>
      <c r="CU492" s="139"/>
      <c r="CV492" s="76"/>
      <c r="CW492" s="123"/>
      <c r="CX492" s="6"/>
      <c r="DI492" s="125"/>
      <c r="DJ492" s="16"/>
      <c r="DM492" s="16"/>
      <c r="DN492" s="16"/>
      <c r="DO492" s="125"/>
      <c r="DP492" s="16"/>
      <c r="DQ492" s="125"/>
      <c r="DZ492" s="125"/>
      <c r="EA492" s="142"/>
      <c r="EB492" s="125"/>
      <c r="EC492" s="16"/>
      <c r="ED492" s="125"/>
      <c r="EE492" s="125"/>
      <c r="EF492" s="16"/>
      <c r="EG492" s="125"/>
      <c r="EQ492" s="125"/>
      <c r="ER492" s="16"/>
      <c r="ES492" s="123"/>
      <c r="ET492" s="19"/>
      <c r="EU492" s="139"/>
      <c r="EV492" s="139"/>
      <c r="EW492" s="123"/>
      <c r="EX492" s="123"/>
      <c r="EY492" s="123"/>
      <c r="EZ492" s="123"/>
      <c r="FA492" s="123"/>
      <c r="FB492" s="123"/>
      <c r="FC492" s="6"/>
      <c r="FD492" s="123"/>
      <c r="FE492" s="6"/>
      <c r="FF492" s="123"/>
      <c r="FG492" s="6"/>
      <c r="FH492" s="6"/>
      <c r="FI492" s="6"/>
      <c r="FJ492" s="6"/>
      <c r="FK492" s="123"/>
      <c r="FL492" s="6"/>
      <c r="FM492" s="6"/>
      <c r="FN492" s="6"/>
      <c r="FO492" s="138"/>
      <c r="FP492" s="138"/>
      <c r="FQ492" s="123"/>
      <c r="FR492" s="6"/>
      <c r="FS492" s="6"/>
      <c r="FT492" s="139"/>
      <c r="FU492" s="139"/>
      <c r="FV492" s="76"/>
      <c r="FW492" s="123"/>
      <c r="FX492" s="6"/>
    </row>
    <row r="493" spans="35:180">
      <c r="AI493" s="125"/>
      <c r="AJ493" s="16"/>
      <c r="AM493" s="16"/>
      <c r="AN493" s="16"/>
      <c r="AO493" s="125"/>
      <c r="AP493" s="16"/>
      <c r="AQ493" s="125"/>
      <c r="AZ493" s="125"/>
      <c r="BA493" s="142"/>
      <c r="BB493" s="125"/>
      <c r="BC493" s="16"/>
      <c r="BD493" s="125"/>
      <c r="BE493" s="125"/>
      <c r="BF493" s="16"/>
      <c r="BG493" s="125"/>
      <c r="BQ493" s="125"/>
      <c r="BR493" s="16"/>
      <c r="BS493" s="123"/>
      <c r="BT493" s="19"/>
      <c r="BU493" s="139"/>
      <c r="BV493" s="139"/>
      <c r="BW493" s="123"/>
      <c r="BX493" s="123"/>
      <c r="BY493" s="123"/>
      <c r="BZ493" s="123"/>
      <c r="CA493" s="123"/>
      <c r="CB493" s="123"/>
      <c r="CC493" s="6"/>
      <c r="CD493" s="123"/>
      <c r="CE493" s="6"/>
      <c r="CF493" s="123"/>
      <c r="CG493" s="6"/>
      <c r="CH493" s="6"/>
      <c r="CI493" s="6"/>
      <c r="CJ493" s="6"/>
      <c r="CK493" s="123"/>
      <c r="CL493" s="6"/>
      <c r="CM493" s="6"/>
      <c r="CN493" s="6"/>
      <c r="CO493" s="138"/>
      <c r="CP493" s="138"/>
      <c r="CQ493" s="123"/>
      <c r="CR493" s="6"/>
      <c r="CS493" s="6"/>
      <c r="CT493" s="139"/>
      <c r="CU493" s="139"/>
      <c r="CV493" s="76"/>
      <c r="CW493" s="123"/>
      <c r="CX493" s="6"/>
      <c r="DI493" s="125"/>
      <c r="DJ493" s="16"/>
      <c r="DM493" s="16"/>
      <c r="DN493" s="16"/>
      <c r="DO493" s="125"/>
      <c r="DP493" s="16"/>
      <c r="DQ493" s="125"/>
      <c r="DZ493" s="125"/>
      <c r="EA493" s="142"/>
      <c r="EB493" s="125"/>
      <c r="EC493" s="16"/>
      <c r="ED493" s="125"/>
      <c r="EE493" s="125"/>
      <c r="EF493" s="16"/>
      <c r="EG493" s="125"/>
      <c r="EQ493" s="125"/>
      <c r="ER493" s="16"/>
      <c r="ES493" s="123"/>
      <c r="ET493" s="19"/>
      <c r="EU493" s="139"/>
      <c r="EV493" s="139"/>
      <c r="EW493" s="123"/>
      <c r="EX493" s="123"/>
      <c r="EY493" s="123"/>
      <c r="EZ493" s="123"/>
      <c r="FA493" s="123"/>
      <c r="FB493" s="123"/>
      <c r="FC493" s="6"/>
      <c r="FD493" s="123"/>
      <c r="FE493" s="6"/>
      <c r="FF493" s="123"/>
      <c r="FG493" s="6"/>
      <c r="FH493" s="6"/>
      <c r="FI493" s="6"/>
      <c r="FJ493" s="6"/>
      <c r="FK493" s="123"/>
      <c r="FL493" s="6"/>
      <c r="FM493" s="6"/>
      <c r="FN493" s="6"/>
      <c r="FO493" s="138"/>
      <c r="FP493" s="138"/>
      <c r="FQ493" s="123"/>
      <c r="FR493" s="6"/>
      <c r="FS493" s="6"/>
      <c r="FT493" s="139"/>
      <c r="FU493" s="139"/>
      <c r="FV493" s="76"/>
      <c r="FW493" s="123"/>
      <c r="FX493" s="6"/>
    </row>
    <row r="494" spans="35:180">
      <c r="AI494" s="125"/>
      <c r="AJ494" s="16"/>
      <c r="AM494" s="16"/>
      <c r="AN494" s="16"/>
      <c r="AO494" s="125"/>
      <c r="AP494" s="16"/>
      <c r="AQ494" s="125"/>
      <c r="AZ494" s="125"/>
      <c r="BA494" s="142"/>
      <c r="BB494" s="125"/>
      <c r="BC494" s="16"/>
      <c r="BD494" s="125"/>
      <c r="BE494" s="125"/>
      <c r="BF494" s="16"/>
      <c r="BG494" s="125"/>
      <c r="BQ494" s="125"/>
      <c r="BR494" s="16"/>
      <c r="BS494" s="123"/>
      <c r="BT494" s="19"/>
      <c r="BU494" s="139"/>
      <c r="BV494" s="139"/>
      <c r="BW494" s="123"/>
      <c r="BX494" s="123"/>
      <c r="BY494" s="123"/>
      <c r="BZ494" s="123"/>
      <c r="CA494" s="123"/>
      <c r="CB494" s="123"/>
      <c r="CC494" s="6"/>
      <c r="CD494" s="123"/>
      <c r="CE494" s="6"/>
      <c r="CF494" s="123"/>
      <c r="CG494" s="6"/>
      <c r="CH494" s="6"/>
      <c r="CI494" s="6"/>
      <c r="CJ494" s="6"/>
      <c r="CK494" s="123"/>
      <c r="CL494" s="6"/>
      <c r="CM494" s="6"/>
      <c r="CN494" s="6"/>
      <c r="CO494" s="138"/>
      <c r="CP494" s="138"/>
      <c r="CQ494" s="123"/>
      <c r="CR494" s="6"/>
      <c r="CS494" s="6"/>
      <c r="CT494" s="139"/>
      <c r="CU494" s="139"/>
      <c r="CV494" s="76"/>
      <c r="CW494" s="123"/>
      <c r="CX494" s="6"/>
      <c r="DI494" s="125"/>
      <c r="DJ494" s="16"/>
      <c r="DM494" s="16"/>
      <c r="DN494" s="16"/>
      <c r="DO494" s="125"/>
      <c r="DP494" s="16"/>
      <c r="DQ494" s="125"/>
      <c r="DZ494" s="125"/>
      <c r="EA494" s="142"/>
      <c r="EB494" s="125"/>
      <c r="EC494" s="16"/>
      <c r="ED494" s="125"/>
      <c r="EE494" s="125"/>
      <c r="EF494" s="16"/>
      <c r="EG494" s="125"/>
      <c r="EQ494" s="125"/>
      <c r="ER494" s="16"/>
      <c r="ES494" s="123"/>
      <c r="ET494" s="19"/>
      <c r="EU494" s="139"/>
      <c r="EV494" s="139"/>
      <c r="EW494" s="123"/>
      <c r="EX494" s="123"/>
      <c r="EY494" s="123"/>
      <c r="EZ494" s="123"/>
      <c r="FA494" s="123"/>
      <c r="FB494" s="123"/>
      <c r="FC494" s="6"/>
      <c r="FD494" s="123"/>
      <c r="FE494" s="6"/>
      <c r="FF494" s="123"/>
      <c r="FG494" s="6"/>
      <c r="FH494" s="6"/>
      <c r="FI494" s="6"/>
      <c r="FJ494" s="6"/>
      <c r="FK494" s="123"/>
      <c r="FL494" s="6"/>
      <c r="FM494" s="6"/>
      <c r="FN494" s="6"/>
      <c r="FO494" s="138"/>
      <c r="FP494" s="138"/>
      <c r="FQ494" s="123"/>
      <c r="FR494" s="6"/>
      <c r="FS494" s="6"/>
      <c r="FT494" s="139"/>
      <c r="FU494" s="139"/>
      <c r="FV494" s="76"/>
      <c r="FW494" s="123"/>
      <c r="FX494" s="6"/>
    </row>
    <row r="495" spans="35:180">
      <c r="AI495" s="125"/>
      <c r="AJ495" s="16"/>
      <c r="AM495" s="16"/>
      <c r="AN495" s="16"/>
      <c r="AO495" s="125"/>
      <c r="AP495" s="16"/>
      <c r="AQ495" s="125"/>
      <c r="AZ495" s="125"/>
      <c r="BA495" s="142"/>
      <c r="BB495" s="125"/>
      <c r="BC495" s="16"/>
      <c r="BD495" s="125"/>
      <c r="BE495" s="125"/>
      <c r="BF495" s="16"/>
      <c r="BG495" s="125"/>
      <c r="BQ495" s="125"/>
      <c r="BR495" s="16"/>
      <c r="BS495" s="123"/>
      <c r="BT495" s="19"/>
      <c r="BU495" s="139"/>
      <c r="BV495" s="139"/>
      <c r="BW495" s="123"/>
      <c r="BX495" s="123"/>
      <c r="BY495" s="123"/>
      <c r="BZ495" s="123"/>
      <c r="CA495" s="123"/>
      <c r="CB495" s="123"/>
      <c r="CC495" s="6"/>
      <c r="CD495" s="123"/>
      <c r="CE495" s="6"/>
      <c r="CF495" s="123"/>
      <c r="CG495" s="6"/>
      <c r="CH495" s="6"/>
      <c r="CI495" s="6"/>
      <c r="CJ495" s="6"/>
      <c r="CK495" s="123"/>
      <c r="CL495" s="6"/>
      <c r="CM495" s="6"/>
      <c r="CN495" s="6"/>
      <c r="CO495" s="138"/>
      <c r="CP495" s="138"/>
      <c r="CQ495" s="123"/>
      <c r="CR495" s="6"/>
      <c r="CS495" s="6"/>
      <c r="CT495" s="139"/>
      <c r="CU495" s="139"/>
      <c r="CV495" s="76"/>
      <c r="CW495" s="123"/>
      <c r="CX495" s="6"/>
      <c r="DI495" s="125"/>
      <c r="DJ495" s="16"/>
      <c r="DM495" s="16"/>
      <c r="DN495" s="16"/>
      <c r="DO495" s="125"/>
      <c r="DP495" s="16"/>
      <c r="DQ495" s="125"/>
      <c r="DZ495" s="125"/>
      <c r="EA495" s="142"/>
      <c r="EB495" s="125"/>
      <c r="EC495" s="16"/>
      <c r="ED495" s="125"/>
      <c r="EE495" s="125"/>
      <c r="EF495" s="16"/>
      <c r="EG495" s="125"/>
      <c r="EQ495" s="125"/>
      <c r="ER495" s="16"/>
      <c r="ES495" s="123"/>
      <c r="ET495" s="19"/>
      <c r="EU495" s="139"/>
      <c r="EV495" s="139"/>
      <c r="EW495" s="123"/>
      <c r="EX495" s="123"/>
      <c r="EY495" s="123"/>
      <c r="EZ495" s="123"/>
      <c r="FA495" s="123"/>
      <c r="FB495" s="123"/>
      <c r="FC495" s="6"/>
      <c r="FD495" s="123"/>
      <c r="FE495" s="6"/>
      <c r="FF495" s="123"/>
      <c r="FG495" s="6"/>
      <c r="FH495" s="6"/>
      <c r="FI495" s="6"/>
      <c r="FJ495" s="6"/>
      <c r="FK495" s="123"/>
      <c r="FL495" s="6"/>
      <c r="FM495" s="6"/>
      <c r="FN495" s="6"/>
      <c r="FO495" s="138"/>
      <c r="FP495" s="138"/>
      <c r="FQ495" s="123"/>
      <c r="FR495" s="6"/>
      <c r="FS495" s="6"/>
      <c r="FT495" s="139"/>
      <c r="FU495" s="139"/>
      <c r="FV495" s="76"/>
      <c r="FW495" s="123"/>
      <c r="FX495" s="6"/>
    </row>
    <row r="496" spans="35:180">
      <c r="AI496" s="125"/>
      <c r="AJ496" s="16"/>
      <c r="AM496" s="16"/>
      <c r="AN496" s="16"/>
      <c r="AO496" s="125"/>
      <c r="AP496" s="16"/>
      <c r="AQ496" s="125"/>
      <c r="AZ496" s="125"/>
      <c r="BA496" s="142"/>
      <c r="BB496" s="125"/>
      <c r="BC496" s="16"/>
      <c r="BD496" s="125"/>
      <c r="BE496" s="125"/>
      <c r="BF496" s="16"/>
      <c r="BG496" s="125"/>
      <c r="BQ496" s="125"/>
      <c r="BR496" s="16"/>
      <c r="BS496" s="123"/>
      <c r="BT496" s="19"/>
      <c r="BU496" s="139"/>
      <c r="BV496" s="139"/>
      <c r="BW496" s="123"/>
      <c r="BX496" s="123"/>
      <c r="BY496" s="123"/>
      <c r="BZ496" s="123"/>
      <c r="CA496" s="123"/>
      <c r="CB496" s="123"/>
      <c r="CC496" s="6"/>
      <c r="CD496" s="123"/>
      <c r="CE496" s="6"/>
      <c r="CF496" s="123"/>
      <c r="CG496" s="6"/>
      <c r="CH496" s="6"/>
      <c r="CI496" s="6"/>
      <c r="CJ496" s="6"/>
      <c r="CK496" s="123"/>
      <c r="CL496" s="6"/>
      <c r="CM496" s="6"/>
      <c r="CN496" s="6"/>
      <c r="CO496" s="138"/>
      <c r="CP496" s="138"/>
      <c r="CQ496" s="123"/>
      <c r="CR496" s="6"/>
      <c r="CS496" s="6"/>
      <c r="CT496" s="139"/>
      <c r="CU496" s="139"/>
      <c r="CV496" s="76"/>
      <c r="CW496" s="123"/>
      <c r="CX496" s="6"/>
      <c r="DI496" s="125"/>
      <c r="DJ496" s="16"/>
      <c r="DM496" s="16"/>
      <c r="DN496" s="16"/>
      <c r="DO496" s="125"/>
      <c r="DP496" s="16"/>
      <c r="DQ496" s="125"/>
      <c r="DZ496" s="125"/>
      <c r="EA496" s="142"/>
      <c r="EB496" s="125"/>
      <c r="EC496" s="16"/>
      <c r="ED496" s="125"/>
      <c r="EE496" s="125"/>
      <c r="EF496" s="16"/>
      <c r="EG496" s="125"/>
      <c r="EQ496" s="125"/>
      <c r="ER496" s="16"/>
      <c r="ES496" s="123"/>
      <c r="ET496" s="19"/>
      <c r="EU496" s="139"/>
      <c r="EV496" s="139"/>
      <c r="EW496" s="123"/>
      <c r="EX496" s="123"/>
      <c r="EY496" s="123"/>
      <c r="EZ496" s="123"/>
      <c r="FA496" s="123"/>
      <c r="FB496" s="123"/>
      <c r="FC496" s="6"/>
      <c r="FD496" s="123"/>
      <c r="FE496" s="6"/>
      <c r="FF496" s="123"/>
      <c r="FG496" s="6"/>
      <c r="FH496" s="6"/>
      <c r="FI496" s="6"/>
      <c r="FJ496" s="6"/>
      <c r="FK496" s="123"/>
      <c r="FL496" s="6"/>
      <c r="FM496" s="6"/>
      <c r="FN496" s="6"/>
      <c r="FO496" s="138"/>
      <c r="FP496" s="138"/>
      <c r="FQ496" s="123"/>
      <c r="FR496" s="6"/>
      <c r="FS496" s="6"/>
      <c r="FT496" s="139"/>
      <c r="FU496" s="139"/>
      <c r="FV496" s="76"/>
      <c r="FW496" s="123"/>
      <c r="FX496" s="6"/>
    </row>
    <row r="497" spans="35:180">
      <c r="AI497" s="125"/>
      <c r="AJ497" s="16"/>
      <c r="AM497" s="16"/>
      <c r="AN497" s="16"/>
      <c r="AO497" s="125"/>
      <c r="AP497" s="16"/>
      <c r="AQ497" s="125"/>
      <c r="AZ497" s="125"/>
      <c r="BA497" s="142"/>
      <c r="BB497" s="125"/>
      <c r="BC497" s="16"/>
      <c r="BD497" s="125"/>
      <c r="BE497" s="125"/>
      <c r="BF497" s="16"/>
      <c r="BG497" s="125"/>
      <c r="BQ497" s="125"/>
      <c r="BR497" s="16"/>
      <c r="BS497" s="123"/>
      <c r="BT497" s="19"/>
      <c r="BU497" s="139"/>
      <c r="BV497" s="139"/>
      <c r="BW497" s="123"/>
      <c r="BX497" s="123"/>
      <c r="BY497" s="123"/>
      <c r="BZ497" s="123"/>
      <c r="CA497" s="123"/>
      <c r="CB497" s="123"/>
      <c r="CC497" s="6"/>
      <c r="CD497" s="123"/>
      <c r="CE497" s="6"/>
      <c r="CF497" s="123"/>
      <c r="CG497" s="6"/>
      <c r="CH497" s="6"/>
      <c r="CI497" s="6"/>
      <c r="CJ497" s="6"/>
      <c r="CK497" s="123"/>
      <c r="CL497" s="6"/>
      <c r="CM497" s="6"/>
      <c r="CN497" s="6"/>
      <c r="CO497" s="138"/>
      <c r="CP497" s="138"/>
      <c r="CQ497" s="123"/>
      <c r="CR497" s="6"/>
      <c r="CS497" s="6"/>
      <c r="CT497" s="139"/>
      <c r="CU497" s="139"/>
      <c r="CV497" s="76"/>
      <c r="CW497" s="123"/>
      <c r="CX497" s="6"/>
      <c r="DI497" s="125"/>
      <c r="DJ497" s="16"/>
      <c r="DM497" s="16"/>
      <c r="DN497" s="16"/>
      <c r="DO497" s="125"/>
      <c r="DP497" s="16"/>
      <c r="DQ497" s="125"/>
      <c r="DZ497" s="125"/>
      <c r="EA497" s="142"/>
      <c r="EB497" s="125"/>
      <c r="EC497" s="16"/>
      <c r="ED497" s="125"/>
      <c r="EE497" s="125"/>
      <c r="EF497" s="16"/>
      <c r="EG497" s="125"/>
      <c r="EQ497" s="125"/>
      <c r="ER497" s="16"/>
      <c r="ES497" s="123"/>
      <c r="ET497" s="19"/>
      <c r="EU497" s="139"/>
      <c r="EV497" s="139"/>
      <c r="EW497" s="123"/>
      <c r="EX497" s="123"/>
      <c r="EY497" s="123"/>
      <c r="EZ497" s="123"/>
      <c r="FA497" s="123"/>
      <c r="FB497" s="123"/>
      <c r="FC497" s="6"/>
      <c r="FD497" s="123"/>
      <c r="FE497" s="6"/>
      <c r="FF497" s="123"/>
      <c r="FG497" s="6"/>
      <c r="FH497" s="6"/>
      <c r="FI497" s="6"/>
      <c r="FJ497" s="6"/>
      <c r="FK497" s="123"/>
      <c r="FL497" s="6"/>
      <c r="FM497" s="6"/>
      <c r="FN497" s="6"/>
      <c r="FO497" s="138"/>
      <c r="FP497" s="138"/>
      <c r="FQ497" s="123"/>
      <c r="FR497" s="6"/>
      <c r="FS497" s="6"/>
      <c r="FT497" s="139"/>
      <c r="FU497" s="139"/>
      <c r="FV497" s="76"/>
      <c r="FW497" s="123"/>
      <c r="FX497" s="6"/>
    </row>
    <row r="498" spans="35:180">
      <c r="AI498" s="125"/>
      <c r="AJ498" s="16"/>
      <c r="AM498" s="16"/>
      <c r="AN498" s="16"/>
      <c r="AO498" s="125"/>
      <c r="AP498" s="16"/>
      <c r="AQ498" s="125"/>
      <c r="AZ498" s="125"/>
      <c r="BA498" s="142"/>
      <c r="BB498" s="125"/>
      <c r="BC498" s="16"/>
      <c r="BD498" s="125"/>
      <c r="BE498" s="125"/>
      <c r="BF498" s="16"/>
      <c r="BG498" s="125"/>
      <c r="BQ498" s="125"/>
      <c r="BR498" s="16"/>
      <c r="BS498" s="123"/>
      <c r="BT498" s="19"/>
      <c r="BU498" s="139"/>
      <c r="BV498" s="139"/>
      <c r="BW498" s="123"/>
      <c r="BX498" s="123"/>
      <c r="BY498" s="123"/>
      <c r="BZ498" s="123"/>
      <c r="CA498" s="123"/>
      <c r="CB498" s="123"/>
      <c r="CC498" s="6"/>
      <c r="CD498" s="123"/>
      <c r="CE498" s="6"/>
      <c r="CF498" s="123"/>
      <c r="CG498" s="6"/>
      <c r="CH498" s="6"/>
      <c r="CI498" s="6"/>
      <c r="CJ498" s="6"/>
      <c r="CK498" s="123"/>
      <c r="CL498" s="6"/>
      <c r="CM498" s="6"/>
      <c r="CN498" s="6"/>
      <c r="CO498" s="138"/>
      <c r="CP498" s="138"/>
      <c r="CQ498" s="123"/>
      <c r="CR498" s="6"/>
      <c r="CS498" s="6"/>
      <c r="CT498" s="139"/>
      <c r="CU498" s="139"/>
      <c r="CV498" s="76"/>
      <c r="CW498" s="123"/>
      <c r="CX498" s="6"/>
      <c r="DI498" s="125"/>
      <c r="DJ498" s="16"/>
      <c r="DM498" s="16"/>
      <c r="DN498" s="16"/>
      <c r="DO498" s="125"/>
      <c r="DP498" s="16"/>
      <c r="DQ498" s="125"/>
      <c r="DZ498" s="125"/>
      <c r="EA498" s="142"/>
      <c r="EB498" s="125"/>
      <c r="EC498" s="16"/>
      <c r="ED498" s="125"/>
      <c r="EE498" s="125"/>
      <c r="EF498" s="16"/>
      <c r="EG498" s="125"/>
      <c r="EQ498" s="125"/>
      <c r="ER498" s="16"/>
      <c r="ES498" s="123"/>
      <c r="ET498" s="19"/>
      <c r="EU498" s="139"/>
      <c r="EV498" s="139"/>
      <c r="EW498" s="123"/>
      <c r="EX498" s="123"/>
      <c r="EY498" s="123"/>
      <c r="EZ498" s="123"/>
      <c r="FA498" s="123"/>
      <c r="FB498" s="123"/>
      <c r="FC498" s="6"/>
      <c r="FD498" s="123"/>
      <c r="FE498" s="6"/>
      <c r="FF498" s="123"/>
      <c r="FG498" s="6"/>
      <c r="FH498" s="6"/>
      <c r="FI498" s="6"/>
      <c r="FJ498" s="6"/>
      <c r="FK498" s="123"/>
      <c r="FL498" s="6"/>
      <c r="FM498" s="6"/>
      <c r="FN498" s="6"/>
      <c r="FO498" s="138"/>
      <c r="FP498" s="138"/>
      <c r="FQ498" s="123"/>
      <c r="FR498" s="6"/>
      <c r="FS498" s="6"/>
      <c r="FT498" s="139"/>
      <c r="FU498" s="139"/>
      <c r="FV498" s="76"/>
      <c r="FW498" s="123"/>
      <c r="FX498" s="6"/>
    </row>
    <row r="499" spans="35:180">
      <c r="AI499" s="125"/>
      <c r="AJ499" s="16"/>
      <c r="AM499" s="16"/>
      <c r="AN499" s="16"/>
      <c r="AO499" s="125"/>
      <c r="AP499" s="16"/>
      <c r="AQ499" s="125"/>
      <c r="AZ499" s="125"/>
      <c r="BA499" s="142"/>
      <c r="BB499" s="125"/>
      <c r="BC499" s="16"/>
      <c r="BD499" s="125"/>
      <c r="BE499" s="125"/>
      <c r="BF499" s="16"/>
      <c r="BG499" s="125"/>
      <c r="BQ499" s="125"/>
      <c r="BR499" s="16"/>
      <c r="BS499" s="123"/>
      <c r="BT499" s="19"/>
      <c r="BU499" s="139"/>
      <c r="BV499" s="139"/>
      <c r="BW499" s="123"/>
      <c r="BX499" s="123"/>
      <c r="BY499" s="123"/>
      <c r="BZ499" s="123"/>
      <c r="CA499" s="123"/>
      <c r="CB499" s="123"/>
      <c r="CC499" s="6"/>
      <c r="CD499" s="123"/>
      <c r="CE499" s="6"/>
      <c r="CF499" s="123"/>
      <c r="CG499" s="6"/>
      <c r="CH499" s="6"/>
      <c r="CI499" s="6"/>
      <c r="CJ499" s="6"/>
      <c r="CK499" s="123"/>
      <c r="CL499" s="6"/>
      <c r="CM499" s="6"/>
      <c r="CN499" s="6"/>
      <c r="CO499" s="138"/>
      <c r="CP499" s="138"/>
      <c r="CQ499" s="123"/>
      <c r="CR499" s="6"/>
      <c r="CS499" s="6"/>
      <c r="CT499" s="139"/>
      <c r="CU499" s="139"/>
      <c r="CV499" s="76"/>
      <c r="CW499" s="123"/>
      <c r="CX499" s="6"/>
      <c r="DI499" s="125"/>
      <c r="DJ499" s="16"/>
      <c r="DM499" s="16"/>
      <c r="DN499" s="16"/>
      <c r="DO499" s="125"/>
      <c r="DP499" s="16"/>
      <c r="DQ499" s="125"/>
      <c r="DZ499" s="125"/>
      <c r="EA499" s="142"/>
      <c r="EB499" s="125"/>
      <c r="EC499" s="16"/>
      <c r="ED499" s="125"/>
      <c r="EE499" s="125"/>
      <c r="EF499" s="16"/>
      <c r="EG499" s="125"/>
      <c r="EQ499" s="125"/>
      <c r="ER499" s="16"/>
      <c r="ES499" s="123"/>
      <c r="ET499" s="19"/>
      <c r="EU499" s="139"/>
      <c r="EV499" s="139"/>
      <c r="EW499" s="123"/>
      <c r="EX499" s="123"/>
      <c r="EY499" s="123"/>
      <c r="EZ499" s="123"/>
      <c r="FA499" s="123"/>
      <c r="FB499" s="123"/>
      <c r="FC499" s="6"/>
      <c r="FD499" s="123"/>
      <c r="FE499" s="6"/>
      <c r="FF499" s="123"/>
      <c r="FG499" s="6"/>
      <c r="FH499" s="6"/>
      <c r="FI499" s="6"/>
      <c r="FJ499" s="6"/>
      <c r="FK499" s="123"/>
      <c r="FL499" s="6"/>
      <c r="FM499" s="6"/>
      <c r="FN499" s="6"/>
      <c r="FO499" s="138"/>
      <c r="FP499" s="138"/>
      <c r="FQ499" s="123"/>
      <c r="FR499" s="6"/>
      <c r="FS499" s="6"/>
      <c r="FT499" s="139"/>
      <c r="FU499" s="139"/>
      <c r="FV499" s="76"/>
      <c r="FW499" s="123"/>
      <c r="FX499" s="6"/>
    </row>
    <row r="500" spans="35:180">
      <c r="AI500" s="125"/>
      <c r="AJ500" s="16"/>
      <c r="AM500" s="16"/>
      <c r="AN500" s="16"/>
      <c r="AO500" s="125"/>
      <c r="AP500" s="16"/>
      <c r="AQ500" s="125"/>
      <c r="AZ500" s="125"/>
      <c r="BA500" s="142"/>
      <c r="BB500" s="125"/>
      <c r="BC500" s="16"/>
      <c r="BD500" s="125"/>
      <c r="BE500" s="125"/>
      <c r="BF500" s="16"/>
      <c r="BG500" s="125"/>
      <c r="BQ500" s="125"/>
      <c r="BR500" s="16"/>
      <c r="BS500" s="123"/>
      <c r="BT500" s="19"/>
      <c r="BU500" s="139"/>
      <c r="BV500" s="139"/>
      <c r="BW500" s="123"/>
      <c r="BX500" s="123"/>
      <c r="BY500" s="123"/>
      <c r="BZ500" s="123"/>
      <c r="CA500" s="123"/>
      <c r="CB500" s="123"/>
      <c r="CC500" s="6"/>
      <c r="CD500" s="123"/>
      <c r="CE500" s="6"/>
      <c r="CF500" s="123"/>
      <c r="CG500" s="6"/>
      <c r="CH500" s="6"/>
      <c r="CI500" s="6"/>
      <c r="CJ500" s="6"/>
      <c r="CK500" s="123"/>
      <c r="CL500" s="6"/>
      <c r="CM500" s="6"/>
      <c r="CN500" s="6"/>
      <c r="CO500" s="138"/>
      <c r="CP500" s="138"/>
      <c r="CQ500" s="123"/>
      <c r="CR500" s="6"/>
      <c r="CS500" s="6"/>
      <c r="CT500" s="139"/>
      <c r="CU500" s="139"/>
      <c r="CV500" s="76"/>
      <c r="CW500" s="123"/>
      <c r="CX500" s="6"/>
      <c r="DI500" s="125"/>
      <c r="DJ500" s="16"/>
      <c r="DM500" s="16"/>
      <c r="DN500" s="16"/>
      <c r="DO500" s="125"/>
      <c r="DP500" s="16"/>
      <c r="DQ500" s="125"/>
      <c r="DZ500" s="125"/>
      <c r="EA500" s="142"/>
      <c r="EB500" s="125"/>
      <c r="EC500" s="16"/>
      <c r="ED500" s="125"/>
      <c r="EE500" s="125"/>
      <c r="EF500" s="16"/>
      <c r="EG500" s="125"/>
      <c r="EQ500" s="125"/>
      <c r="ER500" s="16"/>
      <c r="ES500" s="123"/>
      <c r="ET500" s="19"/>
      <c r="EU500" s="139"/>
      <c r="EV500" s="139"/>
      <c r="EW500" s="123"/>
      <c r="EX500" s="123"/>
      <c r="EY500" s="123"/>
      <c r="EZ500" s="123"/>
      <c r="FA500" s="123"/>
      <c r="FB500" s="123"/>
      <c r="FC500" s="6"/>
      <c r="FD500" s="123"/>
      <c r="FE500" s="6"/>
      <c r="FF500" s="123"/>
      <c r="FG500" s="6"/>
      <c r="FH500" s="6"/>
      <c r="FI500" s="6"/>
      <c r="FJ500" s="6"/>
      <c r="FK500" s="123"/>
      <c r="FL500" s="6"/>
      <c r="FM500" s="6"/>
      <c r="FN500" s="6"/>
      <c r="FO500" s="138"/>
      <c r="FP500" s="138"/>
      <c r="FQ500" s="123"/>
      <c r="FR500" s="6"/>
      <c r="FS500" s="6"/>
      <c r="FT500" s="139"/>
      <c r="FU500" s="139"/>
      <c r="FV500" s="76"/>
      <c r="FW500" s="123"/>
      <c r="FX500" s="6"/>
    </row>
    <row r="501" spans="35:180">
      <c r="AI501" s="125"/>
      <c r="AJ501" s="16"/>
      <c r="AM501" s="16"/>
      <c r="AN501" s="16"/>
      <c r="AO501" s="125"/>
      <c r="AP501" s="16"/>
      <c r="AQ501" s="125"/>
      <c r="AZ501" s="125"/>
      <c r="BA501" s="142"/>
      <c r="BB501" s="125"/>
      <c r="BC501" s="16"/>
      <c r="BD501" s="125"/>
      <c r="BE501" s="125"/>
      <c r="BF501" s="16"/>
      <c r="BG501" s="125"/>
      <c r="BQ501" s="125"/>
      <c r="BR501" s="16"/>
      <c r="BS501" s="123"/>
      <c r="BT501" s="19"/>
      <c r="BU501" s="139"/>
      <c r="BV501" s="139"/>
      <c r="BW501" s="123"/>
      <c r="BX501" s="123"/>
      <c r="BY501" s="123"/>
      <c r="BZ501" s="123"/>
      <c r="CA501" s="123"/>
      <c r="CB501" s="123"/>
      <c r="CC501" s="6"/>
      <c r="CD501" s="123"/>
      <c r="CE501" s="6"/>
      <c r="CF501" s="123"/>
      <c r="CG501" s="6"/>
      <c r="CH501" s="6"/>
      <c r="CI501" s="6"/>
      <c r="CJ501" s="6"/>
      <c r="CK501" s="123"/>
      <c r="CL501" s="6"/>
      <c r="CM501" s="6"/>
      <c r="CN501" s="6"/>
      <c r="CO501" s="138"/>
      <c r="CP501" s="138"/>
      <c r="CQ501" s="123"/>
      <c r="CR501" s="6"/>
      <c r="CS501" s="6"/>
      <c r="CT501" s="139"/>
      <c r="CU501" s="139"/>
      <c r="CV501" s="76"/>
      <c r="CW501" s="123"/>
      <c r="CX501" s="6"/>
      <c r="DI501" s="125"/>
      <c r="DJ501" s="16"/>
      <c r="DM501" s="16"/>
      <c r="DN501" s="16"/>
      <c r="DO501" s="125"/>
      <c r="DP501" s="16"/>
      <c r="DQ501" s="125"/>
      <c r="DZ501" s="125"/>
      <c r="EA501" s="142"/>
      <c r="EB501" s="125"/>
      <c r="EC501" s="16"/>
      <c r="ED501" s="125"/>
      <c r="EE501" s="125"/>
      <c r="EF501" s="16"/>
      <c r="EG501" s="125"/>
      <c r="EQ501" s="125"/>
      <c r="ER501" s="16"/>
      <c r="ES501" s="123"/>
      <c r="ET501" s="19"/>
      <c r="EU501" s="139"/>
      <c r="EV501" s="139"/>
      <c r="EW501" s="123"/>
      <c r="EX501" s="123"/>
      <c r="EY501" s="123"/>
      <c r="EZ501" s="123"/>
      <c r="FA501" s="123"/>
      <c r="FB501" s="123"/>
      <c r="FC501" s="6"/>
      <c r="FD501" s="123"/>
      <c r="FE501" s="6"/>
      <c r="FF501" s="123"/>
      <c r="FG501" s="6"/>
      <c r="FH501" s="6"/>
      <c r="FI501" s="6"/>
      <c r="FJ501" s="6"/>
      <c r="FK501" s="123"/>
      <c r="FL501" s="6"/>
      <c r="FM501" s="6"/>
      <c r="FN501" s="6"/>
      <c r="FO501" s="138"/>
      <c r="FP501" s="138"/>
      <c r="FQ501" s="123"/>
      <c r="FR501" s="6"/>
      <c r="FS501" s="6"/>
      <c r="FT501" s="139"/>
      <c r="FU501" s="139"/>
      <c r="FV501" s="76"/>
      <c r="FW501" s="123"/>
      <c r="FX501" s="6"/>
    </row>
    <row r="502" spans="35:180">
      <c r="AI502" s="125"/>
      <c r="AJ502" s="16"/>
      <c r="AM502" s="16"/>
      <c r="AN502" s="16"/>
      <c r="AO502" s="125"/>
      <c r="AP502" s="16"/>
      <c r="AQ502" s="125"/>
      <c r="AZ502" s="125"/>
      <c r="BA502" s="142"/>
      <c r="BB502" s="125"/>
      <c r="BC502" s="16"/>
      <c r="BD502" s="125"/>
      <c r="BE502" s="125"/>
      <c r="BF502" s="16"/>
      <c r="BG502" s="125"/>
      <c r="BQ502" s="125"/>
      <c r="BR502" s="16"/>
      <c r="BS502" s="123"/>
      <c r="BT502" s="19"/>
      <c r="BU502" s="139"/>
      <c r="BV502" s="139"/>
      <c r="BW502" s="123"/>
      <c r="BX502" s="123"/>
      <c r="BY502" s="123"/>
      <c r="BZ502" s="123"/>
      <c r="CA502" s="123"/>
      <c r="CB502" s="123"/>
      <c r="CC502" s="6"/>
      <c r="CD502" s="123"/>
      <c r="CE502" s="6"/>
      <c r="CF502" s="123"/>
      <c r="CG502" s="6"/>
      <c r="CH502" s="6"/>
      <c r="CI502" s="6"/>
      <c r="CJ502" s="6"/>
      <c r="CK502" s="123"/>
      <c r="CL502" s="6"/>
      <c r="CM502" s="6"/>
      <c r="CN502" s="6"/>
      <c r="CO502" s="138"/>
      <c r="CP502" s="138"/>
      <c r="CQ502" s="123"/>
      <c r="CR502" s="6"/>
      <c r="CS502" s="6"/>
      <c r="CT502" s="139"/>
      <c r="CU502" s="139"/>
      <c r="CV502" s="76"/>
      <c r="CW502" s="123"/>
      <c r="CX502" s="6"/>
      <c r="DI502" s="125"/>
      <c r="DJ502" s="16"/>
      <c r="DM502" s="16"/>
      <c r="DN502" s="16"/>
      <c r="DO502" s="125"/>
      <c r="DP502" s="16"/>
      <c r="DQ502" s="125"/>
      <c r="DZ502" s="125"/>
      <c r="EA502" s="142"/>
      <c r="EB502" s="125"/>
      <c r="EC502" s="16"/>
      <c r="ED502" s="125"/>
      <c r="EE502" s="125"/>
      <c r="EF502" s="16"/>
      <c r="EG502" s="125"/>
      <c r="EQ502" s="125"/>
      <c r="ER502" s="16"/>
      <c r="ES502" s="123"/>
      <c r="ET502" s="19"/>
      <c r="EU502" s="139"/>
      <c r="EV502" s="139"/>
      <c r="EW502" s="123"/>
      <c r="EX502" s="123"/>
      <c r="EY502" s="123"/>
      <c r="EZ502" s="123"/>
      <c r="FA502" s="123"/>
      <c r="FB502" s="123"/>
      <c r="FC502" s="6"/>
      <c r="FD502" s="123"/>
      <c r="FE502" s="6"/>
      <c r="FF502" s="123"/>
      <c r="FG502" s="6"/>
      <c r="FH502" s="6"/>
      <c r="FI502" s="6"/>
      <c r="FJ502" s="6"/>
      <c r="FK502" s="123"/>
      <c r="FL502" s="6"/>
      <c r="FM502" s="6"/>
      <c r="FN502" s="6"/>
      <c r="FO502" s="138"/>
      <c r="FP502" s="138"/>
      <c r="FQ502" s="123"/>
      <c r="FR502" s="6"/>
      <c r="FS502" s="6"/>
      <c r="FT502" s="139"/>
      <c r="FU502" s="139"/>
      <c r="FV502" s="76"/>
      <c r="FW502" s="123"/>
      <c r="FX502" s="6"/>
    </row>
    <row r="503" spans="35:180">
      <c r="AI503" s="125"/>
      <c r="AJ503" s="16"/>
      <c r="AM503" s="16"/>
      <c r="AN503" s="16"/>
      <c r="AO503" s="125"/>
      <c r="AP503" s="16"/>
      <c r="AQ503" s="125"/>
      <c r="AZ503" s="125"/>
      <c r="BA503" s="142"/>
      <c r="BB503" s="125"/>
      <c r="BC503" s="16"/>
      <c r="BD503" s="125"/>
      <c r="BE503" s="125"/>
      <c r="BF503" s="16"/>
      <c r="BG503" s="125"/>
      <c r="BQ503" s="125"/>
      <c r="BR503" s="16"/>
      <c r="BS503" s="123"/>
      <c r="BT503" s="19"/>
      <c r="BU503" s="139"/>
      <c r="BV503" s="139"/>
      <c r="BW503" s="123"/>
      <c r="BX503" s="123"/>
      <c r="BY503" s="123"/>
      <c r="BZ503" s="123"/>
      <c r="CA503" s="123"/>
      <c r="CB503" s="123"/>
      <c r="CC503" s="6"/>
      <c r="CD503" s="123"/>
      <c r="CE503" s="6"/>
      <c r="CF503" s="123"/>
      <c r="CG503" s="6"/>
      <c r="CH503" s="6"/>
      <c r="CI503" s="6"/>
      <c r="CJ503" s="6"/>
      <c r="CK503" s="123"/>
      <c r="CL503" s="6"/>
      <c r="CM503" s="6"/>
      <c r="CN503" s="6"/>
      <c r="CO503" s="138"/>
      <c r="CP503" s="138"/>
      <c r="CQ503" s="123"/>
      <c r="CR503" s="6"/>
      <c r="CS503" s="6"/>
      <c r="CT503" s="139"/>
      <c r="CU503" s="139"/>
      <c r="CV503" s="76"/>
      <c r="CW503" s="123"/>
      <c r="CX503" s="6"/>
      <c r="DI503" s="125"/>
      <c r="DJ503" s="16"/>
      <c r="DM503" s="16"/>
      <c r="DN503" s="16"/>
      <c r="DO503" s="125"/>
      <c r="DP503" s="16"/>
      <c r="DQ503" s="125"/>
      <c r="DZ503" s="125"/>
      <c r="EA503" s="142"/>
      <c r="EB503" s="125"/>
      <c r="EC503" s="16"/>
      <c r="ED503" s="125"/>
      <c r="EE503" s="125"/>
      <c r="EF503" s="16"/>
      <c r="EG503" s="125"/>
      <c r="EQ503" s="125"/>
      <c r="ER503" s="16"/>
      <c r="ES503" s="123"/>
      <c r="ET503" s="19"/>
      <c r="EU503" s="139"/>
      <c r="EV503" s="139"/>
      <c r="EW503" s="123"/>
      <c r="EX503" s="123"/>
      <c r="EY503" s="123"/>
      <c r="EZ503" s="123"/>
      <c r="FA503" s="123"/>
      <c r="FB503" s="123"/>
      <c r="FC503" s="6"/>
      <c r="FD503" s="123"/>
      <c r="FE503" s="6"/>
      <c r="FF503" s="123"/>
      <c r="FG503" s="6"/>
      <c r="FH503" s="6"/>
      <c r="FI503" s="6"/>
      <c r="FJ503" s="6"/>
      <c r="FK503" s="123"/>
      <c r="FL503" s="6"/>
      <c r="FM503" s="6"/>
      <c r="FN503" s="6"/>
      <c r="FO503" s="138"/>
      <c r="FP503" s="138"/>
      <c r="FQ503" s="123"/>
      <c r="FR503" s="6"/>
      <c r="FS503" s="6"/>
      <c r="FT503" s="139"/>
      <c r="FU503" s="139"/>
      <c r="FV503" s="76"/>
      <c r="FW503" s="123"/>
      <c r="FX503" s="6"/>
    </row>
    <row r="504" spans="35:180">
      <c r="AI504" s="125"/>
      <c r="AJ504" s="16"/>
      <c r="AM504" s="16"/>
      <c r="AN504" s="16"/>
      <c r="AO504" s="125"/>
      <c r="AP504" s="16"/>
      <c r="AQ504" s="125"/>
      <c r="AZ504" s="125"/>
      <c r="BA504" s="142"/>
      <c r="BB504" s="125"/>
      <c r="BC504" s="16"/>
      <c r="BD504" s="125"/>
      <c r="BE504" s="125"/>
      <c r="BF504" s="16"/>
      <c r="BG504" s="125"/>
      <c r="BQ504" s="125"/>
      <c r="BR504" s="16"/>
      <c r="BS504" s="123"/>
      <c r="BT504" s="19"/>
      <c r="BU504" s="139"/>
      <c r="BV504" s="139"/>
      <c r="BW504" s="123"/>
      <c r="BX504" s="123"/>
      <c r="BY504" s="123"/>
      <c r="BZ504" s="123"/>
      <c r="CA504" s="123"/>
      <c r="CB504" s="123"/>
      <c r="CC504" s="6"/>
      <c r="CD504" s="123"/>
      <c r="CE504" s="6"/>
      <c r="CF504" s="123"/>
      <c r="CG504" s="6"/>
      <c r="CH504" s="6"/>
      <c r="CI504" s="6"/>
      <c r="CJ504" s="6"/>
      <c r="CK504" s="123"/>
      <c r="CL504" s="6"/>
      <c r="CM504" s="6"/>
      <c r="CN504" s="6"/>
      <c r="CO504" s="138"/>
      <c r="CP504" s="138"/>
      <c r="CQ504" s="123"/>
      <c r="CR504" s="6"/>
      <c r="CS504" s="6"/>
      <c r="CT504" s="139"/>
      <c r="CU504" s="139"/>
      <c r="CV504" s="76"/>
      <c r="CW504" s="123"/>
      <c r="CX504" s="6"/>
      <c r="DI504" s="125"/>
      <c r="DJ504" s="16"/>
      <c r="DM504" s="16"/>
      <c r="DN504" s="16"/>
      <c r="DO504" s="125"/>
      <c r="DP504" s="16"/>
      <c r="DQ504" s="125"/>
      <c r="DZ504" s="125"/>
      <c r="EA504" s="142"/>
      <c r="EB504" s="125"/>
      <c r="EC504" s="16"/>
      <c r="ED504" s="125"/>
      <c r="EE504" s="125"/>
      <c r="EF504" s="16"/>
      <c r="EG504" s="125"/>
      <c r="EQ504" s="125"/>
      <c r="ER504" s="16"/>
      <c r="ES504" s="123"/>
      <c r="ET504" s="19"/>
      <c r="EU504" s="139"/>
      <c r="EV504" s="139"/>
      <c r="EW504" s="123"/>
      <c r="EX504" s="123"/>
      <c r="EY504" s="123"/>
      <c r="EZ504" s="123"/>
      <c r="FA504" s="123"/>
      <c r="FB504" s="123"/>
      <c r="FC504" s="6"/>
      <c r="FD504" s="123"/>
      <c r="FE504" s="6"/>
      <c r="FF504" s="123"/>
      <c r="FG504" s="6"/>
      <c r="FH504" s="6"/>
      <c r="FI504" s="6"/>
      <c r="FJ504" s="6"/>
      <c r="FK504" s="123"/>
      <c r="FL504" s="6"/>
      <c r="FM504" s="6"/>
      <c r="FN504" s="6"/>
      <c r="FO504" s="138"/>
      <c r="FP504" s="138"/>
      <c r="FQ504" s="123"/>
      <c r="FR504" s="6"/>
      <c r="FS504" s="6"/>
      <c r="FT504" s="139"/>
      <c r="FU504" s="139"/>
      <c r="FV504" s="76"/>
      <c r="FW504" s="123"/>
      <c r="FX504" s="6"/>
    </row>
    <row r="505" spans="35:180">
      <c r="AI505" s="125"/>
      <c r="AJ505" s="16"/>
      <c r="AM505" s="16"/>
      <c r="AN505" s="16"/>
      <c r="AO505" s="125"/>
      <c r="AP505" s="16"/>
      <c r="AQ505" s="125"/>
      <c r="AZ505" s="125"/>
      <c r="BA505" s="142"/>
      <c r="BB505" s="125"/>
      <c r="BC505" s="16"/>
      <c r="BD505" s="125"/>
      <c r="BE505" s="125"/>
      <c r="BF505" s="16"/>
      <c r="BG505" s="125"/>
      <c r="BQ505" s="125"/>
      <c r="BR505" s="16"/>
      <c r="BS505" s="123"/>
      <c r="BT505" s="19"/>
      <c r="BU505" s="139"/>
      <c r="BV505" s="139"/>
      <c r="BW505" s="123"/>
      <c r="BX505" s="123"/>
      <c r="BY505" s="123"/>
      <c r="BZ505" s="123"/>
      <c r="CA505" s="123"/>
      <c r="CB505" s="123"/>
      <c r="CC505" s="6"/>
      <c r="CD505" s="123"/>
      <c r="CE505" s="6"/>
      <c r="CF505" s="123"/>
      <c r="CG505" s="6"/>
      <c r="CH505" s="6"/>
      <c r="CI505" s="6"/>
      <c r="CJ505" s="6"/>
      <c r="CK505" s="123"/>
      <c r="CL505" s="6"/>
      <c r="CM505" s="6"/>
      <c r="CN505" s="6"/>
      <c r="CO505" s="138"/>
      <c r="CP505" s="138"/>
      <c r="CQ505" s="123"/>
      <c r="CR505" s="6"/>
      <c r="CS505" s="6"/>
      <c r="CT505" s="139"/>
      <c r="CU505" s="139"/>
      <c r="CV505" s="76"/>
      <c r="CW505" s="123"/>
      <c r="CX505" s="6"/>
      <c r="DI505" s="125"/>
      <c r="DJ505" s="16"/>
      <c r="DM505" s="16"/>
      <c r="DN505" s="16"/>
      <c r="DO505" s="125"/>
      <c r="DP505" s="16"/>
      <c r="DQ505" s="125"/>
      <c r="DZ505" s="125"/>
      <c r="EA505" s="142"/>
      <c r="EB505" s="125"/>
      <c r="EC505" s="16"/>
      <c r="ED505" s="125"/>
      <c r="EE505" s="125"/>
      <c r="EF505" s="16"/>
      <c r="EG505" s="125"/>
      <c r="EQ505" s="125"/>
      <c r="ER505" s="16"/>
      <c r="ES505" s="123"/>
      <c r="ET505" s="19"/>
      <c r="EU505" s="139"/>
      <c r="EV505" s="139"/>
      <c r="EW505" s="123"/>
      <c r="EX505" s="123"/>
      <c r="EY505" s="123"/>
      <c r="EZ505" s="123"/>
      <c r="FA505" s="123"/>
      <c r="FB505" s="123"/>
      <c r="FC505" s="6"/>
      <c r="FD505" s="123"/>
      <c r="FE505" s="6"/>
      <c r="FF505" s="123"/>
      <c r="FG505" s="6"/>
      <c r="FH505" s="6"/>
      <c r="FI505" s="6"/>
      <c r="FJ505" s="6"/>
      <c r="FK505" s="123"/>
      <c r="FL505" s="6"/>
      <c r="FM505" s="6"/>
      <c r="FN505" s="6"/>
      <c r="FO505" s="138"/>
      <c r="FP505" s="138"/>
      <c r="FQ505" s="123"/>
      <c r="FR505" s="6"/>
      <c r="FS505" s="6"/>
      <c r="FT505" s="139"/>
      <c r="FU505" s="139"/>
      <c r="FV505" s="76"/>
      <c r="FW505" s="123"/>
      <c r="FX505" s="6"/>
    </row>
    <row r="506" spans="35:180">
      <c r="AI506" s="125"/>
      <c r="AJ506" s="16"/>
      <c r="AM506" s="16"/>
      <c r="AN506" s="16"/>
      <c r="AO506" s="125"/>
      <c r="AP506" s="16"/>
      <c r="AQ506" s="125"/>
      <c r="AZ506" s="125"/>
      <c r="BA506" s="142"/>
      <c r="BB506" s="125"/>
      <c r="BC506" s="16"/>
      <c r="BD506" s="125"/>
      <c r="BE506" s="125"/>
      <c r="BF506" s="16"/>
      <c r="BG506" s="125"/>
      <c r="BQ506" s="125"/>
      <c r="BR506" s="16"/>
      <c r="BS506" s="123"/>
      <c r="BT506" s="19"/>
      <c r="BU506" s="139"/>
      <c r="BV506" s="139"/>
      <c r="BW506" s="123"/>
      <c r="BX506" s="123"/>
      <c r="BY506" s="123"/>
      <c r="BZ506" s="123"/>
      <c r="CA506" s="123"/>
      <c r="CB506" s="123"/>
      <c r="CC506" s="6"/>
      <c r="CD506" s="123"/>
      <c r="CE506" s="6"/>
      <c r="CF506" s="123"/>
      <c r="CG506" s="6"/>
      <c r="CH506" s="6"/>
      <c r="CI506" s="6"/>
      <c r="CJ506" s="6"/>
      <c r="CK506" s="123"/>
      <c r="CL506" s="6"/>
      <c r="CM506" s="6"/>
      <c r="CN506" s="6"/>
      <c r="CO506" s="138"/>
      <c r="CP506" s="138"/>
      <c r="CQ506" s="123"/>
      <c r="CR506" s="6"/>
      <c r="CS506" s="6"/>
      <c r="CT506" s="139"/>
      <c r="CU506" s="139"/>
      <c r="CV506" s="76"/>
      <c r="CW506" s="123"/>
      <c r="CX506" s="6"/>
      <c r="DI506" s="125"/>
      <c r="DJ506" s="16"/>
      <c r="DM506" s="16"/>
      <c r="DN506" s="16"/>
      <c r="DO506" s="125"/>
      <c r="DP506" s="16"/>
      <c r="DQ506" s="125"/>
      <c r="DZ506" s="125"/>
      <c r="EA506" s="142"/>
      <c r="EB506" s="125"/>
      <c r="EC506" s="16"/>
      <c r="ED506" s="125"/>
      <c r="EE506" s="125"/>
      <c r="EF506" s="16"/>
      <c r="EG506" s="125"/>
      <c r="EQ506" s="125"/>
      <c r="ER506" s="16"/>
      <c r="ES506" s="123"/>
      <c r="ET506" s="19"/>
      <c r="EU506" s="139"/>
      <c r="EV506" s="139"/>
      <c r="EW506" s="123"/>
      <c r="EX506" s="123"/>
      <c r="EY506" s="123"/>
      <c r="EZ506" s="123"/>
      <c r="FA506" s="123"/>
      <c r="FB506" s="123"/>
      <c r="FC506" s="6"/>
      <c r="FD506" s="123"/>
      <c r="FE506" s="6"/>
      <c r="FF506" s="123"/>
      <c r="FG506" s="6"/>
      <c r="FH506" s="6"/>
      <c r="FI506" s="6"/>
      <c r="FJ506" s="6"/>
      <c r="FK506" s="123"/>
      <c r="FL506" s="6"/>
      <c r="FM506" s="6"/>
      <c r="FN506" s="6"/>
      <c r="FO506" s="138"/>
      <c r="FP506" s="138"/>
      <c r="FQ506" s="123"/>
      <c r="FR506" s="6"/>
      <c r="FS506" s="6"/>
      <c r="FT506" s="139"/>
      <c r="FU506" s="139"/>
      <c r="FV506" s="76"/>
      <c r="FW506" s="123"/>
      <c r="FX506" s="6"/>
    </row>
    <row r="507" spans="35:180">
      <c r="AI507" s="125"/>
      <c r="AJ507" s="16"/>
      <c r="AM507" s="16"/>
      <c r="AN507" s="16"/>
      <c r="AO507" s="125"/>
      <c r="AP507" s="16"/>
      <c r="AQ507" s="125"/>
      <c r="AZ507" s="125"/>
      <c r="BA507" s="142"/>
      <c r="BB507" s="125"/>
      <c r="BC507" s="16"/>
      <c r="BD507" s="125"/>
      <c r="BE507" s="125"/>
      <c r="BF507" s="16"/>
      <c r="BG507" s="125"/>
      <c r="BQ507" s="125"/>
      <c r="BR507" s="16"/>
      <c r="BS507" s="123"/>
      <c r="BT507" s="19"/>
      <c r="BU507" s="139"/>
      <c r="BV507" s="139"/>
      <c r="BW507" s="123"/>
      <c r="BX507" s="123"/>
      <c r="BY507" s="123"/>
      <c r="BZ507" s="123"/>
      <c r="CA507" s="123"/>
      <c r="CB507" s="123"/>
      <c r="CC507" s="6"/>
      <c r="CD507" s="123"/>
      <c r="CE507" s="6"/>
      <c r="CF507" s="123"/>
      <c r="CG507" s="6"/>
      <c r="CH507" s="6"/>
      <c r="CI507" s="6"/>
      <c r="CJ507" s="6"/>
      <c r="CK507" s="123"/>
      <c r="CL507" s="6"/>
      <c r="CM507" s="6"/>
      <c r="CN507" s="6"/>
      <c r="CO507" s="138"/>
      <c r="CP507" s="138"/>
      <c r="CQ507" s="123"/>
      <c r="CR507" s="6"/>
      <c r="CS507" s="6"/>
      <c r="CT507" s="139"/>
      <c r="CU507" s="139"/>
      <c r="CV507" s="76"/>
      <c r="CW507" s="123"/>
      <c r="CX507" s="6"/>
      <c r="DI507" s="125"/>
      <c r="DJ507" s="16"/>
      <c r="DM507" s="16"/>
      <c r="DN507" s="16"/>
      <c r="DO507" s="125"/>
      <c r="DP507" s="16"/>
      <c r="DQ507" s="125"/>
      <c r="DZ507" s="125"/>
      <c r="EA507" s="142"/>
      <c r="EB507" s="125"/>
      <c r="EC507" s="16"/>
      <c r="ED507" s="125"/>
      <c r="EE507" s="125"/>
      <c r="EF507" s="16"/>
      <c r="EG507" s="125"/>
      <c r="EQ507" s="125"/>
      <c r="ER507" s="16"/>
      <c r="ES507" s="123"/>
      <c r="ET507" s="19"/>
      <c r="EU507" s="139"/>
      <c r="EV507" s="139"/>
      <c r="EW507" s="123"/>
      <c r="EX507" s="123"/>
      <c r="EY507" s="123"/>
      <c r="EZ507" s="123"/>
      <c r="FA507" s="123"/>
      <c r="FB507" s="123"/>
      <c r="FC507" s="6"/>
      <c r="FD507" s="123"/>
      <c r="FE507" s="6"/>
      <c r="FF507" s="123"/>
      <c r="FG507" s="6"/>
      <c r="FH507" s="6"/>
      <c r="FI507" s="6"/>
      <c r="FJ507" s="6"/>
      <c r="FK507" s="123"/>
      <c r="FL507" s="6"/>
      <c r="FM507" s="6"/>
      <c r="FN507" s="6"/>
      <c r="FO507" s="138"/>
      <c r="FP507" s="138"/>
      <c r="FQ507" s="123"/>
      <c r="FR507" s="6"/>
      <c r="FS507" s="6"/>
      <c r="FT507" s="139"/>
      <c r="FU507" s="139"/>
      <c r="FV507" s="76"/>
      <c r="FW507" s="123"/>
      <c r="FX507" s="6"/>
    </row>
    <row r="508" spans="35:180">
      <c r="AI508" s="125"/>
      <c r="AJ508" s="16"/>
      <c r="AM508" s="16"/>
      <c r="AN508" s="16"/>
      <c r="AO508" s="125"/>
      <c r="AP508" s="16"/>
      <c r="AQ508" s="125"/>
      <c r="AZ508" s="125"/>
      <c r="BA508" s="142"/>
      <c r="BB508" s="125"/>
      <c r="BC508" s="16"/>
      <c r="BD508" s="125"/>
      <c r="BE508" s="125"/>
      <c r="BF508" s="16"/>
      <c r="BG508" s="125"/>
      <c r="BQ508" s="125"/>
      <c r="BR508" s="16"/>
      <c r="BS508" s="123"/>
      <c r="BT508" s="19"/>
      <c r="BU508" s="139"/>
      <c r="BV508" s="139"/>
      <c r="BW508" s="123"/>
      <c r="BX508" s="123"/>
      <c r="BY508" s="123"/>
      <c r="BZ508" s="123"/>
      <c r="CA508" s="123"/>
      <c r="CB508" s="123"/>
      <c r="CC508" s="6"/>
      <c r="CD508" s="123"/>
      <c r="CE508" s="6"/>
      <c r="CF508" s="123"/>
      <c r="CG508" s="6"/>
      <c r="CH508" s="6"/>
      <c r="CI508" s="6"/>
      <c r="CJ508" s="6"/>
      <c r="CK508" s="123"/>
      <c r="CL508" s="6"/>
      <c r="CM508" s="6"/>
      <c r="CN508" s="6"/>
      <c r="CO508" s="138"/>
      <c r="CP508" s="138"/>
      <c r="CQ508" s="123"/>
      <c r="CR508" s="6"/>
      <c r="CS508" s="6"/>
      <c r="CT508" s="139"/>
      <c r="CU508" s="139"/>
      <c r="CV508" s="76"/>
      <c r="CW508" s="123"/>
      <c r="CX508" s="6"/>
      <c r="DI508" s="125"/>
      <c r="DJ508" s="16"/>
      <c r="DM508" s="16"/>
      <c r="DN508" s="16"/>
      <c r="DO508" s="125"/>
      <c r="DP508" s="16"/>
      <c r="DQ508" s="125"/>
      <c r="DZ508" s="125"/>
      <c r="EA508" s="142"/>
      <c r="EB508" s="125"/>
      <c r="EC508" s="16"/>
      <c r="ED508" s="125"/>
      <c r="EE508" s="125"/>
      <c r="EF508" s="16"/>
      <c r="EG508" s="125"/>
      <c r="EQ508" s="125"/>
      <c r="ER508" s="16"/>
      <c r="ES508" s="123"/>
      <c r="ET508" s="19"/>
      <c r="EU508" s="139"/>
      <c r="EV508" s="139"/>
      <c r="EW508" s="123"/>
      <c r="EX508" s="123"/>
      <c r="EY508" s="123"/>
      <c r="EZ508" s="123"/>
      <c r="FA508" s="123"/>
      <c r="FB508" s="123"/>
      <c r="FC508" s="6"/>
      <c r="FD508" s="123"/>
      <c r="FE508" s="6"/>
      <c r="FF508" s="123"/>
      <c r="FG508" s="6"/>
      <c r="FH508" s="6"/>
      <c r="FI508" s="6"/>
      <c r="FJ508" s="6"/>
      <c r="FK508" s="123"/>
      <c r="FL508" s="6"/>
      <c r="FM508" s="6"/>
      <c r="FN508" s="6"/>
      <c r="FO508" s="138"/>
      <c r="FP508" s="138"/>
      <c r="FQ508" s="123"/>
      <c r="FR508" s="6"/>
      <c r="FS508" s="6"/>
      <c r="FT508" s="139"/>
      <c r="FU508" s="139"/>
      <c r="FV508" s="76"/>
      <c r="FW508" s="123"/>
      <c r="FX508" s="6"/>
    </row>
    <row r="509" spans="35:180">
      <c r="AI509" s="125"/>
      <c r="AJ509" s="16"/>
      <c r="AM509" s="16"/>
      <c r="AN509" s="16"/>
      <c r="AO509" s="125"/>
      <c r="AP509" s="16"/>
      <c r="AQ509" s="125"/>
      <c r="AZ509" s="125"/>
      <c r="BA509" s="142"/>
      <c r="BB509" s="125"/>
      <c r="BC509" s="16"/>
      <c r="BD509" s="125"/>
      <c r="BE509" s="125"/>
      <c r="BF509" s="16"/>
      <c r="BG509" s="125"/>
      <c r="BQ509" s="125"/>
      <c r="BR509" s="16"/>
      <c r="BS509" s="123"/>
      <c r="BT509" s="19"/>
      <c r="BU509" s="139"/>
      <c r="BV509" s="139"/>
      <c r="BW509" s="123"/>
      <c r="BX509" s="123"/>
      <c r="BY509" s="123"/>
      <c r="BZ509" s="123"/>
      <c r="CA509" s="123"/>
      <c r="CB509" s="123"/>
      <c r="CC509" s="6"/>
      <c r="CD509" s="123"/>
      <c r="CE509" s="6"/>
      <c r="CF509" s="123"/>
      <c r="CG509" s="6"/>
      <c r="CH509" s="6"/>
      <c r="CI509" s="6"/>
      <c r="CJ509" s="6"/>
      <c r="CK509" s="123"/>
      <c r="CL509" s="6"/>
      <c r="CM509" s="6"/>
      <c r="CN509" s="6"/>
      <c r="CO509" s="138"/>
      <c r="CP509" s="138"/>
      <c r="CQ509" s="123"/>
      <c r="CR509" s="6"/>
      <c r="CS509" s="6"/>
      <c r="CT509" s="139"/>
      <c r="CU509" s="139"/>
      <c r="CV509" s="76"/>
      <c r="CW509" s="123"/>
      <c r="CX509" s="6"/>
      <c r="DI509" s="125"/>
      <c r="DJ509" s="16"/>
      <c r="DM509" s="16"/>
      <c r="DN509" s="16"/>
      <c r="DO509" s="125"/>
      <c r="DP509" s="16"/>
      <c r="DQ509" s="125"/>
      <c r="DZ509" s="125"/>
      <c r="EA509" s="142"/>
      <c r="EB509" s="125"/>
      <c r="EC509" s="16"/>
      <c r="ED509" s="125"/>
      <c r="EE509" s="125"/>
      <c r="EF509" s="16"/>
      <c r="EG509" s="125"/>
      <c r="EQ509" s="125"/>
      <c r="ER509" s="16"/>
      <c r="ES509" s="123"/>
      <c r="ET509" s="19"/>
      <c r="EU509" s="139"/>
      <c r="EV509" s="139"/>
      <c r="EW509" s="123"/>
      <c r="EX509" s="123"/>
      <c r="EY509" s="123"/>
      <c r="EZ509" s="123"/>
      <c r="FA509" s="123"/>
      <c r="FB509" s="123"/>
      <c r="FC509" s="6"/>
      <c r="FD509" s="123"/>
      <c r="FE509" s="6"/>
      <c r="FF509" s="123"/>
      <c r="FG509" s="6"/>
      <c r="FH509" s="6"/>
      <c r="FI509" s="6"/>
      <c r="FJ509" s="6"/>
      <c r="FK509" s="123"/>
      <c r="FL509" s="6"/>
      <c r="FM509" s="6"/>
      <c r="FN509" s="6"/>
      <c r="FO509" s="138"/>
      <c r="FP509" s="138"/>
      <c r="FQ509" s="123"/>
      <c r="FR509" s="6"/>
      <c r="FS509" s="6"/>
      <c r="FT509" s="139"/>
      <c r="FU509" s="139"/>
      <c r="FV509" s="76"/>
      <c r="FW509" s="123"/>
      <c r="FX509" s="6"/>
    </row>
    <row r="510" spans="35:180">
      <c r="AI510" s="125"/>
      <c r="AJ510" s="16"/>
      <c r="AM510" s="16"/>
      <c r="AN510" s="16"/>
      <c r="AO510" s="125"/>
      <c r="AP510" s="16"/>
      <c r="AQ510" s="125"/>
      <c r="AZ510" s="125"/>
      <c r="BA510" s="142"/>
      <c r="BB510" s="125"/>
      <c r="BC510" s="16"/>
      <c r="BD510" s="125"/>
      <c r="BE510" s="125"/>
      <c r="BF510" s="16"/>
      <c r="BG510" s="125"/>
      <c r="BQ510" s="125"/>
      <c r="BR510" s="16"/>
      <c r="BS510" s="123"/>
      <c r="BT510" s="19"/>
      <c r="BU510" s="139"/>
      <c r="BV510" s="139"/>
      <c r="BW510" s="123"/>
      <c r="BX510" s="123"/>
      <c r="BY510" s="123"/>
      <c r="BZ510" s="123"/>
      <c r="CA510" s="123"/>
      <c r="CB510" s="123"/>
      <c r="CC510" s="6"/>
      <c r="CD510" s="123"/>
      <c r="CE510" s="6"/>
      <c r="CF510" s="123"/>
      <c r="CG510" s="6"/>
      <c r="CH510" s="6"/>
      <c r="CI510" s="6"/>
      <c r="CJ510" s="6"/>
      <c r="CK510" s="123"/>
      <c r="CL510" s="6"/>
      <c r="CM510" s="6"/>
      <c r="CN510" s="6"/>
      <c r="CO510" s="138"/>
      <c r="CP510" s="138"/>
      <c r="CQ510" s="123"/>
      <c r="CR510" s="6"/>
      <c r="CS510" s="6"/>
      <c r="CT510" s="139"/>
      <c r="CU510" s="139"/>
      <c r="CV510" s="76"/>
      <c r="CW510" s="123"/>
      <c r="CX510" s="6"/>
      <c r="DI510" s="125"/>
      <c r="DJ510" s="16"/>
      <c r="DM510" s="16"/>
      <c r="DN510" s="16"/>
      <c r="DO510" s="125"/>
      <c r="DP510" s="16"/>
      <c r="DQ510" s="125"/>
      <c r="DZ510" s="125"/>
      <c r="EA510" s="142"/>
      <c r="EB510" s="125"/>
      <c r="EC510" s="16"/>
      <c r="ED510" s="125"/>
      <c r="EE510" s="125"/>
      <c r="EF510" s="16"/>
      <c r="EG510" s="125"/>
      <c r="EQ510" s="125"/>
      <c r="ER510" s="16"/>
      <c r="ES510" s="123"/>
      <c r="ET510" s="19"/>
      <c r="EU510" s="139"/>
      <c r="EV510" s="139"/>
      <c r="EW510" s="123"/>
      <c r="EX510" s="123"/>
      <c r="EY510" s="123"/>
      <c r="EZ510" s="123"/>
      <c r="FA510" s="123"/>
      <c r="FB510" s="123"/>
      <c r="FC510" s="6"/>
      <c r="FD510" s="123"/>
      <c r="FE510" s="6"/>
      <c r="FF510" s="123"/>
      <c r="FG510" s="6"/>
      <c r="FH510" s="6"/>
      <c r="FI510" s="6"/>
      <c r="FJ510" s="6"/>
      <c r="FK510" s="123"/>
      <c r="FL510" s="6"/>
      <c r="FM510" s="6"/>
      <c r="FN510" s="6"/>
      <c r="FO510" s="138"/>
      <c r="FP510" s="138"/>
      <c r="FQ510" s="123"/>
      <c r="FR510" s="6"/>
      <c r="FS510" s="6"/>
      <c r="FT510" s="139"/>
      <c r="FU510" s="139"/>
      <c r="FV510" s="76"/>
      <c r="FW510" s="123"/>
      <c r="FX510" s="6"/>
    </row>
    <row r="511" spans="35:180">
      <c r="AI511" s="125"/>
      <c r="AJ511" s="16"/>
      <c r="AM511" s="16"/>
      <c r="AN511" s="16"/>
      <c r="AO511" s="125"/>
      <c r="AP511" s="16"/>
      <c r="AQ511" s="125"/>
      <c r="AZ511" s="125"/>
      <c r="BA511" s="142"/>
      <c r="BB511" s="125"/>
      <c r="BC511" s="16"/>
      <c r="BD511" s="125"/>
      <c r="BE511" s="125"/>
      <c r="BF511" s="16"/>
      <c r="BG511" s="125"/>
      <c r="BQ511" s="125"/>
      <c r="BR511" s="16"/>
      <c r="BS511" s="123"/>
      <c r="BT511" s="19"/>
      <c r="BU511" s="139"/>
      <c r="BV511" s="139"/>
      <c r="BW511" s="123"/>
      <c r="BX511" s="123"/>
      <c r="BY511" s="123"/>
      <c r="BZ511" s="123"/>
      <c r="CA511" s="123"/>
      <c r="CB511" s="123"/>
      <c r="CC511" s="6"/>
      <c r="CD511" s="123"/>
      <c r="CE511" s="6"/>
      <c r="CF511" s="123"/>
      <c r="CG511" s="6"/>
      <c r="CH511" s="6"/>
      <c r="CI511" s="6"/>
      <c r="CJ511" s="6"/>
      <c r="CK511" s="123"/>
      <c r="CL511" s="6"/>
      <c r="CM511" s="6"/>
      <c r="CN511" s="6"/>
      <c r="CO511" s="138"/>
      <c r="CP511" s="138"/>
      <c r="CQ511" s="123"/>
      <c r="CR511" s="6"/>
      <c r="CS511" s="6"/>
      <c r="CT511" s="139"/>
      <c r="CU511" s="139"/>
      <c r="CV511" s="76"/>
      <c r="CW511" s="123"/>
      <c r="CX511" s="6"/>
      <c r="DI511" s="125"/>
      <c r="DJ511" s="16"/>
      <c r="DM511" s="16"/>
      <c r="DN511" s="16"/>
      <c r="DO511" s="125"/>
      <c r="DP511" s="16"/>
      <c r="DQ511" s="125"/>
      <c r="DZ511" s="125"/>
      <c r="EA511" s="142"/>
      <c r="EB511" s="125"/>
      <c r="EC511" s="16"/>
      <c r="ED511" s="125"/>
      <c r="EE511" s="125"/>
      <c r="EF511" s="16"/>
      <c r="EG511" s="125"/>
      <c r="EQ511" s="125"/>
      <c r="ER511" s="16"/>
      <c r="ES511" s="123"/>
      <c r="ET511" s="19"/>
      <c r="EU511" s="139"/>
      <c r="EV511" s="139"/>
      <c r="EW511" s="123"/>
      <c r="EX511" s="123"/>
      <c r="EY511" s="123"/>
      <c r="EZ511" s="123"/>
      <c r="FA511" s="123"/>
      <c r="FB511" s="123"/>
      <c r="FC511" s="6"/>
      <c r="FD511" s="123"/>
      <c r="FE511" s="6"/>
      <c r="FF511" s="123"/>
      <c r="FG511" s="6"/>
      <c r="FH511" s="6"/>
      <c r="FI511" s="6"/>
      <c r="FJ511" s="6"/>
      <c r="FK511" s="123"/>
      <c r="FL511" s="6"/>
      <c r="FM511" s="6"/>
      <c r="FN511" s="6"/>
      <c r="FO511" s="138"/>
      <c r="FP511" s="138"/>
      <c r="FQ511" s="123"/>
      <c r="FR511" s="6"/>
      <c r="FS511" s="6"/>
      <c r="FT511" s="139"/>
      <c r="FU511" s="139"/>
      <c r="FV511" s="76"/>
      <c r="FW511" s="123"/>
      <c r="FX511" s="6"/>
    </row>
    <row r="512" spans="35:180">
      <c r="AI512" s="125"/>
      <c r="AJ512" s="16"/>
      <c r="AM512" s="16"/>
      <c r="AN512" s="16"/>
      <c r="AO512" s="125"/>
      <c r="AP512" s="16"/>
      <c r="AQ512" s="125"/>
      <c r="AZ512" s="125"/>
      <c r="BA512" s="142"/>
      <c r="BB512" s="125"/>
      <c r="BC512" s="16"/>
      <c r="BD512" s="125"/>
      <c r="BE512" s="125"/>
      <c r="BF512" s="16"/>
      <c r="BG512" s="125"/>
      <c r="BQ512" s="125"/>
      <c r="BR512" s="16"/>
      <c r="BS512" s="123"/>
      <c r="BT512" s="19"/>
      <c r="BU512" s="139"/>
      <c r="BV512" s="139"/>
      <c r="BW512" s="123"/>
      <c r="BX512" s="123"/>
      <c r="BY512" s="123"/>
      <c r="BZ512" s="123"/>
      <c r="CA512" s="123"/>
      <c r="CB512" s="123"/>
      <c r="CC512" s="6"/>
      <c r="CD512" s="123"/>
      <c r="CE512" s="6"/>
      <c r="CF512" s="123"/>
      <c r="CG512" s="6"/>
      <c r="CH512" s="6"/>
      <c r="CI512" s="6"/>
      <c r="CJ512" s="6"/>
      <c r="CK512" s="123"/>
      <c r="CL512" s="6"/>
      <c r="CM512" s="6"/>
      <c r="CN512" s="6"/>
      <c r="CO512" s="138"/>
      <c r="CP512" s="138"/>
      <c r="CQ512" s="123"/>
      <c r="CR512" s="6"/>
      <c r="CS512" s="6"/>
      <c r="CT512" s="139"/>
      <c r="CU512" s="139"/>
      <c r="CV512" s="76"/>
      <c r="CW512" s="123"/>
      <c r="CX512" s="6"/>
      <c r="DI512" s="125"/>
      <c r="DJ512" s="16"/>
      <c r="DM512" s="16"/>
      <c r="DN512" s="16"/>
      <c r="DO512" s="125"/>
      <c r="DP512" s="16"/>
      <c r="DQ512" s="125"/>
      <c r="DZ512" s="125"/>
      <c r="EA512" s="142"/>
      <c r="EB512" s="125"/>
      <c r="EC512" s="16"/>
      <c r="ED512" s="125"/>
      <c r="EE512" s="125"/>
      <c r="EF512" s="16"/>
      <c r="EG512" s="125"/>
      <c r="EQ512" s="125"/>
      <c r="ER512" s="16"/>
      <c r="ES512" s="123"/>
      <c r="ET512" s="19"/>
      <c r="EU512" s="139"/>
      <c r="EV512" s="139"/>
      <c r="EW512" s="123"/>
      <c r="EX512" s="123"/>
      <c r="EY512" s="123"/>
      <c r="EZ512" s="123"/>
      <c r="FA512" s="123"/>
      <c r="FB512" s="123"/>
      <c r="FC512" s="6"/>
      <c r="FD512" s="123"/>
      <c r="FE512" s="6"/>
      <c r="FF512" s="123"/>
      <c r="FG512" s="6"/>
      <c r="FH512" s="6"/>
      <c r="FI512" s="6"/>
      <c r="FJ512" s="6"/>
      <c r="FK512" s="123"/>
      <c r="FL512" s="6"/>
      <c r="FM512" s="6"/>
      <c r="FN512" s="6"/>
      <c r="FO512" s="138"/>
      <c r="FP512" s="138"/>
      <c r="FQ512" s="123"/>
      <c r="FR512" s="6"/>
      <c r="FS512" s="6"/>
      <c r="FT512" s="139"/>
      <c r="FU512" s="139"/>
      <c r="FV512" s="76"/>
      <c r="FW512" s="123"/>
      <c r="FX512" s="6"/>
    </row>
    <row r="513" spans="35:180">
      <c r="AI513" s="125"/>
      <c r="AJ513" s="16"/>
      <c r="AM513" s="16"/>
      <c r="AN513" s="16"/>
      <c r="AO513" s="125"/>
      <c r="AP513" s="16"/>
      <c r="AQ513" s="125"/>
      <c r="AZ513" s="125"/>
      <c r="BA513" s="142"/>
      <c r="BB513" s="125"/>
      <c r="BC513" s="16"/>
      <c r="BD513" s="125"/>
      <c r="BE513" s="125"/>
      <c r="BF513" s="16"/>
      <c r="BG513" s="125"/>
      <c r="BQ513" s="125"/>
      <c r="BR513" s="16"/>
      <c r="BS513" s="123"/>
      <c r="BT513" s="19"/>
      <c r="BU513" s="139"/>
      <c r="BV513" s="139"/>
      <c r="BW513" s="123"/>
      <c r="BX513" s="123"/>
      <c r="BY513" s="123"/>
      <c r="BZ513" s="123"/>
      <c r="CA513" s="123"/>
      <c r="CB513" s="123"/>
      <c r="CC513" s="6"/>
      <c r="CD513" s="123"/>
      <c r="CE513" s="6"/>
      <c r="CF513" s="123"/>
      <c r="CG513" s="6"/>
      <c r="CH513" s="6"/>
      <c r="CI513" s="6"/>
      <c r="CJ513" s="6"/>
      <c r="CK513" s="123"/>
      <c r="CL513" s="6"/>
      <c r="CM513" s="6"/>
      <c r="CN513" s="6"/>
      <c r="CO513" s="138"/>
      <c r="CP513" s="138"/>
      <c r="CQ513" s="123"/>
      <c r="CR513" s="6"/>
      <c r="CS513" s="6"/>
      <c r="CT513" s="139"/>
      <c r="CU513" s="139"/>
      <c r="CV513" s="76"/>
      <c r="CW513" s="123"/>
      <c r="CX513" s="6"/>
      <c r="DI513" s="125"/>
      <c r="DJ513" s="16"/>
      <c r="DM513" s="16"/>
      <c r="DN513" s="16"/>
      <c r="DO513" s="125"/>
      <c r="DP513" s="16"/>
      <c r="DQ513" s="125"/>
      <c r="DZ513" s="125"/>
      <c r="EA513" s="142"/>
      <c r="EB513" s="125"/>
      <c r="EC513" s="16"/>
      <c r="ED513" s="125"/>
      <c r="EE513" s="125"/>
      <c r="EF513" s="16"/>
      <c r="EG513" s="125"/>
      <c r="EQ513" s="125"/>
      <c r="ER513" s="16"/>
      <c r="ES513" s="123"/>
      <c r="ET513" s="19"/>
      <c r="EU513" s="139"/>
      <c r="EV513" s="139"/>
      <c r="EW513" s="123"/>
      <c r="EX513" s="123"/>
      <c r="EY513" s="123"/>
      <c r="EZ513" s="123"/>
      <c r="FA513" s="123"/>
      <c r="FB513" s="123"/>
      <c r="FC513" s="6"/>
      <c r="FD513" s="123"/>
      <c r="FE513" s="6"/>
      <c r="FF513" s="123"/>
      <c r="FG513" s="6"/>
      <c r="FH513" s="6"/>
      <c r="FI513" s="6"/>
      <c r="FJ513" s="6"/>
      <c r="FK513" s="123"/>
      <c r="FL513" s="6"/>
      <c r="FM513" s="6"/>
      <c r="FN513" s="6"/>
      <c r="FO513" s="138"/>
      <c r="FP513" s="138"/>
      <c r="FQ513" s="123"/>
      <c r="FR513" s="6"/>
      <c r="FS513" s="6"/>
      <c r="FT513" s="139"/>
      <c r="FU513" s="139"/>
      <c r="FV513" s="76"/>
      <c r="FW513" s="123"/>
      <c r="FX513" s="6"/>
    </row>
    <row r="514" spans="35:180">
      <c r="AI514" s="125"/>
      <c r="AJ514" s="16"/>
      <c r="AM514" s="16"/>
      <c r="AN514" s="16"/>
      <c r="AO514" s="125"/>
      <c r="AP514" s="16"/>
      <c r="AQ514" s="125"/>
      <c r="AZ514" s="125"/>
      <c r="BA514" s="142"/>
      <c r="BB514" s="125"/>
      <c r="BC514" s="16"/>
      <c r="BD514" s="125"/>
      <c r="BE514" s="125"/>
      <c r="BF514" s="16"/>
      <c r="BG514" s="125"/>
      <c r="BQ514" s="125"/>
      <c r="BR514" s="16"/>
      <c r="BS514" s="123"/>
      <c r="BT514" s="19"/>
      <c r="BU514" s="139"/>
      <c r="BV514" s="139"/>
      <c r="BW514" s="123"/>
      <c r="BX514" s="123"/>
      <c r="BY514" s="123"/>
      <c r="BZ514" s="123"/>
      <c r="CA514" s="123"/>
      <c r="CB514" s="123"/>
      <c r="CC514" s="6"/>
      <c r="CD514" s="123"/>
      <c r="CE514" s="6"/>
      <c r="CF514" s="123"/>
      <c r="CG514" s="6"/>
      <c r="CH514" s="6"/>
      <c r="CI514" s="6"/>
      <c r="CJ514" s="6"/>
      <c r="CK514" s="123"/>
      <c r="CL514" s="6"/>
      <c r="CM514" s="6"/>
      <c r="CN514" s="6"/>
      <c r="CO514" s="138"/>
      <c r="CP514" s="138"/>
      <c r="CQ514" s="123"/>
      <c r="CR514" s="6"/>
      <c r="CS514" s="6"/>
      <c r="CT514" s="139"/>
      <c r="CU514" s="139"/>
      <c r="CV514" s="76"/>
      <c r="CW514" s="123"/>
      <c r="CX514" s="6"/>
      <c r="DI514" s="125"/>
      <c r="DJ514" s="16"/>
      <c r="DM514" s="16"/>
      <c r="DN514" s="16"/>
      <c r="DO514" s="125"/>
      <c r="DP514" s="16"/>
      <c r="DQ514" s="125"/>
      <c r="DZ514" s="125"/>
      <c r="EA514" s="142"/>
      <c r="EB514" s="125"/>
      <c r="EC514" s="16"/>
      <c r="ED514" s="125"/>
      <c r="EE514" s="125"/>
      <c r="EF514" s="16"/>
      <c r="EG514" s="125"/>
      <c r="EQ514" s="125"/>
      <c r="ER514" s="16"/>
      <c r="ES514" s="123"/>
      <c r="ET514" s="19"/>
      <c r="EU514" s="139"/>
      <c r="EV514" s="139"/>
      <c r="EW514" s="123"/>
      <c r="EX514" s="123"/>
      <c r="EY514" s="123"/>
      <c r="EZ514" s="123"/>
      <c r="FA514" s="123"/>
      <c r="FB514" s="123"/>
      <c r="FC514" s="6"/>
      <c r="FD514" s="123"/>
      <c r="FE514" s="6"/>
      <c r="FF514" s="123"/>
      <c r="FG514" s="6"/>
      <c r="FH514" s="6"/>
      <c r="FI514" s="6"/>
      <c r="FJ514" s="6"/>
      <c r="FK514" s="123"/>
      <c r="FL514" s="6"/>
      <c r="FM514" s="6"/>
      <c r="FN514" s="6"/>
      <c r="FO514" s="138"/>
      <c r="FP514" s="138"/>
      <c r="FQ514" s="123"/>
      <c r="FR514" s="6"/>
      <c r="FS514" s="6"/>
      <c r="FT514" s="139"/>
      <c r="FU514" s="139"/>
      <c r="FV514" s="76"/>
      <c r="FW514" s="123"/>
      <c r="FX514" s="6"/>
    </row>
    <row r="515" spans="35:180">
      <c r="AI515" s="125"/>
      <c r="AJ515" s="16"/>
      <c r="AM515" s="16"/>
      <c r="AN515" s="16"/>
      <c r="AO515" s="125"/>
      <c r="AP515" s="16"/>
      <c r="AQ515" s="125"/>
      <c r="AZ515" s="125"/>
      <c r="BA515" s="142"/>
      <c r="BB515" s="125"/>
      <c r="BC515" s="16"/>
      <c r="BD515" s="125"/>
      <c r="BE515" s="125"/>
      <c r="BF515" s="16"/>
      <c r="BG515" s="125"/>
      <c r="BQ515" s="125"/>
      <c r="BR515" s="16"/>
      <c r="BS515" s="123"/>
      <c r="BT515" s="19"/>
      <c r="BU515" s="139"/>
      <c r="BV515" s="139"/>
      <c r="BW515" s="123"/>
      <c r="BX515" s="123"/>
      <c r="BY515" s="123"/>
      <c r="BZ515" s="123"/>
      <c r="CA515" s="123"/>
      <c r="CB515" s="123"/>
      <c r="CC515" s="6"/>
      <c r="CD515" s="123"/>
      <c r="CE515" s="6"/>
      <c r="CF515" s="123"/>
      <c r="CG515" s="6"/>
      <c r="CH515" s="6"/>
      <c r="CI515" s="6"/>
      <c r="CJ515" s="6"/>
      <c r="CK515" s="123"/>
      <c r="CL515" s="6"/>
      <c r="CM515" s="6"/>
      <c r="CN515" s="6"/>
      <c r="CO515" s="138"/>
      <c r="CP515" s="138"/>
      <c r="CQ515" s="123"/>
      <c r="CR515" s="6"/>
      <c r="CS515" s="6"/>
      <c r="CT515" s="139"/>
      <c r="CU515" s="139"/>
      <c r="CV515" s="76"/>
      <c r="CW515" s="123"/>
      <c r="CX515" s="6"/>
      <c r="DI515" s="125"/>
      <c r="DJ515" s="16"/>
      <c r="DM515" s="16"/>
      <c r="DN515" s="16"/>
      <c r="DO515" s="125"/>
      <c r="DP515" s="16"/>
      <c r="DQ515" s="125"/>
      <c r="DZ515" s="125"/>
      <c r="EA515" s="142"/>
      <c r="EB515" s="125"/>
      <c r="EC515" s="16"/>
      <c r="ED515" s="125"/>
      <c r="EE515" s="125"/>
      <c r="EF515" s="16"/>
      <c r="EG515" s="125"/>
      <c r="EQ515" s="125"/>
      <c r="ER515" s="16"/>
      <c r="ES515" s="123"/>
      <c r="ET515" s="19"/>
      <c r="EU515" s="139"/>
      <c r="EV515" s="139"/>
      <c r="EW515" s="123"/>
      <c r="EX515" s="123"/>
      <c r="EY515" s="123"/>
      <c r="EZ515" s="123"/>
      <c r="FA515" s="123"/>
      <c r="FB515" s="123"/>
      <c r="FC515" s="6"/>
      <c r="FD515" s="123"/>
      <c r="FE515" s="6"/>
      <c r="FF515" s="123"/>
      <c r="FG515" s="6"/>
      <c r="FH515" s="6"/>
      <c r="FI515" s="6"/>
      <c r="FJ515" s="6"/>
      <c r="FK515" s="123"/>
      <c r="FL515" s="6"/>
      <c r="FM515" s="6"/>
      <c r="FN515" s="6"/>
      <c r="FO515" s="138"/>
      <c r="FP515" s="138"/>
      <c r="FQ515" s="123"/>
      <c r="FR515" s="6"/>
      <c r="FS515" s="6"/>
      <c r="FT515" s="139"/>
      <c r="FU515" s="139"/>
      <c r="FV515" s="76"/>
      <c r="FW515" s="123"/>
      <c r="FX515" s="6"/>
    </row>
    <row r="516" spans="35:180">
      <c r="AI516" s="125"/>
      <c r="AJ516" s="16"/>
      <c r="AM516" s="16"/>
      <c r="AN516" s="16"/>
      <c r="AO516" s="125"/>
      <c r="AP516" s="16"/>
      <c r="AQ516" s="125"/>
      <c r="AZ516" s="125"/>
      <c r="BA516" s="142"/>
      <c r="BB516" s="125"/>
      <c r="BC516" s="16"/>
      <c r="BD516" s="125"/>
      <c r="BE516" s="125"/>
      <c r="BF516" s="16"/>
      <c r="BG516" s="125"/>
      <c r="BQ516" s="125"/>
      <c r="BR516" s="16"/>
      <c r="BS516" s="123"/>
      <c r="BT516" s="19"/>
      <c r="BU516" s="139"/>
      <c r="BV516" s="139"/>
      <c r="BW516" s="123"/>
      <c r="BX516" s="123"/>
      <c r="BY516" s="123"/>
      <c r="BZ516" s="123"/>
      <c r="CA516" s="123"/>
      <c r="CB516" s="123"/>
      <c r="CC516" s="6"/>
      <c r="CD516" s="123"/>
      <c r="CE516" s="6"/>
      <c r="CF516" s="123"/>
      <c r="CG516" s="6"/>
      <c r="CH516" s="6"/>
      <c r="CI516" s="6"/>
      <c r="CJ516" s="6"/>
      <c r="CK516" s="123"/>
      <c r="CL516" s="6"/>
      <c r="CM516" s="6"/>
      <c r="CN516" s="6"/>
      <c r="CO516" s="138"/>
      <c r="CP516" s="138"/>
      <c r="CQ516" s="123"/>
      <c r="CR516" s="6"/>
      <c r="CS516" s="6"/>
      <c r="CT516" s="139"/>
      <c r="CU516" s="139"/>
      <c r="CV516" s="76"/>
      <c r="CW516" s="123"/>
      <c r="CX516" s="6"/>
      <c r="DI516" s="125"/>
      <c r="DJ516" s="16"/>
      <c r="DM516" s="16"/>
      <c r="DN516" s="16"/>
      <c r="DO516" s="125"/>
      <c r="DP516" s="16"/>
      <c r="DQ516" s="125"/>
      <c r="DZ516" s="125"/>
      <c r="EA516" s="142"/>
      <c r="EB516" s="125"/>
      <c r="EC516" s="16"/>
      <c r="ED516" s="125"/>
      <c r="EE516" s="125"/>
      <c r="EF516" s="16"/>
      <c r="EG516" s="125"/>
      <c r="EQ516" s="125"/>
      <c r="ER516" s="16"/>
      <c r="ES516" s="123"/>
      <c r="ET516" s="19"/>
      <c r="EU516" s="139"/>
      <c r="EV516" s="139"/>
      <c r="EW516" s="123"/>
      <c r="EX516" s="123"/>
      <c r="EY516" s="123"/>
      <c r="EZ516" s="123"/>
      <c r="FA516" s="123"/>
      <c r="FB516" s="123"/>
      <c r="FC516" s="6"/>
      <c r="FD516" s="123"/>
      <c r="FE516" s="6"/>
      <c r="FF516" s="123"/>
      <c r="FG516" s="6"/>
      <c r="FH516" s="6"/>
      <c r="FI516" s="6"/>
      <c r="FJ516" s="6"/>
      <c r="FK516" s="123"/>
      <c r="FL516" s="6"/>
      <c r="FM516" s="6"/>
      <c r="FN516" s="6"/>
      <c r="FO516" s="138"/>
      <c r="FP516" s="138"/>
      <c r="FQ516" s="123"/>
      <c r="FR516" s="6"/>
      <c r="FS516" s="6"/>
      <c r="FT516" s="139"/>
      <c r="FU516" s="139"/>
      <c r="FV516" s="76"/>
      <c r="FW516" s="123"/>
      <c r="FX516" s="6"/>
    </row>
    <row r="517" spans="35:180">
      <c r="AI517" s="125"/>
      <c r="AJ517" s="16"/>
      <c r="AM517" s="16"/>
      <c r="AN517" s="16"/>
      <c r="AO517" s="125"/>
      <c r="AP517" s="16"/>
      <c r="AQ517" s="125"/>
      <c r="AZ517" s="125"/>
      <c r="BA517" s="142"/>
      <c r="BB517" s="125"/>
      <c r="BC517" s="16"/>
      <c r="BD517" s="125"/>
      <c r="BE517" s="125"/>
      <c r="BF517" s="16"/>
      <c r="BG517" s="125"/>
      <c r="BQ517" s="125"/>
      <c r="BR517" s="16"/>
      <c r="BS517" s="123"/>
      <c r="BT517" s="19"/>
      <c r="BU517" s="139"/>
      <c r="BV517" s="139"/>
      <c r="BW517" s="123"/>
      <c r="BX517" s="123"/>
      <c r="BY517" s="123"/>
      <c r="BZ517" s="123"/>
      <c r="CA517" s="123"/>
      <c r="CB517" s="123"/>
      <c r="CC517" s="6"/>
      <c r="CD517" s="123"/>
      <c r="CE517" s="6"/>
      <c r="CF517" s="123"/>
      <c r="CG517" s="6"/>
      <c r="CH517" s="6"/>
      <c r="CI517" s="6"/>
      <c r="CJ517" s="6"/>
      <c r="CK517" s="123"/>
      <c r="CL517" s="6"/>
      <c r="CM517" s="6"/>
      <c r="CN517" s="6"/>
      <c r="CO517" s="138"/>
      <c r="CP517" s="138"/>
      <c r="CQ517" s="123"/>
      <c r="CR517" s="6"/>
      <c r="CS517" s="6"/>
      <c r="CT517" s="139"/>
      <c r="CU517" s="139"/>
      <c r="CV517" s="76"/>
      <c r="CW517" s="123"/>
      <c r="CX517" s="6"/>
      <c r="DI517" s="125"/>
      <c r="DJ517" s="16"/>
      <c r="DM517" s="16"/>
      <c r="DN517" s="16"/>
      <c r="DO517" s="125"/>
      <c r="DP517" s="16"/>
      <c r="DQ517" s="125"/>
      <c r="DZ517" s="125"/>
      <c r="EA517" s="142"/>
      <c r="EB517" s="125"/>
      <c r="EC517" s="16"/>
      <c r="ED517" s="125"/>
      <c r="EE517" s="125"/>
      <c r="EF517" s="16"/>
      <c r="EG517" s="125"/>
      <c r="EQ517" s="125"/>
      <c r="ER517" s="16"/>
      <c r="ES517" s="123"/>
      <c r="ET517" s="19"/>
      <c r="EU517" s="139"/>
      <c r="EV517" s="139"/>
      <c r="EW517" s="123"/>
      <c r="EX517" s="123"/>
      <c r="EY517" s="123"/>
      <c r="EZ517" s="123"/>
      <c r="FA517" s="123"/>
      <c r="FB517" s="123"/>
      <c r="FC517" s="6"/>
      <c r="FD517" s="123"/>
      <c r="FE517" s="6"/>
      <c r="FF517" s="123"/>
      <c r="FG517" s="6"/>
      <c r="FH517" s="6"/>
      <c r="FI517" s="6"/>
      <c r="FJ517" s="6"/>
      <c r="FK517" s="123"/>
      <c r="FL517" s="6"/>
      <c r="FM517" s="6"/>
      <c r="FN517" s="6"/>
      <c r="FO517" s="138"/>
      <c r="FP517" s="138"/>
      <c r="FQ517" s="123"/>
      <c r="FR517" s="6"/>
      <c r="FS517" s="6"/>
      <c r="FT517" s="139"/>
      <c r="FU517" s="139"/>
      <c r="FV517" s="76"/>
      <c r="FW517" s="123"/>
      <c r="FX517" s="6"/>
    </row>
    <row r="518" spans="35:180">
      <c r="AI518" s="125"/>
      <c r="AJ518" s="16"/>
      <c r="AM518" s="16"/>
      <c r="AN518" s="16"/>
      <c r="AO518" s="125"/>
      <c r="AP518" s="16"/>
      <c r="AQ518" s="125"/>
      <c r="AZ518" s="125"/>
      <c r="BA518" s="142"/>
      <c r="BB518" s="125"/>
      <c r="BC518" s="16"/>
      <c r="BD518" s="125"/>
      <c r="BE518" s="125"/>
      <c r="BF518" s="16"/>
      <c r="BG518" s="125"/>
      <c r="BQ518" s="125"/>
      <c r="BR518" s="16"/>
      <c r="BS518" s="123"/>
      <c r="BT518" s="19"/>
      <c r="BU518" s="139"/>
      <c r="BV518" s="139"/>
      <c r="BW518" s="123"/>
      <c r="BX518" s="123"/>
      <c r="BY518" s="123"/>
      <c r="BZ518" s="123"/>
      <c r="CA518" s="123"/>
      <c r="CB518" s="123"/>
      <c r="CC518" s="6"/>
      <c r="CD518" s="123"/>
      <c r="CE518" s="6"/>
      <c r="CF518" s="123"/>
      <c r="CG518" s="6"/>
      <c r="CH518" s="6"/>
      <c r="CI518" s="6"/>
      <c r="CJ518" s="6"/>
      <c r="CK518" s="123"/>
      <c r="CL518" s="6"/>
      <c r="CM518" s="6"/>
      <c r="CN518" s="6"/>
      <c r="CO518" s="138"/>
      <c r="CP518" s="138"/>
      <c r="CQ518" s="123"/>
      <c r="CR518" s="6"/>
      <c r="CS518" s="6"/>
      <c r="CT518" s="139"/>
      <c r="CU518" s="139"/>
      <c r="CV518" s="76"/>
      <c r="CW518" s="123"/>
      <c r="CX518" s="6"/>
      <c r="DI518" s="125"/>
      <c r="DJ518" s="16"/>
      <c r="DM518" s="16"/>
      <c r="DN518" s="16"/>
      <c r="DO518" s="125"/>
      <c r="DP518" s="16"/>
      <c r="DQ518" s="125"/>
      <c r="DZ518" s="125"/>
      <c r="EA518" s="142"/>
      <c r="EB518" s="125"/>
      <c r="EC518" s="16"/>
      <c r="ED518" s="125"/>
      <c r="EE518" s="125"/>
      <c r="EF518" s="16"/>
      <c r="EG518" s="125"/>
      <c r="EQ518" s="125"/>
      <c r="ER518" s="16"/>
      <c r="ES518" s="123"/>
      <c r="ET518" s="19"/>
      <c r="EU518" s="139"/>
      <c r="EV518" s="139"/>
      <c r="EW518" s="123"/>
      <c r="EX518" s="123"/>
      <c r="EY518" s="123"/>
      <c r="EZ518" s="123"/>
      <c r="FA518" s="123"/>
      <c r="FB518" s="123"/>
      <c r="FC518" s="6"/>
      <c r="FD518" s="123"/>
      <c r="FE518" s="6"/>
      <c r="FF518" s="123"/>
      <c r="FG518" s="6"/>
      <c r="FH518" s="6"/>
      <c r="FI518" s="6"/>
      <c r="FJ518" s="6"/>
      <c r="FK518" s="123"/>
      <c r="FL518" s="6"/>
      <c r="FM518" s="6"/>
      <c r="FN518" s="6"/>
      <c r="FO518" s="138"/>
      <c r="FP518" s="138"/>
      <c r="FQ518" s="123"/>
      <c r="FR518" s="6"/>
      <c r="FS518" s="6"/>
      <c r="FT518" s="139"/>
      <c r="FU518" s="139"/>
      <c r="FV518" s="76"/>
      <c r="FW518" s="123"/>
      <c r="FX518" s="6"/>
    </row>
    <row r="519" spans="35:180">
      <c r="AI519" s="125"/>
      <c r="AJ519" s="16"/>
      <c r="AM519" s="16"/>
      <c r="AN519" s="16"/>
      <c r="AO519" s="125"/>
      <c r="AP519" s="16"/>
      <c r="AQ519" s="125"/>
      <c r="AZ519" s="125"/>
      <c r="BA519" s="142"/>
      <c r="BB519" s="125"/>
      <c r="BC519" s="16"/>
      <c r="BD519" s="125"/>
      <c r="BE519" s="125"/>
      <c r="BF519" s="16"/>
      <c r="BG519" s="125"/>
      <c r="BQ519" s="125"/>
      <c r="BR519" s="16"/>
      <c r="BS519" s="123"/>
      <c r="BT519" s="19"/>
      <c r="BU519" s="139"/>
      <c r="BV519" s="139"/>
      <c r="BW519" s="123"/>
      <c r="BX519" s="123"/>
      <c r="BY519" s="123"/>
      <c r="BZ519" s="123"/>
      <c r="CA519" s="123"/>
      <c r="CB519" s="123"/>
      <c r="CC519" s="6"/>
      <c r="CD519" s="123"/>
      <c r="CE519" s="6"/>
      <c r="CF519" s="123"/>
      <c r="CG519" s="6"/>
      <c r="CH519" s="6"/>
      <c r="CI519" s="6"/>
      <c r="CJ519" s="6"/>
      <c r="CK519" s="123"/>
      <c r="CL519" s="6"/>
      <c r="CM519" s="6"/>
      <c r="CN519" s="6"/>
      <c r="CO519" s="138"/>
      <c r="CP519" s="138"/>
      <c r="CQ519" s="123"/>
      <c r="CR519" s="6"/>
      <c r="CS519" s="6"/>
      <c r="CT519" s="139"/>
      <c r="CU519" s="139"/>
      <c r="CV519" s="76"/>
      <c r="CW519" s="123"/>
      <c r="CX519" s="6"/>
      <c r="DI519" s="125"/>
      <c r="DJ519" s="16"/>
      <c r="DM519" s="16"/>
      <c r="DN519" s="16"/>
      <c r="DO519" s="125"/>
      <c r="DP519" s="16"/>
      <c r="DQ519" s="125"/>
      <c r="DZ519" s="125"/>
      <c r="EA519" s="142"/>
      <c r="EB519" s="125"/>
      <c r="EC519" s="16"/>
      <c r="ED519" s="125"/>
      <c r="EE519" s="125"/>
      <c r="EF519" s="16"/>
      <c r="EG519" s="125"/>
      <c r="EQ519" s="125"/>
      <c r="ER519" s="16"/>
      <c r="ES519" s="123"/>
      <c r="ET519" s="19"/>
      <c r="EU519" s="139"/>
      <c r="EV519" s="139"/>
      <c r="EW519" s="123"/>
      <c r="EX519" s="123"/>
      <c r="EY519" s="123"/>
      <c r="EZ519" s="123"/>
      <c r="FA519" s="123"/>
      <c r="FB519" s="123"/>
      <c r="FC519" s="6"/>
      <c r="FD519" s="123"/>
      <c r="FE519" s="6"/>
      <c r="FF519" s="123"/>
      <c r="FG519" s="6"/>
      <c r="FH519" s="6"/>
      <c r="FI519" s="6"/>
      <c r="FJ519" s="6"/>
      <c r="FK519" s="123"/>
      <c r="FL519" s="6"/>
      <c r="FM519" s="6"/>
      <c r="FN519" s="6"/>
      <c r="FO519" s="138"/>
      <c r="FP519" s="138"/>
      <c r="FQ519" s="123"/>
      <c r="FR519" s="6"/>
      <c r="FS519" s="6"/>
      <c r="FT519" s="139"/>
      <c r="FU519" s="139"/>
      <c r="FV519" s="76"/>
      <c r="FW519" s="123"/>
      <c r="FX519" s="6"/>
    </row>
    <row r="520" spans="35:180">
      <c r="AI520" s="125"/>
      <c r="AJ520" s="16"/>
      <c r="AM520" s="16"/>
      <c r="AN520" s="16"/>
      <c r="AO520" s="125"/>
      <c r="AP520" s="16"/>
      <c r="AQ520" s="125"/>
      <c r="AZ520" s="125"/>
      <c r="BA520" s="142"/>
      <c r="BB520" s="125"/>
      <c r="BC520" s="16"/>
      <c r="BD520" s="125"/>
      <c r="BE520" s="125"/>
      <c r="BF520" s="16"/>
      <c r="BG520" s="125"/>
      <c r="BQ520" s="125"/>
      <c r="BR520" s="16"/>
      <c r="BS520" s="123"/>
      <c r="BT520" s="19"/>
      <c r="BU520" s="139"/>
      <c r="BV520" s="139"/>
      <c r="BW520" s="123"/>
      <c r="BX520" s="123"/>
      <c r="BY520" s="123"/>
      <c r="BZ520" s="123"/>
      <c r="CA520" s="123"/>
      <c r="CB520" s="123"/>
      <c r="CC520" s="6"/>
      <c r="CD520" s="123"/>
      <c r="CE520" s="6"/>
      <c r="CF520" s="123"/>
      <c r="CG520" s="6"/>
      <c r="CH520" s="6"/>
      <c r="CI520" s="6"/>
      <c r="CJ520" s="6"/>
      <c r="CK520" s="123"/>
      <c r="CL520" s="6"/>
      <c r="CM520" s="6"/>
      <c r="CN520" s="6"/>
      <c r="CO520" s="138"/>
      <c r="CP520" s="138"/>
      <c r="CQ520" s="123"/>
      <c r="CR520" s="6"/>
      <c r="CS520" s="6"/>
      <c r="CT520" s="139"/>
      <c r="CU520" s="139"/>
      <c r="CV520" s="76"/>
      <c r="CW520" s="123"/>
      <c r="CX520" s="6"/>
      <c r="DI520" s="125"/>
      <c r="DJ520" s="16"/>
      <c r="DM520" s="16"/>
      <c r="DN520" s="16"/>
      <c r="DO520" s="125"/>
      <c r="DP520" s="16"/>
      <c r="DQ520" s="125"/>
      <c r="DZ520" s="125"/>
      <c r="EA520" s="142"/>
      <c r="EB520" s="125"/>
      <c r="EC520" s="16"/>
      <c r="ED520" s="125"/>
      <c r="EE520" s="125"/>
      <c r="EF520" s="16"/>
      <c r="EG520" s="125"/>
      <c r="EQ520" s="125"/>
      <c r="ER520" s="16"/>
      <c r="ES520" s="123"/>
      <c r="ET520" s="19"/>
      <c r="EU520" s="139"/>
      <c r="EV520" s="139"/>
      <c r="EW520" s="123"/>
      <c r="EX520" s="123"/>
      <c r="EY520" s="123"/>
      <c r="EZ520" s="123"/>
      <c r="FA520" s="123"/>
      <c r="FB520" s="123"/>
      <c r="FC520" s="6"/>
      <c r="FD520" s="123"/>
      <c r="FE520" s="6"/>
      <c r="FF520" s="123"/>
      <c r="FG520" s="6"/>
      <c r="FH520" s="6"/>
      <c r="FI520" s="6"/>
      <c r="FJ520" s="6"/>
      <c r="FK520" s="123"/>
      <c r="FL520" s="6"/>
      <c r="FM520" s="6"/>
      <c r="FN520" s="6"/>
      <c r="FO520" s="138"/>
      <c r="FP520" s="138"/>
      <c r="FQ520" s="123"/>
      <c r="FR520" s="6"/>
      <c r="FS520" s="6"/>
      <c r="FT520" s="139"/>
      <c r="FU520" s="139"/>
      <c r="FV520" s="76"/>
      <c r="FW520" s="123"/>
      <c r="FX520" s="6"/>
    </row>
    <row r="521" spans="35:180">
      <c r="AI521" s="125"/>
      <c r="AJ521" s="16"/>
      <c r="AM521" s="16"/>
      <c r="AN521" s="16"/>
      <c r="AO521" s="125"/>
      <c r="AP521" s="16"/>
      <c r="AQ521" s="125"/>
      <c r="AZ521" s="125"/>
      <c r="BA521" s="142"/>
      <c r="BB521" s="125"/>
      <c r="BC521" s="16"/>
      <c r="BD521" s="125"/>
      <c r="BE521" s="125"/>
      <c r="BF521" s="16"/>
      <c r="BG521" s="125"/>
      <c r="BQ521" s="125"/>
      <c r="BR521" s="16"/>
      <c r="BS521" s="123"/>
      <c r="BT521" s="19"/>
      <c r="BU521" s="139"/>
      <c r="BV521" s="139"/>
      <c r="BW521" s="123"/>
      <c r="BX521" s="123"/>
      <c r="BY521" s="123"/>
      <c r="BZ521" s="123"/>
      <c r="CA521" s="123"/>
      <c r="CB521" s="123"/>
      <c r="CC521" s="6"/>
      <c r="CD521" s="123"/>
      <c r="CE521" s="6"/>
      <c r="CF521" s="123"/>
      <c r="CG521" s="6"/>
      <c r="CH521" s="6"/>
      <c r="CI521" s="6"/>
      <c r="CJ521" s="6"/>
      <c r="CK521" s="123"/>
      <c r="CL521" s="6"/>
      <c r="CM521" s="6"/>
      <c r="CN521" s="6"/>
      <c r="CO521" s="138"/>
      <c r="CP521" s="138"/>
      <c r="CQ521" s="123"/>
      <c r="CR521" s="6"/>
      <c r="CS521" s="6"/>
      <c r="CT521" s="139"/>
      <c r="CU521" s="139"/>
      <c r="CV521" s="76"/>
      <c r="CW521" s="123"/>
      <c r="CX521" s="6"/>
      <c r="DI521" s="125"/>
      <c r="DJ521" s="16"/>
      <c r="DM521" s="16"/>
      <c r="DN521" s="16"/>
      <c r="DO521" s="125"/>
      <c r="DP521" s="16"/>
      <c r="DQ521" s="125"/>
      <c r="DZ521" s="125"/>
      <c r="EA521" s="142"/>
      <c r="EB521" s="125"/>
      <c r="EC521" s="16"/>
      <c r="ED521" s="125"/>
      <c r="EE521" s="125"/>
      <c r="EF521" s="16"/>
      <c r="EG521" s="125"/>
      <c r="EQ521" s="125"/>
      <c r="ER521" s="16"/>
      <c r="ES521" s="123"/>
      <c r="ET521" s="19"/>
      <c r="EU521" s="139"/>
      <c r="EV521" s="139"/>
      <c r="EW521" s="123"/>
      <c r="EX521" s="123"/>
      <c r="EY521" s="123"/>
      <c r="EZ521" s="123"/>
      <c r="FA521" s="123"/>
      <c r="FB521" s="123"/>
      <c r="FC521" s="6"/>
      <c r="FD521" s="123"/>
      <c r="FE521" s="6"/>
      <c r="FF521" s="123"/>
      <c r="FG521" s="6"/>
      <c r="FH521" s="6"/>
      <c r="FI521" s="6"/>
      <c r="FJ521" s="6"/>
      <c r="FK521" s="123"/>
      <c r="FL521" s="6"/>
      <c r="FM521" s="6"/>
      <c r="FN521" s="6"/>
      <c r="FO521" s="138"/>
      <c r="FP521" s="138"/>
      <c r="FQ521" s="123"/>
      <c r="FR521" s="6"/>
      <c r="FS521" s="6"/>
      <c r="FT521" s="139"/>
      <c r="FU521" s="139"/>
      <c r="FV521" s="76"/>
      <c r="FW521" s="123"/>
      <c r="FX521" s="6"/>
    </row>
    <row r="522" spans="35:180">
      <c r="AI522" s="125"/>
      <c r="AJ522" s="16"/>
      <c r="AM522" s="16"/>
      <c r="AN522" s="16"/>
      <c r="AO522" s="125"/>
      <c r="AP522" s="16"/>
      <c r="AQ522" s="125"/>
      <c r="AZ522" s="125"/>
      <c r="BA522" s="142"/>
      <c r="BB522" s="125"/>
      <c r="BC522" s="16"/>
      <c r="BD522" s="125"/>
      <c r="BE522" s="125"/>
      <c r="BF522" s="16"/>
      <c r="BG522" s="125"/>
      <c r="BQ522" s="125"/>
      <c r="BR522" s="16"/>
      <c r="BS522" s="123"/>
      <c r="BT522" s="19"/>
      <c r="BU522" s="139"/>
      <c r="BV522" s="139"/>
      <c r="BW522" s="123"/>
      <c r="BX522" s="123"/>
      <c r="BY522" s="123"/>
      <c r="BZ522" s="123"/>
      <c r="CA522" s="123"/>
      <c r="CB522" s="123"/>
      <c r="CC522" s="6"/>
      <c r="CD522" s="123"/>
      <c r="CE522" s="6"/>
      <c r="CF522" s="123"/>
      <c r="CG522" s="6"/>
      <c r="CH522" s="6"/>
      <c r="CI522" s="6"/>
      <c r="CJ522" s="6"/>
      <c r="CK522" s="123"/>
      <c r="CL522" s="6"/>
      <c r="CM522" s="6"/>
      <c r="CN522" s="6"/>
      <c r="CO522" s="138"/>
      <c r="CP522" s="138"/>
      <c r="CQ522" s="123"/>
      <c r="CR522" s="6"/>
      <c r="CS522" s="6"/>
      <c r="CT522" s="139"/>
      <c r="CU522" s="139"/>
      <c r="CV522" s="76"/>
      <c r="CW522" s="123"/>
      <c r="CX522" s="6"/>
      <c r="DI522" s="125"/>
      <c r="DJ522" s="16"/>
      <c r="DM522" s="16"/>
      <c r="DN522" s="16"/>
      <c r="DO522" s="125"/>
      <c r="DP522" s="16"/>
      <c r="DQ522" s="125"/>
      <c r="DZ522" s="125"/>
      <c r="EA522" s="142"/>
      <c r="EB522" s="125"/>
      <c r="EC522" s="16"/>
      <c r="ED522" s="125"/>
      <c r="EE522" s="125"/>
      <c r="EF522" s="16"/>
      <c r="EG522" s="125"/>
      <c r="EQ522" s="125"/>
      <c r="ER522" s="16"/>
      <c r="ES522" s="123"/>
      <c r="ET522" s="19"/>
      <c r="EU522" s="139"/>
      <c r="EV522" s="139"/>
      <c r="EW522" s="123"/>
      <c r="EX522" s="123"/>
      <c r="EY522" s="123"/>
      <c r="EZ522" s="123"/>
      <c r="FA522" s="123"/>
      <c r="FB522" s="123"/>
      <c r="FC522" s="6"/>
      <c r="FD522" s="123"/>
      <c r="FE522" s="6"/>
      <c r="FF522" s="123"/>
      <c r="FG522" s="6"/>
      <c r="FH522" s="6"/>
      <c r="FI522" s="6"/>
      <c r="FJ522" s="6"/>
      <c r="FK522" s="123"/>
      <c r="FL522" s="6"/>
      <c r="FM522" s="6"/>
      <c r="FN522" s="6"/>
      <c r="FO522" s="138"/>
      <c r="FP522" s="138"/>
      <c r="FQ522" s="123"/>
      <c r="FR522" s="6"/>
      <c r="FS522" s="6"/>
      <c r="FT522" s="139"/>
      <c r="FU522" s="139"/>
      <c r="FV522" s="76"/>
      <c r="FW522" s="123"/>
      <c r="FX522" s="6"/>
    </row>
    <row r="523" spans="35:180">
      <c r="AI523" s="125"/>
      <c r="AJ523" s="16"/>
      <c r="AM523" s="16"/>
      <c r="AN523" s="16"/>
      <c r="AO523" s="125"/>
      <c r="AP523" s="16"/>
      <c r="AQ523" s="125"/>
      <c r="AZ523" s="125"/>
      <c r="BA523" s="142"/>
      <c r="BB523" s="125"/>
      <c r="BC523" s="16"/>
      <c r="BD523" s="125"/>
      <c r="BE523" s="125"/>
      <c r="BF523" s="16"/>
      <c r="BG523" s="125"/>
      <c r="BQ523" s="125"/>
      <c r="BR523" s="16"/>
      <c r="BS523" s="123"/>
      <c r="BT523" s="19"/>
      <c r="BU523" s="139"/>
      <c r="BV523" s="139"/>
      <c r="BW523" s="123"/>
      <c r="BX523" s="123"/>
      <c r="BY523" s="123"/>
      <c r="BZ523" s="123"/>
      <c r="CA523" s="123"/>
      <c r="CB523" s="123"/>
      <c r="CC523" s="6"/>
      <c r="CD523" s="123"/>
      <c r="CE523" s="6"/>
      <c r="CF523" s="123"/>
      <c r="CG523" s="6"/>
      <c r="CH523" s="6"/>
      <c r="CI523" s="6"/>
      <c r="CJ523" s="6"/>
      <c r="CK523" s="123"/>
      <c r="CL523" s="6"/>
      <c r="CM523" s="6"/>
      <c r="CN523" s="6"/>
      <c r="CO523" s="138"/>
      <c r="CP523" s="138"/>
      <c r="CQ523" s="123"/>
      <c r="CR523" s="6"/>
      <c r="CS523" s="6"/>
      <c r="CT523" s="139"/>
      <c r="CU523" s="139"/>
      <c r="CV523" s="76"/>
      <c r="CW523" s="123"/>
      <c r="CX523" s="6"/>
      <c r="DI523" s="125"/>
      <c r="DJ523" s="16"/>
      <c r="DM523" s="16"/>
      <c r="DN523" s="16"/>
      <c r="DO523" s="125"/>
      <c r="DP523" s="16"/>
      <c r="DQ523" s="125"/>
      <c r="DZ523" s="125"/>
      <c r="EA523" s="142"/>
      <c r="EB523" s="125"/>
      <c r="EC523" s="16"/>
      <c r="ED523" s="125"/>
      <c r="EE523" s="125"/>
      <c r="EF523" s="16"/>
      <c r="EG523" s="125"/>
      <c r="EQ523" s="125"/>
      <c r="ER523" s="16"/>
      <c r="ES523" s="123"/>
      <c r="ET523" s="19"/>
      <c r="EU523" s="139"/>
      <c r="EV523" s="139"/>
      <c r="EW523" s="123"/>
      <c r="EX523" s="123"/>
      <c r="EY523" s="123"/>
      <c r="EZ523" s="123"/>
      <c r="FA523" s="123"/>
      <c r="FB523" s="123"/>
      <c r="FC523" s="6"/>
      <c r="FD523" s="123"/>
      <c r="FE523" s="6"/>
      <c r="FF523" s="123"/>
      <c r="FG523" s="6"/>
      <c r="FH523" s="6"/>
      <c r="FI523" s="6"/>
      <c r="FJ523" s="6"/>
      <c r="FK523" s="123"/>
      <c r="FL523" s="6"/>
      <c r="FM523" s="6"/>
      <c r="FN523" s="6"/>
      <c r="FO523" s="138"/>
      <c r="FP523" s="138"/>
      <c r="FQ523" s="123"/>
      <c r="FR523" s="6"/>
      <c r="FS523" s="6"/>
      <c r="FT523" s="139"/>
      <c r="FU523" s="139"/>
      <c r="FV523" s="76"/>
      <c r="FW523" s="123"/>
      <c r="FX523" s="6"/>
    </row>
    <row r="524" spans="35:180">
      <c r="AI524" s="125"/>
      <c r="AJ524" s="16"/>
      <c r="AM524" s="16"/>
      <c r="AN524" s="16"/>
      <c r="AO524" s="125"/>
      <c r="AP524" s="16"/>
      <c r="AQ524" s="125"/>
      <c r="AZ524" s="125"/>
      <c r="BA524" s="142"/>
      <c r="BB524" s="125"/>
      <c r="BC524" s="16"/>
      <c r="BD524" s="125"/>
      <c r="BE524" s="125"/>
      <c r="BF524" s="16"/>
      <c r="BG524" s="125"/>
      <c r="BQ524" s="125"/>
      <c r="BR524" s="16"/>
      <c r="BS524" s="123"/>
      <c r="BT524" s="19"/>
      <c r="BU524" s="139"/>
      <c r="BV524" s="139"/>
      <c r="BW524" s="123"/>
      <c r="BX524" s="123"/>
      <c r="BY524" s="123"/>
      <c r="BZ524" s="123"/>
      <c r="CA524" s="123"/>
      <c r="CB524" s="123"/>
      <c r="CC524" s="6"/>
      <c r="CD524" s="123"/>
      <c r="CE524" s="6"/>
      <c r="CF524" s="123"/>
      <c r="CG524" s="6"/>
      <c r="CH524" s="6"/>
      <c r="CI524" s="6"/>
      <c r="CJ524" s="6"/>
      <c r="CK524" s="123"/>
      <c r="CL524" s="6"/>
      <c r="CM524" s="6"/>
      <c r="CN524" s="6"/>
      <c r="CO524" s="138"/>
      <c r="CP524" s="138"/>
      <c r="CQ524" s="123"/>
      <c r="CR524" s="6"/>
      <c r="CS524" s="6"/>
      <c r="CT524" s="139"/>
      <c r="CU524" s="139"/>
      <c r="CV524" s="76"/>
      <c r="CW524" s="123"/>
      <c r="CX524" s="6"/>
      <c r="DI524" s="125"/>
      <c r="DJ524" s="16"/>
      <c r="DM524" s="16"/>
      <c r="DN524" s="16"/>
      <c r="DO524" s="125"/>
      <c r="DP524" s="16"/>
      <c r="DQ524" s="125"/>
      <c r="DZ524" s="125"/>
      <c r="EA524" s="142"/>
      <c r="EB524" s="125"/>
      <c r="EC524" s="16"/>
      <c r="ED524" s="125"/>
      <c r="EE524" s="125"/>
      <c r="EF524" s="16"/>
      <c r="EG524" s="125"/>
      <c r="EQ524" s="125"/>
      <c r="ER524" s="16"/>
      <c r="ES524" s="123"/>
      <c r="ET524" s="19"/>
      <c r="EU524" s="139"/>
      <c r="EV524" s="139"/>
      <c r="EW524" s="123"/>
      <c r="EX524" s="123"/>
      <c r="EY524" s="123"/>
      <c r="EZ524" s="123"/>
      <c r="FA524" s="123"/>
      <c r="FB524" s="123"/>
      <c r="FC524" s="6"/>
      <c r="FD524" s="123"/>
      <c r="FE524" s="6"/>
      <c r="FF524" s="123"/>
      <c r="FG524" s="6"/>
      <c r="FH524" s="6"/>
      <c r="FI524" s="6"/>
      <c r="FJ524" s="6"/>
      <c r="FK524" s="123"/>
      <c r="FL524" s="6"/>
      <c r="FM524" s="6"/>
      <c r="FN524" s="6"/>
      <c r="FO524" s="138"/>
      <c r="FP524" s="138"/>
      <c r="FQ524" s="123"/>
      <c r="FR524" s="6"/>
      <c r="FS524" s="6"/>
      <c r="FT524" s="139"/>
      <c r="FU524" s="139"/>
      <c r="FV524" s="76"/>
      <c r="FW524" s="123"/>
      <c r="FX524" s="6"/>
    </row>
    <row r="525" spans="35:180">
      <c r="AI525" s="125"/>
      <c r="AJ525" s="16"/>
      <c r="AM525" s="16"/>
      <c r="AN525" s="16"/>
      <c r="AO525" s="125"/>
      <c r="AP525" s="16"/>
      <c r="AQ525" s="125"/>
      <c r="AZ525" s="125"/>
      <c r="BA525" s="142"/>
      <c r="BB525" s="125"/>
      <c r="BC525" s="16"/>
      <c r="BD525" s="125"/>
      <c r="BE525" s="125"/>
      <c r="BF525" s="16"/>
      <c r="BG525" s="125"/>
      <c r="BQ525" s="125"/>
      <c r="BR525" s="16"/>
      <c r="BS525" s="123"/>
      <c r="BT525" s="19"/>
      <c r="BU525" s="139"/>
      <c r="BV525" s="139"/>
      <c r="BW525" s="123"/>
      <c r="BX525" s="123"/>
      <c r="BY525" s="123"/>
      <c r="BZ525" s="123"/>
      <c r="CA525" s="123"/>
      <c r="CB525" s="123"/>
      <c r="CC525" s="6"/>
      <c r="CD525" s="123"/>
      <c r="CE525" s="6"/>
      <c r="CF525" s="123"/>
      <c r="CG525" s="6"/>
      <c r="CH525" s="6"/>
      <c r="CI525" s="6"/>
      <c r="CJ525" s="6"/>
      <c r="CK525" s="123"/>
      <c r="CL525" s="6"/>
      <c r="CM525" s="6"/>
      <c r="CN525" s="6"/>
      <c r="CO525" s="138"/>
      <c r="CP525" s="138"/>
      <c r="CQ525" s="123"/>
      <c r="CR525" s="6"/>
      <c r="CS525" s="6"/>
      <c r="CT525" s="139"/>
      <c r="CU525" s="139"/>
      <c r="CV525" s="76"/>
      <c r="CW525" s="123"/>
      <c r="CX525" s="6"/>
      <c r="DI525" s="125"/>
      <c r="DJ525" s="16"/>
      <c r="DM525" s="16"/>
      <c r="DN525" s="16"/>
      <c r="DO525" s="125"/>
      <c r="DP525" s="16"/>
      <c r="DQ525" s="125"/>
      <c r="DZ525" s="125"/>
      <c r="EA525" s="142"/>
      <c r="EB525" s="125"/>
      <c r="EC525" s="16"/>
      <c r="ED525" s="125"/>
      <c r="EE525" s="125"/>
      <c r="EF525" s="16"/>
      <c r="EG525" s="125"/>
      <c r="EQ525" s="125"/>
      <c r="ER525" s="16"/>
      <c r="ES525" s="123"/>
      <c r="ET525" s="19"/>
      <c r="EU525" s="139"/>
      <c r="EV525" s="139"/>
      <c r="EW525" s="123"/>
      <c r="EX525" s="123"/>
      <c r="EY525" s="123"/>
      <c r="EZ525" s="123"/>
      <c r="FA525" s="123"/>
      <c r="FB525" s="123"/>
      <c r="FC525" s="6"/>
      <c r="FD525" s="123"/>
      <c r="FE525" s="6"/>
      <c r="FF525" s="123"/>
      <c r="FG525" s="6"/>
      <c r="FH525" s="6"/>
      <c r="FI525" s="6"/>
      <c r="FJ525" s="6"/>
      <c r="FK525" s="123"/>
      <c r="FL525" s="6"/>
      <c r="FM525" s="6"/>
      <c r="FN525" s="6"/>
      <c r="FO525" s="138"/>
      <c r="FP525" s="138"/>
      <c r="FQ525" s="123"/>
      <c r="FR525" s="6"/>
      <c r="FS525" s="6"/>
      <c r="FT525" s="139"/>
      <c r="FU525" s="139"/>
      <c r="FV525" s="76"/>
      <c r="FW525" s="123"/>
      <c r="FX525" s="6"/>
    </row>
    <row r="526" spans="35:180">
      <c r="AI526" s="125"/>
      <c r="AJ526" s="16"/>
      <c r="AM526" s="16"/>
      <c r="AN526" s="16"/>
      <c r="AO526" s="125"/>
      <c r="AP526" s="16"/>
      <c r="AQ526" s="125"/>
      <c r="AZ526" s="125"/>
      <c r="BA526" s="142"/>
      <c r="BB526" s="125"/>
      <c r="BC526" s="16"/>
      <c r="BD526" s="125"/>
      <c r="BE526" s="125"/>
      <c r="BF526" s="16"/>
      <c r="BG526" s="125"/>
      <c r="BQ526" s="125"/>
      <c r="BR526" s="16"/>
      <c r="BS526" s="123"/>
      <c r="BT526" s="19"/>
      <c r="BU526" s="139"/>
      <c r="BV526" s="139"/>
      <c r="BW526" s="123"/>
      <c r="BX526" s="123"/>
      <c r="BY526" s="123"/>
      <c r="BZ526" s="123"/>
      <c r="CA526" s="123"/>
      <c r="CB526" s="123"/>
      <c r="CC526" s="6"/>
      <c r="CD526" s="123"/>
      <c r="CE526" s="6"/>
      <c r="CF526" s="123"/>
      <c r="CG526" s="6"/>
      <c r="CH526" s="6"/>
      <c r="CI526" s="6"/>
      <c r="CJ526" s="6"/>
      <c r="CK526" s="123"/>
      <c r="CL526" s="6"/>
      <c r="CM526" s="6"/>
      <c r="CN526" s="6"/>
      <c r="CO526" s="138"/>
      <c r="CP526" s="138"/>
      <c r="CQ526" s="123"/>
      <c r="CR526" s="6"/>
      <c r="CS526" s="6"/>
      <c r="CT526" s="139"/>
      <c r="CU526" s="139"/>
      <c r="CV526" s="76"/>
      <c r="CW526" s="123"/>
      <c r="CX526" s="6"/>
      <c r="DI526" s="125"/>
      <c r="DJ526" s="16"/>
      <c r="DM526" s="16"/>
      <c r="DN526" s="16"/>
      <c r="DO526" s="125"/>
      <c r="DP526" s="16"/>
      <c r="DQ526" s="125"/>
      <c r="DZ526" s="125"/>
      <c r="EA526" s="142"/>
      <c r="EB526" s="125"/>
      <c r="EC526" s="16"/>
      <c r="ED526" s="125"/>
      <c r="EE526" s="125"/>
      <c r="EF526" s="16"/>
      <c r="EG526" s="125"/>
      <c r="EQ526" s="125"/>
      <c r="ER526" s="16"/>
      <c r="ES526" s="123"/>
      <c r="ET526" s="19"/>
      <c r="EU526" s="139"/>
      <c r="EV526" s="139"/>
      <c r="EW526" s="123"/>
      <c r="EX526" s="123"/>
      <c r="EY526" s="123"/>
      <c r="EZ526" s="123"/>
      <c r="FA526" s="123"/>
      <c r="FB526" s="123"/>
      <c r="FC526" s="6"/>
      <c r="FD526" s="123"/>
      <c r="FE526" s="6"/>
      <c r="FF526" s="123"/>
      <c r="FG526" s="6"/>
      <c r="FH526" s="6"/>
      <c r="FI526" s="6"/>
      <c r="FJ526" s="6"/>
      <c r="FK526" s="123"/>
      <c r="FL526" s="6"/>
      <c r="FM526" s="6"/>
      <c r="FN526" s="6"/>
      <c r="FO526" s="138"/>
      <c r="FP526" s="138"/>
      <c r="FQ526" s="123"/>
      <c r="FR526" s="6"/>
      <c r="FS526" s="6"/>
      <c r="FT526" s="139"/>
      <c r="FU526" s="139"/>
      <c r="FV526" s="76"/>
      <c r="FW526" s="123"/>
      <c r="FX526" s="6"/>
    </row>
    <row r="527" spans="35:180">
      <c r="AI527" s="125"/>
      <c r="AJ527" s="16"/>
      <c r="AM527" s="16"/>
      <c r="AN527" s="16"/>
      <c r="AO527" s="125"/>
      <c r="AP527" s="16"/>
      <c r="AQ527" s="125"/>
      <c r="AZ527" s="125"/>
      <c r="BA527" s="142"/>
      <c r="BB527" s="125"/>
      <c r="BC527" s="16"/>
      <c r="BD527" s="125"/>
      <c r="BE527" s="125"/>
      <c r="BF527" s="16"/>
      <c r="BG527" s="125"/>
      <c r="BQ527" s="125"/>
      <c r="BR527" s="16"/>
      <c r="BS527" s="123"/>
      <c r="BT527" s="19"/>
      <c r="BU527" s="139"/>
      <c r="BV527" s="139"/>
      <c r="BW527" s="123"/>
      <c r="BX527" s="123"/>
      <c r="BY527" s="123"/>
      <c r="BZ527" s="123"/>
      <c r="CA527" s="123"/>
      <c r="CB527" s="123"/>
      <c r="CC527" s="6"/>
      <c r="CD527" s="123"/>
      <c r="CE527" s="6"/>
      <c r="CF527" s="123"/>
      <c r="CG527" s="6"/>
      <c r="CH527" s="6"/>
      <c r="CI527" s="6"/>
      <c r="CJ527" s="6"/>
      <c r="CK527" s="123"/>
      <c r="CL527" s="6"/>
      <c r="CM527" s="6"/>
      <c r="CN527" s="6"/>
      <c r="CO527" s="138"/>
      <c r="CP527" s="138"/>
      <c r="CQ527" s="123"/>
      <c r="CR527" s="6"/>
      <c r="CS527" s="6"/>
      <c r="CT527" s="139"/>
      <c r="CU527" s="139"/>
      <c r="CV527" s="76"/>
      <c r="CW527" s="123"/>
      <c r="CX527" s="6"/>
      <c r="DI527" s="125"/>
      <c r="DJ527" s="16"/>
      <c r="DM527" s="16"/>
      <c r="DN527" s="16"/>
      <c r="DO527" s="125"/>
      <c r="DP527" s="16"/>
      <c r="DQ527" s="125"/>
      <c r="DZ527" s="125"/>
      <c r="EA527" s="142"/>
      <c r="EB527" s="125"/>
      <c r="EC527" s="16"/>
      <c r="ED527" s="125"/>
      <c r="EE527" s="125"/>
      <c r="EF527" s="16"/>
      <c r="EG527" s="125"/>
      <c r="EQ527" s="125"/>
      <c r="ER527" s="16"/>
      <c r="ES527" s="123"/>
      <c r="ET527" s="19"/>
      <c r="EU527" s="139"/>
      <c r="EV527" s="139"/>
      <c r="EW527" s="123"/>
      <c r="EX527" s="123"/>
      <c r="EY527" s="123"/>
      <c r="EZ527" s="123"/>
      <c r="FA527" s="123"/>
      <c r="FB527" s="123"/>
      <c r="FC527" s="6"/>
      <c r="FD527" s="123"/>
      <c r="FE527" s="6"/>
      <c r="FF527" s="123"/>
      <c r="FG527" s="6"/>
      <c r="FH527" s="6"/>
      <c r="FI527" s="6"/>
      <c r="FJ527" s="6"/>
      <c r="FK527" s="123"/>
      <c r="FL527" s="6"/>
      <c r="FM527" s="6"/>
      <c r="FN527" s="6"/>
      <c r="FO527" s="138"/>
      <c r="FP527" s="138"/>
      <c r="FQ527" s="123"/>
      <c r="FR527" s="6"/>
      <c r="FS527" s="6"/>
      <c r="FT527" s="139"/>
      <c r="FU527" s="139"/>
      <c r="FV527" s="76"/>
      <c r="FW527" s="123"/>
      <c r="FX527" s="6"/>
    </row>
    <row r="528" spans="35:180">
      <c r="AI528" s="125"/>
      <c r="AJ528" s="16"/>
      <c r="AM528" s="16"/>
      <c r="AN528" s="16"/>
      <c r="AO528" s="125"/>
      <c r="AP528" s="16"/>
      <c r="AQ528" s="125"/>
      <c r="AZ528" s="125"/>
      <c r="BA528" s="142"/>
      <c r="BB528" s="125"/>
      <c r="BC528" s="16"/>
      <c r="BD528" s="125"/>
      <c r="BE528" s="125"/>
      <c r="BF528" s="16"/>
      <c r="BG528" s="125"/>
      <c r="BQ528" s="125"/>
      <c r="BR528" s="16"/>
      <c r="BS528" s="123"/>
      <c r="BT528" s="19"/>
      <c r="BU528" s="139"/>
      <c r="BV528" s="139"/>
      <c r="BW528" s="123"/>
      <c r="BX528" s="123"/>
      <c r="BY528" s="123"/>
      <c r="BZ528" s="123"/>
      <c r="CA528" s="123"/>
      <c r="CB528" s="123"/>
      <c r="CC528" s="6"/>
      <c r="CD528" s="123"/>
      <c r="CE528" s="6"/>
      <c r="CF528" s="123"/>
      <c r="CG528" s="6"/>
      <c r="CH528" s="6"/>
      <c r="CI528" s="6"/>
      <c r="CJ528" s="6"/>
      <c r="CK528" s="123"/>
      <c r="CL528" s="6"/>
      <c r="CM528" s="6"/>
      <c r="CN528" s="6"/>
      <c r="CO528" s="138"/>
      <c r="CP528" s="138"/>
      <c r="CQ528" s="123"/>
      <c r="CR528" s="6"/>
      <c r="CS528" s="6"/>
      <c r="CT528" s="139"/>
      <c r="CU528" s="139"/>
      <c r="CV528" s="76"/>
      <c r="CW528" s="123"/>
      <c r="CX528" s="6"/>
      <c r="DI528" s="125"/>
      <c r="DJ528" s="16"/>
      <c r="DM528" s="16"/>
      <c r="DN528" s="16"/>
      <c r="DO528" s="125"/>
      <c r="DP528" s="16"/>
      <c r="DQ528" s="125"/>
      <c r="DZ528" s="125"/>
      <c r="EA528" s="142"/>
      <c r="EB528" s="125"/>
      <c r="EC528" s="16"/>
      <c r="ED528" s="125"/>
      <c r="EE528" s="125"/>
      <c r="EF528" s="16"/>
      <c r="EG528" s="125"/>
      <c r="EQ528" s="125"/>
      <c r="ER528" s="16"/>
      <c r="ES528" s="123"/>
      <c r="ET528" s="19"/>
      <c r="EU528" s="139"/>
      <c r="EV528" s="139"/>
      <c r="EW528" s="123"/>
      <c r="EX528" s="123"/>
      <c r="EY528" s="123"/>
      <c r="EZ528" s="123"/>
      <c r="FA528" s="123"/>
      <c r="FB528" s="123"/>
      <c r="FC528" s="6"/>
      <c r="FD528" s="123"/>
      <c r="FE528" s="6"/>
      <c r="FF528" s="123"/>
      <c r="FG528" s="6"/>
      <c r="FH528" s="6"/>
      <c r="FI528" s="6"/>
      <c r="FJ528" s="6"/>
      <c r="FK528" s="123"/>
      <c r="FL528" s="6"/>
      <c r="FM528" s="6"/>
      <c r="FN528" s="6"/>
      <c r="FO528" s="138"/>
      <c r="FP528" s="138"/>
      <c r="FQ528" s="123"/>
      <c r="FR528" s="6"/>
      <c r="FS528" s="6"/>
      <c r="FT528" s="139"/>
      <c r="FU528" s="139"/>
      <c r="FV528" s="76"/>
      <c r="FW528" s="123"/>
      <c r="FX528" s="6"/>
    </row>
    <row r="529" spans="35:180">
      <c r="AI529" s="125"/>
      <c r="AJ529" s="16"/>
      <c r="AM529" s="16"/>
      <c r="AN529" s="16"/>
      <c r="AO529" s="125"/>
      <c r="AP529" s="16"/>
      <c r="AQ529" s="125"/>
      <c r="AZ529" s="125"/>
      <c r="BA529" s="142"/>
      <c r="BB529" s="125"/>
      <c r="BC529" s="16"/>
      <c r="BD529" s="125"/>
      <c r="BE529" s="125"/>
      <c r="BF529" s="16"/>
      <c r="BG529" s="125"/>
      <c r="BQ529" s="125"/>
      <c r="BR529" s="16"/>
      <c r="BS529" s="123"/>
      <c r="BT529" s="19"/>
      <c r="BU529" s="139"/>
      <c r="BV529" s="139"/>
      <c r="BW529" s="123"/>
      <c r="BX529" s="123"/>
      <c r="BY529" s="123"/>
      <c r="BZ529" s="123"/>
      <c r="CA529" s="123"/>
      <c r="CB529" s="123"/>
      <c r="CC529" s="6"/>
      <c r="CD529" s="123"/>
      <c r="CE529" s="6"/>
      <c r="CF529" s="123"/>
      <c r="CG529" s="6"/>
      <c r="CH529" s="6"/>
      <c r="CI529" s="6"/>
      <c r="CJ529" s="6"/>
      <c r="CK529" s="123"/>
      <c r="CL529" s="6"/>
      <c r="CM529" s="6"/>
      <c r="CN529" s="6"/>
      <c r="CO529" s="138"/>
      <c r="CP529" s="138"/>
      <c r="CQ529" s="123"/>
      <c r="CR529" s="6"/>
      <c r="CS529" s="6"/>
      <c r="CT529" s="139"/>
      <c r="CU529" s="139"/>
      <c r="CV529" s="76"/>
      <c r="CW529" s="123"/>
      <c r="CX529" s="6"/>
      <c r="DI529" s="125"/>
      <c r="DJ529" s="16"/>
      <c r="DM529" s="16"/>
      <c r="DN529" s="16"/>
      <c r="DO529" s="125"/>
      <c r="DP529" s="16"/>
      <c r="DQ529" s="125"/>
      <c r="DZ529" s="125"/>
      <c r="EA529" s="142"/>
      <c r="EB529" s="125"/>
      <c r="EC529" s="16"/>
      <c r="ED529" s="125"/>
      <c r="EE529" s="125"/>
      <c r="EF529" s="16"/>
      <c r="EG529" s="125"/>
      <c r="EQ529" s="125"/>
      <c r="ER529" s="16"/>
      <c r="ES529" s="123"/>
      <c r="ET529" s="19"/>
      <c r="EU529" s="139"/>
      <c r="EV529" s="139"/>
      <c r="EW529" s="123"/>
      <c r="EX529" s="123"/>
      <c r="EY529" s="123"/>
      <c r="EZ529" s="123"/>
      <c r="FA529" s="123"/>
      <c r="FB529" s="123"/>
      <c r="FC529" s="6"/>
      <c r="FD529" s="123"/>
      <c r="FE529" s="6"/>
      <c r="FF529" s="123"/>
      <c r="FG529" s="6"/>
      <c r="FH529" s="6"/>
      <c r="FI529" s="6"/>
      <c r="FJ529" s="6"/>
      <c r="FK529" s="123"/>
      <c r="FL529" s="6"/>
      <c r="FM529" s="6"/>
      <c r="FN529" s="6"/>
      <c r="FO529" s="138"/>
      <c r="FP529" s="138"/>
      <c r="FQ529" s="123"/>
      <c r="FR529" s="6"/>
      <c r="FS529" s="6"/>
      <c r="FT529" s="139"/>
      <c r="FU529" s="139"/>
      <c r="FV529" s="76"/>
      <c r="FW529" s="123"/>
      <c r="FX529" s="6"/>
    </row>
    <row r="530" spans="35:180">
      <c r="AI530" s="125"/>
      <c r="AJ530" s="16"/>
      <c r="AM530" s="16"/>
      <c r="AN530" s="16"/>
      <c r="AO530" s="125"/>
      <c r="AP530" s="16"/>
      <c r="AQ530" s="125"/>
      <c r="AZ530" s="125"/>
      <c r="BA530" s="142"/>
      <c r="BB530" s="125"/>
      <c r="BC530" s="16"/>
      <c r="BD530" s="125"/>
      <c r="BE530" s="125"/>
      <c r="BF530" s="16"/>
      <c r="BG530" s="125"/>
      <c r="BQ530" s="125"/>
      <c r="BR530" s="16"/>
      <c r="BS530" s="123"/>
      <c r="BT530" s="19"/>
      <c r="BU530" s="139"/>
      <c r="BV530" s="139"/>
      <c r="BW530" s="123"/>
      <c r="BX530" s="123"/>
      <c r="BY530" s="123"/>
      <c r="BZ530" s="123"/>
      <c r="CA530" s="123"/>
      <c r="CB530" s="123"/>
      <c r="CC530" s="6"/>
      <c r="CD530" s="123"/>
      <c r="CE530" s="6"/>
      <c r="CF530" s="123"/>
      <c r="CG530" s="6"/>
      <c r="CH530" s="6"/>
      <c r="CI530" s="6"/>
      <c r="CJ530" s="6"/>
      <c r="CK530" s="123"/>
      <c r="CL530" s="6"/>
      <c r="CM530" s="6"/>
      <c r="CN530" s="6"/>
      <c r="CO530" s="138"/>
      <c r="CP530" s="138"/>
      <c r="CQ530" s="123"/>
      <c r="CR530" s="6"/>
      <c r="CS530" s="6"/>
      <c r="CT530" s="139"/>
      <c r="CU530" s="139"/>
      <c r="CV530" s="76"/>
      <c r="CW530" s="123"/>
      <c r="CX530" s="6"/>
      <c r="DI530" s="125"/>
      <c r="DJ530" s="16"/>
      <c r="DM530" s="16"/>
      <c r="DN530" s="16"/>
      <c r="DO530" s="125"/>
      <c r="DP530" s="16"/>
      <c r="DQ530" s="125"/>
      <c r="DZ530" s="125"/>
      <c r="EA530" s="142"/>
      <c r="EB530" s="125"/>
      <c r="EC530" s="16"/>
      <c r="ED530" s="125"/>
      <c r="EE530" s="125"/>
      <c r="EF530" s="16"/>
      <c r="EG530" s="125"/>
      <c r="EQ530" s="125"/>
      <c r="ER530" s="16"/>
      <c r="ES530" s="123"/>
      <c r="ET530" s="19"/>
      <c r="EU530" s="139"/>
      <c r="EV530" s="139"/>
      <c r="EW530" s="123"/>
      <c r="EX530" s="123"/>
      <c r="EY530" s="123"/>
      <c r="EZ530" s="123"/>
      <c r="FA530" s="123"/>
      <c r="FB530" s="123"/>
      <c r="FC530" s="6"/>
      <c r="FD530" s="123"/>
      <c r="FE530" s="6"/>
      <c r="FF530" s="123"/>
      <c r="FG530" s="6"/>
      <c r="FH530" s="6"/>
      <c r="FI530" s="6"/>
      <c r="FJ530" s="6"/>
      <c r="FK530" s="123"/>
      <c r="FL530" s="6"/>
      <c r="FM530" s="6"/>
      <c r="FN530" s="6"/>
      <c r="FO530" s="138"/>
      <c r="FP530" s="138"/>
      <c r="FQ530" s="123"/>
      <c r="FR530" s="6"/>
      <c r="FS530" s="6"/>
      <c r="FT530" s="139"/>
      <c r="FU530" s="139"/>
      <c r="FV530" s="76"/>
      <c r="FW530" s="123"/>
      <c r="FX530" s="6"/>
    </row>
    <row r="531" spans="35:180">
      <c r="AI531" s="125"/>
      <c r="AJ531" s="16"/>
      <c r="AM531" s="16"/>
      <c r="AN531" s="16"/>
      <c r="AO531" s="125"/>
      <c r="AP531" s="16"/>
      <c r="AQ531" s="125"/>
      <c r="AZ531" s="125"/>
      <c r="BA531" s="142"/>
      <c r="BB531" s="125"/>
      <c r="BC531" s="16"/>
      <c r="BD531" s="125"/>
      <c r="BE531" s="125"/>
      <c r="BF531" s="16"/>
      <c r="BG531" s="125"/>
      <c r="BQ531" s="125"/>
      <c r="BR531" s="16"/>
      <c r="BS531" s="123"/>
      <c r="BT531" s="19"/>
      <c r="BU531" s="139"/>
      <c r="BV531" s="139"/>
      <c r="BW531" s="123"/>
      <c r="BX531" s="123"/>
      <c r="BY531" s="123"/>
      <c r="BZ531" s="123"/>
      <c r="CA531" s="123"/>
      <c r="CB531" s="123"/>
      <c r="CC531" s="6"/>
      <c r="CD531" s="123"/>
      <c r="CE531" s="6"/>
      <c r="CF531" s="123"/>
      <c r="CG531" s="6"/>
      <c r="CH531" s="6"/>
      <c r="CI531" s="6"/>
      <c r="CJ531" s="6"/>
      <c r="CK531" s="123"/>
      <c r="CL531" s="6"/>
      <c r="CM531" s="6"/>
      <c r="CN531" s="6"/>
      <c r="CO531" s="138"/>
      <c r="CP531" s="138"/>
      <c r="CQ531" s="123"/>
      <c r="CR531" s="6"/>
      <c r="CS531" s="6"/>
      <c r="CT531" s="139"/>
      <c r="CU531" s="139"/>
      <c r="CV531" s="76"/>
      <c r="CW531" s="123"/>
      <c r="CX531" s="6"/>
      <c r="DI531" s="125"/>
      <c r="DJ531" s="16"/>
      <c r="DM531" s="16"/>
      <c r="DN531" s="16"/>
      <c r="DO531" s="125"/>
      <c r="DP531" s="16"/>
      <c r="DQ531" s="125"/>
      <c r="DZ531" s="125"/>
      <c r="EA531" s="142"/>
      <c r="EB531" s="125"/>
      <c r="EC531" s="16"/>
      <c r="ED531" s="125"/>
      <c r="EE531" s="125"/>
      <c r="EF531" s="16"/>
      <c r="EG531" s="125"/>
      <c r="EQ531" s="125"/>
      <c r="ER531" s="16"/>
      <c r="ES531" s="123"/>
      <c r="ET531" s="19"/>
      <c r="EU531" s="139"/>
      <c r="EV531" s="139"/>
      <c r="EW531" s="123"/>
      <c r="EX531" s="123"/>
      <c r="EY531" s="123"/>
      <c r="EZ531" s="123"/>
      <c r="FA531" s="123"/>
      <c r="FB531" s="123"/>
      <c r="FC531" s="6"/>
      <c r="FD531" s="123"/>
      <c r="FE531" s="6"/>
      <c r="FF531" s="123"/>
      <c r="FG531" s="6"/>
      <c r="FH531" s="6"/>
      <c r="FI531" s="6"/>
      <c r="FJ531" s="6"/>
      <c r="FK531" s="123"/>
      <c r="FL531" s="6"/>
      <c r="FM531" s="6"/>
      <c r="FN531" s="6"/>
      <c r="FO531" s="138"/>
      <c r="FP531" s="138"/>
      <c r="FQ531" s="123"/>
      <c r="FR531" s="6"/>
      <c r="FS531" s="6"/>
      <c r="FT531" s="139"/>
      <c r="FU531" s="139"/>
      <c r="FV531" s="76"/>
      <c r="FW531" s="123"/>
      <c r="FX531" s="6"/>
    </row>
    <row r="532" spans="35:180">
      <c r="AI532" s="125"/>
      <c r="AJ532" s="16"/>
      <c r="AM532" s="16"/>
      <c r="AN532" s="16"/>
      <c r="AO532" s="125"/>
      <c r="AP532" s="16"/>
      <c r="AQ532" s="125"/>
      <c r="AZ532" s="125"/>
      <c r="BA532" s="142"/>
      <c r="BB532" s="125"/>
      <c r="BC532" s="16"/>
      <c r="BD532" s="125"/>
      <c r="BE532" s="125"/>
      <c r="BF532" s="16"/>
      <c r="BG532" s="125"/>
      <c r="BQ532" s="125"/>
      <c r="BR532" s="16"/>
      <c r="BS532" s="123"/>
      <c r="BT532" s="19"/>
      <c r="BU532" s="139"/>
      <c r="BV532" s="139"/>
      <c r="BW532" s="123"/>
      <c r="BX532" s="123"/>
      <c r="BY532" s="123"/>
      <c r="BZ532" s="123"/>
      <c r="CA532" s="123"/>
      <c r="CB532" s="123"/>
      <c r="CC532" s="6"/>
      <c r="CD532" s="123"/>
      <c r="CE532" s="6"/>
      <c r="CF532" s="123"/>
      <c r="CG532" s="6"/>
      <c r="CH532" s="6"/>
      <c r="CI532" s="6"/>
      <c r="CJ532" s="6"/>
      <c r="CK532" s="123"/>
      <c r="CL532" s="6"/>
      <c r="CM532" s="6"/>
      <c r="CN532" s="6"/>
      <c r="CO532" s="138"/>
      <c r="CP532" s="138"/>
      <c r="CQ532" s="123"/>
      <c r="CR532" s="6"/>
      <c r="CS532" s="6"/>
      <c r="CT532" s="139"/>
      <c r="CU532" s="139"/>
      <c r="CV532" s="76"/>
      <c r="CW532" s="123"/>
      <c r="CX532" s="6"/>
      <c r="DI532" s="125"/>
      <c r="DJ532" s="16"/>
      <c r="DM532" s="16"/>
      <c r="DN532" s="16"/>
      <c r="DO532" s="125"/>
      <c r="DP532" s="16"/>
      <c r="DQ532" s="125"/>
      <c r="DZ532" s="125"/>
      <c r="EA532" s="142"/>
      <c r="EB532" s="125"/>
      <c r="EC532" s="16"/>
      <c r="ED532" s="125"/>
      <c r="EE532" s="125"/>
      <c r="EF532" s="16"/>
      <c r="EG532" s="125"/>
      <c r="EQ532" s="125"/>
      <c r="ER532" s="16"/>
      <c r="ES532" s="123"/>
      <c r="ET532" s="19"/>
      <c r="EU532" s="139"/>
      <c r="EV532" s="139"/>
      <c r="EW532" s="123"/>
      <c r="EX532" s="123"/>
      <c r="EY532" s="123"/>
      <c r="EZ532" s="123"/>
      <c r="FA532" s="123"/>
      <c r="FB532" s="123"/>
      <c r="FC532" s="6"/>
      <c r="FD532" s="123"/>
      <c r="FE532" s="6"/>
      <c r="FF532" s="123"/>
      <c r="FG532" s="6"/>
      <c r="FH532" s="6"/>
      <c r="FI532" s="6"/>
      <c r="FJ532" s="6"/>
      <c r="FK532" s="123"/>
      <c r="FL532" s="6"/>
      <c r="FM532" s="6"/>
      <c r="FN532" s="6"/>
      <c r="FO532" s="138"/>
      <c r="FP532" s="138"/>
      <c r="FQ532" s="123"/>
      <c r="FR532" s="6"/>
      <c r="FS532" s="6"/>
      <c r="FT532" s="139"/>
      <c r="FU532" s="139"/>
      <c r="FV532" s="76"/>
      <c r="FW532" s="123"/>
      <c r="FX532" s="6"/>
    </row>
    <row r="533" spans="35:180">
      <c r="AI533" s="125"/>
      <c r="AJ533" s="16"/>
      <c r="AM533" s="16"/>
      <c r="AN533" s="16"/>
      <c r="AO533" s="125"/>
      <c r="AP533" s="16"/>
      <c r="AQ533" s="125"/>
      <c r="AZ533" s="125"/>
      <c r="BA533" s="142"/>
      <c r="BB533" s="125"/>
      <c r="BC533" s="16"/>
      <c r="BD533" s="125"/>
      <c r="BE533" s="125"/>
      <c r="BF533" s="16"/>
      <c r="BG533" s="125"/>
      <c r="BQ533" s="125"/>
      <c r="BR533" s="16"/>
      <c r="BS533" s="123"/>
      <c r="BT533" s="19"/>
      <c r="BU533" s="139"/>
      <c r="BV533" s="139"/>
      <c r="BW533" s="123"/>
      <c r="BX533" s="123"/>
      <c r="BY533" s="123"/>
      <c r="BZ533" s="123"/>
      <c r="CA533" s="123"/>
      <c r="CB533" s="123"/>
      <c r="CC533" s="6"/>
      <c r="CD533" s="123"/>
      <c r="CE533" s="6"/>
      <c r="CF533" s="123"/>
      <c r="CG533" s="6"/>
      <c r="CH533" s="6"/>
      <c r="CI533" s="6"/>
      <c r="CJ533" s="6"/>
      <c r="CK533" s="123"/>
      <c r="CL533" s="6"/>
      <c r="CM533" s="6"/>
      <c r="CN533" s="6"/>
      <c r="CO533" s="138"/>
      <c r="CP533" s="138"/>
      <c r="CQ533" s="123"/>
      <c r="CR533" s="6"/>
      <c r="CS533" s="6"/>
      <c r="CT533" s="139"/>
      <c r="CU533" s="139"/>
      <c r="CV533" s="76"/>
      <c r="CW533" s="123"/>
      <c r="CX533" s="6"/>
      <c r="DI533" s="125"/>
      <c r="DJ533" s="16"/>
      <c r="DM533" s="16"/>
      <c r="DN533" s="16"/>
      <c r="DO533" s="125"/>
      <c r="DP533" s="16"/>
      <c r="DQ533" s="125"/>
      <c r="DZ533" s="125"/>
      <c r="EA533" s="142"/>
      <c r="EB533" s="125"/>
      <c r="EC533" s="16"/>
      <c r="ED533" s="125"/>
      <c r="EE533" s="125"/>
      <c r="EF533" s="16"/>
      <c r="EG533" s="125"/>
      <c r="EQ533" s="125"/>
      <c r="ER533" s="16"/>
      <c r="ES533" s="123"/>
      <c r="ET533" s="19"/>
      <c r="EU533" s="139"/>
      <c r="EV533" s="139"/>
      <c r="EW533" s="123"/>
      <c r="EX533" s="123"/>
      <c r="EY533" s="123"/>
      <c r="EZ533" s="123"/>
      <c r="FA533" s="123"/>
      <c r="FB533" s="123"/>
      <c r="FC533" s="6"/>
      <c r="FD533" s="123"/>
      <c r="FE533" s="6"/>
      <c r="FF533" s="123"/>
      <c r="FG533" s="6"/>
      <c r="FH533" s="6"/>
      <c r="FI533" s="6"/>
      <c r="FJ533" s="6"/>
      <c r="FK533" s="123"/>
      <c r="FL533" s="6"/>
      <c r="FM533" s="6"/>
      <c r="FN533" s="6"/>
      <c r="FO533" s="138"/>
      <c r="FP533" s="138"/>
      <c r="FQ533" s="123"/>
      <c r="FR533" s="6"/>
      <c r="FS533" s="6"/>
      <c r="FT533" s="139"/>
      <c r="FU533" s="139"/>
      <c r="FV533" s="76"/>
      <c r="FW533" s="123"/>
      <c r="FX533" s="6"/>
    </row>
    <row r="534" spans="35:180">
      <c r="AI534" s="125"/>
      <c r="AJ534" s="16"/>
      <c r="AM534" s="16"/>
      <c r="AN534" s="16"/>
      <c r="AO534" s="125"/>
      <c r="AP534" s="16"/>
      <c r="AQ534" s="125"/>
      <c r="AZ534" s="125"/>
      <c r="BA534" s="142"/>
      <c r="BB534" s="125"/>
      <c r="BC534" s="16"/>
      <c r="BD534" s="125"/>
      <c r="BE534" s="125"/>
      <c r="BF534" s="16"/>
      <c r="BG534" s="125"/>
      <c r="BQ534" s="125"/>
      <c r="BR534" s="16"/>
      <c r="BS534" s="123"/>
      <c r="BT534" s="19"/>
      <c r="BU534" s="139"/>
      <c r="BV534" s="139"/>
      <c r="BW534" s="123"/>
      <c r="BX534" s="123"/>
      <c r="BY534" s="123"/>
      <c r="BZ534" s="123"/>
      <c r="CA534" s="123"/>
      <c r="CB534" s="123"/>
      <c r="CC534" s="6"/>
      <c r="CD534" s="123"/>
      <c r="CE534" s="6"/>
      <c r="CF534" s="123"/>
      <c r="CG534" s="6"/>
      <c r="CH534" s="6"/>
      <c r="CI534" s="6"/>
      <c r="CJ534" s="6"/>
      <c r="CK534" s="123"/>
      <c r="CL534" s="6"/>
      <c r="CM534" s="6"/>
      <c r="CN534" s="6"/>
      <c r="CO534" s="138"/>
      <c r="CP534" s="138"/>
      <c r="CQ534" s="123"/>
      <c r="CR534" s="6"/>
      <c r="CS534" s="6"/>
      <c r="CT534" s="139"/>
      <c r="CU534" s="139"/>
      <c r="CV534" s="76"/>
      <c r="CW534" s="123"/>
      <c r="CX534" s="6"/>
      <c r="DI534" s="125"/>
      <c r="DJ534" s="16"/>
      <c r="DM534" s="16"/>
      <c r="DN534" s="16"/>
      <c r="DO534" s="125"/>
      <c r="DP534" s="16"/>
      <c r="DQ534" s="125"/>
      <c r="DZ534" s="125"/>
      <c r="EA534" s="142"/>
      <c r="EB534" s="125"/>
      <c r="EC534" s="16"/>
      <c r="ED534" s="125"/>
      <c r="EE534" s="125"/>
      <c r="EF534" s="16"/>
      <c r="EG534" s="125"/>
      <c r="EQ534" s="125"/>
      <c r="ER534" s="16"/>
      <c r="ES534" s="123"/>
      <c r="ET534" s="19"/>
      <c r="EU534" s="139"/>
      <c r="EV534" s="139"/>
      <c r="EW534" s="123"/>
      <c r="EX534" s="123"/>
      <c r="EY534" s="123"/>
      <c r="EZ534" s="123"/>
      <c r="FA534" s="123"/>
      <c r="FB534" s="123"/>
      <c r="FC534" s="6"/>
      <c r="FD534" s="123"/>
      <c r="FE534" s="6"/>
      <c r="FF534" s="123"/>
      <c r="FG534" s="6"/>
      <c r="FH534" s="6"/>
      <c r="FI534" s="6"/>
      <c r="FJ534" s="6"/>
      <c r="FK534" s="123"/>
      <c r="FL534" s="6"/>
      <c r="FM534" s="6"/>
      <c r="FN534" s="6"/>
      <c r="FO534" s="138"/>
      <c r="FP534" s="138"/>
      <c r="FQ534" s="123"/>
      <c r="FR534" s="6"/>
      <c r="FS534" s="6"/>
      <c r="FT534" s="139"/>
      <c r="FU534" s="139"/>
      <c r="FV534" s="76"/>
      <c r="FW534" s="123"/>
      <c r="FX534" s="6"/>
    </row>
    <row r="535" spans="35:180">
      <c r="AI535" s="125"/>
      <c r="AJ535" s="16"/>
      <c r="AM535" s="16"/>
      <c r="AN535" s="16"/>
      <c r="AO535" s="125"/>
      <c r="AP535" s="16"/>
      <c r="AQ535" s="125"/>
      <c r="AZ535" s="125"/>
      <c r="BA535" s="142"/>
      <c r="BB535" s="125"/>
      <c r="BC535" s="16"/>
      <c r="BD535" s="125"/>
      <c r="BE535" s="125"/>
      <c r="BF535" s="16"/>
      <c r="BG535" s="125"/>
      <c r="BQ535" s="125"/>
      <c r="BR535" s="16"/>
      <c r="BS535" s="123"/>
      <c r="BT535" s="19"/>
      <c r="BU535" s="139"/>
      <c r="BV535" s="139"/>
      <c r="BW535" s="123"/>
      <c r="BX535" s="123"/>
      <c r="BY535" s="123"/>
      <c r="BZ535" s="123"/>
      <c r="CA535" s="123"/>
      <c r="CB535" s="123"/>
      <c r="CC535" s="6"/>
      <c r="CD535" s="123"/>
      <c r="CE535" s="6"/>
      <c r="CF535" s="123"/>
      <c r="CG535" s="6"/>
      <c r="CH535" s="6"/>
      <c r="CI535" s="6"/>
      <c r="CJ535" s="6"/>
      <c r="CK535" s="123"/>
      <c r="CL535" s="6"/>
      <c r="CM535" s="6"/>
      <c r="CN535" s="6"/>
      <c r="CO535" s="138"/>
      <c r="CP535" s="138"/>
      <c r="CQ535" s="123"/>
      <c r="CR535" s="6"/>
      <c r="CS535" s="6"/>
      <c r="CT535" s="139"/>
      <c r="CU535" s="139"/>
      <c r="CV535" s="76"/>
      <c r="CW535" s="123"/>
      <c r="CX535" s="6"/>
      <c r="DI535" s="125"/>
      <c r="DJ535" s="16"/>
      <c r="DM535" s="16"/>
      <c r="DN535" s="16"/>
      <c r="DO535" s="125"/>
      <c r="DP535" s="16"/>
      <c r="DQ535" s="125"/>
      <c r="DZ535" s="125"/>
      <c r="EA535" s="142"/>
      <c r="EB535" s="125"/>
      <c r="EC535" s="16"/>
      <c r="ED535" s="125"/>
      <c r="EE535" s="125"/>
      <c r="EF535" s="16"/>
      <c r="EG535" s="125"/>
      <c r="EQ535" s="125"/>
      <c r="ER535" s="16"/>
      <c r="ES535" s="123"/>
      <c r="ET535" s="19"/>
      <c r="EU535" s="139"/>
      <c r="EV535" s="139"/>
      <c r="EW535" s="123"/>
      <c r="EX535" s="123"/>
      <c r="EY535" s="123"/>
      <c r="EZ535" s="123"/>
      <c r="FA535" s="123"/>
      <c r="FB535" s="123"/>
      <c r="FC535" s="6"/>
      <c r="FD535" s="123"/>
      <c r="FE535" s="6"/>
      <c r="FF535" s="123"/>
      <c r="FG535" s="6"/>
      <c r="FH535" s="6"/>
      <c r="FI535" s="6"/>
      <c r="FJ535" s="6"/>
      <c r="FK535" s="123"/>
      <c r="FL535" s="6"/>
      <c r="FM535" s="6"/>
      <c r="FN535" s="6"/>
      <c r="FO535" s="138"/>
      <c r="FP535" s="138"/>
      <c r="FQ535" s="123"/>
      <c r="FR535" s="6"/>
      <c r="FS535" s="6"/>
      <c r="FT535" s="139"/>
      <c r="FU535" s="139"/>
      <c r="FV535" s="76"/>
      <c r="FW535" s="123"/>
      <c r="FX535" s="6"/>
    </row>
    <row r="536" spans="35:180">
      <c r="AI536" s="125"/>
      <c r="AJ536" s="16"/>
      <c r="AM536" s="16"/>
      <c r="AN536" s="16"/>
      <c r="AO536" s="125"/>
      <c r="AP536" s="16"/>
      <c r="AQ536" s="125"/>
      <c r="AZ536" s="125"/>
      <c r="BA536" s="142"/>
      <c r="BB536" s="125"/>
      <c r="BC536" s="16"/>
      <c r="BD536" s="125"/>
      <c r="BE536" s="125"/>
      <c r="BF536" s="16"/>
      <c r="BG536" s="125"/>
      <c r="BQ536" s="125"/>
      <c r="BR536" s="16"/>
      <c r="BS536" s="123"/>
      <c r="BT536" s="19"/>
      <c r="BU536" s="139"/>
      <c r="BV536" s="139"/>
      <c r="BW536" s="123"/>
      <c r="BX536" s="123"/>
      <c r="BY536" s="123"/>
      <c r="BZ536" s="123"/>
      <c r="CA536" s="123"/>
      <c r="CB536" s="123"/>
      <c r="CC536" s="6"/>
      <c r="CD536" s="123"/>
      <c r="CE536" s="6"/>
      <c r="CF536" s="123"/>
      <c r="CG536" s="6"/>
      <c r="CH536" s="6"/>
      <c r="CI536" s="6"/>
      <c r="CJ536" s="6"/>
      <c r="CK536" s="123"/>
      <c r="CL536" s="6"/>
      <c r="CM536" s="6"/>
      <c r="CN536" s="6"/>
      <c r="CO536" s="138"/>
      <c r="CP536" s="138"/>
      <c r="CQ536" s="123"/>
      <c r="CR536" s="6"/>
      <c r="CS536" s="6"/>
      <c r="CT536" s="139"/>
      <c r="CU536" s="139"/>
      <c r="CV536" s="76"/>
      <c r="CW536" s="123"/>
      <c r="CX536" s="6"/>
      <c r="DI536" s="125"/>
      <c r="DJ536" s="16"/>
      <c r="DM536" s="16"/>
      <c r="DN536" s="16"/>
      <c r="DO536" s="125"/>
      <c r="DP536" s="16"/>
      <c r="DQ536" s="125"/>
      <c r="DZ536" s="125"/>
      <c r="EA536" s="142"/>
      <c r="EB536" s="125"/>
      <c r="EC536" s="16"/>
      <c r="ED536" s="125"/>
      <c r="EE536" s="125"/>
      <c r="EF536" s="16"/>
      <c r="EG536" s="125"/>
      <c r="EQ536" s="125"/>
      <c r="ER536" s="16"/>
      <c r="ES536" s="123"/>
      <c r="ET536" s="19"/>
      <c r="EU536" s="139"/>
      <c r="EV536" s="139"/>
      <c r="EW536" s="123"/>
      <c r="EX536" s="123"/>
      <c r="EY536" s="123"/>
      <c r="EZ536" s="123"/>
      <c r="FA536" s="123"/>
      <c r="FB536" s="123"/>
      <c r="FC536" s="6"/>
      <c r="FD536" s="123"/>
      <c r="FE536" s="6"/>
      <c r="FF536" s="123"/>
      <c r="FG536" s="6"/>
      <c r="FH536" s="6"/>
      <c r="FI536" s="6"/>
      <c r="FJ536" s="6"/>
      <c r="FK536" s="123"/>
      <c r="FL536" s="6"/>
      <c r="FM536" s="6"/>
      <c r="FN536" s="6"/>
      <c r="FO536" s="138"/>
      <c r="FP536" s="138"/>
      <c r="FQ536" s="123"/>
      <c r="FR536" s="6"/>
      <c r="FS536" s="6"/>
      <c r="FT536" s="139"/>
      <c r="FU536" s="139"/>
      <c r="FV536" s="76"/>
      <c r="FW536" s="123"/>
      <c r="FX536" s="6"/>
    </row>
    <row r="537" spans="35:180">
      <c r="AI537" s="125"/>
      <c r="AJ537" s="16"/>
      <c r="AM537" s="16"/>
      <c r="AN537" s="16"/>
      <c r="AO537" s="125"/>
      <c r="AP537" s="16"/>
      <c r="AQ537" s="125"/>
      <c r="AZ537" s="125"/>
      <c r="BA537" s="142"/>
      <c r="BB537" s="125"/>
      <c r="BC537" s="16"/>
      <c r="BD537" s="125"/>
      <c r="BE537" s="125"/>
      <c r="BF537" s="16"/>
      <c r="BG537" s="125"/>
      <c r="BQ537" s="125"/>
      <c r="BR537" s="16"/>
      <c r="BS537" s="123"/>
      <c r="BT537" s="19"/>
      <c r="BU537" s="139"/>
      <c r="BV537" s="139"/>
      <c r="BW537" s="123"/>
      <c r="BX537" s="123"/>
      <c r="BY537" s="123"/>
      <c r="BZ537" s="123"/>
      <c r="CA537" s="123"/>
      <c r="CB537" s="123"/>
      <c r="CC537" s="6"/>
      <c r="CD537" s="123"/>
      <c r="CE537" s="6"/>
      <c r="CF537" s="123"/>
      <c r="CG537" s="6"/>
      <c r="CH537" s="6"/>
      <c r="CI537" s="6"/>
      <c r="CJ537" s="6"/>
      <c r="CK537" s="123"/>
      <c r="CL537" s="6"/>
      <c r="CM537" s="6"/>
      <c r="CN537" s="6"/>
      <c r="CO537" s="138"/>
      <c r="CP537" s="138"/>
      <c r="CQ537" s="123"/>
      <c r="CR537" s="6"/>
      <c r="CS537" s="6"/>
      <c r="CT537" s="139"/>
      <c r="CU537" s="139"/>
      <c r="CV537" s="76"/>
      <c r="CW537" s="123"/>
      <c r="CX537" s="6"/>
      <c r="DI537" s="125"/>
      <c r="DJ537" s="16"/>
      <c r="DM537" s="16"/>
      <c r="DN537" s="16"/>
      <c r="DO537" s="125"/>
      <c r="DP537" s="16"/>
      <c r="DQ537" s="125"/>
      <c r="DZ537" s="125"/>
      <c r="EA537" s="142"/>
      <c r="EB537" s="125"/>
      <c r="EC537" s="16"/>
      <c r="ED537" s="125"/>
      <c r="EE537" s="125"/>
      <c r="EF537" s="16"/>
      <c r="EG537" s="125"/>
      <c r="EQ537" s="125"/>
      <c r="ER537" s="16"/>
      <c r="ES537" s="123"/>
      <c r="ET537" s="19"/>
      <c r="EU537" s="139"/>
      <c r="EV537" s="139"/>
      <c r="EW537" s="123"/>
      <c r="EX537" s="123"/>
      <c r="EY537" s="123"/>
      <c r="EZ537" s="123"/>
      <c r="FA537" s="123"/>
      <c r="FB537" s="123"/>
      <c r="FC537" s="6"/>
      <c r="FD537" s="123"/>
      <c r="FE537" s="6"/>
      <c r="FF537" s="123"/>
      <c r="FG537" s="6"/>
      <c r="FH537" s="6"/>
      <c r="FI537" s="6"/>
      <c r="FJ537" s="6"/>
      <c r="FK537" s="123"/>
      <c r="FL537" s="6"/>
      <c r="FM537" s="6"/>
      <c r="FN537" s="6"/>
      <c r="FO537" s="138"/>
      <c r="FP537" s="138"/>
      <c r="FQ537" s="123"/>
      <c r="FR537" s="6"/>
      <c r="FS537" s="6"/>
      <c r="FT537" s="139"/>
      <c r="FU537" s="139"/>
      <c r="FV537" s="76"/>
      <c r="FW537" s="123"/>
      <c r="FX537" s="6"/>
    </row>
    <row r="538" spans="35:180">
      <c r="AI538" s="125"/>
      <c r="AJ538" s="16"/>
      <c r="AM538" s="16"/>
      <c r="AN538" s="16"/>
      <c r="AO538" s="125"/>
      <c r="AP538" s="16"/>
      <c r="AQ538" s="125"/>
      <c r="AZ538" s="125"/>
      <c r="BA538" s="142"/>
      <c r="BB538" s="125"/>
      <c r="BC538" s="16"/>
      <c r="BD538" s="125"/>
      <c r="BE538" s="125"/>
      <c r="BF538" s="16"/>
      <c r="BG538" s="125"/>
      <c r="BQ538" s="125"/>
      <c r="BR538" s="16"/>
      <c r="BS538" s="123"/>
      <c r="BT538" s="19"/>
      <c r="BU538" s="139"/>
      <c r="BV538" s="139"/>
      <c r="BW538" s="123"/>
      <c r="BX538" s="123"/>
      <c r="BY538" s="123"/>
      <c r="BZ538" s="123"/>
      <c r="CA538" s="123"/>
      <c r="CB538" s="123"/>
      <c r="CC538" s="6"/>
      <c r="CD538" s="123"/>
      <c r="CE538" s="6"/>
      <c r="CF538" s="123"/>
      <c r="CG538" s="6"/>
      <c r="CH538" s="6"/>
      <c r="CI538" s="6"/>
      <c r="CJ538" s="6"/>
      <c r="CK538" s="123"/>
      <c r="CL538" s="6"/>
      <c r="CM538" s="6"/>
      <c r="CN538" s="6"/>
      <c r="CO538" s="138"/>
      <c r="CP538" s="138"/>
      <c r="CQ538" s="123"/>
      <c r="CR538" s="6"/>
      <c r="CS538" s="6"/>
      <c r="CT538" s="139"/>
      <c r="CU538" s="139"/>
      <c r="CV538" s="76"/>
      <c r="CW538" s="123"/>
      <c r="CX538" s="6"/>
      <c r="DI538" s="125"/>
      <c r="DJ538" s="16"/>
      <c r="DM538" s="16"/>
      <c r="DN538" s="16"/>
      <c r="DO538" s="125"/>
      <c r="DP538" s="16"/>
      <c r="DQ538" s="125"/>
      <c r="DZ538" s="125"/>
      <c r="EA538" s="142"/>
      <c r="EB538" s="125"/>
      <c r="EC538" s="16"/>
      <c r="ED538" s="125"/>
      <c r="EE538" s="125"/>
      <c r="EF538" s="16"/>
      <c r="EG538" s="125"/>
      <c r="EQ538" s="125"/>
      <c r="ER538" s="16"/>
      <c r="ES538" s="123"/>
      <c r="ET538" s="19"/>
      <c r="EU538" s="139"/>
      <c r="EV538" s="139"/>
      <c r="EW538" s="123"/>
      <c r="EX538" s="123"/>
      <c r="EY538" s="123"/>
      <c r="EZ538" s="123"/>
      <c r="FA538" s="123"/>
      <c r="FB538" s="123"/>
      <c r="FC538" s="6"/>
      <c r="FD538" s="123"/>
      <c r="FE538" s="6"/>
      <c r="FF538" s="123"/>
      <c r="FG538" s="6"/>
      <c r="FH538" s="6"/>
      <c r="FI538" s="6"/>
      <c r="FJ538" s="6"/>
      <c r="FK538" s="123"/>
      <c r="FL538" s="6"/>
      <c r="FM538" s="6"/>
      <c r="FN538" s="6"/>
      <c r="FO538" s="138"/>
      <c r="FP538" s="138"/>
      <c r="FQ538" s="123"/>
      <c r="FR538" s="6"/>
      <c r="FS538" s="6"/>
      <c r="FT538" s="139"/>
      <c r="FU538" s="139"/>
      <c r="FV538" s="76"/>
      <c r="FW538" s="123"/>
      <c r="FX538" s="6"/>
    </row>
    <row r="539" spans="35:180">
      <c r="AI539" s="125"/>
      <c r="AJ539" s="16"/>
      <c r="AM539" s="16"/>
      <c r="AN539" s="16"/>
      <c r="AO539" s="125"/>
      <c r="AP539" s="16"/>
      <c r="AQ539" s="125"/>
      <c r="AZ539" s="125"/>
      <c r="BA539" s="142"/>
      <c r="BB539" s="125"/>
      <c r="BC539" s="16"/>
      <c r="BD539" s="125"/>
      <c r="BE539" s="125"/>
      <c r="BF539" s="16"/>
      <c r="BG539" s="125"/>
      <c r="BQ539" s="125"/>
      <c r="BR539" s="16"/>
      <c r="BS539" s="123"/>
      <c r="BT539" s="19"/>
      <c r="BU539" s="139"/>
      <c r="BV539" s="139"/>
      <c r="BW539" s="123"/>
      <c r="BX539" s="123"/>
      <c r="BY539" s="123"/>
      <c r="BZ539" s="123"/>
      <c r="CA539" s="123"/>
      <c r="CB539" s="123"/>
      <c r="CC539" s="6"/>
      <c r="CD539" s="123"/>
      <c r="CE539" s="6"/>
      <c r="CF539" s="123"/>
      <c r="CG539" s="6"/>
      <c r="CH539" s="6"/>
      <c r="CI539" s="6"/>
      <c r="CJ539" s="6"/>
      <c r="CK539" s="123"/>
      <c r="CL539" s="6"/>
      <c r="CM539" s="6"/>
      <c r="CN539" s="6"/>
      <c r="CO539" s="138"/>
      <c r="CP539" s="138"/>
      <c r="CQ539" s="123"/>
      <c r="CR539" s="6"/>
      <c r="CS539" s="6"/>
      <c r="CT539" s="139"/>
      <c r="CU539" s="139"/>
      <c r="CV539" s="76"/>
      <c r="CW539" s="123"/>
      <c r="CX539" s="6"/>
      <c r="DI539" s="125"/>
      <c r="DJ539" s="16"/>
      <c r="DM539" s="16"/>
      <c r="DN539" s="16"/>
      <c r="DO539" s="125"/>
      <c r="DP539" s="16"/>
      <c r="DQ539" s="125"/>
      <c r="DZ539" s="125"/>
      <c r="EA539" s="142"/>
      <c r="EB539" s="125"/>
      <c r="EC539" s="16"/>
      <c r="ED539" s="125"/>
      <c r="EE539" s="125"/>
      <c r="EF539" s="16"/>
      <c r="EG539" s="125"/>
      <c r="EQ539" s="125"/>
      <c r="ER539" s="16"/>
      <c r="ES539" s="123"/>
      <c r="ET539" s="19"/>
      <c r="EU539" s="139"/>
      <c r="EV539" s="139"/>
      <c r="EW539" s="123"/>
      <c r="EX539" s="123"/>
      <c r="EY539" s="123"/>
      <c r="EZ539" s="123"/>
      <c r="FA539" s="123"/>
      <c r="FB539" s="123"/>
      <c r="FC539" s="6"/>
      <c r="FD539" s="123"/>
      <c r="FE539" s="6"/>
      <c r="FF539" s="123"/>
      <c r="FG539" s="6"/>
      <c r="FH539" s="6"/>
      <c r="FI539" s="6"/>
      <c r="FJ539" s="6"/>
      <c r="FK539" s="123"/>
      <c r="FL539" s="6"/>
      <c r="FM539" s="6"/>
      <c r="FN539" s="6"/>
      <c r="FO539" s="138"/>
      <c r="FP539" s="138"/>
      <c r="FQ539" s="123"/>
      <c r="FR539" s="6"/>
      <c r="FS539" s="6"/>
      <c r="FT539" s="139"/>
      <c r="FU539" s="139"/>
      <c r="FV539" s="76"/>
      <c r="FW539" s="123"/>
      <c r="FX539" s="6"/>
    </row>
    <row r="540" spans="35:180">
      <c r="AI540" s="125"/>
      <c r="AJ540" s="16"/>
      <c r="AM540" s="16"/>
      <c r="AN540" s="16"/>
      <c r="AO540" s="125"/>
      <c r="AP540" s="16"/>
      <c r="AQ540" s="125"/>
      <c r="AZ540" s="125"/>
      <c r="BA540" s="142"/>
      <c r="BB540" s="125"/>
      <c r="BC540" s="16"/>
      <c r="BD540" s="125"/>
      <c r="BE540" s="125"/>
      <c r="BF540" s="16"/>
      <c r="BG540" s="125"/>
      <c r="BQ540" s="125"/>
      <c r="BR540" s="16"/>
      <c r="BS540" s="123"/>
      <c r="BT540" s="19"/>
      <c r="BU540" s="139"/>
      <c r="BV540" s="139"/>
      <c r="BW540" s="123"/>
      <c r="BX540" s="123"/>
      <c r="BY540" s="123"/>
      <c r="BZ540" s="123"/>
      <c r="CA540" s="123"/>
      <c r="CB540" s="123"/>
      <c r="CC540" s="6"/>
      <c r="CD540" s="123"/>
      <c r="CE540" s="6"/>
      <c r="CF540" s="123"/>
      <c r="CG540" s="6"/>
      <c r="CH540" s="6"/>
      <c r="CI540" s="6"/>
      <c r="CJ540" s="6"/>
      <c r="CK540" s="123"/>
      <c r="CL540" s="6"/>
      <c r="CM540" s="6"/>
      <c r="CN540" s="6"/>
      <c r="CO540" s="138"/>
      <c r="CP540" s="138"/>
      <c r="CQ540" s="123"/>
      <c r="CR540" s="6"/>
      <c r="CS540" s="6"/>
      <c r="CT540" s="139"/>
      <c r="CU540" s="139"/>
      <c r="CV540" s="76"/>
      <c r="CW540" s="123"/>
      <c r="CX540" s="6"/>
      <c r="DI540" s="125"/>
      <c r="DJ540" s="16"/>
      <c r="DM540" s="16"/>
      <c r="DN540" s="16"/>
      <c r="DO540" s="125"/>
      <c r="DP540" s="16"/>
      <c r="DQ540" s="125"/>
      <c r="DZ540" s="125"/>
      <c r="EA540" s="142"/>
      <c r="EB540" s="125"/>
      <c r="EC540" s="16"/>
      <c r="ED540" s="125"/>
      <c r="EE540" s="125"/>
      <c r="EF540" s="16"/>
      <c r="EG540" s="125"/>
      <c r="EQ540" s="125"/>
      <c r="ER540" s="16"/>
      <c r="ES540" s="123"/>
      <c r="ET540" s="19"/>
      <c r="EU540" s="139"/>
      <c r="EV540" s="139"/>
      <c r="EW540" s="123"/>
      <c r="EX540" s="123"/>
      <c r="EY540" s="123"/>
      <c r="EZ540" s="123"/>
      <c r="FA540" s="123"/>
      <c r="FB540" s="123"/>
      <c r="FC540" s="6"/>
      <c r="FD540" s="123"/>
      <c r="FE540" s="6"/>
      <c r="FF540" s="123"/>
      <c r="FG540" s="6"/>
      <c r="FH540" s="6"/>
      <c r="FI540" s="6"/>
      <c r="FJ540" s="6"/>
      <c r="FK540" s="123"/>
      <c r="FL540" s="6"/>
      <c r="FM540" s="6"/>
      <c r="FN540" s="6"/>
      <c r="FO540" s="138"/>
      <c r="FP540" s="138"/>
      <c r="FQ540" s="123"/>
      <c r="FR540" s="6"/>
      <c r="FS540" s="6"/>
      <c r="FT540" s="139"/>
      <c r="FU540" s="139"/>
      <c r="FV540" s="76"/>
      <c r="FW540" s="123"/>
      <c r="FX540" s="6"/>
    </row>
    <row r="541" spans="35:180">
      <c r="AI541" s="125"/>
      <c r="AJ541" s="16"/>
      <c r="AM541" s="16"/>
      <c r="AN541" s="16"/>
      <c r="AO541" s="125"/>
      <c r="AP541" s="16"/>
      <c r="AQ541" s="125"/>
      <c r="AZ541" s="125"/>
      <c r="BA541" s="142"/>
      <c r="BB541" s="125"/>
      <c r="BC541" s="16"/>
      <c r="BD541" s="125"/>
      <c r="BE541" s="125"/>
      <c r="BF541" s="16"/>
      <c r="BG541" s="125"/>
      <c r="BQ541" s="125"/>
      <c r="BR541" s="16"/>
      <c r="BS541" s="123"/>
      <c r="BT541" s="19"/>
      <c r="BU541" s="139"/>
      <c r="BV541" s="139"/>
      <c r="BW541" s="123"/>
      <c r="BX541" s="123"/>
      <c r="BY541" s="123"/>
      <c r="BZ541" s="123"/>
      <c r="CA541" s="123"/>
      <c r="CB541" s="123"/>
      <c r="CC541" s="6"/>
      <c r="CD541" s="123"/>
      <c r="CE541" s="6"/>
      <c r="CF541" s="123"/>
      <c r="CG541" s="6"/>
      <c r="CH541" s="6"/>
      <c r="CI541" s="6"/>
      <c r="CJ541" s="6"/>
      <c r="CK541" s="123"/>
      <c r="CL541" s="6"/>
      <c r="CM541" s="6"/>
      <c r="CN541" s="6"/>
      <c r="CO541" s="138"/>
      <c r="CP541" s="138"/>
      <c r="CQ541" s="123"/>
      <c r="CR541" s="6"/>
      <c r="CS541" s="6"/>
      <c r="CT541" s="139"/>
      <c r="CU541" s="139"/>
      <c r="CV541" s="76"/>
      <c r="CW541" s="123"/>
      <c r="CX541" s="6"/>
      <c r="DI541" s="125"/>
      <c r="DJ541" s="16"/>
      <c r="DM541" s="16"/>
      <c r="DN541" s="16"/>
      <c r="DO541" s="125"/>
      <c r="DP541" s="16"/>
      <c r="DQ541" s="125"/>
      <c r="DZ541" s="125"/>
      <c r="EA541" s="142"/>
      <c r="EB541" s="125"/>
      <c r="EC541" s="16"/>
      <c r="ED541" s="125"/>
      <c r="EE541" s="125"/>
      <c r="EF541" s="16"/>
      <c r="EG541" s="125"/>
      <c r="EQ541" s="125"/>
      <c r="ER541" s="16"/>
      <c r="ES541" s="123"/>
      <c r="ET541" s="19"/>
      <c r="EU541" s="139"/>
      <c r="EV541" s="139"/>
      <c r="EW541" s="123"/>
      <c r="EX541" s="123"/>
      <c r="EY541" s="123"/>
      <c r="EZ541" s="123"/>
      <c r="FA541" s="123"/>
      <c r="FB541" s="123"/>
      <c r="FC541" s="6"/>
      <c r="FD541" s="123"/>
      <c r="FE541" s="6"/>
      <c r="FF541" s="123"/>
      <c r="FG541" s="6"/>
      <c r="FH541" s="6"/>
      <c r="FI541" s="6"/>
      <c r="FJ541" s="6"/>
      <c r="FK541" s="123"/>
      <c r="FL541" s="6"/>
      <c r="FM541" s="6"/>
      <c r="FN541" s="6"/>
      <c r="FO541" s="138"/>
      <c r="FP541" s="138"/>
      <c r="FQ541" s="123"/>
      <c r="FR541" s="6"/>
      <c r="FS541" s="6"/>
      <c r="FT541" s="139"/>
      <c r="FU541" s="139"/>
      <c r="FV541" s="76"/>
      <c r="FW541" s="123"/>
      <c r="FX541" s="6"/>
    </row>
    <row r="542" spans="35:180">
      <c r="AI542" s="125"/>
      <c r="AJ542" s="16"/>
      <c r="AM542" s="16"/>
      <c r="AN542" s="16"/>
      <c r="AO542" s="125"/>
      <c r="AP542" s="16"/>
      <c r="AQ542" s="125"/>
      <c r="AZ542" s="125"/>
      <c r="BA542" s="142"/>
      <c r="BB542" s="125"/>
      <c r="BC542" s="16"/>
      <c r="BD542" s="125"/>
      <c r="BE542" s="125"/>
      <c r="BF542" s="16"/>
      <c r="BG542" s="125"/>
      <c r="BQ542" s="125"/>
      <c r="BR542" s="16"/>
      <c r="BS542" s="123"/>
      <c r="BT542" s="19"/>
      <c r="BU542" s="139"/>
      <c r="BV542" s="139"/>
      <c r="BW542" s="123"/>
      <c r="BX542" s="123"/>
      <c r="BY542" s="123"/>
      <c r="BZ542" s="123"/>
      <c r="CA542" s="123"/>
      <c r="CB542" s="123"/>
      <c r="CC542" s="6"/>
      <c r="CD542" s="123"/>
      <c r="CE542" s="6"/>
      <c r="CF542" s="123"/>
      <c r="CG542" s="6"/>
      <c r="CH542" s="6"/>
      <c r="CI542" s="6"/>
      <c r="CJ542" s="6"/>
      <c r="CK542" s="123"/>
      <c r="CL542" s="6"/>
      <c r="CM542" s="6"/>
      <c r="CN542" s="6"/>
      <c r="CO542" s="138"/>
      <c r="CP542" s="138"/>
      <c r="CQ542" s="123"/>
      <c r="CR542" s="6"/>
      <c r="CS542" s="6"/>
      <c r="CT542" s="139"/>
      <c r="CU542" s="139"/>
      <c r="CV542" s="76"/>
      <c r="CW542" s="123"/>
      <c r="CX542" s="6"/>
      <c r="DI542" s="125"/>
      <c r="DJ542" s="16"/>
      <c r="DM542" s="16"/>
      <c r="DN542" s="16"/>
      <c r="DO542" s="125"/>
      <c r="DP542" s="16"/>
      <c r="DQ542" s="125"/>
      <c r="DZ542" s="125"/>
      <c r="EA542" s="142"/>
      <c r="EB542" s="125"/>
      <c r="EC542" s="16"/>
      <c r="ED542" s="125"/>
      <c r="EE542" s="125"/>
      <c r="EF542" s="16"/>
      <c r="EG542" s="125"/>
      <c r="EQ542" s="125"/>
      <c r="ER542" s="16"/>
      <c r="ES542" s="123"/>
      <c r="ET542" s="19"/>
      <c r="EU542" s="139"/>
      <c r="EV542" s="139"/>
      <c r="EW542" s="123"/>
      <c r="EX542" s="123"/>
      <c r="EY542" s="123"/>
      <c r="EZ542" s="123"/>
      <c r="FA542" s="123"/>
      <c r="FB542" s="123"/>
      <c r="FC542" s="6"/>
      <c r="FD542" s="123"/>
      <c r="FE542" s="6"/>
      <c r="FF542" s="123"/>
      <c r="FG542" s="6"/>
      <c r="FH542" s="6"/>
      <c r="FI542" s="6"/>
      <c r="FJ542" s="6"/>
      <c r="FK542" s="123"/>
      <c r="FL542" s="6"/>
      <c r="FM542" s="6"/>
      <c r="FN542" s="6"/>
      <c r="FO542" s="138"/>
      <c r="FP542" s="138"/>
      <c r="FQ542" s="123"/>
      <c r="FR542" s="6"/>
      <c r="FS542" s="6"/>
      <c r="FT542" s="139"/>
      <c r="FU542" s="139"/>
      <c r="FV542" s="76"/>
      <c r="FW542" s="123"/>
      <c r="FX542" s="6"/>
    </row>
    <row r="543" spans="35:180">
      <c r="AI543" s="125"/>
      <c r="AJ543" s="16"/>
      <c r="AM543" s="16"/>
      <c r="AN543" s="16"/>
      <c r="AO543" s="125"/>
      <c r="AP543" s="16"/>
      <c r="AQ543" s="125"/>
      <c r="AZ543" s="125"/>
      <c r="BA543" s="142"/>
      <c r="BB543" s="125"/>
      <c r="BC543" s="16"/>
      <c r="BD543" s="125"/>
      <c r="BE543" s="125"/>
      <c r="BF543" s="16"/>
      <c r="BG543" s="125"/>
      <c r="BQ543" s="125"/>
      <c r="BR543" s="16"/>
      <c r="BS543" s="123"/>
      <c r="BT543" s="19"/>
      <c r="BU543" s="139"/>
      <c r="BV543" s="139"/>
      <c r="BW543" s="123"/>
      <c r="BX543" s="123"/>
      <c r="BY543" s="123"/>
      <c r="BZ543" s="123"/>
      <c r="CA543" s="123"/>
      <c r="CB543" s="123"/>
      <c r="CC543" s="6"/>
      <c r="CD543" s="123"/>
      <c r="CE543" s="6"/>
      <c r="CF543" s="123"/>
      <c r="CG543" s="6"/>
      <c r="CH543" s="6"/>
      <c r="CI543" s="6"/>
      <c r="CJ543" s="6"/>
      <c r="CK543" s="123"/>
      <c r="CL543" s="6"/>
      <c r="CM543" s="6"/>
      <c r="CN543" s="6"/>
      <c r="CO543" s="138"/>
      <c r="CP543" s="138"/>
      <c r="CQ543" s="123"/>
      <c r="CR543" s="6"/>
      <c r="CS543" s="6"/>
      <c r="CT543" s="139"/>
      <c r="CU543" s="139"/>
      <c r="CV543" s="76"/>
      <c r="CW543" s="123"/>
      <c r="CX543" s="6"/>
      <c r="DI543" s="125"/>
      <c r="DJ543" s="16"/>
      <c r="DM543" s="16"/>
      <c r="DN543" s="16"/>
      <c r="DO543" s="125"/>
      <c r="DP543" s="16"/>
      <c r="DQ543" s="125"/>
      <c r="DZ543" s="125"/>
      <c r="EA543" s="142"/>
      <c r="EB543" s="125"/>
      <c r="EC543" s="16"/>
      <c r="ED543" s="125"/>
      <c r="EE543" s="125"/>
      <c r="EF543" s="16"/>
      <c r="EG543" s="125"/>
      <c r="EQ543" s="125"/>
      <c r="ER543" s="16"/>
      <c r="ES543" s="123"/>
      <c r="ET543" s="19"/>
      <c r="EU543" s="139"/>
      <c r="EV543" s="139"/>
      <c r="EW543" s="123"/>
      <c r="EX543" s="123"/>
      <c r="EY543" s="123"/>
      <c r="EZ543" s="123"/>
      <c r="FA543" s="123"/>
      <c r="FB543" s="123"/>
      <c r="FC543" s="6"/>
      <c r="FD543" s="123"/>
      <c r="FE543" s="6"/>
      <c r="FF543" s="123"/>
      <c r="FG543" s="6"/>
      <c r="FH543" s="6"/>
      <c r="FI543" s="6"/>
      <c r="FJ543" s="6"/>
      <c r="FK543" s="123"/>
      <c r="FL543" s="6"/>
      <c r="FM543" s="6"/>
      <c r="FN543" s="6"/>
      <c r="FO543" s="138"/>
      <c r="FP543" s="138"/>
      <c r="FQ543" s="123"/>
      <c r="FR543" s="6"/>
      <c r="FS543" s="6"/>
      <c r="FT543" s="139"/>
      <c r="FU543" s="139"/>
      <c r="FV543" s="76"/>
      <c r="FW543" s="123"/>
      <c r="FX543" s="6"/>
    </row>
    <row r="544" spans="35:180">
      <c r="AI544" s="125"/>
      <c r="AJ544" s="16"/>
      <c r="AM544" s="16"/>
      <c r="AN544" s="16"/>
      <c r="AO544" s="125"/>
      <c r="AP544" s="16"/>
      <c r="AQ544" s="125"/>
      <c r="AZ544" s="125"/>
      <c r="BA544" s="142"/>
      <c r="BB544" s="125"/>
      <c r="BC544" s="16"/>
      <c r="BD544" s="125"/>
      <c r="BE544" s="125"/>
      <c r="BF544" s="16"/>
      <c r="BG544" s="125"/>
      <c r="BQ544" s="125"/>
      <c r="BR544" s="16"/>
      <c r="BS544" s="123"/>
      <c r="BT544" s="19"/>
      <c r="BU544" s="139"/>
      <c r="BV544" s="139"/>
      <c r="BW544" s="123"/>
      <c r="BX544" s="123"/>
      <c r="BY544" s="123"/>
      <c r="BZ544" s="123"/>
      <c r="CA544" s="123"/>
      <c r="CB544" s="123"/>
      <c r="CC544" s="6"/>
      <c r="CD544" s="123"/>
      <c r="CE544" s="6"/>
      <c r="CF544" s="123"/>
      <c r="CG544" s="6"/>
      <c r="CH544" s="6"/>
      <c r="CI544" s="6"/>
      <c r="CJ544" s="6"/>
      <c r="CK544" s="123"/>
      <c r="CL544" s="6"/>
      <c r="CM544" s="6"/>
      <c r="CN544" s="6"/>
      <c r="CO544" s="138"/>
      <c r="CP544" s="138"/>
      <c r="CQ544" s="123"/>
      <c r="CR544" s="6"/>
      <c r="CS544" s="6"/>
      <c r="CT544" s="139"/>
      <c r="CU544" s="139"/>
      <c r="CV544" s="76"/>
      <c r="CW544" s="123"/>
      <c r="CX544" s="6"/>
      <c r="DI544" s="125"/>
      <c r="DJ544" s="16"/>
      <c r="DM544" s="16"/>
      <c r="DN544" s="16"/>
      <c r="DO544" s="125"/>
      <c r="DP544" s="16"/>
      <c r="DQ544" s="125"/>
      <c r="DZ544" s="125"/>
      <c r="EA544" s="142"/>
      <c r="EB544" s="125"/>
      <c r="EC544" s="16"/>
      <c r="ED544" s="125"/>
      <c r="EE544" s="125"/>
      <c r="EF544" s="16"/>
      <c r="EG544" s="125"/>
      <c r="EQ544" s="125"/>
      <c r="ER544" s="16"/>
      <c r="ES544" s="123"/>
      <c r="ET544" s="19"/>
      <c r="EU544" s="139"/>
      <c r="EV544" s="139"/>
      <c r="EW544" s="123"/>
      <c r="EX544" s="123"/>
      <c r="EY544" s="123"/>
      <c r="EZ544" s="123"/>
      <c r="FA544" s="123"/>
      <c r="FB544" s="123"/>
      <c r="FC544" s="6"/>
      <c r="FD544" s="123"/>
      <c r="FE544" s="6"/>
      <c r="FF544" s="123"/>
      <c r="FG544" s="6"/>
      <c r="FH544" s="6"/>
      <c r="FI544" s="6"/>
      <c r="FJ544" s="6"/>
      <c r="FK544" s="123"/>
      <c r="FL544" s="6"/>
      <c r="FM544" s="6"/>
      <c r="FN544" s="6"/>
      <c r="FO544" s="138"/>
      <c r="FP544" s="138"/>
      <c r="FQ544" s="123"/>
      <c r="FR544" s="6"/>
      <c r="FS544" s="6"/>
      <c r="FT544" s="139"/>
      <c r="FU544" s="139"/>
      <c r="FV544" s="76"/>
      <c r="FW544" s="123"/>
      <c r="FX544" s="6"/>
    </row>
    <row r="545" spans="35:180">
      <c r="AI545" s="125"/>
      <c r="AJ545" s="16"/>
      <c r="AM545" s="16"/>
      <c r="AN545" s="16"/>
      <c r="AO545" s="125"/>
      <c r="AP545" s="16"/>
      <c r="AQ545" s="125"/>
      <c r="AZ545" s="125"/>
      <c r="BA545" s="142"/>
      <c r="BB545" s="125"/>
      <c r="BC545" s="16"/>
      <c r="BD545" s="125"/>
      <c r="BE545" s="125"/>
      <c r="BF545" s="16"/>
      <c r="BG545" s="125"/>
      <c r="BQ545" s="125"/>
      <c r="BR545" s="16"/>
      <c r="BS545" s="123"/>
      <c r="BT545" s="19"/>
      <c r="BU545" s="139"/>
      <c r="BV545" s="139"/>
      <c r="BW545" s="123"/>
      <c r="BX545" s="123"/>
      <c r="BY545" s="123"/>
      <c r="BZ545" s="123"/>
      <c r="CA545" s="123"/>
      <c r="CB545" s="123"/>
      <c r="CC545" s="6"/>
      <c r="CD545" s="123"/>
      <c r="CE545" s="6"/>
      <c r="CF545" s="123"/>
      <c r="CG545" s="6"/>
      <c r="CH545" s="6"/>
      <c r="CI545" s="6"/>
      <c r="CJ545" s="6"/>
      <c r="CK545" s="123"/>
      <c r="CL545" s="6"/>
      <c r="CM545" s="6"/>
      <c r="CN545" s="6"/>
      <c r="CO545" s="138"/>
      <c r="CP545" s="138"/>
      <c r="CQ545" s="123"/>
      <c r="CR545" s="6"/>
      <c r="CS545" s="6"/>
      <c r="CT545" s="139"/>
      <c r="CU545" s="139"/>
      <c r="CV545" s="76"/>
      <c r="CW545" s="123"/>
      <c r="CX545" s="6"/>
      <c r="DI545" s="125"/>
      <c r="DJ545" s="16"/>
      <c r="DM545" s="16"/>
      <c r="DN545" s="16"/>
      <c r="DO545" s="125"/>
      <c r="DP545" s="16"/>
      <c r="DQ545" s="125"/>
      <c r="DZ545" s="125"/>
      <c r="EA545" s="142"/>
      <c r="EB545" s="125"/>
      <c r="EC545" s="16"/>
      <c r="ED545" s="125"/>
      <c r="EE545" s="125"/>
      <c r="EF545" s="16"/>
      <c r="EG545" s="125"/>
      <c r="EQ545" s="125"/>
      <c r="ER545" s="16"/>
      <c r="ES545" s="123"/>
      <c r="ET545" s="19"/>
      <c r="EU545" s="139"/>
      <c r="EV545" s="139"/>
      <c r="EW545" s="123"/>
      <c r="EX545" s="123"/>
      <c r="EY545" s="123"/>
      <c r="EZ545" s="123"/>
      <c r="FA545" s="123"/>
      <c r="FB545" s="123"/>
      <c r="FC545" s="6"/>
      <c r="FD545" s="123"/>
      <c r="FE545" s="6"/>
      <c r="FF545" s="123"/>
      <c r="FG545" s="6"/>
      <c r="FH545" s="6"/>
      <c r="FI545" s="6"/>
      <c r="FJ545" s="6"/>
      <c r="FK545" s="123"/>
      <c r="FL545" s="6"/>
      <c r="FM545" s="6"/>
      <c r="FN545" s="6"/>
      <c r="FO545" s="138"/>
      <c r="FP545" s="138"/>
      <c r="FQ545" s="123"/>
      <c r="FR545" s="6"/>
      <c r="FS545" s="6"/>
      <c r="FT545" s="139"/>
      <c r="FU545" s="139"/>
      <c r="FV545" s="76"/>
      <c r="FW545" s="123"/>
      <c r="FX545" s="6"/>
    </row>
    <row r="546" spans="35:180">
      <c r="AI546" s="125"/>
      <c r="AJ546" s="16"/>
      <c r="AM546" s="16"/>
      <c r="AN546" s="16"/>
      <c r="AO546" s="125"/>
      <c r="AP546" s="16"/>
      <c r="AQ546" s="125"/>
      <c r="AZ546" s="125"/>
      <c r="BA546" s="142"/>
      <c r="BB546" s="125"/>
      <c r="BC546" s="16"/>
      <c r="BD546" s="125"/>
      <c r="BE546" s="125"/>
      <c r="BF546" s="16"/>
      <c r="BG546" s="125"/>
      <c r="BQ546" s="125"/>
      <c r="BR546" s="16"/>
      <c r="BS546" s="123"/>
      <c r="BT546" s="19"/>
      <c r="BU546" s="139"/>
      <c r="BV546" s="139"/>
      <c r="BW546" s="123"/>
      <c r="BX546" s="123"/>
      <c r="BY546" s="123"/>
      <c r="BZ546" s="123"/>
      <c r="CA546" s="123"/>
      <c r="CB546" s="123"/>
      <c r="CC546" s="6"/>
      <c r="CD546" s="123"/>
      <c r="CE546" s="6"/>
      <c r="CF546" s="123"/>
      <c r="CG546" s="6"/>
      <c r="CH546" s="6"/>
      <c r="CI546" s="6"/>
      <c r="CJ546" s="6"/>
      <c r="CK546" s="123"/>
      <c r="CL546" s="6"/>
      <c r="CM546" s="6"/>
      <c r="CN546" s="6"/>
      <c r="CO546" s="138"/>
      <c r="CP546" s="138"/>
      <c r="CQ546" s="123"/>
      <c r="CR546" s="6"/>
      <c r="CS546" s="6"/>
      <c r="CT546" s="139"/>
      <c r="CU546" s="139"/>
      <c r="CV546" s="76"/>
      <c r="CW546" s="123"/>
      <c r="CX546" s="6"/>
      <c r="DI546" s="125"/>
      <c r="DJ546" s="16"/>
      <c r="DM546" s="16"/>
      <c r="DN546" s="16"/>
      <c r="DO546" s="125"/>
      <c r="DP546" s="16"/>
      <c r="DQ546" s="125"/>
      <c r="DZ546" s="125"/>
      <c r="EA546" s="142"/>
      <c r="EB546" s="125"/>
      <c r="EC546" s="16"/>
      <c r="ED546" s="125"/>
      <c r="EE546" s="125"/>
      <c r="EF546" s="16"/>
      <c r="EG546" s="125"/>
      <c r="EQ546" s="125"/>
      <c r="ER546" s="16"/>
      <c r="ES546" s="123"/>
      <c r="ET546" s="19"/>
      <c r="EU546" s="139"/>
      <c r="EV546" s="139"/>
      <c r="EW546" s="123"/>
      <c r="EX546" s="123"/>
      <c r="EY546" s="123"/>
      <c r="EZ546" s="123"/>
      <c r="FA546" s="123"/>
      <c r="FB546" s="123"/>
      <c r="FC546" s="6"/>
      <c r="FD546" s="123"/>
      <c r="FE546" s="6"/>
      <c r="FF546" s="123"/>
      <c r="FG546" s="6"/>
      <c r="FH546" s="6"/>
      <c r="FI546" s="6"/>
      <c r="FJ546" s="6"/>
      <c r="FK546" s="123"/>
      <c r="FL546" s="6"/>
      <c r="FM546" s="6"/>
      <c r="FN546" s="6"/>
      <c r="FO546" s="138"/>
      <c r="FP546" s="138"/>
      <c r="FQ546" s="123"/>
      <c r="FR546" s="6"/>
      <c r="FS546" s="6"/>
      <c r="FT546" s="139"/>
      <c r="FU546" s="139"/>
      <c r="FV546" s="76"/>
      <c r="FW546" s="123"/>
      <c r="FX546" s="6"/>
    </row>
    <row r="547" spans="35:180">
      <c r="AI547" s="125"/>
      <c r="AJ547" s="16"/>
      <c r="AM547" s="16"/>
      <c r="AN547" s="16"/>
      <c r="AO547" s="125"/>
      <c r="AP547" s="16"/>
      <c r="AQ547" s="125"/>
      <c r="AZ547" s="125"/>
      <c r="BA547" s="142"/>
      <c r="BB547" s="125"/>
      <c r="BC547" s="16"/>
      <c r="BD547" s="125"/>
      <c r="BE547" s="125"/>
      <c r="BF547" s="16"/>
      <c r="BG547" s="125"/>
      <c r="BQ547" s="125"/>
      <c r="BR547" s="16"/>
      <c r="BS547" s="123"/>
      <c r="BT547" s="19"/>
      <c r="BU547" s="139"/>
      <c r="BV547" s="139"/>
      <c r="BW547" s="123"/>
      <c r="BX547" s="123"/>
      <c r="BY547" s="123"/>
      <c r="BZ547" s="123"/>
      <c r="CA547" s="123"/>
      <c r="CB547" s="123"/>
      <c r="CC547" s="6"/>
      <c r="CD547" s="123"/>
      <c r="CE547" s="6"/>
      <c r="CF547" s="123"/>
      <c r="CG547" s="6"/>
      <c r="CH547" s="6"/>
      <c r="CI547" s="6"/>
      <c r="CJ547" s="6"/>
      <c r="CK547" s="123"/>
      <c r="CL547" s="6"/>
      <c r="CM547" s="6"/>
      <c r="CN547" s="6"/>
      <c r="CO547" s="138"/>
      <c r="CP547" s="138"/>
      <c r="CQ547" s="123"/>
      <c r="CR547" s="6"/>
      <c r="CS547" s="6"/>
      <c r="CT547" s="139"/>
      <c r="CU547" s="139"/>
      <c r="CV547" s="76"/>
      <c r="CW547" s="123"/>
      <c r="CX547" s="6"/>
      <c r="DI547" s="125"/>
      <c r="DJ547" s="16"/>
      <c r="DM547" s="16"/>
      <c r="DN547" s="16"/>
      <c r="DO547" s="125"/>
      <c r="DP547" s="16"/>
      <c r="DQ547" s="125"/>
      <c r="DZ547" s="125"/>
      <c r="EA547" s="142"/>
      <c r="EB547" s="125"/>
      <c r="EC547" s="16"/>
      <c r="ED547" s="125"/>
      <c r="EE547" s="125"/>
      <c r="EF547" s="16"/>
      <c r="EG547" s="125"/>
      <c r="EQ547" s="125"/>
      <c r="ER547" s="16"/>
      <c r="ES547" s="123"/>
      <c r="ET547" s="19"/>
      <c r="EU547" s="139"/>
      <c r="EV547" s="139"/>
      <c r="EW547" s="123"/>
      <c r="EX547" s="123"/>
      <c r="EY547" s="123"/>
      <c r="EZ547" s="123"/>
      <c r="FA547" s="123"/>
      <c r="FB547" s="123"/>
      <c r="FC547" s="6"/>
      <c r="FD547" s="123"/>
      <c r="FE547" s="6"/>
      <c r="FF547" s="123"/>
      <c r="FG547" s="6"/>
      <c r="FH547" s="6"/>
      <c r="FI547" s="6"/>
      <c r="FJ547" s="6"/>
      <c r="FK547" s="123"/>
      <c r="FL547" s="6"/>
      <c r="FM547" s="6"/>
      <c r="FN547" s="6"/>
      <c r="FO547" s="138"/>
      <c r="FP547" s="138"/>
      <c r="FQ547" s="123"/>
      <c r="FR547" s="6"/>
      <c r="FS547" s="6"/>
      <c r="FT547" s="139"/>
      <c r="FU547" s="139"/>
      <c r="FV547" s="76"/>
      <c r="FW547" s="123"/>
      <c r="FX547" s="6"/>
    </row>
    <row r="548" spans="35:180">
      <c r="AI548" s="125"/>
      <c r="AJ548" s="16"/>
      <c r="AM548" s="16"/>
      <c r="AN548" s="16"/>
      <c r="AO548" s="125"/>
      <c r="AP548" s="16"/>
      <c r="AQ548" s="125"/>
      <c r="AZ548" s="125"/>
      <c r="BA548" s="142"/>
      <c r="BB548" s="125"/>
      <c r="BC548" s="16"/>
      <c r="BD548" s="125"/>
      <c r="BE548" s="125"/>
      <c r="BF548" s="16"/>
      <c r="BG548" s="125"/>
      <c r="BQ548" s="125"/>
      <c r="BR548" s="16"/>
      <c r="BS548" s="123"/>
      <c r="BT548" s="19"/>
      <c r="BU548" s="139"/>
      <c r="BV548" s="139"/>
      <c r="BW548" s="123"/>
      <c r="BX548" s="123"/>
      <c r="BY548" s="123"/>
      <c r="BZ548" s="123"/>
      <c r="CA548" s="123"/>
      <c r="CB548" s="123"/>
      <c r="CC548" s="6"/>
      <c r="CD548" s="123"/>
      <c r="CE548" s="6"/>
      <c r="CF548" s="123"/>
      <c r="CG548" s="6"/>
      <c r="CH548" s="6"/>
      <c r="CI548" s="6"/>
      <c r="CJ548" s="6"/>
      <c r="CK548" s="123"/>
      <c r="CL548" s="6"/>
      <c r="CM548" s="6"/>
      <c r="CN548" s="6"/>
      <c r="CO548" s="138"/>
      <c r="CP548" s="138"/>
      <c r="CQ548" s="123"/>
      <c r="CR548" s="6"/>
      <c r="CS548" s="6"/>
      <c r="CT548" s="139"/>
      <c r="CU548" s="139"/>
      <c r="CV548" s="76"/>
      <c r="CW548" s="123"/>
      <c r="CX548" s="6"/>
      <c r="DI548" s="125"/>
      <c r="DJ548" s="16"/>
      <c r="DM548" s="16"/>
      <c r="DN548" s="16"/>
      <c r="DO548" s="125"/>
      <c r="DP548" s="16"/>
      <c r="DQ548" s="125"/>
      <c r="DZ548" s="125"/>
      <c r="EA548" s="142"/>
      <c r="EB548" s="125"/>
      <c r="EC548" s="16"/>
      <c r="ED548" s="125"/>
      <c r="EE548" s="125"/>
      <c r="EF548" s="16"/>
      <c r="EG548" s="125"/>
      <c r="EQ548" s="125"/>
      <c r="ER548" s="16"/>
      <c r="ES548" s="123"/>
      <c r="ET548" s="19"/>
      <c r="EU548" s="139"/>
      <c r="EV548" s="139"/>
      <c r="EW548" s="123"/>
      <c r="EX548" s="123"/>
      <c r="EY548" s="123"/>
      <c r="EZ548" s="123"/>
      <c r="FA548" s="123"/>
      <c r="FB548" s="123"/>
      <c r="FC548" s="6"/>
      <c r="FD548" s="123"/>
      <c r="FE548" s="6"/>
      <c r="FF548" s="123"/>
      <c r="FG548" s="6"/>
      <c r="FH548" s="6"/>
      <c r="FI548" s="6"/>
      <c r="FJ548" s="6"/>
      <c r="FK548" s="123"/>
      <c r="FL548" s="6"/>
      <c r="FM548" s="6"/>
      <c r="FN548" s="6"/>
      <c r="FO548" s="138"/>
      <c r="FP548" s="138"/>
      <c r="FQ548" s="123"/>
      <c r="FR548" s="6"/>
      <c r="FS548" s="6"/>
      <c r="FT548" s="139"/>
      <c r="FU548" s="139"/>
      <c r="FV548" s="76"/>
      <c r="FW548" s="123"/>
      <c r="FX548" s="6"/>
    </row>
    <row r="549" spans="35:180">
      <c r="AI549" s="125"/>
      <c r="AJ549" s="16"/>
      <c r="AM549" s="16"/>
      <c r="AN549" s="16"/>
      <c r="AO549" s="125"/>
      <c r="AP549" s="16"/>
      <c r="AQ549" s="125"/>
      <c r="AZ549" s="125"/>
      <c r="BA549" s="142"/>
      <c r="BB549" s="125"/>
      <c r="BC549" s="16"/>
      <c r="BD549" s="125"/>
      <c r="BE549" s="125"/>
      <c r="BF549" s="16"/>
      <c r="BG549" s="125"/>
      <c r="BQ549" s="125"/>
      <c r="BR549" s="16"/>
      <c r="BS549" s="123"/>
      <c r="BT549" s="19"/>
      <c r="BU549" s="139"/>
      <c r="BV549" s="139"/>
      <c r="BW549" s="123"/>
      <c r="BX549" s="123"/>
      <c r="BY549" s="123"/>
      <c r="BZ549" s="123"/>
      <c r="CA549" s="123"/>
      <c r="CB549" s="123"/>
      <c r="CC549" s="6"/>
      <c r="CD549" s="123"/>
      <c r="CE549" s="6"/>
      <c r="CF549" s="123"/>
      <c r="CG549" s="6"/>
      <c r="CH549" s="6"/>
      <c r="CI549" s="6"/>
      <c r="CJ549" s="6"/>
      <c r="CK549" s="123"/>
      <c r="CL549" s="6"/>
      <c r="CM549" s="6"/>
      <c r="CN549" s="6"/>
      <c r="CO549" s="138"/>
      <c r="CP549" s="138"/>
      <c r="CQ549" s="123"/>
      <c r="CR549" s="6"/>
      <c r="CS549" s="6"/>
      <c r="CT549" s="139"/>
      <c r="CU549" s="139"/>
      <c r="CV549" s="76"/>
      <c r="CW549" s="123"/>
      <c r="CX549" s="6"/>
      <c r="DI549" s="125"/>
      <c r="DJ549" s="16"/>
      <c r="DM549" s="16"/>
      <c r="DN549" s="16"/>
      <c r="DO549" s="125"/>
      <c r="DP549" s="16"/>
      <c r="DQ549" s="125"/>
      <c r="DZ549" s="125"/>
      <c r="EA549" s="142"/>
      <c r="EB549" s="125"/>
      <c r="EC549" s="16"/>
      <c r="ED549" s="125"/>
      <c r="EE549" s="125"/>
      <c r="EF549" s="16"/>
      <c r="EG549" s="125"/>
      <c r="EQ549" s="125"/>
      <c r="ER549" s="16"/>
      <c r="ES549" s="123"/>
      <c r="ET549" s="19"/>
      <c r="EU549" s="139"/>
      <c r="EV549" s="139"/>
      <c r="EW549" s="123"/>
      <c r="EX549" s="123"/>
      <c r="EY549" s="123"/>
      <c r="EZ549" s="123"/>
      <c r="FA549" s="123"/>
      <c r="FB549" s="123"/>
      <c r="FC549" s="6"/>
      <c r="FD549" s="123"/>
      <c r="FE549" s="6"/>
      <c r="FF549" s="123"/>
      <c r="FG549" s="6"/>
      <c r="FH549" s="6"/>
      <c r="FI549" s="6"/>
      <c r="FJ549" s="6"/>
      <c r="FK549" s="123"/>
      <c r="FL549" s="6"/>
      <c r="FM549" s="6"/>
      <c r="FN549" s="6"/>
      <c r="FO549" s="138"/>
      <c r="FP549" s="138"/>
      <c r="FQ549" s="123"/>
      <c r="FR549" s="6"/>
      <c r="FS549" s="6"/>
      <c r="FT549" s="139"/>
      <c r="FU549" s="139"/>
      <c r="FV549" s="76"/>
      <c r="FW549" s="123"/>
      <c r="FX549" s="6"/>
    </row>
    <row r="550" spans="35:180">
      <c r="AI550" s="125"/>
      <c r="AJ550" s="16"/>
      <c r="AM550" s="16"/>
      <c r="AN550" s="16"/>
      <c r="AO550" s="125"/>
      <c r="AP550" s="16"/>
      <c r="AQ550" s="125"/>
      <c r="AZ550" s="125"/>
      <c r="BA550" s="142"/>
      <c r="BB550" s="125"/>
      <c r="BC550" s="16"/>
      <c r="BD550" s="125"/>
      <c r="BE550" s="125"/>
      <c r="BF550" s="16"/>
      <c r="BG550" s="125"/>
      <c r="BQ550" s="125"/>
      <c r="BR550" s="16"/>
      <c r="BS550" s="123"/>
      <c r="BT550" s="19"/>
      <c r="BU550" s="139"/>
      <c r="BV550" s="139"/>
      <c r="BW550" s="123"/>
      <c r="BX550" s="123"/>
      <c r="BY550" s="123"/>
      <c r="BZ550" s="123"/>
      <c r="CA550" s="123"/>
      <c r="CB550" s="123"/>
      <c r="CC550" s="6"/>
      <c r="CD550" s="123"/>
      <c r="CE550" s="6"/>
      <c r="CF550" s="123"/>
      <c r="CG550" s="6"/>
      <c r="CH550" s="6"/>
      <c r="CI550" s="6"/>
      <c r="CJ550" s="6"/>
      <c r="CK550" s="123"/>
      <c r="CL550" s="6"/>
      <c r="CM550" s="6"/>
      <c r="CN550" s="6"/>
      <c r="CO550" s="138"/>
      <c r="CP550" s="138"/>
      <c r="CQ550" s="123"/>
      <c r="CR550" s="6"/>
      <c r="CS550" s="6"/>
      <c r="CT550" s="139"/>
      <c r="CU550" s="139"/>
      <c r="CV550" s="76"/>
      <c r="CW550" s="123"/>
      <c r="CX550" s="6"/>
      <c r="DI550" s="125"/>
      <c r="DJ550" s="16"/>
      <c r="DM550" s="16"/>
      <c r="DN550" s="16"/>
      <c r="DO550" s="125"/>
      <c r="DP550" s="16"/>
      <c r="DQ550" s="125"/>
      <c r="DZ550" s="125"/>
      <c r="EA550" s="142"/>
      <c r="EB550" s="125"/>
      <c r="EC550" s="16"/>
      <c r="ED550" s="125"/>
      <c r="EE550" s="125"/>
      <c r="EF550" s="16"/>
      <c r="EG550" s="125"/>
      <c r="EQ550" s="125"/>
      <c r="ER550" s="16"/>
      <c r="ES550" s="123"/>
      <c r="ET550" s="19"/>
      <c r="EU550" s="139"/>
      <c r="EV550" s="139"/>
      <c r="EW550" s="123"/>
      <c r="EX550" s="123"/>
      <c r="EY550" s="123"/>
      <c r="EZ550" s="123"/>
      <c r="FA550" s="123"/>
      <c r="FB550" s="123"/>
      <c r="FC550" s="6"/>
      <c r="FD550" s="123"/>
      <c r="FE550" s="6"/>
      <c r="FF550" s="123"/>
      <c r="FG550" s="6"/>
      <c r="FH550" s="6"/>
      <c r="FI550" s="6"/>
      <c r="FJ550" s="6"/>
      <c r="FK550" s="123"/>
      <c r="FL550" s="6"/>
      <c r="FM550" s="6"/>
      <c r="FN550" s="6"/>
      <c r="FO550" s="138"/>
      <c r="FP550" s="138"/>
      <c r="FQ550" s="123"/>
      <c r="FR550" s="6"/>
      <c r="FS550" s="6"/>
      <c r="FT550" s="139"/>
      <c r="FU550" s="139"/>
      <c r="FV550" s="76"/>
      <c r="FW550" s="123"/>
      <c r="FX550" s="6"/>
    </row>
    <row r="551" spans="35:180">
      <c r="AI551" s="125"/>
      <c r="AJ551" s="16"/>
      <c r="AM551" s="16"/>
      <c r="AN551" s="16"/>
      <c r="AO551" s="125"/>
      <c r="AP551" s="16"/>
      <c r="AQ551" s="125"/>
      <c r="AZ551" s="125"/>
      <c r="BA551" s="142"/>
      <c r="BB551" s="125"/>
      <c r="BC551" s="16"/>
      <c r="BD551" s="125"/>
      <c r="BE551" s="125"/>
      <c r="BF551" s="16"/>
      <c r="BG551" s="125"/>
      <c r="BQ551" s="125"/>
      <c r="BR551" s="16"/>
      <c r="BS551" s="123"/>
      <c r="BT551" s="19"/>
      <c r="BU551" s="139"/>
      <c r="BV551" s="139"/>
      <c r="BW551" s="123"/>
      <c r="BX551" s="123"/>
      <c r="BY551" s="123"/>
      <c r="BZ551" s="123"/>
      <c r="CA551" s="123"/>
      <c r="CB551" s="123"/>
      <c r="CC551" s="6"/>
      <c r="CD551" s="123"/>
      <c r="CE551" s="6"/>
      <c r="CF551" s="123"/>
      <c r="CG551" s="6"/>
      <c r="CH551" s="6"/>
      <c r="CI551" s="6"/>
      <c r="CJ551" s="6"/>
      <c r="CK551" s="123"/>
      <c r="CL551" s="6"/>
      <c r="CM551" s="6"/>
      <c r="CN551" s="6"/>
      <c r="CO551" s="138"/>
      <c r="CP551" s="138"/>
      <c r="CQ551" s="123"/>
      <c r="CR551" s="6"/>
      <c r="CS551" s="6"/>
      <c r="CT551" s="139"/>
      <c r="CU551" s="139"/>
      <c r="CV551" s="76"/>
      <c r="CW551" s="123"/>
      <c r="CX551" s="6"/>
      <c r="DI551" s="125"/>
      <c r="DJ551" s="16"/>
      <c r="DM551" s="16"/>
      <c r="DN551" s="16"/>
      <c r="DO551" s="125"/>
      <c r="DP551" s="16"/>
      <c r="DQ551" s="125"/>
      <c r="DZ551" s="125"/>
      <c r="EA551" s="142"/>
      <c r="EB551" s="125"/>
      <c r="EC551" s="16"/>
      <c r="ED551" s="125"/>
      <c r="EE551" s="125"/>
      <c r="EF551" s="16"/>
      <c r="EG551" s="125"/>
      <c r="EQ551" s="125"/>
      <c r="ER551" s="16"/>
      <c r="ES551" s="123"/>
      <c r="ET551" s="19"/>
      <c r="EU551" s="139"/>
      <c r="EV551" s="139"/>
      <c r="EW551" s="123"/>
      <c r="EX551" s="123"/>
      <c r="EY551" s="123"/>
      <c r="EZ551" s="123"/>
      <c r="FA551" s="123"/>
      <c r="FB551" s="123"/>
      <c r="FC551" s="6"/>
      <c r="FD551" s="123"/>
      <c r="FE551" s="6"/>
      <c r="FF551" s="123"/>
      <c r="FG551" s="6"/>
      <c r="FH551" s="6"/>
      <c r="FI551" s="6"/>
      <c r="FJ551" s="6"/>
      <c r="FK551" s="123"/>
      <c r="FL551" s="6"/>
      <c r="FM551" s="6"/>
      <c r="FN551" s="6"/>
      <c r="FO551" s="138"/>
      <c r="FP551" s="138"/>
      <c r="FQ551" s="123"/>
      <c r="FR551" s="6"/>
      <c r="FS551" s="6"/>
      <c r="FT551" s="139"/>
      <c r="FU551" s="139"/>
      <c r="FV551" s="76"/>
      <c r="FW551" s="123"/>
      <c r="FX551" s="6"/>
    </row>
    <row r="552" spans="35:180">
      <c r="AI552" s="125"/>
      <c r="AJ552" s="16"/>
      <c r="AM552" s="16"/>
      <c r="AN552" s="16"/>
      <c r="AO552" s="125"/>
      <c r="AP552" s="16"/>
      <c r="AQ552" s="125"/>
      <c r="AZ552" s="125"/>
      <c r="BA552" s="142"/>
      <c r="BB552" s="125"/>
      <c r="BC552" s="16"/>
      <c r="BD552" s="125"/>
      <c r="BE552" s="125"/>
      <c r="BF552" s="16"/>
      <c r="BG552" s="125"/>
      <c r="BQ552" s="125"/>
      <c r="BR552" s="16"/>
      <c r="BS552" s="123"/>
      <c r="BT552" s="19"/>
      <c r="BU552" s="139"/>
      <c r="BV552" s="139"/>
      <c r="BW552" s="123"/>
      <c r="BX552" s="123"/>
      <c r="BY552" s="123"/>
      <c r="BZ552" s="123"/>
      <c r="CA552" s="123"/>
      <c r="CB552" s="123"/>
      <c r="CC552" s="6"/>
      <c r="CD552" s="123"/>
      <c r="CE552" s="6"/>
      <c r="CF552" s="123"/>
      <c r="CG552" s="6"/>
      <c r="CH552" s="6"/>
      <c r="CI552" s="6"/>
      <c r="CJ552" s="6"/>
      <c r="CK552" s="123"/>
      <c r="CL552" s="6"/>
      <c r="CM552" s="6"/>
      <c r="CN552" s="6"/>
      <c r="CO552" s="138"/>
      <c r="CP552" s="138"/>
      <c r="CQ552" s="123"/>
      <c r="CR552" s="6"/>
      <c r="CS552" s="6"/>
      <c r="CT552" s="139"/>
      <c r="CU552" s="139"/>
      <c r="CV552" s="76"/>
      <c r="CW552" s="123"/>
      <c r="CX552" s="6"/>
      <c r="DI552" s="125"/>
      <c r="DJ552" s="16"/>
      <c r="DM552" s="16"/>
      <c r="DN552" s="16"/>
      <c r="DO552" s="125"/>
      <c r="DP552" s="16"/>
      <c r="DQ552" s="125"/>
      <c r="DZ552" s="125"/>
      <c r="EA552" s="142"/>
      <c r="EB552" s="125"/>
      <c r="EC552" s="16"/>
      <c r="ED552" s="125"/>
      <c r="EE552" s="125"/>
      <c r="EF552" s="16"/>
      <c r="EG552" s="125"/>
      <c r="EQ552" s="125"/>
      <c r="ER552" s="16"/>
      <c r="ES552" s="123"/>
      <c r="ET552" s="19"/>
      <c r="EU552" s="139"/>
      <c r="EV552" s="139"/>
      <c r="EW552" s="123"/>
      <c r="EX552" s="123"/>
      <c r="EY552" s="123"/>
      <c r="EZ552" s="123"/>
      <c r="FA552" s="123"/>
      <c r="FB552" s="123"/>
      <c r="FC552" s="6"/>
      <c r="FD552" s="123"/>
      <c r="FE552" s="6"/>
      <c r="FF552" s="123"/>
      <c r="FG552" s="6"/>
      <c r="FH552" s="6"/>
      <c r="FI552" s="6"/>
      <c r="FJ552" s="6"/>
      <c r="FK552" s="123"/>
      <c r="FL552" s="6"/>
      <c r="FM552" s="6"/>
      <c r="FN552" s="6"/>
      <c r="FO552" s="138"/>
      <c r="FP552" s="138"/>
      <c r="FQ552" s="123"/>
      <c r="FR552" s="6"/>
      <c r="FS552" s="6"/>
      <c r="FT552" s="139"/>
      <c r="FU552" s="139"/>
      <c r="FV552" s="76"/>
      <c r="FW552" s="123"/>
      <c r="FX552" s="6"/>
    </row>
    <row r="553" spans="35:180">
      <c r="AI553" s="125"/>
      <c r="AJ553" s="16"/>
      <c r="AM553" s="16"/>
      <c r="AN553" s="16"/>
      <c r="AO553" s="125"/>
      <c r="AP553" s="16"/>
      <c r="AQ553" s="125"/>
      <c r="AZ553" s="125"/>
      <c r="BA553" s="142"/>
      <c r="BB553" s="125"/>
      <c r="BC553" s="16"/>
      <c r="BD553" s="125"/>
      <c r="BE553" s="125"/>
      <c r="BF553" s="16"/>
      <c r="BG553" s="125"/>
      <c r="BQ553" s="125"/>
      <c r="BR553" s="16"/>
      <c r="BS553" s="123"/>
      <c r="BT553" s="19"/>
      <c r="BU553" s="139"/>
      <c r="BV553" s="139"/>
      <c r="BW553" s="123"/>
      <c r="BX553" s="123"/>
      <c r="BY553" s="123"/>
      <c r="BZ553" s="123"/>
      <c r="CA553" s="123"/>
      <c r="CB553" s="123"/>
      <c r="CC553" s="6"/>
      <c r="CD553" s="123"/>
      <c r="CE553" s="6"/>
      <c r="CF553" s="123"/>
      <c r="CG553" s="6"/>
      <c r="CH553" s="6"/>
      <c r="CI553" s="6"/>
      <c r="CJ553" s="6"/>
      <c r="CK553" s="123"/>
      <c r="CL553" s="6"/>
      <c r="CM553" s="6"/>
      <c r="CN553" s="6"/>
      <c r="CO553" s="138"/>
      <c r="CP553" s="138"/>
      <c r="CQ553" s="123"/>
      <c r="CR553" s="6"/>
      <c r="CS553" s="6"/>
      <c r="CT553" s="139"/>
      <c r="CU553" s="139"/>
      <c r="CV553" s="76"/>
      <c r="CW553" s="123"/>
      <c r="CX553" s="6"/>
      <c r="DI553" s="125"/>
      <c r="DJ553" s="16"/>
      <c r="DM553" s="16"/>
      <c r="DN553" s="16"/>
      <c r="DO553" s="125"/>
      <c r="DP553" s="16"/>
      <c r="DQ553" s="125"/>
      <c r="DZ553" s="125"/>
      <c r="EA553" s="142"/>
      <c r="EB553" s="125"/>
      <c r="EC553" s="16"/>
      <c r="ED553" s="125"/>
      <c r="EE553" s="125"/>
      <c r="EF553" s="16"/>
      <c r="EG553" s="125"/>
      <c r="EQ553" s="125"/>
      <c r="ER553" s="16"/>
      <c r="ES553" s="123"/>
      <c r="ET553" s="19"/>
      <c r="EU553" s="139"/>
      <c r="EV553" s="139"/>
      <c r="EW553" s="123"/>
      <c r="EX553" s="123"/>
      <c r="EY553" s="123"/>
      <c r="EZ553" s="123"/>
      <c r="FA553" s="123"/>
      <c r="FB553" s="123"/>
      <c r="FC553" s="6"/>
      <c r="FD553" s="123"/>
      <c r="FE553" s="6"/>
      <c r="FF553" s="123"/>
      <c r="FG553" s="6"/>
      <c r="FH553" s="6"/>
      <c r="FI553" s="6"/>
      <c r="FJ553" s="6"/>
      <c r="FK553" s="123"/>
      <c r="FL553" s="6"/>
      <c r="FM553" s="6"/>
      <c r="FN553" s="6"/>
      <c r="FO553" s="138"/>
      <c r="FP553" s="138"/>
      <c r="FQ553" s="123"/>
      <c r="FR553" s="6"/>
      <c r="FS553" s="6"/>
      <c r="FT553" s="139"/>
      <c r="FU553" s="139"/>
      <c r="FV553" s="76"/>
      <c r="FW553" s="123"/>
      <c r="FX553" s="6"/>
    </row>
    <row r="554" spans="35:180">
      <c r="AI554" s="125"/>
      <c r="AJ554" s="16"/>
      <c r="AM554" s="16"/>
      <c r="AN554" s="16"/>
      <c r="AO554" s="125"/>
      <c r="AP554" s="16"/>
      <c r="AQ554" s="125"/>
      <c r="AZ554" s="125"/>
      <c r="BA554" s="142"/>
      <c r="BB554" s="125"/>
      <c r="BC554" s="16"/>
      <c r="BD554" s="125"/>
      <c r="BE554" s="125"/>
      <c r="BF554" s="16"/>
      <c r="BG554" s="125"/>
      <c r="BQ554" s="125"/>
      <c r="BR554" s="16"/>
      <c r="BS554" s="123"/>
      <c r="BT554" s="19"/>
      <c r="BU554" s="139"/>
      <c r="BV554" s="139"/>
      <c r="BW554" s="123"/>
      <c r="BX554" s="123"/>
      <c r="BY554" s="123"/>
      <c r="BZ554" s="123"/>
      <c r="CA554" s="123"/>
      <c r="CB554" s="123"/>
      <c r="CC554" s="6"/>
      <c r="CD554" s="123"/>
      <c r="CE554" s="6"/>
      <c r="CF554" s="123"/>
      <c r="CG554" s="6"/>
      <c r="CH554" s="6"/>
      <c r="CI554" s="6"/>
      <c r="CJ554" s="6"/>
      <c r="CK554" s="123"/>
      <c r="CL554" s="6"/>
      <c r="CM554" s="6"/>
      <c r="CN554" s="6"/>
      <c r="CO554" s="138"/>
      <c r="CP554" s="138"/>
      <c r="CQ554" s="123"/>
      <c r="CR554" s="6"/>
      <c r="CS554" s="6"/>
      <c r="CT554" s="139"/>
      <c r="CU554" s="139"/>
      <c r="CV554" s="76"/>
      <c r="CW554" s="123"/>
      <c r="CX554" s="6"/>
      <c r="DI554" s="125"/>
      <c r="DJ554" s="16"/>
      <c r="DM554" s="16"/>
      <c r="DN554" s="16"/>
      <c r="DO554" s="125"/>
      <c r="DP554" s="16"/>
      <c r="DQ554" s="125"/>
      <c r="DZ554" s="125"/>
      <c r="EA554" s="142"/>
      <c r="EB554" s="125"/>
      <c r="EC554" s="16"/>
      <c r="ED554" s="125"/>
      <c r="EE554" s="125"/>
      <c r="EF554" s="16"/>
      <c r="EG554" s="125"/>
      <c r="EQ554" s="125"/>
      <c r="ER554" s="16"/>
      <c r="ES554" s="123"/>
      <c r="ET554" s="19"/>
      <c r="EU554" s="139"/>
      <c r="EV554" s="139"/>
      <c r="EW554" s="123"/>
      <c r="EX554" s="123"/>
      <c r="EY554" s="123"/>
      <c r="EZ554" s="123"/>
      <c r="FA554" s="123"/>
      <c r="FB554" s="123"/>
      <c r="FC554" s="6"/>
      <c r="FD554" s="123"/>
      <c r="FE554" s="6"/>
      <c r="FF554" s="123"/>
      <c r="FG554" s="6"/>
      <c r="FH554" s="6"/>
      <c r="FI554" s="6"/>
      <c r="FJ554" s="6"/>
      <c r="FK554" s="123"/>
      <c r="FL554" s="6"/>
      <c r="FM554" s="6"/>
      <c r="FN554" s="6"/>
      <c r="FO554" s="138"/>
      <c r="FP554" s="138"/>
      <c r="FQ554" s="123"/>
      <c r="FR554" s="6"/>
      <c r="FS554" s="6"/>
      <c r="FT554" s="139"/>
      <c r="FU554" s="139"/>
      <c r="FV554" s="76"/>
      <c r="FW554" s="123"/>
      <c r="FX554" s="6"/>
    </row>
    <row r="555" spans="35:180">
      <c r="AI555" s="125"/>
      <c r="AJ555" s="16"/>
      <c r="AM555" s="16"/>
      <c r="AN555" s="16"/>
      <c r="AO555" s="125"/>
      <c r="AP555" s="16"/>
      <c r="AQ555" s="125"/>
      <c r="AZ555" s="125"/>
      <c r="BA555" s="142"/>
      <c r="BB555" s="125"/>
      <c r="BC555" s="16"/>
      <c r="BD555" s="125"/>
      <c r="BE555" s="125"/>
      <c r="BF555" s="16"/>
      <c r="BG555" s="125"/>
      <c r="BQ555" s="125"/>
      <c r="BR555" s="16"/>
      <c r="BS555" s="123"/>
      <c r="BT555" s="19"/>
      <c r="BU555" s="139"/>
      <c r="BV555" s="139"/>
      <c r="BW555" s="123"/>
      <c r="BX555" s="123"/>
      <c r="BY555" s="123"/>
      <c r="BZ555" s="123"/>
      <c r="CA555" s="123"/>
      <c r="CB555" s="123"/>
      <c r="CC555" s="6"/>
      <c r="CD555" s="123"/>
      <c r="CE555" s="6"/>
      <c r="CF555" s="123"/>
      <c r="CG555" s="6"/>
      <c r="CH555" s="6"/>
      <c r="CI555" s="6"/>
      <c r="CJ555" s="6"/>
      <c r="CK555" s="123"/>
      <c r="CL555" s="6"/>
      <c r="CM555" s="6"/>
      <c r="CN555" s="6"/>
      <c r="CO555" s="138"/>
      <c r="CP555" s="138"/>
      <c r="CQ555" s="123"/>
      <c r="CR555" s="6"/>
      <c r="CS555" s="6"/>
      <c r="CT555" s="139"/>
      <c r="CU555" s="139"/>
      <c r="CV555" s="76"/>
      <c r="CW555" s="123"/>
      <c r="CX555" s="6"/>
      <c r="DI555" s="125"/>
      <c r="DJ555" s="16"/>
      <c r="DM555" s="16"/>
      <c r="DN555" s="16"/>
      <c r="DO555" s="125"/>
      <c r="DP555" s="16"/>
      <c r="DQ555" s="125"/>
      <c r="DZ555" s="125"/>
      <c r="EA555" s="142"/>
      <c r="EB555" s="125"/>
      <c r="EC555" s="16"/>
      <c r="ED555" s="125"/>
      <c r="EE555" s="125"/>
      <c r="EF555" s="16"/>
      <c r="EG555" s="125"/>
      <c r="EQ555" s="125"/>
      <c r="ER555" s="16"/>
      <c r="ES555" s="123"/>
      <c r="ET555" s="19"/>
      <c r="EU555" s="139"/>
      <c r="EV555" s="139"/>
      <c r="EW555" s="123"/>
      <c r="EX555" s="123"/>
      <c r="EY555" s="123"/>
      <c r="EZ555" s="123"/>
      <c r="FA555" s="123"/>
      <c r="FB555" s="123"/>
      <c r="FC555" s="6"/>
      <c r="FD555" s="123"/>
      <c r="FE555" s="6"/>
      <c r="FF555" s="123"/>
      <c r="FG555" s="6"/>
      <c r="FH555" s="6"/>
      <c r="FI555" s="6"/>
      <c r="FJ555" s="6"/>
      <c r="FK555" s="123"/>
      <c r="FL555" s="6"/>
      <c r="FM555" s="6"/>
      <c r="FN555" s="6"/>
      <c r="FO555" s="138"/>
      <c r="FP555" s="138"/>
      <c r="FQ555" s="123"/>
      <c r="FR555" s="6"/>
      <c r="FS555" s="6"/>
      <c r="FT555" s="139"/>
      <c r="FU555" s="139"/>
      <c r="FV555" s="76"/>
      <c r="FW555" s="123"/>
      <c r="FX555" s="6"/>
    </row>
    <row r="556" spans="35:180">
      <c r="AI556" s="125"/>
      <c r="AJ556" s="16"/>
      <c r="AM556" s="16"/>
      <c r="AN556" s="16"/>
      <c r="AO556" s="125"/>
      <c r="AP556" s="16"/>
      <c r="AQ556" s="125"/>
      <c r="AZ556" s="125"/>
      <c r="BA556" s="142"/>
      <c r="BB556" s="125"/>
      <c r="BC556" s="16"/>
      <c r="BD556" s="125"/>
      <c r="BE556" s="125"/>
      <c r="BF556" s="16"/>
      <c r="BG556" s="125"/>
      <c r="BQ556" s="125"/>
      <c r="BR556" s="16"/>
      <c r="BS556" s="123"/>
      <c r="BT556" s="19"/>
      <c r="BU556" s="139"/>
      <c r="BV556" s="139"/>
      <c r="BW556" s="123"/>
      <c r="BX556" s="123"/>
      <c r="BY556" s="123"/>
      <c r="BZ556" s="123"/>
      <c r="CA556" s="123"/>
      <c r="CB556" s="123"/>
      <c r="CC556" s="6"/>
      <c r="CD556" s="123"/>
      <c r="CE556" s="6"/>
      <c r="CF556" s="123"/>
      <c r="CG556" s="6"/>
      <c r="CH556" s="6"/>
      <c r="CI556" s="6"/>
      <c r="CJ556" s="6"/>
      <c r="CK556" s="123"/>
      <c r="CL556" s="6"/>
      <c r="CM556" s="6"/>
      <c r="CN556" s="6"/>
      <c r="CO556" s="138"/>
      <c r="CP556" s="138"/>
      <c r="CQ556" s="123"/>
      <c r="CR556" s="6"/>
      <c r="CS556" s="6"/>
      <c r="CT556" s="139"/>
      <c r="CU556" s="139"/>
      <c r="CV556" s="76"/>
      <c r="CW556" s="123"/>
      <c r="CX556" s="6"/>
      <c r="DI556" s="125"/>
      <c r="DJ556" s="16"/>
      <c r="DM556" s="16"/>
      <c r="DN556" s="16"/>
      <c r="DO556" s="125"/>
      <c r="DP556" s="16"/>
      <c r="DQ556" s="125"/>
      <c r="DZ556" s="125"/>
      <c r="EA556" s="142"/>
      <c r="EB556" s="125"/>
      <c r="EC556" s="16"/>
      <c r="ED556" s="125"/>
      <c r="EE556" s="125"/>
      <c r="EF556" s="16"/>
      <c r="EG556" s="125"/>
      <c r="EQ556" s="125"/>
      <c r="ER556" s="16"/>
      <c r="ES556" s="123"/>
      <c r="ET556" s="19"/>
      <c r="EU556" s="139"/>
      <c r="EV556" s="139"/>
      <c r="EW556" s="123"/>
      <c r="EX556" s="123"/>
      <c r="EY556" s="123"/>
      <c r="EZ556" s="123"/>
      <c r="FA556" s="123"/>
      <c r="FB556" s="123"/>
      <c r="FC556" s="6"/>
      <c r="FD556" s="123"/>
      <c r="FE556" s="6"/>
      <c r="FF556" s="123"/>
      <c r="FG556" s="6"/>
      <c r="FH556" s="6"/>
      <c r="FI556" s="6"/>
      <c r="FJ556" s="6"/>
      <c r="FK556" s="123"/>
      <c r="FL556" s="6"/>
      <c r="FM556" s="6"/>
      <c r="FN556" s="6"/>
      <c r="FO556" s="138"/>
      <c r="FP556" s="138"/>
      <c r="FQ556" s="123"/>
      <c r="FR556" s="6"/>
      <c r="FS556" s="6"/>
      <c r="FT556" s="139"/>
      <c r="FU556" s="139"/>
      <c r="FV556" s="76"/>
      <c r="FW556" s="123"/>
      <c r="FX556" s="6"/>
    </row>
    <row r="557" spans="35:180">
      <c r="AI557" s="125"/>
      <c r="AJ557" s="16"/>
      <c r="AM557" s="16"/>
      <c r="AN557" s="16"/>
      <c r="AO557" s="125"/>
      <c r="AP557" s="16"/>
      <c r="AQ557" s="125"/>
      <c r="AZ557" s="125"/>
      <c r="BA557" s="142"/>
      <c r="BB557" s="125"/>
      <c r="BC557" s="16"/>
      <c r="BD557" s="125"/>
      <c r="BE557" s="125"/>
      <c r="BF557" s="16"/>
      <c r="BG557" s="125"/>
      <c r="BQ557" s="125"/>
      <c r="BR557" s="16"/>
      <c r="BS557" s="123"/>
      <c r="BT557" s="19"/>
      <c r="BU557" s="139"/>
      <c r="BV557" s="139"/>
      <c r="BW557" s="123"/>
      <c r="BX557" s="123"/>
      <c r="BY557" s="123"/>
      <c r="BZ557" s="123"/>
      <c r="CA557" s="123"/>
      <c r="CB557" s="123"/>
      <c r="CC557" s="6"/>
      <c r="CD557" s="123"/>
      <c r="CE557" s="6"/>
      <c r="CF557" s="123"/>
      <c r="CG557" s="6"/>
      <c r="CH557" s="6"/>
      <c r="CI557" s="6"/>
      <c r="CJ557" s="6"/>
      <c r="CK557" s="123"/>
      <c r="CL557" s="6"/>
      <c r="CM557" s="6"/>
      <c r="CN557" s="6"/>
      <c r="CO557" s="138"/>
      <c r="CP557" s="138"/>
      <c r="CQ557" s="123"/>
      <c r="CR557" s="6"/>
      <c r="CS557" s="6"/>
      <c r="CT557" s="139"/>
      <c r="CU557" s="139"/>
      <c r="CV557" s="76"/>
      <c r="CW557" s="123"/>
      <c r="CX557" s="6"/>
      <c r="DI557" s="125"/>
      <c r="DJ557" s="16"/>
      <c r="DM557" s="16"/>
      <c r="DN557" s="16"/>
      <c r="DO557" s="125"/>
      <c r="DP557" s="16"/>
      <c r="DQ557" s="125"/>
      <c r="DZ557" s="125"/>
      <c r="EA557" s="142"/>
      <c r="EB557" s="125"/>
      <c r="EC557" s="16"/>
      <c r="ED557" s="125"/>
      <c r="EE557" s="125"/>
      <c r="EF557" s="16"/>
      <c r="EG557" s="125"/>
      <c r="EQ557" s="125"/>
      <c r="ER557" s="16"/>
      <c r="ES557" s="123"/>
      <c r="ET557" s="19"/>
      <c r="EU557" s="139"/>
      <c r="EV557" s="139"/>
      <c r="EW557" s="123"/>
      <c r="EX557" s="123"/>
      <c r="EY557" s="123"/>
      <c r="EZ557" s="123"/>
      <c r="FA557" s="123"/>
      <c r="FB557" s="123"/>
      <c r="FC557" s="6"/>
      <c r="FD557" s="123"/>
      <c r="FE557" s="6"/>
      <c r="FF557" s="123"/>
      <c r="FG557" s="6"/>
      <c r="FH557" s="6"/>
      <c r="FI557" s="6"/>
      <c r="FJ557" s="6"/>
      <c r="FK557" s="123"/>
      <c r="FL557" s="6"/>
      <c r="FM557" s="6"/>
      <c r="FN557" s="6"/>
      <c r="FO557" s="138"/>
      <c r="FP557" s="138"/>
      <c r="FQ557" s="123"/>
      <c r="FR557" s="6"/>
      <c r="FS557" s="6"/>
      <c r="FT557" s="139"/>
      <c r="FU557" s="139"/>
      <c r="FV557" s="76"/>
      <c r="FW557" s="123"/>
      <c r="FX557" s="6"/>
    </row>
    <row r="558" spans="35:180">
      <c r="AI558" s="125"/>
      <c r="AJ558" s="16"/>
      <c r="AM558" s="16"/>
      <c r="AN558" s="16"/>
      <c r="AO558" s="125"/>
      <c r="AP558" s="16"/>
      <c r="AQ558" s="125"/>
      <c r="AZ558" s="125"/>
      <c r="BA558" s="142"/>
      <c r="BB558" s="125"/>
      <c r="BC558" s="16"/>
      <c r="BD558" s="125"/>
      <c r="BE558" s="125"/>
      <c r="BF558" s="16"/>
      <c r="BG558" s="125"/>
      <c r="BQ558" s="125"/>
      <c r="BR558" s="16"/>
      <c r="BS558" s="123"/>
      <c r="BT558" s="19"/>
      <c r="BU558" s="139"/>
      <c r="BV558" s="139"/>
      <c r="BW558" s="123"/>
      <c r="BX558" s="123"/>
      <c r="BY558" s="123"/>
      <c r="BZ558" s="123"/>
      <c r="CA558" s="123"/>
      <c r="CB558" s="123"/>
      <c r="CC558" s="6"/>
      <c r="CD558" s="123"/>
      <c r="CE558" s="6"/>
      <c r="CF558" s="123"/>
      <c r="CG558" s="6"/>
      <c r="CH558" s="6"/>
      <c r="CI558" s="6"/>
      <c r="CJ558" s="6"/>
      <c r="CK558" s="123"/>
      <c r="CL558" s="6"/>
      <c r="CM558" s="6"/>
      <c r="CN558" s="6"/>
      <c r="CO558" s="138"/>
      <c r="CP558" s="138"/>
      <c r="CQ558" s="123"/>
      <c r="CR558" s="6"/>
      <c r="CS558" s="6"/>
      <c r="CT558" s="139"/>
      <c r="CU558" s="139"/>
      <c r="CV558" s="76"/>
      <c r="CW558" s="123"/>
      <c r="CX558" s="6"/>
      <c r="DI558" s="125"/>
      <c r="DJ558" s="16"/>
      <c r="DM558" s="16"/>
      <c r="DN558" s="16"/>
      <c r="DO558" s="125"/>
      <c r="DP558" s="16"/>
      <c r="DQ558" s="125"/>
      <c r="DZ558" s="125"/>
      <c r="EA558" s="142"/>
      <c r="EB558" s="125"/>
      <c r="EC558" s="16"/>
      <c r="ED558" s="125"/>
      <c r="EE558" s="125"/>
      <c r="EF558" s="16"/>
      <c r="EG558" s="125"/>
      <c r="EQ558" s="125"/>
      <c r="ER558" s="16"/>
      <c r="ES558" s="123"/>
      <c r="ET558" s="19"/>
      <c r="EU558" s="139"/>
      <c r="EV558" s="139"/>
      <c r="EW558" s="123"/>
      <c r="EX558" s="123"/>
      <c r="EY558" s="123"/>
      <c r="EZ558" s="123"/>
      <c r="FA558" s="123"/>
      <c r="FB558" s="123"/>
      <c r="FC558" s="6"/>
      <c r="FD558" s="123"/>
      <c r="FE558" s="6"/>
      <c r="FF558" s="123"/>
      <c r="FG558" s="6"/>
      <c r="FH558" s="6"/>
      <c r="FI558" s="6"/>
      <c r="FJ558" s="6"/>
      <c r="FK558" s="123"/>
      <c r="FL558" s="6"/>
      <c r="FM558" s="6"/>
      <c r="FN558" s="6"/>
      <c r="FO558" s="138"/>
      <c r="FP558" s="138"/>
      <c r="FQ558" s="123"/>
      <c r="FR558" s="6"/>
      <c r="FS558" s="6"/>
      <c r="FT558" s="139"/>
      <c r="FU558" s="139"/>
      <c r="FV558" s="76"/>
      <c r="FW558" s="123"/>
      <c r="FX558" s="6"/>
    </row>
    <row r="559" spans="35:180">
      <c r="AI559" s="125"/>
      <c r="AJ559" s="16"/>
      <c r="AM559" s="16"/>
      <c r="AN559" s="16"/>
      <c r="AO559" s="125"/>
      <c r="AP559" s="16"/>
      <c r="AQ559" s="125"/>
      <c r="AZ559" s="125"/>
      <c r="BA559" s="142"/>
      <c r="BB559" s="125"/>
      <c r="BC559" s="16"/>
      <c r="BD559" s="125"/>
      <c r="BE559" s="125"/>
      <c r="BF559" s="16"/>
      <c r="BG559" s="125"/>
      <c r="BQ559" s="125"/>
      <c r="BR559" s="16"/>
      <c r="BS559" s="123"/>
      <c r="BT559" s="19"/>
      <c r="BU559" s="139"/>
      <c r="BV559" s="139"/>
      <c r="BW559" s="123"/>
      <c r="BX559" s="123"/>
      <c r="BY559" s="123"/>
      <c r="BZ559" s="123"/>
      <c r="CA559" s="123"/>
      <c r="CB559" s="123"/>
      <c r="CC559" s="6"/>
      <c r="CD559" s="123"/>
      <c r="CE559" s="6"/>
      <c r="CF559" s="123"/>
      <c r="CG559" s="6"/>
      <c r="CH559" s="6"/>
      <c r="CI559" s="6"/>
      <c r="CJ559" s="6"/>
      <c r="CK559" s="123"/>
      <c r="CL559" s="6"/>
      <c r="CM559" s="6"/>
      <c r="CN559" s="6"/>
      <c r="CO559" s="138"/>
      <c r="CP559" s="138"/>
      <c r="CQ559" s="123"/>
      <c r="CR559" s="6"/>
      <c r="CS559" s="6"/>
      <c r="CT559" s="139"/>
      <c r="CU559" s="139"/>
      <c r="CV559" s="76"/>
      <c r="CW559" s="123"/>
      <c r="CX559" s="6"/>
      <c r="DI559" s="125"/>
      <c r="DJ559" s="16"/>
      <c r="DM559" s="16"/>
      <c r="DN559" s="16"/>
      <c r="DO559" s="125"/>
      <c r="DP559" s="16"/>
      <c r="DQ559" s="125"/>
      <c r="DZ559" s="125"/>
      <c r="EA559" s="142"/>
      <c r="EB559" s="125"/>
      <c r="EC559" s="16"/>
      <c r="ED559" s="125"/>
      <c r="EE559" s="125"/>
      <c r="EF559" s="16"/>
      <c r="EG559" s="125"/>
      <c r="EQ559" s="125"/>
      <c r="ER559" s="16"/>
      <c r="ES559" s="123"/>
      <c r="ET559" s="19"/>
      <c r="EU559" s="139"/>
      <c r="EV559" s="139"/>
      <c r="EW559" s="123"/>
      <c r="EX559" s="123"/>
      <c r="EY559" s="123"/>
      <c r="EZ559" s="123"/>
      <c r="FA559" s="123"/>
      <c r="FB559" s="123"/>
      <c r="FC559" s="6"/>
      <c r="FD559" s="123"/>
      <c r="FE559" s="6"/>
      <c r="FF559" s="123"/>
      <c r="FG559" s="6"/>
      <c r="FH559" s="6"/>
      <c r="FI559" s="6"/>
      <c r="FJ559" s="6"/>
      <c r="FK559" s="123"/>
      <c r="FL559" s="6"/>
      <c r="FM559" s="6"/>
      <c r="FN559" s="6"/>
      <c r="FO559" s="138"/>
      <c r="FP559" s="138"/>
      <c r="FQ559" s="123"/>
      <c r="FR559" s="6"/>
      <c r="FS559" s="6"/>
      <c r="FT559" s="139"/>
      <c r="FU559" s="139"/>
      <c r="FV559" s="76"/>
      <c r="FW559" s="123"/>
      <c r="FX559" s="6"/>
    </row>
    <row r="560" spans="35:180">
      <c r="AI560" s="125"/>
      <c r="AJ560" s="16"/>
      <c r="AM560" s="16"/>
      <c r="AN560" s="16"/>
      <c r="AO560" s="125"/>
      <c r="AP560" s="16"/>
      <c r="AQ560" s="125"/>
      <c r="AZ560" s="125"/>
      <c r="BA560" s="142"/>
      <c r="BB560" s="125"/>
      <c r="BC560" s="16"/>
      <c r="BD560" s="125"/>
      <c r="BE560" s="125"/>
      <c r="BF560" s="16"/>
      <c r="BG560" s="125"/>
      <c r="BQ560" s="125"/>
      <c r="BR560" s="16"/>
      <c r="BS560" s="123"/>
      <c r="BT560" s="19"/>
      <c r="BU560" s="139"/>
      <c r="BV560" s="139"/>
      <c r="BW560" s="123"/>
      <c r="BX560" s="123"/>
      <c r="BY560" s="123"/>
      <c r="BZ560" s="123"/>
      <c r="CA560" s="123"/>
      <c r="CB560" s="123"/>
      <c r="CC560" s="6"/>
      <c r="CD560" s="123"/>
      <c r="CE560" s="6"/>
      <c r="CF560" s="123"/>
      <c r="CG560" s="6"/>
      <c r="CH560" s="6"/>
      <c r="CI560" s="6"/>
      <c r="CJ560" s="6"/>
      <c r="CK560" s="123"/>
      <c r="CL560" s="6"/>
      <c r="CM560" s="6"/>
      <c r="CN560" s="6"/>
      <c r="CO560" s="138"/>
      <c r="CP560" s="138"/>
      <c r="CQ560" s="123"/>
      <c r="CR560" s="6"/>
      <c r="CS560" s="6"/>
      <c r="CT560" s="139"/>
      <c r="CU560" s="139"/>
      <c r="CV560" s="76"/>
      <c r="CW560" s="123"/>
      <c r="CX560" s="6"/>
      <c r="DI560" s="125"/>
      <c r="DJ560" s="16"/>
      <c r="DM560" s="16"/>
      <c r="DN560" s="16"/>
      <c r="DO560" s="125"/>
      <c r="DP560" s="16"/>
      <c r="DQ560" s="125"/>
      <c r="DZ560" s="125"/>
      <c r="EA560" s="142"/>
      <c r="EB560" s="125"/>
      <c r="EC560" s="16"/>
      <c r="ED560" s="125"/>
      <c r="EE560" s="125"/>
      <c r="EF560" s="16"/>
      <c r="EG560" s="125"/>
      <c r="EQ560" s="125"/>
      <c r="ER560" s="16"/>
      <c r="ES560" s="123"/>
      <c r="ET560" s="19"/>
      <c r="EU560" s="139"/>
      <c r="EV560" s="139"/>
      <c r="EW560" s="123"/>
      <c r="EX560" s="123"/>
      <c r="EY560" s="123"/>
      <c r="EZ560" s="123"/>
      <c r="FA560" s="123"/>
      <c r="FB560" s="123"/>
      <c r="FC560" s="6"/>
      <c r="FD560" s="123"/>
      <c r="FE560" s="6"/>
      <c r="FF560" s="123"/>
      <c r="FG560" s="6"/>
      <c r="FH560" s="6"/>
      <c r="FI560" s="6"/>
      <c r="FJ560" s="6"/>
      <c r="FK560" s="123"/>
      <c r="FL560" s="6"/>
      <c r="FM560" s="6"/>
      <c r="FN560" s="6"/>
      <c r="FO560" s="138"/>
      <c r="FP560" s="138"/>
      <c r="FQ560" s="123"/>
      <c r="FR560" s="6"/>
      <c r="FS560" s="6"/>
      <c r="FT560" s="139"/>
      <c r="FU560" s="139"/>
      <c r="FV560" s="76"/>
      <c r="FW560" s="123"/>
      <c r="FX560" s="6"/>
    </row>
    <row r="561" spans="35:180">
      <c r="AI561" s="125"/>
      <c r="AJ561" s="16"/>
      <c r="AM561" s="16"/>
      <c r="AN561" s="16"/>
      <c r="AO561" s="125"/>
      <c r="AP561" s="16"/>
      <c r="AQ561" s="125"/>
      <c r="AZ561" s="125"/>
      <c r="BA561" s="142"/>
      <c r="BB561" s="125"/>
      <c r="BC561" s="16"/>
      <c r="BD561" s="125"/>
      <c r="BE561" s="125"/>
      <c r="BF561" s="16"/>
      <c r="BG561" s="125"/>
      <c r="BQ561" s="125"/>
      <c r="BR561" s="16"/>
      <c r="BS561" s="123"/>
      <c r="BT561" s="19"/>
      <c r="BU561" s="139"/>
      <c r="BV561" s="139"/>
      <c r="BW561" s="123"/>
      <c r="BX561" s="123"/>
      <c r="BY561" s="123"/>
      <c r="BZ561" s="123"/>
      <c r="CA561" s="123"/>
      <c r="CB561" s="123"/>
      <c r="CC561" s="6"/>
      <c r="CD561" s="123"/>
      <c r="CE561" s="6"/>
      <c r="CF561" s="123"/>
      <c r="CG561" s="6"/>
      <c r="CH561" s="6"/>
      <c r="CI561" s="6"/>
      <c r="CJ561" s="6"/>
      <c r="CK561" s="123"/>
      <c r="CL561" s="6"/>
      <c r="CM561" s="6"/>
      <c r="CN561" s="6"/>
      <c r="CO561" s="138"/>
      <c r="CP561" s="138"/>
      <c r="CQ561" s="123"/>
      <c r="CR561" s="6"/>
      <c r="CS561" s="6"/>
      <c r="CT561" s="139"/>
      <c r="CU561" s="139"/>
      <c r="CV561" s="76"/>
      <c r="CW561" s="123"/>
      <c r="CX561" s="6"/>
      <c r="DI561" s="125"/>
      <c r="DJ561" s="16"/>
      <c r="DM561" s="16"/>
      <c r="DN561" s="16"/>
      <c r="DO561" s="125"/>
      <c r="DP561" s="16"/>
      <c r="DQ561" s="125"/>
      <c r="DZ561" s="125"/>
      <c r="EA561" s="142"/>
      <c r="EB561" s="125"/>
      <c r="EC561" s="16"/>
      <c r="ED561" s="125"/>
      <c r="EE561" s="125"/>
      <c r="EF561" s="16"/>
      <c r="EG561" s="125"/>
      <c r="EQ561" s="125"/>
      <c r="ER561" s="16"/>
      <c r="ES561" s="123"/>
      <c r="ET561" s="19"/>
      <c r="EU561" s="139"/>
      <c r="EV561" s="139"/>
      <c r="EW561" s="123"/>
      <c r="EX561" s="123"/>
      <c r="EY561" s="123"/>
      <c r="EZ561" s="123"/>
      <c r="FA561" s="123"/>
      <c r="FB561" s="123"/>
      <c r="FC561" s="6"/>
      <c r="FD561" s="123"/>
      <c r="FE561" s="6"/>
      <c r="FF561" s="123"/>
      <c r="FG561" s="6"/>
      <c r="FH561" s="6"/>
      <c r="FI561" s="6"/>
      <c r="FJ561" s="6"/>
      <c r="FK561" s="123"/>
      <c r="FL561" s="6"/>
      <c r="FM561" s="6"/>
      <c r="FN561" s="6"/>
      <c r="FO561" s="138"/>
      <c r="FP561" s="138"/>
      <c r="FQ561" s="123"/>
      <c r="FR561" s="6"/>
      <c r="FS561" s="6"/>
      <c r="FT561" s="139"/>
      <c r="FU561" s="139"/>
      <c r="FV561" s="76"/>
      <c r="FW561" s="123"/>
      <c r="FX561" s="6"/>
    </row>
    <row r="562" spans="35:180">
      <c r="AI562" s="125"/>
      <c r="AJ562" s="16"/>
      <c r="AM562" s="16"/>
      <c r="AN562" s="16"/>
      <c r="AO562" s="125"/>
      <c r="AP562" s="16"/>
      <c r="AQ562" s="125"/>
      <c r="AZ562" s="125"/>
      <c r="BA562" s="142"/>
      <c r="BB562" s="125"/>
      <c r="BC562" s="16"/>
      <c r="BD562" s="125"/>
      <c r="BE562" s="125"/>
      <c r="BF562" s="16"/>
      <c r="BG562" s="125"/>
      <c r="BQ562" s="125"/>
      <c r="BR562" s="16"/>
      <c r="BS562" s="123"/>
      <c r="BT562" s="19"/>
      <c r="BU562" s="139"/>
      <c r="BV562" s="139"/>
      <c r="BW562" s="123"/>
      <c r="BX562" s="123"/>
      <c r="BY562" s="123"/>
      <c r="BZ562" s="123"/>
      <c r="CA562" s="123"/>
      <c r="CB562" s="123"/>
      <c r="CC562" s="6"/>
      <c r="CD562" s="123"/>
      <c r="CE562" s="6"/>
      <c r="CF562" s="123"/>
      <c r="CG562" s="6"/>
      <c r="CH562" s="6"/>
      <c r="CI562" s="6"/>
      <c r="CJ562" s="6"/>
      <c r="CK562" s="123"/>
      <c r="CL562" s="6"/>
      <c r="CM562" s="6"/>
      <c r="CN562" s="6"/>
      <c r="CO562" s="138"/>
      <c r="CP562" s="138"/>
      <c r="CQ562" s="123"/>
      <c r="CR562" s="6"/>
      <c r="CS562" s="6"/>
      <c r="CT562" s="139"/>
      <c r="CU562" s="139"/>
      <c r="CV562" s="76"/>
      <c r="CW562" s="123"/>
      <c r="CX562" s="6"/>
      <c r="DI562" s="125"/>
      <c r="DJ562" s="16"/>
      <c r="DM562" s="16"/>
      <c r="DN562" s="16"/>
      <c r="DO562" s="125"/>
      <c r="DP562" s="16"/>
      <c r="DQ562" s="125"/>
      <c r="DZ562" s="125"/>
      <c r="EA562" s="142"/>
      <c r="EB562" s="125"/>
      <c r="EC562" s="16"/>
      <c r="ED562" s="125"/>
      <c r="EE562" s="125"/>
      <c r="EF562" s="16"/>
      <c r="EG562" s="125"/>
      <c r="EQ562" s="125"/>
      <c r="ER562" s="16"/>
      <c r="ES562" s="123"/>
      <c r="ET562" s="19"/>
      <c r="EU562" s="139"/>
      <c r="EV562" s="139"/>
      <c r="EW562" s="123"/>
      <c r="EX562" s="123"/>
      <c r="EY562" s="123"/>
      <c r="EZ562" s="123"/>
      <c r="FA562" s="123"/>
      <c r="FB562" s="123"/>
      <c r="FC562" s="6"/>
      <c r="FD562" s="123"/>
      <c r="FE562" s="6"/>
      <c r="FF562" s="123"/>
      <c r="FG562" s="6"/>
      <c r="FH562" s="6"/>
      <c r="FI562" s="6"/>
      <c r="FJ562" s="6"/>
      <c r="FK562" s="123"/>
      <c r="FL562" s="6"/>
      <c r="FM562" s="6"/>
      <c r="FN562" s="6"/>
      <c r="FO562" s="138"/>
      <c r="FP562" s="138"/>
      <c r="FQ562" s="123"/>
      <c r="FR562" s="6"/>
      <c r="FS562" s="6"/>
      <c r="FT562" s="139"/>
      <c r="FU562" s="139"/>
      <c r="FV562" s="76"/>
      <c r="FW562" s="123"/>
      <c r="FX562" s="6"/>
    </row>
    <row r="563" spans="35:180">
      <c r="AI563" s="125"/>
      <c r="AJ563" s="16"/>
      <c r="AM563" s="16"/>
      <c r="AN563" s="16"/>
      <c r="AO563" s="125"/>
      <c r="AP563" s="16"/>
      <c r="AQ563" s="125"/>
      <c r="AZ563" s="125"/>
      <c r="BA563" s="142"/>
      <c r="BB563" s="125"/>
      <c r="BC563" s="16"/>
      <c r="BD563" s="125"/>
      <c r="BE563" s="125"/>
      <c r="BF563" s="16"/>
      <c r="BG563" s="125"/>
      <c r="BQ563" s="125"/>
      <c r="BR563" s="16"/>
      <c r="BS563" s="123"/>
      <c r="BT563" s="19"/>
      <c r="BU563" s="139"/>
      <c r="BV563" s="139"/>
      <c r="BW563" s="123"/>
      <c r="BX563" s="123"/>
      <c r="BY563" s="123"/>
      <c r="BZ563" s="123"/>
      <c r="CA563" s="123"/>
      <c r="CB563" s="123"/>
      <c r="CC563" s="6"/>
      <c r="CD563" s="123"/>
      <c r="CE563" s="6"/>
      <c r="CF563" s="123"/>
      <c r="CG563" s="6"/>
      <c r="CH563" s="6"/>
      <c r="CI563" s="6"/>
      <c r="CJ563" s="6"/>
      <c r="CK563" s="123"/>
      <c r="CL563" s="6"/>
      <c r="CM563" s="6"/>
      <c r="CN563" s="6"/>
      <c r="CO563" s="138"/>
      <c r="CP563" s="138"/>
      <c r="CQ563" s="123"/>
      <c r="CR563" s="6"/>
      <c r="CS563" s="6"/>
      <c r="CT563" s="139"/>
      <c r="CU563" s="139"/>
      <c r="CV563" s="76"/>
      <c r="CW563" s="123"/>
      <c r="CX563" s="6"/>
      <c r="DI563" s="125"/>
      <c r="DJ563" s="16"/>
      <c r="DM563" s="16"/>
      <c r="DN563" s="16"/>
      <c r="DO563" s="125"/>
      <c r="DP563" s="16"/>
      <c r="DQ563" s="125"/>
      <c r="DZ563" s="125"/>
      <c r="EA563" s="142"/>
      <c r="EB563" s="125"/>
      <c r="EC563" s="16"/>
      <c r="ED563" s="125"/>
      <c r="EE563" s="125"/>
      <c r="EF563" s="16"/>
      <c r="EG563" s="125"/>
      <c r="EQ563" s="125"/>
      <c r="ER563" s="16"/>
      <c r="ES563" s="123"/>
      <c r="ET563" s="19"/>
      <c r="EU563" s="139"/>
      <c r="EV563" s="139"/>
      <c r="EW563" s="123"/>
      <c r="EX563" s="123"/>
      <c r="EY563" s="123"/>
      <c r="EZ563" s="123"/>
      <c r="FA563" s="123"/>
      <c r="FB563" s="123"/>
      <c r="FC563" s="6"/>
      <c r="FD563" s="123"/>
      <c r="FE563" s="6"/>
      <c r="FF563" s="123"/>
      <c r="FG563" s="6"/>
      <c r="FH563" s="6"/>
      <c r="FI563" s="6"/>
      <c r="FJ563" s="6"/>
      <c r="FK563" s="123"/>
      <c r="FL563" s="6"/>
      <c r="FM563" s="6"/>
      <c r="FN563" s="6"/>
      <c r="FO563" s="138"/>
      <c r="FP563" s="138"/>
      <c r="FQ563" s="123"/>
      <c r="FR563" s="6"/>
      <c r="FS563" s="6"/>
      <c r="FT563" s="139"/>
      <c r="FU563" s="139"/>
      <c r="FV563" s="76"/>
      <c r="FW563" s="123"/>
      <c r="FX563" s="6"/>
    </row>
    <row r="564" spans="35:180">
      <c r="AI564" s="125"/>
      <c r="AJ564" s="16"/>
      <c r="AM564" s="16"/>
      <c r="AN564" s="16"/>
      <c r="AO564" s="125"/>
      <c r="AP564" s="16"/>
      <c r="AQ564" s="125"/>
      <c r="AZ564" s="125"/>
      <c r="BA564" s="142"/>
      <c r="BB564" s="125"/>
      <c r="BC564" s="16"/>
      <c r="BD564" s="125"/>
      <c r="BE564" s="125"/>
      <c r="BF564" s="16"/>
      <c r="BG564" s="125"/>
      <c r="BQ564" s="125"/>
      <c r="BR564" s="16"/>
      <c r="BS564" s="123"/>
      <c r="BT564" s="19"/>
      <c r="BU564" s="139"/>
      <c r="BV564" s="139"/>
      <c r="BW564" s="123"/>
      <c r="BX564" s="123"/>
      <c r="BY564" s="123"/>
      <c r="BZ564" s="123"/>
      <c r="CA564" s="123"/>
      <c r="CB564" s="123"/>
      <c r="CC564" s="6"/>
      <c r="CD564" s="123"/>
      <c r="CE564" s="6"/>
      <c r="CF564" s="123"/>
      <c r="CG564" s="6"/>
      <c r="CH564" s="6"/>
      <c r="CI564" s="6"/>
      <c r="CJ564" s="6"/>
      <c r="CK564" s="123"/>
      <c r="CL564" s="6"/>
      <c r="CM564" s="6"/>
      <c r="CN564" s="6"/>
      <c r="CO564" s="138"/>
      <c r="CP564" s="138"/>
      <c r="CQ564" s="123"/>
      <c r="CR564" s="6"/>
      <c r="CS564" s="6"/>
      <c r="CT564" s="139"/>
      <c r="CU564" s="139"/>
      <c r="CV564" s="76"/>
      <c r="CW564" s="123"/>
      <c r="CX564" s="6"/>
      <c r="DI564" s="125"/>
      <c r="DJ564" s="16"/>
      <c r="DM564" s="16"/>
      <c r="DN564" s="16"/>
      <c r="DO564" s="125"/>
      <c r="DP564" s="16"/>
      <c r="DQ564" s="125"/>
      <c r="DZ564" s="125"/>
      <c r="EA564" s="142"/>
      <c r="EB564" s="125"/>
      <c r="EC564" s="16"/>
      <c r="ED564" s="125"/>
      <c r="EE564" s="125"/>
      <c r="EF564" s="16"/>
      <c r="EG564" s="125"/>
      <c r="EQ564" s="125"/>
      <c r="ER564" s="16"/>
      <c r="ES564" s="123"/>
      <c r="ET564" s="19"/>
      <c r="EU564" s="139"/>
      <c r="EV564" s="139"/>
      <c r="EW564" s="123"/>
      <c r="EX564" s="123"/>
      <c r="EY564" s="123"/>
      <c r="EZ564" s="123"/>
      <c r="FA564" s="123"/>
      <c r="FB564" s="123"/>
      <c r="FC564" s="6"/>
      <c r="FD564" s="123"/>
      <c r="FE564" s="6"/>
      <c r="FF564" s="123"/>
      <c r="FG564" s="6"/>
      <c r="FH564" s="6"/>
      <c r="FI564" s="6"/>
      <c r="FJ564" s="6"/>
      <c r="FK564" s="123"/>
      <c r="FL564" s="6"/>
      <c r="FM564" s="6"/>
      <c r="FN564" s="6"/>
      <c r="FO564" s="138"/>
      <c r="FP564" s="138"/>
      <c r="FQ564" s="123"/>
      <c r="FR564" s="6"/>
      <c r="FS564" s="6"/>
      <c r="FT564" s="139"/>
      <c r="FU564" s="139"/>
      <c r="FV564" s="76"/>
      <c r="FW564" s="123"/>
      <c r="FX564" s="6"/>
    </row>
    <row r="565" spans="35:180">
      <c r="AI565" s="125"/>
      <c r="AJ565" s="16"/>
      <c r="AM565" s="16"/>
      <c r="AN565" s="16"/>
      <c r="AO565" s="125"/>
      <c r="AP565" s="16"/>
      <c r="AQ565" s="125"/>
      <c r="AZ565" s="125"/>
      <c r="BA565" s="142"/>
      <c r="BB565" s="125"/>
      <c r="BC565" s="16"/>
      <c r="BD565" s="125"/>
      <c r="BE565" s="125"/>
      <c r="BF565" s="16"/>
      <c r="BG565" s="125"/>
      <c r="BQ565" s="125"/>
      <c r="BR565" s="16"/>
      <c r="BS565" s="123"/>
      <c r="BT565" s="19"/>
      <c r="BU565" s="139"/>
      <c r="BV565" s="139"/>
      <c r="BW565" s="123"/>
      <c r="BX565" s="123"/>
      <c r="BY565" s="123"/>
      <c r="BZ565" s="123"/>
      <c r="CA565" s="123"/>
      <c r="CB565" s="123"/>
      <c r="CC565" s="6"/>
      <c r="CD565" s="123"/>
      <c r="CE565" s="6"/>
      <c r="CF565" s="123"/>
      <c r="CG565" s="6"/>
      <c r="CH565" s="6"/>
      <c r="CI565" s="6"/>
      <c r="CJ565" s="6"/>
      <c r="CK565" s="123"/>
      <c r="CL565" s="6"/>
      <c r="CM565" s="6"/>
      <c r="CN565" s="6"/>
      <c r="CO565" s="138"/>
      <c r="CP565" s="138"/>
      <c r="CQ565" s="123"/>
      <c r="CR565" s="6"/>
      <c r="CS565" s="6"/>
      <c r="CT565" s="139"/>
      <c r="CU565" s="139"/>
      <c r="CV565" s="76"/>
      <c r="CW565" s="123"/>
      <c r="CX565" s="6"/>
      <c r="DI565" s="125"/>
      <c r="DJ565" s="16"/>
      <c r="DM565" s="16"/>
      <c r="DN565" s="16"/>
      <c r="DO565" s="125"/>
      <c r="DP565" s="16"/>
      <c r="DQ565" s="125"/>
      <c r="DZ565" s="125"/>
      <c r="EA565" s="142"/>
      <c r="EB565" s="125"/>
      <c r="EC565" s="16"/>
      <c r="ED565" s="125"/>
      <c r="EE565" s="125"/>
      <c r="EF565" s="16"/>
      <c r="EG565" s="125"/>
      <c r="EQ565" s="125"/>
      <c r="ER565" s="16"/>
      <c r="ES565" s="123"/>
      <c r="ET565" s="19"/>
      <c r="EU565" s="139"/>
      <c r="EV565" s="139"/>
      <c r="EW565" s="123"/>
      <c r="EX565" s="123"/>
      <c r="EY565" s="123"/>
      <c r="EZ565" s="123"/>
      <c r="FA565" s="123"/>
      <c r="FB565" s="123"/>
      <c r="FC565" s="6"/>
      <c r="FD565" s="123"/>
      <c r="FE565" s="6"/>
      <c r="FF565" s="123"/>
      <c r="FG565" s="6"/>
      <c r="FH565" s="6"/>
      <c r="FI565" s="6"/>
      <c r="FJ565" s="6"/>
      <c r="FK565" s="123"/>
      <c r="FL565" s="6"/>
      <c r="FM565" s="6"/>
      <c r="FN565" s="6"/>
      <c r="FO565" s="138"/>
      <c r="FP565" s="138"/>
      <c r="FQ565" s="123"/>
      <c r="FR565" s="6"/>
      <c r="FS565" s="6"/>
      <c r="FT565" s="139"/>
      <c r="FU565" s="139"/>
      <c r="FV565" s="76"/>
      <c r="FW565" s="123"/>
      <c r="FX565" s="6"/>
    </row>
    <row r="566" spans="35:180">
      <c r="AI566" s="125"/>
      <c r="AJ566" s="16"/>
      <c r="AM566" s="16"/>
      <c r="AN566" s="16"/>
      <c r="AO566" s="125"/>
      <c r="AP566" s="16"/>
      <c r="AQ566" s="125"/>
      <c r="AZ566" s="125"/>
      <c r="BA566" s="142"/>
      <c r="BB566" s="125"/>
      <c r="BC566" s="16"/>
      <c r="BD566" s="125"/>
      <c r="BE566" s="125"/>
      <c r="BF566" s="16"/>
      <c r="BG566" s="125"/>
      <c r="BQ566" s="125"/>
      <c r="BR566" s="16"/>
      <c r="BS566" s="123"/>
      <c r="BT566" s="19"/>
      <c r="BU566" s="139"/>
      <c r="BV566" s="139"/>
      <c r="BW566" s="123"/>
      <c r="BX566" s="123"/>
      <c r="BY566" s="123"/>
      <c r="BZ566" s="123"/>
      <c r="CA566" s="123"/>
      <c r="CB566" s="123"/>
      <c r="CC566" s="6"/>
      <c r="CD566" s="123"/>
      <c r="CE566" s="6"/>
      <c r="CF566" s="123"/>
      <c r="CG566" s="6"/>
      <c r="CH566" s="6"/>
      <c r="CI566" s="6"/>
      <c r="CJ566" s="6"/>
      <c r="CK566" s="123"/>
      <c r="CL566" s="6"/>
      <c r="CM566" s="6"/>
      <c r="CN566" s="6"/>
      <c r="CO566" s="138"/>
      <c r="CP566" s="138"/>
      <c r="CQ566" s="123"/>
      <c r="CR566" s="6"/>
      <c r="CS566" s="6"/>
      <c r="CT566" s="139"/>
      <c r="CU566" s="139"/>
      <c r="CV566" s="76"/>
      <c r="CW566" s="123"/>
      <c r="CX566" s="6"/>
      <c r="DI566" s="125"/>
      <c r="DJ566" s="16"/>
      <c r="DM566" s="16"/>
      <c r="DN566" s="16"/>
      <c r="DO566" s="125"/>
      <c r="DP566" s="16"/>
      <c r="DQ566" s="125"/>
      <c r="DZ566" s="125"/>
      <c r="EA566" s="142"/>
      <c r="EB566" s="125"/>
      <c r="EC566" s="16"/>
      <c r="ED566" s="125"/>
      <c r="EE566" s="125"/>
      <c r="EF566" s="16"/>
      <c r="EG566" s="125"/>
      <c r="EQ566" s="125"/>
      <c r="ER566" s="16"/>
      <c r="ES566" s="123"/>
      <c r="ET566" s="19"/>
      <c r="EU566" s="139"/>
      <c r="EV566" s="139"/>
      <c r="EW566" s="123"/>
      <c r="EX566" s="123"/>
      <c r="EY566" s="123"/>
      <c r="EZ566" s="123"/>
      <c r="FA566" s="123"/>
      <c r="FB566" s="123"/>
      <c r="FC566" s="6"/>
      <c r="FD566" s="123"/>
      <c r="FE566" s="6"/>
      <c r="FF566" s="123"/>
      <c r="FG566" s="6"/>
      <c r="FH566" s="6"/>
      <c r="FI566" s="6"/>
      <c r="FJ566" s="6"/>
      <c r="FK566" s="123"/>
      <c r="FL566" s="6"/>
      <c r="FM566" s="6"/>
      <c r="FN566" s="6"/>
      <c r="FO566" s="138"/>
      <c r="FP566" s="138"/>
      <c r="FQ566" s="123"/>
      <c r="FR566" s="6"/>
      <c r="FS566" s="6"/>
      <c r="FT566" s="139"/>
      <c r="FU566" s="139"/>
      <c r="FV566" s="76"/>
      <c r="FW566" s="123"/>
      <c r="FX566" s="6"/>
    </row>
    <row r="567" spans="35:180">
      <c r="AI567" s="125"/>
      <c r="AJ567" s="16"/>
      <c r="AM567" s="16"/>
      <c r="AN567" s="16"/>
      <c r="AO567" s="125"/>
      <c r="AP567" s="16"/>
      <c r="AQ567" s="125"/>
      <c r="AZ567" s="125"/>
      <c r="BA567" s="142"/>
      <c r="BB567" s="125"/>
      <c r="BC567" s="16"/>
      <c r="BD567" s="125"/>
      <c r="BE567" s="125"/>
      <c r="BF567" s="16"/>
      <c r="BG567" s="125"/>
      <c r="BQ567" s="125"/>
      <c r="BR567" s="16"/>
      <c r="BS567" s="123"/>
      <c r="BT567" s="19"/>
      <c r="BU567" s="139"/>
      <c r="BV567" s="139"/>
      <c r="BW567" s="123"/>
      <c r="BX567" s="123"/>
      <c r="BY567" s="123"/>
      <c r="BZ567" s="123"/>
      <c r="CA567" s="123"/>
      <c r="CB567" s="123"/>
      <c r="CC567" s="6"/>
      <c r="CD567" s="123"/>
      <c r="CE567" s="6"/>
      <c r="CF567" s="123"/>
      <c r="CG567" s="6"/>
      <c r="CH567" s="6"/>
      <c r="CI567" s="6"/>
      <c r="CJ567" s="6"/>
      <c r="CK567" s="123"/>
      <c r="CL567" s="6"/>
      <c r="CM567" s="6"/>
      <c r="CN567" s="6"/>
      <c r="CO567" s="138"/>
      <c r="CP567" s="138"/>
      <c r="CQ567" s="123"/>
      <c r="CR567" s="6"/>
      <c r="CS567" s="6"/>
      <c r="CT567" s="139"/>
      <c r="CU567" s="139"/>
      <c r="CV567" s="76"/>
      <c r="CW567" s="123"/>
      <c r="CX567" s="6"/>
      <c r="DI567" s="125"/>
      <c r="DJ567" s="16"/>
      <c r="DM567" s="16"/>
      <c r="DN567" s="16"/>
      <c r="DO567" s="125"/>
      <c r="DP567" s="16"/>
      <c r="DQ567" s="125"/>
      <c r="DZ567" s="125"/>
      <c r="EA567" s="142"/>
      <c r="EB567" s="125"/>
      <c r="EC567" s="16"/>
      <c r="ED567" s="125"/>
      <c r="EE567" s="125"/>
      <c r="EF567" s="16"/>
      <c r="EG567" s="125"/>
      <c r="EQ567" s="125"/>
      <c r="ER567" s="16"/>
      <c r="ES567" s="123"/>
      <c r="ET567" s="19"/>
      <c r="EU567" s="139"/>
      <c r="EV567" s="139"/>
      <c r="EW567" s="123"/>
      <c r="EX567" s="123"/>
      <c r="EY567" s="123"/>
      <c r="EZ567" s="123"/>
      <c r="FA567" s="123"/>
      <c r="FB567" s="123"/>
      <c r="FC567" s="6"/>
      <c r="FD567" s="123"/>
      <c r="FE567" s="6"/>
      <c r="FF567" s="123"/>
      <c r="FG567" s="6"/>
      <c r="FH567" s="6"/>
      <c r="FI567" s="6"/>
      <c r="FJ567" s="6"/>
      <c r="FK567" s="123"/>
      <c r="FL567" s="6"/>
      <c r="FM567" s="6"/>
      <c r="FN567" s="6"/>
      <c r="FO567" s="138"/>
      <c r="FP567" s="138"/>
      <c r="FQ567" s="123"/>
      <c r="FR567" s="6"/>
      <c r="FS567" s="6"/>
      <c r="FT567" s="139"/>
      <c r="FU567" s="139"/>
      <c r="FV567" s="76"/>
      <c r="FW567" s="123"/>
      <c r="FX567" s="6"/>
    </row>
    <row r="568" spans="35:180">
      <c r="AI568" s="125"/>
      <c r="AJ568" s="16"/>
      <c r="AM568" s="16"/>
      <c r="AN568" s="16"/>
      <c r="AO568" s="125"/>
      <c r="AP568" s="16"/>
      <c r="AQ568" s="125"/>
      <c r="AZ568" s="125"/>
      <c r="BA568" s="142"/>
      <c r="BB568" s="125"/>
      <c r="BC568" s="16"/>
      <c r="BD568" s="125"/>
      <c r="BE568" s="125"/>
      <c r="BF568" s="16"/>
      <c r="BG568" s="125"/>
      <c r="BQ568" s="125"/>
      <c r="BR568" s="16"/>
      <c r="BS568" s="123"/>
      <c r="BT568" s="19"/>
      <c r="BU568" s="139"/>
      <c r="BV568" s="139"/>
      <c r="BW568" s="123"/>
      <c r="BX568" s="123"/>
      <c r="BY568" s="123"/>
      <c r="BZ568" s="123"/>
      <c r="CA568" s="123"/>
      <c r="CB568" s="123"/>
      <c r="CC568" s="6"/>
      <c r="CD568" s="123"/>
      <c r="CE568" s="6"/>
      <c r="CF568" s="123"/>
      <c r="CG568" s="6"/>
      <c r="CH568" s="6"/>
      <c r="CI568" s="6"/>
      <c r="CJ568" s="6"/>
      <c r="CK568" s="123"/>
      <c r="CL568" s="6"/>
      <c r="CM568" s="6"/>
      <c r="CN568" s="6"/>
      <c r="CO568" s="138"/>
      <c r="CP568" s="138"/>
      <c r="CQ568" s="123"/>
      <c r="CR568" s="6"/>
      <c r="CS568" s="6"/>
      <c r="CT568" s="139"/>
      <c r="CU568" s="139"/>
      <c r="CV568" s="76"/>
      <c r="CW568" s="123"/>
      <c r="CX568" s="6"/>
      <c r="DI568" s="125"/>
      <c r="DJ568" s="16"/>
      <c r="DM568" s="16"/>
      <c r="DN568" s="16"/>
      <c r="DO568" s="125"/>
      <c r="DP568" s="16"/>
      <c r="DQ568" s="125"/>
      <c r="DZ568" s="125"/>
      <c r="EA568" s="142"/>
      <c r="EB568" s="125"/>
      <c r="EC568" s="16"/>
      <c r="ED568" s="125"/>
      <c r="EE568" s="125"/>
      <c r="EF568" s="16"/>
      <c r="EG568" s="125"/>
      <c r="EQ568" s="125"/>
      <c r="ER568" s="16"/>
      <c r="ES568" s="123"/>
      <c r="ET568" s="19"/>
      <c r="EU568" s="139"/>
      <c r="EV568" s="139"/>
      <c r="EW568" s="123"/>
      <c r="EX568" s="123"/>
      <c r="EY568" s="123"/>
      <c r="EZ568" s="123"/>
      <c r="FA568" s="123"/>
      <c r="FB568" s="123"/>
      <c r="FC568" s="6"/>
      <c r="FD568" s="123"/>
      <c r="FE568" s="6"/>
      <c r="FF568" s="123"/>
      <c r="FG568" s="6"/>
      <c r="FH568" s="6"/>
      <c r="FI568" s="6"/>
      <c r="FJ568" s="6"/>
      <c r="FK568" s="123"/>
      <c r="FL568" s="6"/>
      <c r="FM568" s="6"/>
      <c r="FN568" s="6"/>
      <c r="FO568" s="138"/>
      <c r="FP568" s="138"/>
      <c r="FQ568" s="123"/>
      <c r="FR568" s="6"/>
      <c r="FS568" s="6"/>
      <c r="FT568" s="139"/>
      <c r="FU568" s="139"/>
      <c r="FV568" s="76"/>
      <c r="FW568" s="123"/>
      <c r="FX568" s="6"/>
    </row>
    <row r="569" spans="35:180">
      <c r="AI569" s="125"/>
      <c r="AJ569" s="16"/>
      <c r="AM569" s="16"/>
      <c r="AN569" s="16"/>
      <c r="AO569" s="125"/>
      <c r="AP569" s="16"/>
      <c r="AQ569" s="125"/>
      <c r="AZ569" s="125"/>
      <c r="BA569" s="142"/>
      <c r="BB569" s="125"/>
      <c r="BC569" s="16"/>
      <c r="BD569" s="125"/>
      <c r="BE569" s="125"/>
      <c r="BF569" s="16"/>
      <c r="BG569" s="125"/>
      <c r="BQ569" s="125"/>
      <c r="BR569" s="16"/>
      <c r="BS569" s="123"/>
      <c r="BT569" s="19"/>
      <c r="BU569" s="139"/>
      <c r="BV569" s="139"/>
      <c r="BW569" s="123"/>
      <c r="BX569" s="123"/>
      <c r="BY569" s="123"/>
      <c r="BZ569" s="123"/>
      <c r="CA569" s="123"/>
      <c r="CB569" s="123"/>
      <c r="CC569" s="6"/>
      <c r="CD569" s="123"/>
      <c r="CE569" s="6"/>
      <c r="CF569" s="123"/>
      <c r="CG569" s="6"/>
      <c r="CH569" s="6"/>
      <c r="CI569" s="6"/>
      <c r="CJ569" s="6"/>
      <c r="CK569" s="123"/>
      <c r="CL569" s="6"/>
      <c r="CM569" s="6"/>
      <c r="CN569" s="6"/>
      <c r="CO569" s="138"/>
      <c r="CP569" s="138"/>
      <c r="CQ569" s="123"/>
      <c r="CR569" s="6"/>
      <c r="CS569" s="6"/>
      <c r="CT569" s="139"/>
      <c r="CU569" s="139"/>
      <c r="CV569" s="76"/>
      <c r="CW569" s="123"/>
      <c r="CX569" s="6"/>
      <c r="DI569" s="125"/>
      <c r="DJ569" s="16"/>
      <c r="DM569" s="16"/>
      <c r="DN569" s="16"/>
      <c r="DO569" s="125"/>
      <c r="DP569" s="16"/>
      <c r="DQ569" s="125"/>
      <c r="DZ569" s="125"/>
      <c r="EA569" s="142"/>
      <c r="EB569" s="125"/>
      <c r="EC569" s="16"/>
      <c r="ED569" s="125"/>
      <c r="EE569" s="125"/>
      <c r="EF569" s="16"/>
      <c r="EG569" s="125"/>
      <c r="EQ569" s="125"/>
      <c r="ER569" s="16"/>
      <c r="ES569" s="123"/>
      <c r="ET569" s="19"/>
      <c r="EU569" s="139"/>
      <c r="EV569" s="139"/>
      <c r="EW569" s="123"/>
      <c r="EX569" s="123"/>
      <c r="EY569" s="123"/>
      <c r="EZ569" s="123"/>
      <c r="FA569" s="123"/>
      <c r="FB569" s="123"/>
      <c r="FC569" s="6"/>
      <c r="FD569" s="123"/>
      <c r="FE569" s="6"/>
      <c r="FF569" s="123"/>
      <c r="FG569" s="6"/>
      <c r="FH569" s="6"/>
      <c r="FI569" s="6"/>
      <c r="FJ569" s="6"/>
      <c r="FK569" s="123"/>
      <c r="FL569" s="6"/>
      <c r="FM569" s="6"/>
      <c r="FN569" s="6"/>
      <c r="FO569" s="138"/>
      <c r="FP569" s="138"/>
      <c r="FQ569" s="123"/>
      <c r="FR569" s="6"/>
      <c r="FS569" s="6"/>
      <c r="FT569" s="139"/>
      <c r="FU569" s="139"/>
      <c r="FV569" s="76"/>
      <c r="FW569" s="123"/>
      <c r="FX569" s="6"/>
    </row>
    <row r="570" spans="35:180">
      <c r="AI570" s="125"/>
      <c r="AJ570" s="16"/>
      <c r="AM570" s="16"/>
      <c r="AN570" s="16"/>
      <c r="AO570" s="125"/>
      <c r="AP570" s="16"/>
      <c r="AQ570" s="125"/>
      <c r="AZ570" s="125"/>
      <c r="BA570" s="142"/>
      <c r="BB570" s="125"/>
      <c r="BC570" s="16"/>
      <c r="BD570" s="125"/>
      <c r="BE570" s="125"/>
      <c r="BF570" s="16"/>
      <c r="BG570" s="125"/>
      <c r="BQ570" s="125"/>
      <c r="BR570" s="16"/>
      <c r="BS570" s="123"/>
      <c r="BT570" s="19"/>
      <c r="BU570" s="139"/>
      <c r="BV570" s="139"/>
      <c r="BW570" s="123"/>
      <c r="BX570" s="123"/>
      <c r="BY570" s="123"/>
      <c r="BZ570" s="123"/>
      <c r="CA570" s="123"/>
      <c r="CB570" s="123"/>
      <c r="CC570" s="6"/>
      <c r="CD570" s="123"/>
      <c r="CE570" s="6"/>
      <c r="CF570" s="123"/>
      <c r="CG570" s="6"/>
      <c r="CH570" s="6"/>
      <c r="CI570" s="6"/>
      <c r="CJ570" s="6"/>
      <c r="CK570" s="123"/>
      <c r="CL570" s="6"/>
      <c r="CM570" s="6"/>
      <c r="CN570" s="6"/>
      <c r="CO570" s="138"/>
      <c r="CP570" s="138"/>
      <c r="CQ570" s="123"/>
      <c r="CR570" s="6"/>
      <c r="CS570" s="6"/>
      <c r="CT570" s="139"/>
      <c r="CU570" s="139"/>
      <c r="CV570" s="76"/>
      <c r="CW570" s="123"/>
      <c r="CX570" s="6"/>
      <c r="DI570" s="125"/>
      <c r="DJ570" s="16"/>
      <c r="DM570" s="16"/>
      <c r="DN570" s="16"/>
      <c r="DO570" s="125"/>
      <c r="DP570" s="16"/>
      <c r="DQ570" s="125"/>
      <c r="DZ570" s="125"/>
      <c r="EA570" s="142"/>
      <c r="EB570" s="125"/>
      <c r="EC570" s="16"/>
      <c r="ED570" s="125"/>
      <c r="EE570" s="125"/>
      <c r="EF570" s="16"/>
      <c r="EG570" s="125"/>
      <c r="EQ570" s="125"/>
      <c r="ER570" s="16"/>
      <c r="ES570" s="123"/>
      <c r="ET570" s="19"/>
      <c r="EU570" s="139"/>
      <c r="EV570" s="139"/>
      <c r="EW570" s="123"/>
      <c r="EX570" s="123"/>
      <c r="EY570" s="123"/>
      <c r="EZ570" s="123"/>
      <c r="FA570" s="123"/>
      <c r="FB570" s="123"/>
      <c r="FC570" s="6"/>
      <c r="FD570" s="123"/>
      <c r="FE570" s="6"/>
      <c r="FF570" s="123"/>
      <c r="FG570" s="6"/>
      <c r="FH570" s="6"/>
      <c r="FI570" s="6"/>
      <c r="FJ570" s="6"/>
      <c r="FK570" s="123"/>
      <c r="FL570" s="6"/>
      <c r="FM570" s="6"/>
      <c r="FN570" s="6"/>
      <c r="FO570" s="138"/>
      <c r="FP570" s="138"/>
      <c r="FQ570" s="123"/>
      <c r="FR570" s="6"/>
      <c r="FS570" s="6"/>
      <c r="FT570" s="139"/>
      <c r="FU570" s="139"/>
      <c r="FV570" s="76"/>
      <c r="FW570" s="123"/>
      <c r="FX570" s="6"/>
    </row>
    <row r="571" spans="35:180">
      <c r="AI571" s="125"/>
      <c r="AJ571" s="16"/>
      <c r="AM571" s="16"/>
      <c r="AN571" s="16"/>
      <c r="AO571" s="125"/>
      <c r="AP571" s="16"/>
      <c r="AQ571" s="125"/>
      <c r="AZ571" s="125"/>
      <c r="BA571" s="142"/>
      <c r="BB571" s="125"/>
      <c r="BC571" s="16"/>
      <c r="BD571" s="125"/>
      <c r="BE571" s="125"/>
      <c r="BF571" s="16"/>
      <c r="BG571" s="125"/>
      <c r="BQ571" s="125"/>
      <c r="BR571" s="16"/>
      <c r="BS571" s="123"/>
      <c r="BT571" s="19"/>
      <c r="BU571" s="139"/>
      <c r="BV571" s="139"/>
      <c r="BW571" s="123"/>
      <c r="BX571" s="123"/>
      <c r="BY571" s="123"/>
      <c r="BZ571" s="123"/>
      <c r="CA571" s="123"/>
      <c r="CB571" s="123"/>
      <c r="CC571" s="6"/>
      <c r="CD571" s="123"/>
      <c r="CE571" s="6"/>
      <c r="CF571" s="123"/>
      <c r="CG571" s="6"/>
      <c r="CH571" s="6"/>
      <c r="CI571" s="6"/>
      <c r="CJ571" s="6"/>
      <c r="CK571" s="123"/>
      <c r="CL571" s="6"/>
      <c r="CM571" s="6"/>
      <c r="CN571" s="6"/>
      <c r="CO571" s="138"/>
      <c r="CP571" s="138"/>
      <c r="CQ571" s="123"/>
      <c r="CR571" s="6"/>
      <c r="CS571" s="6"/>
      <c r="CT571" s="139"/>
      <c r="CU571" s="139"/>
      <c r="CV571" s="76"/>
      <c r="CW571" s="123"/>
      <c r="CX571" s="6"/>
      <c r="DI571" s="125"/>
      <c r="DJ571" s="16"/>
      <c r="DM571" s="16"/>
      <c r="DN571" s="16"/>
      <c r="DO571" s="125"/>
      <c r="DP571" s="16"/>
      <c r="DQ571" s="125"/>
      <c r="DZ571" s="125"/>
      <c r="EA571" s="142"/>
      <c r="EB571" s="125"/>
      <c r="EC571" s="16"/>
      <c r="ED571" s="125"/>
      <c r="EE571" s="125"/>
      <c r="EF571" s="16"/>
      <c r="EG571" s="125"/>
      <c r="EQ571" s="125"/>
      <c r="ER571" s="16"/>
      <c r="ES571" s="123"/>
      <c r="ET571" s="19"/>
      <c r="EU571" s="139"/>
      <c r="EV571" s="139"/>
      <c r="EW571" s="123"/>
      <c r="EX571" s="123"/>
      <c r="EY571" s="123"/>
      <c r="EZ571" s="123"/>
      <c r="FA571" s="123"/>
      <c r="FB571" s="123"/>
      <c r="FC571" s="6"/>
      <c r="FD571" s="123"/>
      <c r="FE571" s="6"/>
      <c r="FF571" s="123"/>
      <c r="FG571" s="6"/>
      <c r="FH571" s="6"/>
      <c r="FI571" s="6"/>
      <c r="FJ571" s="6"/>
      <c r="FK571" s="123"/>
      <c r="FL571" s="6"/>
      <c r="FM571" s="6"/>
      <c r="FN571" s="6"/>
      <c r="FO571" s="138"/>
      <c r="FP571" s="138"/>
      <c r="FQ571" s="123"/>
      <c r="FR571" s="6"/>
      <c r="FS571" s="6"/>
      <c r="FT571" s="139"/>
      <c r="FU571" s="139"/>
      <c r="FV571" s="76"/>
      <c r="FW571" s="123"/>
      <c r="FX571" s="6"/>
    </row>
    <row r="572" spans="35:180">
      <c r="AI572" s="125"/>
      <c r="AJ572" s="16"/>
      <c r="AM572" s="16"/>
      <c r="AN572" s="16"/>
      <c r="AO572" s="125"/>
      <c r="AP572" s="16"/>
      <c r="AQ572" s="125"/>
      <c r="AZ572" s="125"/>
      <c r="BA572" s="142"/>
      <c r="BB572" s="125"/>
      <c r="BC572" s="16"/>
      <c r="BD572" s="125"/>
      <c r="BE572" s="125"/>
      <c r="BF572" s="16"/>
      <c r="BG572" s="125"/>
      <c r="BQ572" s="125"/>
      <c r="BR572" s="16"/>
      <c r="BS572" s="123"/>
      <c r="BT572" s="19"/>
      <c r="BU572" s="139"/>
      <c r="BV572" s="139"/>
      <c r="BW572" s="123"/>
      <c r="BX572" s="123"/>
      <c r="BY572" s="123"/>
      <c r="BZ572" s="123"/>
      <c r="CA572" s="123"/>
      <c r="CB572" s="123"/>
      <c r="CC572" s="6"/>
      <c r="CD572" s="123"/>
      <c r="CE572" s="6"/>
      <c r="CF572" s="123"/>
      <c r="CG572" s="6"/>
      <c r="CH572" s="6"/>
      <c r="CI572" s="6"/>
      <c r="CJ572" s="6"/>
      <c r="CK572" s="123"/>
      <c r="CL572" s="6"/>
      <c r="CM572" s="6"/>
      <c r="CN572" s="6"/>
      <c r="CO572" s="138"/>
      <c r="CP572" s="138"/>
      <c r="CQ572" s="123"/>
      <c r="CR572" s="6"/>
      <c r="CS572" s="6"/>
      <c r="CT572" s="139"/>
      <c r="CU572" s="139"/>
      <c r="CV572" s="76"/>
      <c r="CW572" s="123"/>
      <c r="CX572" s="6"/>
      <c r="DI572" s="125"/>
      <c r="DJ572" s="16"/>
      <c r="DM572" s="16"/>
      <c r="DN572" s="16"/>
      <c r="DO572" s="125"/>
      <c r="DP572" s="16"/>
      <c r="DQ572" s="125"/>
      <c r="DZ572" s="125"/>
      <c r="EA572" s="142"/>
      <c r="EB572" s="125"/>
      <c r="EC572" s="16"/>
      <c r="ED572" s="125"/>
      <c r="EE572" s="125"/>
      <c r="EF572" s="16"/>
      <c r="EG572" s="125"/>
      <c r="EQ572" s="125"/>
      <c r="ER572" s="16"/>
      <c r="ES572" s="123"/>
      <c r="ET572" s="19"/>
      <c r="EU572" s="139"/>
      <c r="EV572" s="139"/>
      <c r="EW572" s="123"/>
      <c r="EX572" s="123"/>
      <c r="EY572" s="123"/>
      <c r="EZ572" s="123"/>
      <c r="FA572" s="123"/>
      <c r="FB572" s="123"/>
      <c r="FC572" s="6"/>
      <c r="FD572" s="123"/>
      <c r="FE572" s="6"/>
      <c r="FF572" s="123"/>
      <c r="FG572" s="6"/>
      <c r="FH572" s="6"/>
      <c r="FI572" s="6"/>
      <c r="FJ572" s="6"/>
      <c r="FK572" s="123"/>
      <c r="FL572" s="6"/>
      <c r="FM572" s="6"/>
      <c r="FN572" s="6"/>
      <c r="FO572" s="138"/>
      <c r="FP572" s="138"/>
      <c r="FQ572" s="123"/>
      <c r="FR572" s="6"/>
      <c r="FS572" s="6"/>
      <c r="FT572" s="139"/>
      <c r="FU572" s="139"/>
      <c r="FV572" s="76"/>
      <c r="FW572" s="123"/>
      <c r="FX572" s="6"/>
    </row>
    <row r="573" spans="35:180">
      <c r="AI573" s="125"/>
      <c r="AJ573" s="16"/>
      <c r="AM573" s="16"/>
      <c r="AN573" s="16"/>
      <c r="AO573" s="125"/>
      <c r="AP573" s="16"/>
      <c r="AQ573" s="125"/>
      <c r="AZ573" s="125"/>
      <c r="BA573" s="142"/>
      <c r="BB573" s="125"/>
      <c r="BC573" s="16"/>
      <c r="BD573" s="125"/>
      <c r="BE573" s="125"/>
      <c r="BF573" s="16"/>
      <c r="BG573" s="125"/>
      <c r="BQ573" s="125"/>
      <c r="BR573" s="16"/>
      <c r="BS573" s="123"/>
      <c r="BT573" s="19"/>
      <c r="BU573" s="139"/>
      <c r="BV573" s="139"/>
      <c r="BW573" s="123"/>
      <c r="BX573" s="123"/>
      <c r="BY573" s="123"/>
      <c r="BZ573" s="123"/>
      <c r="CA573" s="123"/>
      <c r="CB573" s="123"/>
      <c r="CC573" s="6"/>
      <c r="CD573" s="123"/>
      <c r="CE573" s="6"/>
      <c r="CF573" s="123"/>
      <c r="CG573" s="6"/>
      <c r="CH573" s="6"/>
      <c r="CI573" s="6"/>
      <c r="CJ573" s="6"/>
      <c r="CK573" s="123"/>
      <c r="CL573" s="6"/>
      <c r="CM573" s="6"/>
      <c r="CN573" s="6"/>
      <c r="CO573" s="138"/>
      <c r="CP573" s="138"/>
      <c r="CQ573" s="123"/>
      <c r="CR573" s="6"/>
      <c r="CS573" s="6"/>
      <c r="CT573" s="139"/>
      <c r="CU573" s="139"/>
      <c r="CV573" s="76"/>
      <c r="CW573" s="123"/>
      <c r="CX573" s="6"/>
      <c r="DI573" s="125"/>
      <c r="DJ573" s="16"/>
      <c r="DM573" s="16"/>
      <c r="DN573" s="16"/>
      <c r="DO573" s="125"/>
      <c r="DP573" s="16"/>
      <c r="DQ573" s="125"/>
      <c r="DZ573" s="125"/>
      <c r="EA573" s="142"/>
      <c r="EB573" s="125"/>
      <c r="EC573" s="16"/>
      <c r="ED573" s="125"/>
      <c r="EE573" s="125"/>
      <c r="EF573" s="16"/>
      <c r="EG573" s="125"/>
      <c r="EQ573" s="125"/>
      <c r="ER573" s="16"/>
      <c r="ES573" s="123"/>
      <c r="ET573" s="19"/>
      <c r="EU573" s="139"/>
      <c r="EV573" s="139"/>
      <c r="EW573" s="123"/>
      <c r="EX573" s="123"/>
      <c r="EY573" s="123"/>
      <c r="EZ573" s="123"/>
      <c r="FA573" s="123"/>
      <c r="FB573" s="123"/>
      <c r="FC573" s="6"/>
      <c r="FD573" s="123"/>
      <c r="FE573" s="6"/>
      <c r="FF573" s="123"/>
      <c r="FG573" s="6"/>
      <c r="FH573" s="6"/>
      <c r="FI573" s="6"/>
      <c r="FJ573" s="6"/>
      <c r="FK573" s="123"/>
      <c r="FL573" s="6"/>
      <c r="FM573" s="6"/>
      <c r="FN573" s="6"/>
      <c r="FO573" s="138"/>
      <c r="FP573" s="138"/>
      <c r="FQ573" s="123"/>
      <c r="FR573" s="6"/>
      <c r="FS573" s="6"/>
      <c r="FT573" s="139"/>
      <c r="FU573" s="139"/>
      <c r="FV573" s="76"/>
      <c r="FW573" s="123"/>
      <c r="FX573" s="6"/>
    </row>
    <row r="574" spans="35:180">
      <c r="AI574" s="125"/>
      <c r="AJ574" s="16"/>
      <c r="AM574" s="16"/>
      <c r="AN574" s="16"/>
      <c r="AO574" s="125"/>
      <c r="AP574" s="16"/>
      <c r="AQ574" s="125"/>
      <c r="AZ574" s="125"/>
      <c r="BA574" s="142"/>
      <c r="BB574" s="125"/>
      <c r="BC574" s="16"/>
      <c r="BD574" s="125"/>
      <c r="BE574" s="125"/>
      <c r="BF574" s="16"/>
      <c r="BG574" s="125"/>
      <c r="BQ574" s="125"/>
      <c r="BR574" s="16"/>
      <c r="BS574" s="123"/>
      <c r="BT574" s="19"/>
      <c r="BU574" s="139"/>
      <c r="BV574" s="139"/>
      <c r="BW574" s="123"/>
      <c r="BX574" s="123"/>
      <c r="BY574" s="123"/>
      <c r="BZ574" s="123"/>
      <c r="CA574" s="123"/>
      <c r="CB574" s="123"/>
      <c r="CC574" s="6"/>
      <c r="CD574" s="123"/>
      <c r="CE574" s="6"/>
      <c r="CF574" s="123"/>
      <c r="CG574" s="6"/>
      <c r="CH574" s="6"/>
      <c r="CI574" s="6"/>
      <c r="CJ574" s="6"/>
      <c r="CK574" s="123"/>
      <c r="CL574" s="6"/>
      <c r="CM574" s="6"/>
      <c r="CN574" s="6"/>
      <c r="CO574" s="138"/>
      <c r="CP574" s="138"/>
      <c r="CQ574" s="123"/>
      <c r="CR574" s="6"/>
      <c r="CS574" s="6"/>
      <c r="CT574" s="139"/>
      <c r="CU574" s="139"/>
      <c r="CV574" s="76"/>
      <c r="CW574" s="123"/>
      <c r="CX574" s="6"/>
      <c r="DI574" s="125"/>
      <c r="DJ574" s="16"/>
      <c r="DM574" s="16"/>
      <c r="DN574" s="16"/>
      <c r="DO574" s="125"/>
      <c r="DP574" s="16"/>
      <c r="DQ574" s="125"/>
      <c r="DZ574" s="125"/>
      <c r="EA574" s="142"/>
      <c r="EB574" s="125"/>
      <c r="EC574" s="16"/>
      <c r="ED574" s="125"/>
      <c r="EE574" s="125"/>
      <c r="EF574" s="16"/>
      <c r="EG574" s="125"/>
      <c r="EQ574" s="125"/>
      <c r="ER574" s="16"/>
      <c r="ES574" s="123"/>
      <c r="ET574" s="19"/>
      <c r="EU574" s="139"/>
      <c r="EV574" s="139"/>
      <c r="EW574" s="123"/>
      <c r="EX574" s="123"/>
      <c r="EY574" s="123"/>
      <c r="EZ574" s="123"/>
      <c r="FA574" s="123"/>
      <c r="FB574" s="123"/>
      <c r="FC574" s="6"/>
      <c r="FD574" s="123"/>
      <c r="FE574" s="6"/>
      <c r="FF574" s="123"/>
      <c r="FG574" s="6"/>
      <c r="FH574" s="6"/>
      <c r="FI574" s="6"/>
      <c r="FJ574" s="6"/>
      <c r="FK574" s="123"/>
      <c r="FL574" s="6"/>
      <c r="FM574" s="6"/>
      <c r="FN574" s="6"/>
      <c r="FO574" s="138"/>
      <c r="FP574" s="138"/>
      <c r="FQ574" s="123"/>
      <c r="FR574" s="6"/>
      <c r="FS574" s="6"/>
      <c r="FT574" s="139"/>
      <c r="FU574" s="139"/>
      <c r="FV574" s="76"/>
      <c r="FW574" s="123"/>
      <c r="FX574" s="6"/>
    </row>
    <row r="575" spans="35:180">
      <c r="AI575" s="125"/>
      <c r="AJ575" s="16"/>
      <c r="AM575" s="16"/>
      <c r="AN575" s="16"/>
      <c r="AO575" s="125"/>
      <c r="AP575" s="16"/>
      <c r="AQ575" s="125"/>
      <c r="AZ575" s="125"/>
      <c r="BA575" s="142"/>
      <c r="BB575" s="125"/>
      <c r="BC575" s="16"/>
      <c r="BD575" s="125"/>
      <c r="BE575" s="125"/>
      <c r="BF575" s="16"/>
      <c r="BG575" s="125"/>
      <c r="BQ575" s="125"/>
      <c r="BR575" s="16"/>
      <c r="BS575" s="123"/>
      <c r="BT575" s="19"/>
      <c r="BU575" s="139"/>
      <c r="BV575" s="139"/>
      <c r="BW575" s="123"/>
      <c r="BX575" s="123"/>
      <c r="BY575" s="123"/>
      <c r="BZ575" s="123"/>
      <c r="CA575" s="123"/>
      <c r="CB575" s="123"/>
      <c r="CC575" s="6"/>
      <c r="CD575" s="123"/>
      <c r="CE575" s="6"/>
      <c r="CF575" s="123"/>
      <c r="CG575" s="6"/>
      <c r="CH575" s="6"/>
      <c r="CI575" s="6"/>
      <c r="CJ575" s="6"/>
      <c r="CK575" s="123"/>
      <c r="CL575" s="6"/>
      <c r="CM575" s="6"/>
      <c r="CN575" s="6"/>
      <c r="CO575" s="138"/>
      <c r="CP575" s="138"/>
      <c r="CQ575" s="123"/>
      <c r="CR575" s="6"/>
      <c r="CS575" s="6"/>
      <c r="CT575" s="139"/>
      <c r="CU575" s="139"/>
      <c r="CV575" s="76"/>
      <c r="CW575" s="123"/>
      <c r="CX575" s="6"/>
      <c r="DI575" s="125"/>
      <c r="DJ575" s="16"/>
      <c r="DM575" s="16"/>
      <c r="DN575" s="16"/>
      <c r="DO575" s="125"/>
      <c r="DP575" s="16"/>
      <c r="DQ575" s="125"/>
      <c r="DZ575" s="125"/>
      <c r="EA575" s="142"/>
      <c r="EB575" s="125"/>
      <c r="EC575" s="16"/>
      <c r="ED575" s="125"/>
      <c r="EE575" s="125"/>
      <c r="EF575" s="16"/>
      <c r="EG575" s="125"/>
      <c r="EQ575" s="125"/>
      <c r="ER575" s="16"/>
      <c r="ES575" s="123"/>
      <c r="ET575" s="19"/>
      <c r="EU575" s="139"/>
      <c r="EV575" s="139"/>
      <c r="EW575" s="123"/>
      <c r="EX575" s="123"/>
      <c r="EY575" s="123"/>
      <c r="EZ575" s="123"/>
      <c r="FA575" s="123"/>
      <c r="FB575" s="123"/>
      <c r="FC575" s="6"/>
      <c r="FD575" s="123"/>
      <c r="FE575" s="6"/>
      <c r="FF575" s="123"/>
      <c r="FG575" s="6"/>
      <c r="FH575" s="6"/>
      <c r="FI575" s="6"/>
      <c r="FJ575" s="6"/>
      <c r="FK575" s="123"/>
      <c r="FL575" s="6"/>
      <c r="FM575" s="6"/>
      <c r="FN575" s="6"/>
      <c r="FO575" s="138"/>
      <c r="FP575" s="138"/>
      <c r="FQ575" s="123"/>
      <c r="FR575" s="6"/>
      <c r="FS575" s="6"/>
      <c r="FT575" s="139"/>
      <c r="FU575" s="139"/>
      <c r="FV575" s="76"/>
      <c r="FW575" s="123"/>
      <c r="FX575" s="6"/>
    </row>
    <row r="576" spans="35:180">
      <c r="AI576" s="125"/>
      <c r="AJ576" s="16"/>
      <c r="AM576" s="16"/>
      <c r="AN576" s="16"/>
      <c r="AO576" s="125"/>
      <c r="AP576" s="16"/>
      <c r="AQ576" s="125"/>
      <c r="AZ576" s="125"/>
      <c r="BA576" s="142"/>
      <c r="BB576" s="125"/>
      <c r="BC576" s="16"/>
      <c r="BD576" s="125"/>
      <c r="BE576" s="125"/>
      <c r="BF576" s="16"/>
      <c r="BG576" s="125"/>
      <c r="BQ576" s="125"/>
      <c r="BR576" s="16"/>
      <c r="BS576" s="123"/>
      <c r="BT576" s="19"/>
      <c r="BU576" s="139"/>
      <c r="BV576" s="139"/>
      <c r="BW576" s="123"/>
      <c r="BX576" s="123"/>
      <c r="BY576" s="123"/>
      <c r="BZ576" s="123"/>
      <c r="CA576" s="123"/>
      <c r="CB576" s="123"/>
      <c r="CC576" s="6"/>
      <c r="CD576" s="123"/>
      <c r="CE576" s="6"/>
      <c r="CF576" s="123"/>
      <c r="CG576" s="6"/>
      <c r="CH576" s="6"/>
      <c r="CI576" s="6"/>
      <c r="CJ576" s="6"/>
      <c r="CK576" s="123"/>
      <c r="CL576" s="6"/>
      <c r="CM576" s="6"/>
      <c r="CN576" s="6"/>
      <c r="CO576" s="138"/>
      <c r="CP576" s="138"/>
      <c r="CQ576" s="123"/>
      <c r="CR576" s="6"/>
      <c r="CS576" s="6"/>
      <c r="CT576" s="139"/>
      <c r="CU576" s="139"/>
      <c r="CV576" s="76"/>
      <c r="CW576" s="123"/>
      <c r="CX576" s="6"/>
      <c r="DI576" s="125"/>
      <c r="DJ576" s="16"/>
      <c r="DM576" s="16"/>
      <c r="DN576" s="16"/>
      <c r="DO576" s="125"/>
      <c r="DP576" s="16"/>
      <c r="DQ576" s="125"/>
      <c r="DZ576" s="125"/>
      <c r="EA576" s="142"/>
      <c r="EB576" s="125"/>
      <c r="EC576" s="16"/>
      <c r="ED576" s="125"/>
      <c r="EE576" s="125"/>
      <c r="EF576" s="16"/>
      <c r="EG576" s="125"/>
      <c r="EQ576" s="125"/>
      <c r="ER576" s="16"/>
      <c r="ES576" s="123"/>
      <c r="ET576" s="19"/>
      <c r="EU576" s="139"/>
      <c r="EV576" s="139"/>
      <c r="EW576" s="123"/>
      <c r="EX576" s="123"/>
      <c r="EY576" s="123"/>
      <c r="EZ576" s="123"/>
      <c r="FA576" s="123"/>
      <c r="FB576" s="123"/>
      <c r="FC576" s="6"/>
      <c r="FD576" s="123"/>
      <c r="FE576" s="6"/>
      <c r="FF576" s="123"/>
      <c r="FG576" s="6"/>
      <c r="FH576" s="6"/>
      <c r="FI576" s="6"/>
      <c r="FJ576" s="6"/>
      <c r="FK576" s="123"/>
      <c r="FL576" s="6"/>
      <c r="FM576" s="6"/>
      <c r="FN576" s="6"/>
      <c r="FO576" s="138"/>
      <c r="FP576" s="138"/>
      <c r="FQ576" s="123"/>
      <c r="FR576" s="6"/>
      <c r="FS576" s="6"/>
      <c r="FT576" s="139"/>
      <c r="FU576" s="139"/>
      <c r="FV576" s="76"/>
      <c r="FW576" s="123"/>
      <c r="FX576" s="6"/>
    </row>
    <row r="577" spans="35:180">
      <c r="AI577" s="125"/>
      <c r="AJ577" s="16"/>
      <c r="AM577" s="16"/>
      <c r="AN577" s="16"/>
      <c r="AO577" s="125"/>
      <c r="AP577" s="16"/>
      <c r="AQ577" s="125"/>
      <c r="AZ577" s="125"/>
      <c r="BA577" s="142"/>
      <c r="BB577" s="125"/>
      <c r="BC577" s="16"/>
      <c r="BD577" s="125"/>
      <c r="BE577" s="125"/>
      <c r="BF577" s="16"/>
      <c r="BG577" s="125"/>
      <c r="BQ577" s="125"/>
      <c r="BR577" s="16"/>
      <c r="BS577" s="123"/>
      <c r="BT577" s="19"/>
      <c r="BU577" s="139"/>
      <c r="BV577" s="139"/>
      <c r="BW577" s="123"/>
      <c r="BX577" s="123"/>
      <c r="BY577" s="123"/>
      <c r="BZ577" s="123"/>
      <c r="CA577" s="123"/>
      <c r="CB577" s="123"/>
      <c r="CC577" s="6"/>
      <c r="CD577" s="123"/>
      <c r="CE577" s="6"/>
      <c r="CF577" s="123"/>
      <c r="CG577" s="6"/>
      <c r="CH577" s="6"/>
      <c r="CI577" s="6"/>
      <c r="CJ577" s="6"/>
      <c r="CK577" s="123"/>
      <c r="CL577" s="6"/>
      <c r="CM577" s="6"/>
      <c r="CN577" s="6"/>
      <c r="CO577" s="138"/>
      <c r="CP577" s="138"/>
      <c r="CQ577" s="123"/>
      <c r="CR577" s="6"/>
      <c r="CS577" s="6"/>
      <c r="CT577" s="139"/>
      <c r="CU577" s="139"/>
      <c r="CV577" s="76"/>
      <c r="CW577" s="123"/>
      <c r="CX577" s="6"/>
      <c r="DI577" s="125"/>
      <c r="DJ577" s="16"/>
      <c r="DM577" s="16"/>
      <c r="DN577" s="16"/>
      <c r="DO577" s="125"/>
      <c r="DP577" s="16"/>
      <c r="DQ577" s="125"/>
      <c r="DZ577" s="125"/>
      <c r="EA577" s="142"/>
      <c r="EB577" s="125"/>
      <c r="EC577" s="16"/>
      <c r="ED577" s="125"/>
      <c r="EE577" s="125"/>
      <c r="EF577" s="16"/>
      <c r="EG577" s="125"/>
      <c r="EQ577" s="125"/>
      <c r="ER577" s="16"/>
      <c r="ES577" s="123"/>
      <c r="ET577" s="19"/>
      <c r="EU577" s="139"/>
      <c r="EV577" s="139"/>
      <c r="EW577" s="123"/>
      <c r="EX577" s="123"/>
      <c r="EY577" s="123"/>
      <c r="EZ577" s="123"/>
      <c r="FA577" s="123"/>
      <c r="FB577" s="123"/>
      <c r="FC577" s="6"/>
      <c r="FD577" s="123"/>
      <c r="FE577" s="6"/>
      <c r="FF577" s="123"/>
      <c r="FG577" s="6"/>
      <c r="FH577" s="6"/>
      <c r="FI577" s="6"/>
      <c r="FJ577" s="6"/>
      <c r="FK577" s="123"/>
      <c r="FL577" s="6"/>
      <c r="FM577" s="6"/>
      <c r="FN577" s="6"/>
      <c r="FO577" s="138"/>
      <c r="FP577" s="138"/>
      <c r="FQ577" s="123"/>
      <c r="FR577" s="6"/>
      <c r="FS577" s="6"/>
      <c r="FT577" s="139"/>
      <c r="FU577" s="139"/>
      <c r="FV577" s="76"/>
      <c r="FW577" s="123"/>
      <c r="FX577" s="6"/>
    </row>
    <row r="578" spans="35:180">
      <c r="AI578" s="125"/>
      <c r="AJ578" s="16"/>
      <c r="AM578" s="16"/>
      <c r="AN578" s="16"/>
      <c r="AO578" s="125"/>
      <c r="AP578" s="16"/>
      <c r="AQ578" s="125"/>
      <c r="AZ578" s="125"/>
      <c r="BA578" s="142"/>
      <c r="BB578" s="125"/>
      <c r="BC578" s="16"/>
      <c r="BD578" s="125"/>
      <c r="BE578" s="125"/>
      <c r="BF578" s="16"/>
      <c r="BG578" s="125"/>
      <c r="BQ578" s="125"/>
      <c r="BR578" s="16"/>
      <c r="BS578" s="123"/>
      <c r="BT578" s="19"/>
      <c r="BU578" s="139"/>
      <c r="BV578" s="139"/>
      <c r="BW578" s="123"/>
      <c r="BX578" s="123"/>
      <c r="BY578" s="123"/>
      <c r="BZ578" s="123"/>
      <c r="CA578" s="123"/>
      <c r="CB578" s="123"/>
      <c r="CC578" s="6"/>
      <c r="CD578" s="123"/>
      <c r="CE578" s="6"/>
      <c r="CF578" s="123"/>
      <c r="CG578" s="6"/>
      <c r="CH578" s="6"/>
      <c r="CI578" s="6"/>
      <c r="CJ578" s="6"/>
      <c r="CK578" s="123"/>
      <c r="CL578" s="6"/>
      <c r="CM578" s="6"/>
      <c r="CN578" s="6"/>
      <c r="CO578" s="138"/>
      <c r="CP578" s="138"/>
      <c r="CQ578" s="123"/>
      <c r="CR578" s="6"/>
      <c r="CS578" s="6"/>
      <c r="CT578" s="139"/>
      <c r="CU578" s="139"/>
      <c r="CV578" s="76"/>
      <c r="CW578" s="123"/>
      <c r="CX578" s="6"/>
      <c r="DI578" s="125"/>
      <c r="DJ578" s="16"/>
      <c r="DM578" s="16"/>
      <c r="DN578" s="16"/>
      <c r="DO578" s="125"/>
      <c r="DP578" s="16"/>
      <c r="DQ578" s="125"/>
      <c r="DZ578" s="125"/>
      <c r="EA578" s="142"/>
      <c r="EB578" s="125"/>
      <c r="EC578" s="16"/>
      <c r="ED578" s="125"/>
      <c r="EE578" s="125"/>
      <c r="EF578" s="16"/>
      <c r="EG578" s="125"/>
      <c r="EQ578" s="125"/>
      <c r="ER578" s="16"/>
      <c r="ES578" s="123"/>
      <c r="ET578" s="19"/>
      <c r="EU578" s="139"/>
      <c r="EV578" s="139"/>
      <c r="EW578" s="123"/>
      <c r="EX578" s="123"/>
      <c r="EY578" s="123"/>
      <c r="EZ578" s="123"/>
      <c r="FA578" s="123"/>
      <c r="FB578" s="123"/>
      <c r="FC578" s="6"/>
      <c r="FD578" s="123"/>
      <c r="FE578" s="6"/>
      <c r="FF578" s="123"/>
      <c r="FG578" s="6"/>
      <c r="FH578" s="6"/>
      <c r="FI578" s="6"/>
      <c r="FJ578" s="6"/>
      <c r="FK578" s="123"/>
      <c r="FL578" s="6"/>
      <c r="FM578" s="6"/>
      <c r="FN578" s="6"/>
      <c r="FO578" s="138"/>
      <c r="FP578" s="138"/>
      <c r="FQ578" s="123"/>
      <c r="FR578" s="6"/>
      <c r="FS578" s="6"/>
      <c r="FT578" s="139"/>
      <c r="FU578" s="139"/>
      <c r="FV578" s="76"/>
      <c r="FW578" s="123"/>
      <c r="FX578" s="6"/>
    </row>
    <row r="579" spans="35:180">
      <c r="AI579" s="125"/>
      <c r="AJ579" s="16"/>
      <c r="AM579" s="16"/>
      <c r="AN579" s="16"/>
      <c r="AO579" s="125"/>
      <c r="AP579" s="16"/>
      <c r="AQ579" s="125"/>
      <c r="AZ579" s="125"/>
      <c r="BA579" s="142"/>
      <c r="BB579" s="125"/>
      <c r="BC579" s="16"/>
      <c r="BD579" s="125"/>
      <c r="BE579" s="125"/>
      <c r="BF579" s="16"/>
      <c r="BG579" s="125"/>
      <c r="BQ579" s="125"/>
      <c r="BR579" s="16"/>
      <c r="BS579" s="123"/>
      <c r="BT579" s="19"/>
      <c r="BU579" s="139"/>
      <c r="BV579" s="139"/>
      <c r="BW579" s="123"/>
      <c r="BX579" s="123"/>
      <c r="BY579" s="123"/>
      <c r="BZ579" s="123"/>
      <c r="CA579" s="123"/>
      <c r="CB579" s="123"/>
      <c r="CC579" s="6"/>
      <c r="CD579" s="123"/>
      <c r="CE579" s="6"/>
      <c r="CF579" s="123"/>
      <c r="CG579" s="6"/>
      <c r="CH579" s="6"/>
      <c r="CI579" s="6"/>
      <c r="CJ579" s="6"/>
      <c r="CK579" s="123"/>
      <c r="CL579" s="6"/>
      <c r="CM579" s="6"/>
      <c r="CN579" s="6"/>
      <c r="CO579" s="138"/>
      <c r="CP579" s="138"/>
      <c r="CQ579" s="123"/>
      <c r="CR579" s="6"/>
      <c r="CS579" s="6"/>
      <c r="CT579" s="139"/>
      <c r="CU579" s="139"/>
      <c r="CV579" s="76"/>
      <c r="CW579" s="123"/>
      <c r="CX579" s="6"/>
      <c r="DI579" s="125"/>
      <c r="DJ579" s="16"/>
      <c r="DM579" s="16"/>
      <c r="DN579" s="16"/>
      <c r="DO579" s="125"/>
      <c r="DP579" s="16"/>
      <c r="DQ579" s="125"/>
      <c r="DZ579" s="125"/>
      <c r="EA579" s="142"/>
      <c r="EB579" s="125"/>
      <c r="EC579" s="16"/>
      <c r="ED579" s="125"/>
      <c r="EE579" s="125"/>
      <c r="EF579" s="16"/>
      <c r="EG579" s="125"/>
      <c r="EQ579" s="125"/>
      <c r="ER579" s="16"/>
      <c r="ES579" s="123"/>
      <c r="ET579" s="19"/>
      <c r="EU579" s="139"/>
      <c r="EV579" s="139"/>
      <c r="EW579" s="123"/>
      <c r="EX579" s="123"/>
      <c r="EY579" s="123"/>
      <c r="EZ579" s="123"/>
      <c r="FA579" s="123"/>
      <c r="FB579" s="123"/>
      <c r="FC579" s="6"/>
      <c r="FD579" s="123"/>
      <c r="FE579" s="6"/>
      <c r="FF579" s="123"/>
      <c r="FG579" s="6"/>
      <c r="FH579" s="6"/>
      <c r="FI579" s="6"/>
      <c r="FJ579" s="6"/>
      <c r="FK579" s="123"/>
      <c r="FL579" s="6"/>
      <c r="FM579" s="6"/>
      <c r="FN579" s="6"/>
      <c r="FO579" s="138"/>
      <c r="FP579" s="138"/>
      <c r="FQ579" s="123"/>
      <c r="FR579" s="6"/>
      <c r="FS579" s="6"/>
      <c r="FT579" s="139"/>
      <c r="FU579" s="139"/>
      <c r="FV579" s="76"/>
      <c r="FW579" s="123"/>
      <c r="FX579" s="6"/>
    </row>
    <row r="580" spans="35:180">
      <c r="AI580" s="125"/>
      <c r="AJ580" s="16"/>
      <c r="AM580" s="16"/>
      <c r="AN580" s="16"/>
      <c r="AO580" s="125"/>
      <c r="AP580" s="16"/>
      <c r="AQ580" s="125"/>
      <c r="AZ580" s="125"/>
      <c r="BA580" s="142"/>
      <c r="BB580" s="125"/>
      <c r="BC580" s="16"/>
      <c r="BD580" s="125"/>
      <c r="BE580" s="125"/>
      <c r="BF580" s="16"/>
      <c r="BG580" s="125"/>
      <c r="BQ580" s="125"/>
      <c r="BR580" s="16"/>
      <c r="BS580" s="123"/>
      <c r="BT580" s="19"/>
      <c r="BU580" s="139"/>
      <c r="BV580" s="139"/>
      <c r="BW580" s="123"/>
      <c r="BX580" s="123"/>
      <c r="BY580" s="123"/>
      <c r="BZ580" s="123"/>
      <c r="CA580" s="123"/>
      <c r="CB580" s="123"/>
      <c r="CC580" s="6"/>
      <c r="CD580" s="123"/>
      <c r="CE580" s="6"/>
      <c r="CF580" s="123"/>
      <c r="CG580" s="6"/>
      <c r="CH580" s="6"/>
      <c r="CI580" s="6"/>
      <c r="CJ580" s="6"/>
      <c r="CK580" s="123"/>
      <c r="CL580" s="6"/>
      <c r="CM580" s="6"/>
      <c r="CN580" s="6"/>
      <c r="CO580" s="138"/>
      <c r="CP580" s="138"/>
      <c r="CQ580" s="123"/>
      <c r="CR580" s="6"/>
      <c r="CS580" s="6"/>
      <c r="CT580" s="139"/>
      <c r="CU580" s="139"/>
      <c r="CV580" s="76"/>
      <c r="CW580" s="123"/>
      <c r="CX580" s="6"/>
      <c r="DI580" s="125"/>
      <c r="DJ580" s="16"/>
      <c r="DM580" s="16"/>
      <c r="DN580" s="16"/>
      <c r="DO580" s="125"/>
      <c r="DP580" s="16"/>
      <c r="DQ580" s="125"/>
      <c r="DZ580" s="125"/>
      <c r="EA580" s="142"/>
      <c r="EB580" s="125"/>
      <c r="EC580" s="16"/>
      <c r="ED580" s="125"/>
      <c r="EE580" s="125"/>
      <c r="EF580" s="16"/>
      <c r="EG580" s="125"/>
      <c r="EQ580" s="125"/>
      <c r="ER580" s="16"/>
      <c r="ES580" s="123"/>
      <c r="ET580" s="19"/>
      <c r="EU580" s="139"/>
      <c r="EV580" s="139"/>
      <c r="EW580" s="123"/>
      <c r="EX580" s="123"/>
      <c r="EY580" s="123"/>
      <c r="EZ580" s="123"/>
      <c r="FA580" s="123"/>
      <c r="FB580" s="123"/>
      <c r="FC580" s="6"/>
      <c r="FD580" s="123"/>
      <c r="FE580" s="6"/>
      <c r="FF580" s="123"/>
      <c r="FG580" s="6"/>
      <c r="FH580" s="6"/>
      <c r="FI580" s="6"/>
      <c r="FJ580" s="6"/>
      <c r="FK580" s="123"/>
      <c r="FL580" s="6"/>
      <c r="FM580" s="6"/>
      <c r="FN580" s="6"/>
      <c r="FO580" s="138"/>
      <c r="FP580" s="138"/>
      <c r="FQ580" s="123"/>
      <c r="FR580" s="6"/>
      <c r="FS580" s="6"/>
      <c r="FT580" s="139"/>
      <c r="FU580" s="139"/>
      <c r="FV580" s="76"/>
      <c r="FW580" s="123"/>
      <c r="FX580" s="6"/>
    </row>
    <row r="581" spans="35:180">
      <c r="AI581" s="125"/>
      <c r="AJ581" s="16"/>
      <c r="AM581" s="16"/>
      <c r="AN581" s="16"/>
      <c r="AO581" s="125"/>
      <c r="AP581" s="16"/>
      <c r="AQ581" s="125"/>
      <c r="AZ581" s="125"/>
      <c r="BA581" s="142"/>
      <c r="BB581" s="125"/>
      <c r="BC581" s="16"/>
      <c r="BD581" s="125"/>
      <c r="BE581" s="125"/>
      <c r="BF581" s="16"/>
      <c r="BG581" s="125"/>
      <c r="BQ581" s="125"/>
      <c r="BR581" s="16"/>
      <c r="BS581" s="123"/>
      <c r="BT581" s="19"/>
      <c r="BU581" s="139"/>
      <c r="BV581" s="139"/>
      <c r="BW581" s="123"/>
      <c r="BX581" s="123"/>
      <c r="BY581" s="123"/>
      <c r="BZ581" s="123"/>
      <c r="CA581" s="123"/>
      <c r="CB581" s="123"/>
      <c r="CC581" s="6"/>
      <c r="CD581" s="123"/>
      <c r="CE581" s="6"/>
      <c r="CF581" s="123"/>
      <c r="CG581" s="6"/>
      <c r="CH581" s="6"/>
      <c r="CI581" s="6"/>
      <c r="CJ581" s="6"/>
      <c r="CK581" s="123"/>
      <c r="CL581" s="6"/>
      <c r="CM581" s="6"/>
      <c r="CN581" s="6"/>
      <c r="CO581" s="138"/>
      <c r="CP581" s="138"/>
      <c r="CQ581" s="123"/>
      <c r="CR581" s="6"/>
      <c r="CS581" s="6"/>
      <c r="CT581" s="139"/>
      <c r="CU581" s="139"/>
      <c r="CV581" s="76"/>
      <c r="CW581" s="123"/>
      <c r="CX581" s="6"/>
      <c r="DI581" s="125"/>
      <c r="DJ581" s="16"/>
      <c r="DM581" s="16"/>
      <c r="DN581" s="16"/>
      <c r="DO581" s="125"/>
      <c r="DP581" s="16"/>
      <c r="DQ581" s="125"/>
      <c r="DZ581" s="125"/>
      <c r="EA581" s="142"/>
      <c r="EB581" s="125"/>
      <c r="EC581" s="16"/>
      <c r="ED581" s="125"/>
      <c r="EE581" s="125"/>
      <c r="EF581" s="16"/>
      <c r="EG581" s="125"/>
      <c r="EQ581" s="125"/>
      <c r="ER581" s="16"/>
      <c r="ES581" s="123"/>
      <c r="ET581" s="19"/>
      <c r="EU581" s="139"/>
      <c r="EV581" s="139"/>
      <c r="EW581" s="123"/>
      <c r="EX581" s="123"/>
      <c r="EY581" s="123"/>
      <c r="EZ581" s="123"/>
      <c r="FA581" s="123"/>
      <c r="FB581" s="123"/>
      <c r="FC581" s="6"/>
      <c r="FD581" s="123"/>
      <c r="FE581" s="6"/>
      <c r="FF581" s="123"/>
      <c r="FG581" s="6"/>
      <c r="FH581" s="6"/>
      <c r="FI581" s="6"/>
      <c r="FJ581" s="6"/>
      <c r="FK581" s="123"/>
      <c r="FL581" s="6"/>
      <c r="FM581" s="6"/>
      <c r="FN581" s="6"/>
      <c r="FO581" s="138"/>
      <c r="FP581" s="138"/>
      <c r="FQ581" s="123"/>
      <c r="FR581" s="6"/>
      <c r="FS581" s="6"/>
      <c r="FT581" s="139"/>
      <c r="FU581" s="139"/>
      <c r="FV581" s="76"/>
      <c r="FW581" s="123"/>
      <c r="FX581" s="6"/>
    </row>
    <row r="582" spans="35:180">
      <c r="AI582" s="125"/>
      <c r="AJ582" s="16"/>
      <c r="AM582" s="16"/>
      <c r="AN582" s="16"/>
      <c r="AO582" s="125"/>
      <c r="AP582" s="16"/>
      <c r="AQ582" s="125"/>
      <c r="AZ582" s="125"/>
      <c r="BA582" s="142"/>
      <c r="BB582" s="125"/>
      <c r="BC582" s="16"/>
      <c r="BD582" s="125"/>
      <c r="BE582" s="125"/>
      <c r="BF582" s="16"/>
      <c r="BG582" s="125"/>
      <c r="BQ582" s="125"/>
      <c r="BR582" s="16"/>
      <c r="BS582" s="123"/>
      <c r="BT582" s="19"/>
      <c r="BU582" s="139"/>
      <c r="BV582" s="139"/>
      <c r="BW582" s="123"/>
      <c r="BX582" s="123"/>
      <c r="BY582" s="123"/>
      <c r="BZ582" s="123"/>
      <c r="CA582" s="123"/>
      <c r="CB582" s="123"/>
      <c r="CC582" s="6"/>
      <c r="CD582" s="123"/>
      <c r="CE582" s="6"/>
      <c r="CF582" s="123"/>
      <c r="CG582" s="6"/>
      <c r="CH582" s="6"/>
      <c r="CI582" s="6"/>
      <c r="CJ582" s="6"/>
      <c r="CK582" s="123"/>
      <c r="CL582" s="6"/>
      <c r="CM582" s="6"/>
      <c r="CN582" s="6"/>
      <c r="CO582" s="138"/>
      <c r="CP582" s="138"/>
      <c r="CQ582" s="123"/>
      <c r="CR582" s="6"/>
      <c r="CS582" s="6"/>
      <c r="CT582" s="139"/>
      <c r="CU582" s="139"/>
      <c r="CV582" s="76"/>
      <c r="CW582" s="123"/>
      <c r="CX582" s="6"/>
      <c r="DI582" s="125"/>
      <c r="DJ582" s="16"/>
      <c r="DM582" s="16"/>
      <c r="DN582" s="16"/>
      <c r="DO582" s="125"/>
      <c r="DP582" s="16"/>
      <c r="DQ582" s="125"/>
      <c r="DZ582" s="125"/>
      <c r="EA582" s="142"/>
      <c r="EB582" s="125"/>
      <c r="EC582" s="16"/>
      <c r="ED582" s="125"/>
      <c r="EE582" s="125"/>
      <c r="EF582" s="16"/>
      <c r="EG582" s="125"/>
      <c r="EQ582" s="125"/>
      <c r="ER582" s="16"/>
      <c r="ES582" s="123"/>
      <c r="ET582" s="19"/>
      <c r="EU582" s="139"/>
      <c r="EV582" s="139"/>
      <c r="EW582" s="123"/>
      <c r="EX582" s="123"/>
      <c r="EY582" s="123"/>
      <c r="EZ582" s="123"/>
      <c r="FA582" s="123"/>
      <c r="FB582" s="123"/>
      <c r="FC582" s="6"/>
      <c r="FD582" s="123"/>
      <c r="FE582" s="6"/>
      <c r="FF582" s="123"/>
      <c r="FG582" s="6"/>
      <c r="FH582" s="6"/>
      <c r="FI582" s="6"/>
      <c r="FJ582" s="6"/>
      <c r="FK582" s="123"/>
      <c r="FL582" s="6"/>
      <c r="FM582" s="6"/>
      <c r="FN582" s="6"/>
      <c r="FO582" s="138"/>
      <c r="FP582" s="138"/>
      <c r="FQ582" s="123"/>
      <c r="FR582" s="6"/>
      <c r="FS582" s="6"/>
      <c r="FT582" s="139"/>
      <c r="FU582" s="139"/>
      <c r="FV582" s="76"/>
      <c r="FW582" s="123"/>
      <c r="FX582" s="6"/>
    </row>
    <row r="583" spans="35:180">
      <c r="AI583" s="125"/>
      <c r="AJ583" s="16"/>
      <c r="AM583" s="16"/>
      <c r="AN583" s="16"/>
      <c r="AO583" s="125"/>
      <c r="AP583" s="16"/>
      <c r="AQ583" s="125"/>
      <c r="AZ583" s="125"/>
      <c r="BA583" s="142"/>
      <c r="BB583" s="125"/>
      <c r="BC583" s="16"/>
      <c r="BD583" s="125"/>
      <c r="BE583" s="125"/>
      <c r="BF583" s="16"/>
      <c r="BG583" s="125"/>
      <c r="BQ583" s="125"/>
      <c r="BR583" s="16"/>
      <c r="BS583" s="123"/>
      <c r="BT583" s="19"/>
      <c r="BU583" s="139"/>
      <c r="BV583" s="139"/>
      <c r="BW583" s="123"/>
      <c r="BX583" s="123"/>
      <c r="BY583" s="123"/>
      <c r="BZ583" s="123"/>
      <c r="CA583" s="123"/>
      <c r="CB583" s="123"/>
      <c r="CC583" s="6"/>
      <c r="CD583" s="123"/>
      <c r="CE583" s="6"/>
      <c r="CF583" s="123"/>
      <c r="CG583" s="6"/>
      <c r="CH583" s="6"/>
      <c r="CI583" s="6"/>
      <c r="CJ583" s="6"/>
      <c r="CK583" s="123"/>
      <c r="CL583" s="6"/>
      <c r="CM583" s="6"/>
      <c r="CN583" s="6"/>
      <c r="CO583" s="138"/>
      <c r="CP583" s="138"/>
      <c r="CQ583" s="123"/>
      <c r="CR583" s="6"/>
      <c r="CS583" s="6"/>
      <c r="CT583" s="139"/>
      <c r="CU583" s="139"/>
      <c r="CV583" s="76"/>
      <c r="CW583" s="123"/>
      <c r="CX583" s="6"/>
      <c r="DI583" s="125"/>
      <c r="DJ583" s="16"/>
      <c r="DM583" s="16"/>
      <c r="DN583" s="16"/>
      <c r="DO583" s="125"/>
      <c r="DP583" s="16"/>
      <c r="DQ583" s="125"/>
      <c r="DZ583" s="125"/>
      <c r="EA583" s="142"/>
      <c r="EB583" s="125"/>
      <c r="EC583" s="16"/>
      <c r="ED583" s="125"/>
      <c r="EE583" s="125"/>
      <c r="EF583" s="16"/>
      <c r="EG583" s="125"/>
      <c r="EQ583" s="125"/>
      <c r="ER583" s="16"/>
      <c r="ES583" s="123"/>
      <c r="ET583" s="19"/>
      <c r="EU583" s="139"/>
      <c r="EV583" s="139"/>
      <c r="EW583" s="123"/>
      <c r="EX583" s="123"/>
      <c r="EY583" s="123"/>
      <c r="EZ583" s="123"/>
      <c r="FA583" s="123"/>
      <c r="FB583" s="123"/>
      <c r="FC583" s="6"/>
      <c r="FD583" s="123"/>
      <c r="FE583" s="6"/>
      <c r="FF583" s="123"/>
      <c r="FG583" s="6"/>
      <c r="FH583" s="6"/>
      <c r="FI583" s="6"/>
      <c r="FJ583" s="6"/>
      <c r="FK583" s="123"/>
      <c r="FL583" s="6"/>
      <c r="FM583" s="6"/>
      <c r="FN583" s="6"/>
      <c r="FO583" s="138"/>
      <c r="FP583" s="138"/>
      <c r="FQ583" s="123"/>
      <c r="FR583" s="6"/>
      <c r="FS583" s="6"/>
      <c r="FT583" s="139"/>
      <c r="FU583" s="139"/>
      <c r="FV583" s="76"/>
      <c r="FW583" s="123"/>
      <c r="FX583" s="6"/>
    </row>
    <row r="584" spans="35:180">
      <c r="AI584" s="125"/>
      <c r="AJ584" s="16"/>
      <c r="AM584" s="16"/>
      <c r="AN584" s="16"/>
      <c r="AO584" s="125"/>
      <c r="AP584" s="16"/>
      <c r="AQ584" s="125"/>
      <c r="AZ584" s="125"/>
      <c r="BA584" s="142"/>
      <c r="BB584" s="125"/>
      <c r="BC584" s="16"/>
      <c r="BD584" s="125"/>
      <c r="BE584" s="125"/>
      <c r="BF584" s="16"/>
      <c r="BG584" s="125"/>
      <c r="BQ584" s="125"/>
      <c r="BR584" s="16"/>
      <c r="BS584" s="123"/>
      <c r="BT584" s="19"/>
      <c r="BU584" s="139"/>
      <c r="BV584" s="139"/>
      <c r="BW584" s="123"/>
      <c r="BX584" s="123"/>
      <c r="BY584" s="123"/>
      <c r="BZ584" s="123"/>
      <c r="CA584" s="123"/>
      <c r="CB584" s="123"/>
      <c r="CC584" s="6"/>
      <c r="CD584" s="123"/>
      <c r="CE584" s="6"/>
      <c r="CF584" s="123"/>
      <c r="CG584" s="6"/>
      <c r="CH584" s="6"/>
      <c r="CI584" s="6"/>
      <c r="CJ584" s="6"/>
      <c r="CK584" s="123"/>
      <c r="CL584" s="6"/>
      <c r="CM584" s="6"/>
      <c r="CN584" s="6"/>
      <c r="CO584" s="138"/>
      <c r="CP584" s="138"/>
      <c r="CQ584" s="123"/>
      <c r="CR584" s="6"/>
      <c r="CS584" s="6"/>
      <c r="CT584" s="139"/>
      <c r="CU584" s="139"/>
      <c r="CV584" s="76"/>
      <c r="CW584" s="123"/>
      <c r="CX584" s="6"/>
      <c r="DI584" s="125"/>
      <c r="DJ584" s="16"/>
      <c r="DM584" s="16"/>
      <c r="DN584" s="16"/>
      <c r="DO584" s="125"/>
      <c r="DP584" s="16"/>
      <c r="DQ584" s="125"/>
      <c r="DZ584" s="125"/>
      <c r="EA584" s="142"/>
      <c r="EB584" s="125"/>
      <c r="EC584" s="16"/>
      <c r="ED584" s="125"/>
      <c r="EE584" s="125"/>
      <c r="EF584" s="16"/>
      <c r="EG584" s="125"/>
      <c r="EQ584" s="125"/>
      <c r="ER584" s="16"/>
      <c r="ES584" s="123"/>
      <c r="ET584" s="19"/>
      <c r="EU584" s="139"/>
      <c r="EV584" s="139"/>
      <c r="EW584" s="123"/>
      <c r="EX584" s="123"/>
      <c r="EY584" s="123"/>
      <c r="EZ584" s="123"/>
      <c r="FA584" s="123"/>
      <c r="FB584" s="123"/>
      <c r="FC584" s="6"/>
      <c r="FD584" s="123"/>
      <c r="FE584" s="6"/>
      <c r="FF584" s="123"/>
      <c r="FG584" s="6"/>
      <c r="FH584" s="6"/>
      <c r="FI584" s="6"/>
      <c r="FJ584" s="6"/>
      <c r="FK584" s="123"/>
      <c r="FL584" s="6"/>
      <c r="FM584" s="6"/>
      <c r="FN584" s="6"/>
      <c r="FO584" s="138"/>
      <c r="FP584" s="138"/>
      <c r="FQ584" s="123"/>
      <c r="FR584" s="6"/>
      <c r="FS584" s="6"/>
      <c r="FT584" s="139"/>
      <c r="FU584" s="139"/>
      <c r="FV584" s="76"/>
      <c r="FW584" s="123"/>
      <c r="FX584" s="6"/>
    </row>
    <row r="585" spans="35:180">
      <c r="AI585" s="125"/>
      <c r="AJ585" s="16"/>
      <c r="AM585" s="16"/>
      <c r="AN585" s="16"/>
      <c r="AO585" s="125"/>
      <c r="AP585" s="16"/>
      <c r="AQ585" s="125"/>
      <c r="AZ585" s="125"/>
      <c r="BA585" s="142"/>
      <c r="BB585" s="125"/>
      <c r="BC585" s="16"/>
      <c r="BD585" s="125"/>
      <c r="BE585" s="125"/>
      <c r="BF585" s="16"/>
      <c r="BG585" s="125"/>
      <c r="BQ585" s="125"/>
      <c r="BR585" s="16"/>
      <c r="BS585" s="123"/>
      <c r="BT585" s="19"/>
      <c r="BU585" s="139"/>
      <c r="BV585" s="139"/>
      <c r="BW585" s="123"/>
      <c r="BX585" s="123"/>
      <c r="BY585" s="123"/>
      <c r="BZ585" s="123"/>
      <c r="CA585" s="123"/>
      <c r="CB585" s="123"/>
      <c r="CC585" s="6"/>
      <c r="CD585" s="123"/>
      <c r="CE585" s="6"/>
      <c r="CF585" s="123"/>
      <c r="CG585" s="6"/>
      <c r="CH585" s="6"/>
      <c r="CI585" s="6"/>
      <c r="CJ585" s="6"/>
      <c r="CK585" s="123"/>
      <c r="CL585" s="6"/>
      <c r="CM585" s="6"/>
      <c r="CN585" s="6"/>
      <c r="CO585" s="138"/>
      <c r="CP585" s="138"/>
      <c r="CQ585" s="123"/>
      <c r="CR585" s="6"/>
      <c r="CS585" s="6"/>
      <c r="CT585" s="139"/>
      <c r="CU585" s="139"/>
      <c r="CV585" s="76"/>
      <c r="CW585" s="123"/>
      <c r="CX585" s="6"/>
      <c r="DI585" s="125"/>
      <c r="DJ585" s="16"/>
      <c r="DM585" s="16"/>
      <c r="DN585" s="16"/>
      <c r="DO585" s="125"/>
      <c r="DP585" s="16"/>
      <c r="DQ585" s="125"/>
      <c r="DZ585" s="125"/>
      <c r="EA585" s="142"/>
      <c r="EB585" s="125"/>
      <c r="EC585" s="16"/>
      <c r="ED585" s="125"/>
      <c r="EE585" s="125"/>
      <c r="EF585" s="16"/>
      <c r="EG585" s="125"/>
      <c r="EQ585" s="125"/>
      <c r="ER585" s="16"/>
      <c r="ES585" s="123"/>
      <c r="ET585" s="19"/>
      <c r="EU585" s="139"/>
      <c r="EV585" s="139"/>
      <c r="EW585" s="123"/>
      <c r="EX585" s="123"/>
      <c r="EY585" s="123"/>
      <c r="EZ585" s="123"/>
      <c r="FA585" s="123"/>
      <c r="FB585" s="123"/>
      <c r="FC585" s="6"/>
      <c r="FD585" s="123"/>
      <c r="FE585" s="6"/>
      <c r="FF585" s="123"/>
      <c r="FG585" s="6"/>
      <c r="FH585" s="6"/>
      <c r="FI585" s="6"/>
      <c r="FJ585" s="6"/>
      <c r="FK585" s="123"/>
      <c r="FL585" s="6"/>
      <c r="FM585" s="6"/>
      <c r="FN585" s="6"/>
      <c r="FO585" s="138"/>
      <c r="FP585" s="138"/>
      <c r="FQ585" s="123"/>
      <c r="FR585" s="6"/>
      <c r="FS585" s="6"/>
      <c r="FT585" s="139"/>
      <c r="FU585" s="139"/>
      <c r="FV585" s="76"/>
      <c r="FW585" s="123"/>
      <c r="FX585" s="6"/>
    </row>
    <row r="586" spans="35:180">
      <c r="AI586" s="125"/>
      <c r="AJ586" s="16"/>
      <c r="AM586" s="16"/>
      <c r="AN586" s="16"/>
      <c r="AO586" s="125"/>
      <c r="AP586" s="16"/>
      <c r="AQ586" s="125"/>
      <c r="AZ586" s="125"/>
      <c r="BA586" s="142"/>
      <c r="BB586" s="125"/>
      <c r="BC586" s="16"/>
      <c r="BD586" s="125"/>
      <c r="BE586" s="125"/>
      <c r="BF586" s="16"/>
      <c r="BG586" s="125"/>
      <c r="BQ586" s="125"/>
      <c r="BR586" s="16"/>
      <c r="BS586" s="123"/>
      <c r="BT586" s="19"/>
      <c r="BU586" s="139"/>
      <c r="BV586" s="139"/>
      <c r="BW586" s="123"/>
      <c r="BX586" s="123"/>
      <c r="BY586" s="123"/>
      <c r="BZ586" s="123"/>
      <c r="CA586" s="123"/>
      <c r="CB586" s="123"/>
      <c r="CC586" s="6"/>
      <c r="CD586" s="123"/>
      <c r="CE586" s="6"/>
      <c r="CF586" s="123"/>
      <c r="CG586" s="6"/>
      <c r="CH586" s="6"/>
      <c r="CI586" s="6"/>
      <c r="CJ586" s="6"/>
      <c r="CK586" s="123"/>
      <c r="CL586" s="6"/>
      <c r="CM586" s="6"/>
      <c r="CN586" s="6"/>
      <c r="CO586" s="138"/>
      <c r="CP586" s="138"/>
      <c r="CQ586" s="123"/>
      <c r="CR586" s="6"/>
      <c r="CS586" s="6"/>
      <c r="CT586" s="139"/>
      <c r="CU586" s="139"/>
      <c r="CV586" s="76"/>
      <c r="CW586" s="123"/>
      <c r="CX586" s="6"/>
      <c r="DI586" s="125"/>
      <c r="DJ586" s="16"/>
      <c r="DM586" s="16"/>
      <c r="DN586" s="16"/>
      <c r="DO586" s="125"/>
      <c r="DP586" s="16"/>
      <c r="DQ586" s="125"/>
      <c r="DZ586" s="125"/>
      <c r="EA586" s="142"/>
      <c r="EB586" s="125"/>
      <c r="EC586" s="16"/>
      <c r="ED586" s="125"/>
      <c r="EE586" s="125"/>
      <c r="EF586" s="16"/>
      <c r="EG586" s="125"/>
      <c r="EQ586" s="125"/>
      <c r="ER586" s="16"/>
      <c r="ES586" s="123"/>
      <c r="ET586" s="19"/>
      <c r="EU586" s="139"/>
      <c r="EV586" s="139"/>
      <c r="EW586" s="123"/>
      <c r="EX586" s="123"/>
      <c r="EY586" s="123"/>
      <c r="EZ586" s="123"/>
      <c r="FA586" s="123"/>
      <c r="FB586" s="123"/>
      <c r="FC586" s="6"/>
      <c r="FD586" s="123"/>
      <c r="FE586" s="6"/>
      <c r="FF586" s="123"/>
      <c r="FG586" s="6"/>
      <c r="FH586" s="6"/>
      <c r="FI586" s="6"/>
      <c r="FJ586" s="6"/>
      <c r="FK586" s="123"/>
      <c r="FL586" s="6"/>
      <c r="FM586" s="6"/>
      <c r="FN586" s="6"/>
      <c r="FO586" s="138"/>
      <c r="FP586" s="138"/>
      <c r="FQ586" s="123"/>
      <c r="FR586" s="6"/>
      <c r="FS586" s="6"/>
      <c r="FT586" s="139"/>
      <c r="FU586" s="139"/>
      <c r="FV586" s="76"/>
      <c r="FW586" s="123"/>
      <c r="FX586" s="6"/>
    </row>
    <row r="587" spans="35:180">
      <c r="AI587" s="125"/>
      <c r="AJ587" s="16"/>
      <c r="AM587" s="16"/>
      <c r="AN587" s="16"/>
      <c r="AO587" s="125"/>
      <c r="AP587" s="16"/>
      <c r="AQ587" s="125"/>
      <c r="AZ587" s="125"/>
      <c r="BA587" s="142"/>
      <c r="BB587" s="125"/>
      <c r="BC587" s="16"/>
      <c r="BD587" s="125"/>
      <c r="BE587" s="125"/>
      <c r="BF587" s="16"/>
      <c r="BG587" s="125"/>
      <c r="BQ587" s="125"/>
      <c r="BR587" s="16"/>
      <c r="BS587" s="123"/>
      <c r="BT587" s="19"/>
      <c r="BU587" s="139"/>
      <c r="BV587" s="139"/>
      <c r="BW587" s="123"/>
      <c r="BX587" s="123"/>
      <c r="BY587" s="123"/>
      <c r="BZ587" s="123"/>
      <c r="CA587" s="123"/>
      <c r="CB587" s="123"/>
      <c r="CC587" s="6"/>
      <c r="CD587" s="123"/>
      <c r="CE587" s="6"/>
      <c r="CF587" s="123"/>
      <c r="CG587" s="6"/>
      <c r="CH587" s="6"/>
      <c r="CI587" s="6"/>
      <c r="CJ587" s="6"/>
      <c r="CK587" s="123"/>
      <c r="CL587" s="6"/>
      <c r="CM587" s="6"/>
      <c r="CN587" s="6"/>
      <c r="CO587" s="138"/>
      <c r="CP587" s="138"/>
      <c r="CQ587" s="123"/>
      <c r="CR587" s="6"/>
      <c r="CS587" s="6"/>
      <c r="CT587" s="139"/>
      <c r="CU587" s="139"/>
      <c r="CV587" s="76"/>
      <c r="CW587" s="123"/>
      <c r="CX587" s="6"/>
      <c r="DI587" s="125"/>
      <c r="DJ587" s="16"/>
      <c r="DM587" s="16"/>
      <c r="DN587" s="16"/>
      <c r="DO587" s="125"/>
      <c r="DP587" s="16"/>
      <c r="DQ587" s="125"/>
      <c r="DZ587" s="125"/>
      <c r="EA587" s="142"/>
      <c r="EB587" s="125"/>
      <c r="EC587" s="16"/>
      <c r="ED587" s="125"/>
      <c r="EE587" s="125"/>
      <c r="EF587" s="16"/>
      <c r="EG587" s="125"/>
      <c r="EQ587" s="125"/>
      <c r="ER587" s="16"/>
      <c r="ES587" s="123"/>
      <c r="ET587" s="19"/>
      <c r="EU587" s="139"/>
      <c r="EV587" s="139"/>
      <c r="EW587" s="123"/>
      <c r="EX587" s="123"/>
      <c r="EY587" s="123"/>
      <c r="EZ587" s="123"/>
      <c r="FA587" s="123"/>
      <c r="FB587" s="123"/>
      <c r="FC587" s="6"/>
      <c r="FD587" s="123"/>
      <c r="FE587" s="6"/>
      <c r="FF587" s="123"/>
      <c r="FG587" s="6"/>
      <c r="FH587" s="6"/>
      <c r="FI587" s="6"/>
      <c r="FJ587" s="6"/>
      <c r="FK587" s="123"/>
      <c r="FL587" s="6"/>
      <c r="FM587" s="6"/>
      <c r="FN587" s="6"/>
      <c r="FO587" s="138"/>
      <c r="FP587" s="138"/>
      <c r="FQ587" s="123"/>
      <c r="FR587" s="6"/>
      <c r="FS587" s="6"/>
      <c r="FT587" s="139"/>
      <c r="FU587" s="139"/>
      <c r="FV587" s="76"/>
      <c r="FW587" s="123"/>
      <c r="FX587" s="6"/>
    </row>
    <row r="588" spans="35:180">
      <c r="AI588" s="125"/>
      <c r="AJ588" s="16"/>
      <c r="AM588" s="16"/>
      <c r="AN588" s="16"/>
      <c r="AO588" s="125"/>
      <c r="AP588" s="16"/>
      <c r="AQ588" s="125"/>
      <c r="AZ588" s="125"/>
      <c r="BA588" s="142"/>
      <c r="BB588" s="125"/>
      <c r="BC588" s="16"/>
      <c r="BD588" s="125"/>
      <c r="BE588" s="125"/>
      <c r="BF588" s="16"/>
      <c r="BG588" s="125"/>
      <c r="BQ588" s="125"/>
      <c r="BR588" s="16"/>
      <c r="BS588" s="123"/>
      <c r="BT588" s="19"/>
      <c r="BU588" s="139"/>
      <c r="BV588" s="139"/>
      <c r="BW588" s="123"/>
      <c r="BX588" s="123"/>
      <c r="BY588" s="123"/>
      <c r="BZ588" s="123"/>
      <c r="CA588" s="123"/>
      <c r="CB588" s="123"/>
      <c r="CC588" s="6"/>
      <c r="CD588" s="123"/>
      <c r="CE588" s="6"/>
      <c r="CF588" s="123"/>
      <c r="CG588" s="6"/>
      <c r="CH588" s="6"/>
      <c r="CI588" s="6"/>
      <c r="CJ588" s="6"/>
      <c r="CK588" s="123"/>
      <c r="CL588" s="6"/>
      <c r="CM588" s="6"/>
      <c r="CN588" s="6"/>
      <c r="CO588" s="138"/>
      <c r="CP588" s="138"/>
      <c r="CQ588" s="123"/>
      <c r="CR588" s="6"/>
      <c r="CS588" s="6"/>
      <c r="CT588" s="139"/>
      <c r="CU588" s="139"/>
      <c r="CV588" s="76"/>
      <c r="CW588" s="123"/>
      <c r="CX588" s="6"/>
      <c r="DI588" s="125"/>
      <c r="DJ588" s="16"/>
      <c r="DM588" s="16"/>
      <c r="DN588" s="16"/>
      <c r="DO588" s="125"/>
      <c r="DP588" s="16"/>
      <c r="DQ588" s="125"/>
      <c r="DZ588" s="125"/>
      <c r="EA588" s="142"/>
      <c r="EB588" s="125"/>
      <c r="EC588" s="16"/>
      <c r="ED588" s="125"/>
      <c r="EE588" s="125"/>
      <c r="EF588" s="16"/>
      <c r="EG588" s="125"/>
      <c r="EQ588" s="125"/>
      <c r="ER588" s="16"/>
      <c r="ES588" s="123"/>
      <c r="ET588" s="19"/>
      <c r="EU588" s="139"/>
      <c r="EV588" s="139"/>
      <c r="EW588" s="123"/>
      <c r="EX588" s="123"/>
      <c r="EY588" s="123"/>
      <c r="EZ588" s="123"/>
      <c r="FA588" s="123"/>
      <c r="FB588" s="123"/>
      <c r="FC588" s="6"/>
      <c r="FD588" s="123"/>
      <c r="FE588" s="6"/>
      <c r="FF588" s="123"/>
      <c r="FG588" s="6"/>
      <c r="FH588" s="6"/>
      <c r="FI588" s="6"/>
      <c r="FJ588" s="6"/>
      <c r="FK588" s="123"/>
      <c r="FL588" s="6"/>
      <c r="FM588" s="6"/>
      <c r="FN588" s="6"/>
      <c r="FO588" s="138"/>
      <c r="FP588" s="138"/>
      <c r="FQ588" s="123"/>
      <c r="FR588" s="6"/>
      <c r="FS588" s="6"/>
      <c r="FT588" s="139"/>
      <c r="FU588" s="139"/>
      <c r="FV588" s="76"/>
      <c r="FW588" s="123"/>
      <c r="FX588" s="6"/>
    </row>
    <row r="589" spans="35:180">
      <c r="AI589" s="125"/>
      <c r="AJ589" s="16"/>
      <c r="AM589" s="16"/>
      <c r="AN589" s="16"/>
      <c r="AO589" s="125"/>
      <c r="AP589" s="16"/>
      <c r="AQ589" s="125"/>
      <c r="AZ589" s="125"/>
      <c r="BA589" s="142"/>
      <c r="BB589" s="125"/>
      <c r="BC589" s="16"/>
      <c r="BD589" s="125"/>
      <c r="BE589" s="125"/>
      <c r="BF589" s="16"/>
      <c r="BG589" s="125"/>
      <c r="BQ589" s="125"/>
      <c r="BR589" s="16"/>
      <c r="BS589" s="123"/>
      <c r="BT589" s="19"/>
      <c r="BU589" s="139"/>
      <c r="BV589" s="139"/>
      <c r="BW589" s="123"/>
      <c r="BX589" s="123"/>
      <c r="BY589" s="123"/>
      <c r="BZ589" s="123"/>
      <c r="CA589" s="123"/>
      <c r="CB589" s="123"/>
      <c r="CC589" s="6"/>
      <c r="CD589" s="123"/>
      <c r="CE589" s="6"/>
      <c r="CF589" s="123"/>
      <c r="CG589" s="6"/>
      <c r="CH589" s="6"/>
      <c r="CI589" s="6"/>
      <c r="CJ589" s="6"/>
      <c r="CK589" s="123"/>
      <c r="CL589" s="6"/>
      <c r="CM589" s="6"/>
      <c r="CN589" s="6"/>
      <c r="CO589" s="138"/>
      <c r="CP589" s="138"/>
      <c r="CQ589" s="123"/>
      <c r="CR589" s="6"/>
      <c r="CS589" s="6"/>
      <c r="CT589" s="139"/>
      <c r="CU589" s="139"/>
      <c r="CV589" s="76"/>
      <c r="CW589" s="123"/>
      <c r="CX589" s="6"/>
      <c r="DI589" s="125"/>
      <c r="DJ589" s="16"/>
      <c r="DM589" s="16"/>
      <c r="DN589" s="16"/>
      <c r="DO589" s="125"/>
      <c r="DP589" s="16"/>
      <c r="DQ589" s="125"/>
      <c r="DZ589" s="125"/>
      <c r="EA589" s="142"/>
      <c r="EB589" s="125"/>
      <c r="EC589" s="16"/>
      <c r="ED589" s="125"/>
      <c r="EE589" s="125"/>
      <c r="EF589" s="16"/>
      <c r="EG589" s="125"/>
      <c r="EQ589" s="125"/>
      <c r="ER589" s="16"/>
      <c r="ES589" s="123"/>
      <c r="ET589" s="19"/>
      <c r="EU589" s="139"/>
      <c r="EV589" s="139"/>
      <c r="EW589" s="123"/>
      <c r="EX589" s="123"/>
      <c r="EY589" s="123"/>
      <c r="EZ589" s="123"/>
      <c r="FA589" s="123"/>
      <c r="FB589" s="123"/>
      <c r="FC589" s="6"/>
      <c r="FD589" s="123"/>
      <c r="FE589" s="6"/>
      <c r="FF589" s="123"/>
      <c r="FG589" s="6"/>
      <c r="FH589" s="6"/>
      <c r="FI589" s="6"/>
      <c r="FJ589" s="6"/>
      <c r="FK589" s="123"/>
      <c r="FL589" s="6"/>
      <c r="FM589" s="6"/>
      <c r="FN589" s="6"/>
      <c r="FO589" s="138"/>
      <c r="FP589" s="138"/>
      <c r="FQ589" s="123"/>
      <c r="FR589" s="6"/>
      <c r="FS589" s="6"/>
      <c r="FT589" s="139"/>
      <c r="FU589" s="139"/>
      <c r="FV589" s="76"/>
      <c r="FW589" s="123"/>
      <c r="FX589" s="6"/>
    </row>
    <row r="590" spans="35:180">
      <c r="AI590" s="125"/>
      <c r="AJ590" s="16"/>
      <c r="AM590" s="16"/>
      <c r="AN590" s="16"/>
      <c r="AO590" s="125"/>
      <c r="AP590" s="16"/>
      <c r="AQ590" s="125"/>
      <c r="AZ590" s="125"/>
      <c r="BA590" s="142"/>
      <c r="BB590" s="125"/>
      <c r="BC590" s="16"/>
      <c r="BD590" s="125"/>
      <c r="BE590" s="125"/>
      <c r="BF590" s="16"/>
      <c r="BG590" s="125"/>
      <c r="BQ590" s="125"/>
      <c r="BR590" s="16"/>
      <c r="BS590" s="123"/>
      <c r="BT590" s="19"/>
      <c r="BU590" s="139"/>
      <c r="BV590" s="139"/>
      <c r="BW590" s="123"/>
      <c r="BX590" s="123"/>
      <c r="BY590" s="123"/>
      <c r="BZ590" s="123"/>
      <c r="CA590" s="123"/>
      <c r="CB590" s="123"/>
      <c r="CC590" s="6"/>
      <c r="CD590" s="123"/>
      <c r="CE590" s="6"/>
      <c r="CF590" s="123"/>
      <c r="CG590" s="6"/>
      <c r="CH590" s="6"/>
      <c r="CI590" s="6"/>
      <c r="CJ590" s="6"/>
      <c r="CK590" s="123"/>
      <c r="CL590" s="6"/>
      <c r="CM590" s="6"/>
      <c r="CN590" s="6"/>
      <c r="CO590" s="138"/>
      <c r="CP590" s="138"/>
      <c r="CQ590" s="123"/>
      <c r="CR590" s="6"/>
      <c r="CS590" s="6"/>
      <c r="CT590" s="139"/>
      <c r="CU590" s="139"/>
      <c r="CV590" s="76"/>
      <c r="CW590" s="123"/>
      <c r="CX590" s="6"/>
      <c r="DI590" s="125"/>
      <c r="DJ590" s="16"/>
      <c r="DM590" s="16"/>
      <c r="DN590" s="16"/>
      <c r="DO590" s="125"/>
      <c r="DP590" s="16"/>
      <c r="DQ590" s="125"/>
      <c r="DZ590" s="125"/>
      <c r="EA590" s="142"/>
      <c r="EB590" s="125"/>
      <c r="EC590" s="16"/>
      <c r="ED590" s="125"/>
      <c r="EE590" s="125"/>
      <c r="EF590" s="16"/>
      <c r="EG590" s="125"/>
      <c r="EQ590" s="125"/>
      <c r="ER590" s="16"/>
      <c r="ES590" s="123"/>
      <c r="ET590" s="19"/>
      <c r="EU590" s="139"/>
      <c r="EV590" s="139"/>
      <c r="EW590" s="123"/>
      <c r="EX590" s="123"/>
      <c r="EY590" s="123"/>
      <c r="EZ590" s="123"/>
      <c r="FA590" s="123"/>
      <c r="FB590" s="123"/>
      <c r="FC590" s="6"/>
      <c r="FD590" s="123"/>
      <c r="FE590" s="6"/>
      <c r="FF590" s="123"/>
      <c r="FG590" s="6"/>
      <c r="FH590" s="6"/>
      <c r="FI590" s="6"/>
      <c r="FJ590" s="6"/>
      <c r="FK590" s="123"/>
      <c r="FL590" s="6"/>
      <c r="FM590" s="6"/>
      <c r="FN590" s="6"/>
      <c r="FO590" s="138"/>
      <c r="FP590" s="138"/>
      <c r="FQ590" s="123"/>
      <c r="FR590" s="6"/>
      <c r="FS590" s="6"/>
      <c r="FT590" s="139"/>
      <c r="FU590" s="139"/>
      <c r="FV590" s="76"/>
      <c r="FW590" s="123"/>
      <c r="FX590" s="6"/>
    </row>
    <row r="591" spans="35:180">
      <c r="AI591" s="125"/>
      <c r="AJ591" s="16"/>
      <c r="AM591" s="16"/>
      <c r="AN591" s="16"/>
      <c r="AO591" s="125"/>
      <c r="AP591" s="16"/>
      <c r="AQ591" s="125"/>
      <c r="AZ591" s="125"/>
      <c r="BA591" s="142"/>
      <c r="BB591" s="125"/>
      <c r="BC591" s="16"/>
      <c r="BD591" s="125"/>
      <c r="BE591" s="125"/>
      <c r="BF591" s="16"/>
      <c r="BG591" s="125"/>
      <c r="BQ591" s="125"/>
      <c r="BR591" s="16"/>
      <c r="BS591" s="123"/>
      <c r="BT591" s="19"/>
      <c r="BU591" s="139"/>
      <c r="BV591" s="139"/>
      <c r="BW591" s="123"/>
      <c r="BX591" s="123"/>
      <c r="BY591" s="123"/>
      <c r="BZ591" s="123"/>
      <c r="CA591" s="123"/>
      <c r="CB591" s="123"/>
      <c r="CC591" s="6"/>
      <c r="CD591" s="123"/>
      <c r="CE591" s="6"/>
      <c r="CF591" s="123"/>
      <c r="CG591" s="6"/>
      <c r="CH591" s="6"/>
      <c r="CI591" s="6"/>
      <c r="CJ591" s="6"/>
      <c r="CK591" s="123"/>
      <c r="CL591" s="6"/>
      <c r="CM591" s="6"/>
      <c r="CN591" s="6"/>
      <c r="CO591" s="138"/>
      <c r="CP591" s="138"/>
      <c r="CQ591" s="123"/>
      <c r="CR591" s="6"/>
      <c r="CS591" s="6"/>
      <c r="CT591" s="139"/>
      <c r="CU591" s="139"/>
      <c r="CV591" s="76"/>
      <c r="CW591" s="123"/>
      <c r="CX591" s="6"/>
      <c r="DI591" s="125"/>
      <c r="DJ591" s="16"/>
      <c r="DM591" s="16"/>
      <c r="DN591" s="16"/>
      <c r="DO591" s="125"/>
      <c r="DP591" s="16"/>
      <c r="DQ591" s="125"/>
      <c r="DZ591" s="125"/>
      <c r="EA591" s="142"/>
      <c r="EB591" s="125"/>
      <c r="EC591" s="16"/>
      <c r="ED591" s="125"/>
      <c r="EE591" s="125"/>
      <c r="EF591" s="16"/>
      <c r="EG591" s="125"/>
      <c r="EQ591" s="125"/>
      <c r="ER591" s="16"/>
      <c r="ES591" s="123"/>
      <c r="ET591" s="19"/>
      <c r="EU591" s="139"/>
      <c r="EV591" s="139"/>
      <c r="EW591" s="123"/>
      <c r="EX591" s="123"/>
      <c r="EY591" s="123"/>
      <c r="EZ591" s="123"/>
      <c r="FA591" s="123"/>
      <c r="FB591" s="123"/>
      <c r="FC591" s="6"/>
      <c r="FD591" s="123"/>
      <c r="FE591" s="6"/>
      <c r="FF591" s="123"/>
      <c r="FG591" s="6"/>
      <c r="FH591" s="6"/>
      <c r="FI591" s="6"/>
      <c r="FJ591" s="6"/>
      <c r="FK591" s="123"/>
      <c r="FL591" s="6"/>
      <c r="FM591" s="6"/>
      <c r="FN591" s="6"/>
      <c r="FO591" s="138"/>
      <c r="FP591" s="138"/>
      <c r="FQ591" s="123"/>
      <c r="FR591" s="6"/>
      <c r="FS591" s="6"/>
      <c r="FT591" s="139"/>
      <c r="FU591" s="139"/>
      <c r="FV591" s="76"/>
      <c r="FW591" s="123"/>
      <c r="FX591" s="6"/>
    </row>
    <row r="592" spans="35:180">
      <c r="AI592" s="125"/>
      <c r="AJ592" s="16"/>
      <c r="AM592" s="16"/>
      <c r="AN592" s="16"/>
      <c r="AO592" s="125"/>
      <c r="AP592" s="16"/>
      <c r="AQ592" s="125"/>
      <c r="AZ592" s="125"/>
      <c r="BA592" s="142"/>
      <c r="BB592" s="125"/>
      <c r="BC592" s="16"/>
      <c r="BD592" s="125"/>
      <c r="BE592" s="125"/>
      <c r="BF592" s="16"/>
      <c r="BG592" s="125"/>
      <c r="BQ592" s="125"/>
      <c r="BR592" s="16"/>
      <c r="BS592" s="123"/>
      <c r="BT592" s="19"/>
      <c r="BU592" s="139"/>
      <c r="BV592" s="139"/>
      <c r="BW592" s="123"/>
      <c r="BX592" s="123"/>
      <c r="BY592" s="123"/>
      <c r="BZ592" s="123"/>
      <c r="CA592" s="123"/>
      <c r="CB592" s="123"/>
      <c r="CC592" s="6"/>
      <c r="CD592" s="123"/>
      <c r="CE592" s="6"/>
      <c r="CF592" s="123"/>
      <c r="CG592" s="6"/>
      <c r="CH592" s="6"/>
      <c r="CI592" s="6"/>
      <c r="CJ592" s="6"/>
      <c r="CK592" s="123"/>
      <c r="CL592" s="6"/>
      <c r="CM592" s="6"/>
      <c r="CN592" s="6"/>
      <c r="CO592" s="138"/>
      <c r="CP592" s="138"/>
      <c r="CQ592" s="123"/>
      <c r="CR592" s="6"/>
      <c r="CS592" s="6"/>
      <c r="CT592" s="139"/>
      <c r="CU592" s="139"/>
      <c r="CV592" s="76"/>
      <c r="CW592" s="123"/>
      <c r="CX592" s="6"/>
      <c r="DI592" s="125"/>
      <c r="DJ592" s="16"/>
      <c r="DM592" s="16"/>
      <c r="DN592" s="16"/>
      <c r="DO592" s="125"/>
      <c r="DP592" s="16"/>
      <c r="DQ592" s="125"/>
      <c r="DZ592" s="125"/>
      <c r="EA592" s="142"/>
      <c r="EB592" s="125"/>
      <c r="EC592" s="16"/>
      <c r="ED592" s="125"/>
      <c r="EE592" s="125"/>
      <c r="EF592" s="16"/>
      <c r="EG592" s="125"/>
      <c r="EQ592" s="125"/>
      <c r="ER592" s="16"/>
      <c r="ES592" s="123"/>
      <c r="ET592" s="19"/>
      <c r="EU592" s="139"/>
      <c r="EV592" s="139"/>
      <c r="EW592" s="123"/>
      <c r="EX592" s="123"/>
      <c r="EY592" s="123"/>
      <c r="EZ592" s="123"/>
      <c r="FA592" s="123"/>
      <c r="FB592" s="123"/>
      <c r="FC592" s="6"/>
      <c r="FD592" s="123"/>
      <c r="FE592" s="6"/>
      <c r="FF592" s="123"/>
      <c r="FG592" s="6"/>
      <c r="FH592" s="6"/>
      <c r="FI592" s="6"/>
      <c r="FJ592" s="6"/>
      <c r="FK592" s="123"/>
      <c r="FL592" s="6"/>
      <c r="FM592" s="6"/>
      <c r="FN592" s="6"/>
      <c r="FO592" s="138"/>
      <c r="FP592" s="138"/>
      <c r="FQ592" s="123"/>
      <c r="FR592" s="6"/>
      <c r="FS592" s="6"/>
      <c r="FT592" s="139"/>
      <c r="FU592" s="139"/>
      <c r="FV592" s="76"/>
      <c r="FW592" s="123"/>
      <c r="FX592" s="6"/>
    </row>
    <row r="593" spans="35:180">
      <c r="AI593" s="125"/>
      <c r="AJ593" s="16"/>
      <c r="AM593" s="16"/>
      <c r="AN593" s="16"/>
      <c r="AO593" s="125"/>
      <c r="AP593" s="16"/>
      <c r="AQ593" s="125"/>
      <c r="AZ593" s="125"/>
      <c r="BA593" s="142"/>
      <c r="BB593" s="125"/>
      <c r="BC593" s="16"/>
      <c r="BD593" s="125"/>
      <c r="BE593" s="125"/>
      <c r="BF593" s="16"/>
      <c r="BG593" s="125"/>
      <c r="BQ593" s="125"/>
      <c r="BR593" s="16"/>
      <c r="BS593" s="123"/>
      <c r="BT593" s="19"/>
      <c r="BU593" s="139"/>
      <c r="BV593" s="139"/>
      <c r="BW593" s="123"/>
      <c r="BX593" s="123"/>
      <c r="BY593" s="123"/>
      <c r="BZ593" s="123"/>
      <c r="CA593" s="123"/>
      <c r="CB593" s="123"/>
      <c r="CC593" s="6"/>
      <c r="CD593" s="123"/>
      <c r="CE593" s="6"/>
      <c r="CF593" s="123"/>
      <c r="CG593" s="6"/>
      <c r="CH593" s="6"/>
      <c r="CI593" s="6"/>
      <c r="CJ593" s="6"/>
      <c r="CK593" s="123"/>
      <c r="CL593" s="6"/>
      <c r="CM593" s="6"/>
      <c r="CN593" s="6"/>
      <c r="CO593" s="138"/>
      <c r="CP593" s="138"/>
      <c r="CQ593" s="123"/>
      <c r="CR593" s="6"/>
      <c r="CS593" s="6"/>
      <c r="CT593" s="139"/>
      <c r="CU593" s="139"/>
      <c r="CV593" s="76"/>
      <c r="CW593" s="123"/>
      <c r="CX593" s="6"/>
      <c r="DI593" s="125"/>
      <c r="DJ593" s="16"/>
      <c r="DM593" s="16"/>
      <c r="DN593" s="16"/>
      <c r="DO593" s="125"/>
      <c r="DP593" s="16"/>
      <c r="DQ593" s="125"/>
      <c r="DZ593" s="125"/>
      <c r="EA593" s="142"/>
      <c r="EB593" s="125"/>
      <c r="EC593" s="16"/>
      <c r="ED593" s="125"/>
      <c r="EE593" s="125"/>
      <c r="EF593" s="16"/>
      <c r="EG593" s="125"/>
      <c r="EQ593" s="125"/>
      <c r="ER593" s="16"/>
      <c r="ES593" s="123"/>
      <c r="ET593" s="19"/>
      <c r="EU593" s="139"/>
      <c r="EV593" s="139"/>
      <c r="EW593" s="123"/>
      <c r="EX593" s="123"/>
      <c r="EY593" s="123"/>
      <c r="EZ593" s="123"/>
      <c r="FA593" s="123"/>
      <c r="FB593" s="123"/>
      <c r="FC593" s="6"/>
      <c r="FD593" s="123"/>
      <c r="FE593" s="6"/>
      <c r="FF593" s="123"/>
      <c r="FG593" s="6"/>
      <c r="FH593" s="6"/>
      <c r="FI593" s="6"/>
      <c r="FJ593" s="6"/>
      <c r="FK593" s="123"/>
      <c r="FL593" s="6"/>
      <c r="FM593" s="6"/>
      <c r="FN593" s="6"/>
      <c r="FO593" s="138"/>
      <c r="FP593" s="138"/>
      <c r="FQ593" s="123"/>
      <c r="FR593" s="6"/>
      <c r="FS593" s="6"/>
      <c r="FT593" s="139"/>
      <c r="FU593" s="139"/>
      <c r="FV593" s="76"/>
      <c r="FW593" s="123"/>
      <c r="FX593" s="6"/>
    </row>
    <row r="594" spans="35:180">
      <c r="AI594" s="125"/>
      <c r="AJ594" s="16"/>
      <c r="AM594" s="16"/>
      <c r="AN594" s="16"/>
      <c r="AO594" s="125"/>
      <c r="AP594" s="16"/>
      <c r="AQ594" s="125"/>
      <c r="AZ594" s="125"/>
      <c r="BA594" s="142"/>
      <c r="BB594" s="125"/>
      <c r="BC594" s="16"/>
      <c r="BD594" s="125"/>
      <c r="BE594" s="125"/>
      <c r="BF594" s="16"/>
      <c r="BG594" s="125"/>
      <c r="BQ594" s="125"/>
      <c r="BR594" s="16"/>
      <c r="BS594" s="123"/>
      <c r="BT594" s="19"/>
      <c r="BU594" s="139"/>
      <c r="BV594" s="139"/>
      <c r="BW594" s="123"/>
      <c r="BX594" s="123"/>
      <c r="BY594" s="123"/>
      <c r="BZ594" s="123"/>
      <c r="CA594" s="123"/>
      <c r="CB594" s="123"/>
      <c r="CC594" s="6"/>
      <c r="CD594" s="123"/>
      <c r="CE594" s="6"/>
      <c r="CF594" s="123"/>
      <c r="CG594" s="6"/>
      <c r="CH594" s="6"/>
      <c r="CI594" s="6"/>
      <c r="CJ594" s="6"/>
      <c r="CK594" s="123"/>
      <c r="CL594" s="6"/>
      <c r="CM594" s="6"/>
      <c r="CN594" s="6"/>
      <c r="CO594" s="138"/>
      <c r="CP594" s="138"/>
      <c r="CQ594" s="123"/>
      <c r="CR594" s="6"/>
      <c r="CS594" s="6"/>
      <c r="CT594" s="139"/>
      <c r="CU594" s="139"/>
      <c r="CV594" s="76"/>
      <c r="CW594" s="123"/>
      <c r="CX594" s="6"/>
      <c r="DI594" s="125"/>
      <c r="DJ594" s="16"/>
      <c r="DM594" s="16"/>
      <c r="DN594" s="16"/>
      <c r="DO594" s="125"/>
      <c r="DP594" s="16"/>
      <c r="DQ594" s="125"/>
      <c r="DZ594" s="125"/>
      <c r="EA594" s="142"/>
      <c r="EB594" s="125"/>
      <c r="EC594" s="16"/>
      <c r="ED594" s="125"/>
      <c r="EE594" s="125"/>
      <c r="EF594" s="16"/>
      <c r="EG594" s="125"/>
      <c r="EQ594" s="125"/>
      <c r="ER594" s="16"/>
      <c r="ES594" s="123"/>
      <c r="ET594" s="19"/>
      <c r="EU594" s="139"/>
      <c r="EV594" s="139"/>
      <c r="EW594" s="123"/>
      <c r="EX594" s="123"/>
      <c r="EY594" s="123"/>
      <c r="EZ594" s="123"/>
      <c r="FA594" s="123"/>
      <c r="FB594" s="123"/>
      <c r="FC594" s="6"/>
      <c r="FD594" s="123"/>
      <c r="FE594" s="6"/>
      <c r="FF594" s="123"/>
      <c r="FG594" s="6"/>
      <c r="FH594" s="6"/>
      <c r="FI594" s="6"/>
      <c r="FJ594" s="6"/>
      <c r="FK594" s="123"/>
      <c r="FL594" s="6"/>
      <c r="FM594" s="6"/>
      <c r="FN594" s="6"/>
      <c r="FO594" s="138"/>
      <c r="FP594" s="138"/>
      <c r="FQ594" s="123"/>
      <c r="FR594" s="6"/>
      <c r="FS594" s="6"/>
      <c r="FT594" s="139"/>
      <c r="FU594" s="139"/>
      <c r="FV594" s="76"/>
      <c r="FW594" s="123"/>
      <c r="FX594" s="6"/>
    </row>
    <row r="595" spans="35:180">
      <c r="AI595" s="125"/>
      <c r="AJ595" s="16"/>
      <c r="AM595" s="16"/>
      <c r="AN595" s="16"/>
      <c r="AO595" s="125"/>
      <c r="AP595" s="16"/>
      <c r="AQ595" s="125"/>
      <c r="AZ595" s="125"/>
      <c r="BA595" s="142"/>
      <c r="BB595" s="125"/>
      <c r="BC595" s="16"/>
      <c r="BD595" s="125"/>
      <c r="BE595" s="125"/>
      <c r="BF595" s="16"/>
      <c r="BG595" s="125"/>
      <c r="BQ595" s="125"/>
      <c r="BR595" s="16"/>
      <c r="BS595" s="123"/>
      <c r="BT595" s="19"/>
      <c r="BU595" s="139"/>
      <c r="BV595" s="139"/>
      <c r="BW595" s="123"/>
      <c r="BX595" s="123"/>
      <c r="BY595" s="123"/>
      <c r="BZ595" s="123"/>
      <c r="CA595" s="123"/>
      <c r="CB595" s="123"/>
      <c r="CC595" s="6"/>
      <c r="CD595" s="123"/>
      <c r="CE595" s="6"/>
      <c r="CF595" s="123"/>
      <c r="CG595" s="6"/>
      <c r="CH595" s="6"/>
      <c r="CI595" s="6"/>
      <c r="CJ595" s="6"/>
      <c r="CK595" s="123"/>
      <c r="CL595" s="6"/>
      <c r="CM595" s="6"/>
      <c r="CN595" s="6"/>
      <c r="CO595" s="138"/>
      <c r="CP595" s="138"/>
      <c r="CQ595" s="123"/>
      <c r="CR595" s="6"/>
      <c r="CS595" s="6"/>
      <c r="CT595" s="139"/>
      <c r="CU595" s="139"/>
      <c r="CV595" s="76"/>
      <c r="CW595" s="123"/>
      <c r="CX595" s="6"/>
      <c r="DI595" s="125"/>
      <c r="DJ595" s="16"/>
      <c r="DM595" s="16"/>
      <c r="DN595" s="16"/>
      <c r="DO595" s="125"/>
      <c r="DP595" s="16"/>
      <c r="DQ595" s="125"/>
      <c r="DZ595" s="125"/>
      <c r="EA595" s="142"/>
      <c r="EB595" s="125"/>
      <c r="EC595" s="16"/>
      <c r="ED595" s="125"/>
      <c r="EE595" s="125"/>
      <c r="EF595" s="16"/>
      <c r="EG595" s="125"/>
      <c r="EQ595" s="125"/>
      <c r="ER595" s="16"/>
      <c r="ES595" s="123"/>
      <c r="ET595" s="19"/>
      <c r="EU595" s="139"/>
      <c r="EV595" s="139"/>
      <c r="EW595" s="123"/>
      <c r="EX595" s="123"/>
      <c r="EY595" s="123"/>
      <c r="EZ595" s="123"/>
      <c r="FA595" s="123"/>
      <c r="FB595" s="123"/>
      <c r="FC595" s="6"/>
      <c r="FD595" s="123"/>
      <c r="FE595" s="6"/>
      <c r="FF595" s="123"/>
      <c r="FG595" s="6"/>
      <c r="FH595" s="6"/>
      <c r="FI595" s="6"/>
      <c r="FJ595" s="6"/>
      <c r="FK595" s="123"/>
      <c r="FL595" s="6"/>
      <c r="FM595" s="6"/>
      <c r="FN595" s="6"/>
      <c r="FO595" s="138"/>
      <c r="FP595" s="138"/>
      <c r="FQ595" s="123"/>
      <c r="FR595" s="6"/>
      <c r="FS595" s="6"/>
      <c r="FT595" s="139"/>
      <c r="FU595" s="139"/>
      <c r="FV595" s="76"/>
      <c r="FW595" s="123"/>
      <c r="FX595" s="6"/>
    </row>
    <row r="596" spans="35:180">
      <c r="AI596" s="125"/>
      <c r="AJ596" s="16"/>
      <c r="AM596" s="16"/>
      <c r="AN596" s="16"/>
      <c r="AO596" s="125"/>
      <c r="AP596" s="16"/>
      <c r="AQ596" s="125"/>
      <c r="AZ596" s="125"/>
      <c r="BA596" s="142"/>
      <c r="BB596" s="125"/>
      <c r="BC596" s="16"/>
      <c r="BD596" s="125"/>
      <c r="BE596" s="125"/>
      <c r="BF596" s="16"/>
      <c r="BG596" s="125"/>
      <c r="BQ596" s="125"/>
      <c r="BR596" s="16"/>
      <c r="BS596" s="123"/>
      <c r="BT596" s="19"/>
      <c r="BU596" s="139"/>
      <c r="BV596" s="139"/>
      <c r="BW596" s="123"/>
      <c r="BX596" s="123"/>
      <c r="BY596" s="123"/>
      <c r="BZ596" s="123"/>
      <c r="CA596" s="123"/>
      <c r="CB596" s="123"/>
      <c r="CC596" s="6"/>
      <c r="CD596" s="123"/>
      <c r="CE596" s="6"/>
      <c r="CF596" s="123"/>
      <c r="CG596" s="6"/>
      <c r="CH596" s="6"/>
      <c r="CI596" s="6"/>
      <c r="CJ596" s="6"/>
      <c r="CK596" s="123"/>
      <c r="CL596" s="6"/>
      <c r="CM596" s="6"/>
      <c r="CN596" s="6"/>
      <c r="CO596" s="138"/>
      <c r="CP596" s="138"/>
      <c r="CQ596" s="123"/>
      <c r="CR596" s="6"/>
      <c r="CS596" s="6"/>
      <c r="CT596" s="139"/>
      <c r="CU596" s="139"/>
      <c r="CV596" s="76"/>
      <c r="CW596" s="123"/>
      <c r="CX596" s="6"/>
      <c r="DI596" s="125"/>
      <c r="DJ596" s="16"/>
      <c r="DM596" s="16"/>
      <c r="DN596" s="16"/>
      <c r="DO596" s="125"/>
      <c r="DP596" s="16"/>
      <c r="DQ596" s="125"/>
      <c r="DZ596" s="125"/>
      <c r="EA596" s="142"/>
      <c r="EB596" s="125"/>
      <c r="EC596" s="16"/>
      <c r="ED596" s="125"/>
      <c r="EE596" s="125"/>
      <c r="EF596" s="16"/>
      <c r="EG596" s="125"/>
      <c r="EQ596" s="125"/>
      <c r="ER596" s="16"/>
      <c r="ES596" s="123"/>
      <c r="ET596" s="19"/>
      <c r="EU596" s="139"/>
      <c r="EV596" s="139"/>
      <c r="EW596" s="123"/>
      <c r="EX596" s="123"/>
      <c r="EY596" s="123"/>
      <c r="EZ596" s="123"/>
      <c r="FA596" s="123"/>
      <c r="FB596" s="123"/>
      <c r="FC596" s="6"/>
      <c r="FD596" s="123"/>
      <c r="FE596" s="6"/>
      <c r="FF596" s="123"/>
      <c r="FG596" s="6"/>
      <c r="FH596" s="6"/>
      <c r="FI596" s="6"/>
      <c r="FJ596" s="6"/>
      <c r="FK596" s="123"/>
      <c r="FL596" s="6"/>
      <c r="FM596" s="6"/>
      <c r="FN596" s="6"/>
      <c r="FO596" s="138"/>
      <c r="FP596" s="138"/>
      <c r="FQ596" s="123"/>
      <c r="FR596" s="6"/>
      <c r="FS596" s="6"/>
      <c r="FT596" s="139"/>
      <c r="FU596" s="139"/>
      <c r="FV596" s="76"/>
      <c r="FW596" s="123"/>
      <c r="FX596" s="6"/>
    </row>
    <row r="597" spans="35:180">
      <c r="AI597" s="125"/>
      <c r="AJ597" s="16"/>
      <c r="AM597" s="16"/>
      <c r="AN597" s="16"/>
      <c r="AO597" s="125"/>
      <c r="AP597" s="16"/>
      <c r="AQ597" s="125"/>
      <c r="AZ597" s="125"/>
      <c r="BA597" s="142"/>
      <c r="BB597" s="125"/>
      <c r="BC597" s="16"/>
      <c r="BD597" s="125"/>
      <c r="BE597" s="125"/>
      <c r="BF597" s="16"/>
      <c r="BG597" s="125"/>
      <c r="BQ597" s="125"/>
      <c r="BR597" s="16"/>
      <c r="BS597" s="123"/>
      <c r="BT597" s="19"/>
      <c r="BU597" s="139"/>
      <c r="BV597" s="139"/>
      <c r="BW597" s="123"/>
      <c r="BX597" s="123"/>
      <c r="BY597" s="123"/>
      <c r="BZ597" s="123"/>
      <c r="CA597" s="123"/>
      <c r="CB597" s="123"/>
      <c r="CC597" s="6"/>
      <c r="CD597" s="123"/>
      <c r="CE597" s="6"/>
      <c r="CF597" s="123"/>
      <c r="CG597" s="6"/>
      <c r="CH597" s="6"/>
      <c r="CI597" s="6"/>
      <c r="CJ597" s="6"/>
      <c r="CK597" s="123"/>
      <c r="CL597" s="6"/>
      <c r="CM597" s="6"/>
      <c r="CN597" s="6"/>
      <c r="CO597" s="138"/>
      <c r="CP597" s="138"/>
      <c r="CQ597" s="123"/>
      <c r="CR597" s="6"/>
      <c r="CS597" s="6"/>
      <c r="CT597" s="139"/>
      <c r="CU597" s="139"/>
      <c r="CV597" s="76"/>
      <c r="CW597" s="123"/>
      <c r="CX597" s="6"/>
      <c r="DI597" s="125"/>
      <c r="DJ597" s="16"/>
      <c r="DM597" s="16"/>
      <c r="DN597" s="16"/>
      <c r="DO597" s="125"/>
      <c r="DP597" s="16"/>
      <c r="DQ597" s="125"/>
      <c r="DZ597" s="125"/>
      <c r="EA597" s="142"/>
      <c r="EB597" s="125"/>
      <c r="EC597" s="16"/>
      <c r="ED597" s="125"/>
      <c r="EE597" s="125"/>
      <c r="EF597" s="16"/>
      <c r="EG597" s="125"/>
      <c r="EQ597" s="125"/>
      <c r="ER597" s="16"/>
      <c r="ES597" s="123"/>
      <c r="ET597" s="19"/>
      <c r="EU597" s="139"/>
      <c r="EV597" s="139"/>
      <c r="EW597" s="123"/>
      <c r="EX597" s="123"/>
      <c r="EY597" s="123"/>
      <c r="EZ597" s="123"/>
      <c r="FA597" s="123"/>
      <c r="FB597" s="123"/>
      <c r="FC597" s="6"/>
      <c r="FD597" s="123"/>
      <c r="FE597" s="6"/>
      <c r="FF597" s="123"/>
      <c r="FG597" s="6"/>
      <c r="FH597" s="6"/>
      <c r="FI597" s="6"/>
      <c r="FJ597" s="6"/>
      <c r="FK597" s="123"/>
      <c r="FL597" s="6"/>
      <c r="FM597" s="6"/>
      <c r="FN597" s="6"/>
      <c r="FO597" s="138"/>
      <c r="FP597" s="138"/>
      <c r="FQ597" s="123"/>
      <c r="FR597" s="6"/>
      <c r="FS597" s="6"/>
      <c r="FT597" s="139"/>
      <c r="FU597" s="139"/>
      <c r="FV597" s="76"/>
      <c r="FW597" s="123"/>
      <c r="FX597" s="6"/>
    </row>
    <row r="598" spans="35:180">
      <c r="AI598" s="125"/>
      <c r="AJ598" s="16"/>
      <c r="AM598" s="16"/>
      <c r="AN598" s="16"/>
      <c r="AO598" s="125"/>
      <c r="AP598" s="16"/>
      <c r="AQ598" s="125"/>
      <c r="AZ598" s="125"/>
      <c r="BA598" s="142"/>
      <c r="BB598" s="125"/>
      <c r="BC598" s="16"/>
      <c r="BD598" s="125"/>
      <c r="BE598" s="125"/>
      <c r="BF598" s="16"/>
      <c r="BG598" s="125"/>
      <c r="BQ598" s="125"/>
      <c r="BR598" s="16"/>
      <c r="BS598" s="123"/>
      <c r="BT598" s="19"/>
      <c r="BU598" s="139"/>
      <c r="BV598" s="139"/>
      <c r="BW598" s="123"/>
      <c r="BX598" s="123"/>
      <c r="BY598" s="123"/>
      <c r="BZ598" s="123"/>
      <c r="CA598" s="123"/>
      <c r="CB598" s="123"/>
      <c r="CC598" s="6"/>
      <c r="CD598" s="123"/>
      <c r="CE598" s="6"/>
      <c r="CF598" s="123"/>
      <c r="CG598" s="6"/>
      <c r="CH598" s="6"/>
      <c r="CI598" s="6"/>
      <c r="CJ598" s="6"/>
      <c r="CK598" s="123"/>
      <c r="CL598" s="6"/>
      <c r="CM598" s="6"/>
      <c r="CN598" s="6"/>
      <c r="CO598" s="138"/>
      <c r="CP598" s="138"/>
      <c r="CQ598" s="123"/>
      <c r="CR598" s="6"/>
      <c r="CS598" s="6"/>
      <c r="CT598" s="139"/>
      <c r="CU598" s="139"/>
      <c r="CV598" s="76"/>
      <c r="CW598" s="123"/>
      <c r="CX598" s="6"/>
      <c r="DI598" s="125"/>
      <c r="DJ598" s="16"/>
      <c r="DM598" s="16"/>
      <c r="DN598" s="16"/>
      <c r="DO598" s="125"/>
      <c r="DP598" s="16"/>
      <c r="DQ598" s="125"/>
      <c r="DZ598" s="125"/>
      <c r="EA598" s="142"/>
      <c r="EB598" s="125"/>
      <c r="EC598" s="16"/>
      <c r="ED598" s="125"/>
      <c r="EE598" s="125"/>
      <c r="EF598" s="16"/>
      <c r="EG598" s="125"/>
      <c r="EQ598" s="125"/>
      <c r="ER598" s="16"/>
      <c r="ES598" s="123"/>
      <c r="ET598" s="19"/>
      <c r="EU598" s="139"/>
      <c r="EV598" s="139"/>
      <c r="EW598" s="123"/>
      <c r="EX598" s="123"/>
      <c r="EY598" s="123"/>
      <c r="EZ598" s="123"/>
      <c r="FA598" s="123"/>
      <c r="FB598" s="123"/>
      <c r="FC598" s="6"/>
      <c r="FD598" s="123"/>
      <c r="FE598" s="6"/>
      <c r="FF598" s="123"/>
      <c r="FG598" s="6"/>
      <c r="FH598" s="6"/>
      <c r="FI598" s="6"/>
      <c r="FJ598" s="6"/>
      <c r="FK598" s="123"/>
      <c r="FL598" s="6"/>
      <c r="FM598" s="6"/>
      <c r="FN598" s="6"/>
      <c r="FO598" s="138"/>
      <c r="FP598" s="138"/>
      <c r="FQ598" s="123"/>
      <c r="FR598" s="6"/>
      <c r="FS598" s="6"/>
      <c r="FT598" s="139"/>
      <c r="FU598" s="139"/>
      <c r="FV598" s="76"/>
      <c r="FW598" s="123"/>
      <c r="FX598" s="6"/>
    </row>
    <row r="599" spans="35:180">
      <c r="AI599" s="125"/>
      <c r="AJ599" s="16"/>
      <c r="AM599" s="16"/>
      <c r="AN599" s="16"/>
      <c r="AO599" s="125"/>
      <c r="AP599" s="16"/>
      <c r="AQ599" s="125"/>
      <c r="AZ599" s="125"/>
      <c r="BA599" s="142"/>
      <c r="BB599" s="125"/>
      <c r="BC599" s="16"/>
      <c r="BD599" s="125"/>
      <c r="BE599" s="125"/>
      <c r="BF599" s="16"/>
      <c r="BG599" s="125"/>
      <c r="BQ599" s="125"/>
      <c r="BR599" s="16"/>
      <c r="BS599" s="123"/>
      <c r="BT599" s="19"/>
      <c r="BU599" s="139"/>
      <c r="BV599" s="139"/>
      <c r="BW599" s="123"/>
      <c r="BX599" s="123"/>
      <c r="BY599" s="123"/>
      <c r="BZ599" s="123"/>
      <c r="CA599" s="123"/>
      <c r="CB599" s="123"/>
      <c r="CC599" s="6"/>
      <c r="CD599" s="123"/>
      <c r="CE599" s="6"/>
      <c r="CF599" s="123"/>
      <c r="CG599" s="6"/>
      <c r="CH599" s="6"/>
      <c r="CI599" s="6"/>
      <c r="CJ599" s="6"/>
      <c r="CK599" s="123"/>
      <c r="CL599" s="6"/>
      <c r="CM599" s="6"/>
      <c r="CN599" s="6"/>
      <c r="CO599" s="138"/>
      <c r="CP599" s="138"/>
      <c r="CQ599" s="123"/>
      <c r="CR599" s="6"/>
      <c r="CS599" s="6"/>
      <c r="CT599" s="139"/>
      <c r="CU599" s="139"/>
      <c r="CV599" s="76"/>
      <c r="CW599" s="123"/>
      <c r="CX599" s="6"/>
      <c r="DI599" s="125"/>
      <c r="DJ599" s="16"/>
      <c r="DM599" s="16"/>
      <c r="DN599" s="16"/>
      <c r="DO599" s="125"/>
      <c r="DP599" s="16"/>
      <c r="DQ599" s="125"/>
      <c r="DZ599" s="125"/>
      <c r="EA599" s="142"/>
      <c r="EB599" s="125"/>
      <c r="EC599" s="16"/>
      <c r="ED599" s="125"/>
      <c r="EE599" s="125"/>
      <c r="EF599" s="16"/>
      <c r="EG599" s="125"/>
      <c r="EQ599" s="125"/>
      <c r="ER599" s="16"/>
      <c r="ES599" s="123"/>
      <c r="ET599" s="19"/>
      <c r="EU599" s="139"/>
      <c r="EV599" s="139"/>
      <c r="EW599" s="123"/>
      <c r="EX599" s="123"/>
      <c r="EY599" s="123"/>
      <c r="EZ599" s="123"/>
      <c r="FA599" s="123"/>
      <c r="FB599" s="123"/>
      <c r="FC599" s="6"/>
      <c r="FD599" s="123"/>
      <c r="FE599" s="6"/>
      <c r="FF599" s="123"/>
      <c r="FG599" s="6"/>
      <c r="FH599" s="6"/>
      <c r="FI599" s="6"/>
      <c r="FJ599" s="6"/>
      <c r="FK599" s="123"/>
      <c r="FL599" s="6"/>
      <c r="FM599" s="6"/>
      <c r="FN599" s="6"/>
      <c r="FO599" s="138"/>
      <c r="FP599" s="138"/>
      <c r="FQ599" s="123"/>
      <c r="FR599" s="6"/>
      <c r="FS599" s="6"/>
      <c r="FT599" s="139"/>
      <c r="FU599" s="139"/>
      <c r="FV599" s="76"/>
      <c r="FW599" s="123"/>
      <c r="FX599" s="6"/>
    </row>
    <row r="600" spans="35:180">
      <c r="AI600" s="125"/>
      <c r="AJ600" s="16"/>
      <c r="AM600" s="16"/>
      <c r="AN600" s="16"/>
      <c r="AO600" s="125"/>
      <c r="AP600" s="16"/>
      <c r="AQ600" s="125"/>
      <c r="AZ600" s="125"/>
      <c r="BA600" s="142"/>
      <c r="BB600" s="125"/>
      <c r="BC600" s="16"/>
      <c r="BD600" s="125"/>
      <c r="BE600" s="125"/>
      <c r="BF600" s="16"/>
      <c r="BG600" s="125"/>
      <c r="BQ600" s="125"/>
      <c r="BR600" s="16"/>
      <c r="BS600" s="123"/>
      <c r="BT600" s="19"/>
      <c r="BU600" s="139"/>
      <c r="BV600" s="139"/>
      <c r="BW600" s="123"/>
      <c r="BX600" s="123"/>
      <c r="BY600" s="123"/>
      <c r="BZ600" s="123"/>
      <c r="CA600" s="123"/>
      <c r="CB600" s="123"/>
      <c r="CC600" s="6"/>
      <c r="CD600" s="123"/>
      <c r="CE600" s="6"/>
      <c r="CF600" s="123"/>
      <c r="CG600" s="6"/>
      <c r="CH600" s="6"/>
      <c r="CI600" s="6"/>
      <c r="CJ600" s="6"/>
      <c r="CK600" s="123"/>
      <c r="CL600" s="6"/>
      <c r="CM600" s="6"/>
      <c r="CN600" s="6"/>
      <c r="CO600" s="138"/>
      <c r="CP600" s="138"/>
      <c r="CQ600" s="123"/>
      <c r="CR600" s="6"/>
      <c r="CS600" s="6"/>
      <c r="CT600" s="139"/>
      <c r="CU600" s="139"/>
      <c r="CV600" s="76"/>
      <c r="CW600" s="123"/>
      <c r="CX600" s="6"/>
      <c r="DI600" s="125"/>
      <c r="DJ600" s="16"/>
      <c r="DM600" s="16"/>
      <c r="DN600" s="16"/>
      <c r="DO600" s="125"/>
      <c r="DP600" s="16"/>
      <c r="DQ600" s="125"/>
      <c r="DZ600" s="125"/>
      <c r="EA600" s="142"/>
      <c r="EB600" s="125"/>
      <c r="EC600" s="16"/>
      <c r="ED600" s="125"/>
      <c r="EE600" s="125"/>
      <c r="EF600" s="16"/>
      <c r="EG600" s="125"/>
      <c r="EQ600" s="125"/>
      <c r="ER600" s="16"/>
      <c r="ES600" s="123"/>
      <c r="ET600" s="19"/>
      <c r="EU600" s="139"/>
      <c r="EV600" s="139"/>
      <c r="EW600" s="123"/>
      <c r="EX600" s="123"/>
      <c r="EY600" s="123"/>
      <c r="EZ600" s="123"/>
      <c r="FA600" s="123"/>
      <c r="FB600" s="123"/>
      <c r="FC600" s="6"/>
      <c r="FD600" s="123"/>
      <c r="FE600" s="6"/>
      <c r="FF600" s="123"/>
      <c r="FG600" s="6"/>
      <c r="FH600" s="6"/>
      <c r="FI600" s="6"/>
      <c r="FJ600" s="6"/>
      <c r="FK600" s="123"/>
      <c r="FL600" s="6"/>
      <c r="FM600" s="6"/>
      <c r="FN600" s="6"/>
      <c r="FO600" s="138"/>
      <c r="FP600" s="138"/>
      <c r="FQ600" s="123"/>
      <c r="FR600" s="6"/>
      <c r="FS600" s="6"/>
      <c r="FT600" s="139"/>
      <c r="FU600" s="139"/>
      <c r="FV600" s="76"/>
      <c r="FW600" s="123"/>
      <c r="FX600" s="6"/>
    </row>
    <row r="601" spans="35:180">
      <c r="AI601" s="125"/>
      <c r="AJ601" s="16"/>
      <c r="AM601" s="16"/>
      <c r="AN601" s="16"/>
      <c r="AO601" s="125"/>
      <c r="AP601" s="16"/>
      <c r="AQ601" s="125"/>
      <c r="AZ601" s="125"/>
      <c r="BA601" s="142"/>
      <c r="BB601" s="125"/>
      <c r="BC601" s="16"/>
      <c r="BD601" s="125"/>
      <c r="BE601" s="125"/>
      <c r="BF601" s="16"/>
      <c r="BG601" s="125"/>
      <c r="BQ601" s="125"/>
      <c r="BR601" s="16"/>
      <c r="BS601" s="123"/>
      <c r="BT601" s="19"/>
      <c r="BU601" s="139"/>
      <c r="BV601" s="139"/>
      <c r="BW601" s="123"/>
      <c r="BX601" s="123"/>
      <c r="BY601" s="123"/>
      <c r="BZ601" s="123"/>
      <c r="CA601" s="123"/>
      <c r="CB601" s="123"/>
      <c r="CC601" s="6"/>
      <c r="CD601" s="123"/>
      <c r="CE601" s="6"/>
      <c r="CF601" s="123"/>
      <c r="CG601" s="6"/>
      <c r="CH601" s="6"/>
      <c r="CI601" s="6"/>
      <c r="CJ601" s="6"/>
      <c r="CK601" s="123"/>
      <c r="CL601" s="6"/>
      <c r="CM601" s="6"/>
      <c r="CN601" s="6"/>
      <c r="CO601" s="138"/>
      <c r="CP601" s="138"/>
      <c r="CQ601" s="123"/>
      <c r="CR601" s="6"/>
      <c r="CS601" s="6"/>
      <c r="CT601" s="139"/>
      <c r="CU601" s="139"/>
      <c r="CV601" s="76"/>
      <c r="CW601" s="123"/>
      <c r="CX601" s="6"/>
      <c r="DI601" s="125"/>
      <c r="DJ601" s="16"/>
      <c r="DM601" s="16"/>
      <c r="DN601" s="16"/>
      <c r="DO601" s="125"/>
      <c r="DP601" s="16"/>
      <c r="DQ601" s="125"/>
      <c r="DZ601" s="125"/>
      <c r="EA601" s="142"/>
      <c r="EB601" s="125"/>
      <c r="EC601" s="16"/>
      <c r="ED601" s="125"/>
      <c r="EE601" s="125"/>
      <c r="EF601" s="16"/>
      <c r="EG601" s="125"/>
      <c r="EQ601" s="125"/>
      <c r="ER601" s="16"/>
      <c r="ES601" s="123"/>
      <c r="ET601" s="19"/>
      <c r="EU601" s="139"/>
      <c r="EV601" s="139"/>
      <c r="EW601" s="123"/>
      <c r="EX601" s="123"/>
      <c r="EY601" s="123"/>
      <c r="EZ601" s="123"/>
      <c r="FA601" s="123"/>
      <c r="FB601" s="123"/>
      <c r="FC601" s="6"/>
      <c r="FD601" s="123"/>
      <c r="FE601" s="6"/>
      <c r="FF601" s="123"/>
      <c r="FG601" s="6"/>
      <c r="FH601" s="6"/>
      <c r="FI601" s="6"/>
      <c r="FJ601" s="6"/>
      <c r="FK601" s="123"/>
      <c r="FL601" s="6"/>
      <c r="FM601" s="6"/>
      <c r="FN601" s="6"/>
      <c r="FO601" s="138"/>
      <c r="FP601" s="138"/>
      <c r="FQ601" s="123"/>
      <c r="FR601" s="6"/>
      <c r="FS601" s="6"/>
      <c r="FT601" s="139"/>
      <c r="FU601" s="139"/>
      <c r="FV601" s="76"/>
      <c r="FW601" s="123"/>
      <c r="FX601" s="6"/>
    </row>
    <row r="602" spans="35:180">
      <c r="AI602" s="125"/>
      <c r="AJ602" s="16"/>
      <c r="AM602" s="16"/>
      <c r="AN602" s="16"/>
      <c r="AO602" s="125"/>
      <c r="AP602" s="16"/>
      <c r="AQ602" s="125"/>
      <c r="AZ602" s="125"/>
      <c r="BA602" s="142"/>
      <c r="BB602" s="125"/>
      <c r="BC602" s="16"/>
      <c r="BD602" s="125"/>
      <c r="BE602" s="125"/>
      <c r="BF602" s="16"/>
      <c r="BG602" s="125"/>
      <c r="BQ602" s="125"/>
      <c r="BR602" s="16"/>
      <c r="BS602" s="123"/>
      <c r="BT602" s="19"/>
      <c r="BU602" s="139"/>
      <c r="BV602" s="139"/>
      <c r="BW602" s="123"/>
      <c r="BX602" s="123"/>
      <c r="BY602" s="123"/>
      <c r="BZ602" s="123"/>
      <c r="CA602" s="123"/>
      <c r="CB602" s="123"/>
      <c r="CC602" s="6"/>
      <c r="CD602" s="123"/>
      <c r="CE602" s="6"/>
      <c r="CF602" s="123"/>
      <c r="CG602" s="6"/>
      <c r="CH602" s="6"/>
      <c r="CI602" s="6"/>
      <c r="CJ602" s="6"/>
      <c r="CK602" s="123"/>
      <c r="CL602" s="6"/>
      <c r="CM602" s="6"/>
      <c r="CN602" s="6"/>
      <c r="CO602" s="138"/>
      <c r="CP602" s="138"/>
      <c r="CQ602" s="123"/>
      <c r="CR602" s="6"/>
      <c r="CS602" s="6"/>
      <c r="CT602" s="139"/>
      <c r="CU602" s="139"/>
      <c r="CV602" s="76"/>
      <c r="CW602" s="123"/>
      <c r="CX602" s="6"/>
      <c r="DI602" s="125"/>
      <c r="DJ602" s="16"/>
      <c r="DM602" s="16"/>
      <c r="DN602" s="16"/>
      <c r="DO602" s="125"/>
      <c r="DP602" s="16"/>
      <c r="DQ602" s="125"/>
      <c r="DZ602" s="125"/>
      <c r="EA602" s="142"/>
      <c r="EB602" s="125"/>
      <c r="EC602" s="16"/>
      <c r="ED602" s="125"/>
      <c r="EE602" s="125"/>
      <c r="EF602" s="16"/>
      <c r="EG602" s="125"/>
      <c r="EQ602" s="125"/>
      <c r="ER602" s="16"/>
      <c r="ES602" s="123"/>
      <c r="ET602" s="19"/>
      <c r="EU602" s="139"/>
      <c r="EV602" s="139"/>
      <c r="EW602" s="123"/>
      <c r="EX602" s="123"/>
      <c r="EY602" s="123"/>
      <c r="EZ602" s="123"/>
      <c r="FA602" s="123"/>
      <c r="FB602" s="123"/>
      <c r="FC602" s="6"/>
      <c r="FD602" s="123"/>
      <c r="FE602" s="6"/>
      <c r="FF602" s="123"/>
      <c r="FG602" s="6"/>
      <c r="FH602" s="6"/>
      <c r="FI602" s="6"/>
      <c r="FJ602" s="6"/>
      <c r="FK602" s="123"/>
      <c r="FL602" s="6"/>
      <c r="FM602" s="6"/>
      <c r="FN602" s="6"/>
      <c r="FO602" s="138"/>
      <c r="FP602" s="138"/>
      <c r="FQ602" s="123"/>
      <c r="FR602" s="6"/>
      <c r="FS602" s="6"/>
      <c r="FT602" s="139"/>
      <c r="FU602" s="139"/>
      <c r="FV602" s="76"/>
      <c r="FW602" s="123"/>
      <c r="FX602" s="6"/>
    </row>
    <row r="603" spans="35:180">
      <c r="AI603" s="125"/>
      <c r="AJ603" s="16"/>
      <c r="AM603" s="16"/>
      <c r="AN603" s="16"/>
      <c r="AO603" s="125"/>
      <c r="AP603" s="16"/>
      <c r="AQ603" s="125"/>
      <c r="AZ603" s="125"/>
      <c r="BA603" s="142"/>
      <c r="BB603" s="125"/>
      <c r="BC603" s="16"/>
      <c r="BD603" s="125"/>
      <c r="BE603" s="125"/>
      <c r="BF603" s="16"/>
      <c r="BG603" s="125"/>
      <c r="BQ603" s="125"/>
      <c r="BR603" s="16"/>
      <c r="BS603" s="123"/>
      <c r="BT603" s="19"/>
      <c r="BU603" s="139"/>
      <c r="BV603" s="139"/>
      <c r="BW603" s="123"/>
      <c r="BX603" s="123"/>
      <c r="BY603" s="123"/>
      <c r="BZ603" s="123"/>
      <c r="CA603" s="123"/>
      <c r="CB603" s="123"/>
      <c r="CC603" s="6"/>
      <c r="CD603" s="123"/>
      <c r="CE603" s="6"/>
      <c r="CF603" s="123"/>
      <c r="CG603" s="6"/>
      <c r="CH603" s="6"/>
      <c r="CI603" s="6"/>
      <c r="CJ603" s="6"/>
      <c r="CK603" s="123"/>
      <c r="CL603" s="6"/>
      <c r="CM603" s="6"/>
      <c r="CN603" s="6"/>
      <c r="CO603" s="138"/>
      <c r="CP603" s="138"/>
      <c r="CQ603" s="123"/>
      <c r="CR603" s="6"/>
      <c r="CS603" s="6"/>
      <c r="CT603" s="139"/>
      <c r="CU603" s="139"/>
      <c r="CV603" s="76"/>
      <c r="CW603" s="123"/>
      <c r="CX603" s="6"/>
      <c r="DI603" s="125"/>
      <c r="DJ603" s="16"/>
      <c r="DM603" s="16"/>
      <c r="DN603" s="16"/>
      <c r="DO603" s="125"/>
      <c r="DP603" s="16"/>
      <c r="DQ603" s="125"/>
      <c r="DZ603" s="125"/>
      <c r="EA603" s="142"/>
      <c r="EB603" s="125"/>
      <c r="EC603" s="16"/>
      <c r="ED603" s="125"/>
      <c r="EE603" s="125"/>
      <c r="EF603" s="16"/>
      <c r="EG603" s="125"/>
      <c r="EQ603" s="125"/>
      <c r="ER603" s="16"/>
      <c r="ES603" s="123"/>
      <c r="ET603" s="19"/>
      <c r="EU603" s="139"/>
      <c r="EV603" s="139"/>
      <c r="EW603" s="123"/>
      <c r="EX603" s="123"/>
      <c r="EY603" s="123"/>
      <c r="EZ603" s="123"/>
      <c r="FA603" s="123"/>
      <c r="FB603" s="123"/>
      <c r="FC603" s="6"/>
      <c r="FD603" s="123"/>
      <c r="FE603" s="6"/>
      <c r="FF603" s="123"/>
      <c r="FG603" s="6"/>
      <c r="FH603" s="6"/>
      <c r="FI603" s="6"/>
      <c r="FJ603" s="6"/>
      <c r="FK603" s="123"/>
      <c r="FL603" s="6"/>
      <c r="FM603" s="6"/>
      <c r="FN603" s="6"/>
      <c r="FO603" s="138"/>
      <c r="FP603" s="138"/>
      <c r="FQ603" s="123"/>
      <c r="FR603" s="6"/>
      <c r="FS603" s="6"/>
      <c r="FT603" s="139"/>
      <c r="FU603" s="139"/>
      <c r="FV603" s="76"/>
      <c r="FW603" s="123"/>
      <c r="FX603" s="6"/>
    </row>
    <row r="604" spans="35:180">
      <c r="AI604" s="125"/>
      <c r="AJ604" s="16"/>
      <c r="AM604" s="16"/>
      <c r="AN604" s="16"/>
      <c r="AO604" s="125"/>
      <c r="AP604" s="16"/>
      <c r="AQ604" s="125"/>
      <c r="AZ604" s="125"/>
      <c r="BA604" s="142"/>
      <c r="BB604" s="125"/>
      <c r="BC604" s="16"/>
      <c r="BD604" s="125"/>
      <c r="BE604" s="125"/>
      <c r="BF604" s="16"/>
      <c r="BG604" s="125"/>
      <c r="BQ604" s="125"/>
      <c r="BR604" s="16"/>
      <c r="BS604" s="123"/>
      <c r="BT604" s="19"/>
      <c r="BU604" s="139"/>
      <c r="BV604" s="139"/>
      <c r="BW604" s="123"/>
      <c r="BX604" s="123"/>
      <c r="BY604" s="123"/>
      <c r="BZ604" s="123"/>
      <c r="CA604" s="123"/>
      <c r="CB604" s="123"/>
      <c r="CC604" s="6"/>
      <c r="CD604" s="123"/>
      <c r="CE604" s="6"/>
      <c r="CF604" s="123"/>
      <c r="CG604" s="6"/>
      <c r="CH604" s="6"/>
      <c r="CI604" s="6"/>
      <c r="CJ604" s="6"/>
      <c r="CK604" s="123"/>
      <c r="CL604" s="6"/>
      <c r="CM604" s="6"/>
      <c r="CN604" s="6"/>
      <c r="CO604" s="138"/>
      <c r="CP604" s="138"/>
      <c r="CQ604" s="123"/>
      <c r="CR604" s="6"/>
      <c r="CS604" s="6"/>
      <c r="CT604" s="139"/>
      <c r="CU604" s="139"/>
      <c r="CV604" s="76"/>
      <c r="CW604" s="123"/>
      <c r="CX604" s="6"/>
      <c r="DI604" s="125"/>
      <c r="DJ604" s="16"/>
      <c r="DM604" s="16"/>
      <c r="DN604" s="16"/>
      <c r="DO604" s="125"/>
      <c r="DP604" s="16"/>
      <c r="DQ604" s="125"/>
      <c r="DZ604" s="125"/>
      <c r="EA604" s="142"/>
      <c r="EB604" s="125"/>
      <c r="EC604" s="16"/>
      <c r="ED604" s="125"/>
      <c r="EE604" s="125"/>
      <c r="EF604" s="16"/>
      <c r="EG604" s="125"/>
      <c r="EQ604" s="125"/>
      <c r="ER604" s="16"/>
      <c r="ES604" s="123"/>
      <c r="ET604" s="19"/>
      <c r="EU604" s="139"/>
      <c r="EV604" s="139"/>
      <c r="EW604" s="123"/>
      <c r="EX604" s="123"/>
      <c r="EY604" s="123"/>
      <c r="EZ604" s="123"/>
      <c r="FA604" s="123"/>
      <c r="FB604" s="123"/>
      <c r="FC604" s="6"/>
      <c r="FD604" s="123"/>
      <c r="FE604" s="6"/>
      <c r="FF604" s="123"/>
      <c r="FG604" s="6"/>
      <c r="FH604" s="6"/>
      <c r="FI604" s="6"/>
      <c r="FJ604" s="6"/>
      <c r="FK604" s="123"/>
      <c r="FL604" s="6"/>
      <c r="FM604" s="6"/>
      <c r="FN604" s="6"/>
      <c r="FO604" s="138"/>
      <c r="FP604" s="138"/>
      <c r="FQ604" s="123"/>
      <c r="FR604" s="6"/>
      <c r="FS604" s="6"/>
      <c r="FT604" s="139"/>
      <c r="FU604" s="139"/>
      <c r="FV604" s="76"/>
      <c r="FW604" s="123"/>
      <c r="FX604" s="6"/>
    </row>
    <row r="605" spans="35:180">
      <c r="AI605" s="125"/>
      <c r="AJ605" s="16"/>
      <c r="AM605" s="16"/>
      <c r="AN605" s="16"/>
      <c r="AO605" s="125"/>
      <c r="AP605" s="16"/>
      <c r="AQ605" s="125"/>
      <c r="AZ605" s="125"/>
      <c r="BA605" s="142"/>
      <c r="BB605" s="125"/>
      <c r="BC605" s="16"/>
      <c r="BD605" s="125"/>
      <c r="BE605" s="125"/>
      <c r="BF605" s="16"/>
      <c r="BG605" s="125"/>
      <c r="BQ605" s="125"/>
      <c r="BR605" s="16"/>
      <c r="BS605" s="123"/>
      <c r="BT605" s="19"/>
      <c r="BU605" s="139"/>
      <c r="BV605" s="139"/>
      <c r="BW605" s="123"/>
      <c r="BX605" s="123"/>
      <c r="BY605" s="123"/>
      <c r="BZ605" s="123"/>
      <c r="CA605" s="123"/>
      <c r="CB605" s="123"/>
      <c r="CC605" s="6"/>
      <c r="CD605" s="123"/>
      <c r="CE605" s="6"/>
      <c r="CF605" s="123"/>
      <c r="CG605" s="6"/>
      <c r="CH605" s="6"/>
      <c r="CI605" s="6"/>
      <c r="CJ605" s="6"/>
      <c r="CK605" s="123"/>
      <c r="CL605" s="6"/>
      <c r="CM605" s="6"/>
      <c r="CN605" s="6"/>
      <c r="CO605" s="138"/>
      <c r="CP605" s="138"/>
      <c r="CQ605" s="123"/>
      <c r="CR605" s="6"/>
      <c r="CS605" s="6"/>
      <c r="CT605" s="139"/>
      <c r="CU605" s="139"/>
      <c r="CV605" s="76"/>
      <c r="CW605" s="123"/>
      <c r="CX605" s="6"/>
      <c r="DI605" s="125"/>
      <c r="DJ605" s="16"/>
      <c r="DM605" s="16"/>
      <c r="DN605" s="16"/>
      <c r="DO605" s="125"/>
      <c r="DP605" s="16"/>
      <c r="DQ605" s="125"/>
      <c r="DZ605" s="125"/>
      <c r="EA605" s="142"/>
      <c r="EB605" s="125"/>
      <c r="EC605" s="16"/>
      <c r="ED605" s="125"/>
      <c r="EE605" s="125"/>
      <c r="EF605" s="16"/>
      <c r="EG605" s="125"/>
      <c r="EQ605" s="125"/>
      <c r="ER605" s="16"/>
      <c r="ES605" s="123"/>
      <c r="ET605" s="19"/>
      <c r="EU605" s="139"/>
      <c r="EV605" s="139"/>
      <c r="EW605" s="123"/>
      <c r="EX605" s="123"/>
      <c r="EY605" s="123"/>
      <c r="EZ605" s="123"/>
      <c r="FA605" s="123"/>
      <c r="FB605" s="123"/>
      <c r="FC605" s="6"/>
      <c r="FD605" s="123"/>
      <c r="FE605" s="6"/>
      <c r="FF605" s="123"/>
      <c r="FG605" s="6"/>
      <c r="FH605" s="6"/>
      <c r="FI605" s="6"/>
      <c r="FJ605" s="6"/>
      <c r="FK605" s="123"/>
      <c r="FL605" s="6"/>
      <c r="FM605" s="6"/>
      <c r="FN605" s="6"/>
      <c r="FO605" s="138"/>
      <c r="FP605" s="138"/>
      <c r="FQ605" s="123"/>
      <c r="FR605" s="6"/>
      <c r="FS605" s="6"/>
      <c r="FT605" s="139"/>
      <c r="FU605" s="139"/>
      <c r="FV605" s="76"/>
      <c r="FW605" s="123"/>
      <c r="FX605" s="6"/>
    </row>
    <row r="606" spans="35:180">
      <c r="AI606" s="125"/>
      <c r="AJ606" s="16"/>
      <c r="AM606" s="16"/>
      <c r="AN606" s="16"/>
      <c r="AO606" s="125"/>
      <c r="AP606" s="16"/>
      <c r="AQ606" s="125"/>
      <c r="AZ606" s="125"/>
      <c r="BA606" s="142"/>
      <c r="BB606" s="125"/>
      <c r="BC606" s="16"/>
      <c r="BD606" s="125"/>
      <c r="BE606" s="125"/>
      <c r="BF606" s="16"/>
      <c r="BG606" s="125"/>
      <c r="BQ606" s="125"/>
      <c r="BR606" s="16"/>
      <c r="BS606" s="123"/>
      <c r="BT606" s="19"/>
      <c r="BU606" s="139"/>
      <c r="BV606" s="139"/>
      <c r="BW606" s="123"/>
      <c r="BX606" s="123"/>
      <c r="BY606" s="123"/>
      <c r="BZ606" s="123"/>
      <c r="CA606" s="123"/>
      <c r="CB606" s="123"/>
      <c r="CC606" s="6"/>
      <c r="CD606" s="123"/>
      <c r="CE606" s="6"/>
      <c r="CF606" s="123"/>
      <c r="CG606" s="6"/>
      <c r="CH606" s="6"/>
      <c r="CI606" s="6"/>
      <c r="CJ606" s="6"/>
      <c r="CK606" s="123"/>
      <c r="CL606" s="6"/>
      <c r="CM606" s="6"/>
      <c r="CN606" s="6"/>
      <c r="CO606" s="138"/>
      <c r="CP606" s="138"/>
      <c r="CQ606" s="123"/>
      <c r="CR606" s="6"/>
      <c r="CS606" s="6"/>
      <c r="CT606" s="139"/>
      <c r="CU606" s="139"/>
      <c r="CV606" s="76"/>
      <c r="CW606" s="123"/>
      <c r="CX606" s="6"/>
      <c r="DI606" s="125"/>
      <c r="DJ606" s="16"/>
      <c r="DM606" s="16"/>
      <c r="DN606" s="16"/>
      <c r="DO606" s="125"/>
      <c r="DP606" s="16"/>
      <c r="DQ606" s="125"/>
      <c r="DZ606" s="125"/>
      <c r="EA606" s="142"/>
      <c r="EB606" s="125"/>
      <c r="EC606" s="16"/>
      <c r="ED606" s="125"/>
      <c r="EE606" s="125"/>
      <c r="EF606" s="16"/>
      <c r="EG606" s="125"/>
      <c r="EQ606" s="125"/>
      <c r="ER606" s="16"/>
      <c r="ES606" s="123"/>
      <c r="ET606" s="19"/>
      <c r="EU606" s="139"/>
      <c r="EV606" s="139"/>
      <c r="EW606" s="123"/>
      <c r="EX606" s="123"/>
      <c r="EY606" s="123"/>
      <c r="EZ606" s="123"/>
      <c r="FA606" s="123"/>
      <c r="FB606" s="123"/>
      <c r="FC606" s="6"/>
      <c r="FD606" s="123"/>
      <c r="FE606" s="6"/>
      <c r="FF606" s="123"/>
      <c r="FG606" s="6"/>
      <c r="FH606" s="6"/>
      <c r="FI606" s="6"/>
      <c r="FJ606" s="6"/>
      <c r="FK606" s="123"/>
      <c r="FL606" s="6"/>
      <c r="FM606" s="6"/>
      <c r="FN606" s="6"/>
      <c r="FO606" s="138"/>
      <c r="FP606" s="138"/>
      <c r="FQ606" s="123"/>
      <c r="FR606" s="6"/>
      <c r="FS606" s="6"/>
      <c r="FT606" s="139"/>
      <c r="FU606" s="139"/>
      <c r="FV606" s="76"/>
      <c r="FW606" s="123"/>
      <c r="FX606" s="6"/>
    </row>
    <row r="607" spans="35:180">
      <c r="AI607" s="125"/>
      <c r="AJ607" s="16"/>
      <c r="AM607" s="16"/>
      <c r="AN607" s="16"/>
      <c r="AO607" s="125"/>
      <c r="AP607" s="16"/>
      <c r="AQ607" s="125"/>
      <c r="AZ607" s="125"/>
      <c r="BA607" s="142"/>
      <c r="BB607" s="125"/>
      <c r="BC607" s="16"/>
      <c r="BD607" s="125"/>
      <c r="BE607" s="125"/>
      <c r="BF607" s="16"/>
      <c r="BG607" s="125"/>
      <c r="BQ607" s="125"/>
      <c r="BR607" s="16"/>
      <c r="BS607" s="123"/>
      <c r="BT607" s="19"/>
      <c r="BU607" s="139"/>
      <c r="BV607" s="139"/>
      <c r="BW607" s="123"/>
      <c r="BX607" s="123"/>
      <c r="BY607" s="123"/>
      <c r="BZ607" s="123"/>
      <c r="CA607" s="123"/>
      <c r="CB607" s="123"/>
      <c r="CC607" s="6"/>
      <c r="CD607" s="123"/>
      <c r="CE607" s="6"/>
      <c r="CF607" s="123"/>
      <c r="CG607" s="6"/>
      <c r="CH607" s="6"/>
      <c r="CI607" s="6"/>
      <c r="CJ607" s="6"/>
      <c r="CK607" s="123"/>
      <c r="CL607" s="6"/>
      <c r="CM607" s="6"/>
      <c r="CN607" s="6"/>
      <c r="CO607" s="138"/>
      <c r="CP607" s="138"/>
      <c r="CQ607" s="123"/>
      <c r="CR607" s="6"/>
      <c r="CS607" s="6"/>
      <c r="CT607" s="139"/>
      <c r="CU607" s="139"/>
      <c r="CV607" s="76"/>
      <c r="CW607" s="123"/>
      <c r="CX607" s="6"/>
      <c r="DI607" s="125"/>
      <c r="DJ607" s="16"/>
      <c r="DM607" s="16"/>
      <c r="DN607" s="16"/>
      <c r="DO607" s="125"/>
      <c r="DP607" s="16"/>
      <c r="DQ607" s="125"/>
      <c r="DZ607" s="125"/>
      <c r="EA607" s="142"/>
      <c r="EB607" s="125"/>
      <c r="EC607" s="16"/>
      <c r="ED607" s="125"/>
      <c r="EE607" s="125"/>
      <c r="EF607" s="16"/>
      <c r="EG607" s="125"/>
      <c r="EQ607" s="125"/>
      <c r="ER607" s="16"/>
      <c r="ES607" s="123"/>
      <c r="ET607" s="19"/>
      <c r="EU607" s="139"/>
      <c r="EV607" s="139"/>
      <c r="EW607" s="123"/>
      <c r="EX607" s="123"/>
      <c r="EY607" s="123"/>
      <c r="EZ607" s="123"/>
      <c r="FA607" s="123"/>
      <c r="FB607" s="123"/>
      <c r="FC607" s="6"/>
      <c r="FD607" s="123"/>
      <c r="FE607" s="6"/>
      <c r="FF607" s="123"/>
      <c r="FG607" s="6"/>
      <c r="FH607" s="6"/>
      <c r="FI607" s="6"/>
      <c r="FJ607" s="6"/>
      <c r="FK607" s="123"/>
      <c r="FL607" s="6"/>
      <c r="FM607" s="6"/>
      <c r="FN607" s="6"/>
      <c r="FO607" s="138"/>
      <c r="FP607" s="138"/>
      <c r="FQ607" s="123"/>
      <c r="FR607" s="6"/>
      <c r="FS607" s="6"/>
      <c r="FT607" s="139"/>
      <c r="FU607" s="139"/>
      <c r="FV607" s="76"/>
      <c r="FW607" s="123"/>
      <c r="FX607" s="6"/>
    </row>
    <row r="608" spans="35:180">
      <c r="AI608" s="125"/>
      <c r="AJ608" s="16"/>
      <c r="AM608" s="16"/>
      <c r="AN608" s="16"/>
      <c r="AO608" s="125"/>
      <c r="AP608" s="16"/>
      <c r="AQ608" s="125"/>
      <c r="AZ608" s="125"/>
      <c r="BA608" s="142"/>
      <c r="BB608" s="125"/>
      <c r="BC608" s="16"/>
      <c r="BD608" s="125"/>
      <c r="BE608" s="125"/>
      <c r="BF608" s="16"/>
      <c r="BG608" s="125"/>
      <c r="BQ608" s="125"/>
      <c r="BR608" s="16"/>
      <c r="BS608" s="123"/>
      <c r="BT608" s="19"/>
      <c r="BU608" s="139"/>
      <c r="BV608" s="139"/>
      <c r="BW608" s="123"/>
      <c r="BX608" s="123"/>
      <c r="BY608" s="123"/>
      <c r="BZ608" s="123"/>
      <c r="CA608" s="123"/>
      <c r="CB608" s="123"/>
      <c r="CC608" s="6"/>
      <c r="CD608" s="123"/>
      <c r="CE608" s="6"/>
      <c r="CF608" s="123"/>
      <c r="CG608" s="6"/>
      <c r="CH608" s="6"/>
      <c r="CI608" s="6"/>
      <c r="CJ608" s="6"/>
      <c r="CK608" s="123"/>
      <c r="CL608" s="6"/>
      <c r="CM608" s="6"/>
      <c r="CN608" s="6"/>
      <c r="CO608" s="138"/>
      <c r="CP608" s="138"/>
      <c r="CQ608" s="123"/>
      <c r="CR608" s="6"/>
      <c r="CS608" s="6"/>
      <c r="CT608" s="139"/>
      <c r="CU608" s="139"/>
      <c r="CV608" s="76"/>
      <c r="CW608" s="123"/>
      <c r="CX608" s="6"/>
      <c r="DI608" s="125"/>
      <c r="DJ608" s="16"/>
      <c r="DM608" s="16"/>
      <c r="DN608" s="16"/>
      <c r="DO608" s="125"/>
      <c r="DP608" s="16"/>
      <c r="DQ608" s="125"/>
      <c r="DZ608" s="125"/>
      <c r="EA608" s="142"/>
      <c r="EB608" s="125"/>
      <c r="EC608" s="16"/>
      <c r="ED608" s="125"/>
      <c r="EE608" s="125"/>
      <c r="EF608" s="16"/>
      <c r="EG608" s="125"/>
      <c r="EQ608" s="125"/>
      <c r="ER608" s="16"/>
      <c r="ES608" s="123"/>
      <c r="ET608" s="19"/>
      <c r="EU608" s="139"/>
      <c r="EV608" s="139"/>
      <c r="EW608" s="123"/>
      <c r="EX608" s="123"/>
      <c r="EY608" s="123"/>
      <c r="EZ608" s="123"/>
      <c r="FA608" s="123"/>
      <c r="FB608" s="123"/>
      <c r="FC608" s="6"/>
      <c r="FD608" s="123"/>
      <c r="FE608" s="6"/>
      <c r="FF608" s="123"/>
      <c r="FG608" s="6"/>
      <c r="FH608" s="6"/>
      <c r="FI608" s="6"/>
      <c r="FJ608" s="6"/>
      <c r="FK608" s="123"/>
      <c r="FL608" s="6"/>
      <c r="FM608" s="6"/>
      <c r="FN608" s="6"/>
      <c r="FO608" s="138"/>
      <c r="FP608" s="138"/>
      <c r="FQ608" s="123"/>
      <c r="FR608" s="6"/>
      <c r="FS608" s="6"/>
      <c r="FT608" s="139"/>
      <c r="FU608" s="139"/>
      <c r="FV608" s="76"/>
      <c r="FW608" s="123"/>
      <c r="FX608" s="6"/>
    </row>
    <row r="609" spans="35:180">
      <c r="AI609" s="125"/>
      <c r="AJ609" s="16"/>
      <c r="AM609" s="16"/>
      <c r="AN609" s="16"/>
      <c r="AO609" s="125"/>
      <c r="AP609" s="16"/>
      <c r="AQ609" s="125"/>
      <c r="AZ609" s="125"/>
      <c r="BA609" s="142"/>
      <c r="BB609" s="125"/>
      <c r="BC609" s="16"/>
      <c r="BD609" s="125"/>
      <c r="BE609" s="125"/>
      <c r="BF609" s="16"/>
      <c r="BG609" s="125"/>
      <c r="BQ609" s="125"/>
      <c r="BR609" s="16"/>
      <c r="BS609" s="123"/>
      <c r="BT609" s="19"/>
      <c r="BU609" s="139"/>
      <c r="BV609" s="139"/>
      <c r="BW609" s="123"/>
      <c r="BX609" s="123"/>
      <c r="BY609" s="123"/>
      <c r="BZ609" s="123"/>
      <c r="CA609" s="123"/>
      <c r="CB609" s="123"/>
      <c r="CC609" s="6"/>
      <c r="CD609" s="123"/>
      <c r="CE609" s="6"/>
      <c r="CF609" s="123"/>
      <c r="CG609" s="6"/>
      <c r="CH609" s="6"/>
      <c r="CI609" s="6"/>
      <c r="CJ609" s="6"/>
      <c r="CK609" s="123"/>
      <c r="CL609" s="6"/>
      <c r="CM609" s="6"/>
      <c r="CN609" s="6"/>
      <c r="CO609" s="138"/>
      <c r="CP609" s="138"/>
      <c r="CQ609" s="123"/>
      <c r="CR609" s="6"/>
      <c r="CS609" s="6"/>
      <c r="CT609" s="139"/>
      <c r="CU609" s="139"/>
      <c r="CV609" s="76"/>
      <c r="CW609" s="123"/>
      <c r="CX609" s="6"/>
      <c r="DI609" s="125"/>
      <c r="DJ609" s="16"/>
      <c r="DM609" s="16"/>
      <c r="DN609" s="16"/>
      <c r="DO609" s="125"/>
      <c r="DP609" s="16"/>
      <c r="DQ609" s="125"/>
      <c r="DZ609" s="125"/>
      <c r="EA609" s="142"/>
      <c r="EB609" s="125"/>
      <c r="EC609" s="16"/>
      <c r="ED609" s="125"/>
      <c r="EE609" s="125"/>
      <c r="EF609" s="16"/>
      <c r="EG609" s="125"/>
      <c r="EQ609" s="125"/>
      <c r="ER609" s="16"/>
      <c r="ES609" s="123"/>
      <c r="ET609" s="19"/>
      <c r="EU609" s="139"/>
      <c r="EV609" s="139"/>
      <c r="EW609" s="123"/>
      <c r="EX609" s="123"/>
      <c r="EY609" s="123"/>
      <c r="EZ609" s="123"/>
      <c r="FA609" s="123"/>
      <c r="FB609" s="123"/>
      <c r="FC609" s="6"/>
      <c r="FD609" s="123"/>
      <c r="FE609" s="6"/>
      <c r="FF609" s="123"/>
      <c r="FG609" s="6"/>
      <c r="FH609" s="6"/>
      <c r="FI609" s="6"/>
      <c r="FJ609" s="6"/>
      <c r="FK609" s="123"/>
      <c r="FL609" s="6"/>
      <c r="FM609" s="6"/>
      <c r="FN609" s="6"/>
      <c r="FO609" s="138"/>
      <c r="FP609" s="138"/>
      <c r="FQ609" s="123"/>
      <c r="FR609" s="6"/>
      <c r="FS609" s="6"/>
      <c r="FT609" s="139"/>
      <c r="FU609" s="139"/>
      <c r="FV609" s="76"/>
      <c r="FW609" s="123"/>
      <c r="FX609" s="6"/>
    </row>
    <row r="610" spans="35:180">
      <c r="AI610" s="125"/>
      <c r="AJ610" s="16"/>
      <c r="AM610" s="16"/>
      <c r="AN610" s="16"/>
      <c r="AO610" s="125"/>
      <c r="AP610" s="16"/>
      <c r="AQ610" s="125"/>
      <c r="AZ610" s="125"/>
      <c r="BA610" s="142"/>
      <c r="BB610" s="125"/>
      <c r="BC610" s="16"/>
      <c r="BD610" s="125"/>
      <c r="BE610" s="125"/>
      <c r="BF610" s="16"/>
      <c r="BG610" s="125"/>
      <c r="BQ610" s="125"/>
      <c r="BR610" s="16"/>
      <c r="BS610" s="123"/>
      <c r="BT610" s="19"/>
      <c r="BU610" s="139"/>
      <c r="BV610" s="139"/>
      <c r="BW610" s="123"/>
      <c r="BX610" s="123"/>
      <c r="BY610" s="123"/>
      <c r="BZ610" s="123"/>
      <c r="CA610" s="123"/>
      <c r="CB610" s="123"/>
      <c r="CC610" s="6"/>
      <c r="CD610" s="123"/>
      <c r="CE610" s="6"/>
      <c r="CF610" s="123"/>
      <c r="CG610" s="6"/>
      <c r="CH610" s="6"/>
      <c r="CI610" s="6"/>
      <c r="CJ610" s="6"/>
      <c r="CK610" s="123"/>
      <c r="CL610" s="6"/>
      <c r="CM610" s="6"/>
      <c r="CN610" s="6"/>
      <c r="CO610" s="138"/>
      <c r="CP610" s="138"/>
      <c r="CQ610" s="123"/>
      <c r="CR610" s="6"/>
      <c r="CS610" s="6"/>
      <c r="CT610" s="139"/>
      <c r="CU610" s="139"/>
      <c r="CV610" s="76"/>
      <c r="CW610" s="123"/>
      <c r="CX610" s="6"/>
      <c r="DI610" s="125"/>
      <c r="DJ610" s="16"/>
      <c r="DM610" s="16"/>
      <c r="DN610" s="16"/>
      <c r="DO610" s="125"/>
      <c r="DP610" s="16"/>
      <c r="DQ610" s="125"/>
      <c r="DZ610" s="125"/>
      <c r="EA610" s="142"/>
      <c r="EB610" s="125"/>
      <c r="EC610" s="16"/>
      <c r="ED610" s="125"/>
      <c r="EE610" s="125"/>
      <c r="EF610" s="16"/>
      <c r="EG610" s="125"/>
      <c r="EQ610" s="125"/>
      <c r="ER610" s="16"/>
      <c r="ES610" s="123"/>
      <c r="ET610" s="19"/>
      <c r="EU610" s="139"/>
      <c r="EV610" s="139"/>
      <c r="EW610" s="123"/>
      <c r="EX610" s="123"/>
      <c r="EY610" s="123"/>
      <c r="EZ610" s="123"/>
      <c r="FA610" s="123"/>
      <c r="FB610" s="123"/>
      <c r="FC610" s="6"/>
      <c r="FD610" s="123"/>
      <c r="FE610" s="6"/>
      <c r="FF610" s="123"/>
      <c r="FG610" s="6"/>
      <c r="FH610" s="6"/>
      <c r="FI610" s="6"/>
      <c r="FJ610" s="6"/>
      <c r="FK610" s="123"/>
      <c r="FL610" s="6"/>
      <c r="FM610" s="6"/>
      <c r="FN610" s="6"/>
      <c r="FO610" s="138"/>
      <c r="FP610" s="138"/>
      <c r="FQ610" s="123"/>
      <c r="FR610" s="6"/>
      <c r="FS610" s="6"/>
      <c r="FT610" s="139"/>
      <c r="FU610" s="139"/>
      <c r="FV610" s="76"/>
      <c r="FW610" s="123"/>
      <c r="FX610" s="6"/>
    </row>
    <row r="611" spans="35:180">
      <c r="AI611" s="125"/>
      <c r="AJ611" s="16"/>
      <c r="AM611" s="16"/>
      <c r="AN611" s="16"/>
      <c r="AO611" s="125"/>
      <c r="AP611" s="16"/>
      <c r="AQ611" s="125"/>
      <c r="AZ611" s="125"/>
      <c r="BA611" s="142"/>
      <c r="BB611" s="125"/>
      <c r="BC611" s="16"/>
      <c r="BD611" s="125"/>
      <c r="BE611" s="125"/>
      <c r="BF611" s="16"/>
      <c r="BG611" s="125"/>
      <c r="BQ611" s="125"/>
      <c r="BR611" s="16"/>
      <c r="BS611" s="123"/>
      <c r="BT611" s="19"/>
      <c r="BU611" s="139"/>
      <c r="BV611" s="139"/>
      <c r="BW611" s="123"/>
      <c r="BX611" s="123"/>
      <c r="BY611" s="123"/>
      <c r="BZ611" s="123"/>
      <c r="CA611" s="123"/>
      <c r="CB611" s="123"/>
      <c r="CC611" s="6"/>
      <c r="CD611" s="123"/>
      <c r="CE611" s="6"/>
      <c r="CF611" s="123"/>
      <c r="CG611" s="6"/>
      <c r="CH611" s="6"/>
      <c r="CI611" s="6"/>
      <c r="CJ611" s="6"/>
      <c r="CK611" s="123"/>
      <c r="CL611" s="6"/>
      <c r="CM611" s="6"/>
      <c r="CN611" s="6"/>
      <c r="CO611" s="138"/>
      <c r="CP611" s="138"/>
      <c r="CQ611" s="123"/>
      <c r="CR611" s="6"/>
      <c r="CS611" s="6"/>
      <c r="CT611" s="139"/>
      <c r="CU611" s="139"/>
      <c r="CV611" s="76"/>
      <c r="CW611" s="123"/>
      <c r="CX611" s="6"/>
      <c r="DI611" s="125"/>
      <c r="DJ611" s="16"/>
      <c r="DM611" s="16"/>
      <c r="DN611" s="16"/>
      <c r="DO611" s="125"/>
      <c r="DP611" s="16"/>
      <c r="DQ611" s="125"/>
      <c r="DZ611" s="125"/>
      <c r="EA611" s="142"/>
      <c r="EB611" s="125"/>
      <c r="EC611" s="16"/>
      <c r="ED611" s="125"/>
      <c r="EE611" s="125"/>
      <c r="EF611" s="16"/>
      <c r="EG611" s="125"/>
      <c r="EQ611" s="125"/>
      <c r="ER611" s="16"/>
      <c r="ES611" s="123"/>
      <c r="ET611" s="19"/>
      <c r="EU611" s="139"/>
      <c r="EV611" s="139"/>
      <c r="EW611" s="123"/>
      <c r="EX611" s="123"/>
      <c r="EY611" s="123"/>
      <c r="EZ611" s="123"/>
      <c r="FA611" s="123"/>
      <c r="FB611" s="123"/>
      <c r="FC611" s="6"/>
      <c r="FD611" s="123"/>
      <c r="FE611" s="6"/>
      <c r="FF611" s="123"/>
      <c r="FG611" s="6"/>
      <c r="FH611" s="6"/>
      <c r="FI611" s="6"/>
      <c r="FJ611" s="6"/>
      <c r="FK611" s="123"/>
      <c r="FL611" s="6"/>
      <c r="FM611" s="6"/>
      <c r="FN611" s="6"/>
      <c r="FO611" s="138"/>
      <c r="FP611" s="138"/>
      <c r="FQ611" s="123"/>
      <c r="FR611" s="6"/>
      <c r="FS611" s="6"/>
      <c r="FT611" s="139"/>
      <c r="FU611" s="139"/>
      <c r="FV611" s="76"/>
      <c r="FW611" s="123"/>
      <c r="FX611" s="6"/>
    </row>
    <row r="612" spans="35:180">
      <c r="AI612" s="125"/>
      <c r="AJ612" s="16"/>
      <c r="AM612" s="16"/>
      <c r="AN612" s="16"/>
      <c r="AO612" s="125"/>
      <c r="AP612" s="16"/>
      <c r="AQ612" s="125"/>
      <c r="AZ612" s="125"/>
      <c r="BA612" s="142"/>
      <c r="BB612" s="125"/>
      <c r="BC612" s="16"/>
      <c r="BD612" s="125"/>
      <c r="BE612" s="125"/>
      <c r="BF612" s="16"/>
      <c r="BG612" s="125"/>
      <c r="BQ612" s="125"/>
      <c r="BR612" s="16"/>
      <c r="BS612" s="123"/>
      <c r="BT612" s="19"/>
      <c r="BU612" s="139"/>
      <c r="BV612" s="139"/>
      <c r="BW612" s="123"/>
      <c r="BX612" s="123"/>
      <c r="BY612" s="123"/>
      <c r="BZ612" s="123"/>
      <c r="CA612" s="123"/>
      <c r="CB612" s="123"/>
      <c r="CC612" s="6"/>
      <c r="CD612" s="123"/>
      <c r="CE612" s="6"/>
      <c r="CF612" s="123"/>
      <c r="CG612" s="6"/>
      <c r="CH612" s="6"/>
      <c r="CI612" s="6"/>
      <c r="CJ612" s="6"/>
      <c r="CK612" s="123"/>
      <c r="CL612" s="6"/>
      <c r="CM612" s="6"/>
      <c r="CN612" s="6"/>
      <c r="CO612" s="138"/>
      <c r="CP612" s="138"/>
      <c r="CQ612" s="123"/>
      <c r="CR612" s="6"/>
      <c r="CS612" s="6"/>
      <c r="CT612" s="139"/>
      <c r="CU612" s="139"/>
      <c r="CV612" s="76"/>
      <c r="CW612" s="123"/>
      <c r="CX612" s="6"/>
      <c r="DI612" s="125"/>
      <c r="DJ612" s="16"/>
      <c r="DM612" s="16"/>
      <c r="DN612" s="16"/>
      <c r="DO612" s="125"/>
      <c r="DP612" s="16"/>
      <c r="DQ612" s="125"/>
      <c r="DZ612" s="125"/>
      <c r="EA612" s="142"/>
      <c r="EB612" s="125"/>
      <c r="EC612" s="16"/>
      <c r="ED612" s="125"/>
      <c r="EE612" s="125"/>
      <c r="EF612" s="16"/>
      <c r="EG612" s="125"/>
      <c r="EQ612" s="125"/>
      <c r="ER612" s="16"/>
      <c r="ES612" s="123"/>
      <c r="ET612" s="19"/>
      <c r="EU612" s="139"/>
      <c r="EV612" s="139"/>
      <c r="EW612" s="123"/>
      <c r="EX612" s="123"/>
      <c r="EY612" s="123"/>
      <c r="EZ612" s="123"/>
      <c r="FA612" s="123"/>
      <c r="FB612" s="123"/>
      <c r="FC612" s="6"/>
      <c r="FD612" s="123"/>
      <c r="FE612" s="6"/>
      <c r="FF612" s="123"/>
      <c r="FG612" s="6"/>
      <c r="FH612" s="6"/>
      <c r="FI612" s="6"/>
      <c r="FJ612" s="6"/>
      <c r="FK612" s="123"/>
      <c r="FL612" s="6"/>
      <c r="FM612" s="6"/>
      <c r="FN612" s="6"/>
      <c r="FO612" s="138"/>
      <c r="FP612" s="138"/>
      <c r="FQ612" s="123"/>
      <c r="FR612" s="6"/>
      <c r="FS612" s="6"/>
      <c r="FT612" s="139"/>
      <c r="FU612" s="139"/>
      <c r="FV612" s="76"/>
      <c r="FW612" s="123"/>
      <c r="FX612" s="6"/>
    </row>
    <row r="613" spans="35:180">
      <c r="AI613" s="125"/>
      <c r="AJ613" s="16"/>
      <c r="AM613" s="16"/>
      <c r="AN613" s="16"/>
      <c r="AO613" s="125"/>
      <c r="AP613" s="16"/>
      <c r="AQ613" s="125"/>
      <c r="AZ613" s="125"/>
      <c r="BA613" s="142"/>
      <c r="BB613" s="125"/>
      <c r="BC613" s="16"/>
      <c r="BD613" s="125"/>
      <c r="BE613" s="125"/>
      <c r="BF613" s="16"/>
      <c r="BG613" s="125"/>
      <c r="BQ613" s="125"/>
      <c r="BR613" s="16"/>
      <c r="BS613" s="123"/>
      <c r="BT613" s="19"/>
      <c r="BU613" s="139"/>
      <c r="BV613" s="139"/>
      <c r="BW613" s="123"/>
      <c r="BX613" s="123"/>
      <c r="BY613" s="123"/>
      <c r="BZ613" s="123"/>
      <c r="CA613" s="123"/>
      <c r="CB613" s="123"/>
      <c r="CC613" s="6"/>
      <c r="CD613" s="123"/>
      <c r="CE613" s="6"/>
      <c r="CF613" s="123"/>
      <c r="CG613" s="6"/>
      <c r="CH613" s="6"/>
      <c r="CI613" s="6"/>
      <c r="CJ613" s="6"/>
      <c r="CK613" s="123"/>
      <c r="CL613" s="6"/>
      <c r="CM613" s="6"/>
      <c r="CN613" s="6"/>
      <c r="CO613" s="138"/>
      <c r="CP613" s="138"/>
      <c r="CQ613" s="123"/>
      <c r="CR613" s="6"/>
      <c r="CS613" s="6"/>
      <c r="CT613" s="139"/>
      <c r="CU613" s="139"/>
      <c r="CV613" s="76"/>
      <c r="CW613" s="123"/>
      <c r="CX613" s="6"/>
      <c r="DI613" s="125"/>
      <c r="DJ613" s="16"/>
      <c r="DM613" s="16"/>
      <c r="DN613" s="16"/>
      <c r="DO613" s="125"/>
      <c r="DP613" s="16"/>
      <c r="DQ613" s="125"/>
      <c r="DZ613" s="125"/>
      <c r="EA613" s="142"/>
      <c r="EB613" s="125"/>
      <c r="EC613" s="16"/>
      <c r="ED613" s="125"/>
      <c r="EE613" s="125"/>
      <c r="EF613" s="16"/>
      <c r="EG613" s="125"/>
      <c r="EQ613" s="125"/>
      <c r="ER613" s="16"/>
      <c r="ES613" s="123"/>
      <c r="ET613" s="19"/>
      <c r="EU613" s="139"/>
      <c r="EV613" s="139"/>
      <c r="EW613" s="123"/>
      <c r="EX613" s="123"/>
      <c r="EY613" s="123"/>
      <c r="EZ613" s="123"/>
      <c r="FA613" s="123"/>
      <c r="FB613" s="123"/>
      <c r="FC613" s="6"/>
      <c r="FD613" s="123"/>
      <c r="FE613" s="6"/>
      <c r="FF613" s="123"/>
      <c r="FG613" s="6"/>
      <c r="FH613" s="6"/>
      <c r="FI613" s="6"/>
      <c r="FJ613" s="6"/>
      <c r="FK613" s="123"/>
      <c r="FL613" s="6"/>
      <c r="FM613" s="6"/>
      <c r="FN613" s="6"/>
      <c r="FO613" s="138"/>
      <c r="FP613" s="138"/>
      <c r="FQ613" s="123"/>
      <c r="FR613" s="6"/>
      <c r="FS613" s="6"/>
      <c r="FT613" s="139"/>
      <c r="FU613" s="139"/>
      <c r="FV613" s="76"/>
      <c r="FW613" s="123"/>
      <c r="FX613" s="6"/>
    </row>
    <row r="614" spans="35:180">
      <c r="AI614" s="125"/>
      <c r="AJ614" s="16"/>
      <c r="AM614" s="16"/>
      <c r="AN614" s="16"/>
      <c r="AO614" s="125"/>
      <c r="AP614" s="16"/>
      <c r="AQ614" s="125"/>
      <c r="AZ614" s="125"/>
      <c r="BA614" s="142"/>
      <c r="BB614" s="125"/>
      <c r="BC614" s="16"/>
      <c r="BD614" s="125"/>
      <c r="BE614" s="125"/>
      <c r="BF614" s="16"/>
      <c r="BG614" s="125"/>
      <c r="BQ614" s="125"/>
      <c r="BR614" s="16"/>
      <c r="BS614" s="123"/>
      <c r="BT614" s="19"/>
      <c r="BU614" s="139"/>
      <c r="BV614" s="139"/>
      <c r="BW614" s="123"/>
      <c r="BX614" s="123"/>
      <c r="BY614" s="123"/>
      <c r="BZ614" s="123"/>
      <c r="CA614" s="123"/>
      <c r="CB614" s="123"/>
      <c r="CC614" s="6"/>
      <c r="CD614" s="123"/>
      <c r="CE614" s="6"/>
      <c r="CF614" s="123"/>
      <c r="CG614" s="6"/>
      <c r="CH614" s="6"/>
      <c r="CI614" s="6"/>
      <c r="CJ614" s="6"/>
      <c r="CK614" s="123"/>
      <c r="CL614" s="6"/>
      <c r="CM614" s="6"/>
      <c r="CN614" s="6"/>
      <c r="CO614" s="138"/>
      <c r="CP614" s="138"/>
      <c r="CQ614" s="123"/>
      <c r="CR614" s="6"/>
      <c r="CS614" s="6"/>
      <c r="CT614" s="139"/>
      <c r="CU614" s="139"/>
      <c r="CV614" s="76"/>
      <c r="CW614" s="123"/>
      <c r="CX614" s="6"/>
      <c r="DI614" s="125"/>
      <c r="DJ614" s="16"/>
      <c r="DM614" s="16"/>
      <c r="DN614" s="16"/>
      <c r="DO614" s="125"/>
      <c r="DP614" s="16"/>
      <c r="DQ614" s="125"/>
      <c r="DZ614" s="125"/>
      <c r="EA614" s="142"/>
      <c r="EB614" s="125"/>
      <c r="EC614" s="16"/>
      <c r="ED614" s="125"/>
      <c r="EE614" s="125"/>
      <c r="EF614" s="16"/>
      <c r="EG614" s="125"/>
      <c r="EQ614" s="125"/>
      <c r="ER614" s="16"/>
      <c r="ES614" s="123"/>
      <c r="ET614" s="19"/>
      <c r="EU614" s="139"/>
      <c r="EV614" s="139"/>
      <c r="EW614" s="123"/>
      <c r="EX614" s="123"/>
      <c r="EY614" s="123"/>
      <c r="EZ614" s="123"/>
      <c r="FA614" s="123"/>
      <c r="FB614" s="123"/>
      <c r="FC614" s="6"/>
      <c r="FD614" s="123"/>
      <c r="FE614" s="6"/>
      <c r="FF614" s="123"/>
      <c r="FG614" s="6"/>
      <c r="FH614" s="6"/>
      <c r="FI614" s="6"/>
      <c r="FJ614" s="6"/>
      <c r="FK614" s="123"/>
      <c r="FL614" s="6"/>
      <c r="FM614" s="6"/>
      <c r="FN614" s="6"/>
      <c r="FO614" s="138"/>
      <c r="FP614" s="138"/>
      <c r="FQ614" s="123"/>
      <c r="FR614" s="6"/>
      <c r="FS614" s="6"/>
      <c r="FT614" s="139"/>
      <c r="FU614" s="139"/>
      <c r="FV614" s="76"/>
      <c r="FW614" s="123"/>
      <c r="FX614" s="6"/>
    </row>
    <row r="615" spans="35:180">
      <c r="AI615" s="125"/>
      <c r="AJ615" s="16"/>
      <c r="AM615" s="16"/>
      <c r="AN615" s="16"/>
      <c r="AO615" s="125"/>
      <c r="AP615" s="16"/>
      <c r="AQ615" s="125"/>
      <c r="AZ615" s="125"/>
      <c r="BA615" s="142"/>
      <c r="BB615" s="125"/>
      <c r="BC615" s="16"/>
      <c r="BD615" s="125"/>
      <c r="BE615" s="125"/>
      <c r="BF615" s="16"/>
      <c r="BG615" s="125"/>
      <c r="BQ615" s="125"/>
      <c r="BR615" s="16"/>
      <c r="BS615" s="123"/>
      <c r="BT615" s="19"/>
      <c r="BU615" s="139"/>
      <c r="BV615" s="139"/>
      <c r="BW615" s="123"/>
      <c r="BX615" s="123"/>
      <c r="BY615" s="123"/>
      <c r="BZ615" s="123"/>
      <c r="CA615" s="123"/>
      <c r="CB615" s="123"/>
      <c r="CC615" s="6"/>
      <c r="CD615" s="123"/>
      <c r="CE615" s="6"/>
      <c r="CF615" s="123"/>
      <c r="CG615" s="6"/>
      <c r="CH615" s="6"/>
      <c r="CI615" s="6"/>
      <c r="CJ615" s="6"/>
      <c r="CK615" s="123"/>
      <c r="CL615" s="6"/>
      <c r="CM615" s="6"/>
      <c r="CN615" s="6"/>
      <c r="CO615" s="138"/>
      <c r="CP615" s="138"/>
      <c r="CQ615" s="123"/>
      <c r="CR615" s="6"/>
      <c r="CS615" s="6"/>
      <c r="CT615" s="139"/>
      <c r="CU615" s="139"/>
      <c r="CV615" s="76"/>
      <c r="CW615" s="123"/>
      <c r="CX615" s="6"/>
      <c r="DI615" s="125"/>
      <c r="DJ615" s="16"/>
      <c r="DM615" s="16"/>
      <c r="DN615" s="16"/>
      <c r="DO615" s="125"/>
      <c r="DP615" s="16"/>
      <c r="DQ615" s="125"/>
      <c r="DZ615" s="125"/>
      <c r="EA615" s="142"/>
      <c r="EB615" s="125"/>
      <c r="EC615" s="16"/>
      <c r="ED615" s="125"/>
      <c r="EE615" s="125"/>
      <c r="EF615" s="16"/>
      <c r="EG615" s="125"/>
      <c r="EQ615" s="125"/>
      <c r="ER615" s="16"/>
      <c r="ES615" s="123"/>
      <c r="ET615" s="19"/>
      <c r="EU615" s="139"/>
      <c r="EV615" s="139"/>
      <c r="EW615" s="123"/>
      <c r="EX615" s="123"/>
      <c r="EY615" s="123"/>
      <c r="EZ615" s="123"/>
      <c r="FA615" s="123"/>
      <c r="FB615" s="123"/>
      <c r="FC615" s="6"/>
      <c r="FD615" s="123"/>
      <c r="FE615" s="6"/>
      <c r="FF615" s="123"/>
      <c r="FG615" s="6"/>
      <c r="FH615" s="6"/>
      <c r="FI615" s="6"/>
      <c r="FJ615" s="6"/>
      <c r="FK615" s="123"/>
      <c r="FL615" s="6"/>
      <c r="FM615" s="6"/>
      <c r="FN615" s="6"/>
      <c r="FO615" s="138"/>
      <c r="FP615" s="138"/>
      <c r="FQ615" s="123"/>
      <c r="FR615" s="6"/>
      <c r="FS615" s="6"/>
      <c r="FT615" s="139"/>
      <c r="FU615" s="139"/>
      <c r="FV615" s="76"/>
      <c r="FW615" s="123"/>
      <c r="FX615" s="6"/>
    </row>
    <row r="616" spans="35:180">
      <c r="AI616" s="125"/>
      <c r="AJ616" s="16"/>
      <c r="AM616" s="16"/>
      <c r="AN616" s="16"/>
      <c r="AO616" s="125"/>
      <c r="AP616" s="16"/>
      <c r="AQ616" s="125"/>
      <c r="AZ616" s="125"/>
      <c r="BA616" s="142"/>
      <c r="BB616" s="125"/>
      <c r="BC616" s="16"/>
      <c r="BD616" s="125"/>
      <c r="BE616" s="125"/>
      <c r="BF616" s="16"/>
      <c r="BG616" s="125"/>
      <c r="BQ616" s="125"/>
      <c r="BR616" s="16"/>
      <c r="BS616" s="123"/>
      <c r="BT616" s="19"/>
      <c r="BU616" s="139"/>
      <c r="BV616" s="139"/>
      <c r="BW616" s="123"/>
      <c r="BX616" s="123"/>
      <c r="BY616" s="123"/>
      <c r="BZ616" s="123"/>
      <c r="CA616" s="123"/>
      <c r="CB616" s="123"/>
      <c r="CC616" s="6"/>
      <c r="CD616" s="123"/>
      <c r="CE616" s="6"/>
      <c r="CF616" s="123"/>
      <c r="CG616" s="6"/>
      <c r="CH616" s="6"/>
      <c r="CI616" s="6"/>
      <c r="CJ616" s="6"/>
      <c r="CK616" s="123"/>
      <c r="CL616" s="6"/>
      <c r="CM616" s="6"/>
      <c r="CN616" s="6"/>
      <c r="CO616" s="138"/>
      <c r="CP616" s="138"/>
      <c r="CQ616" s="123"/>
      <c r="CR616" s="6"/>
      <c r="CS616" s="6"/>
      <c r="CT616" s="139"/>
      <c r="CU616" s="139"/>
      <c r="CV616" s="76"/>
      <c r="CW616" s="123"/>
      <c r="CX616" s="6"/>
      <c r="DI616" s="125"/>
      <c r="DJ616" s="16"/>
      <c r="DM616" s="16"/>
      <c r="DN616" s="16"/>
      <c r="DO616" s="125"/>
      <c r="DP616" s="16"/>
      <c r="DQ616" s="125"/>
      <c r="DZ616" s="125"/>
      <c r="EA616" s="142"/>
      <c r="EB616" s="125"/>
      <c r="EC616" s="16"/>
      <c r="ED616" s="125"/>
      <c r="EE616" s="125"/>
      <c r="EF616" s="16"/>
      <c r="EG616" s="125"/>
      <c r="EQ616" s="125"/>
      <c r="ER616" s="16"/>
      <c r="ES616" s="123"/>
      <c r="ET616" s="19"/>
      <c r="EU616" s="139"/>
      <c r="EV616" s="139"/>
      <c r="EW616" s="123"/>
      <c r="EX616" s="123"/>
      <c r="EY616" s="123"/>
      <c r="EZ616" s="123"/>
      <c r="FA616" s="123"/>
      <c r="FB616" s="123"/>
      <c r="FC616" s="6"/>
      <c r="FD616" s="123"/>
      <c r="FE616" s="6"/>
      <c r="FF616" s="123"/>
      <c r="FG616" s="6"/>
      <c r="FH616" s="6"/>
      <c r="FI616" s="6"/>
      <c r="FJ616" s="6"/>
      <c r="FK616" s="123"/>
      <c r="FL616" s="6"/>
      <c r="FM616" s="6"/>
      <c r="FN616" s="6"/>
      <c r="FO616" s="138"/>
      <c r="FP616" s="138"/>
      <c r="FQ616" s="123"/>
      <c r="FR616" s="6"/>
      <c r="FS616" s="6"/>
      <c r="FT616" s="139"/>
      <c r="FU616" s="139"/>
      <c r="FV616" s="76"/>
      <c r="FW616" s="123"/>
      <c r="FX616" s="6"/>
    </row>
    <row r="617" spans="35:180">
      <c r="AI617" s="125"/>
      <c r="AJ617" s="16"/>
      <c r="AM617" s="16"/>
      <c r="AN617" s="16"/>
      <c r="AO617" s="125"/>
      <c r="AP617" s="16"/>
      <c r="AQ617" s="125"/>
      <c r="AZ617" s="125"/>
      <c r="BA617" s="142"/>
      <c r="BB617" s="125"/>
      <c r="BC617" s="16"/>
      <c r="BD617" s="125"/>
      <c r="BE617" s="125"/>
      <c r="BF617" s="16"/>
      <c r="BG617" s="125"/>
      <c r="BQ617" s="125"/>
      <c r="BR617" s="16"/>
      <c r="BS617" s="123"/>
      <c r="BT617" s="19"/>
      <c r="BU617" s="139"/>
      <c r="BV617" s="139"/>
      <c r="BW617" s="123"/>
      <c r="BX617" s="123"/>
      <c r="BY617" s="123"/>
      <c r="BZ617" s="123"/>
      <c r="CA617" s="123"/>
      <c r="CB617" s="123"/>
      <c r="CC617" s="6"/>
      <c r="CD617" s="123"/>
      <c r="CE617" s="6"/>
      <c r="CF617" s="123"/>
      <c r="CG617" s="6"/>
      <c r="CH617" s="6"/>
      <c r="CI617" s="6"/>
      <c r="CJ617" s="6"/>
      <c r="CK617" s="123"/>
      <c r="CL617" s="6"/>
      <c r="CM617" s="6"/>
      <c r="CN617" s="6"/>
      <c r="CO617" s="138"/>
      <c r="CP617" s="138"/>
      <c r="CQ617" s="123"/>
      <c r="CR617" s="6"/>
      <c r="CS617" s="6"/>
      <c r="CT617" s="139"/>
      <c r="CU617" s="139"/>
      <c r="CV617" s="76"/>
      <c r="CW617" s="123"/>
      <c r="CX617" s="6"/>
      <c r="DI617" s="125"/>
      <c r="DJ617" s="16"/>
      <c r="DM617" s="16"/>
      <c r="DN617" s="16"/>
      <c r="DO617" s="125"/>
      <c r="DP617" s="16"/>
      <c r="DQ617" s="125"/>
      <c r="DZ617" s="125"/>
      <c r="EA617" s="142"/>
      <c r="EB617" s="125"/>
      <c r="EC617" s="16"/>
      <c r="ED617" s="125"/>
      <c r="EE617" s="125"/>
      <c r="EF617" s="16"/>
      <c r="EG617" s="125"/>
      <c r="EQ617" s="125"/>
      <c r="ER617" s="16"/>
      <c r="ES617" s="123"/>
      <c r="ET617" s="19"/>
      <c r="EU617" s="139"/>
      <c r="EV617" s="139"/>
      <c r="EW617" s="123"/>
      <c r="EX617" s="123"/>
      <c r="EY617" s="123"/>
      <c r="EZ617" s="123"/>
      <c r="FA617" s="123"/>
      <c r="FB617" s="123"/>
      <c r="FC617" s="6"/>
      <c r="FD617" s="123"/>
      <c r="FE617" s="6"/>
      <c r="FF617" s="123"/>
      <c r="FG617" s="6"/>
      <c r="FH617" s="6"/>
      <c r="FI617" s="6"/>
      <c r="FJ617" s="6"/>
      <c r="FK617" s="123"/>
      <c r="FL617" s="6"/>
      <c r="FM617" s="6"/>
      <c r="FN617" s="6"/>
      <c r="FO617" s="138"/>
      <c r="FP617" s="138"/>
      <c r="FQ617" s="123"/>
      <c r="FR617" s="6"/>
      <c r="FS617" s="6"/>
      <c r="FT617" s="139"/>
      <c r="FU617" s="139"/>
      <c r="FV617" s="76"/>
      <c r="FW617" s="123"/>
      <c r="FX617" s="6"/>
    </row>
    <row r="618" spans="35:180">
      <c r="AI618" s="125"/>
      <c r="AJ618" s="16"/>
      <c r="AM618" s="16"/>
      <c r="AN618" s="16"/>
      <c r="AO618" s="125"/>
      <c r="AP618" s="16"/>
      <c r="AQ618" s="125"/>
      <c r="AZ618" s="125"/>
      <c r="BA618" s="142"/>
      <c r="BB618" s="125"/>
      <c r="BC618" s="16"/>
      <c r="BD618" s="125"/>
      <c r="BE618" s="125"/>
      <c r="BF618" s="16"/>
      <c r="BG618" s="125"/>
      <c r="BQ618" s="125"/>
      <c r="BR618" s="16"/>
      <c r="BS618" s="123"/>
      <c r="BT618" s="19"/>
      <c r="BU618" s="139"/>
      <c r="BV618" s="139"/>
      <c r="BW618" s="123"/>
      <c r="BX618" s="123"/>
      <c r="BY618" s="123"/>
      <c r="BZ618" s="123"/>
      <c r="CA618" s="123"/>
      <c r="CB618" s="123"/>
      <c r="CC618" s="6"/>
      <c r="CD618" s="123"/>
      <c r="CE618" s="6"/>
      <c r="CF618" s="123"/>
      <c r="CG618" s="6"/>
      <c r="CH618" s="6"/>
      <c r="CI618" s="6"/>
      <c r="CJ618" s="6"/>
      <c r="CK618" s="123"/>
      <c r="CL618" s="6"/>
      <c r="CM618" s="6"/>
      <c r="CN618" s="6"/>
      <c r="CO618" s="138"/>
      <c r="CP618" s="138"/>
      <c r="CQ618" s="123"/>
      <c r="CR618" s="6"/>
      <c r="CS618" s="6"/>
      <c r="CT618" s="139"/>
      <c r="CU618" s="139"/>
      <c r="CV618" s="76"/>
      <c r="CW618" s="123"/>
      <c r="CX618" s="6"/>
      <c r="DI618" s="125"/>
      <c r="DJ618" s="16"/>
      <c r="DM618" s="16"/>
      <c r="DN618" s="16"/>
      <c r="DO618" s="125"/>
      <c r="DP618" s="16"/>
      <c r="DQ618" s="125"/>
      <c r="DZ618" s="125"/>
      <c r="EA618" s="142"/>
      <c r="EB618" s="125"/>
      <c r="EC618" s="16"/>
      <c r="ED618" s="125"/>
      <c r="EE618" s="125"/>
      <c r="EF618" s="16"/>
      <c r="EG618" s="125"/>
      <c r="EQ618" s="125"/>
      <c r="ER618" s="16"/>
      <c r="ES618" s="123"/>
      <c r="ET618" s="19"/>
      <c r="EU618" s="139"/>
      <c r="EV618" s="139"/>
      <c r="EW618" s="123"/>
      <c r="EX618" s="123"/>
      <c r="EY618" s="123"/>
      <c r="EZ618" s="123"/>
      <c r="FA618" s="123"/>
      <c r="FB618" s="123"/>
      <c r="FC618" s="6"/>
      <c r="FD618" s="123"/>
      <c r="FE618" s="6"/>
      <c r="FF618" s="123"/>
      <c r="FG618" s="6"/>
      <c r="FH618" s="6"/>
      <c r="FI618" s="6"/>
      <c r="FJ618" s="6"/>
      <c r="FK618" s="123"/>
      <c r="FL618" s="6"/>
      <c r="FM618" s="6"/>
      <c r="FN618" s="6"/>
      <c r="FO618" s="138"/>
      <c r="FP618" s="138"/>
      <c r="FQ618" s="123"/>
      <c r="FR618" s="6"/>
      <c r="FS618" s="6"/>
      <c r="FT618" s="139"/>
      <c r="FU618" s="139"/>
      <c r="FV618" s="76"/>
      <c r="FW618" s="123"/>
      <c r="FX618" s="6"/>
    </row>
    <row r="619" spans="35:180">
      <c r="AI619" s="125"/>
      <c r="AJ619" s="16"/>
      <c r="AM619" s="16"/>
      <c r="AN619" s="16"/>
      <c r="AO619" s="125"/>
      <c r="AP619" s="16"/>
      <c r="AQ619" s="125"/>
      <c r="AZ619" s="125"/>
      <c r="BA619" s="142"/>
      <c r="BB619" s="125"/>
      <c r="BC619" s="16"/>
      <c r="BD619" s="125"/>
      <c r="BE619" s="125"/>
      <c r="BF619" s="16"/>
      <c r="BG619" s="125"/>
      <c r="BQ619" s="125"/>
      <c r="BR619" s="16"/>
      <c r="BS619" s="123"/>
      <c r="BT619" s="19"/>
      <c r="BU619" s="139"/>
      <c r="BV619" s="139"/>
      <c r="BW619" s="123"/>
      <c r="BX619" s="123"/>
      <c r="BY619" s="123"/>
      <c r="BZ619" s="123"/>
      <c r="CA619" s="123"/>
      <c r="CB619" s="123"/>
      <c r="CC619" s="6"/>
      <c r="CD619" s="123"/>
      <c r="CE619" s="6"/>
      <c r="CF619" s="123"/>
      <c r="CG619" s="6"/>
      <c r="CH619" s="6"/>
      <c r="CI619" s="6"/>
      <c r="CJ619" s="6"/>
      <c r="CK619" s="123"/>
      <c r="CL619" s="6"/>
      <c r="CM619" s="6"/>
      <c r="CN619" s="6"/>
      <c r="CO619" s="138"/>
      <c r="CP619" s="138"/>
      <c r="CQ619" s="123"/>
      <c r="CR619" s="6"/>
      <c r="CS619" s="6"/>
      <c r="CT619" s="139"/>
      <c r="CU619" s="139"/>
      <c r="CV619" s="76"/>
      <c r="CW619" s="123"/>
      <c r="CX619" s="6"/>
      <c r="DI619" s="125"/>
      <c r="DJ619" s="16"/>
      <c r="DM619" s="16"/>
      <c r="DN619" s="16"/>
      <c r="DO619" s="125"/>
      <c r="DP619" s="16"/>
      <c r="DQ619" s="125"/>
      <c r="DZ619" s="125"/>
      <c r="EA619" s="142"/>
      <c r="EB619" s="125"/>
      <c r="EC619" s="16"/>
      <c r="ED619" s="125"/>
      <c r="EE619" s="125"/>
      <c r="EF619" s="16"/>
      <c r="EG619" s="125"/>
      <c r="EQ619" s="125"/>
      <c r="ER619" s="16"/>
      <c r="ES619" s="123"/>
      <c r="ET619" s="19"/>
      <c r="EU619" s="139"/>
      <c r="EV619" s="139"/>
      <c r="EW619" s="123"/>
      <c r="EX619" s="123"/>
      <c r="EY619" s="123"/>
      <c r="EZ619" s="123"/>
      <c r="FA619" s="123"/>
      <c r="FB619" s="123"/>
      <c r="FC619" s="6"/>
      <c r="FD619" s="123"/>
      <c r="FE619" s="6"/>
      <c r="FF619" s="123"/>
      <c r="FG619" s="6"/>
      <c r="FH619" s="6"/>
      <c r="FI619" s="6"/>
      <c r="FJ619" s="6"/>
      <c r="FK619" s="123"/>
      <c r="FL619" s="6"/>
      <c r="FM619" s="6"/>
      <c r="FN619" s="6"/>
      <c r="FO619" s="138"/>
      <c r="FP619" s="138"/>
      <c r="FQ619" s="123"/>
      <c r="FR619" s="6"/>
      <c r="FS619" s="6"/>
      <c r="FT619" s="139"/>
      <c r="FU619" s="139"/>
      <c r="FV619" s="76"/>
      <c r="FW619" s="123"/>
      <c r="FX619" s="6"/>
    </row>
    <row r="620" spans="35:180">
      <c r="AI620" s="125"/>
      <c r="AJ620" s="16"/>
      <c r="AM620" s="16"/>
      <c r="AN620" s="16"/>
      <c r="AO620" s="125"/>
      <c r="AP620" s="16"/>
      <c r="AQ620" s="125"/>
      <c r="AZ620" s="125"/>
      <c r="BA620" s="142"/>
      <c r="BB620" s="125"/>
      <c r="BC620" s="16"/>
      <c r="BD620" s="125"/>
      <c r="BE620" s="125"/>
      <c r="BF620" s="16"/>
      <c r="BG620" s="125"/>
      <c r="BQ620" s="125"/>
      <c r="BR620" s="16"/>
      <c r="BS620" s="123"/>
      <c r="BT620" s="19"/>
      <c r="BU620" s="139"/>
      <c r="BV620" s="139"/>
      <c r="BW620" s="123"/>
      <c r="BX620" s="123"/>
      <c r="BY620" s="123"/>
      <c r="BZ620" s="123"/>
      <c r="CA620" s="123"/>
      <c r="CB620" s="123"/>
      <c r="CC620" s="6"/>
      <c r="CD620" s="123"/>
      <c r="CE620" s="6"/>
      <c r="CF620" s="123"/>
      <c r="CG620" s="6"/>
      <c r="CH620" s="6"/>
      <c r="CI620" s="6"/>
      <c r="CJ620" s="6"/>
      <c r="CK620" s="123"/>
      <c r="CL620" s="6"/>
      <c r="CM620" s="6"/>
      <c r="CN620" s="6"/>
      <c r="CO620" s="138"/>
      <c r="CP620" s="138"/>
      <c r="CQ620" s="123"/>
      <c r="CR620" s="6"/>
      <c r="CS620" s="6"/>
      <c r="CT620" s="139"/>
      <c r="CU620" s="139"/>
      <c r="CV620" s="76"/>
      <c r="CW620" s="123"/>
      <c r="CX620" s="6"/>
      <c r="DI620" s="125"/>
      <c r="DJ620" s="16"/>
      <c r="DM620" s="16"/>
      <c r="DN620" s="16"/>
      <c r="DO620" s="125"/>
      <c r="DP620" s="16"/>
      <c r="DQ620" s="125"/>
      <c r="DZ620" s="125"/>
      <c r="EA620" s="142"/>
      <c r="EB620" s="125"/>
      <c r="EC620" s="16"/>
      <c r="ED620" s="125"/>
      <c r="EE620" s="125"/>
      <c r="EF620" s="16"/>
      <c r="EG620" s="125"/>
      <c r="EQ620" s="125"/>
      <c r="ER620" s="16"/>
      <c r="ES620" s="123"/>
      <c r="ET620" s="19"/>
      <c r="EU620" s="139"/>
      <c r="EV620" s="139"/>
      <c r="EW620" s="123"/>
      <c r="EX620" s="123"/>
      <c r="EY620" s="123"/>
      <c r="EZ620" s="123"/>
      <c r="FA620" s="123"/>
      <c r="FB620" s="123"/>
      <c r="FC620" s="6"/>
      <c r="FD620" s="123"/>
      <c r="FE620" s="6"/>
      <c r="FF620" s="123"/>
      <c r="FG620" s="6"/>
      <c r="FH620" s="6"/>
      <c r="FI620" s="6"/>
      <c r="FJ620" s="6"/>
      <c r="FK620" s="123"/>
      <c r="FL620" s="6"/>
      <c r="FM620" s="6"/>
      <c r="FN620" s="6"/>
      <c r="FO620" s="138"/>
      <c r="FP620" s="138"/>
      <c r="FQ620" s="123"/>
      <c r="FR620" s="6"/>
      <c r="FS620" s="6"/>
      <c r="FT620" s="139"/>
      <c r="FU620" s="139"/>
      <c r="FV620" s="76"/>
      <c r="FW620" s="123"/>
      <c r="FX620" s="6"/>
    </row>
    <row r="621" spans="35:180">
      <c r="AI621" s="125"/>
      <c r="AJ621" s="16"/>
      <c r="AM621" s="16"/>
      <c r="AN621" s="16"/>
      <c r="AO621" s="125"/>
      <c r="AP621" s="16"/>
      <c r="AQ621" s="125"/>
      <c r="AZ621" s="125"/>
      <c r="BA621" s="142"/>
      <c r="BB621" s="125"/>
      <c r="BC621" s="16"/>
      <c r="BD621" s="125"/>
      <c r="BE621" s="125"/>
      <c r="BF621" s="16"/>
      <c r="BG621" s="125"/>
      <c r="BQ621" s="125"/>
      <c r="BR621" s="16"/>
      <c r="BS621" s="123"/>
      <c r="BT621" s="19"/>
      <c r="BU621" s="139"/>
      <c r="BV621" s="139"/>
      <c r="BW621" s="123"/>
      <c r="BX621" s="123"/>
      <c r="BY621" s="123"/>
      <c r="BZ621" s="123"/>
      <c r="CA621" s="123"/>
      <c r="CB621" s="123"/>
      <c r="CC621" s="6"/>
      <c r="CD621" s="123"/>
      <c r="CE621" s="6"/>
      <c r="CF621" s="123"/>
      <c r="CG621" s="6"/>
      <c r="CH621" s="6"/>
      <c r="CI621" s="6"/>
      <c r="CJ621" s="6"/>
      <c r="CK621" s="123"/>
      <c r="CL621" s="6"/>
      <c r="CM621" s="6"/>
      <c r="CN621" s="6"/>
      <c r="CO621" s="138"/>
      <c r="CP621" s="138"/>
      <c r="CQ621" s="123"/>
      <c r="CR621" s="6"/>
      <c r="CS621" s="6"/>
      <c r="CT621" s="139"/>
      <c r="CU621" s="139"/>
      <c r="CV621" s="76"/>
      <c r="CW621" s="123"/>
      <c r="CX621" s="6"/>
      <c r="DI621" s="125"/>
      <c r="DJ621" s="16"/>
      <c r="DM621" s="16"/>
      <c r="DN621" s="16"/>
      <c r="DO621" s="125"/>
      <c r="DP621" s="16"/>
      <c r="DQ621" s="125"/>
      <c r="DZ621" s="125"/>
      <c r="EA621" s="142"/>
      <c r="EB621" s="125"/>
      <c r="EC621" s="16"/>
      <c r="ED621" s="125"/>
      <c r="EE621" s="125"/>
      <c r="EF621" s="16"/>
      <c r="EG621" s="125"/>
      <c r="EQ621" s="125"/>
      <c r="ER621" s="16"/>
      <c r="ES621" s="123"/>
      <c r="ET621" s="19"/>
      <c r="EU621" s="139"/>
      <c r="EV621" s="139"/>
      <c r="EW621" s="123"/>
      <c r="EX621" s="123"/>
      <c r="EY621" s="123"/>
      <c r="EZ621" s="123"/>
      <c r="FA621" s="123"/>
      <c r="FB621" s="123"/>
      <c r="FC621" s="6"/>
      <c r="FD621" s="123"/>
      <c r="FE621" s="6"/>
      <c r="FF621" s="123"/>
      <c r="FG621" s="6"/>
      <c r="FH621" s="6"/>
      <c r="FI621" s="6"/>
      <c r="FJ621" s="6"/>
      <c r="FK621" s="123"/>
      <c r="FL621" s="6"/>
      <c r="FM621" s="6"/>
      <c r="FN621" s="6"/>
      <c r="FO621" s="138"/>
      <c r="FP621" s="138"/>
      <c r="FQ621" s="123"/>
      <c r="FR621" s="6"/>
      <c r="FS621" s="6"/>
      <c r="FT621" s="139"/>
      <c r="FU621" s="139"/>
      <c r="FV621" s="76"/>
      <c r="FW621" s="123"/>
      <c r="FX621" s="6"/>
    </row>
    <row r="622" spans="35:180">
      <c r="AI622" s="125"/>
      <c r="AJ622" s="16"/>
      <c r="AM622" s="16"/>
      <c r="AN622" s="16"/>
      <c r="AO622" s="125"/>
      <c r="AP622" s="16"/>
      <c r="AQ622" s="125"/>
      <c r="AZ622" s="125"/>
      <c r="BA622" s="142"/>
      <c r="BB622" s="125"/>
      <c r="BC622" s="16"/>
      <c r="BD622" s="125"/>
      <c r="BE622" s="125"/>
      <c r="BF622" s="16"/>
      <c r="BG622" s="125"/>
      <c r="BQ622" s="125"/>
      <c r="BR622" s="16"/>
      <c r="BS622" s="123"/>
      <c r="BT622" s="19"/>
      <c r="BU622" s="139"/>
      <c r="BV622" s="139"/>
      <c r="BW622" s="123"/>
      <c r="BX622" s="123"/>
      <c r="BY622" s="123"/>
      <c r="BZ622" s="123"/>
      <c r="CA622" s="123"/>
      <c r="CB622" s="123"/>
      <c r="CC622" s="6"/>
      <c r="CD622" s="123"/>
      <c r="CE622" s="6"/>
      <c r="CF622" s="123"/>
      <c r="CG622" s="6"/>
      <c r="CH622" s="6"/>
      <c r="CI622" s="6"/>
      <c r="CJ622" s="6"/>
      <c r="CK622" s="123"/>
      <c r="CL622" s="6"/>
      <c r="CM622" s="6"/>
      <c r="CN622" s="6"/>
      <c r="CO622" s="138"/>
      <c r="CP622" s="138"/>
      <c r="CQ622" s="123"/>
      <c r="CR622" s="6"/>
      <c r="CS622" s="6"/>
      <c r="CT622" s="139"/>
      <c r="CU622" s="139"/>
      <c r="CV622" s="76"/>
      <c r="CW622" s="123"/>
      <c r="CX622" s="6"/>
      <c r="DI622" s="125"/>
      <c r="DJ622" s="16"/>
      <c r="DM622" s="16"/>
      <c r="DN622" s="16"/>
      <c r="DO622" s="125"/>
      <c r="DP622" s="16"/>
      <c r="DQ622" s="125"/>
      <c r="DZ622" s="125"/>
      <c r="EA622" s="142"/>
      <c r="EB622" s="125"/>
      <c r="EC622" s="16"/>
      <c r="ED622" s="125"/>
      <c r="EE622" s="125"/>
      <c r="EF622" s="16"/>
      <c r="EG622" s="125"/>
      <c r="EQ622" s="125"/>
      <c r="ER622" s="16"/>
      <c r="ES622" s="123"/>
      <c r="ET622" s="19"/>
      <c r="EU622" s="139"/>
      <c r="EV622" s="139"/>
      <c r="EW622" s="123"/>
      <c r="EX622" s="123"/>
      <c r="EY622" s="123"/>
      <c r="EZ622" s="123"/>
      <c r="FA622" s="123"/>
      <c r="FB622" s="123"/>
      <c r="FC622" s="6"/>
      <c r="FD622" s="123"/>
      <c r="FE622" s="6"/>
      <c r="FF622" s="123"/>
      <c r="FG622" s="6"/>
      <c r="FH622" s="6"/>
      <c r="FI622" s="6"/>
      <c r="FJ622" s="6"/>
      <c r="FK622" s="123"/>
      <c r="FL622" s="6"/>
      <c r="FM622" s="6"/>
      <c r="FN622" s="6"/>
      <c r="FO622" s="138"/>
      <c r="FP622" s="138"/>
      <c r="FQ622" s="123"/>
      <c r="FR622" s="6"/>
      <c r="FS622" s="6"/>
      <c r="FT622" s="139"/>
      <c r="FU622" s="139"/>
      <c r="FV622" s="76"/>
      <c r="FW622" s="123"/>
      <c r="FX622" s="6"/>
    </row>
    <row r="623" spans="35:180">
      <c r="AI623" s="125"/>
      <c r="AJ623" s="16"/>
      <c r="AM623" s="16"/>
      <c r="AN623" s="16"/>
      <c r="AO623" s="125"/>
      <c r="AP623" s="16"/>
      <c r="AQ623" s="125"/>
      <c r="AZ623" s="125"/>
      <c r="BA623" s="142"/>
      <c r="BB623" s="125"/>
      <c r="BC623" s="16"/>
      <c r="BD623" s="125"/>
      <c r="BE623" s="125"/>
      <c r="BF623" s="16"/>
      <c r="BG623" s="125"/>
      <c r="BQ623" s="125"/>
      <c r="BR623" s="16"/>
      <c r="BS623" s="123"/>
      <c r="BT623" s="19"/>
      <c r="BU623" s="139"/>
      <c r="BV623" s="139"/>
      <c r="BW623" s="123"/>
      <c r="BX623" s="123"/>
      <c r="BY623" s="123"/>
      <c r="BZ623" s="123"/>
      <c r="CA623" s="123"/>
      <c r="CB623" s="123"/>
      <c r="CC623" s="6"/>
      <c r="CD623" s="123"/>
      <c r="CE623" s="6"/>
      <c r="CF623" s="123"/>
      <c r="CG623" s="6"/>
      <c r="CH623" s="6"/>
      <c r="CI623" s="6"/>
      <c r="CJ623" s="6"/>
      <c r="CK623" s="123"/>
      <c r="CL623" s="6"/>
      <c r="CM623" s="6"/>
      <c r="CN623" s="6"/>
      <c r="CO623" s="138"/>
      <c r="CP623" s="138"/>
      <c r="CQ623" s="123"/>
      <c r="CR623" s="6"/>
      <c r="CS623" s="6"/>
      <c r="CT623" s="139"/>
      <c r="CU623" s="139"/>
      <c r="CV623" s="76"/>
      <c r="CW623" s="123"/>
      <c r="CX623" s="6"/>
      <c r="DI623" s="125"/>
      <c r="DJ623" s="16"/>
      <c r="DM623" s="16"/>
      <c r="DN623" s="16"/>
      <c r="DO623" s="125"/>
      <c r="DP623" s="16"/>
      <c r="DQ623" s="125"/>
      <c r="DZ623" s="125"/>
      <c r="EA623" s="142"/>
      <c r="EB623" s="125"/>
      <c r="EC623" s="16"/>
      <c r="ED623" s="125"/>
      <c r="EE623" s="125"/>
      <c r="EF623" s="16"/>
      <c r="EG623" s="125"/>
      <c r="EQ623" s="125"/>
      <c r="ER623" s="16"/>
      <c r="ES623" s="123"/>
      <c r="ET623" s="19"/>
      <c r="EU623" s="139"/>
      <c r="EV623" s="139"/>
      <c r="EW623" s="123"/>
      <c r="EX623" s="123"/>
      <c r="EY623" s="123"/>
      <c r="EZ623" s="123"/>
      <c r="FA623" s="123"/>
      <c r="FB623" s="123"/>
      <c r="FC623" s="6"/>
      <c r="FD623" s="123"/>
      <c r="FE623" s="6"/>
      <c r="FF623" s="123"/>
      <c r="FG623" s="6"/>
      <c r="FH623" s="6"/>
      <c r="FI623" s="6"/>
      <c r="FJ623" s="6"/>
      <c r="FK623" s="123"/>
      <c r="FL623" s="6"/>
      <c r="FM623" s="6"/>
      <c r="FN623" s="6"/>
      <c r="FO623" s="138"/>
      <c r="FP623" s="138"/>
      <c r="FQ623" s="123"/>
      <c r="FR623" s="6"/>
      <c r="FS623" s="6"/>
      <c r="FT623" s="139"/>
      <c r="FU623" s="139"/>
      <c r="FV623" s="76"/>
      <c r="FW623" s="123"/>
      <c r="FX623" s="6"/>
    </row>
    <row r="624" spans="35:180">
      <c r="AI624" s="125"/>
      <c r="AJ624" s="16"/>
      <c r="AM624" s="16"/>
      <c r="AN624" s="16"/>
      <c r="AO624" s="125"/>
      <c r="AP624" s="16"/>
      <c r="AQ624" s="125"/>
      <c r="AZ624" s="125"/>
      <c r="BA624" s="142"/>
      <c r="BB624" s="125"/>
      <c r="BC624" s="16"/>
      <c r="BD624" s="125"/>
      <c r="BE624" s="125"/>
      <c r="BF624" s="16"/>
      <c r="BG624" s="125"/>
      <c r="BQ624" s="125"/>
      <c r="BR624" s="16"/>
      <c r="BS624" s="123"/>
      <c r="BT624" s="19"/>
      <c r="BU624" s="139"/>
      <c r="BV624" s="139"/>
      <c r="BW624" s="123"/>
      <c r="BX624" s="123"/>
      <c r="BY624" s="123"/>
      <c r="BZ624" s="123"/>
      <c r="CA624" s="123"/>
      <c r="CB624" s="123"/>
      <c r="CC624" s="6"/>
      <c r="CD624" s="123"/>
      <c r="CE624" s="6"/>
      <c r="CF624" s="123"/>
      <c r="CG624" s="6"/>
      <c r="CH624" s="6"/>
      <c r="CI624" s="6"/>
      <c r="CJ624" s="6"/>
      <c r="CK624" s="123"/>
      <c r="CL624" s="6"/>
      <c r="CM624" s="6"/>
      <c r="CN624" s="6"/>
      <c r="CO624" s="138"/>
      <c r="CP624" s="138"/>
      <c r="CQ624" s="123"/>
      <c r="CR624" s="6"/>
      <c r="CS624" s="6"/>
      <c r="CT624" s="139"/>
      <c r="CU624" s="139"/>
      <c r="CV624" s="76"/>
      <c r="CW624" s="123"/>
      <c r="CX624" s="6"/>
      <c r="DI624" s="125"/>
      <c r="DJ624" s="16"/>
      <c r="DM624" s="16"/>
      <c r="DN624" s="16"/>
      <c r="DO624" s="125"/>
      <c r="DP624" s="16"/>
      <c r="DQ624" s="125"/>
      <c r="DZ624" s="125"/>
      <c r="EA624" s="142"/>
      <c r="EB624" s="125"/>
      <c r="EC624" s="16"/>
      <c r="ED624" s="125"/>
      <c r="EE624" s="125"/>
      <c r="EF624" s="16"/>
      <c r="EG624" s="125"/>
      <c r="EQ624" s="125"/>
      <c r="ER624" s="16"/>
      <c r="ES624" s="123"/>
      <c r="ET624" s="19"/>
      <c r="EU624" s="139"/>
      <c r="EV624" s="139"/>
      <c r="EW624" s="123"/>
      <c r="EX624" s="123"/>
      <c r="EY624" s="123"/>
      <c r="EZ624" s="123"/>
      <c r="FA624" s="123"/>
      <c r="FB624" s="123"/>
      <c r="FC624" s="6"/>
      <c r="FD624" s="123"/>
      <c r="FE624" s="6"/>
      <c r="FF624" s="123"/>
      <c r="FG624" s="6"/>
      <c r="FH624" s="6"/>
      <c r="FI624" s="6"/>
      <c r="FJ624" s="6"/>
      <c r="FK624" s="123"/>
      <c r="FL624" s="6"/>
      <c r="FM624" s="6"/>
      <c r="FN624" s="6"/>
      <c r="FO624" s="138"/>
      <c r="FP624" s="138"/>
      <c r="FQ624" s="123"/>
      <c r="FR624" s="6"/>
      <c r="FS624" s="6"/>
      <c r="FT624" s="139"/>
      <c r="FU624" s="139"/>
      <c r="FV624" s="76"/>
      <c r="FW624" s="123"/>
      <c r="FX624" s="6"/>
    </row>
    <row r="625" spans="35:180">
      <c r="AI625" s="125"/>
      <c r="AJ625" s="16"/>
      <c r="AM625" s="16"/>
      <c r="AN625" s="16"/>
      <c r="AO625" s="125"/>
      <c r="AP625" s="16"/>
      <c r="AQ625" s="125"/>
      <c r="AZ625" s="125"/>
      <c r="BA625" s="142"/>
      <c r="BB625" s="125"/>
      <c r="BC625" s="16"/>
      <c r="BD625" s="125"/>
      <c r="BE625" s="125"/>
      <c r="BF625" s="16"/>
      <c r="BG625" s="125"/>
      <c r="BQ625" s="125"/>
      <c r="BR625" s="16"/>
      <c r="BS625" s="123"/>
      <c r="BT625" s="19"/>
      <c r="BU625" s="139"/>
      <c r="BV625" s="139"/>
      <c r="BW625" s="123"/>
      <c r="BX625" s="123"/>
      <c r="BY625" s="123"/>
      <c r="BZ625" s="123"/>
      <c r="CA625" s="123"/>
      <c r="CB625" s="123"/>
      <c r="CC625" s="6"/>
      <c r="CD625" s="123"/>
      <c r="CE625" s="6"/>
      <c r="CF625" s="123"/>
      <c r="CG625" s="6"/>
      <c r="CH625" s="6"/>
      <c r="CI625" s="6"/>
      <c r="CJ625" s="6"/>
      <c r="CK625" s="123"/>
      <c r="CL625" s="6"/>
      <c r="CM625" s="6"/>
      <c r="CN625" s="6"/>
      <c r="CO625" s="138"/>
      <c r="CP625" s="138"/>
      <c r="CQ625" s="123"/>
      <c r="CR625" s="6"/>
      <c r="CS625" s="6"/>
      <c r="CT625" s="139"/>
      <c r="CU625" s="139"/>
      <c r="CV625" s="76"/>
      <c r="CW625" s="123"/>
      <c r="CX625" s="6"/>
      <c r="DI625" s="125"/>
      <c r="DJ625" s="16"/>
      <c r="DM625" s="16"/>
      <c r="DN625" s="16"/>
      <c r="DO625" s="125"/>
      <c r="DP625" s="16"/>
      <c r="DQ625" s="125"/>
      <c r="DZ625" s="125"/>
      <c r="EA625" s="142"/>
      <c r="EB625" s="125"/>
      <c r="EC625" s="16"/>
      <c r="ED625" s="125"/>
      <c r="EE625" s="125"/>
      <c r="EF625" s="16"/>
      <c r="EG625" s="125"/>
      <c r="EQ625" s="125"/>
      <c r="ER625" s="16"/>
      <c r="ES625" s="123"/>
      <c r="ET625" s="19"/>
      <c r="EU625" s="139"/>
      <c r="EV625" s="139"/>
      <c r="EW625" s="123"/>
      <c r="EX625" s="123"/>
      <c r="EY625" s="123"/>
      <c r="EZ625" s="123"/>
      <c r="FA625" s="123"/>
      <c r="FB625" s="123"/>
      <c r="FC625" s="6"/>
      <c r="FD625" s="123"/>
      <c r="FE625" s="6"/>
      <c r="FF625" s="123"/>
      <c r="FG625" s="6"/>
      <c r="FH625" s="6"/>
      <c r="FI625" s="6"/>
      <c r="FJ625" s="6"/>
      <c r="FK625" s="123"/>
      <c r="FL625" s="6"/>
      <c r="FM625" s="6"/>
      <c r="FN625" s="6"/>
      <c r="FO625" s="138"/>
      <c r="FP625" s="138"/>
      <c r="FQ625" s="123"/>
      <c r="FR625" s="6"/>
      <c r="FS625" s="6"/>
      <c r="FT625" s="139"/>
      <c r="FU625" s="139"/>
      <c r="FV625" s="76"/>
      <c r="FW625" s="123"/>
      <c r="FX625" s="6"/>
    </row>
    <row r="626" spans="35:180">
      <c r="AI626" s="125"/>
      <c r="AJ626" s="16"/>
      <c r="AM626" s="16"/>
      <c r="AN626" s="16"/>
      <c r="AO626" s="125"/>
      <c r="AP626" s="16"/>
      <c r="AQ626" s="125"/>
      <c r="AZ626" s="125"/>
      <c r="BA626" s="142"/>
      <c r="BB626" s="125"/>
      <c r="BC626" s="16"/>
      <c r="BD626" s="125"/>
      <c r="BE626" s="125"/>
      <c r="BF626" s="16"/>
      <c r="BG626" s="125"/>
      <c r="BQ626" s="125"/>
      <c r="BR626" s="16"/>
      <c r="BS626" s="123"/>
      <c r="BT626" s="19"/>
      <c r="BU626" s="139"/>
      <c r="BV626" s="139"/>
      <c r="BW626" s="123"/>
      <c r="BX626" s="123"/>
      <c r="BY626" s="123"/>
      <c r="BZ626" s="123"/>
      <c r="CA626" s="123"/>
      <c r="CB626" s="123"/>
      <c r="CC626" s="6"/>
      <c r="CD626" s="123"/>
      <c r="CE626" s="6"/>
      <c r="CF626" s="123"/>
      <c r="CG626" s="6"/>
      <c r="CH626" s="6"/>
      <c r="CI626" s="6"/>
      <c r="CJ626" s="6"/>
      <c r="CK626" s="123"/>
      <c r="CL626" s="6"/>
      <c r="CM626" s="6"/>
      <c r="CN626" s="6"/>
      <c r="CO626" s="138"/>
      <c r="CP626" s="138"/>
      <c r="CQ626" s="123"/>
      <c r="CR626" s="6"/>
      <c r="CS626" s="6"/>
      <c r="CT626" s="139"/>
      <c r="CU626" s="139"/>
      <c r="CV626" s="76"/>
      <c r="CW626" s="123"/>
      <c r="CX626" s="6"/>
      <c r="DI626" s="125"/>
      <c r="DJ626" s="16"/>
      <c r="DM626" s="16"/>
      <c r="DN626" s="16"/>
      <c r="DO626" s="125"/>
      <c r="DP626" s="16"/>
      <c r="DQ626" s="125"/>
      <c r="DZ626" s="125"/>
      <c r="EA626" s="142"/>
      <c r="EB626" s="125"/>
      <c r="EC626" s="16"/>
      <c r="ED626" s="125"/>
      <c r="EE626" s="125"/>
      <c r="EF626" s="16"/>
      <c r="EG626" s="125"/>
      <c r="EQ626" s="125"/>
      <c r="ER626" s="16"/>
      <c r="ES626" s="123"/>
      <c r="ET626" s="19"/>
      <c r="EU626" s="139"/>
      <c r="EV626" s="139"/>
      <c r="EW626" s="123"/>
      <c r="EX626" s="123"/>
      <c r="EY626" s="123"/>
      <c r="EZ626" s="123"/>
      <c r="FA626" s="123"/>
      <c r="FB626" s="123"/>
      <c r="FC626" s="6"/>
      <c r="FD626" s="123"/>
      <c r="FE626" s="6"/>
      <c r="FF626" s="123"/>
      <c r="FG626" s="6"/>
      <c r="FH626" s="6"/>
      <c r="FI626" s="6"/>
      <c r="FJ626" s="6"/>
      <c r="FK626" s="123"/>
      <c r="FL626" s="6"/>
      <c r="FM626" s="6"/>
      <c r="FN626" s="6"/>
      <c r="FO626" s="138"/>
      <c r="FP626" s="138"/>
      <c r="FQ626" s="123"/>
      <c r="FR626" s="6"/>
      <c r="FS626" s="6"/>
      <c r="FT626" s="139"/>
      <c r="FU626" s="139"/>
      <c r="FV626" s="76"/>
      <c r="FW626" s="123"/>
      <c r="FX626" s="6"/>
    </row>
    <row r="627" spans="35:180">
      <c r="AI627" s="125"/>
      <c r="AJ627" s="16"/>
      <c r="AM627" s="16"/>
      <c r="AN627" s="16"/>
      <c r="AO627" s="125"/>
      <c r="AP627" s="16"/>
      <c r="AQ627" s="125"/>
      <c r="AZ627" s="125"/>
      <c r="BA627" s="142"/>
      <c r="BB627" s="125"/>
      <c r="BC627" s="16"/>
      <c r="BD627" s="125"/>
      <c r="BE627" s="125"/>
      <c r="BF627" s="16"/>
      <c r="BG627" s="125"/>
      <c r="BQ627" s="125"/>
      <c r="BR627" s="16"/>
      <c r="BS627" s="123"/>
      <c r="BT627" s="19"/>
      <c r="BU627" s="139"/>
      <c r="BV627" s="139"/>
      <c r="BW627" s="123"/>
      <c r="BX627" s="123"/>
      <c r="BY627" s="123"/>
      <c r="BZ627" s="123"/>
      <c r="CA627" s="123"/>
      <c r="CB627" s="123"/>
      <c r="CC627" s="6"/>
      <c r="CD627" s="123"/>
      <c r="CE627" s="6"/>
      <c r="CF627" s="123"/>
      <c r="CG627" s="6"/>
      <c r="CH627" s="6"/>
      <c r="CI627" s="6"/>
      <c r="CJ627" s="6"/>
      <c r="CK627" s="123"/>
      <c r="CL627" s="6"/>
      <c r="CM627" s="6"/>
      <c r="CN627" s="6"/>
      <c r="CO627" s="138"/>
      <c r="CP627" s="138"/>
      <c r="CQ627" s="123"/>
      <c r="CR627" s="6"/>
      <c r="CS627" s="6"/>
      <c r="CT627" s="139"/>
      <c r="CU627" s="139"/>
      <c r="CV627" s="76"/>
      <c r="CW627" s="123"/>
      <c r="CX627" s="6"/>
      <c r="DI627" s="125"/>
      <c r="DJ627" s="16"/>
      <c r="DM627" s="16"/>
      <c r="DN627" s="16"/>
      <c r="DO627" s="125"/>
      <c r="DP627" s="16"/>
      <c r="DQ627" s="125"/>
      <c r="DZ627" s="125"/>
      <c r="EA627" s="142"/>
      <c r="EB627" s="125"/>
      <c r="EC627" s="16"/>
      <c r="ED627" s="125"/>
      <c r="EE627" s="125"/>
      <c r="EF627" s="16"/>
      <c r="EG627" s="125"/>
      <c r="EQ627" s="125"/>
      <c r="ER627" s="16"/>
      <c r="ES627" s="123"/>
      <c r="ET627" s="19"/>
      <c r="EU627" s="139"/>
      <c r="EV627" s="139"/>
      <c r="EW627" s="123"/>
      <c r="EX627" s="123"/>
      <c r="EY627" s="123"/>
      <c r="EZ627" s="123"/>
      <c r="FA627" s="123"/>
      <c r="FB627" s="123"/>
      <c r="FC627" s="6"/>
      <c r="FD627" s="123"/>
      <c r="FE627" s="6"/>
      <c r="FF627" s="123"/>
      <c r="FG627" s="6"/>
      <c r="FH627" s="6"/>
      <c r="FI627" s="6"/>
      <c r="FJ627" s="6"/>
      <c r="FK627" s="123"/>
      <c r="FL627" s="6"/>
      <c r="FM627" s="6"/>
      <c r="FN627" s="6"/>
      <c r="FO627" s="138"/>
      <c r="FP627" s="138"/>
      <c r="FQ627" s="123"/>
      <c r="FR627" s="6"/>
      <c r="FS627" s="6"/>
      <c r="FT627" s="139"/>
      <c r="FU627" s="139"/>
      <c r="FV627" s="76"/>
      <c r="FW627" s="123"/>
      <c r="FX627" s="6"/>
    </row>
    <row r="628" spans="35:180">
      <c r="AI628" s="125"/>
      <c r="AJ628" s="16"/>
      <c r="AM628" s="16"/>
      <c r="AN628" s="16"/>
      <c r="AO628" s="125"/>
      <c r="AP628" s="16"/>
      <c r="AQ628" s="125"/>
      <c r="AZ628" s="125"/>
      <c r="BA628" s="142"/>
      <c r="BB628" s="125"/>
      <c r="BC628" s="16"/>
      <c r="BD628" s="125"/>
      <c r="BE628" s="125"/>
      <c r="BF628" s="16"/>
      <c r="BG628" s="125"/>
      <c r="BQ628" s="125"/>
      <c r="BR628" s="16"/>
      <c r="BS628" s="123"/>
      <c r="BT628" s="19"/>
      <c r="BU628" s="139"/>
      <c r="BV628" s="139"/>
      <c r="BW628" s="123"/>
      <c r="BX628" s="123"/>
      <c r="BY628" s="123"/>
      <c r="BZ628" s="123"/>
      <c r="CA628" s="123"/>
      <c r="CB628" s="123"/>
      <c r="CC628" s="6"/>
      <c r="CD628" s="123"/>
      <c r="CE628" s="6"/>
      <c r="CF628" s="123"/>
      <c r="CG628" s="6"/>
      <c r="CH628" s="6"/>
      <c r="CI628" s="6"/>
      <c r="CJ628" s="6"/>
      <c r="CK628" s="123"/>
      <c r="CL628" s="6"/>
      <c r="CM628" s="6"/>
      <c r="CN628" s="6"/>
      <c r="CO628" s="138"/>
      <c r="CP628" s="138"/>
      <c r="CQ628" s="123"/>
      <c r="CR628" s="6"/>
      <c r="CS628" s="6"/>
      <c r="CT628" s="139"/>
      <c r="CU628" s="139"/>
      <c r="CV628" s="76"/>
      <c r="CW628" s="123"/>
      <c r="CX628" s="6"/>
      <c r="DI628" s="125"/>
      <c r="DJ628" s="16"/>
      <c r="DM628" s="16"/>
      <c r="DN628" s="16"/>
      <c r="DO628" s="125"/>
      <c r="DP628" s="16"/>
      <c r="DQ628" s="125"/>
      <c r="DZ628" s="125"/>
      <c r="EA628" s="142"/>
      <c r="EB628" s="125"/>
      <c r="EC628" s="16"/>
      <c r="ED628" s="125"/>
      <c r="EE628" s="125"/>
      <c r="EF628" s="16"/>
      <c r="EG628" s="125"/>
      <c r="EQ628" s="125"/>
      <c r="ER628" s="16"/>
      <c r="ES628" s="123"/>
      <c r="ET628" s="19"/>
      <c r="EU628" s="139"/>
      <c r="EV628" s="139"/>
      <c r="EW628" s="123"/>
      <c r="EX628" s="123"/>
      <c r="EY628" s="123"/>
      <c r="EZ628" s="123"/>
      <c r="FA628" s="123"/>
      <c r="FB628" s="123"/>
      <c r="FC628" s="6"/>
      <c r="FD628" s="123"/>
      <c r="FE628" s="6"/>
      <c r="FF628" s="123"/>
      <c r="FG628" s="6"/>
      <c r="FH628" s="6"/>
      <c r="FI628" s="6"/>
      <c r="FJ628" s="6"/>
      <c r="FK628" s="123"/>
      <c r="FL628" s="6"/>
      <c r="FM628" s="6"/>
      <c r="FN628" s="6"/>
      <c r="FO628" s="138"/>
      <c r="FP628" s="138"/>
      <c r="FQ628" s="123"/>
      <c r="FR628" s="6"/>
      <c r="FS628" s="6"/>
      <c r="FT628" s="139"/>
      <c r="FU628" s="139"/>
      <c r="FV628" s="76"/>
      <c r="FW628" s="123"/>
      <c r="FX628" s="6"/>
    </row>
    <row r="629" spans="35:180">
      <c r="AI629" s="125"/>
      <c r="AJ629" s="16"/>
      <c r="AM629" s="16"/>
      <c r="AN629" s="16"/>
      <c r="AO629" s="125"/>
      <c r="AP629" s="16"/>
      <c r="AQ629" s="125"/>
      <c r="AZ629" s="125"/>
      <c r="BA629" s="142"/>
      <c r="BB629" s="125"/>
      <c r="BC629" s="16"/>
      <c r="BD629" s="125"/>
      <c r="BE629" s="125"/>
      <c r="BF629" s="16"/>
      <c r="BG629" s="125"/>
      <c r="BQ629" s="125"/>
      <c r="BR629" s="16"/>
      <c r="BS629" s="123"/>
      <c r="BT629" s="19"/>
      <c r="BU629" s="139"/>
      <c r="BV629" s="139"/>
      <c r="BW629" s="123"/>
      <c r="BX629" s="123"/>
      <c r="BY629" s="123"/>
      <c r="BZ629" s="123"/>
      <c r="CA629" s="123"/>
      <c r="CB629" s="123"/>
      <c r="CC629" s="6"/>
      <c r="CD629" s="123"/>
      <c r="CE629" s="6"/>
      <c r="CF629" s="123"/>
      <c r="CG629" s="6"/>
      <c r="CH629" s="6"/>
      <c r="CI629" s="6"/>
      <c r="CJ629" s="6"/>
      <c r="CK629" s="123"/>
      <c r="CL629" s="6"/>
      <c r="CM629" s="6"/>
      <c r="CN629" s="6"/>
      <c r="CO629" s="138"/>
      <c r="CP629" s="138"/>
      <c r="CQ629" s="123"/>
      <c r="CR629" s="6"/>
      <c r="CS629" s="6"/>
      <c r="CT629" s="139"/>
      <c r="CU629" s="139"/>
      <c r="CV629" s="76"/>
      <c r="CW629" s="123"/>
      <c r="CX629" s="6"/>
      <c r="DI629" s="125"/>
      <c r="DJ629" s="16"/>
      <c r="DM629" s="16"/>
      <c r="DN629" s="16"/>
      <c r="DO629" s="125"/>
      <c r="DP629" s="16"/>
      <c r="DQ629" s="125"/>
      <c r="DZ629" s="125"/>
      <c r="EA629" s="142"/>
      <c r="EB629" s="125"/>
      <c r="EC629" s="16"/>
      <c r="ED629" s="125"/>
      <c r="EE629" s="125"/>
      <c r="EF629" s="16"/>
      <c r="EG629" s="125"/>
      <c r="EQ629" s="125"/>
      <c r="ER629" s="16"/>
      <c r="ES629" s="123"/>
      <c r="ET629" s="19"/>
      <c r="EU629" s="139"/>
      <c r="EV629" s="139"/>
      <c r="EW629" s="123"/>
      <c r="EX629" s="123"/>
      <c r="EY629" s="123"/>
      <c r="EZ629" s="123"/>
      <c r="FA629" s="123"/>
      <c r="FB629" s="123"/>
      <c r="FC629" s="6"/>
      <c r="FD629" s="123"/>
      <c r="FE629" s="6"/>
      <c r="FF629" s="123"/>
      <c r="FG629" s="6"/>
      <c r="FH629" s="6"/>
      <c r="FI629" s="6"/>
      <c r="FJ629" s="6"/>
      <c r="FK629" s="123"/>
      <c r="FL629" s="6"/>
      <c r="FM629" s="6"/>
      <c r="FN629" s="6"/>
      <c r="FO629" s="138"/>
      <c r="FP629" s="138"/>
      <c r="FQ629" s="123"/>
      <c r="FR629" s="6"/>
      <c r="FS629" s="6"/>
      <c r="FT629" s="139"/>
      <c r="FU629" s="139"/>
      <c r="FV629" s="76"/>
      <c r="FW629" s="123"/>
      <c r="FX629" s="6"/>
    </row>
    <row r="630" spans="35:180">
      <c r="AI630" s="125"/>
      <c r="AJ630" s="16"/>
      <c r="AM630" s="16"/>
      <c r="AN630" s="16"/>
      <c r="AO630" s="125"/>
      <c r="AP630" s="16"/>
      <c r="AQ630" s="125"/>
      <c r="AZ630" s="125"/>
      <c r="BA630" s="142"/>
      <c r="BB630" s="125"/>
      <c r="BC630" s="16"/>
      <c r="BD630" s="125"/>
      <c r="BE630" s="125"/>
      <c r="BF630" s="16"/>
      <c r="BG630" s="125"/>
      <c r="BQ630" s="125"/>
      <c r="BR630" s="16"/>
      <c r="BS630" s="123"/>
      <c r="BT630" s="19"/>
      <c r="BU630" s="139"/>
      <c r="BV630" s="139"/>
      <c r="BW630" s="123"/>
      <c r="BX630" s="123"/>
      <c r="BY630" s="123"/>
      <c r="BZ630" s="123"/>
      <c r="CA630" s="123"/>
      <c r="CB630" s="123"/>
      <c r="CC630" s="6"/>
      <c r="CD630" s="123"/>
      <c r="CE630" s="6"/>
      <c r="CF630" s="123"/>
      <c r="CG630" s="6"/>
      <c r="CH630" s="6"/>
      <c r="CI630" s="6"/>
      <c r="CJ630" s="6"/>
      <c r="CK630" s="123"/>
      <c r="CL630" s="6"/>
      <c r="CM630" s="6"/>
      <c r="CN630" s="6"/>
      <c r="CO630" s="138"/>
      <c r="CP630" s="138"/>
      <c r="CQ630" s="123"/>
      <c r="CR630" s="6"/>
      <c r="CS630" s="6"/>
      <c r="CT630" s="139"/>
      <c r="CU630" s="139"/>
      <c r="CV630" s="76"/>
      <c r="CW630" s="123"/>
      <c r="CX630" s="6"/>
      <c r="DI630" s="125"/>
      <c r="DJ630" s="16"/>
      <c r="DM630" s="16"/>
      <c r="DN630" s="16"/>
      <c r="DO630" s="125"/>
      <c r="DP630" s="16"/>
      <c r="DQ630" s="125"/>
      <c r="DZ630" s="125"/>
      <c r="EA630" s="142"/>
      <c r="EB630" s="125"/>
      <c r="EC630" s="16"/>
      <c r="ED630" s="125"/>
      <c r="EE630" s="125"/>
      <c r="EF630" s="16"/>
      <c r="EG630" s="125"/>
      <c r="EQ630" s="125"/>
      <c r="ER630" s="16"/>
      <c r="ES630" s="123"/>
      <c r="ET630" s="19"/>
      <c r="EU630" s="139"/>
      <c r="EV630" s="139"/>
      <c r="EW630" s="123"/>
      <c r="EX630" s="123"/>
      <c r="EY630" s="123"/>
      <c r="EZ630" s="123"/>
      <c r="FA630" s="123"/>
      <c r="FB630" s="123"/>
      <c r="FC630" s="6"/>
      <c r="FD630" s="123"/>
      <c r="FE630" s="6"/>
      <c r="FF630" s="123"/>
      <c r="FG630" s="6"/>
      <c r="FH630" s="6"/>
      <c r="FI630" s="6"/>
      <c r="FJ630" s="6"/>
      <c r="FK630" s="123"/>
      <c r="FL630" s="6"/>
      <c r="FM630" s="6"/>
      <c r="FN630" s="6"/>
      <c r="FO630" s="138"/>
      <c r="FP630" s="138"/>
      <c r="FQ630" s="123"/>
      <c r="FR630" s="6"/>
      <c r="FS630" s="6"/>
      <c r="FT630" s="139"/>
      <c r="FU630" s="139"/>
      <c r="FV630" s="76"/>
      <c r="FW630" s="123"/>
      <c r="FX630" s="6"/>
    </row>
    <row r="631" spans="35:180">
      <c r="AI631" s="125"/>
      <c r="AJ631" s="16"/>
      <c r="AM631" s="16"/>
      <c r="AN631" s="16"/>
      <c r="AO631" s="125"/>
      <c r="AP631" s="16"/>
      <c r="AQ631" s="125"/>
      <c r="AZ631" s="125"/>
      <c r="BA631" s="142"/>
      <c r="BB631" s="125"/>
      <c r="BC631" s="16"/>
      <c r="BD631" s="125"/>
      <c r="BE631" s="125"/>
      <c r="BF631" s="16"/>
      <c r="BG631" s="125"/>
      <c r="BQ631" s="125"/>
      <c r="BR631" s="16"/>
      <c r="BS631" s="123"/>
      <c r="BT631" s="19"/>
      <c r="BU631" s="139"/>
      <c r="BV631" s="139"/>
      <c r="BW631" s="123"/>
      <c r="BX631" s="123"/>
      <c r="BY631" s="123"/>
      <c r="BZ631" s="123"/>
      <c r="CA631" s="123"/>
      <c r="CB631" s="123"/>
      <c r="CC631" s="6"/>
      <c r="CD631" s="123"/>
      <c r="CE631" s="6"/>
      <c r="CF631" s="123"/>
      <c r="CG631" s="6"/>
      <c r="CH631" s="6"/>
      <c r="CI631" s="6"/>
      <c r="CJ631" s="6"/>
      <c r="CK631" s="123"/>
      <c r="CL631" s="6"/>
      <c r="CM631" s="6"/>
      <c r="CN631" s="6"/>
      <c r="CO631" s="138"/>
      <c r="CP631" s="138"/>
      <c r="CQ631" s="123"/>
      <c r="CR631" s="6"/>
      <c r="CS631" s="6"/>
      <c r="CT631" s="139"/>
      <c r="CU631" s="139"/>
      <c r="CV631" s="76"/>
      <c r="CW631" s="123"/>
      <c r="CX631" s="6"/>
      <c r="DI631" s="125"/>
      <c r="DJ631" s="16"/>
      <c r="DM631" s="16"/>
      <c r="DN631" s="16"/>
      <c r="DO631" s="125"/>
      <c r="DP631" s="16"/>
      <c r="DQ631" s="125"/>
      <c r="DZ631" s="125"/>
      <c r="EA631" s="142"/>
      <c r="EB631" s="125"/>
      <c r="EC631" s="16"/>
      <c r="ED631" s="125"/>
      <c r="EE631" s="125"/>
      <c r="EF631" s="16"/>
      <c r="EG631" s="125"/>
      <c r="EQ631" s="125"/>
      <c r="ER631" s="16"/>
      <c r="ES631" s="123"/>
      <c r="ET631" s="19"/>
      <c r="EU631" s="139"/>
      <c r="EV631" s="139"/>
      <c r="EW631" s="123"/>
      <c r="EX631" s="123"/>
      <c r="EY631" s="123"/>
      <c r="EZ631" s="123"/>
      <c r="FA631" s="123"/>
      <c r="FB631" s="123"/>
      <c r="FC631" s="6"/>
      <c r="FD631" s="123"/>
      <c r="FE631" s="6"/>
      <c r="FF631" s="123"/>
      <c r="FG631" s="6"/>
      <c r="FH631" s="6"/>
      <c r="FI631" s="6"/>
      <c r="FJ631" s="6"/>
      <c r="FK631" s="123"/>
      <c r="FL631" s="6"/>
      <c r="FM631" s="6"/>
      <c r="FN631" s="6"/>
      <c r="FO631" s="138"/>
      <c r="FP631" s="138"/>
      <c r="FQ631" s="123"/>
      <c r="FR631" s="6"/>
      <c r="FS631" s="6"/>
      <c r="FT631" s="139"/>
      <c r="FU631" s="139"/>
      <c r="FV631" s="76"/>
      <c r="FW631" s="123"/>
      <c r="FX631" s="6"/>
    </row>
    <row r="632" spans="35:180">
      <c r="AI632" s="125"/>
      <c r="AJ632" s="16"/>
      <c r="AM632" s="16"/>
      <c r="AN632" s="16"/>
      <c r="AO632" s="125"/>
      <c r="AP632" s="16"/>
      <c r="AQ632" s="125"/>
      <c r="AZ632" s="125"/>
      <c r="BA632" s="142"/>
      <c r="BB632" s="125"/>
      <c r="BC632" s="16"/>
      <c r="BD632" s="125"/>
      <c r="BE632" s="125"/>
      <c r="BF632" s="16"/>
      <c r="BG632" s="125"/>
      <c r="BQ632" s="125"/>
      <c r="BR632" s="16"/>
      <c r="BS632" s="123"/>
      <c r="BT632" s="19"/>
      <c r="BU632" s="139"/>
      <c r="BV632" s="139"/>
      <c r="BW632" s="123"/>
      <c r="BX632" s="123"/>
      <c r="BY632" s="123"/>
      <c r="BZ632" s="123"/>
      <c r="CA632" s="123"/>
      <c r="CB632" s="123"/>
      <c r="CC632" s="6"/>
      <c r="CD632" s="123"/>
      <c r="CE632" s="6"/>
      <c r="CF632" s="123"/>
      <c r="CG632" s="6"/>
      <c r="CH632" s="6"/>
      <c r="CI632" s="6"/>
      <c r="CJ632" s="6"/>
      <c r="CK632" s="123"/>
      <c r="CL632" s="6"/>
      <c r="CM632" s="6"/>
      <c r="CN632" s="6"/>
      <c r="CO632" s="138"/>
      <c r="CP632" s="138"/>
      <c r="CQ632" s="123"/>
      <c r="CR632" s="6"/>
      <c r="CS632" s="6"/>
      <c r="CT632" s="139"/>
      <c r="CU632" s="139"/>
      <c r="CV632" s="76"/>
      <c r="CW632" s="123"/>
      <c r="CX632" s="6"/>
      <c r="DI632" s="125"/>
      <c r="DJ632" s="16"/>
      <c r="DM632" s="16"/>
      <c r="DN632" s="16"/>
      <c r="DO632" s="125"/>
      <c r="DP632" s="16"/>
      <c r="DQ632" s="125"/>
      <c r="DZ632" s="125"/>
      <c r="EA632" s="142"/>
      <c r="EB632" s="125"/>
      <c r="EC632" s="16"/>
      <c r="ED632" s="125"/>
      <c r="EE632" s="125"/>
      <c r="EF632" s="16"/>
      <c r="EG632" s="125"/>
      <c r="EQ632" s="125"/>
      <c r="ER632" s="16"/>
      <c r="ES632" s="123"/>
      <c r="ET632" s="19"/>
      <c r="EU632" s="139"/>
      <c r="EV632" s="139"/>
      <c r="EW632" s="123"/>
      <c r="EX632" s="123"/>
      <c r="EY632" s="123"/>
      <c r="EZ632" s="123"/>
      <c r="FA632" s="123"/>
      <c r="FB632" s="123"/>
      <c r="FC632" s="6"/>
      <c r="FD632" s="123"/>
      <c r="FE632" s="6"/>
      <c r="FF632" s="123"/>
      <c r="FG632" s="6"/>
      <c r="FH632" s="6"/>
      <c r="FI632" s="6"/>
      <c r="FJ632" s="6"/>
      <c r="FK632" s="123"/>
      <c r="FL632" s="6"/>
      <c r="FM632" s="6"/>
      <c r="FN632" s="6"/>
      <c r="FO632" s="138"/>
      <c r="FP632" s="138"/>
      <c r="FQ632" s="123"/>
      <c r="FR632" s="6"/>
      <c r="FS632" s="6"/>
      <c r="FT632" s="139"/>
      <c r="FU632" s="139"/>
      <c r="FV632" s="76"/>
      <c r="FW632" s="123"/>
      <c r="FX632" s="6"/>
    </row>
    <row r="633" spans="35:180">
      <c r="AI633" s="125"/>
      <c r="AJ633" s="16"/>
      <c r="AM633" s="16"/>
      <c r="AN633" s="16"/>
      <c r="AO633" s="125"/>
      <c r="AP633" s="16"/>
      <c r="AQ633" s="125"/>
      <c r="AZ633" s="125"/>
      <c r="BA633" s="142"/>
      <c r="BB633" s="125"/>
      <c r="BC633" s="16"/>
      <c r="BD633" s="125"/>
      <c r="BE633" s="125"/>
      <c r="BF633" s="16"/>
      <c r="BG633" s="125"/>
      <c r="BQ633" s="125"/>
      <c r="BR633" s="16"/>
      <c r="BS633" s="123"/>
      <c r="BT633" s="19"/>
      <c r="BU633" s="139"/>
      <c r="BV633" s="139"/>
      <c r="BW633" s="123"/>
      <c r="BX633" s="123"/>
      <c r="BY633" s="123"/>
      <c r="BZ633" s="123"/>
      <c r="CA633" s="123"/>
      <c r="CB633" s="123"/>
      <c r="CC633" s="6"/>
      <c r="CD633" s="123"/>
      <c r="CE633" s="6"/>
      <c r="CF633" s="123"/>
      <c r="CG633" s="6"/>
      <c r="CH633" s="6"/>
      <c r="CI633" s="6"/>
      <c r="CJ633" s="6"/>
      <c r="CK633" s="123"/>
      <c r="CL633" s="6"/>
      <c r="CM633" s="6"/>
      <c r="CN633" s="6"/>
      <c r="CO633" s="138"/>
      <c r="CP633" s="138"/>
      <c r="CQ633" s="123"/>
      <c r="CR633" s="6"/>
      <c r="CS633" s="6"/>
      <c r="CT633" s="139"/>
      <c r="CU633" s="139"/>
      <c r="CV633" s="76"/>
      <c r="CW633" s="123"/>
      <c r="CX633" s="6"/>
      <c r="DI633" s="125"/>
      <c r="DJ633" s="16"/>
      <c r="DM633" s="16"/>
      <c r="DN633" s="16"/>
      <c r="DO633" s="125"/>
      <c r="DP633" s="16"/>
      <c r="DQ633" s="125"/>
      <c r="DZ633" s="125"/>
      <c r="EA633" s="142"/>
      <c r="EB633" s="125"/>
      <c r="EC633" s="16"/>
      <c r="ED633" s="125"/>
      <c r="EE633" s="125"/>
      <c r="EF633" s="16"/>
      <c r="EG633" s="125"/>
      <c r="EQ633" s="125"/>
      <c r="ER633" s="16"/>
      <c r="ES633" s="123"/>
      <c r="ET633" s="19"/>
      <c r="EU633" s="139"/>
      <c r="EV633" s="139"/>
      <c r="EW633" s="123"/>
      <c r="EX633" s="123"/>
      <c r="EY633" s="123"/>
      <c r="EZ633" s="123"/>
      <c r="FA633" s="123"/>
      <c r="FB633" s="123"/>
      <c r="FC633" s="6"/>
      <c r="FD633" s="123"/>
      <c r="FE633" s="6"/>
      <c r="FF633" s="123"/>
      <c r="FG633" s="6"/>
      <c r="FH633" s="6"/>
      <c r="FI633" s="6"/>
      <c r="FJ633" s="6"/>
      <c r="FK633" s="123"/>
      <c r="FL633" s="6"/>
      <c r="FM633" s="6"/>
      <c r="FN633" s="6"/>
      <c r="FO633" s="138"/>
      <c r="FP633" s="138"/>
      <c r="FQ633" s="123"/>
      <c r="FR633" s="6"/>
      <c r="FS633" s="6"/>
      <c r="FT633" s="139"/>
      <c r="FU633" s="139"/>
      <c r="FV633" s="76"/>
      <c r="FW633" s="123"/>
      <c r="FX633" s="6"/>
    </row>
    <row r="634" spans="35:180">
      <c r="AI634" s="125"/>
      <c r="AJ634" s="16"/>
      <c r="AM634" s="16"/>
      <c r="AN634" s="16"/>
      <c r="AO634" s="125"/>
      <c r="AP634" s="16"/>
      <c r="AQ634" s="125"/>
      <c r="AZ634" s="125"/>
      <c r="BA634" s="142"/>
      <c r="BB634" s="125"/>
      <c r="BC634" s="16"/>
      <c r="BD634" s="125"/>
      <c r="BE634" s="125"/>
      <c r="BF634" s="16"/>
      <c r="BG634" s="125"/>
      <c r="BQ634" s="125"/>
      <c r="BR634" s="16"/>
      <c r="BS634" s="123"/>
      <c r="BT634" s="19"/>
      <c r="BU634" s="139"/>
      <c r="BV634" s="139"/>
      <c r="BW634" s="123"/>
      <c r="BX634" s="123"/>
      <c r="BY634" s="123"/>
      <c r="BZ634" s="123"/>
      <c r="CA634" s="123"/>
      <c r="CB634" s="123"/>
      <c r="CC634" s="6"/>
      <c r="CD634" s="123"/>
      <c r="CE634" s="6"/>
      <c r="CF634" s="123"/>
      <c r="CG634" s="6"/>
      <c r="CH634" s="6"/>
      <c r="CI634" s="6"/>
      <c r="CJ634" s="6"/>
      <c r="CK634" s="123"/>
      <c r="CL634" s="6"/>
      <c r="CM634" s="6"/>
      <c r="CN634" s="6"/>
      <c r="CO634" s="138"/>
      <c r="CP634" s="138"/>
      <c r="CQ634" s="123"/>
      <c r="CR634" s="6"/>
      <c r="CS634" s="6"/>
      <c r="CT634" s="139"/>
      <c r="CU634" s="139"/>
      <c r="CV634" s="76"/>
      <c r="CW634" s="123"/>
      <c r="CX634" s="6"/>
      <c r="DI634" s="125"/>
      <c r="DJ634" s="16"/>
      <c r="DM634" s="16"/>
      <c r="DN634" s="16"/>
      <c r="DO634" s="125"/>
      <c r="DP634" s="16"/>
      <c r="DQ634" s="125"/>
      <c r="DZ634" s="125"/>
      <c r="EA634" s="142"/>
      <c r="EB634" s="125"/>
      <c r="EC634" s="16"/>
      <c r="ED634" s="125"/>
      <c r="EE634" s="125"/>
      <c r="EF634" s="16"/>
      <c r="EG634" s="125"/>
      <c r="EQ634" s="125"/>
      <c r="ER634" s="16"/>
      <c r="ES634" s="123"/>
      <c r="ET634" s="19"/>
      <c r="EU634" s="139"/>
      <c r="EV634" s="139"/>
      <c r="EW634" s="123"/>
      <c r="EX634" s="123"/>
      <c r="EY634" s="123"/>
      <c r="EZ634" s="123"/>
      <c r="FA634" s="123"/>
      <c r="FB634" s="123"/>
      <c r="FC634" s="6"/>
      <c r="FD634" s="123"/>
      <c r="FE634" s="6"/>
      <c r="FF634" s="123"/>
      <c r="FG634" s="6"/>
      <c r="FH634" s="6"/>
      <c r="FI634" s="6"/>
      <c r="FJ634" s="6"/>
      <c r="FK634" s="123"/>
      <c r="FL634" s="6"/>
      <c r="FM634" s="6"/>
      <c r="FN634" s="6"/>
      <c r="FO634" s="138"/>
      <c r="FP634" s="138"/>
      <c r="FQ634" s="123"/>
      <c r="FR634" s="6"/>
      <c r="FS634" s="6"/>
      <c r="FT634" s="139"/>
      <c r="FU634" s="139"/>
      <c r="FV634" s="76"/>
      <c r="FW634" s="123"/>
      <c r="FX634" s="6"/>
    </row>
    <row r="635" spans="35:180">
      <c r="AI635" s="125"/>
      <c r="AJ635" s="16"/>
      <c r="AM635" s="16"/>
      <c r="AN635" s="16"/>
      <c r="AO635" s="125"/>
      <c r="AP635" s="16"/>
      <c r="AQ635" s="125"/>
      <c r="AZ635" s="125"/>
      <c r="BA635" s="142"/>
      <c r="BB635" s="125"/>
      <c r="BC635" s="16"/>
      <c r="BD635" s="125"/>
      <c r="BE635" s="125"/>
      <c r="BF635" s="16"/>
      <c r="BG635" s="125"/>
      <c r="BQ635" s="125"/>
      <c r="BR635" s="16"/>
      <c r="BS635" s="123"/>
      <c r="BT635" s="19"/>
      <c r="BU635" s="139"/>
      <c r="BV635" s="139"/>
      <c r="BW635" s="123"/>
      <c r="BX635" s="123"/>
      <c r="BY635" s="123"/>
      <c r="BZ635" s="123"/>
      <c r="CA635" s="123"/>
      <c r="CB635" s="123"/>
      <c r="CC635" s="6"/>
      <c r="CD635" s="123"/>
      <c r="CE635" s="6"/>
      <c r="CF635" s="123"/>
      <c r="CG635" s="6"/>
      <c r="CH635" s="6"/>
      <c r="CI635" s="6"/>
      <c r="CJ635" s="6"/>
      <c r="CK635" s="123"/>
      <c r="CL635" s="6"/>
      <c r="CM635" s="6"/>
      <c r="CN635" s="6"/>
      <c r="CO635" s="138"/>
      <c r="CP635" s="138"/>
      <c r="CQ635" s="123"/>
      <c r="CR635" s="6"/>
      <c r="CS635" s="6"/>
      <c r="CT635" s="139"/>
      <c r="CU635" s="139"/>
      <c r="CV635" s="76"/>
      <c r="CW635" s="123"/>
      <c r="CX635" s="6"/>
      <c r="DI635" s="125"/>
      <c r="DJ635" s="16"/>
      <c r="DM635" s="16"/>
      <c r="DN635" s="16"/>
      <c r="DO635" s="125"/>
      <c r="DP635" s="16"/>
      <c r="DQ635" s="125"/>
      <c r="DZ635" s="125"/>
      <c r="EA635" s="142"/>
      <c r="EB635" s="125"/>
      <c r="EC635" s="16"/>
      <c r="ED635" s="125"/>
      <c r="EE635" s="125"/>
      <c r="EF635" s="16"/>
      <c r="EG635" s="125"/>
      <c r="EQ635" s="125"/>
      <c r="ER635" s="16"/>
      <c r="ES635" s="123"/>
      <c r="ET635" s="19"/>
      <c r="EU635" s="139"/>
      <c r="EV635" s="139"/>
      <c r="EW635" s="123"/>
      <c r="EX635" s="123"/>
      <c r="EY635" s="123"/>
      <c r="EZ635" s="123"/>
      <c r="FA635" s="123"/>
      <c r="FB635" s="123"/>
      <c r="FC635" s="6"/>
      <c r="FD635" s="123"/>
      <c r="FE635" s="6"/>
      <c r="FF635" s="123"/>
      <c r="FG635" s="6"/>
      <c r="FH635" s="6"/>
      <c r="FI635" s="6"/>
      <c r="FJ635" s="6"/>
      <c r="FK635" s="123"/>
      <c r="FL635" s="6"/>
      <c r="FM635" s="6"/>
      <c r="FN635" s="6"/>
      <c r="FO635" s="138"/>
      <c r="FP635" s="138"/>
      <c r="FQ635" s="123"/>
      <c r="FR635" s="6"/>
      <c r="FS635" s="6"/>
      <c r="FT635" s="139"/>
      <c r="FU635" s="139"/>
      <c r="FV635" s="76"/>
      <c r="FW635" s="123"/>
      <c r="FX635" s="6"/>
    </row>
    <row r="636" spans="35:180">
      <c r="AI636" s="125"/>
      <c r="AJ636" s="16"/>
      <c r="AM636" s="16"/>
      <c r="AN636" s="16"/>
      <c r="AO636" s="125"/>
      <c r="AP636" s="16"/>
      <c r="AQ636" s="125"/>
      <c r="AZ636" s="125"/>
      <c r="BA636" s="142"/>
      <c r="BB636" s="125"/>
      <c r="BC636" s="16"/>
      <c r="BD636" s="125"/>
      <c r="BE636" s="125"/>
      <c r="BF636" s="16"/>
      <c r="BG636" s="125"/>
      <c r="BQ636" s="125"/>
      <c r="BR636" s="16"/>
      <c r="BS636" s="123"/>
      <c r="BT636" s="19"/>
      <c r="BU636" s="139"/>
      <c r="BV636" s="139"/>
      <c r="BW636" s="123"/>
      <c r="BX636" s="123"/>
      <c r="BY636" s="123"/>
      <c r="BZ636" s="123"/>
      <c r="CA636" s="123"/>
      <c r="CB636" s="123"/>
      <c r="CC636" s="6"/>
      <c r="CD636" s="123"/>
      <c r="CE636" s="6"/>
      <c r="CF636" s="123"/>
      <c r="CG636" s="6"/>
      <c r="CH636" s="6"/>
      <c r="CI636" s="6"/>
      <c r="CJ636" s="6"/>
      <c r="CK636" s="123"/>
      <c r="CL636" s="6"/>
      <c r="CM636" s="6"/>
      <c r="CN636" s="6"/>
      <c r="CO636" s="138"/>
      <c r="CP636" s="138"/>
      <c r="CQ636" s="123"/>
      <c r="CR636" s="6"/>
      <c r="CS636" s="6"/>
      <c r="CT636" s="139"/>
      <c r="CU636" s="139"/>
      <c r="CV636" s="76"/>
      <c r="CW636" s="123"/>
      <c r="CX636" s="6"/>
      <c r="DI636" s="125"/>
      <c r="DJ636" s="16"/>
      <c r="DM636" s="16"/>
      <c r="DN636" s="16"/>
      <c r="DO636" s="125"/>
      <c r="DP636" s="16"/>
      <c r="DQ636" s="125"/>
      <c r="DZ636" s="125"/>
      <c r="EA636" s="142"/>
      <c r="EB636" s="125"/>
      <c r="EC636" s="16"/>
      <c r="ED636" s="125"/>
      <c r="EE636" s="125"/>
      <c r="EF636" s="16"/>
      <c r="EG636" s="125"/>
      <c r="EQ636" s="125"/>
      <c r="ER636" s="16"/>
      <c r="ES636" s="123"/>
      <c r="ET636" s="19"/>
      <c r="EU636" s="139"/>
      <c r="EV636" s="139"/>
      <c r="EW636" s="123"/>
      <c r="EX636" s="123"/>
      <c r="EY636" s="123"/>
      <c r="EZ636" s="123"/>
      <c r="FA636" s="123"/>
      <c r="FB636" s="123"/>
      <c r="FC636" s="6"/>
      <c r="FD636" s="123"/>
      <c r="FE636" s="6"/>
      <c r="FF636" s="123"/>
      <c r="FG636" s="6"/>
      <c r="FH636" s="6"/>
      <c r="FI636" s="6"/>
      <c r="FJ636" s="6"/>
      <c r="FK636" s="123"/>
      <c r="FL636" s="6"/>
      <c r="FM636" s="6"/>
      <c r="FN636" s="6"/>
      <c r="FO636" s="138"/>
      <c r="FP636" s="138"/>
      <c r="FQ636" s="123"/>
      <c r="FR636" s="6"/>
      <c r="FS636" s="6"/>
      <c r="FT636" s="139"/>
      <c r="FU636" s="139"/>
      <c r="FV636" s="76"/>
      <c r="FW636" s="123"/>
      <c r="FX636" s="6"/>
    </row>
    <row r="637" spans="35:180">
      <c r="AI637" s="125"/>
      <c r="AJ637" s="16"/>
      <c r="AM637" s="16"/>
      <c r="AN637" s="16"/>
      <c r="AO637" s="125"/>
      <c r="AP637" s="16"/>
      <c r="AQ637" s="125"/>
      <c r="AZ637" s="125"/>
      <c r="BA637" s="142"/>
      <c r="BB637" s="125"/>
      <c r="BC637" s="16"/>
      <c r="BD637" s="125"/>
      <c r="BE637" s="125"/>
      <c r="BF637" s="16"/>
      <c r="BG637" s="125"/>
      <c r="BQ637" s="125"/>
      <c r="BR637" s="16"/>
      <c r="BS637" s="123"/>
      <c r="BT637" s="19"/>
      <c r="BU637" s="139"/>
      <c r="BV637" s="139"/>
      <c r="BW637" s="123"/>
      <c r="BX637" s="123"/>
      <c r="BY637" s="123"/>
      <c r="BZ637" s="123"/>
      <c r="CA637" s="123"/>
      <c r="CB637" s="123"/>
      <c r="CC637" s="6"/>
      <c r="CD637" s="123"/>
      <c r="CE637" s="6"/>
      <c r="CF637" s="123"/>
      <c r="CG637" s="6"/>
      <c r="CH637" s="6"/>
      <c r="CI637" s="6"/>
      <c r="CJ637" s="6"/>
      <c r="CK637" s="123"/>
      <c r="CL637" s="6"/>
      <c r="CM637" s="6"/>
      <c r="CN637" s="6"/>
      <c r="CO637" s="138"/>
      <c r="CP637" s="138"/>
      <c r="CQ637" s="123"/>
      <c r="CR637" s="6"/>
      <c r="CS637" s="6"/>
      <c r="CT637" s="139"/>
      <c r="CU637" s="139"/>
      <c r="CV637" s="76"/>
      <c r="CW637" s="123"/>
      <c r="CX637" s="6"/>
      <c r="DI637" s="125"/>
      <c r="DJ637" s="16"/>
      <c r="DM637" s="16"/>
      <c r="DN637" s="16"/>
      <c r="DO637" s="125"/>
      <c r="DP637" s="16"/>
      <c r="DQ637" s="125"/>
      <c r="DZ637" s="125"/>
      <c r="EA637" s="142"/>
      <c r="EB637" s="125"/>
      <c r="EC637" s="16"/>
      <c r="ED637" s="125"/>
      <c r="EE637" s="125"/>
      <c r="EF637" s="16"/>
      <c r="EG637" s="125"/>
      <c r="EQ637" s="125"/>
      <c r="ER637" s="16"/>
      <c r="ES637" s="123"/>
      <c r="ET637" s="19"/>
      <c r="EU637" s="139"/>
      <c r="EV637" s="139"/>
      <c r="EW637" s="123"/>
      <c r="EX637" s="123"/>
      <c r="EY637" s="123"/>
      <c r="EZ637" s="123"/>
      <c r="FA637" s="123"/>
      <c r="FB637" s="123"/>
      <c r="FC637" s="6"/>
      <c r="FD637" s="123"/>
      <c r="FE637" s="6"/>
      <c r="FF637" s="123"/>
      <c r="FG637" s="6"/>
      <c r="FH637" s="6"/>
      <c r="FI637" s="6"/>
      <c r="FJ637" s="6"/>
      <c r="FK637" s="123"/>
      <c r="FL637" s="6"/>
      <c r="FM637" s="6"/>
      <c r="FN637" s="6"/>
      <c r="FO637" s="138"/>
      <c r="FP637" s="138"/>
      <c r="FQ637" s="123"/>
      <c r="FR637" s="6"/>
      <c r="FS637" s="6"/>
      <c r="FT637" s="139"/>
      <c r="FU637" s="139"/>
      <c r="FV637" s="76"/>
      <c r="FW637" s="123"/>
      <c r="FX637" s="6"/>
    </row>
    <row r="638" spans="35:180">
      <c r="AI638" s="125"/>
      <c r="AJ638" s="16"/>
      <c r="AM638" s="16"/>
      <c r="AN638" s="16"/>
      <c r="AO638" s="125"/>
      <c r="AP638" s="16"/>
      <c r="AQ638" s="125"/>
      <c r="AZ638" s="125"/>
      <c r="BA638" s="142"/>
      <c r="BB638" s="125"/>
      <c r="BC638" s="16"/>
      <c r="BD638" s="125"/>
      <c r="BE638" s="125"/>
      <c r="BF638" s="16"/>
      <c r="BG638" s="125"/>
      <c r="BQ638" s="125"/>
      <c r="BR638" s="16"/>
      <c r="BS638" s="123"/>
      <c r="BT638" s="19"/>
      <c r="BU638" s="139"/>
      <c r="BV638" s="139"/>
      <c r="BW638" s="123"/>
      <c r="BX638" s="123"/>
      <c r="BY638" s="123"/>
      <c r="BZ638" s="123"/>
      <c r="CA638" s="123"/>
      <c r="CB638" s="123"/>
      <c r="CC638" s="6"/>
      <c r="CD638" s="123"/>
      <c r="CE638" s="6"/>
      <c r="CF638" s="123"/>
      <c r="CG638" s="6"/>
      <c r="CH638" s="6"/>
      <c r="CI638" s="6"/>
      <c r="CJ638" s="6"/>
      <c r="CK638" s="123"/>
      <c r="CL638" s="6"/>
      <c r="CM638" s="6"/>
      <c r="CN638" s="6"/>
      <c r="CO638" s="138"/>
      <c r="CP638" s="138"/>
      <c r="CQ638" s="123"/>
      <c r="CR638" s="6"/>
      <c r="CS638" s="6"/>
      <c r="CT638" s="139"/>
      <c r="CU638" s="139"/>
      <c r="CV638" s="76"/>
      <c r="CW638" s="123"/>
      <c r="CX638" s="6"/>
      <c r="DI638" s="125"/>
      <c r="DJ638" s="16"/>
      <c r="DM638" s="16"/>
      <c r="DN638" s="16"/>
      <c r="DO638" s="125"/>
      <c r="DP638" s="16"/>
      <c r="DQ638" s="125"/>
      <c r="DZ638" s="125"/>
      <c r="EA638" s="142"/>
      <c r="EB638" s="125"/>
      <c r="EC638" s="16"/>
      <c r="ED638" s="125"/>
      <c r="EE638" s="125"/>
      <c r="EF638" s="16"/>
      <c r="EG638" s="125"/>
      <c r="EQ638" s="125"/>
      <c r="ER638" s="16"/>
      <c r="ES638" s="123"/>
      <c r="ET638" s="19"/>
      <c r="EU638" s="139"/>
      <c r="EV638" s="139"/>
      <c r="EW638" s="123"/>
      <c r="EX638" s="123"/>
      <c r="EY638" s="123"/>
      <c r="EZ638" s="123"/>
      <c r="FA638" s="123"/>
      <c r="FB638" s="123"/>
      <c r="FC638" s="6"/>
      <c r="FD638" s="123"/>
      <c r="FE638" s="6"/>
      <c r="FF638" s="123"/>
      <c r="FG638" s="6"/>
      <c r="FH638" s="6"/>
      <c r="FI638" s="6"/>
      <c r="FJ638" s="6"/>
      <c r="FK638" s="123"/>
      <c r="FL638" s="6"/>
      <c r="FM638" s="6"/>
      <c r="FN638" s="6"/>
      <c r="FO638" s="138"/>
      <c r="FP638" s="138"/>
      <c r="FQ638" s="123"/>
      <c r="FR638" s="6"/>
      <c r="FS638" s="6"/>
      <c r="FT638" s="139"/>
      <c r="FU638" s="139"/>
      <c r="FV638" s="76"/>
      <c r="FW638" s="123"/>
      <c r="FX638" s="6"/>
    </row>
    <row r="639" spans="35:180">
      <c r="AI639" s="125"/>
      <c r="AJ639" s="16"/>
      <c r="AM639" s="16"/>
      <c r="AN639" s="16"/>
      <c r="AO639" s="125"/>
      <c r="AP639" s="16"/>
      <c r="AQ639" s="125"/>
      <c r="AZ639" s="125"/>
      <c r="BA639" s="142"/>
      <c r="BB639" s="125"/>
      <c r="BC639" s="16"/>
      <c r="BD639" s="125"/>
      <c r="BE639" s="125"/>
      <c r="BF639" s="16"/>
      <c r="BG639" s="125"/>
      <c r="BQ639" s="125"/>
      <c r="BR639" s="16"/>
      <c r="BS639" s="123"/>
      <c r="BT639" s="19"/>
      <c r="BU639" s="139"/>
      <c r="BV639" s="139"/>
      <c r="BW639" s="123"/>
      <c r="BX639" s="123"/>
      <c r="BY639" s="123"/>
      <c r="BZ639" s="123"/>
      <c r="CA639" s="123"/>
      <c r="CB639" s="123"/>
      <c r="CC639" s="6"/>
      <c r="CD639" s="123"/>
      <c r="CE639" s="6"/>
      <c r="CF639" s="123"/>
      <c r="CG639" s="6"/>
      <c r="CH639" s="6"/>
      <c r="CI639" s="6"/>
      <c r="CJ639" s="6"/>
      <c r="CK639" s="123"/>
      <c r="CL639" s="6"/>
      <c r="CM639" s="6"/>
      <c r="CN639" s="6"/>
      <c r="CO639" s="138"/>
      <c r="CP639" s="138"/>
      <c r="CQ639" s="123"/>
      <c r="CR639" s="6"/>
      <c r="CS639" s="6"/>
      <c r="CT639" s="139"/>
      <c r="CU639" s="139"/>
      <c r="CV639" s="76"/>
      <c r="CW639" s="123"/>
      <c r="CX639" s="6"/>
      <c r="DI639" s="125"/>
      <c r="DJ639" s="16"/>
      <c r="DM639" s="16"/>
      <c r="DN639" s="16"/>
      <c r="DO639" s="125"/>
      <c r="DP639" s="16"/>
      <c r="DQ639" s="125"/>
      <c r="DZ639" s="125"/>
      <c r="EA639" s="142"/>
      <c r="EB639" s="125"/>
      <c r="EC639" s="16"/>
      <c r="ED639" s="125"/>
      <c r="EE639" s="125"/>
      <c r="EF639" s="16"/>
      <c r="EG639" s="125"/>
      <c r="EQ639" s="125"/>
      <c r="ER639" s="16"/>
      <c r="ES639" s="123"/>
      <c r="ET639" s="19"/>
      <c r="EU639" s="139"/>
      <c r="EV639" s="139"/>
      <c r="EW639" s="123"/>
      <c r="EX639" s="123"/>
      <c r="EY639" s="123"/>
      <c r="EZ639" s="123"/>
      <c r="FA639" s="123"/>
      <c r="FB639" s="123"/>
      <c r="FC639" s="6"/>
      <c r="FD639" s="123"/>
      <c r="FE639" s="6"/>
      <c r="FF639" s="123"/>
      <c r="FG639" s="6"/>
      <c r="FH639" s="6"/>
      <c r="FI639" s="6"/>
      <c r="FJ639" s="6"/>
      <c r="FK639" s="123"/>
      <c r="FL639" s="6"/>
      <c r="FM639" s="6"/>
      <c r="FN639" s="6"/>
      <c r="FO639" s="138"/>
      <c r="FP639" s="138"/>
      <c r="FQ639" s="123"/>
      <c r="FR639" s="6"/>
      <c r="FS639" s="6"/>
      <c r="FT639" s="139"/>
      <c r="FU639" s="139"/>
      <c r="FV639" s="76"/>
      <c r="FW639" s="123"/>
      <c r="FX639" s="6"/>
    </row>
    <row r="640" spans="35:180">
      <c r="AI640" s="125"/>
      <c r="AJ640" s="16"/>
      <c r="AM640" s="16"/>
      <c r="AN640" s="16"/>
      <c r="AO640" s="125"/>
      <c r="AP640" s="16"/>
      <c r="AQ640" s="125"/>
      <c r="AZ640" s="125"/>
      <c r="BA640" s="142"/>
      <c r="BB640" s="125"/>
      <c r="BC640" s="16"/>
      <c r="BD640" s="125"/>
      <c r="BE640" s="125"/>
      <c r="BF640" s="16"/>
      <c r="BG640" s="125"/>
      <c r="BQ640" s="125"/>
      <c r="BR640" s="16"/>
      <c r="BS640" s="123"/>
      <c r="BT640" s="19"/>
      <c r="BU640" s="139"/>
      <c r="BV640" s="139"/>
      <c r="BW640" s="123"/>
      <c r="BX640" s="123"/>
      <c r="BY640" s="123"/>
      <c r="BZ640" s="123"/>
      <c r="CA640" s="123"/>
      <c r="CB640" s="123"/>
      <c r="CC640" s="6"/>
      <c r="CD640" s="123"/>
      <c r="CE640" s="6"/>
      <c r="CF640" s="123"/>
      <c r="CG640" s="6"/>
      <c r="CH640" s="6"/>
      <c r="CI640" s="6"/>
      <c r="CJ640" s="6"/>
      <c r="CK640" s="123"/>
      <c r="CL640" s="6"/>
      <c r="CM640" s="6"/>
      <c r="CN640" s="6"/>
      <c r="CO640" s="138"/>
      <c r="CP640" s="138"/>
      <c r="CQ640" s="123"/>
      <c r="CR640" s="6"/>
      <c r="CS640" s="6"/>
      <c r="CT640" s="139"/>
      <c r="CU640" s="139"/>
      <c r="CV640" s="76"/>
      <c r="CW640" s="123"/>
      <c r="CX640" s="6"/>
      <c r="DI640" s="125"/>
      <c r="DJ640" s="16"/>
      <c r="DM640" s="16"/>
      <c r="DN640" s="16"/>
      <c r="DO640" s="125"/>
      <c r="DP640" s="16"/>
      <c r="DQ640" s="125"/>
      <c r="DZ640" s="125"/>
      <c r="EA640" s="142"/>
      <c r="EB640" s="125"/>
      <c r="EC640" s="16"/>
      <c r="ED640" s="125"/>
      <c r="EE640" s="125"/>
      <c r="EF640" s="16"/>
      <c r="EG640" s="125"/>
      <c r="EQ640" s="125"/>
      <c r="ER640" s="16"/>
      <c r="ES640" s="123"/>
      <c r="ET640" s="19"/>
      <c r="EU640" s="139"/>
      <c r="EV640" s="139"/>
      <c r="EW640" s="123"/>
      <c r="EX640" s="123"/>
      <c r="EY640" s="123"/>
      <c r="EZ640" s="123"/>
      <c r="FA640" s="123"/>
      <c r="FB640" s="123"/>
      <c r="FC640" s="6"/>
      <c r="FD640" s="123"/>
      <c r="FE640" s="6"/>
      <c r="FF640" s="123"/>
      <c r="FG640" s="6"/>
      <c r="FH640" s="6"/>
      <c r="FI640" s="6"/>
      <c r="FJ640" s="6"/>
      <c r="FK640" s="123"/>
      <c r="FL640" s="6"/>
      <c r="FM640" s="6"/>
      <c r="FN640" s="6"/>
      <c r="FO640" s="138"/>
      <c r="FP640" s="138"/>
      <c r="FQ640" s="123"/>
      <c r="FR640" s="6"/>
      <c r="FS640" s="6"/>
      <c r="FT640" s="139"/>
      <c r="FU640" s="139"/>
      <c r="FV640" s="76"/>
      <c r="FW640" s="123"/>
      <c r="FX640" s="6"/>
    </row>
    <row r="641" spans="35:180">
      <c r="AI641" s="125"/>
      <c r="AJ641" s="16"/>
      <c r="AM641" s="16"/>
      <c r="AN641" s="16"/>
      <c r="AO641" s="125"/>
      <c r="AP641" s="16"/>
      <c r="AQ641" s="125"/>
      <c r="AZ641" s="125"/>
      <c r="BA641" s="142"/>
      <c r="BB641" s="125"/>
      <c r="BC641" s="16"/>
      <c r="BD641" s="125"/>
      <c r="BE641" s="125"/>
      <c r="BF641" s="16"/>
      <c r="BG641" s="125"/>
      <c r="BQ641" s="125"/>
      <c r="BR641" s="16"/>
      <c r="BS641" s="123"/>
      <c r="BT641" s="19"/>
      <c r="BU641" s="139"/>
      <c r="BV641" s="139"/>
      <c r="BW641" s="123"/>
      <c r="BX641" s="123"/>
      <c r="BY641" s="123"/>
      <c r="BZ641" s="123"/>
      <c r="CA641" s="123"/>
      <c r="CB641" s="123"/>
      <c r="CC641" s="6"/>
      <c r="CD641" s="123"/>
      <c r="CE641" s="6"/>
      <c r="CF641" s="123"/>
      <c r="CG641" s="6"/>
      <c r="CH641" s="6"/>
      <c r="CI641" s="6"/>
      <c r="CJ641" s="6"/>
      <c r="CK641" s="123"/>
      <c r="CL641" s="6"/>
      <c r="CM641" s="6"/>
      <c r="CN641" s="6"/>
      <c r="CO641" s="138"/>
      <c r="CP641" s="138"/>
      <c r="CQ641" s="123"/>
      <c r="CR641" s="6"/>
      <c r="CS641" s="6"/>
      <c r="CT641" s="139"/>
      <c r="CU641" s="139"/>
      <c r="CV641" s="76"/>
      <c r="CW641" s="123"/>
      <c r="CX641" s="6"/>
      <c r="DI641" s="125"/>
      <c r="DJ641" s="16"/>
      <c r="DM641" s="16"/>
      <c r="DN641" s="16"/>
      <c r="DO641" s="125"/>
      <c r="DP641" s="16"/>
      <c r="DQ641" s="125"/>
      <c r="DZ641" s="125"/>
      <c r="EA641" s="142"/>
      <c r="EB641" s="125"/>
      <c r="EC641" s="16"/>
      <c r="ED641" s="125"/>
      <c r="EE641" s="125"/>
      <c r="EF641" s="16"/>
      <c r="EG641" s="125"/>
      <c r="EQ641" s="125"/>
      <c r="ER641" s="16"/>
      <c r="ES641" s="123"/>
      <c r="ET641" s="19"/>
      <c r="EU641" s="139"/>
      <c r="EV641" s="139"/>
      <c r="EW641" s="123"/>
      <c r="EX641" s="123"/>
      <c r="EY641" s="123"/>
      <c r="EZ641" s="123"/>
      <c r="FA641" s="123"/>
      <c r="FB641" s="123"/>
      <c r="FC641" s="6"/>
      <c r="FD641" s="123"/>
      <c r="FE641" s="6"/>
      <c r="FF641" s="123"/>
      <c r="FG641" s="6"/>
      <c r="FH641" s="6"/>
      <c r="FI641" s="6"/>
      <c r="FJ641" s="6"/>
      <c r="FK641" s="123"/>
      <c r="FL641" s="6"/>
      <c r="FM641" s="6"/>
      <c r="FN641" s="6"/>
      <c r="FO641" s="138"/>
      <c r="FP641" s="138"/>
      <c r="FQ641" s="123"/>
      <c r="FR641" s="6"/>
      <c r="FS641" s="6"/>
      <c r="FT641" s="139"/>
      <c r="FU641" s="139"/>
      <c r="FV641" s="76"/>
      <c r="FW641" s="123"/>
      <c r="FX641" s="6"/>
    </row>
    <row r="642" spans="35:180">
      <c r="AI642" s="125"/>
      <c r="AJ642" s="16"/>
      <c r="AM642" s="16"/>
      <c r="AN642" s="16"/>
      <c r="AO642" s="125"/>
      <c r="AP642" s="16"/>
      <c r="AQ642" s="125"/>
      <c r="AZ642" s="125"/>
      <c r="BA642" s="142"/>
      <c r="BB642" s="125"/>
      <c r="BC642" s="16"/>
      <c r="BD642" s="125"/>
      <c r="BE642" s="125"/>
      <c r="BF642" s="16"/>
      <c r="BG642" s="125"/>
      <c r="BQ642" s="125"/>
      <c r="BR642" s="16"/>
      <c r="BS642" s="123"/>
      <c r="BT642" s="19"/>
      <c r="BU642" s="139"/>
      <c r="BV642" s="139"/>
      <c r="BW642" s="123"/>
      <c r="BX642" s="123"/>
      <c r="BY642" s="123"/>
      <c r="BZ642" s="123"/>
      <c r="CA642" s="123"/>
      <c r="CB642" s="123"/>
      <c r="CC642" s="6"/>
      <c r="CD642" s="123"/>
      <c r="CE642" s="6"/>
      <c r="CF642" s="123"/>
      <c r="CG642" s="6"/>
      <c r="CH642" s="6"/>
      <c r="CI642" s="6"/>
      <c r="CJ642" s="6"/>
      <c r="CK642" s="123"/>
      <c r="CL642" s="6"/>
      <c r="CM642" s="6"/>
      <c r="CN642" s="6"/>
      <c r="CO642" s="138"/>
      <c r="CP642" s="138"/>
      <c r="CQ642" s="123"/>
      <c r="CR642" s="6"/>
      <c r="CS642" s="6"/>
      <c r="CT642" s="139"/>
      <c r="CU642" s="139"/>
      <c r="CV642" s="76"/>
      <c r="CW642" s="123"/>
      <c r="CX642" s="6"/>
      <c r="DI642" s="125"/>
      <c r="DJ642" s="16"/>
      <c r="DM642" s="16"/>
      <c r="DN642" s="16"/>
      <c r="DO642" s="125"/>
      <c r="DP642" s="16"/>
      <c r="DQ642" s="125"/>
      <c r="DZ642" s="125"/>
      <c r="EA642" s="142"/>
      <c r="EB642" s="125"/>
      <c r="EC642" s="16"/>
      <c r="ED642" s="125"/>
      <c r="EE642" s="125"/>
      <c r="EF642" s="16"/>
      <c r="EG642" s="125"/>
      <c r="EQ642" s="125"/>
      <c r="ER642" s="16"/>
      <c r="ES642" s="123"/>
      <c r="ET642" s="19"/>
      <c r="EU642" s="139"/>
      <c r="EV642" s="139"/>
      <c r="EW642" s="123"/>
      <c r="EX642" s="123"/>
      <c r="EY642" s="123"/>
      <c r="EZ642" s="123"/>
      <c r="FA642" s="123"/>
      <c r="FB642" s="123"/>
      <c r="FC642" s="6"/>
      <c r="FD642" s="123"/>
      <c r="FE642" s="6"/>
      <c r="FF642" s="123"/>
      <c r="FG642" s="6"/>
      <c r="FH642" s="6"/>
      <c r="FI642" s="6"/>
      <c r="FJ642" s="6"/>
      <c r="FK642" s="123"/>
      <c r="FL642" s="6"/>
      <c r="FM642" s="6"/>
      <c r="FN642" s="6"/>
      <c r="FO642" s="138"/>
      <c r="FP642" s="138"/>
      <c r="FQ642" s="123"/>
      <c r="FR642" s="6"/>
      <c r="FS642" s="6"/>
      <c r="FT642" s="139"/>
      <c r="FU642" s="139"/>
      <c r="FV642" s="76"/>
      <c r="FW642" s="123"/>
      <c r="FX642" s="6"/>
    </row>
    <row r="643" spans="35:180">
      <c r="AI643" s="125"/>
      <c r="AJ643" s="16"/>
      <c r="AM643" s="16"/>
      <c r="AN643" s="16"/>
      <c r="AO643" s="125"/>
      <c r="AP643" s="16"/>
      <c r="AQ643" s="125"/>
      <c r="AZ643" s="125"/>
      <c r="BA643" s="142"/>
      <c r="BB643" s="125"/>
      <c r="BC643" s="16"/>
      <c r="BD643" s="125"/>
      <c r="BE643" s="125"/>
      <c r="BF643" s="16"/>
      <c r="BG643" s="125"/>
      <c r="BQ643" s="125"/>
      <c r="BR643" s="16"/>
      <c r="BS643" s="123"/>
      <c r="BT643" s="19"/>
      <c r="BU643" s="139"/>
      <c r="BV643" s="139"/>
      <c r="BW643" s="123"/>
      <c r="BX643" s="123"/>
      <c r="BY643" s="123"/>
      <c r="BZ643" s="123"/>
      <c r="CA643" s="123"/>
      <c r="CB643" s="123"/>
      <c r="CC643" s="6"/>
      <c r="CD643" s="123"/>
      <c r="CE643" s="6"/>
      <c r="CF643" s="123"/>
      <c r="CG643" s="6"/>
      <c r="CH643" s="6"/>
      <c r="CI643" s="6"/>
      <c r="CJ643" s="6"/>
      <c r="CK643" s="123"/>
      <c r="CL643" s="6"/>
      <c r="CM643" s="6"/>
      <c r="CN643" s="6"/>
      <c r="CO643" s="138"/>
      <c r="CP643" s="138"/>
      <c r="CQ643" s="123"/>
      <c r="CR643" s="6"/>
      <c r="CS643" s="6"/>
      <c r="CT643" s="139"/>
      <c r="CU643" s="139"/>
      <c r="CV643" s="76"/>
      <c r="CW643" s="123"/>
      <c r="CX643" s="6"/>
      <c r="DI643" s="125"/>
      <c r="DJ643" s="16"/>
      <c r="DM643" s="16"/>
      <c r="DN643" s="16"/>
      <c r="DO643" s="125"/>
      <c r="DP643" s="16"/>
      <c r="DQ643" s="125"/>
      <c r="DZ643" s="125"/>
      <c r="EA643" s="142"/>
      <c r="EB643" s="125"/>
      <c r="EC643" s="16"/>
      <c r="ED643" s="125"/>
      <c r="EE643" s="125"/>
      <c r="EF643" s="16"/>
      <c r="EG643" s="125"/>
      <c r="EQ643" s="125"/>
      <c r="ER643" s="16"/>
      <c r="ES643" s="123"/>
      <c r="ET643" s="19"/>
      <c r="EU643" s="139"/>
      <c r="EV643" s="139"/>
      <c r="EW643" s="123"/>
      <c r="EX643" s="123"/>
      <c r="EY643" s="123"/>
      <c r="EZ643" s="123"/>
      <c r="FA643" s="123"/>
      <c r="FB643" s="123"/>
      <c r="FC643" s="6"/>
      <c r="FD643" s="123"/>
      <c r="FE643" s="6"/>
      <c r="FF643" s="123"/>
      <c r="FG643" s="6"/>
      <c r="FH643" s="6"/>
      <c r="FI643" s="6"/>
      <c r="FJ643" s="6"/>
      <c r="FK643" s="123"/>
      <c r="FL643" s="6"/>
      <c r="FM643" s="6"/>
      <c r="FN643" s="6"/>
      <c r="FO643" s="138"/>
      <c r="FP643" s="138"/>
      <c r="FQ643" s="123"/>
      <c r="FR643" s="6"/>
      <c r="FS643" s="6"/>
      <c r="FT643" s="139"/>
      <c r="FU643" s="139"/>
      <c r="FV643" s="76"/>
      <c r="FW643" s="123"/>
      <c r="FX643" s="6"/>
    </row>
    <row r="644" spans="35:180">
      <c r="AI644" s="125"/>
      <c r="AJ644" s="16"/>
      <c r="AM644" s="16"/>
      <c r="AN644" s="16"/>
      <c r="AO644" s="125"/>
      <c r="AP644" s="16"/>
      <c r="AQ644" s="125"/>
      <c r="AZ644" s="125"/>
      <c r="BA644" s="142"/>
      <c r="BB644" s="125"/>
      <c r="BC644" s="16"/>
      <c r="BD644" s="125"/>
      <c r="BE644" s="125"/>
      <c r="BF644" s="16"/>
      <c r="BG644" s="125"/>
      <c r="BQ644" s="125"/>
      <c r="BR644" s="16"/>
      <c r="BS644" s="123"/>
      <c r="BT644" s="19"/>
      <c r="BU644" s="139"/>
      <c r="BV644" s="139"/>
      <c r="BW644" s="123"/>
      <c r="BX644" s="123"/>
      <c r="BY644" s="123"/>
      <c r="BZ644" s="123"/>
      <c r="CA644" s="123"/>
      <c r="CB644" s="123"/>
      <c r="CC644" s="6"/>
      <c r="CD644" s="123"/>
      <c r="CE644" s="6"/>
      <c r="CF644" s="123"/>
      <c r="CG644" s="6"/>
      <c r="CH644" s="6"/>
      <c r="CI644" s="6"/>
      <c r="CJ644" s="6"/>
      <c r="CK644" s="123"/>
      <c r="CL644" s="6"/>
      <c r="CM644" s="6"/>
      <c r="CN644" s="6"/>
      <c r="CO644" s="138"/>
      <c r="CP644" s="138"/>
      <c r="CQ644" s="123"/>
      <c r="CR644" s="6"/>
      <c r="CS644" s="6"/>
      <c r="CT644" s="139"/>
      <c r="CU644" s="139"/>
      <c r="CV644" s="76"/>
      <c r="CW644" s="123"/>
      <c r="CX644" s="6"/>
      <c r="DI644" s="125"/>
      <c r="DJ644" s="16"/>
      <c r="DM644" s="16"/>
      <c r="DN644" s="16"/>
      <c r="DO644" s="125"/>
      <c r="DP644" s="16"/>
      <c r="DQ644" s="125"/>
      <c r="DZ644" s="125"/>
      <c r="EA644" s="142"/>
      <c r="EB644" s="125"/>
      <c r="EC644" s="16"/>
      <c r="ED644" s="125"/>
      <c r="EE644" s="125"/>
      <c r="EF644" s="16"/>
      <c r="EG644" s="125"/>
      <c r="EQ644" s="125"/>
      <c r="ER644" s="16"/>
      <c r="ES644" s="123"/>
      <c r="ET644" s="19"/>
      <c r="EU644" s="139"/>
      <c r="EV644" s="139"/>
      <c r="EW644" s="123"/>
      <c r="EX644" s="123"/>
      <c r="EY644" s="123"/>
      <c r="EZ644" s="123"/>
      <c r="FA644" s="123"/>
      <c r="FB644" s="123"/>
      <c r="FC644" s="6"/>
      <c r="FD644" s="123"/>
      <c r="FE644" s="6"/>
      <c r="FF644" s="123"/>
      <c r="FG644" s="6"/>
      <c r="FH644" s="6"/>
      <c r="FI644" s="6"/>
      <c r="FJ644" s="6"/>
      <c r="FK644" s="123"/>
      <c r="FL644" s="6"/>
      <c r="FM644" s="6"/>
      <c r="FN644" s="6"/>
      <c r="FO644" s="138"/>
      <c r="FP644" s="138"/>
      <c r="FQ644" s="123"/>
      <c r="FR644" s="6"/>
      <c r="FS644" s="6"/>
      <c r="FT644" s="139"/>
      <c r="FU644" s="139"/>
      <c r="FV644" s="76"/>
      <c r="FW644" s="123"/>
      <c r="FX644" s="6"/>
    </row>
    <row r="645" spans="35:180">
      <c r="AI645" s="125"/>
      <c r="AJ645" s="16"/>
      <c r="AM645" s="16"/>
      <c r="AN645" s="16"/>
      <c r="AO645" s="125"/>
      <c r="AP645" s="16"/>
      <c r="AQ645" s="125"/>
      <c r="AZ645" s="125"/>
      <c r="BA645" s="142"/>
      <c r="BB645" s="125"/>
      <c r="BC645" s="16"/>
      <c r="BD645" s="125"/>
      <c r="BE645" s="125"/>
      <c r="BF645" s="16"/>
      <c r="BG645" s="125"/>
      <c r="BQ645" s="125"/>
      <c r="BR645" s="16"/>
      <c r="BS645" s="123"/>
      <c r="BT645" s="19"/>
      <c r="BU645" s="139"/>
      <c r="BV645" s="139"/>
      <c r="BW645" s="123"/>
      <c r="BX645" s="123"/>
      <c r="BY645" s="123"/>
      <c r="BZ645" s="123"/>
      <c r="CA645" s="123"/>
      <c r="CB645" s="123"/>
      <c r="CC645" s="6"/>
      <c r="CD645" s="123"/>
      <c r="CE645" s="6"/>
      <c r="CF645" s="123"/>
      <c r="CG645" s="6"/>
      <c r="CH645" s="6"/>
      <c r="CI645" s="6"/>
      <c r="CJ645" s="6"/>
      <c r="CK645" s="123"/>
      <c r="CL645" s="6"/>
      <c r="CM645" s="6"/>
      <c r="CN645" s="6"/>
      <c r="CO645" s="138"/>
      <c r="CP645" s="138"/>
      <c r="CQ645" s="123"/>
      <c r="CR645" s="6"/>
      <c r="CS645" s="6"/>
      <c r="CT645" s="139"/>
      <c r="CU645" s="139"/>
      <c r="CV645" s="76"/>
      <c r="CW645" s="123"/>
      <c r="CX645" s="6"/>
      <c r="DI645" s="125"/>
      <c r="DJ645" s="16"/>
      <c r="DM645" s="16"/>
      <c r="DN645" s="16"/>
      <c r="DO645" s="125"/>
      <c r="DP645" s="16"/>
      <c r="DQ645" s="125"/>
      <c r="DZ645" s="125"/>
      <c r="EA645" s="142"/>
      <c r="EB645" s="125"/>
      <c r="EC645" s="16"/>
      <c r="ED645" s="125"/>
      <c r="EE645" s="125"/>
      <c r="EF645" s="16"/>
      <c r="EG645" s="125"/>
      <c r="EQ645" s="125"/>
      <c r="ER645" s="16"/>
      <c r="ES645" s="123"/>
      <c r="ET645" s="19"/>
      <c r="EU645" s="139"/>
      <c r="EV645" s="139"/>
      <c r="EW645" s="123"/>
      <c r="EX645" s="123"/>
      <c r="EY645" s="123"/>
      <c r="EZ645" s="123"/>
      <c r="FA645" s="123"/>
      <c r="FB645" s="123"/>
      <c r="FC645" s="6"/>
      <c r="FD645" s="123"/>
      <c r="FE645" s="6"/>
      <c r="FF645" s="123"/>
      <c r="FG645" s="6"/>
      <c r="FH645" s="6"/>
      <c r="FI645" s="6"/>
      <c r="FJ645" s="6"/>
      <c r="FK645" s="123"/>
      <c r="FL645" s="6"/>
      <c r="FM645" s="6"/>
      <c r="FN645" s="6"/>
      <c r="FO645" s="138"/>
      <c r="FP645" s="138"/>
      <c r="FQ645" s="123"/>
      <c r="FR645" s="6"/>
      <c r="FS645" s="6"/>
      <c r="FT645" s="139"/>
      <c r="FU645" s="139"/>
      <c r="FV645" s="76"/>
      <c r="FW645" s="123"/>
      <c r="FX645" s="6"/>
    </row>
    <row r="646" spans="35:180">
      <c r="AI646" s="125"/>
      <c r="AJ646" s="16"/>
      <c r="AM646" s="16"/>
      <c r="AN646" s="16"/>
      <c r="AO646" s="125"/>
      <c r="AP646" s="16"/>
      <c r="AQ646" s="125"/>
      <c r="AZ646" s="125"/>
      <c r="BA646" s="142"/>
      <c r="BB646" s="125"/>
      <c r="BC646" s="16"/>
      <c r="BD646" s="125"/>
      <c r="BE646" s="125"/>
      <c r="BF646" s="16"/>
      <c r="BG646" s="125"/>
      <c r="BQ646" s="125"/>
      <c r="BR646" s="16"/>
      <c r="BS646" s="123"/>
      <c r="BT646" s="19"/>
      <c r="BU646" s="139"/>
      <c r="BV646" s="139"/>
      <c r="BW646" s="123"/>
      <c r="BX646" s="123"/>
      <c r="BY646" s="123"/>
      <c r="BZ646" s="123"/>
      <c r="CA646" s="123"/>
      <c r="CB646" s="123"/>
      <c r="CC646" s="6"/>
      <c r="CD646" s="123"/>
      <c r="CE646" s="6"/>
      <c r="CF646" s="123"/>
      <c r="CG646" s="6"/>
      <c r="CH646" s="6"/>
      <c r="CI646" s="6"/>
      <c r="CJ646" s="6"/>
      <c r="CK646" s="123"/>
      <c r="CL646" s="6"/>
      <c r="CM646" s="6"/>
      <c r="CN646" s="6"/>
      <c r="CO646" s="138"/>
      <c r="CP646" s="138"/>
      <c r="CQ646" s="123"/>
      <c r="CR646" s="6"/>
      <c r="CS646" s="6"/>
      <c r="CT646" s="139"/>
      <c r="CU646" s="139"/>
      <c r="CV646" s="76"/>
      <c r="CW646" s="123"/>
      <c r="CX646" s="6"/>
      <c r="DI646" s="125"/>
      <c r="DJ646" s="16"/>
      <c r="DM646" s="16"/>
      <c r="DN646" s="16"/>
      <c r="DO646" s="125"/>
      <c r="DP646" s="16"/>
      <c r="DQ646" s="125"/>
      <c r="DZ646" s="125"/>
      <c r="EA646" s="142"/>
      <c r="EB646" s="125"/>
      <c r="EC646" s="16"/>
      <c r="ED646" s="125"/>
      <c r="EE646" s="125"/>
      <c r="EF646" s="16"/>
      <c r="EG646" s="125"/>
      <c r="EQ646" s="125"/>
      <c r="ER646" s="16"/>
      <c r="ES646" s="123"/>
      <c r="ET646" s="19"/>
      <c r="EU646" s="139"/>
      <c r="EV646" s="139"/>
      <c r="EW646" s="123"/>
      <c r="EX646" s="123"/>
      <c r="EY646" s="123"/>
      <c r="EZ646" s="123"/>
      <c r="FA646" s="123"/>
      <c r="FB646" s="123"/>
      <c r="FC646" s="6"/>
      <c r="FD646" s="123"/>
      <c r="FE646" s="6"/>
      <c r="FF646" s="123"/>
      <c r="FG646" s="6"/>
      <c r="FH646" s="6"/>
      <c r="FI646" s="6"/>
      <c r="FJ646" s="6"/>
      <c r="FK646" s="123"/>
      <c r="FL646" s="6"/>
      <c r="FM646" s="6"/>
      <c r="FN646" s="6"/>
      <c r="FO646" s="138"/>
      <c r="FP646" s="138"/>
      <c r="FQ646" s="123"/>
      <c r="FR646" s="6"/>
      <c r="FS646" s="6"/>
      <c r="FT646" s="139"/>
      <c r="FU646" s="139"/>
      <c r="FV646" s="76"/>
      <c r="FW646" s="123"/>
      <c r="FX646" s="6"/>
    </row>
    <row r="647" spans="35:180">
      <c r="AI647" s="125"/>
      <c r="AJ647" s="16"/>
      <c r="AM647" s="16"/>
      <c r="AN647" s="16"/>
      <c r="AO647" s="125"/>
      <c r="AP647" s="16"/>
      <c r="AQ647" s="125"/>
      <c r="AZ647" s="125"/>
      <c r="BA647" s="142"/>
      <c r="BB647" s="125"/>
      <c r="BC647" s="16"/>
      <c r="BD647" s="125"/>
      <c r="BE647" s="125"/>
      <c r="BF647" s="16"/>
      <c r="BG647" s="125"/>
      <c r="BQ647" s="125"/>
      <c r="BR647" s="16"/>
      <c r="BS647" s="123"/>
      <c r="BT647" s="19"/>
      <c r="BU647" s="139"/>
      <c r="BV647" s="139"/>
      <c r="BW647" s="123"/>
      <c r="BX647" s="123"/>
      <c r="BY647" s="123"/>
      <c r="BZ647" s="123"/>
      <c r="CA647" s="123"/>
      <c r="CB647" s="123"/>
      <c r="CC647" s="6"/>
      <c r="CD647" s="123"/>
      <c r="CE647" s="6"/>
      <c r="CF647" s="123"/>
      <c r="CG647" s="6"/>
      <c r="CH647" s="6"/>
      <c r="CI647" s="6"/>
      <c r="CJ647" s="6"/>
      <c r="CK647" s="123"/>
      <c r="CL647" s="6"/>
      <c r="CM647" s="6"/>
      <c r="CN647" s="6"/>
      <c r="CO647" s="138"/>
      <c r="CP647" s="138"/>
      <c r="CQ647" s="123"/>
      <c r="CR647" s="6"/>
      <c r="CS647" s="6"/>
      <c r="CT647" s="139"/>
      <c r="CU647" s="139"/>
      <c r="CV647" s="76"/>
      <c r="CW647" s="123"/>
      <c r="CX647" s="6"/>
      <c r="DI647" s="125"/>
      <c r="DJ647" s="16"/>
      <c r="DM647" s="16"/>
      <c r="DN647" s="16"/>
      <c r="DO647" s="125"/>
      <c r="DP647" s="16"/>
      <c r="DQ647" s="125"/>
      <c r="DZ647" s="125"/>
      <c r="EA647" s="142"/>
      <c r="EB647" s="125"/>
      <c r="EC647" s="16"/>
      <c r="ED647" s="125"/>
      <c r="EE647" s="125"/>
      <c r="EF647" s="16"/>
      <c r="EG647" s="125"/>
      <c r="EQ647" s="125"/>
      <c r="ER647" s="16"/>
      <c r="ES647" s="123"/>
      <c r="ET647" s="19"/>
      <c r="EU647" s="139"/>
      <c r="EV647" s="139"/>
      <c r="EW647" s="123"/>
      <c r="EX647" s="123"/>
      <c r="EY647" s="123"/>
      <c r="EZ647" s="123"/>
      <c r="FA647" s="123"/>
      <c r="FB647" s="123"/>
      <c r="FC647" s="6"/>
      <c r="FD647" s="123"/>
      <c r="FE647" s="6"/>
      <c r="FF647" s="123"/>
      <c r="FG647" s="6"/>
      <c r="FH647" s="6"/>
      <c r="FI647" s="6"/>
      <c r="FJ647" s="6"/>
      <c r="FK647" s="123"/>
      <c r="FL647" s="6"/>
      <c r="FM647" s="6"/>
      <c r="FN647" s="6"/>
      <c r="FO647" s="138"/>
      <c r="FP647" s="138"/>
      <c r="FQ647" s="123"/>
      <c r="FR647" s="6"/>
      <c r="FS647" s="6"/>
      <c r="FT647" s="139"/>
      <c r="FU647" s="139"/>
      <c r="FV647" s="76"/>
      <c r="FW647" s="123"/>
      <c r="FX647" s="6"/>
    </row>
    <row r="648" spans="35:180">
      <c r="AI648" s="125"/>
      <c r="AJ648" s="16"/>
      <c r="AM648" s="16"/>
      <c r="AN648" s="16"/>
      <c r="AO648" s="125"/>
      <c r="AP648" s="16"/>
      <c r="AQ648" s="125"/>
      <c r="AZ648" s="125"/>
      <c r="BA648" s="142"/>
      <c r="BB648" s="125"/>
      <c r="BC648" s="16"/>
      <c r="BD648" s="125"/>
      <c r="BE648" s="125"/>
      <c r="BF648" s="16"/>
      <c r="BG648" s="125"/>
      <c r="BQ648" s="125"/>
      <c r="BR648" s="16"/>
      <c r="BS648" s="123"/>
      <c r="BT648" s="19"/>
      <c r="BU648" s="139"/>
      <c r="BV648" s="139"/>
      <c r="BW648" s="123"/>
      <c r="BX648" s="123"/>
      <c r="BY648" s="123"/>
      <c r="BZ648" s="123"/>
      <c r="CA648" s="123"/>
      <c r="CB648" s="123"/>
      <c r="CC648" s="6"/>
      <c r="CD648" s="123"/>
      <c r="CE648" s="6"/>
      <c r="CF648" s="123"/>
      <c r="CG648" s="6"/>
      <c r="CH648" s="6"/>
      <c r="CI648" s="6"/>
      <c r="CJ648" s="6"/>
      <c r="CK648" s="123"/>
      <c r="CL648" s="6"/>
      <c r="CM648" s="6"/>
      <c r="CN648" s="6"/>
      <c r="CO648" s="138"/>
      <c r="CP648" s="138"/>
      <c r="CQ648" s="123"/>
      <c r="CR648" s="6"/>
      <c r="CS648" s="6"/>
      <c r="CT648" s="139"/>
      <c r="CU648" s="139"/>
      <c r="CV648" s="76"/>
      <c r="CW648" s="123"/>
      <c r="CX648" s="6"/>
      <c r="DI648" s="125"/>
      <c r="DJ648" s="16"/>
      <c r="DM648" s="16"/>
      <c r="DN648" s="16"/>
      <c r="DO648" s="125"/>
      <c r="DP648" s="16"/>
      <c r="DQ648" s="125"/>
      <c r="DZ648" s="125"/>
      <c r="EA648" s="142"/>
      <c r="EB648" s="125"/>
      <c r="EC648" s="16"/>
      <c r="ED648" s="125"/>
      <c r="EE648" s="125"/>
      <c r="EF648" s="16"/>
      <c r="EG648" s="125"/>
      <c r="EQ648" s="125"/>
      <c r="ER648" s="16"/>
      <c r="ES648" s="123"/>
      <c r="ET648" s="19"/>
      <c r="EU648" s="139"/>
      <c r="EV648" s="139"/>
      <c r="EW648" s="123"/>
      <c r="EX648" s="123"/>
      <c r="EY648" s="123"/>
      <c r="EZ648" s="123"/>
      <c r="FA648" s="123"/>
      <c r="FB648" s="123"/>
      <c r="FC648" s="6"/>
      <c r="FD648" s="123"/>
      <c r="FE648" s="6"/>
      <c r="FF648" s="123"/>
      <c r="FG648" s="6"/>
      <c r="FH648" s="6"/>
      <c r="FI648" s="6"/>
      <c r="FJ648" s="6"/>
      <c r="FK648" s="123"/>
      <c r="FL648" s="6"/>
      <c r="FM648" s="6"/>
      <c r="FN648" s="6"/>
      <c r="FO648" s="138"/>
      <c r="FP648" s="138"/>
      <c r="FQ648" s="123"/>
      <c r="FR648" s="6"/>
      <c r="FS648" s="6"/>
      <c r="FT648" s="139"/>
      <c r="FU648" s="139"/>
      <c r="FV648" s="76"/>
      <c r="FW648" s="123"/>
      <c r="FX648" s="6"/>
    </row>
    <row r="649" spans="35:180">
      <c r="AI649" s="125"/>
      <c r="AJ649" s="16"/>
      <c r="AM649" s="16"/>
      <c r="AN649" s="16"/>
      <c r="AO649" s="125"/>
      <c r="AP649" s="16"/>
      <c r="AQ649" s="125"/>
      <c r="AZ649" s="125"/>
      <c r="BA649" s="142"/>
      <c r="BB649" s="125"/>
      <c r="BC649" s="16"/>
      <c r="BD649" s="125"/>
      <c r="BE649" s="125"/>
      <c r="BF649" s="16"/>
      <c r="BG649" s="125"/>
      <c r="BQ649" s="125"/>
      <c r="BR649" s="16"/>
      <c r="BS649" s="123"/>
      <c r="BT649" s="19"/>
      <c r="BU649" s="139"/>
      <c r="BV649" s="139"/>
      <c r="BW649" s="123"/>
      <c r="BX649" s="123"/>
      <c r="BY649" s="123"/>
      <c r="BZ649" s="123"/>
      <c r="CA649" s="123"/>
      <c r="CB649" s="123"/>
      <c r="CC649" s="6"/>
      <c r="CD649" s="123"/>
      <c r="CE649" s="6"/>
      <c r="CF649" s="123"/>
      <c r="CG649" s="6"/>
      <c r="CH649" s="6"/>
      <c r="CI649" s="6"/>
      <c r="CJ649" s="6"/>
      <c r="CK649" s="123"/>
      <c r="CL649" s="6"/>
      <c r="CM649" s="6"/>
      <c r="CN649" s="6"/>
      <c r="CO649" s="138"/>
      <c r="CP649" s="138"/>
      <c r="CQ649" s="123"/>
      <c r="CR649" s="6"/>
      <c r="CS649" s="6"/>
      <c r="CT649" s="139"/>
      <c r="CU649" s="139"/>
      <c r="CV649" s="76"/>
      <c r="CW649" s="123"/>
      <c r="CX649" s="6"/>
      <c r="DI649" s="125"/>
      <c r="DJ649" s="16"/>
      <c r="DM649" s="16"/>
      <c r="DN649" s="16"/>
      <c r="DO649" s="125"/>
      <c r="DP649" s="16"/>
      <c r="DQ649" s="125"/>
      <c r="DZ649" s="125"/>
      <c r="EA649" s="142"/>
      <c r="EB649" s="125"/>
      <c r="EC649" s="16"/>
      <c r="ED649" s="125"/>
      <c r="EE649" s="125"/>
      <c r="EF649" s="16"/>
      <c r="EG649" s="125"/>
      <c r="EQ649" s="125"/>
      <c r="ER649" s="16"/>
      <c r="ES649" s="123"/>
      <c r="ET649" s="19"/>
      <c r="EU649" s="139"/>
      <c r="EV649" s="139"/>
      <c r="EW649" s="123"/>
      <c r="EX649" s="123"/>
      <c r="EY649" s="123"/>
      <c r="EZ649" s="123"/>
      <c r="FA649" s="123"/>
      <c r="FB649" s="123"/>
      <c r="FC649" s="6"/>
      <c r="FD649" s="123"/>
      <c r="FE649" s="6"/>
      <c r="FF649" s="123"/>
      <c r="FG649" s="6"/>
      <c r="FH649" s="6"/>
      <c r="FI649" s="6"/>
      <c r="FJ649" s="6"/>
      <c r="FK649" s="123"/>
      <c r="FL649" s="6"/>
      <c r="FM649" s="6"/>
      <c r="FN649" s="6"/>
      <c r="FO649" s="138"/>
      <c r="FP649" s="138"/>
      <c r="FQ649" s="123"/>
      <c r="FR649" s="6"/>
      <c r="FS649" s="6"/>
      <c r="FT649" s="139"/>
      <c r="FU649" s="139"/>
      <c r="FV649" s="76"/>
      <c r="FW649" s="123"/>
      <c r="FX649" s="6"/>
    </row>
    <row r="650" spans="35:180">
      <c r="AI650" s="125"/>
      <c r="AJ650" s="16"/>
      <c r="AM650" s="16"/>
      <c r="AN650" s="16"/>
      <c r="AO650" s="125"/>
      <c r="AP650" s="16"/>
      <c r="AQ650" s="125"/>
      <c r="AZ650" s="125"/>
      <c r="BA650" s="142"/>
      <c r="BB650" s="125"/>
      <c r="BC650" s="16"/>
      <c r="BD650" s="125"/>
      <c r="BE650" s="125"/>
      <c r="BF650" s="16"/>
      <c r="BG650" s="125"/>
      <c r="BQ650" s="125"/>
      <c r="BR650" s="16"/>
      <c r="BS650" s="123"/>
      <c r="BT650" s="19"/>
      <c r="BU650" s="139"/>
      <c r="BV650" s="139"/>
      <c r="BW650" s="123"/>
      <c r="BX650" s="123"/>
      <c r="BY650" s="123"/>
      <c r="BZ650" s="123"/>
      <c r="CA650" s="123"/>
      <c r="CB650" s="123"/>
      <c r="CC650" s="6"/>
      <c r="CD650" s="123"/>
      <c r="CE650" s="6"/>
      <c r="CF650" s="123"/>
      <c r="CG650" s="6"/>
      <c r="CH650" s="6"/>
      <c r="CI650" s="6"/>
      <c r="CJ650" s="6"/>
      <c r="CK650" s="123"/>
      <c r="CL650" s="6"/>
      <c r="CM650" s="6"/>
      <c r="CN650" s="6"/>
      <c r="CO650" s="138"/>
      <c r="CP650" s="138"/>
      <c r="CQ650" s="123"/>
      <c r="CR650" s="6"/>
      <c r="CS650" s="6"/>
      <c r="CT650" s="139"/>
      <c r="CU650" s="139"/>
      <c r="CV650" s="76"/>
      <c r="CW650" s="123"/>
      <c r="CX650" s="6"/>
      <c r="DI650" s="125"/>
      <c r="DJ650" s="16"/>
      <c r="DM650" s="16"/>
      <c r="DN650" s="16"/>
      <c r="DO650" s="125"/>
      <c r="DP650" s="16"/>
      <c r="DQ650" s="125"/>
      <c r="DZ650" s="125"/>
      <c r="EA650" s="142"/>
      <c r="EB650" s="125"/>
      <c r="EC650" s="16"/>
      <c r="ED650" s="125"/>
      <c r="EE650" s="125"/>
      <c r="EF650" s="16"/>
      <c r="EG650" s="125"/>
      <c r="EQ650" s="125"/>
      <c r="ER650" s="16"/>
      <c r="ES650" s="123"/>
      <c r="ET650" s="19"/>
      <c r="EU650" s="139"/>
      <c r="EV650" s="139"/>
      <c r="EW650" s="123"/>
      <c r="EX650" s="123"/>
      <c r="EY650" s="123"/>
      <c r="EZ650" s="123"/>
      <c r="FA650" s="123"/>
      <c r="FB650" s="123"/>
      <c r="FC650" s="6"/>
      <c r="FD650" s="123"/>
      <c r="FE650" s="6"/>
      <c r="FF650" s="123"/>
      <c r="FG650" s="6"/>
      <c r="FH650" s="6"/>
      <c r="FI650" s="6"/>
      <c r="FJ650" s="6"/>
      <c r="FK650" s="123"/>
      <c r="FL650" s="6"/>
      <c r="FM650" s="6"/>
      <c r="FN650" s="6"/>
      <c r="FO650" s="138"/>
      <c r="FP650" s="138"/>
      <c r="FQ650" s="123"/>
      <c r="FR650" s="6"/>
      <c r="FS650" s="6"/>
      <c r="FT650" s="139"/>
      <c r="FU650" s="139"/>
      <c r="FV650" s="76"/>
      <c r="FW650" s="123"/>
      <c r="FX650" s="6"/>
    </row>
    <row r="651" spans="35:180">
      <c r="AI651" s="125"/>
      <c r="AJ651" s="16"/>
      <c r="AM651" s="16"/>
      <c r="AN651" s="16"/>
      <c r="AO651" s="125"/>
      <c r="AP651" s="16"/>
      <c r="AQ651" s="125"/>
      <c r="AZ651" s="125"/>
      <c r="BA651" s="142"/>
      <c r="BB651" s="125"/>
      <c r="BC651" s="16"/>
      <c r="BD651" s="125"/>
      <c r="BE651" s="125"/>
      <c r="BF651" s="16"/>
      <c r="BG651" s="125"/>
      <c r="BQ651" s="125"/>
      <c r="BR651" s="16"/>
      <c r="BS651" s="123"/>
      <c r="BT651" s="19"/>
      <c r="BU651" s="139"/>
      <c r="BV651" s="139"/>
      <c r="BW651" s="123"/>
      <c r="BX651" s="123"/>
      <c r="BY651" s="123"/>
      <c r="BZ651" s="123"/>
      <c r="CA651" s="123"/>
      <c r="CB651" s="123"/>
      <c r="CC651" s="6"/>
      <c r="CD651" s="123"/>
      <c r="CE651" s="6"/>
      <c r="CF651" s="123"/>
      <c r="CG651" s="6"/>
      <c r="CH651" s="6"/>
      <c r="CI651" s="6"/>
      <c r="CJ651" s="6"/>
      <c r="CK651" s="123"/>
      <c r="CL651" s="6"/>
      <c r="CM651" s="6"/>
      <c r="CN651" s="6"/>
      <c r="CO651" s="138"/>
      <c r="CP651" s="138"/>
      <c r="CQ651" s="123"/>
      <c r="CR651" s="6"/>
      <c r="CS651" s="6"/>
      <c r="CT651" s="139"/>
      <c r="CU651" s="139"/>
      <c r="CV651" s="76"/>
      <c r="CW651" s="123"/>
      <c r="CX651" s="6"/>
      <c r="DI651" s="125"/>
      <c r="DJ651" s="16"/>
      <c r="DM651" s="16"/>
      <c r="DN651" s="16"/>
      <c r="DO651" s="125"/>
      <c r="DP651" s="16"/>
      <c r="DQ651" s="125"/>
      <c r="DZ651" s="125"/>
      <c r="EA651" s="142"/>
      <c r="EB651" s="125"/>
      <c r="EC651" s="16"/>
      <c r="ED651" s="125"/>
      <c r="EE651" s="125"/>
      <c r="EF651" s="16"/>
      <c r="EG651" s="125"/>
      <c r="EQ651" s="125"/>
      <c r="ER651" s="16"/>
      <c r="ES651" s="123"/>
      <c r="ET651" s="19"/>
      <c r="EU651" s="139"/>
      <c r="EV651" s="139"/>
      <c r="EW651" s="123"/>
      <c r="EX651" s="123"/>
      <c r="EY651" s="123"/>
      <c r="EZ651" s="123"/>
      <c r="FA651" s="123"/>
      <c r="FB651" s="123"/>
      <c r="FC651" s="6"/>
      <c r="FD651" s="123"/>
      <c r="FE651" s="6"/>
      <c r="FF651" s="123"/>
      <c r="FG651" s="6"/>
      <c r="FH651" s="6"/>
      <c r="FI651" s="6"/>
      <c r="FJ651" s="6"/>
      <c r="FK651" s="123"/>
      <c r="FL651" s="6"/>
      <c r="FM651" s="6"/>
      <c r="FN651" s="6"/>
      <c r="FO651" s="138"/>
      <c r="FP651" s="138"/>
      <c r="FQ651" s="123"/>
      <c r="FR651" s="6"/>
      <c r="FS651" s="6"/>
      <c r="FT651" s="139"/>
      <c r="FU651" s="139"/>
      <c r="FV651" s="76"/>
      <c r="FW651" s="123"/>
      <c r="FX651" s="6"/>
    </row>
    <row r="652" spans="35:180">
      <c r="AI652" s="125"/>
      <c r="AJ652" s="16"/>
      <c r="AM652" s="16"/>
      <c r="AN652" s="16"/>
      <c r="AO652" s="125"/>
      <c r="AP652" s="16"/>
      <c r="AQ652" s="125"/>
      <c r="AZ652" s="125"/>
      <c r="BA652" s="142"/>
      <c r="BB652" s="125"/>
      <c r="BC652" s="16"/>
      <c r="BD652" s="125"/>
      <c r="BE652" s="125"/>
      <c r="BF652" s="16"/>
      <c r="BG652" s="125"/>
      <c r="BQ652" s="125"/>
      <c r="BR652" s="16"/>
      <c r="BS652" s="123"/>
      <c r="BT652" s="19"/>
      <c r="BU652" s="139"/>
      <c r="BV652" s="139"/>
      <c r="BW652" s="123"/>
      <c r="BX652" s="123"/>
      <c r="BY652" s="123"/>
      <c r="BZ652" s="123"/>
      <c r="CA652" s="123"/>
      <c r="CB652" s="123"/>
      <c r="CC652" s="6"/>
      <c r="CD652" s="123"/>
      <c r="CE652" s="6"/>
      <c r="CF652" s="123"/>
      <c r="CG652" s="6"/>
      <c r="CH652" s="6"/>
      <c r="CI652" s="6"/>
      <c r="CJ652" s="6"/>
      <c r="CK652" s="123"/>
      <c r="CL652" s="6"/>
      <c r="CM652" s="6"/>
      <c r="CN652" s="6"/>
      <c r="CO652" s="138"/>
      <c r="CP652" s="138"/>
      <c r="CQ652" s="123"/>
      <c r="CR652" s="6"/>
      <c r="CS652" s="6"/>
      <c r="CT652" s="139"/>
      <c r="CU652" s="139"/>
      <c r="CV652" s="76"/>
      <c r="CW652" s="123"/>
      <c r="CX652" s="6"/>
      <c r="DI652" s="125"/>
      <c r="DJ652" s="16"/>
      <c r="DM652" s="16"/>
      <c r="DN652" s="16"/>
      <c r="DO652" s="125"/>
      <c r="DP652" s="16"/>
      <c r="DQ652" s="125"/>
      <c r="DZ652" s="125"/>
      <c r="EA652" s="142"/>
      <c r="EB652" s="125"/>
      <c r="EC652" s="16"/>
      <c r="ED652" s="125"/>
      <c r="EE652" s="125"/>
      <c r="EF652" s="16"/>
      <c r="EG652" s="125"/>
      <c r="EQ652" s="125"/>
      <c r="ER652" s="16"/>
      <c r="ES652" s="123"/>
      <c r="ET652" s="19"/>
      <c r="EU652" s="139"/>
      <c r="EV652" s="139"/>
      <c r="EW652" s="123"/>
      <c r="EX652" s="123"/>
      <c r="EY652" s="123"/>
      <c r="EZ652" s="123"/>
      <c r="FA652" s="123"/>
      <c r="FB652" s="123"/>
      <c r="FC652" s="6"/>
      <c r="FD652" s="123"/>
      <c r="FE652" s="6"/>
      <c r="FF652" s="123"/>
      <c r="FG652" s="6"/>
      <c r="FH652" s="6"/>
      <c r="FI652" s="6"/>
      <c r="FJ652" s="6"/>
      <c r="FK652" s="123"/>
      <c r="FL652" s="6"/>
      <c r="FM652" s="6"/>
      <c r="FN652" s="6"/>
      <c r="FO652" s="138"/>
      <c r="FP652" s="138"/>
      <c r="FQ652" s="123"/>
      <c r="FR652" s="6"/>
      <c r="FS652" s="6"/>
      <c r="FT652" s="139"/>
      <c r="FU652" s="139"/>
      <c r="FV652" s="76"/>
      <c r="FW652" s="123"/>
      <c r="FX652" s="6"/>
    </row>
    <row r="653" spans="35:180">
      <c r="AI653" s="125"/>
      <c r="AJ653" s="16"/>
      <c r="AM653" s="16"/>
      <c r="AN653" s="16"/>
      <c r="AO653" s="125"/>
      <c r="AP653" s="16"/>
      <c r="AQ653" s="125"/>
      <c r="AZ653" s="125"/>
      <c r="BA653" s="142"/>
      <c r="BB653" s="125"/>
      <c r="BC653" s="16"/>
      <c r="BD653" s="125"/>
      <c r="BE653" s="125"/>
      <c r="BF653" s="16"/>
      <c r="BG653" s="125"/>
      <c r="BQ653" s="125"/>
      <c r="BR653" s="16"/>
      <c r="BS653" s="123"/>
      <c r="BT653" s="19"/>
      <c r="BU653" s="139"/>
      <c r="BV653" s="139"/>
      <c r="BW653" s="123"/>
      <c r="BX653" s="123"/>
      <c r="BY653" s="123"/>
      <c r="BZ653" s="123"/>
      <c r="CA653" s="123"/>
      <c r="CB653" s="123"/>
      <c r="CC653" s="6"/>
      <c r="CD653" s="123"/>
      <c r="CE653" s="6"/>
      <c r="CF653" s="123"/>
      <c r="CG653" s="6"/>
      <c r="CH653" s="6"/>
      <c r="CI653" s="6"/>
      <c r="CJ653" s="6"/>
      <c r="CK653" s="123"/>
      <c r="CL653" s="6"/>
      <c r="CM653" s="6"/>
      <c r="CN653" s="6"/>
      <c r="CO653" s="138"/>
      <c r="CP653" s="138"/>
      <c r="CQ653" s="123"/>
      <c r="CR653" s="6"/>
      <c r="CS653" s="6"/>
      <c r="CT653" s="139"/>
      <c r="CU653" s="139"/>
      <c r="CV653" s="76"/>
      <c r="CW653" s="123"/>
      <c r="CX653" s="6"/>
      <c r="DI653" s="125"/>
      <c r="DJ653" s="16"/>
      <c r="DM653" s="16"/>
      <c r="DN653" s="16"/>
      <c r="DO653" s="125"/>
      <c r="DP653" s="16"/>
      <c r="DQ653" s="125"/>
      <c r="DZ653" s="125"/>
      <c r="EA653" s="142"/>
      <c r="EB653" s="125"/>
      <c r="EC653" s="16"/>
      <c r="ED653" s="125"/>
      <c r="EE653" s="125"/>
      <c r="EF653" s="16"/>
      <c r="EG653" s="125"/>
      <c r="EQ653" s="125"/>
      <c r="ER653" s="16"/>
      <c r="ES653" s="123"/>
      <c r="ET653" s="19"/>
      <c r="EU653" s="139"/>
      <c r="EV653" s="139"/>
      <c r="EW653" s="123"/>
      <c r="EX653" s="123"/>
      <c r="EY653" s="123"/>
      <c r="EZ653" s="123"/>
      <c r="FA653" s="123"/>
      <c r="FB653" s="123"/>
      <c r="FC653" s="6"/>
      <c r="FD653" s="123"/>
      <c r="FE653" s="6"/>
      <c r="FF653" s="123"/>
      <c r="FG653" s="6"/>
      <c r="FH653" s="6"/>
      <c r="FI653" s="6"/>
      <c r="FJ653" s="6"/>
      <c r="FK653" s="123"/>
      <c r="FL653" s="6"/>
      <c r="FM653" s="6"/>
      <c r="FN653" s="6"/>
      <c r="FO653" s="138"/>
      <c r="FP653" s="138"/>
      <c r="FQ653" s="123"/>
      <c r="FR653" s="6"/>
      <c r="FS653" s="6"/>
      <c r="FT653" s="139"/>
      <c r="FU653" s="139"/>
      <c r="FV653" s="76"/>
      <c r="FW653" s="123"/>
      <c r="FX653" s="6"/>
    </row>
    <row r="654" spans="35:180">
      <c r="AI654" s="125"/>
      <c r="AJ654" s="16"/>
      <c r="AM654" s="16"/>
      <c r="AN654" s="16"/>
      <c r="AO654" s="125"/>
      <c r="AP654" s="16"/>
      <c r="AQ654" s="125"/>
      <c r="AZ654" s="125"/>
      <c r="BA654" s="142"/>
      <c r="BB654" s="125"/>
      <c r="BC654" s="16"/>
      <c r="BD654" s="125"/>
      <c r="BE654" s="125"/>
      <c r="BF654" s="16"/>
      <c r="BG654" s="125"/>
      <c r="BQ654" s="125"/>
      <c r="BR654" s="16"/>
      <c r="BS654" s="123"/>
      <c r="BT654" s="19"/>
      <c r="BU654" s="139"/>
      <c r="BV654" s="139"/>
      <c r="BW654" s="123"/>
      <c r="BX654" s="123"/>
      <c r="BY654" s="123"/>
      <c r="BZ654" s="123"/>
      <c r="CA654" s="123"/>
      <c r="CB654" s="123"/>
      <c r="CC654" s="6"/>
      <c r="CD654" s="123"/>
      <c r="CE654" s="6"/>
      <c r="CF654" s="123"/>
      <c r="CG654" s="6"/>
      <c r="CH654" s="6"/>
      <c r="CI654" s="6"/>
      <c r="CJ654" s="6"/>
      <c r="CK654" s="123"/>
      <c r="CL654" s="6"/>
      <c r="CM654" s="6"/>
      <c r="CN654" s="6"/>
      <c r="CO654" s="138"/>
      <c r="CP654" s="138"/>
      <c r="CQ654" s="123"/>
      <c r="CR654" s="6"/>
      <c r="CS654" s="6"/>
      <c r="CT654" s="139"/>
      <c r="CU654" s="139"/>
      <c r="CV654" s="76"/>
      <c r="CW654" s="123"/>
      <c r="CX654" s="6"/>
      <c r="DI654" s="125"/>
      <c r="DJ654" s="16"/>
      <c r="DM654" s="16"/>
      <c r="DN654" s="16"/>
      <c r="DO654" s="125"/>
      <c r="DP654" s="16"/>
      <c r="DQ654" s="125"/>
      <c r="DZ654" s="125"/>
      <c r="EA654" s="142"/>
      <c r="EB654" s="125"/>
      <c r="EC654" s="16"/>
      <c r="ED654" s="125"/>
      <c r="EE654" s="125"/>
      <c r="EF654" s="16"/>
      <c r="EG654" s="125"/>
      <c r="EQ654" s="125"/>
      <c r="ER654" s="16"/>
      <c r="ES654" s="123"/>
      <c r="ET654" s="19"/>
      <c r="EU654" s="139"/>
      <c r="EV654" s="139"/>
      <c r="EW654" s="123"/>
      <c r="EX654" s="123"/>
      <c r="EY654" s="123"/>
      <c r="EZ654" s="123"/>
      <c r="FA654" s="123"/>
      <c r="FB654" s="123"/>
      <c r="FC654" s="6"/>
      <c r="FD654" s="123"/>
      <c r="FE654" s="6"/>
      <c r="FF654" s="123"/>
      <c r="FG654" s="6"/>
      <c r="FH654" s="6"/>
      <c r="FI654" s="6"/>
      <c r="FJ654" s="6"/>
      <c r="FK654" s="123"/>
      <c r="FL654" s="6"/>
      <c r="FM654" s="6"/>
      <c r="FN654" s="6"/>
      <c r="FO654" s="138"/>
      <c r="FP654" s="138"/>
      <c r="FQ654" s="123"/>
      <c r="FR654" s="6"/>
      <c r="FS654" s="6"/>
      <c r="FT654" s="139"/>
      <c r="FU654" s="139"/>
      <c r="FV654" s="76"/>
      <c r="FW654" s="123"/>
      <c r="FX654" s="6"/>
    </row>
    <row r="655" spans="35:180">
      <c r="AI655" s="125"/>
      <c r="AJ655" s="16"/>
      <c r="AM655" s="16"/>
      <c r="AN655" s="16"/>
      <c r="AO655" s="125"/>
      <c r="AP655" s="16"/>
      <c r="AQ655" s="125"/>
      <c r="AZ655" s="125"/>
      <c r="BA655" s="142"/>
      <c r="BB655" s="125"/>
      <c r="BC655" s="16"/>
      <c r="BD655" s="125"/>
      <c r="BE655" s="125"/>
      <c r="BF655" s="16"/>
      <c r="BG655" s="125"/>
      <c r="BQ655" s="125"/>
      <c r="BR655" s="16"/>
      <c r="BS655" s="123"/>
      <c r="BT655" s="19"/>
      <c r="BU655" s="139"/>
      <c r="BV655" s="139"/>
      <c r="BW655" s="123"/>
      <c r="BX655" s="123"/>
      <c r="BY655" s="123"/>
      <c r="BZ655" s="123"/>
      <c r="CA655" s="123"/>
      <c r="CB655" s="123"/>
      <c r="CC655" s="6"/>
      <c r="CD655" s="123"/>
      <c r="CE655" s="6"/>
      <c r="CF655" s="123"/>
      <c r="CG655" s="6"/>
      <c r="CH655" s="6"/>
      <c r="CI655" s="6"/>
      <c r="CJ655" s="6"/>
      <c r="CK655" s="123"/>
      <c r="CL655" s="6"/>
      <c r="CM655" s="6"/>
      <c r="CN655" s="6"/>
      <c r="CO655" s="138"/>
      <c r="CP655" s="138"/>
      <c r="CQ655" s="123"/>
      <c r="CR655" s="6"/>
      <c r="CS655" s="6"/>
      <c r="CT655" s="139"/>
      <c r="CU655" s="139"/>
      <c r="CV655" s="76"/>
      <c r="CW655" s="123"/>
      <c r="CX655" s="6"/>
      <c r="DI655" s="125"/>
      <c r="DJ655" s="16"/>
      <c r="DM655" s="16"/>
      <c r="DN655" s="16"/>
      <c r="DO655" s="125"/>
      <c r="DP655" s="16"/>
      <c r="DQ655" s="125"/>
      <c r="DZ655" s="125"/>
      <c r="EA655" s="142"/>
      <c r="EB655" s="125"/>
      <c r="EC655" s="16"/>
      <c r="ED655" s="125"/>
      <c r="EE655" s="125"/>
      <c r="EF655" s="16"/>
      <c r="EG655" s="125"/>
      <c r="EQ655" s="125"/>
      <c r="ER655" s="16"/>
      <c r="ES655" s="123"/>
      <c r="ET655" s="19"/>
      <c r="EU655" s="139"/>
      <c r="EV655" s="139"/>
      <c r="EW655" s="123"/>
      <c r="EX655" s="123"/>
      <c r="EY655" s="123"/>
      <c r="EZ655" s="123"/>
      <c r="FA655" s="123"/>
      <c r="FB655" s="123"/>
      <c r="FC655" s="6"/>
      <c r="FD655" s="123"/>
      <c r="FE655" s="6"/>
      <c r="FF655" s="123"/>
      <c r="FG655" s="6"/>
      <c r="FH655" s="6"/>
      <c r="FI655" s="6"/>
      <c r="FJ655" s="6"/>
      <c r="FK655" s="123"/>
      <c r="FL655" s="6"/>
      <c r="FM655" s="6"/>
      <c r="FN655" s="6"/>
      <c r="FO655" s="138"/>
      <c r="FP655" s="138"/>
      <c r="FQ655" s="123"/>
      <c r="FR655" s="6"/>
      <c r="FS655" s="6"/>
      <c r="FT655" s="139"/>
      <c r="FU655" s="139"/>
      <c r="FV655" s="76"/>
      <c r="FW655" s="123"/>
      <c r="FX655" s="6"/>
    </row>
    <row r="656" spans="35:180">
      <c r="AI656" s="125"/>
      <c r="AJ656" s="16"/>
      <c r="AM656" s="16"/>
      <c r="AN656" s="16"/>
      <c r="AO656" s="125"/>
      <c r="AP656" s="16"/>
      <c r="AQ656" s="125"/>
      <c r="AZ656" s="125"/>
      <c r="BA656" s="142"/>
      <c r="BB656" s="125"/>
      <c r="BC656" s="16"/>
      <c r="BD656" s="125"/>
      <c r="BE656" s="125"/>
      <c r="BF656" s="16"/>
      <c r="BG656" s="125"/>
      <c r="BQ656" s="125"/>
      <c r="BR656" s="16"/>
      <c r="BS656" s="123"/>
      <c r="BT656" s="19"/>
      <c r="BU656" s="139"/>
      <c r="BV656" s="139"/>
      <c r="BW656" s="123"/>
      <c r="BX656" s="123"/>
      <c r="BY656" s="123"/>
      <c r="BZ656" s="123"/>
      <c r="CA656" s="123"/>
      <c r="CB656" s="123"/>
      <c r="CC656" s="6"/>
      <c r="CD656" s="123"/>
      <c r="CE656" s="6"/>
      <c r="CF656" s="123"/>
      <c r="CG656" s="6"/>
      <c r="CH656" s="6"/>
      <c r="CI656" s="6"/>
      <c r="CJ656" s="6"/>
      <c r="CK656" s="123"/>
      <c r="CL656" s="6"/>
      <c r="CM656" s="6"/>
      <c r="CN656" s="6"/>
      <c r="CO656" s="138"/>
      <c r="CP656" s="138"/>
      <c r="CQ656" s="123"/>
      <c r="CR656" s="6"/>
      <c r="CS656" s="6"/>
      <c r="CT656" s="139"/>
      <c r="CU656" s="139"/>
      <c r="CV656" s="76"/>
      <c r="CW656" s="123"/>
      <c r="CX656" s="6"/>
      <c r="DI656" s="125"/>
      <c r="DJ656" s="16"/>
      <c r="DM656" s="16"/>
      <c r="DN656" s="16"/>
      <c r="DO656" s="125"/>
      <c r="DP656" s="16"/>
      <c r="DQ656" s="125"/>
      <c r="DZ656" s="125"/>
      <c r="EA656" s="142"/>
      <c r="EB656" s="125"/>
      <c r="EC656" s="16"/>
      <c r="ED656" s="125"/>
      <c r="EE656" s="125"/>
      <c r="EF656" s="16"/>
      <c r="EG656" s="125"/>
      <c r="EQ656" s="125"/>
      <c r="ER656" s="16"/>
      <c r="ES656" s="123"/>
      <c r="ET656" s="19"/>
      <c r="EU656" s="139"/>
      <c r="EV656" s="139"/>
      <c r="EW656" s="123"/>
      <c r="EX656" s="123"/>
      <c r="EY656" s="123"/>
      <c r="EZ656" s="123"/>
      <c r="FA656" s="123"/>
      <c r="FB656" s="123"/>
      <c r="FC656" s="6"/>
      <c r="FD656" s="123"/>
      <c r="FE656" s="6"/>
      <c r="FF656" s="123"/>
      <c r="FG656" s="6"/>
      <c r="FH656" s="6"/>
      <c r="FI656" s="6"/>
      <c r="FJ656" s="6"/>
      <c r="FK656" s="123"/>
      <c r="FL656" s="6"/>
      <c r="FM656" s="6"/>
      <c r="FN656" s="6"/>
      <c r="FO656" s="138"/>
      <c r="FP656" s="138"/>
      <c r="FQ656" s="123"/>
      <c r="FR656" s="6"/>
      <c r="FS656" s="6"/>
      <c r="FT656" s="139"/>
      <c r="FU656" s="139"/>
      <c r="FV656" s="76"/>
      <c r="FW656" s="123"/>
      <c r="FX656" s="6"/>
    </row>
    <row r="657" spans="35:180">
      <c r="AI657" s="125"/>
      <c r="AJ657" s="16"/>
      <c r="AM657" s="16"/>
      <c r="AN657" s="16"/>
      <c r="AO657" s="125"/>
      <c r="AP657" s="16"/>
      <c r="AQ657" s="125"/>
      <c r="AZ657" s="125"/>
      <c r="BA657" s="142"/>
      <c r="BB657" s="125"/>
      <c r="BC657" s="16"/>
      <c r="BD657" s="125"/>
      <c r="BE657" s="125"/>
      <c r="BF657" s="16"/>
      <c r="BG657" s="125"/>
      <c r="BQ657" s="125"/>
      <c r="BR657" s="16"/>
      <c r="BS657" s="123"/>
      <c r="BT657" s="19"/>
      <c r="BU657" s="139"/>
      <c r="BV657" s="139"/>
      <c r="BW657" s="123"/>
      <c r="BX657" s="123"/>
      <c r="BY657" s="123"/>
      <c r="BZ657" s="123"/>
      <c r="CA657" s="123"/>
      <c r="CB657" s="123"/>
      <c r="CC657" s="6"/>
      <c r="CD657" s="123"/>
      <c r="CE657" s="6"/>
      <c r="CF657" s="123"/>
      <c r="CG657" s="6"/>
      <c r="CH657" s="6"/>
      <c r="CI657" s="6"/>
      <c r="CJ657" s="6"/>
      <c r="CK657" s="123"/>
      <c r="CL657" s="6"/>
      <c r="CM657" s="6"/>
      <c r="CN657" s="6"/>
      <c r="CO657" s="138"/>
      <c r="CP657" s="138"/>
      <c r="CQ657" s="123"/>
      <c r="CR657" s="6"/>
      <c r="CS657" s="6"/>
      <c r="CT657" s="139"/>
      <c r="CU657" s="139"/>
      <c r="CV657" s="76"/>
      <c r="CW657" s="123"/>
      <c r="CX657" s="6"/>
      <c r="DI657" s="125"/>
      <c r="DJ657" s="16"/>
      <c r="DM657" s="16"/>
      <c r="DN657" s="16"/>
      <c r="DO657" s="125"/>
      <c r="DP657" s="16"/>
      <c r="DQ657" s="125"/>
      <c r="DZ657" s="125"/>
      <c r="EA657" s="142"/>
      <c r="EB657" s="125"/>
      <c r="EC657" s="16"/>
      <c r="ED657" s="125"/>
      <c r="EE657" s="125"/>
      <c r="EF657" s="16"/>
      <c r="EG657" s="125"/>
      <c r="EQ657" s="125"/>
      <c r="ER657" s="16"/>
      <c r="ES657" s="123"/>
      <c r="ET657" s="19"/>
      <c r="EU657" s="139"/>
      <c r="EV657" s="139"/>
      <c r="EW657" s="123"/>
      <c r="EX657" s="123"/>
      <c r="EY657" s="123"/>
      <c r="EZ657" s="123"/>
      <c r="FA657" s="123"/>
      <c r="FB657" s="123"/>
      <c r="FC657" s="6"/>
      <c r="FD657" s="123"/>
      <c r="FE657" s="6"/>
      <c r="FF657" s="123"/>
      <c r="FG657" s="6"/>
      <c r="FH657" s="6"/>
      <c r="FI657" s="6"/>
      <c r="FJ657" s="6"/>
      <c r="FK657" s="123"/>
      <c r="FL657" s="6"/>
      <c r="FM657" s="6"/>
      <c r="FN657" s="6"/>
      <c r="FO657" s="138"/>
      <c r="FP657" s="138"/>
      <c r="FQ657" s="123"/>
      <c r="FR657" s="6"/>
      <c r="FS657" s="6"/>
      <c r="FT657" s="139"/>
      <c r="FU657" s="139"/>
      <c r="FV657" s="76"/>
      <c r="FW657" s="123"/>
      <c r="FX657" s="6"/>
    </row>
    <row r="658" spans="35:180">
      <c r="AI658" s="125"/>
      <c r="AJ658" s="16"/>
      <c r="AM658" s="16"/>
      <c r="AN658" s="16"/>
      <c r="AO658" s="125"/>
      <c r="AP658" s="16"/>
      <c r="AQ658" s="125"/>
      <c r="AZ658" s="125"/>
      <c r="BA658" s="142"/>
      <c r="BB658" s="125"/>
      <c r="BC658" s="16"/>
      <c r="BD658" s="125"/>
      <c r="BE658" s="125"/>
      <c r="BF658" s="16"/>
      <c r="BG658" s="125"/>
      <c r="BQ658" s="125"/>
      <c r="BR658" s="16"/>
      <c r="BS658" s="123"/>
      <c r="BT658" s="19"/>
      <c r="BU658" s="139"/>
      <c r="BV658" s="139"/>
      <c r="BW658" s="123"/>
      <c r="BX658" s="123"/>
      <c r="BY658" s="123"/>
      <c r="BZ658" s="123"/>
      <c r="CA658" s="123"/>
      <c r="CB658" s="123"/>
      <c r="CC658" s="6"/>
      <c r="CD658" s="123"/>
      <c r="CE658" s="6"/>
      <c r="CF658" s="123"/>
      <c r="CG658" s="6"/>
      <c r="CH658" s="6"/>
      <c r="CI658" s="6"/>
      <c r="CJ658" s="6"/>
      <c r="CK658" s="123"/>
      <c r="CL658" s="6"/>
      <c r="CM658" s="6"/>
      <c r="CN658" s="6"/>
      <c r="CO658" s="138"/>
      <c r="CP658" s="138"/>
      <c r="CQ658" s="123"/>
      <c r="CR658" s="6"/>
      <c r="CS658" s="6"/>
      <c r="CT658" s="139"/>
      <c r="CU658" s="139"/>
      <c r="CV658" s="76"/>
      <c r="CW658" s="123"/>
      <c r="CX658" s="6"/>
      <c r="DI658" s="125"/>
      <c r="DJ658" s="16"/>
      <c r="DM658" s="16"/>
      <c r="DN658" s="16"/>
      <c r="DO658" s="125"/>
      <c r="DP658" s="16"/>
      <c r="DQ658" s="125"/>
      <c r="DZ658" s="125"/>
      <c r="EA658" s="142"/>
      <c r="EB658" s="125"/>
      <c r="EC658" s="16"/>
      <c r="ED658" s="125"/>
      <c r="EE658" s="125"/>
      <c r="EF658" s="16"/>
      <c r="EG658" s="125"/>
      <c r="EQ658" s="125"/>
      <c r="ER658" s="16"/>
      <c r="ES658" s="123"/>
      <c r="ET658" s="19"/>
      <c r="EU658" s="139"/>
      <c r="EV658" s="139"/>
      <c r="EW658" s="123"/>
      <c r="EX658" s="123"/>
      <c r="EY658" s="123"/>
      <c r="EZ658" s="123"/>
      <c r="FA658" s="123"/>
      <c r="FB658" s="123"/>
      <c r="FC658" s="6"/>
      <c r="FD658" s="123"/>
      <c r="FE658" s="6"/>
      <c r="FF658" s="123"/>
      <c r="FG658" s="6"/>
      <c r="FH658" s="6"/>
      <c r="FI658" s="6"/>
      <c r="FJ658" s="6"/>
      <c r="FK658" s="123"/>
      <c r="FL658" s="6"/>
      <c r="FM658" s="6"/>
      <c r="FN658" s="6"/>
      <c r="FO658" s="138"/>
      <c r="FP658" s="138"/>
      <c r="FQ658" s="123"/>
      <c r="FR658" s="6"/>
      <c r="FS658" s="6"/>
      <c r="FT658" s="139"/>
      <c r="FU658" s="139"/>
      <c r="FV658" s="76"/>
      <c r="FW658" s="123"/>
      <c r="FX658" s="6"/>
    </row>
    <row r="659" spans="35:180">
      <c r="AI659" s="125"/>
      <c r="AJ659" s="16"/>
      <c r="AM659" s="16"/>
      <c r="AN659" s="16"/>
      <c r="AO659" s="125"/>
      <c r="AP659" s="16"/>
      <c r="AQ659" s="125"/>
      <c r="AZ659" s="125"/>
      <c r="BA659" s="142"/>
      <c r="BB659" s="125"/>
      <c r="BC659" s="16"/>
      <c r="BD659" s="125"/>
      <c r="BE659" s="125"/>
      <c r="BF659" s="16"/>
      <c r="BG659" s="125"/>
      <c r="BQ659" s="125"/>
      <c r="BR659" s="16"/>
      <c r="BS659" s="123"/>
      <c r="BT659" s="19"/>
      <c r="BU659" s="139"/>
      <c r="BV659" s="139"/>
      <c r="BW659" s="123"/>
      <c r="BX659" s="123"/>
      <c r="BY659" s="123"/>
      <c r="BZ659" s="123"/>
      <c r="CA659" s="123"/>
      <c r="CB659" s="123"/>
      <c r="CC659" s="6"/>
      <c r="CD659" s="123"/>
      <c r="CE659" s="6"/>
      <c r="CF659" s="123"/>
      <c r="CG659" s="6"/>
      <c r="CH659" s="6"/>
      <c r="CI659" s="6"/>
      <c r="CJ659" s="6"/>
      <c r="CK659" s="123"/>
      <c r="CL659" s="6"/>
      <c r="CM659" s="6"/>
      <c r="CN659" s="6"/>
      <c r="CO659" s="138"/>
      <c r="CP659" s="138"/>
      <c r="CQ659" s="123"/>
      <c r="CR659" s="6"/>
      <c r="CS659" s="6"/>
      <c r="CT659" s="139"/>
      <c r="CU659" s="139"/>
      <c r="CV659" s="76"/>
      <c r="CW659" s="123"/>
      <c r="CX659" s="6"/>
      <c r="DI659" s="125"/>
      <c r="DJ659" s="16"/>
      <c r="DM659" s="16"/>
      <c r="DN659" s="16"/>
      <c r="DO659" s="125"/>
      <c r="DP659" s="16"/>
      <c r="DQ659" s="125"/>
      <c r="DZ659" s="125"/>
      <c r="EA659" s="142"/>
      <c r="EB659" s="125"/>
      <c r="EC659" s="16"/>
      <c r="ED659" s="125"/>
      <c r="EE659" s="125"/>
      <c r="EF659" s="16"/>
      <c r="EG659" s="125"/>
      <c r="EQ659" s="125"/>
      <c r="ER659" s="16"/>
      <c r="ES659" s="123"/>
      <c r="ET659" s="19"/>
      <c r="EU659" s="139"/>
      <c r="EV659" s="139"/>
      <c r="EW659" s="123"/>
      <c r="EX659" s="123"/>
      <c r="EY659" s="123"/>
      <c r="EZ659" s="123"/>
      <c r="FA659" s="123"/>
      <c r="FB659" s="123"/>
      <c r="FC659" s="6"/>
      <c r="FD659" s="123"/>
      <c r="FE659" s="6"/>
      <c r="FF659" s="123"/>
      <c r="FG659" s="6"/>
      <c r="FH659" s="6"/>
      <c r="FI659" s="6"/>
      <c r="FJ659" s="6"/>
      <c r="FK659" s="123"/>
      <c r="FL659" s="6"/>
      <c r="FM659" s="6"/>
      <c r="FN659" s="6"/>
      <c r="FO659" s="138"/>
      <c r="FP659" s="138"/>
      <c r="FQ659" s="123"/>
      <c r="FR659" s="6"/>
      <c r="FS659" s="6"/>
      <c r="FT659" s="139"/>
      <c r="FU659" s="139"/>
      <c r="FV659" s="76"/>
      <c r="FW659" s="123"/>
      <c r="FX659" s="6"/>
    </row>
    <row r="660" spans="35:180">
      <c r="AI660" s="125"/>
      <c r="AJ660" s="16"/>
      <c r="AM660" s="16"/>
      <c r="AN660" s="16"/>
      <c r="AO660" s="125"/>
      <c r="AP660" s="16"/>
      <c r="AQ660" s="125"/>
      <c r="AZ660" s="125"/>
      <c r="BA660" s="142"/>
      <c r="BB660" s="125"/>
      <c r="BC660" s="16"/>
      <c r="BD660" s="125"/>
      <c r="BE660" s="125"/>
      <c r="BF660" s="16"/>
      <c r="BG660" s="125"/>
      <c r="BQ660" s="125"/>
      <c r="BR660" s="16"/>
      <c r="BS660" s="123"/>
      <c r="BT660" s="19"/>
      <c r="BU660" s="139"/>
      <c r="BV660" s="139"/>
      <c r="BW660" s="123"/>
      <c r="BX660" s="123"/>
      <c r="BY660" s="123"/>
      <c r="BZ660" s="123"/>
      <c r="CA660" s="123"/>
      <c r="CB660" s="123"/>
      <c r="CC660" s="6"/>
      <c r="CD660" s="123"/>
      <c r="CE660" s="6"/>
      <c r="CF660" s="123"/>
      <c r="CG660" s="6"/>
      <c r="CH660" s="6"/>
      <c r="CI660" s="6"/>
      <c r="CJ660" s="6"/>
      <c r="CK660" s="123"/>
      <c r="CL660" s="6"/>
      <c r="CM660" s="6"/>
      <c r="CN660" s="6"/>
      <c r="CO660" s="138"/>
      <c r="CP660" s="138"/>
      <c r="CQ660" s="123"/>
      <c r="CR660" s="6"/>
      <c r="CS660" s="6"/>
      <c r="CT660" s="139"/>
      <c r="CU660" s="139"/>
      <c r="CV660" s="76"/>
      <c r="CW660" s="123"/>
      <c r="CX660" s="6"/>
      <c r="DI660" s="125"/>
      <c r="DJ660" s="16"/>
      <c r="DM660" s="16"/>
      <c r="DN660" s="16"/>
      <c r="DO660" s="125"/>
      <c r="DP660" s="16"/>
      <c r="DQ660" s="125"/>
      <c r="DZ660" s="125"/>
      <c r="EA660" s="142"/>
      <c r="EB660" s="125"/>
      <c r="EC660" s="16"/>
      <c r="ED660" s="125"/>
      <c r="EE660" s="125"/>
      <c r="EF660" s="16"/>
      <c r="EG660" s="125"/>
      <c r="EQ660" s="125"/>
      <c r="ER660" s="16"/>
      <c r="ES660" s="123"/>
      <c r="ET660" s="19"/>
      <c r="EU660" s="139"/>
      <c r="EV660" s="139"/>
      <c r="EW660" s="123"/>
      <c r="EX660" s="123"/>
      <c r="EY660" s="123"/>
      <c r="EZ660" s="123"/>
      <c r="FA660" s="123"/>
      <c r="FB660" s="123"/>
      <c r="FC660" s="6"/>
      <c r="FD660" s="123"/>
      <c r="FE660" s="6"/>
      <c r="FF660" s="123"/>
      <c r="FG660" s="6"/>
      <c r="FH660" s="6"/>
      <c r="FI660" s="6"/>
      <c r="FJ660" s="6"/>
      <c r="FK660" s="123"/>
      <c r="FL660" s="6"/>
      <c r="FM660" s="6"/>
      <c r="FN660" s="6"/>
      <c r="FO660" s="138"/>
      <c r="FP660" s="138"/>
      <c r="FQ660" s="123"/>
      <c r="FR660" s="6"/>
      <c r="FS660" s="6"/>
      <c r="FT660" s="139"/>
      <c r="FU660" s="139"/>
      <c r="FV660" s="76"/>
      <c r="FW660" s="123"/>
      <c r="FX660" s="6"/>
    </row>
    <row r="661" spans="35:180">
      <c r="AI661" s="125"/>
      <c r="AJ661" s="16"/>
      <c r="AM661" s="16"/>
      <c r="AN661" s="16"/>
      <c r="AO661" s="125"/>
      <c r="AP661" s="16"/>
      <c r="AQ661" s="125"/>
      <c r="AZ661" s="125"/>
      <c r="BA661" s="142"/>
      <c r="BB661" s="125"/>
      <c r="BC661" s="16"/>
      <c r="BD661" s="125"/>
      <c r="BE661" s="125"/>
      <c r="BF661" s="16"/>
      <c r="BG661" s="125"/>
      <c r="BQ661" s="125"/>
      <c r="BR661" s="16"/>
      <c r="BS661" s="123"/>
      <c r="BT661" s="19"/>
      <c r="BU661" s="139"/>
      <c r="BV661" s="139"/>
      <c r="BW661" s="123"/>
      <c r="BX661" s="123"/>
      <c r="BY661" s="123"/>
      <c r="BZ661" s="123"/>
      <c r="CA661" s="123"/>
      <c r="CB661" s="123"/>
      <c r="CC661" s="6"/>
      <c r="CD661" s="123"/>
      <c r="CE661" s="6"/>
      <c r="CF661" s="123"/>
      <c r="CG661" s="6"/>
      <c r="CH661" s="6"/>
      <c r="CI661" s="6"/>
      <c r="CJ661" s="6"/>
      <c r="CK661" s="123"/>
      <c r="CL661" s="6"/>
      <c r="CM661" s="6"/>
      <c r="CN661" s="6"/>
      <c r="CO661" s="138"/>
      <c r="CP661" s="138"/>
      <c r="CQ661" s="123"/>
      <c r="CR661" s="6"/>
      <c r="CS661" s="6"/>
      <c r="CT661" s="139"/>
      <c r="CU661" s="139"/>
      <c r="CV661" s="76"/>
      <c r="CW661" s="123"/>
      <c r="CX661" s="6"/>
      <c r="DI661" s="125"/>
      <c r="DJ661" s="16"/>
      <c r="DM661" s="16"/>
      <c r="DN661" s="16"/>
      <c r="DO661" s="125"/>
      <c r="DP661" s="16"/>
      <c r="DQ661" s="125"/>
      <c r="DZ661" s="125"/>
      <c r="EA661" s="142"/>
      <c r="EB661" s="125"/>
      <c r="EC661" s="16"/>
      <c r="ED661" s="125"/>
      <c r="EE661" s="125"/>
      <c r="EF661" s="16"/>
      <c r="EG661" s="125"/>
      <c r="EQ661" s="125"/>
      <c r="ER661" s="16"/>
      <c r="ES661" s="123"/>
      <c r="ET661" s="19"/>
      <c r="EU661" s="139"/>
      <c r="EV661" s="139"/>
      <c r="EW661" s="123"/>
      <c r="EX661" s="123"/>
      <c r="EY661" s="123"/>
      <c r="EZ661" s="123"/>
      <c r="FA661" s="123"/>
      <c r="FB661" s="123"/>
      <c r="FC661" s="6"/>
      <c r="FD661" s="123"/>
      <c r="FE661" s="6"/>
      <c r="FF661" s="123"/>
      <c r="FG661" s="6"/>
      <c r="FH661" s="6"/>
      <c r="FI661" s="6"/>
      <c r="FJ661" s="6"/>
      <c r="FK661" s="123"/>
      <c r="FL661" s="6"/>
      <c r="FM661" s="6"/>
      <c r="FN661" s="6"/>
      <c r="FO661" s="138"/>
      <c r="FP661" s="138"/>
      <c r="FQ661" s="123"/>
      <c r="FR661" s="6"/>
      <c r="FS661" s="6"/>
      <c r="FT661" s="139"/>
      <c r="FU661" s="139"/>
      <c r="FV661" s="76"/>
      <c r="FW661" s="123"/>
      <c r="FX661" s="6"/>
    </row>
    <row r="662" spans="35:180">
      <c r="AI662" s="125"/>
      <c r="AJ662" s="16"/>
      <c r="AM662" s="16"/>
      <c r="AN662" s="16"/>
      <c r="AO662" s="125"/>
      <c r="AP662" s="16"/>
      <c r="AQ662" s="125"/>
      <c r="AZ662" s="125"/>
      <c r="BA662" s="142"/>
      <c r="BB662" s="125"/>
      <c r="BC662" s="16"/>
      <c r="BD662" s="125"/>
      <c r="BE662" s="125"/>
      <c r="BF662" s="16"/>
      <c r="BG662" s="125"/>
      <c r="BQ662" s="125"/>
      <c r="BR662" s="16"/>
      <c r="BS662" s="123"/>
      <c r="BT662" s="19"/>
      <c r="BU662" s="139"/>
      <c r="BV662" s="139"/>
      <c r="BW662" s="123"/>
      <c r="BX662" s="123"/>
      <c r="BY662" s="123"/>
      <c r="BZ662" s="123"/>
      <c r="CA662" s="123"/>
      <c r="CB662" s="123"/>
      <c r="CC662" s="6"/>
      <c r="CD662" s="123"/>
      <c r="CE662" s="6"/>
      <c r="CF662" s="123"/>
      <c r="CG662" s="6"/>
      <c r="CH662" s="6"/>
      <c r="CI662" s="6"/>
      <c r="CJ662" s="6"/>
      <c r="CK662" s="123"/>
      <c r="CL662" s="6"/>
      <c r="CM662" s="6"/>
      <c r="CN662" s="6"/>
      <c r="CO662" s="138"/>
      <c r="CP662" s="138"/>
      <c r="CQ662" s="123"/>
      <c r="CR662" s="6"/>
      <c r="CS662" s="6"/>
      <c r="CT662" s="139"/>
      <c r="CU662" s="139"/>
      <c r="CV662" s="76"/>
      <c r="CW662" s="123"/>
      <c r="CX662" s="6"/>
      <c r="DI662" s="125"/>
      <c r="DJ662" s="16"/>
      <c r="DM662" s="16"/>
      <c r="DN662" s="16"/>
      <c r="DO662" s="125"/>
      <c r="DP662" s="16"/>
      <c r="DQ662" s="125"/>
      <c r="DZ662" s="125"/>
      <c r="EA662" s="142"/>
      <c r="EB662" s="125"/>
      <c r="EC662" s="16"/>
      <c r="ED662" s="125"/>
      <c r="EE662" s="125"/>
      <c r="EF662" s="16"/>
      <c r="EG662" s="125"/>
      <c r="EQ662" s="125"/>
      <c r="ER662" s="16"/>
      <c r="ES662" s="123"/>
      <c r="ET662" s="19"/>
      <c r="EU662" s="139"/>
      <c r="EV662" s="139"/>
      <c r="EW662" s="123"/>
      <c r="EX662" s="123"/>
      <c r="EY662" s="123"/>
      <c r="EZ662" s="123"/>
      <c r="FA662" s="123"/>
      <c r="FB662" s="123"/>
      <c r="FC662" s="6"/>
      <c r="FD662" s="123"/>
      <c r="FE662" s="6"/>
      <c r="FF662" s="123"/>
      <c r="FG662" s="6"/>
      <c r="FH662" s="6"/>
      <c r="FI662" s="6"/>
      <c r="FJ662" s="6"/>
      <c r="FK662" s="123"/>
      <c r="FL662" s="6"/>
      <c r="FM662" s="6"/>
      <c r="FN662" s="6"/>
      <c r="FO662" s="138"/>
      <c r="FP662" s="138"/>
      <c r="FQ662" s="123"/>
      <c r="FR662" s="6"/>
      <c r="FS662" s="6"/>
      <c r="FT662" s="139"/>
      <c r="FU662" s="139"/>
      <c r="FV662" s="76"/>
      <c r="FW662" s="123"/>
      <c r="FX662" s="6"/>
    </row>
    <row r="663" spans="35:180">
      <c r="AI663" s="125"/>
      <c r="AJ663" s="16"/>
      <c r="AM663" s="16"/>
      <c r="AN663" s="16"/>
      <c r="AO663" s="125"/>
      <c r="AP663" s="16"/>
      <c r="AQ663" s="125"/>
      <c r="AZ663" s="125"/>
      <c r="BA663" s="142"/>
      <c r="BB663" s="125"/>
      <c r="BC663" s="16"/>
      <c r="BD663" s="125"/>
      <c r="BE663" s="125"/>
      <c r="BF663" s="16"/>
      <c r="BG663" s="125"/>
      <c r="BQ663" s="125"/>
      <c r="BR663" s="16"/>
      <c r="BS663" s="123"/>
      <c r="BT663" s="19"/>
      <c r="BU663" s="139"/>
      <c r="BV663" s="139"/>
      <c r="BW663" s="123"/>
      <c r="BX663" s="123"/>
      <c r="BY663" s="123"/>
      <c r="BZ663" s="123"/>
      <c r="CA663" s="123"/>
      <c r="CB663" s="123"/>
      <c r="CC663" s="6"/>
      <c r="CD663" s="123"/>
      <c r="CE663" s="6"/>
      <c r="CF663" s="123"/>
      <c r="CG663" s="6"/>
      <c r="CH663" s="6"/>
      <c r="CI663" s="6"/>
      <c r="CJ663" s="6"/>
      <c r="CK663" s="123"/>
      <c r="CL663" s="6"/>
      <c r="CM663" s="6"/>
      <c r="CN663" s="6"/>
      <c r="CO663" s="138"/>
      <c r="CP663" s="138"/>
      <c r="CQ663" s="123"/>
      <c r="CR663" s="6"/>
      <c r="CS663" s="6"/>
      <c r="CT663" s="139"/>
      <c r="CU663" s="139"/>
      <c r="CV663" s="76"/>
      <c r="CW663" s="123"/>
      <c r="CX663" s="6"/>
      <c r="DI663" s="125"/>
      <c r="DJ663" s="16"/>
      <c r="DM663" s="16"/>
      <c r="DN663" s="16"/>
      <c r="DO663" s="125"/>
      <c r="DP663" s="16"/>
      <c r="DQ663" s="125"/>
      <c r="DZ663" s="125"/>
      <c r="EA663" s="142"/>
      <c r="EB663" s="125"/>
      <c r="EC663" s="16"/>
      <c r="ED663" s="125"/>
      <c r="EE663" s="125"/>
      <c r="EF663" s="16"/>
      <c r="EG663" s="125"/>
      <c r="EQ663" s="125"/>
      <c r="ER663" s="16"/>
      <c r="ES663" s="123"/>
      <c r="ET663" s="19"/>
      <c r="EU663" s="139"/>
      <c r="EV663" s="139"/>
      <c r="EW663" s="123"/>
      <c r="EX663" s="123"/>
      <c r="EY663" s="123"/>
      <c r="EZ663" s="123"/>
      <c r="FA663" s="123"/>
      <c r="FB663" s="123"/>
      <c r="FC663" s="6"/>
      <c r="FD663" s="123"/>
      <c r="FE663" s="6"/>
      <c r="FF663" s="123"/>
      <c r="FG663" s="6"/>
      <c r="FH663" s="6"/>
      <c r="FI663" s="6"/>
      <c r="FJ663" s="6"/>
      <c r="FK663" s="123"/>
      <c r="FL663" s="6"/>
      <c r="FM663" s="6"/>
      <c r="FN663" s="6"/>
      <c r="FO663" s="138"/>
      <c r="FP663" s="138"/>
      <c r="FQ663" s="123"/>
      <c r="FR663" s="6"/>
      <c r="FS663" s="6"/>
      <c r="FT663" s="139"/>
      <c r="FU663" s="139"/>
      <c r="FV663" s="76"/>
      <c r="FW663" s="123"/>
      <c r="FX663" s="6"/>
    </row>
    <row r="664" spans="35:180">
      <c r="AI664" s="125"/>
      <c r="AJ664" s="16"/>
      <c r="AM664" s="16"/>
      <c r="AN664" s="16"/>
      <c r="AO664" s="125"/>
      <c r="AP664" s="16"/>
      <c r="AQ664" s="125"/>
      <c r="AZ664" s="125"/>
      <c r="BA664" s="142"/>
      <c r="BB664" s="125"/>
      <c r="BC664" s="16"/>
      <c r="BD664" s="125"/>
      <c r="BE664" s="125"/>
      <c r="BF664" s="16"/>
      <c r="BG664" s="125"/>
      <c r="BQ664" s="125"/>
      <c r="BR664" s="16"/>
      <c r="BS664" s="123"/>
      <c r="BT664" s="19"/>
      <c r="BU664" s="139"/>
      <c r="BV664" s="139"/>
      <c r="BW664" s="123"/>
      <c r="BX664" s="123"/>
      <c r="BY664" s="123"/>
      <c r="BZ664" s="123"/>
      <c r="CA664" s="123"/>
      <c r="CB664" s="123"/>
      <c r="CC664" s="6"/>
      <c r="CD664" s="123"/>
      <c r="CE664" s="6"/>
      <c r="CF664" s="123"/>
      <c r="CG664" s="6"/>
      <c r="CH664" s="6"/>
      <c r="CI664" s="6"/>
      <c r="CJ664" s="6"/>
      <c r="CK664" s="123"/>
      <c r="CL664" s="6"/>
      <c r="CM664" s="6"/>
      <c r="CN664" s="6"/>
      <c r="CO664" s="138"/>
      <c r="CP664" s="138"/>
      <c r="CQ664" s="123"/>
      <c r="CR664" s="6"/>
      <c r="CS664" s="6"/>
      <c r="CT664" s="139"/>
      <c r="CU664" s="139"/>
      <c r="CV664" s="76"/>
      <c r="CW664" s="123"/>
      <c r="CX664" s="6"/>
      <c r="DI664" s="125"/>
      <c r="DJ664" s="16"/>
      <c r="DM664" s="16"/>
      <c r="DN664" s="16"/>
      <c r="DO664" s="125"/>
      <c r="DP664" s="16"/>
      <c r="DQ664" s="125"/>
      <c r="DZ664" s="125"/>
      <c r="EA664" s="142"/>
      <c r="EB664" s="125"/>
      <c r="EC664" s="16"/>
      <c r="ED664" s="125"/>
      <c r="EE664" s="125"/>
      <c r="EF664" s="16"/>
      <c r="EG664" s="125"/>
      <c r="EQ664" s="125"/>
      <c r="ER664" s="16"/>
      <c r="ES664" s="123"/>
      <c r="ET664" s="19"/>
      <c r="EU664" s="139"/>
      <c r="EV664" s="139"/>
      <c r="EW664" s="123"/>
      <c r="EX664" s="123"/>
      <c r="EY664" s="123"/>
      <c r="EZ664" s="123"/>
      <c r="FA664" s="123"/>
      <c r="FB664" s="123"/>
      <c r="FC664" s="6"/>
      <c r="FD664" s="123"/>
      <c r="FE664" s="6"/>
      <c r="FF664" s="123"/>
      <c r="FG664" s="6"/>
      <c r="FH664" s="6"/>
      <c r="FI664" s="6"/>
      <c r="FJ664" s="6"/>
      <c r="FK664" s="123"/>
      <c r="FL664" s="6"/>
      <c r="FM664" s="6"/>
      <c r="FN664" s="6"/>
      <c r="FO664" s="138"/>
      <c r="FP664" s="138"/>
      <c r="FQ664" s="123"/>
      <c r="FR664" s="6"/>
      <c r="FS664" s="6"/>
      <c r="FT664" s="139"/>
      <c r="FU664" s="139"/>
      <c r="FV664" s="76"/>
      <c r="FW664" s="123"/>
      <c r="FX664" s="6"/>
    </row>
    <row r="665" spans="35:180">
      <c r="AI665" s="125"/>
      <c r="AJ665" s="16"/>
      <c r="AM665" s="16"/>
      <c r="AN665" s="16"/>
      <c r="AO665" s="125"/>
      <c r="AP665" s="16"/>
      <c r="AQ665" s="125"/>
      <c r="AZ665" s="125"/>
      <c r="BA665" s="142"/>
      <c r="BB665" s="125"/>
      <c r="BC665" s="16"/>
      <c r="BD665" s="125"/>
      <c r="BE665" s="125"/>
      <c r="BF665" s="16"/>
      <c r="BG665" s="125"/>
      <c r="BQ665" s="125"/>
      <c r="BR665" s="16"/>
      <c r="BS665" s="123"/>
      <c r="BT665" s="19"/>
      <c r="BU665" s="139"/>
      <c r="BV665" s="139"/>
      <c r="BW665" s="123"/>
      <c r="BX665" s="123"/>
      <c r="BY665" s="123"/>
      <c r="BZ665" s="123"/>
      <c r="CA665" s="123"/>
      <c r="CB665" s="123"/>
      <c r="CC665" s="6"/>
      <c r="CD665" s="123"/>
      <c r="CE665" s="6"/>
      <c r="CF665" s="123"/>
      <c r="CG665" s="6"/>
      <c r="CH665" s="6"/>
      <c r="CI665" s="6"/>
      <c r="CJ665" s="6"/>
      <c r="CK665" s="123"/>
      <c r="CL665" s="6"/>
      <c r="CM665" s="6"/>
      <c r="CN665" s="6"/>
      <c r="CO665" s="138"/>
      <c r="CP665" s="138"/>
      <c r="CQ665" s="123"/>
      <c r="CR665" s="6"/>
      <c r="CS665" s="6"/>
      <c r="CT665" s="139"/>
      <c r="CU665" s="139"/>
      <c r="CV665" s="76"/>
      <c r="CW665" s="123"/>
      <c r="CX665" s="6"/>
      <c r="DI665" s="125"/>
      <c r="DJ665" s="16"/>
      <c r="DM665" s="16"/>
      <c r="DN665" s="16"/>
      <c r="DO665" s="125"/>
      <c r="DP665" s="16"/>
      <c r="DQ665" s="125"/>
      <c r="DZ665" s="125"/>
      <c r="EA665" s="142"/>
      <c r="EB665" s="125"/>
      <c r="EC665" s="16"/>
      <c r="ED665" s="125"/>
      <c r="EE665" s="125"/>
      <c r="EF665" s="16"/>
      <c r="EG665" s="125"/>
      <c r="EQ665" s="125"/>
      <c r="ER665" s="16"/>
      <c r="ES665" s="123"/>
      <c r="ET665" s="19"/>
      <c r="EU665" s="139"/>
      <c r="EV665" s="139"/>
      <c r="EW665" s="123"/>
      <c r="EX665" s="123"/>
      <c r="EY665" s="123"/>
      <c r="EZ665" s="123"/>
      <c r="FA665" s="123"/>
      <c r="FB665" s="123"/>
      <c r="FC665" s="6"/>
      <c r="FD665" s="123"/>
      <c r="FE665" s="6"/>
      <c r="FF665" s="123"/>
      <c r="FG665" s="6"/>
      <c r="FH665" s="6"/>
      <c r="FI665" s="6"/>
      <c r="FJ665" s="6"/>
      <c r="FK665" s="123"/>
      <c r="FL665" s="6"/>
      <c r="FM665" s="6"/>
      <c r="FN665" s="6"/>
      <c r="FO665" s="138"/>
      <c r="FP665" s="138"/>
      <c r="FQ665" s="123"/>
      <c r="FR665" s="6"/>
      <c r="FS665" s="6"/>
      <c r="FT665" s="139"/>
      <c r="FU665" s="139"/>
      <c r="FV665" s="76"/>
      <c r="FW665" s="123"/>
      <c r="FX665" s="6"/>
    </row>
    <row r="666" spans="35:180">
      <c r="AI666" s="125"/>
      <c r="AJ666" s="16"/>
      <c r="AM666" s="16"/>
      <c r="AN666" s="16"/>
      <c r="AO666" s="125"/>
      <c r="AP666" s="16"/>
      <c r="AQ666" s="125"/>
      <c r="AZ666" s="125"/>
      <c r="BA666" s="142"/>
      <c r="BB666" s="125"/>
      <c r="BC666" s="16"/>
      <c r="BD666" s="125"/>
      <c r="BE666" s="125"/>
      <c r="BF666" s="16"/>
      <c r="BG666" s="125"/>
      <c r="BQ666" s="125"/>
      <c r="BR666" s="16"/>
      <c r="BS666" s="123"/>
      <c r="BT666" s="19"/>
      <c r="BU666" s="139"/>
      <c r="BV666" s="139"/>
      <c r="BW666" s="123"/>
      <c r="BX666" s="123"/>
      <c r="BY666" s="123"/>
      <c r="BZ666" s="123"/>
      <c r="CA666" s="123"/>
      <c r="CB666" s="123"/>
      <c r="CC666" s="6"/>
      <c r="CD666" s="123"/>
      <c r="CE666" s="6"/>
      <c r="CF666" s="123"/>
      <c r="CG666" s="6"/>
      <c r="CH666" s="6"/>
      <c r="CI666" s="6"/>
      <c r="CJ666" s="6"/>
      <c r="CK666" s="123"/>
      <c r="CL666" s="6"/>
      <c r="CM666" s="6"/>
      <c r="CN666" s="6"/>
      <c r="CO666" s="138"/>
      <c r="CP666" s="138"/>
      <c r="CQ666" s="123"/>
      <c r="CR666" s="6"/>
      <c r="CS666" s="6"/>
      <c r="CT666" s="139"/>
      <c r="CU666" s="139"/>
      <c r="CV666" s="76"/>
      <c r="CW666" s="123"/>
      <c r="CX666" s="6"/>
      <c r="DI666" s="125"/>
      <c r="DJ666" s="16"/>
      <c r="DM666" s="16"/>
      <c r="DN666" s="16"/>
      <c r="DO666" s="125"/>
      <c r="DP666" s="16"/>
      <c r="DQ666" s="125"/>
      <c r="DZ666" s="125"/>
      <c r="EA666" s="142"/>
      <c r="EB666" s="125"/>
      <c r="EC666" s="16"/>
      <c r="ED666" s="125"/>
      <c r="EE666" s="125"/>
      <c r="EF666" s="16"/>
      <c r="EG666" s="125"/>
      <c r="EQ666" s="125"/>
      <c r="ER666" s="16"/>
      <c r="ES666" s="123"/>
      <c r="ET666" s="19"/>
      <c r="EU666" s="139"/>
      <c r="EV666" s="139"/>
      <c r="EW666" s="123"/>
      <c r="EX666" s="123"/>
      <c r="EY666" s="123"/>
      <c r="EZ666" s="123"/>
      <c r="FA666" s="123"/>
      <c r="FB666" s="123"/>
      <c r="FC666" s="6"/>
      <c r="FD666" s="123"/>
      <c r="FE666" s="6"/>
      <c r="FF666" s="123"/>
      <c r="FG666" s="6"/>
      <c r="FH666" s="6"/>
      <c r="FI666" s="6"/>
      <c r="FJ666" s="6"/>
      <c r="FK666" s="123"/>
      <c r="FL666" s="6"/>
      <c r="FM666" s="6"/>
      <c r="FN666" s="6"/>
      <c r="FO666" s="138"/>
      <c r="FP666" s="138"/>
      <c r="FQ666" s="123"/>
      <c r="FR666" s="6"/>
      <c r="FS666" s="6"/>
      <c r="FT666" s="139"/>
      <c r="FU666" s="139"/>
      <c r="FV666" s="76"/>
      <c r="FW666" s="123"/>
      <c r="FX666" s="6"/>
    </row>
    <row r="667" spans="35:180">
      <c r="AI667" s="125"/>
      <c r="AJ667" s="16"/>
      <c r="AM667" s="16"/>
      <c r="AN667" s="16"/>
      <c r="AO667" s="125"/>
      <c r="AP667" s="16"/>
      <c r="AQ667" s="125"/>
      <c r="AZ667" s="125"/>
      <c r="BA667" s="142"/>
      <c r="BB667" s="125"/>
      <c r="BC667" s="16"/>
      <c r="BD667" s="125"/>
      <c r="BE667" s="125"/>
      <c r="BF667" s="16"/>
      <c r="BG667" s="125"/>
      <c r="BQ667" s="125"/>
      <c r="BR667" s="16"/>
      <c r="BS667" s="123"/>
      <c r="BT667" s="19"/>
      <c r="BU667" s="139"/>
      <c r="BV667" s="139"/>
      <c r="BW667" s="123"/>
      <c r="BX667" s="123"/>
      <c r="BY667" s="123"/>
      <c r="BZ667" s="123"/>
      <c r="CA667" s="123"/>
      <c r="CB667" s="123"/>
      <c r="CC667" s="6"/>
      <c r="CD667" s="123"/>
      <c r="CE667" s="6"/>
      <c r="CF667" s="123"/>
      <c r="CG667" s="6"/>
      <c r="CH667" s="6"/>
      <c r="CI667" s="6"/>
      <c r="CJ667" s="6"/>
      <c r="CK667" s="123"/>
      <c r="CL667" s="6"/>
      <c r="CM667" s="6"/>
      <c r="CN667" s="6"/>
      <c r="CO667" s="138"/>
      <c r="CP667" s="138"/>
      <c r="CQ667" s="123"/>
      <c r="CR667" s="6"/>
      <c r="CS667" s="6"/>
      <c r="CT667" s="139"/>
      <c r="CU667" s="139"/>
      <c r="CV667" s="76"/>
      <c r="CW667" s="123"/>
      <c r="CX667" s="6"/>
      <c r="DI667" s="125"/>
      <c r="DJ667" s="16"/>
      <c r="DM667" s="16"/>
      <c r="DN667" s="16"/>
      <c r="DO667" s="125"/>
      <c r="DP667" s="16"/>
      <c r="DQ667" s="125"/>
      <c r="DZ667" s="125"/>
      <c r="EA667" s="142"/>
      <c r="EB667" s="125"/>
      <c r="EC667" s="16"/>
      <c r="ED667" s="125"/>
      <c r="EE667" s="125"/>
      <c r="EF667" s="16"/>
      <c r="EG667" s="125"/>
      <c r="EQ667" s="125"/>
      <c r="ER667" s="16"/>
      <c r="ES667" s="123"/>
      <c r="ET667" s="19"/>
      <c r="EU667" s="139"/>
      <c r="EV667" s="139"/>
      <c r="EW667" s="123"/>
      <c r="EX667" s="123"/>
      <c r="EY667" s="123"/>
      <c r="EZ667" s="123"/>
      <c r="FA667" s="123"/>
      <c r="FB667" s="123"/>
      <c r="FC667" s="6"/>
      <c r="FD667" s="123"/>
      <c r="FE667" s="6"/>
      <c r="FF667" s="123"/>
      <c r="FG667" s="6"/>
      <c r="FH667" s="6"/>
      <c r="FI667" s="6"/>
      <c r="FJ667" s="6"/>
      <c r="FK667" s="123"/>
      <c r="FL667" s="6"/>
      <c r="FM667" s="6"/>
      <c r="FN667" s="6"/>
      <c r="FO667" s="138"/>
      <c r="FP667" s="138"/>
      <c r="FQ667" s="123"/>
      <c r="FR667" s="6"/>
      <c r="FS667" s="6"/>
      <c r="FT667" s="139"/>
      <c r="FU667" s="139"/>
      <c r="FV667" s="76"/>
      <c r="FW667" s="123"/>
      <c r="FX667" s="6"/>
    </row>
    <row r="668" spans="35:180">
      <c r="AI668" s="125"/>
      <c r="AJ668" s="16"/>
      <c r="AM668" s="16"/>
      <c r="AN668" s="16"/>
      <c r="AO668" s="125"/>
      <c r="AP668" s="16"/>
      <c r="AQ668" s="125"/>
      <c r="AZ668" s="125"/>
      <c r="BA668" s="142"/>
      <c r="BB668" s="125"/>
      <c r="BC668" s="16"/>
      <c r="BD668" s="125"/>
      <c r="BE668" s="125"/>
      <c r="BF668" s="16"/>
      <c r="BG668" s="125"/>
      <c r="BQ668" s="125"/>
      <c r="BR668" s="16"/>
      <c r="BS668" s="123"/>
      <c r="BT668" s="19"/>
      <c r="BU668" s="139"/>
      <c r="BV668" s="139"/>
      <c r="BW668" s="123"/>
      <c r="BX668" s="123"/>
      <c r="BY668" s="123"/>
      <c r="BZ668" s="123"/>
      <c r="CA668" s="123"/>
      <c r="CB668" s="123"/>
      <c r="CC668" s="6"/>
      <c r="CD668" s="123"/>
      <c r="CE668" s="6"/>
      <c r="CF668" s="123"/>
      <c r="CG668" s="6"/>
      <c r="CH668" s="6"/>
      <c r="CI668" s="6"/>
      <c r="CJ668" s="6"/>
      <c r="CK668" s="123"/>
      <c r="CL668" s="6"/>
      <c r="CM668" s="6"/>
      <c r="CN668" s="6"/>
      <c r="CO668" s="138"/>
      <c r="CP668" s="138"/>
      <c r="CQ668" s="123"/>
      <c r="CR668" s="6"/>
      <c r="CS668" s="6"/>
      <c r="CT668" s="139"/>
      <c r="CU668" s="139"/>
      <c r="CV668" s="76"/>
      <c r="CW668" s="123"/>
      <c r="CX668" s="6"/>
      <c r="DI668" s="125"/>
      <c r="DJ668" s="16"/>
      <c r="DM668" s="16"/>
      <c r="DN668" s="16"/>
      <c r="DO668" s="125"/>
      <c r="DP668" s="16"/>
      <c r="DQ668" s="125"/>
      <c r="DZ668" s="125"/>
      <c r="EA668" s="142"/>
      <c r="EB668" s="125"/>
      <c r="EC668" s="16"/>
      <c r="ED668" s="125"/>
      <c r="EE668" s="125"/>
      <c r="EF668" s="16"/>
      <c r="EG668" s="125"/>
      <c r="EQ668" s="125"/>
      <c r="ER668" s="16"/>
      <c r="ES668" s="123"/>
      <c r="ET668" s="19"/>
      <c r="EU668" s="139"/>
      <c r="EV668" s="139"/>
      <c r="EW668" s="123"/>
      <c r="EX668" s="123"/>
      <c r="EY668" s="123"/>
      <c r="EZ668" s="123"/>
      <c r="FA668" s="123"/>
      <c r="FB668" s="123"/>
      <c r="FC668" s="6"/>
      <c r="FD668" s="123"/>
      <c r="FE668" s="6"/>
      <c r="FF668" s="123"/>
      <c r="FG668" s="6"/>
      <c r="FH668" s="6"/>
      <c r="FI668" s="6"/>
      <c r="FJ668" s="6"/>
      <c r="FK668" s="123"/>
      <c r="FL668" s="6"/>
      <c r="FM668" s="6"/>
      <c r="FN668" s="6"/>
      <c r="FO668" s="138"/>
      <c r="FP668" s="138"/>
      <c r="FQ668" s="123"/>
      <c r="FR668" s="6"/>
      <c r="FS668" s="6"/>
      <c r="FT668" s="139"/>
      <c r="FU668" s="139"/>
      <c r="FV668" s="76"/>
      <c r="FW668" s="123"/>
      <c r="FX668" s="6"/>
    </row>
    <row r="669" spans="35:180">
      <c r="AI669" s="125"/>
      <c r="AJ669" s="16"/>
      <c r="AM669" s="16"/>
      <c r="AN669" s="16"/>
      <c r="AO669" s="125"/>
      <c r="AP669" s="16"/>
      <c r="AQ669" s="125"/>
      <c r="AZ669" s="125"/>
      <c r="BA669" s="142"/>
      <c r="BB669" s="125"/>
      <c r="BC669" s="16"/>
      <c r="BD669" s="125"/>
      <c r="BE669" s="125"/>
      <c r="BF669" s="16"/>
      <c r="BG669" s="125"/>
      <c r="BQ669" s="125"/>
      <c r="BR669" s="16"/>
      <c r="BS669" s="123"/>
      <c r="BT669" s="19"/>
      <c r="BU669" s="139"/>
      <c r="BV669" s="139"/>
      <c r="BW669" s="123"/>
      <c r="BX669" s="123"/>
      <c r="BY669" s="123"/>
      <c r="BZ669" s="123"/>
      <c r="CA669" s="123"/>
      <c r="CB669" s="123"/>
      <c r="CC669" s="6"/>
      <c r="CD669" s="123"/>
      <c r="CE669" s="6"/>
      <c r="CF669" s="123"/>
      <c r="CG669" s="6"/>
      <c r="CH669" s="6"/>
      <c r="CI669" s="6"/>
      <c r="CJ669" s="6"/>
      <c r="CK669" s="123"/>
      <c r="CL669" s="6"/>
      <c r="CM669" s="6"/>
      <c r="CN669" s="6"/>
      <c r="CO669" s="138"/>
      <c r="CP669" s="138"/>
      <c r="CQ669" s="123"/>
      <c r="CR669" s="6"/>
      <c r="CS669" s="6"/>
      <c r="CT669" s="139"/>
      <c r="CU669" s="139"/>
      <c r="CV669" s="76"/>
      <c r="CW669" s="123"/>
      <c r="CX669" s="6"/>
      <c r="DI669" s="125"/>
      <c r="DJ669" s="16"/>
      <c r="DM669" s="16"/>
      <c r="DN669" s="16"/>
      <c r="DO669" s="125"/>
      <c r="DP669" s="16"/>
      <c r="DQ669" s="125"/>
      <c r="DZ669" s="125"/>
      <c r="EA669" s="142"/>
      <c r="EB669" s="125"/>
      <c r="EC669" s="16"/>
      <c r="ED669" s="125"/>
      <c r="EE669" s="125"/>
      <c r="EF669" s="16"/>
      <c r="EG669" s="125"/>
      <c r="EQ669" s="125"/>
      <c r="ER669" s="16"/>
      <c r="ES669" s="123"/>
      <c r="ET669" s="19"/>
      <c r="EU669" s="139"/>
      <c r="EV669" s="139"/>
      <c r="EW669" s="123"/>
      <c r="EX669" s="123"/>
      <c r="EY669" s="123"/>
      <c r="EZ669" s="123"/>
      <c r="FA669" s="123"/>
      <c r="FB669" s="123"/>
      <c r="FC669" s="6"/>
      <c r="FD669" s="123"/>
      <c r="FE669" s="6"/>
      <c r="FF669" s="123"/>
      <c r="FG669" s="6"/>
      <c r="FH669" s="6"/>
      <c r="FI669" s="6"/>
      <c r="FJ669" s="6"/>
      <c r="FK669" s="123"/>
      <c r="FL669" s="6"/>
      <c r="FM669" s="6"/>
      <c r="FN669" s="6"/>
      <c r="FO669" s="138"/>
      <c r="FP669" s="138"/>
      <c r="FQ669" s="123"/>
      <c r="FR669" s="6"/>
      <c r="FS669" s="6"/>
      <c r="FT669" s="139"/>
      <c r="FU669" s="139"/>
      <c r="FV669" s="76"/>
      <c r="FW669" s="123"/>
      <c r="FX669" s="6"/>
    </row>
    <row r="670" spans="35:180">
      <c r="AI670" s="125"/>
      <c r="AJ670" s="16"/>
      <c r="AM670" s="16"/>
      <c r="AN670" s="16"/>
      <c r="AO670" s="125"/>
      <c r="AP670" s="16"/>
      <c r="AQ670" s="125"/>
      <c r="AZ670" s="125"/>
      <c r="BA670" s="142"/>
      <c r="BB670" s="125"/>
      <c r="BC670" s="16"/>
      <c r="BD670" s="125"/>
      <c r="BE670" s="125"/>
      <c r="BF670" s="16"/>
      <c r="BG670" s="125"/>
      <c r="BQ670" s="125"/>
      <c r="BR670" s="16"/>
      <c r="BS670" s="123"/>
      <c r="BT670" s="19"/>
      <c r="BU670" s="139"/>
      <c r="BV670" s="139"/>
      <c r="BW670" s="123"/>
      <c r="BX670" s="123"/>
      <c r="BY670" s="123"/>
      <c r="BZ670" s="123"/>
      <c r="CA670" s="123"/>
      <c r="CB670" s="123"/>
      <c r="CC670" s="6"/>
      <c r="CD670" s="123"/>
      <c r="CE670" s="6"/>
      <c r="CF670" s="123"/>
      <c r="CG670" s="6"/>
      <c r="CH670" s="6"/>
      <c r="CI670" s="6"/>
      <c r="CJ670" s="6"/>
      <c r="CK670" s="123"/>
      <c r="CL670" s="6"/>
      <c r="CM670" s="6"/>
      <c r="CN670" s="6"/>
      <c r="CO670" s="138"/>
      <c r="CP670" s="138"/>
      <c r="CQ670" s="123"/>
      <c r="CR670" s="6"/>
      <c r="CS670" s="6"/>
      <c r="CT670" s="139"/>
      <c r="CU670" s="139"/>
      <c r="CV670" s="76"/>
      <c r="CW670" s="123"/>
      <c r="CX670" s="6"/>
      <c r="DI670" s="125"/>
      <c r="DJ670" s="16"/>
      <c r="DM670" s="16"/>
      <c r="DN670" s="16"/>
      <c r="DO670" s="125"/>
      <c r="DP670" s="16"/>
      <c r="DQ670" s="125"/>
      <c r="DZ670" s="125"/>
      <c r="EA670" s="142"/>
      <c r="EB670" s="125"/>
      <c r="EC670" s="16"/>
      <c r="ED670" s="125"/>
      <c r="EE670" s="125"/>
      <c r="EF670" s="16"/>
      <c r="EG670" s="125"/>
      <c r="EQ670" s="125"/>
      <c r="ER670" s="16"/>
      <c r="ES670" s="123"/>
      <c r="ET670" s="19"/>
      <c r="EU670" s="139"/>
      <c r="EV670" s="139"/>
      <c r="EW670" s="123"/>
      <c r="EX670" s="123"/>
      <c r="EY670" s="123"/>
      <c r="EZ670" s="123"/>
      <c r="FA670" s="123"/>
      <c r="FB670" s="123"/>
      <c r="FC670" s="6"/>
      <c r="FD670" s="123"/>
      <c r="FE670" s="6"/>
      <c r="FF670" s="123"/>
      <c r="FG670" s="6"/>
      <c r="FH670" s="6"/>
      <c r="FI670" s="6"/>
      <c r="FJ670" s="6"/>
      <c r="FK670" s="123"/>
      <c r="FL670" s="6"/>
      <c r="FM670" s="6"/>
      <c r="FN670" s="6"/>
      <c r="FO670" s="138"/>
      <c r="FP670" s="138"/>
      <c r="FQ670" s="123"/>
      <c r="FR670" s="6"/>
      <c r="FS670" s="6"/>
      <c r="FT670" s="139"/>
      <c r="FU670" s="139"/>
      <c r="FV670" s="76"/>
      <c r="FW670" s="123"/>
      <c r="FX670" s="6"/>
    </row>
    <row r="671" spans="35:180">
      <c r="AI671" s="125"/>
      <c r="AJ671" s="16"/>
      <c r="AM671" s="16"/>
      <c r="AN671" s="16"/>
      <c r="AO671" s="125"/>
      <c r="AP671" s="16"/>
      <c r="AQ671" s="125"/>
      <c r="AZ671" s="125"/>
      <c r="BA671" s="142"/>
      <c r="BB671" s="125"/>
      <c r="BC671" s="16"/>
      <c r="BD671" s="125"/>
      <c r="BE671" s="125"/>
      <c r="BF671" s="16"/>
      <c r="BG671" s="125"/>
      <c r="BQ671" s="125"/>
      <c r="BR671" s="16"/>
      <c r="BS671" s="123"/>
      <c r="BT671" s="19"/>
      <c r="BU671" s="139"/>
      <c r="BV671" s="139"/>
      <c r="BW671" s="123"/>
      <c r="BX671" s="123"/>
      <c r="BY671" s="123"/>
      <c r="BZ671" s="123"/>
      <c r="CA671" s="123"/>
      <c r="CB671" s="123"/>
      <c r="CC671" s="6"/>
      <c r="CD671" s="123"/>
      <c r="CE671" s="6"/>
      <c r="CF671" s="123"/>
      <c r="CG671" s="6"/>
      <c r="CH671" s="6"/>
      <c r="CI671" s="6"/>
      <c r="CJ671" s="6"/>
      <c r="CK671" s="123"/>
      <c r="CL671" s="6"/>
      <c r="CM671" s="6"/>
      <c r="CN671" s="6"/>
      <c r="CO671" s="138"/>
      <c r="CP671" s="138"/>
      <c r="CQ671" s="123"/>
      <c r="CR671" s="6"/>
      <c r="CS671" s="6"/>
      <c r="CT671" s="139"/>
      <c r="CU671" s="139"/>
      <c r="CV671" s="76"/>
      <c r="CW671" s="123"/>
      <c r="CX671" s="6"/>
      <c r="DI671" s="125"/>
      <c r="DJ671" s="16"/>
      <c r="DM671" s="16"/>
      <c r="DN671" s="16"/>
      <c r="DO671" s="125"/>
      <c r="DP671" s="16"/>
      <c r="DQ671" s="125"/>
      <c r="DZ671" s="125"/>
      <c r="EA671" s="142"/>
      <c r="EB671" s="125"/>
      <c r="EC671" s="16"/>
      <c r="ED671" s="125"/>
      <c r="EE671" s="125"/>
      <c r="EF671" s="16"/>
      <c r="EG671" s="125"/>
      <c r="EQ671" s="125"/>
      <c r="ER671" s="16"/>
      <c r="ES671" s="123"/>
      <c r="ET671" s="19"/>
      <c r="EU671" s="139"/>
      <c r="EV671" s="139"/>
      <c r="EW671" s="123"/>
      <c r="EX671" s="123"/>
      <c r="EY671" s="123"/>
      <c r="EZ671" s="123"/>
      <c r="FA671" s="123"/>
      <c r="FB671" s="123"/>
      <c r="FC671" s="6"/>
      <c r="FD671" s="123"/>
      <c r="FE671" s="6"/>
      <c r="FF671" s="123"/>
      <c r="FG671" s="6"/>
      <c r="FH671" s="6"/>
      <c r="FI671" s="6"/>
      <c r="FJ671" s="6"/>
      <c r="FK671" s="123"/>
      <c r="FL671" s="6"/>
      <c r="FM671" s="6"/>
      <c r="FN671" s="6"/>
      <c r="FO671" s="138"/>
      <c r="FP671" s="138"/>
      <c r="FQ671" s="123"/>
      <c r="FR671" s="6"/>
      <c r="FS671" s="6"/>
      <c r="FT671" s="139"/>
      <c r="FU671" s="139"/>
      <c r="FV671" s="76"/>
      <c r="FW671" s="123"/>
      <c r="FX671" s="6"/>
    </row>
    <row r="672" spans="35:180">
      <c r="AI672" s="125"/>
      <c r="AJ672" s="16"/>
      <c r="AM672" s="16"/>
      <c r="AN672" s="16"/>
      <c r="AO672" s="125"/>
      <c r="AP672" s="16"/>
      <c r="AQ672" s="125"/>
      <c r="AZ672" s="125"/>
      <c r="BA672" s="142"/>
      <c r="BB672" s="125"/>
      <c r="BC672" s="16"/>
      <c r="BD672" s="125"/>
      <c r="BE672" s="125"/>
      <c r="BF672" s="16"/>
      <c r="BG672" s="125"/>
      <c r="BQ672" s="125"/>
      <c r="BR672" s="16"/>
      <c r="BS672" s="123"/>
      <c r="BT672" s="19"/>
      <c r="BU672" s="139"/>
      <c r="BV672" s="139"/>
      <c r="BW672" s="123"/>
      <c r="BX672" s="123"/>
      <c r="BY672" s="123"/>
      <c r="BZ672" s="123"/>
      <c r="CA672" s="123"/>
      <c r="CB672" s="123"/>
      <c r="CC672" s="6"/>
      <c r="CD672" s="123"/>
      <c r="CE672" s="6"/>
      <c r="CF672" s="123"/>
      <c r="CG672" s="6"/>
      <c r="CH672" s="6"/>
      <c r="CI672" s="6"/>
      <c r="CJ672" s="6"/>
      <c r="CK672" s="123"/>
      <c r="CL672" s="6"/>
      <c r="CM672" s="6"/>
      <c r="CN672" s="6"/>
      <c r="CO672" s="138"/>
      <c r="CP672" s="138"/>
      <c r="CQ672" s="123"/>
      <c r="CR672" s="6"/>
      <c r="CS672" s="6"/>
      <c r="CT672" s="139"/>
      <c r="CU672" s="139"/>
      <c r="CV672" s="76"/>
      <c r="CW672" s="123"/>
      <c r="CX672" s="6"/>
      <c r="DI672" s="125"/>
      <c r="DJ672" s="16"/>
      <c r="DM672" s="16"/>
      <c r="DN672" s="16"/>
      <c r="DO672" s="125"/>
      <c r="DP672" s="16"/>
      <c r="DQ672" s="125"/>
      <c r="DZ672" s="125"/>
      <c r="EA672" s="142"/>
      <c r="EB672" s="125"/>
      <c r="EC672" s="16"/>
      <c r="ED672" s="125"/>
      <c r="EE672" s="125"/>
      <c r="EF672" s="16"/>
      <c r="EG672" s="125"/>
      <c r="EQ672" s="125"/>
      <c r="ER672" s="16"/>
      <c r="ES672" s="123"/>
      <c r="ET672" s="19"/>
      <c r="EU672" s="139"/>
      <c r="EV672" s="139"/>
      <c r="EW672" s="123"/>
      <c r="EX672" s="123"/>
      <c r="EY672" s="123"/>
      <c r="EZ672" s="123"/>
      <c r="FA672" s="123"/>
      <c r="FB672" s="123"/>
      <c r="FC672" s="6"/>
      <c r="FD672" s="123"/>
      <c r="FE672" s="6"/>
      <c r="FF672" s="123"/>
      <c r="FG672" s="6"/>
      <c r="FH672" s="6"/>
      <c r="FI672" s="6"/>
      <c r="FJ672" s="6"/>
      <c r="FK672" s="123"/>
      <c r="FL672" s="6"/>
      <c r="FM672" s="6"/>
      <c r="FN672" s="6"/>
      <c r="FO672" s="138"/>
      <c r="FP672" s="138"/>
      <c r="FQ672" s="123"/>
      <c r="FR672" s="6"/>
      <c r="FS672" s="6"/>
      <c r="FT672" s="139"/>
      <c r="FU672" s="139"/>
      <c r="FV672" s="76"/>
      <c r="FW672" s="123"/>
      <c r="FX672" s="6"/>
    </row>
    <row r="673" spans="35:180">
      <c r="AI673" s="125"/>
      <c r="AJ673" s="16"/>
      <c r="AM673" s="16"/>
      <c r="AN673" s="16"/>
      <c r="AO673" s="125"/>
      <c r="AP673" s="16"/>
      <c r="AQ673" s="125"/>
      <c r="AZ673" s="125"/>
      <c r="BA673" s="142"/>
      <c r="BB673" s="125"/>
      <c r="BC673" s="16"/>
      <c r="BD673" s="125"/>
      <c r="BE673" s="125"/>
      <c r="BF673" s="16"/>
      <c r="BG673" s="125"/>
      <c r="BQ673" s="125"/>
      <c r="BR673" s="16"/>
      <c r="BS673" s="123"/>
      <c r="BT673" s="19"/>
      <c r="BU673" s="139"/>
      <c r="BV673" s="139"/>
      <c r="BW673" s="123"/>
      <c r="BX673" s="123"/>
      <c r="BY673" s="123"/>
      <c r="BZ673" s="123"/>
      <c r="CA673" s="123"/>
      <c r="CB673" s="123"/>
      <c r="CC673" s="6"/>
      <c r="CD673" s="123"/>
      <c r="CE673" s="6"/>
      <c r="CF673" s="123"/>
      <c r="CG673" s="6"/>
      <c r="CH673" s="6"/>
      <c r="CI673" s="6"/>
      <c r="CJ673" s="6"/>
      <c r="CK673" s="123"/>
      <c r="CL673" s="6"/>
      <c r="CM673" s="6"/>
      <c r="CN673" s="6"/>
      <c r="CO673" s="138"/>
      <c r="CP673" s="138"/>
      <c r="CQ673" s="123"/>
      <c r="CR673" s="6"/>
      <c r="CS673" s="6"/>
      <c r="CT673" s="139"/>
      <c r="CU673" s="139"/>
      <c r="CV673" s="76"/>
      <c r="CW673" s="123"/>
      <c r="CX673" s="6"/>
      <c r="DI673" s="125"/>
      <c r="DJ673" s="16"/>
      <c r="DM673" s="16"/>
      <c r="DN673" s="16"/>
      <c r="DO673" s="125"/>
      <c r="DP673" s="16"/>
      <c r="DQ673" s="125"/>
      <c r="DZ673" s="125"/>
      <c r="EA673" s="142"/>
      <c r="EB673" s="125"/>
      <c r="EC673" s="16"/>
      <c r="ED673" s="125"/>
      <c r="EE673" s="125"/>
      <c r="EF673" s="16"/>
      <c r="EG673" s="125"/>
      <c r="EQ673" s="125"/>
      <c r="ER673" s="16"/>
      <c r="ES673" s="123"/>
      <c r="ET673" s="19"/>
      <c r="EU673" s="139"/>
      <c r="EV673" s="139"/>
      <c r="EW673" s="123"/>
      <c r="EX673" s="123"/>
      <c r="EY673" s="123"/>
      <c r="EZ673" s="123"/>
      <c r="FA673" s="123"/>
      <c r="FB673" s="123"/>
      <c r="FC673" s="6"/>
      <c r="FD673" s="123"/>
      <c r="FE673" s="6"/>
      <c r="FF673" s="123"/>
      <c r="FG673" s="6"/>
      <c r="FH673" s="6"/>
      <c r="FI673" s="6"/>
      <c r="FJ673" s="6"/>
      <c r="FK673" s="123"/>
      <c r="FL673" s="6"/>
      <c r="FM673" s="6"/>
      <c r="FN673" s="6"/>
      <c r="FO673" s="138"/>
      <c r="FP673" s="138"/>
      <c r="FQ673" s="123"/>
      <c r="FR673" s="6"/>
      <c r="FS673" s="6"/>
      <c r="FT673" s="139"/>
      <c r="FU673" s="139"/>
      <c r="FV673" s="76"/>
      <c r="FW673" s="123"/>
      <c r="FX673" s="6"/>
    </row>
    <row r="674" spans="35:180">
      <c r="AI674" s="125"/>
      <c r="AJ674" s="16"/>
      <c r="AM674" s="16"/>
      <c r="AN674" s="16"/>
      <c r="AO674" s="125"/>
      <c r="AP674" s="16"/>
      <c r="AQ674" s="125"/>
      <c r="AZ674" s="125"/>
      <c r="BA674" s="142"/>
      <c r="BB674" s="125"/>
      <c r="BC674" s="16"/>
      <c r="BD674" s="125"/>
      <c r="BE674" s="125"/>
      <c r="BF674" s="16"/>
      <c r="BG674" s="125"/>
      <c r="BQ674" s="125"/>
      <c r="BR674" s="16"/>
      <c r="BS674" s="123"/>
      <c r="BT674" s="19"/>
      <c r="BU674" s="139"/>
      <c r="BV674" s="139"/>
      <c r="BW674" s="123"/>
      <c r="BX674" s="123"/>
      <c r="BY674" s="123"/>
      <c r="BZ674" s="123"/>
      <c r="CA674" s="123"/>
      <c r="CB674" s="123"/>
      <c r="CC674" s="6"/>
      <c r="CD674" s="123"/>
      <c r="CE674" s="6"/>
      <c r="CF674" s="123"/>
      <c r="CG674" s="6"/>
      <c r="CH674" s="6"/>
      <c r="CI674" s="6"/>
      <c r="CJ674" s="6"/>
      <c r="CK674" s="123"/>
      <c r="CL674" s="6"/>
      <c r="CM674" s="6"/>
      <c r="CN674" s="6"/>
      <c r="CO674" s="138"/>
      <c r="CP674" s="138"/>
      <c r="CQ674" s="123"/>
      <c r="CR674" s="6"/>
      <c r="CS674" s="6"/>
      <c r="CT674" s="139"/>
      <c r="CU674" s="139"/>
      <c r="CV674" s="76"/>
      <c r="CW674" s="123"/>
      <c r="CX674" s="6"/>
      <c r="DI674" s="125"/>
      <c r="DJ674" s="16"/>
      <c r="DM674" s="16"/>
      <c r="DN674" s="16"/>
      <c r="DO674" s="125"/>
      <c r="DP674" s="16"/>
      <c r="DQ674" s="125"/>
      <c r="DZ674" s="125"/>
      <c r="EA674" s="142"/>
      <c r="EB674" s="125"/>
      <c r="EC674" s="16"/>
      <c r="ED674" s="125"/>
      <c r="EE674" s="125"/>
      <c r="EF674" s="16"/>
      <c r="EG674" s="125"/>
      <c r="EQ674" s="125"/>
      <c r="ER674" s="16"/>
      <c r="ES674" s="123"/>
      <c r="ET674" s="19"/>
      <c r="EU674" s="139"/>
      <c r="EV674" s="139"/>
      <c r="EW674" s="123"/>
      <c r="EX674" s="123"/>
      <c r="EY674" s="123"/>
      <c r="EZ674" s="123"/>
      <c r="FA674" s="123"/>
      <c r="FB674" s="123"/>
      <c r="FC674" s="6"/>
      <c r="FD674" s="123"/>
      <c r="FE674" s="6"/>
      <c r="FF674" s="123"/>
      <c r="FG674" s="6"/>
      <c r="FH674" s="6"/>
      <c r="FI674" s="6"/>
      <c r="FJ674" s="6"/>
      <c r="FK674" s="123"/>
      <c r="FL674" s="6"/>
      <c r="FM674" s="6"/>
      <c r="FN674" s="6"/>
      <c r="FO674" s="138"/>
      <c r="FP674" s="138"/>
      <c r="FQ674" s="123"/>
      <c r="FR674" s="6"/>
      <c r="FS674" s="6"/>
      <c r="FT674" s="139"/>
      <c r="FU674" s="139"/>
      <c r="FV674" s="76"/>
      <c r="FW674" s="123"/>
      <c r="FX674" s="6"/>
    </row>
    <row r="675" spans="35:180">
      <c r="AI675" s="125"/>
      <c r="AJ675" s="16"/>
      <c r="AM675" s="16"/>
      <c r="AN675" s="16"/>
      <c r="AO675" s="125"/>
      <c r="AP675" s="16"/>
      <c r="AQ675" s="125"/>
      <c r="AZ675" s="125"/>
      <c r="BA675" s="142"/>
      <c r="BB675" s="125"/>
      <c r="BC675" s="16"/>
      <c r="BD675" s="125"/>
      <c r="BE675" s="125"/>
      <c r="BF675" s="16"/>
      <c r="BG675" s="125"/>
      <c r="BQ675" s="125"/>
      <c r="BR675" s="16"/>
      <c r="BS675" s="123"/>
      <c r="BT675" s="19"/>
      <c r="BU675" s="139"/>
      <c r="BV675" s="139"/>
      <c r="BW675" s="123"/>
      <c r="BX675" s="123"/>
      <c r="BY675" s="123"/>
      <c r="BZ675" s="123"/>
      <c r="CA675" s="123"/>
      <c r="CB675" s="123"/>
      <c r="CC675" s="6"/>
      <c r="CD675" s="123"/>
      <c r="CE675" s="6"/>
      <c r="CF675" s="123"/>
      <c r="CG675" s="6"/>
      <c r="CH675" s="6"/>
      <c r="CI675" s="6"/>
      <c r="CJ675" s="6"/>
      <c r="CK675" s="123"/>
      <c r="CL675" s="6"/>
      <c r="CM675" s="6"/>
      <c r="CN675" s="6"/>
      <c r="CO675" s="138"/>
      <c r="CP675" s="138"/>
      <c r="CQ675" s="123"/>
      <c r="CR675" s="6"/>
      <c r="CS675" s="6"/>
      <c r="CT675" s="139"/>
      <c r="CU675" s="139"/>
      <c r="CV675" s="76"/>
      <c r="CW675" s="123"/>
      <c r="CX675" s="6"/>
      <c r="DI675" s="125"/>
      <c r="DJ675" s="16"/>
      <c r="DM675" s="16"/>
      <c r="DN675" s="16"/>
      <c r="DO675" s="125"/>
      <c r="DP675" s="16"/>
      <c r="DQ675" s="125"/>
      <c r="DZ675" s="125"/>
      <c r="EA675" s="142"/>
      <c r="EB675" s="125"/>
      <c r="EC675" s="16"/>
      <c r="ED675" s="125"/>
      <c r="EE675" s="125"/>
      <c r="EF675" s="16"/>
      <c r="EG675" s="125"/>
      <c r="EQ675" s="125"/>
      <c r="ER675" s="16"/>
      <c r="ES675" s="123"/>
      <c r="ET675" s="19"/>
      <c r="EU675" s="139"/>
      <c r="EV675" s="139"/>
      <c r="EW675" s="123"/>
      <c r="EX675" s="123"/>
      <c r="EY675" s="123"/>
      <c r="EZ675" s="123"/>
      <c r="FA675" s="123"/>
      <c r="FB675" s="123"/>
      <c r="FC675" s="6"/>
      <c r="FD675" s="123"/>
      <c r="FE675" s="6"/>
      <c r="FF675" s="123"/>
      <c r="FG675" s="6"/>
      <c r="FH675" s="6"/>
      <c r="FI675" s="6"/>
      <c r="FJ675" s="6"/>
      <c r="FK675" s="123"/>
      <c r="FL675" s="6"/>
      <c r="FM675" s="6"/>
      <c r="FN675" s="6"/>
      <c r="FO675" s="138"/>
      <c r="FP675" s="138"/>
      <c r="FQ675" s="123"/>
      <c r="FR675" s="6"/>
      <c r="FS675" s="6"/>
      <c r="FT675" s="139"/>
      <c r="FU675" s="139"/>
      <c r="FV675" s="76"/>
      <c r="FW675" s="123"/>
      <c r="FX675" s="6"/>
    </row>
    <row r="676" spans="35:180">
      <c r="AI676" s="125"/>
      <c r="AJ676" s="16"/>
      <c r="AM676" s="16"/>
      <c r="AN676" s="16"/>
      <c r="AO676" s="125"/>
      <c r="AP676" s="16"/>
      <c r="AQ676" s="125"/>
      <c r="AZ676" s="125"/>
      <c r="BA676" s="142"/>
      <c r="BB676" s="125"/>
      <c r="BC676" s="16"/>
      <c r="BD676" s="125"/>
      <c r="BE676" s="125"/>
      <c r="BF676" s="16"/>
      <c r="BG676" s="125"/>
      <c r="BQ676" s="125"/>
      <c r="BR676" s="16"/>
      <c r="BS676" s="123"/>
      <c r="BT676" s="19"/>
      <c r="BU676" s="139"/>
      <c r="BV676" s="139"/>
      <c r="BW676" s="123"/>
      <c r="BX676" s="123"/>
      <c r="BY676" s="123"/>
      <c r="BZ676" s="123"/>
      <c r="CA676" s="123"/>
      <c r="CB676" s="123"/>
      <c r="CC676" s="6"/>
      <c r="CD676" s="123"/>
      <c r="CE676" s="6"/>
      <c r="CF676" s="123"/>
      <c r="CG676" s="6"/>
      <c r="CH676" s="6"/>
      <c r="CI676" s="6"/>
      <c r="CJ676" s="6"/>
      <c r="CK676" s="123"/>
      <c r="CL676" s="6"/>
      <c r="CM676" s="6"/>
      <c r="CN676" s="6"/>
      <c r="CO676" s="138"/>
      <c r="CP676" s="138"/>
      <c r="CQ676" s="123"/>
      <c r="CR676" s="6"/>
      <c r="CS676" s="6"/>
      <c r="CT676" s="139"/>
      <c r="CU676" s="139"/>
      <c r="CV676" s="76"/>
      <c r="CW676" s="123"/>
      <c r="CX676" s="6"/>
      <c r="DI676" s="125"/>
      <c r="DJ676" s="16"/>
      <c r="DM676" s="16"/>
      <c r="DN676" s="16"/>
      <c r="DO676" s="125"/>
      <c r="DP676" s="16"/>
      <c r="DQ676" s="125"/>
      <c r="DZ676" s="125"/>
      <c r="EA676" s="142"/>
      <c r="EB676" s="125"/>
      <c r="EC676" s="16"/>
      <c r="ED676" s="125"/>
      <c r="EE676" s="125"/>
      <c r="EF676" s="16"/>
      <c r="EG676" s="125"/>
      <c r="EQ676" s="125"/>
      <c r="ER676" s="16"/>
      <c r="ES676" s="123"/>
      <c r="ET676" s="19"/>
      <c r="EU676" s="139"/>
      <c r="EV676" s="139"/>
      <c r="EW676" s="123"/>
      <c r="EX676" s="123"/>
      <c r="EY676" s="123"/>
      <c r="EZ676" s="123"/>
      <c r="FA676" s="123"/>
      <c r="FB676" s="123"/>
      <c r="FC676" s="6"/>
      <c r="FD676" s="123"/>
      <c r="FE676" s="6"/>
      <c r="FF676" s="123"/>
      <c r="FG676" s="6"/>
      <c r="FH676" s="6"/>
      <c r="FI676" s="6"/>
      <c r="FJ676" s="6"/>
      <c r="FK676" s="123"/>
      <c r="FL676" s="6"/>
      <c r="FM676" s="6"/>
      <c r="FN676" s="6"/>
      <c r="FO676" s="138"/>
      <c r="FP676" s="138"/>
      <c r="FQ676" s="123"/>
      <c r="FR676" s="6"/>
      <c r="FS676" s="6"/>
      <c r="FT676" s="139"/>
      <c r="FU676" s="139"/>
      <c r="FV676" s="76"/>
      <c r="FW676" s="123"/>
      <c r="FX676" s="6"/>
    </row>
    <row r="677" spans="35:180">
      <c r="AI677" s="125"/>
      <c r="AJ677" s="16"/>
      <c r="AM677" s="16"/>
      <c r="AN677" s="16"/>
      <c r="AO677" s="125"/>
      <c r="AP677" s="16"/>
      <c r="AQ677" s="125"/>
      <c r="AZ677" s="125"/>
      <c r="BA677" s="142"/>
      <c r="BB677" s="125"/>
      <c r="BC677" s="16"/>
      <c r="BD677" s="125"/>
      <c r="BE677" s="125"/>
      <c r="BF677" s="16"/>
      <c r="BG677" s="125"/>
      <c r="BQ677" s="125"/>
      <c r="BR677" s="16"/>
      <c r="BS677" s="123"/>
      <c r="BT677" s="19"/>
      <c r="BU677" s="139"/>
      <c r="BV677" s="139"/>
      <c r="BW677" s="123"/>
      <c r="BX677" s="123"/>
      <c r="BY677" s="123"/>
      <c r="BZ677" s="123"/>
      <c r="CA677" s="123"/>
      <c r="CB677" s="123"/>
      <c r="CC677" s="6"/>
      <c r="CD677" s="123"/>
      <c r="CE677" s="6"/>
      <c r="CF677" s="123"/>
      <c r="CG677" s="6"/>
      <c r="CH677" s="6"/>
      <c r="CI677" s="6"/>
      <c r="CJ677" s="6"/>
      <c r="CK677" s="123"/>
      <c r="CL677" s="6"/>
      <c r="CM677" s="6"/>
      <c r="CN677" s="6"/>
      <c r="CO677" s="138"/>
      <c r="CP677" s="138"/>
      <c r="CQ677" s="123"/>
      <c r="CR677" s="6"/>
      <c r="CS677" s="6"/>
      <c r="CT677" s="139"/>
      <c r="CU677" s="139"/>
      <c r="CV677" s="76"/>
      <c r="CW677" s="123"/>
      <c r="CX677" s="6"/>
      <c r="DI677" s="125"/>
      <c r="DJ677" s="16"/>
      <c r="DM677" s="16"/>
      <c r="DN677" s="16"/>
      <c r="DO677" s="125"/>
      <c r="DP677" s="16"/>
      <c r="DQ677" s="125"/>
      <c r="DZ677" s="125"/>
      <c r="EA677" s="142"/>
      <c r="EB677" s="125"/>
      <c r="EC677" s="16"/>
      <c r="ED677" s="125"/>
      <c r="EE677" s="125"/>
      <c r="EF677" s="16"/>
      <c r="EG677" s="125"/>
      <c r="EQ677" s="125"/>
      <c r="ER677" s="16"/>
      <c r="ES677" s="123"/>
      <c r="ET677" s="19"/>
      <c r="EU677" s="139"/>
      <c r="EV677" s="139"/>
      <c r="EW677" s="123"/>
      <c r="EX677" s="123"/>
      <c r="EY677" s="123"/>
      <c r="EZ677" s="123"/>
      <c r="FA677" s="123"/>
      <c r="FB677" s="123"/>
      <c r="FC677" s="6"/>
      <c r="FD677" s="123"/>
      <c r="FE677" s="6"/>
      <c r="FF677" s="123"/>
      <c r="FG677" s="6"/>
      <c r="FH677" s="6"/>
      <c r="FI677" s="6"/>
      <c r="FJ677" s="6"/>
      <c r="FK677" s="123"/>
      <c r="FL677" s="6"/>
      <c r="FM677" s="6"/>
      <c r="FN677" s="6"/>
      <c r="FO677" s="138"/>
      <c r="FP677" s="138"/>
      <c r="FQ677" s="123"/>
      <c r="FR677" s="6"/>
      <c r="FS677" s="6"/>
      <c r="FT677" s="139"/>
      <c r="FU677" s="139"/>
      <c r="FV677" s="76"/>
      <c r="FW677" s="123"/>
      <c r="FX677" s="6"/>
    </row>
    <row r="678" spans="35:180">
      <c r="AI678" s="125"/>
      <c r="AJ678" s="16"/>
      <c r="AM678" s="16"/>
      <c r="AN678" s="16"/>
      <c r="AO678" s="125"/>
      <c r="AP678" s="16"/>
      <c r="AQ678" s="125"/>
      <c r="AZ678" s="125"/>
      <c r="BA678" s="142"/>
      <c r="BB678" s="125"/>
      <c r="BC678" s="16"/>
      <c r="BD678" s="125"/>
      <c r="BE678" s="125"/>
      <c r="BF678" s="16"/>
      <c r="BG678" s="125"/>
      <c r="BQ678" s="125"/>
      <c r="BR678" s="16"/>
      <c r="BS678" s="123"/>
      <c r="BT678" s="19"/>
      <c r="BU678" s="139"/>
      <c r="BV678" s="139"/>
      <c r="BW678" s="123"/>
      <c r="BX678" s="123"/>
      <c r="BY678" s="123"/>
      <c r="BZ678" s="123"/>
      <c r="CA678" s="123"/>
      <c r="CB678" s="123"/>
      <c r="CC678" s="6"/>
      <c r="CD678" s="123"/>
      <c r="CE678" s="6"/>
      <c r="CF678" s="123"/>
      <c r="CG678" s="6"/>
      <c r="CH678" s="6"/>
      <c r="CI678" s="6"/>
      <c r="CJ678" s="6"/>
      <c r="CK678" s="123"/>
      <c r="CL678" s="6"/>
      <c r="CM678" s="6"/>
      <c r="CN678" s="6"/>
      <c r="CO678" s="138"/>
      <c r="CP678" s="138"/>
      <c r="CQ678" s="123"/>
      <c r="CR678" s="6"/>
      <c r="CS678" s="6"/>
      <c r="CT678" s="139"/>
      <c r="CU678" s="139"/>
      <c r="CV678" s="76"/>
      <c r="CW678" s="123"/>
      <c r="CX678" s="6"/>
      <c r="DI678" s="125"/>
      <c r="DJ678" s="16"/>
      <c r="DM678" s="16"/>
      <c r="DN678" s="16"/>
      <c r="DO678" s="125"/>
      <c r="DP678" s="16"/>
      <c r="DQ678" s="125"/>
      <c r="DZ678" s="125"/>
      <c r="EA678" s="142"/>
      <c r="EB678" s="125"/>
      <c r="EC678" s="16"/>
      <c r="ED678" s="125"/>
      <c r="EE678" s="125"/>
      <c r="EF678" s="16"/>
      <c r="EG678" s="125"/>
      <c r="EQ678" s="125"/>
      <c r="ER678" s="16"/>
      <c r="ES678" s="123"/>
      <c r="ET678" s="19"/>
      <c r="EU678" s="139"/>
      <c r="EV678" s="139"/>
      <c r="EW678" s="123"/>
      <c r="EX678" s="123"/>
      <c r="EY678" s="123"/>
      <c r="EZ678" s="123"/>
      <c r="FA678" s="123"/>
      <c r="FB678" s="123"/>
      <c r="FC678" s="6"/>
      <c r="FD678" s="123"/>
      <c r="FE678" s="6"/>
      <c r="FF678" s="123"/>
      <c r="FG678" s="6"/>
      <c r="FH678" s="6"/>
      <c r="FI678" s="6"/>
      <c r="FJ678" s="6"/>
      <c r="FK678" s="123"/>
      <c r="FL678" s="6"/>
      <c r="FM678" s="6"/>
      <c r="FN678" s="6"/>
      <c r="FO678" s="138"/>
      <c r="FP678" s="138"/>
      <c r="FQ678" s="123"/>
      <c r="FR678" s="6"/>
      <c r="FS678" s="6"/>
      <c r="FT678" s="139"/>
      <c r="FU678" s="139"/>
      <c r="FV678" s="76"/>
      <c r="FW678" s="123"/>
      <c r="FX678" s="6"/>
    </row>
    <row r="679" spans="35:180">
      <c r="AI679" s="125"/>
      <c r="AJ679" s="16"/>
      <c r="AM679" s="16"/>
      <c r="AN679" s="16"/>
      <c r="AO679" s="125"/>
      <c r="AP679" s="16"/>
      <c r="AQ679" s="125"/>
      <c r="AZ679" s="125"/>
      <c r="BA679" s="142"/>
      <c r="BB679" s="125"/>
      <c r="BC679" s="16"/>
      <c r="BD679" s="125"/>
      <c r="BE679" s="125"/>
      <c r="BF679" s="16"/>
      <c r="BG679" s="125"/>
      <c r="BQ679" s="125"/>
      <c r="BR679" s="16"/>
      <c r="BS679" s="123"/>
      <c r="BT679" s="19"/>
      <c r="BU679" s="139"/>
      <c r="BV679" s="139"/>
      <c r="BW679" s="123"/>
      <c r="BX679" s="123"/>
      <c r="BY679" s="123"/>
      <c r="BZ679" s="123"/>
      <c r="CA679" s="123"/>
      <c r="CB679" s="123"/>
      <c r="CC679" s="6"/>
      <c r="CD679" s="123"/>
      <c r="CE679" s="6"/>
      <c r="CF679" s="123"/>
      <c r="CG679" s="6"/>
      <c r="CH679" s="6"/>
      <c r="CI679" s="6"/>
      <c r="CJ679" s="6"/>
      <c r="CK679" s="123"/>
      <c r="CL679" s="6"/>
      <c r="CM679" s="6"/>
      <c r="CN679" s="6"/>
      <c r="CO679" s="138"/>
      <c r="CP679" s="138"/>
      <c r="CQ679" s="123"/>
      <c r="CR679" s="6"/>
      <c r="CS679" s="6"/>
      <c r="CT679" s="139"/>
      <c r="CU679" s="139"/>
      <c r="CV679" s="76"/>
      <c r="CW679" s="123"/>
      <c r="CX679" s="6"/>
      <c r="DI679" s="125"/>
      <c r="DJ679" s="16"/>
      <c r="DM679" s="16"/>
      <c r="DN679" s="16"/>
      <c r="DO679" s="125"/>
      <c r="DP679" s="16"/>
      <c r="DQ679" s="125"/>
      <c r="DZ679" s="125"/>
      <c r="EA679" s="142"/>
      <c r="EB679" s="125"/>
      <c r="EC679" s="16"/>
      <c r="ED679" s="125"/>
      <c r="EE679" s="125"/>
      <c r="EF679" s="16"/>
      <c r="EG679" s="125"/>
      <c r="EQ679" s="125"/>
      <c r="ER679" s="16"/>
      <c r="ES679" s="123"/>
      <c r="ET679" s="19"/>
      <c r="EU679" s="139"/>
      <c r="EV679" s="139"/>
      <c r="EW679" s="123"/>
      <c r="EX679" s="123"/>
      <c r="EY679" s="123"/>
      <c r="EZ679" s="123"/>
      <c r="FA679" s="123"/>
      <c r="FB679" s="123"/>
      <c r="FC679" s="6"/>
      <c r="FD679" s="123"/>
      <c r="FE679" s="6"/>
      <c r="FF679" s="123"/>
      <c r="FG679" s="6"/>
      <c r="FH679" s="6"/>
      <c r="FI679" s="6"/>
      <c r="FJ679" s="6"/>
      <c r="FK679" s="123"/>
      <c r="FL679" s="6"/>
      <c r="FM679" s="6"/>
      <c r="FN679" s="6"/>
      <c r="FO679" s="138"/>
      <c r="FP679" s="138"/>
      <c r="FQ679" s="123"/>
      <c r="FR679" s="6"/>
      <c r="FS679" s="6"/>
      <c r="FT679" s="139"/>
      <c r="FU679" s="139"/>
      <c r="FV679" s="76"/>
      <c r="FW679" s="123"/>
      <c r="FX679" s="6"/>
    </row>
    <row r="680" spans="35:180">
      <c r="AI680" s="125"/>
      <c r="AJ680" s="16"/>
      <c r="AM680" s="16"/>
      <c r="AN680" s="16"/>
      <c r="AO680" s="125"/>
      <c r="AP680" s="16"/>
      <c r="AQ680" s="125"/>
      <c r="AZ680" s="125"/>
      <c r="BA680" s="142"/>
      <c r="BB680" s="125"/>
      <c r="BC680" s="16"/>
      <c r="BD680" s="125"/>
      <c r="BE680" s="125"/>
      <c r="BF680" s="16"/>
      <c r="BG680" s="125"/>
      <c r="BQ680" s="125"/>
      <c r="BR680" s="16"/>
      <c r="BS680" s="123"/>
      <c r="BT680" s="19"/>
      <c r="BU680" s="139"/>
      <c r="BV680" s="139"/>
      <c r="BW680" s="123"/>
      <c r="BX680" s="123"/>
      <c r="BY680" s="123"/>
      <c r="BZ680" s="123"/>
      <c r="CA680" s="123"/>
      <c r="CB680" s="123"/>
      <c r="CC680" s="6"/>
      <c r="CD680" s="123"/>
      <c r="CE680" s="6"/>
      <c r="CF680" s="123"/>
      <c r="CG680" s="6"/>
      <c r="CH680" s="6"/>
      <c r="CI680" s="6"/>
      <c r="CJ680" s="6"/>
      <c r="CK680" s="123"/>
      <c r="CL680" s="6"/>
      <c r="CM680" s="6"/>
      <c r="CN680" s="6"/>
      <c r="CO680" s="138"/>
      <c r="CP680" s="138"/>
      <c r="CQ680" s="123"/>
      <c r="CR680" s="6"/>
      <c r="CS680" s="6"/>
      <c r="CT680" s="139"/>
      <c r="CU680" s="139"/>
      <c r="CV680" s="76"/>
      <c r="CW680" s="123"/>
      <c r="CX680" s="6"/>
      <c r="DI680" s="125"/>
      <c r="DJ680" s="16"/>
      <c r="DM680" s="16"/>
      <c r="DN680" s="16"/>
      <c r="DO680" s="125"/>
      <c r="DP680" s="16"/>
      <c r="DQ680" s="125"/>
      <c r="DZ680" s="125"/>
      <c r="EA680" s="142"/>
      <c r="EB680" s="125"/>
      <c r="EC680" s="16"/>
      <c r="ED680" s="125"/>
      <c r="EE680" s="125"/>
      <c r="EF680" s="16"/>
      <c r="EG680" s="125"/>
      <c r="EQ680" s="125"/>
      <c r="ER680" s="16"/>
      <c r="ES680" s="123"/>
      <c r="ET680" s="19"/>
      <c r="EU680" s="139"/>
      <c r="EV680" s="139"/>
      <c r="EW680" s="123"/>
      <c r="EX680" s="123"/>
      <c r="EY680" s="123"/>
      <c r="EZ680" s="123"/>
      <c r="FA680" s="123"/>
      <c r="FB680" s="123"/>
      <c r="FC680" s="6"/>
      <c r="FD680" s="123"/>
      <c r="FE680" s="6"/>
      <c r="FF680" s="123"/>
      <c r="FG680" s="6"/>
      <c r="FH680" s="6"/>
      <c r="FI680" s="6"/>
      <c r="FJ680" s="6"/>
      <c r="FK680" s="123"/>
      <c r="FL680" s="6"/>
      <c r="FM680" s="6"/>
      <c r="FN680" s="6"/>
      <c r="FO680" s="138"/>
      <c r="FP680" s="138"/>
      <c r="FQ680" s="123"/>
      <c r="FR680" s="6"/>
      <c r="FS680" s="6"/>
      <c r="FT680" s="139"/>
      <c r="FU680" s="139"/>
      <c r="FV680" s="76"/>
      <c r="FW680" s="123"/>
      <c r="FX680" s="6"/>
    </row>
    <row r="681" spans="35:180">
      <c r="AI681" s="125"/>
      <c r="AJ681" s="16"/>
      <c r="AM681" s="16"/>
      <c r="AN681" s="16"/>
      <c r="AO681" s="125"/>
      <c r="AP681" s="16"/>
      <c r="AQ681" s="125"/>
      <c r="AZ681" s="125"/>
      <c r="BA681" s="142"/>
      <c r="BB681" s="125"/>
      <c r="BC681" s="16"/>
      <c r="BD681" s="125"/>
      <c r="BE681" s="125"/>
      <c r="BF681" s="16"/>
      <c r="BG681" s="125"/>
      <c r="BQ681" s="125"/>
      <c r="BR681" s="16"/>
      <c r="BS681" s="123"/>
      <c r="BT681" s="19"/>
      <c r="BU681" s="139"/>
      <c r="BV681" s="139"/>
      <c r="BW681" s="123"/>
      <c r="BX681" s="123"/>
      <c r="BY681" s="123"/>
      <c r="BZ681" s="123"/>
      <c r="CA681" s="123"/>
      <c r="CB681" s="123"/>
      <c r="CC681" s="6"/>
      <c r="CD681" s="123"/>
      <c r="CE681" s="6"/>
      <c r="CF681" s="123"/>
      <c r="CG681" s="6"/>
      <c r="CH681" s="6"/>
      <c r="CI681" s="6"/>
      <c r="CJ681" s="6"/>
      <c r="CK681" s="123"/>
      <c r="CL681" s="6"/>
      <c r="CM681" s="6"/>
      <c r="CN681" s="6"/>
      <c r="CO681" s="138"/>
      <c r="CP681" s="138"/>
      <c r="CQ681" s="123"/>
      <c r="CR681" s="6"/>
      <c r="CS681" s="6"/>
      <c r="CT681" s="139"/>
      <c r="CU681" s="139"/>
      <c r="CV681" s="76"/>
      <c r="CW681" s="123"/>
      <c r="CX681" s="6"/>
      <c r="DI681" s="125"/>
      <c r="DJ681" s="16"/>
      <c r="DM681" s="16"/>
      <c r="DN681" s="16"/>
      <c r="DO681" s="125"/>
      <c r="DP681" s="16"/>
      <c r="DQ681" s="125"/>
      <c r="DZ681" s="125"/>
      <c r="EA681" s="142"/>
      <c r="EB681" s="125"/>
      <c r="EC681" s="16"/>
      <c r="ED681" s="125"/>
      <c r="EE681" s="125"/>
      <c r="EF681" s="16"/>
      <c r="EG681" s="125"/>
      <c r="EQ681" s="125"/>
      <c r="ER681" s="16"/>
      <c r="ES681" s="123"/>
      <c r="ET681" s="19"/>
      <c r="EU681" s="139"/>
      <c r="EV681" s="139"/>
      <c r="EW681" s="123"/>
      <c r="EX681" s="123"/>
      <c r="EY681" s="123"/>
      <c r="EZ681" s="123"/>
      <c r="FA681" s="123"/>
      <c r="FB681" s="123"/>
      <c r="FC681" s="6"/>
      <c r="FD681" s="123"/>
      <c r="FE681" s="6"/>
      <c r="FF681" s="123"/>
      <c r="FG681" s="6"/>
      <c r="FH681" s="6"/>
      <c r="FI681" s="6"/>
      <c r="FJ681" s="6"/>
      <c r="FK681" s="123"/>
      <c r="FL681" s="6"/>
      <c r="FM681" s="6"/>
      <c r="FN681" s="6"/>
      <c r="FO681" s="138"/>
      <c r="FP681" s="138"/>
      <c r="FQ681" s="123"/>
      <c r="FR681" s="6"/>
      <c r="FS681" s="6"/>
      <c r="FT681" s="139"/>
      <c r="FU681" s="139"/>
      <c r="FV681" s="76"/>
      <c r="FW681" s="123"/>
      <c r="FX681" s="6"/>
    </row>
    <row r="682" spans="35:180">
      <c r="AI682" s="125"/>
      <c r="AJ682" s="16"/>
      <c r="AM682" s="16"/>
      <c r="AN682" s="16"/>
      <c r="AO682" s="125"/>
      <c r="AP682" s="16"/>
      <c r="AQ682" s="125"/>
      <c r="AZ682" s="125"/>
      <c r="BA682" s="142"/>
      <c r="BB682" s="125"/>
      <c r="BC682" s="16"/>
      <c r="BD682" s="125"/>
      <c r="BE682" s="125"/>
      <c r="BF682" s="16"/>
      <c r="BG682" s="125"/>
      <c r="BQ682" s="125"/>
      <c r="BR682" s="16"/>
      <c r="BS682" s="123"/>
      <c r="BT682" s="19"/>
      <c r="BU682" s="139"/>
      <c r="BV682" s="139"/>
      <c r="BW682" s="123"/>
      <c r="BX682" s="123"/>
      <c r="BY682" s="123"/>
      <c r="BZ682" s="123"/>
      <c r="CA682" s="123"/>
      <c r="CB682" s="123"/>
      <c r="CC682" s="6"/>
      <c r="CD682" s="123"/>
      <c r="CE682" s="6"/>
      <c r="CF682" s="123"/>
      <c r="CG682" s="6"/>
      <c r="CH682" s="6"/>
      <c r="CI682" s="6"/>
      <c r="CJ682" s="6"/>
      <c r="CK682" s="123"/>
      <c r="CL682" s="6"/>
      <c r="CM682" s="6"/>
      <c r="CN682" s="6"/>
      <c r="CO682" s="138"/>
      <c r="CP682" s="138"/>
      <c r="CQ682" s="123"/>
      <c r="CR682" s="6"/>
      <c r="CS682" s="6"/>
      <c r="CT682" s="139"/>
      <c r="CU682" s="139"/>
      <c r="CV682" s="76"/>
      <c r="CW682" s="123"/>
      <c r="CX682" s="6"/>
      <c r="DI682" s="125"/>
      <c r="DJ682" s="16"/>
      <c r="DM682" s="16"/>
      <c r="DN682" s="16"/>
      <c r="DO682" s="125"/>
      <c r="DP682" s="16"/>
      <c r="DQ682" s="125"/>
      <c r="DZ682" s="125"/>
      <c r="EA682" s="142"/>
      <c r="EB682" s="125"/>
      <c r="EC682" s="16"/>
      <c r="ED682" s="125"/>
      <c r="EE682" s="125"/>
      <c r="EF682" s="16"/>
      <c r="EG682" s="125"/>
      <c r="EQ682" s="125"/>
      <c r="ER682" s="16"/>
      <c r="ES682" s="123"/>
      <c r="ET682" s="19"/>
      <c r="EU682" s="139"/>
      <c r="EV682" s="139"/>
      <c r="EW682" s="123"/>
      <c r="EX682" s="123"/>
      <c r="EY682" s="123"/>
      <c r="EZ682" s="123"/>
      <c r="FA682" s="123"/>
      <c r="FB682" s="123"/>
      <c r="FC682" s="6"/>
      <c r="FD682" s="123"/>
      <c r="FE682" s="6"/>
      <c r="FF682" s="123"/>
      <c r="FG682" s="6"/>
      <c r="FH682" s="6"/>
      <c r="FI682" s="6"/>
      <c r="FJ682" s="6"/>
      <c r="FK682" s="123"/>
      <c r="FL682" s="6"/>
      <c r="FM682" s="6"/>
      <c r="FN682" s="6"/>
      <c r="FO682" s="138"/>
      <c r="FP682" s="138"/>
      <c r="FQ682" s="123"/>
      <c r="FR682" s="6"/>
      <c r="FS682" s="6"/>
      <c r="FT682" s="139"/>
      <c r="FU682" s="139"/>
      <c r="FV682" s="76"/>
      <c r="FW682" s="123"/>
      <c r="FX682" s="6"/>
    </row>
    <row r="683" spans="35:180">
      <c r="AI683" s="125"/>
      <c r="AJ683" s="16"/>
      <c r="AM683" s="16"/>
      <c r="AN683" s="16"/>
      <c r="AO683" s="125"/>
      <c r="AP683" s="16"/>
      <c r="AQ683" s="125"/>
      <c r="AZ683" s="125"/>
      <c r="BA683" s="142"/>
      <c r="BB683" s="125"/>
      <c r="BC683" s="16"/>
      <c r="BD683" s="125"/>
      <c r="BE683" s="125"/>
      <c r="BF683" s="16"/>
      <c r="BG683" s="125"/>
      <c r="BQ683" s="125"/>
      <c r="BR683" s="16"/>
      <c r="BS683" s="123"/>
      <c r="BT683" s="19"/>
      <c r="BU683" s="139"/>
      <c r="BV683" s="139"/>
      <c r="BW683" s="123"/>
      <c r="BX683" s="123"/>
      <c r="BY683" s="123"/>
      <c r="BZ683" s="123"/>
      <c r="CA683" s="123"/>
      <c r="CB683" s="123"/>
      <c r="CC683" s="6"/>
      <c r="CD683" s="123"/>
      <c r="CE683" s="6"/>
      <c r="CF683" s="123"/>
      <c r="CG683" s="6"/>
      <c r="CH683" s="6"/>
      <c r="CI683" s="6"/>
      <c r="CJ683" s="6"/>
      <c r="CK683" s="123"/>
      <c r="CL683" s="6"/>
      <c r="CM683" s="6"/>
      <c r="CN683" s="6"/>
      <c r="CO683" s="138"/>
      <c r="CP683" s="138"/>
      <c r="CQ683" s="123"/>
      <c r="CR683" s="6"/>
      <c r="CS683" s="6"/>
      <c r="CT683" s="139"/>
      <c r="CU683" s="139"/>
      <c r="CV683" s="76"/>
      <c r="CW683" s="123"/>
      <c r="CX683" s="6"/>
      <c r="DI683" s="125"/>
      <c r="DJ683" s="16"/>
      <c r="DM683" s="16"/>
      <c r="DN683" s="16"/>
      <c r="DO683" s="125"/>
      <c r="DP683" s="16"/>
      <c r="DQ683" s="125"/>
      <c r="DZ683" s="125"/>
      <c r="EA683" s="142"/>
      <c r="EB683" s="125"/>
      <c r="EC683" s="16"/>
      <c r="ED683" s="125"/>
      <c r="EE683" s="125"/>
      <c r="EF683" s="16"/>
      <c r="EG683" s="125"/>
      <c r="EQ683" s="125"/>
      <c r="ER683" s="16"/>
      <c r="ES683" s="123"/>
      <c r="ET683" s="19"/>
      <c r="EU683" s="139"/>
      <c r="EV683" s="139"/>
      <c r="EW683" s="123"/>
      <c r="EX683" s="123"/>
      <c r="EY683" s="123"/>
      <c r="EZ683" s="123"/>
      <c r="FA683" s="123"/>
      <c r="FB683" s="123"/>
      <c r="FC683" s="6"/>
      <c r="FD683" s="123"/>
      <c r="FE683" s="6"/>
      <c r="FF683" s="123"/>
      <c r="FG683" s="6"/>
      <c r="FH683" s="6"/>
      <c r="FI683" s="6"/>
      <c r="FJ683" s="6"/>
      <c r="FK683" s="123"/>
      <c r="FL683" s="6"/>
      <c r="FM683" s="6"/>
      <c r="FN683" s="6"/>
      <c r="FO683" s="138"/>
      <c r="FP683" s="138"/>
      <c r="FQ683" s="123"/>
      <c r="FR683" s="6"/>
      <c r="FS683" s="6"/>
      <c r="FT683" s="139"/>
      <c r="FU683" s="139"/>
      <c r="FV683" s="76"/>
      <c r="FW683" s="123"/>
      <c r="FX683" s="6"/>
    </row>
    <row r="684" spans="35:180">
      <c r="AI684" s="125"/>
      <c r="AJ684" s="16"/>
      <c r="AM684" s="16"/>
      <c r="AN684" s="16"/>
      <c r="AO684" s="125"/>
      <c r="AP684" s="16"/>
      <c r="AQ684" s="125"/>
      <c r="AZ684" s="125"/>
      <c r="BA684" s="142"/>
      <c r="BB684" s="125"/>
      <c r="BC684" s="16"/>
      <c r="BD684" s="125"/>
      <c r="BE684" s="125"/>
      <c r="BF684" s="16"/>
      <c r="BG684" s="125"/>
      <c r="BQ684" s="125"/>
      <c r="BR684" s="16"/>
      <c r="BS684" s="123"/>
      <c r="BT684" s="19"/>
      <c r="BU684" s="139"/>
      <c r="BV684" s="139"/>
      <c r="BW684" s="123"/>
      <c r="BX684" s="123"/>
      <c r="BY684" s="123"/>
      <c r="BZ684" s="123"/>
      <c r="CA684" s="123"/>
      <c r="CB684" s="123"/>
      <c r="CC684" s="6"/>
      <c r="CD684" s="123"/>
      <c r="CE684" s="6"/>
      <c r="CF684" s="123"/>
      <c r="CG684" s="6"/>
      <c r="CH684" s="6"/>
      <c r="CI684" s="6"/>
      <c r="CJ684" s="6"/>
      <c r="CK684" s="123"/>
      <c r="CL684" s="6"/>
      <c r="CM684" s="6"/>
      <c r="CN684" s="6"/>
      <c r="CO684" s="138"/>
      <c r="CP684" s="138"/>
      <c r="CQ684" s="123"/>
      <c r="CR684" s="6"/>
      <c r="CS684" s="6"/>
      <c r="CT684" s="139"/>
      <c r="CU684" s="139"/>
      <c r="CV684" s="76"/>
      <c r="CW684" s="123"/>
      <c r="CX684" s="6"/>
      <c r="DI684" s="125"/>
      <c r="DJ684" s="16"/>
      <c r="DM684" s="16"/>
      <c r="DN684" s="16"/>
      <c r="DO684" s="125"/>
      <c r="DP684" s="16"/>
      <c r="DQ684" s="125"/>
      <c r="DZ684" s="125"/>
      <c r="EA684" s="142"/>
      <c r="EB684" s="125"/>
      <c r="EC684" s="16"/>
      <c r="ED684" s="125"/>
      <c r="EE684" s="125"/>
      <c r="EF684" s="16"/>
      <c r="EG684" s="125"/>
      <c r="EQ684" s="125"/>
      <c r="ER684" s="16"/>
      <c r="ES684" s="123"/>
      <c r="ET684" s="19"/>
      <c r="EU684" s="139"/>
      <c r="EV684" s="139"/>
      <c r="EW684" s="123"/>
      <c r="EX684" s="123"/>
      <c r="EY684" s="123"/>
      <c r="EZ684" s="123"/>
      <c r="FA684" s="123"/>
      <c r="FB684" s="123"/>
      <c r="FC684" s="6"/>
      <c r="FD684" s="123"/>
      <c r="FE684" s="6"/>
      <c r="FF684" s="123"/>
      <c r="FG684" s="6"/>
      <c r="FH684" s="6"/>
      <c r="FI684" s="6"/>
      <c r="FJ684" s="6"/>
      <c r="FK684" s="123"/>
      <c r="FL684" s="6"/>
      <c r="FM684" s="6"/>
      <c r="FN684" s="6"/>
      <c r="FO684" s="138"/>
      <c r="FP684" s="138"/>
      <c r="FQ684" s="123"/>
      <c r="FR684" s="6"/>
      <c r="FS684" s="6"/>
      <c r="FT684" s="139"/>
      <c r="FU684" s="139"/>
      <c r="FV684" s="76"/>
      <c r="FW684" s="123"/>
      <c r="FX684" s="6"/>
    </row>
    <row r="685" spans="35:180">
      <c r="AI685" s="125"/>
      <c r="AJ685" s="16"/>
      <c r="AM685" s="16"/>
      <c r="AN685" s="16"/>
      <c r="AO685" s="125"/>
      <c r="AP685" s="16"/>
      <c r="AQ685" s="125"/>
      <c r="AZ685" s="125"/>
      <c r="BA685" s="142"/>
      <c r="BB685" s="125"/>
      <c r="BC685" s="16"/>
      <c r="BD685" s="125"/>
      <c r="BE685" s="125"/>
      <c r="BF685" s="16"/>
      <c r="BG685" s="125"/>
      <c r="BQ685" s="125"/>
      <c r="BR685" s="16"/>
      <c r="BS685" s="123"/>
      <c r="BT685" s="19"/>
      <c r="BU685" s="139"/>
      <c r="BV685" s="139"/>
      <c r="BW685" s="123"/>
      <c r="BX685" s="123"/>
      <c r="BY685" s="123"/>
      <c r="BZ685" s="123"/>
      <c r="CA685" s="123"/>
      <c r="CB685" s="123"/>
      <c r="CC685" s="6"/>
      <c r="CD685" s="123"/>
      <c r="CE685" s="6"/>
      <c r="CF685" s="123"/>
      <c r="CG685" s="6"/>
      <c r="CH685" s="6"/>
      <c r="CI685" s="6"/>
      <c r="CJ685" s="6"/>
      <c r="CK685" s="123"/>
      <c r="CL685" s="6"/>
      <c r="CM685" s="6"/>
      <c r="CN685" s="6"/>
      <c r="CO685" s="138"/>
      <c r="CP685" s="138"/>
      <c r="CQ685" s="123"/>
      <c r="CR685" s="6"/>
      <c r="CS685" s="6"/>
      <c r="CT685" s="139"/>
      <c r="CU685" s="139"/>
      <c r="CV685" s="76"/>
      <c r="CW685" s="123"/>
      <c r="CX685" s="6"/>
      <c r="DI685" s="125"/>
      <c r="DJ685" s="16"/>
      <c r="DM685" s="16"/>
      <c r="DN685" s="16"/>
      <c r="DO685" s="125"/>
      <c r="DP685" s="16"/>
      <c r="DQ685" s="125"/>
      <c r="DZ685" s="125"/>
      <c r="EA685" s="142"/>
      <c r="EB685" s="125"/>
      <c r="EC685" s="16"/>
      <c r="ED685" s="125"/>
      <c r="EE685" s="125"/>
      <c r="EF685" s="16"/>
      <c r="EG685" s="125"/>
      <c r="EQ685" s="125"/>
      <c r="ER685" s="16"/>
      <c r="ES685" s="123"/>
      <c r="ET685" s="19"/>
      <c r="EU685" s="139"/>
      <c r="EV685" s="139"/>
      <c r="EW685" s="123"/>
      <c r="EX685" s="123"/>
      <c r="EY685" s="123"/>
      <c r="EZ685" s="123"/>
      <c r="FA685" s="123"/>
      <c r="FB685" s="123"/>
      <c r="FC685" s="6"/>
      <c r="FD685" s="123"/>
      <c r="FE685" s="6"/>
      <c r="FF685" s="123"/>
      <c r="FG685" s="6"/>
      <c r="FH685" s="6"/>
      <c r="FI685" s="6"/>
      <c r="FJ685" s="6"/>
      <c r="FK685" s="123"/>
      <c r="FL685" s="6"/>
      <c r="FM685" s="6"/>
      <c r="FN685" s="6"/>
      <c r="FO685" s="138"/>
      <c r="FP685" s="138"/>
      <c r="FQ685" s="123"/>
      <c r="FR685" s="6"/>
      <c r="FS685" s="6"/>
      <c r="FT685" s="139"/>
      <c r="FU685" s="139"/>
      <c r="FV685" s="76"/>
      <c r="FW685" s="123"/>
      <c r="FX685" s="6"/>
    </row>
    <row r="686" spans="35:180">
      <c r="AI686" s="125"/>
      <c r="AJ686" s="16"/>
      <c r="AM686" s="16"/>
      <c r="AN686" s="16"/>
      <c r="AO686" s="125"/>
      <c r="AP686" s="16"/>
      <c r="AQ686" s="125"/>
      <c r="AZ686" s="125"/>
      <c r="BA686" s="142"/>
      <c r="BB686" s="125"/>
      <c r="BC686" s="16"/>
      <c r="BD686" s="125"/>
      <c r="BE686" s="125"/>
      <c r="BF686" s="16"/>
      <c r="BG686" s="125"/>
      <c r="BQ686" s="125"/>
      <c r="BR686" s="16"/>
      <c r="BS686" s="123"/>
      <c r="BT686" s="19"/>
      <c r="BU686" s="139"/>
      <c r="BV686" s="139"/>
      <c r="BW686" s="123"/>
      <c r="BX686" s="123"/>
      <c r="BY686" s="123"/>
      <c r="BZ686" s="123"/>
      <c r="CA686" s="123"/>
      <c r="CB686" s="123"/>
      <c r="CC686" s="6"/>
      <c r="CD686" s="123"/>
      <c r="CE686" s="6"/>
      <c r="CF686" s="123"/>
      <c r="CG686" s="6"/>
      <c r="CH686" s="6"/>
      <c r="CI686" s="6"/>
      <c r="CJ686" s="6"/>
      <c r="CK686" s="123"/>
      <c r="CL686" s="6"/>
      <c r="CM686" s="6"/>
      <c r="CN686" s="6"/>
      <c r="CO686" s="138"/>
      <c r="CP686" s="138"/>
      <c r="CQ686" s="123"/>
      <c r="CR686" s="6"/>
      <c r="CS686" s="6"/>
      <c r="CT686" s="139"/>
      <c r="CU686" s="139"/>
      <c r="CV686" s="76"/>
      <c r="CW686" s="123"/>
      <c r="CX686" s="6"/>
      <c r="DI686" s="125"/>
      <c r="DJ686" s="16"/>
      <c r="DM686" s="16"/>
      <c r="DN686" s="16"/>
      <c r="DO686" s="125"/>
      <c r="DP686" s="16"/>
      <c r="DQ686" s="125"/>
      <c r="DZ686" s="125"/>
      <c r="EA686" s="142"/>
      <c r="EB686" s="125"/>
      <c r="EC686" s="16"/>
      <c r="ED686" s="125"/>
      <c r="EE686" s="125"/>
      <c r="EF686" s="16"/>
      <c r="EG686" s="125"/>
      <c r="EQ686" s="125"/>
      <c r="ER686" s="16"/>
      <c r="ES686" s="123"/>
      <c r="ET686" s="19"/>
      <c r="EU686" s="139"/>
      <c r="EV686" s="139"/>
      <c r="EW686" s="123"/>
      <c r="EX686" s="123"/>
      <c r="EY686" s="123"/>
      <c r="EZ686" s="123"/>
      <c r="FA686" s="123"/>
      <c r="FB686" s="123"/>
      <c r="FC686" s="6"/>
      <c r="FD686" s="123"/>
      <c r="FE686" s="6"/>
      <c r="FF686" s="123"/>
      <c r="FG686" s="6"/>
      <c r="FH686" s="6"/>
      <c r="FI686" s="6"/>
      <c r="FJ686" s="6"/>
      <c r="FK686" s="123"/>
      <c r="FL686" s="6"/>
      <c r="FM686" s="6"/>
      <c r="FN686" s="6"/>
      <c r="FO686" s="138"/>
      <c r="FP686" s="138"/>
      <c r="FQ686" s="123"/>
      <c r="FR686" s="6"/>
      <c r="FS686" s="6"/>
      <c r="FT686" s="139"/>
      <c r="FU686" s="139"/>
      <c r="FV686" s="76"/>
      <c r="FW686" s="123"/>
      <c r="FX686" s="6"/>
    </row>
    <row r="687" spans="35:180">
      <c r="AI687" s="125"/>
      <c r="AJ687" s="16"/>
      <c r="AM687" s="16"/>
      <c r="AN687" s="16"/>
      <c r="AO687" s="125"/>
      <c r="AP687" s="16"/>
      <c r="AQ687" s="125"/>
      <c r="AZ687" s="125"/>
      <c r="BA687" s="142"/>
      <c r="BB687" s="125"/>
      <c r="BC687" s="16"/>
      <c r="BD687" s="125"/>
      <c r="BE687" s="125"/>
      <c r="BF687" s="16"/>
      <c r="BG687" s="125"/>
      <c r="BQ687" s="125"/>
      <c r="BR687" s="16"/>
      <c r="BS687" s="123"/>
      <c r="BT687" s="19"/>
      <c r="BU687" s="139"/>
      <c r="BV687" s="139"/>
      <c r="BW687" s="123"/>
      <c r="BX687" s="123"/>
      <c r="BY687" s="123"/>
      <c r="BZ687" s="123"/>
      <c r="CA687" s="123"/>
      <c r="CB687" s="123"/>
      <c r="CC687" s="6"/>
      <c r="CD687" s="123"/>
      <c r="CE687" s="6"/>
      <c r="CF687" s="123"/>
      <c r="CG687" s="6"/>
      <c r="CH687" s="6"/>
      <c r="CI687" s="6"/>
      <c r="CJ687" s="6"/>
      <c r="CK687" s="123"/>
      <c r="CL687" s="6"/>
      <c r="CM687" s="6"/>
      <c r="CN687" s="6"/>
      <c r="CO687" s="138"/>
      <c r="CP687" s="138"/>
      <c r="CQ687" s="123"/>
      <c r="CR687" s="6"/>
      <c r="CS687" s="6"/>
      <c r="CT687" s="139"/>
      <c r="CU687" s="139"/>
      <c r="CV687" s="76"/>
      <c r="CW687" s="123"/>
      <c r="CX687" s="6"/>
      <c r="DI687" s="125"/>
      <c r="DJ687" s="16"/>
      <c r="DM687" s="16"/>
      <c r="DN687" s="16"/>
      <c r="DO687" s="125"/>
      <c r="DP687" s="16"/>
      <c r="DQ687" s="125"/>
      <c r="DZ687" s="125"/>
      <c r="EA687" s="142"/>
      <c r="EB687" s="125"/>
      <c r="EC687" s="16"/>
      <c r="ED687" s="125"/>
      <c r="EE687" s="125"/>
      <c r="EF687" s="16"/>
      <c r="EG687" s="125"/>
      <c r="EQ687" s="125"/>
      <c r="ER687" s="16"/>
      <c r="ES687" s="123"/>
      <c r="ET687" s="19"/>
      <c r="EU687" s="139"/>
      <c r="EV687" s="139"/>
      <c r="EW687" s="123"/>
      <c r="EX687" s="123"/>
      <c r="EY687" s="123"/>
      <c r="EZ687" s="123"/>
      <c r="FA687" s="123"/>
      <c r="FB687" s="123"/>
      <c r="FC687" s="6"/>
      <c r="FD687" s="123"/>
      <c r="FE687" s="6"/>
      <c r="FF687" s="123"/>
      <c r="FG687" s="6"/>
      <c r="FH687" s="6"/>
      <c r="FI687" s="6"/>
      <c r="FJ687" s="6"/>
      <c r="FK687" s="123"/>
      <c r="FL687" s="6"/>
      <c r="FM687" s="6"/>
      <c r="FN687" s="6"/>
      <c r="FO687" s="138"/>
      <c r="FP687" s="138"/>
      <c r="FQ687" s="123"/>
      <c r="FR687" s="6"/>
      <c r="FS687" s="6"/>
      <c r="FT687" s="139"/>
      <c r="FU687" s="139"/>
      <c r="FV687" s="76"/>
      <c r="FW687" s="123"/>
      <c r="FX687" s="6"/>
    </row>
    <row r="688" spans="35:180">
      <c r="AI688" s="125"/>
      <c r="AJ688" s="16"/>
      <c r="AM688" s="16"/>
      <c r="AN688" s="16"/>
      <c r="AO688" s="125"/>
      <c r="AP688" s="16"/>
      <c r="AQ688" s="125"/>
      <c r="AZ688" s="125"/>
      <c r="BA688" s="142"/>
      <c r="BB688" s="125"/>
      <c r="BC688" s="16"/>
      <c r="BD688" s="125"/>
      <c r="BE688" s="125"/>
      <c r="BF688" s="16"/>
      <c r="BG688" s="125"/>
      <c r="BQ688" s="125"/>
      <c r="BR688" s="16"/>
      <c r="BS688" s="123"/>
      <c r="BT688" s="19"/>
      <c r="BU688" s="139"/>
      <c r="BV688" s="139"/>
      <c r="BW688" s="123"/>
      <c r="BX688" s="123"/>
      <c r="BY688" s="123"/>
      <c r="BZ688" s="123"/>
      <c r="CA688" s="123"/>
      <c r="CB688" s="123"/>
      <c r="CC688" s="6"/>
      <c r="CD688" s="123"/>
      <c r="CE688" s="6"/>
      <c r="CF688" s="123"/>
      <c r="CG688" s="6"/>
      <c r="CH688" s="6"/>
      <c r="CI688" s="6"/>
      <c r="CJ688" s="6"/>
      <c r="CK688" s="123"/>
      <c r="CL688" s="6"/>
      <c r="CM688" s="6"/>
      <c r="CN688" s="6"/>
      <c r="CO688" s="138"/>
      <c r="CP688" s="138"/>
      <c r="CQ688" s="123"/>
      <c r="CR688" s="6"/>
      <c r="CS688" s="6"/>
      <c r="CT688" s="139"/>
      <c r="CU688" s="139"/>
      <c r="CV688" s="76"/>
      <c r="CW688" s="123"/>
      <c r="CX688" s="6"/>
      <c r="DI688" s="125"/>
      <c r="DJ688" s="16"/>
      <c r="DM688" s="16"/>
      <c r="DN688" s="16"/>
      <c r="DO688" s="125"/>
      <c r="DP688" s="16"/>
      <c r="DQ688" s="125"/>
      <c r="DZ688" s="125"/>
      <c r="EA688" s="142"/>
      <c r="EB688" s="125"/>
      <c r="EC688" s="16"/>
      <c r="ED688" s="125"/>
      <c r="EE688" s="125"/>
      <c r="EF688" s="16"/>
      <c r="EG688" s="125"/>
      <c r="EQ688" s="125"/>
      <c r="ER688" s="16"/>
      <c r="ES688" s="123"/>
      <c r="ET688" s="19"/>
      <c r="EU688" s="139"/>
      <c r="EV688" s="139"/>
      <c r="EW688" s="123"/>
      <c r="EX688" s="123"/>
      <c r="EY688" s="123"/>
      <c r="EZ688" s="123"/>
      <c r="FA688" s="123"/>
      <c r="FB688" s="123"/>
      <c r="FC688" s="6"/>
      <c r="FD688" s="123"/>
      <c r="FE688" s="6"/>
      <c r="FF688" s="123"/>
      <c r="FG688" s="6"/>
      <c r="FH688" s="6"/>
      <c r="FI688" s="6"/>
      <c r="FJ688" s="6"/>
      <c r="FK688" s="123"/>
      <c r="FL688" s="6"/>
      <c r="FM688" s="6"/>
      <c r="FN688" s="6"/>
      <c r="FO688" s="138"/>
      <c r="FP688" s="138"/>
      <c r="FQ688" s="123"/>
      <c r="FR688" s="6"/>
      <c r="FS688" s="6"/>
      <c r="FT688" s="139"/>
      <c r="FU688" s="139"/>
      <c r="FV688" s="76"/>
      <c r="FW688" s="123"/>
      <c r="FX688" s="6"/>
    </row>
    <row r="689" spans="35:180">
      <c r="AI689" s="125"/>
      <c r="AJ689" s="16"/>
      <c r="AM689" s="16"/>
      <c r="AN689" s="16"/>
      <c r="AO689" s="125"/>
      <c r="AP689" s="16"/>
      <c r="AQ689" s="125"/>
      <c r="AZ689" s="125"/>
      <c r="BA689" s="142"/>
      <c r="BB689" s="125"/>
      <c r="BC689" s="16"/>
      <c r="BD689" s="125"/>
      <c r="BE689" s="125"/>
      <c r="BF689" s="16"/>
      <c r="BG689" s="125"/>
      <c r="BQ689" s="125"/>
      <c r="BR689" s="16"/>
      <c r="BS689" s="123"/>
      <c r="BT689" s="19"/>
      <c r="BU689" s="139"/>
      <c r="BV689" s="139"/>
      <c r="BW689" s="123"/>
      <c r="BX689" s="123"/>
      <c r="BY689" s="123"/>
      <c r="BZ689" s="123"/>
      <c r="CA689" s="123"/>
      <c r="CB689" s="123"/>
      <c r="CC689" s="6"/>
      <c r="CD689" s="123"/>
      <c r="CE689" s="6"/>
      <c r="CF689" s="123"/>
      <c r="CG689" s="6"/>
      <c r="CH689" s="6"/>
      <c r="CI689" s="6"/>
      <c r="CJ689" s="6"/>
      <c r="CK689" s="123"/>
      <c r="CL689" s="6"/>
      <c r="CM689" s="6"/>
      <c r="CN689" s="6"/>
      <c r="CO689" s="138"/>
      <c r="CP689" s="138"/>
      <c r="CQ689" s="123"/>
      <c r="CR689" s="6"/>
      <c r="CS689" s="6"/>
      <c r="CT689" s="139"/>
      <c r="CU689" s="139"/>
      <c r="CV689" s="76"/>
      <c r="CW689" s="123"/>
      <c r="CX689" s="6"/>
      <c r="DI689" s="125"/>
      <c r="DJ689" s="16"/>
      <c r="DM689" s="16"/>
      <c r="DN689" s="16"/>
      <c r="DO689" s="125"/>
      <c r="DP689" s="16"/>
      <c r="DQ689" s="125"/>
      <c r="DZ689" s="125"/>
      <c r="EA689" s="142"/>
      <c r="EB689" s="125"/>
      <c r="EC689" s="16"/>
      <c r="ED689" s="125"/>
      <c r="EE689" s="125"/>
      <c r="EF689" s="16"/>
      <c r="EG689" s="125"/>
      <c r="EQ689" s="125"/>
      <c r="ER689" s="16"/>
      <c r="ES689" s="123"/>
      <c r="ET689" s="19"/>
      <c r="EU689" s="139"/>
      <c r="EV689" s="139"/>
      <c r="EW689" s="123"/>
      <c r="EX689" s="123"/>
      <c r="EY689" s="123"/>
      <c r="EZ689" s="123"/>
      <c r="FA689" s="123"/>
      <c r="FB689" s="123"/>
      <c r="FC689" s="6"/>
      <c r="FD689" s="123"/>
      <c r="FE689" s="6"/>
      <c r="FF689" s="123"/>
      <c r="FG689" s="6"/>
      <c r="FH689" s="6"/>
      <c r="FI689" s="6"/>
      <c r="FJ689" s="6"/>
      <c r="FK689" s="123"/>
      <c r="FL689" s="6"/>
      <c r="FM689" s="6"/>
      <c r="FN689" s="6"/>
      <c r="FO689" s="138"/>
      <c r="FP689" s="138"/>
      <c r="FQ689" s="123"/>
      <c r="FR689" s="6"/>
      <c r="FS689" s="6"/>
      <c r="FT689" s="139"/>
      <c r="FU689" s="139"/>
      <c r="FV689" s="76"/>
      <c r="FW689" s="123"/>
      <c r="FX689" s="6"/>
    </row>
    <row r="690" spans="35:180">
      <c r="AI690" s="125"/>
      <c r="AJ690" s="16"/>
      <c r="AM690" s="16"/>
      <c r="AN690" s="16"/>
      <c r="AO690" s="125"/>
      <c r="AP690" s="16"/>
      <c r="AQ690" s="125"/>
      <c r="AZ690" s="125"/>
      <c r="BA690" s="142"/>
      <c r="BB690" s="125"/>
      <c r="BC690" s="16"/>
      <c r="BD690" s="125"/>
      <c r="BE690" s="125"/>
      <c r="BF690" s="16"/>
      <c r="BG690" s="125"/>
      <c r="BQ690" s="125"/>
      <c r="BR690" s="16"/>
      <c r="BS690" s="123"/>
      <c r="BT690" s="19"/>
      <c r="BU690" s="139"/>
      <c r="BV690" s="139"/>
      <c r="BW690" s="123"/>
      <c r="BX690" s="123"/>
      <c r="BY690" s="123"/>
      <c r="BZ690" s="123"/>
      <c r="CA690" s="123"/>
      <c r="CB690" s="123"/>
      <c r="CC690" s="6"/>
      <c r="CD690" s="123"/>
      <c r="CE690" s="6"/>
      <c r="CF690" s="123"/>
      <c r="CG690" s="6"/>
      <c r="CH690" s="6"/>
      <c r="CI690" s="6"/>
      <c r="CJ690" s="6"/>
      <c r="CK690" s="123"/>
      <c r="CL690" s="6"/>
      <c r="CM690" s="6"/>
      <c r="CN690" s="6"/>
      <c r="CO690" s="138"/>
      <c r="CP690" s="138"/>
      <c r="CQ690" s="123"/>
      <c r="CR690" s="6"/>
      <c r="CS690" s="6"/>
      <c r="CT690" s="139"/>
      <c r="CU690" s="139"/>
      <c r="CV690" s="76"/>
      <c r="CW690" s="123"/>
      <c r="CX690" s="6"/>
      <c r="DI690" s="125"/>
      <c r="DJ690" s="16"/>
      <c r="DM690" s="16"/>
      <c r="DN690" s="16"/>
      <c r="DO690" s="125"/>
      <c r="DP690" s="16"/>
      <c r="DQ690" s="125"/>
      <c r="DZ690" s="125"/>
      <c r="EA690" s="142"/>
      <c r="EB690" s="125"/>
      <c r="EC690" s="16"/>
      <c r="ED690" s="125"/>
      <c r="EE690" s="125"/>
      <c r="EF690" s="16"/>
      <c r="EG690" s="125"/>
      <c r="EQ690" s="125"/>
      <c r="ER690" s="16"/>
      <c r="ES690" s="123"/>
      <c r="ET690" s="19"/>
      <c r="EU690" s="139"/>
      <c r="EV690" s="139"/>
      <c r="EW690" s="123"/>
      <c r="EX690" s="123"/>
      <c r="EY690" s="123"/>
      <c r="EZ690" s="123"/>
      <c r="FA690" s="123"/>
      <c r="FB690" s="123"/>
      <c r="FC690" s="6"/>
      <c r="FD690" s="123"/>
      <c r="FE690" s="6"/>
      <c r="FF690" s="123"/>
      <c r="FG690" s="6"/>
      <c r="FH690" s="6"/>
      <c r="FI690" s="6"/>
      <c r="FJ690" s="6"/>
      <c r="FK690" s="123"/>
      <c r="FL690" s="6"/>
      <c r="FM690" s="6"/>
      <c r="FN690" s="6"/>
      <c r="FO690" s="138"/>
      <c r="FP690" s="138"/>
      <c r="FQ690" s="123"/>
      <c r="FR690" s="6"/>
      <c r="FS690" s="6"/>
      <c r="FT690" s="139"/>
      <c r="FU690" s="139"/>
      <c r="FV690" s="76"/>
      <c r="FW690" s="123"/>
      <c r="FX690" s="6"/>
    </row>
    <row r="691" spans="35:180">
      <c r="AI691" s="125"/>
      <c r="AJ691" s="16"/>
      <c r="AM691" s="16"/>
      <c r="AN691" s="16"/>
      <c r="AO691" s="125"/>
      <c r="AP691" s="16"/>
      <c r="AQ691" s="125"/>
      <c r="AZ691" s="125"/>
      <c r="BA691" s="142"/>
      <c r="BB691" s="125"/>
      <c r="BC691" s="16"/>
      <c r="BD691" s="125"/>
      <c r="BE691" s="125"/>
      <c r="BF691" s="16"/>
      <c r="BG691" s="125"/>
      <c r="BQ691" s="125"/>
      <c r="BR691" s="16"/>
      <c r="BS691" s="123"/>
      <c r="BT691" s="19"/>
      <c r="BU691" s="139"/>
      <c r="BV691" s="139"/>
      <c r="BW691" s="123"/>
      <c r="BX691" s="123"/>
      <c r="BY691" s="123"/>
      <c r="BZ691" s="123"/>
      <c r="CA691" s="123"/>
      <c r="CB691" s="123"/>
      <c r="CC691" s="6"/>
      <c r="CD691" s="123"/>
      <c r="CE691" s="6"/>
      <c r="CF691" s="123"/>
      <c r="CG691" s="6"/>
      <c r="CH691" s="6"/>
      <c r="CI691" s="6"/>
      <c r="CJ691" s="6"/>
      <c r="CK691" s="123"/>
      <c r="CL691" s="6"/>
      <c r="CM691" s="6"/>
      <c r="CN691" s="6"/>
      <c r="CO691" s="138"/>
      <c r="CP691" s="138"/>
      <c r="CQ691" s="123"/>
      <c r="CR691" s="6"/>
      <c r="CS691" s="6"/>
      <c r="CT691" s="139"/>
      <c r="CU691" s="139"/>
      <c r="CV691" s="76"/>
      <c r="CW691" s="123"/>
      <c r="CX691" s="6"/>
      <c r="DI691" s="125"/>
      <c r="DJ691" s="16"/>
      <c r="DM691" s="16"/>
      <c r="DN691" s="16"/>
      <c r="DO691" s="125"/>
      <c r="DP691" s="16"/>
      <c r="DQ691" s="125"/>
      <c r="DZ691" s="125"/>
      <c r="EA691" s="142"/>
      <c r="EB691" s="125"/>
      <c r="EC691" s="16"/>
      <c r="ED691" s="125"/>
      <c r="EE691" s="125"/>
      <c r="EF691" s="16"/>
      <c r="EG691" s="125"/>
      <c r="EQ691" s="125"/>
      <c r="ER691" s="16"/>
      <c r="ES691" s="123"/>
      <c r="ET691" s="19"/>
      <c r="EU691" s="139"/>
      <c r="EV691" s="139"/>
      <c r="EW691" s="123"/>
      <c r="EX691" s="123"/>
      <c r="EY691" s="123"/>
      <c r="EZ691" s="123"/>
      <c r="FA691" s="123"/>
      <c r="FB691" s="123"/>
      <c r="FC691" s="6"/>
      <c r="FD691" s="123"/>
      <c r="FE691" s="6"/>
      <c r="FF691" s="123"/>
      <c r="FG691" s="6"/>
      <c r="FH691" s="6"/>
      <c r="FI691" s="6"/>
      <c r="FJ691" s="6"/>
      <c r="FK691" s="123"/>
      <c r="FL691" s="6"/>
      <c r="FM691" s="6"/>
      <c r="FN691" s="6"/>
      <c r="FO691" s="138"/>
      <c r="FP691" s="138"/>
      <c r="FQ691" s="123"/>
      <c r="FR691" s="6"/>
      <c r="FS691" s="6"/>
      <c r="FT691" s="139"/>
      <c r="FU691" s="139"/>
      <c r="FV691" s="76"/>
      <c r="FW691" s="123"/>
      <c r="FX691" s="6"/>
    </row>
    <row r="692" spans="35:180">
      <c r="AI692" s="125"/>
      <c r="AJ692" s="16"/>
      <c r="AM692" s="16"/>
      <c r="AN692" s="16"/>
      <c r="AO692" s="125"/>
      <c r="AP692" s="16"/>
      <c r="AQ692" s="125"/>
      <c r="AZ692" s="125"/>
      <c r="BA692" s="142"/>
      <c r="BB692" s="125"/>
      <c r="BC692" s="16"/>
      <c r="BD692" s="125"/>
      <c r="BE692" s="125"/>
      <c r="BF692" s="16"/>
      <c r="BG692" s="125"/>
      <c r="BQ692" s="125"/>
      <c r="BR692" s="16"/>
      <c r="BS692" s="123"/>
      <c r="BT692" s="19"/>
      <c r="BU692" s="139"/>
      <c r="BV692" s="139"/>
      <c r="BW692" s="123"/>
      <c r="BX692" s="123"/>
      <c r="BY692" s="123"/>
      <c r="BZ692" s="123"/>
      <c r="CA692" s="123"/>
      <c r="CB692" s="123"/>
      <c r="CC692" s="6"/>
      <c r="CD692" s="123"/>
      <c r="CE692" s="6"/>
      <c r="CF692" s="123"/>
      <c r="CG692" s="6"/>
      <c r="CH692" s="6"/>
      <c r="CI692" s="6"/>
      <c r="CJ692" s="6"/>
      <c r="CK692" s="123"/>
      <c r="CL692" s="6"/>
      <c r="CM692" s="6"/>
      <c r="CN692" s="6"/>
      <c r="CO692" s="138"/>
      <c r="CP692" s="138"/>
      <c r="CQ692" s="123"/>
      <c r="CR692" s="6"/>
      <c r="CS692" s="6"/>
      <c r="CT692" s="139"/>
      <c r="CU692" s="139"/>
      <c r="CV692" s="76"/>
      <c r="CW692" s="123"/>
      <c r="CX692" s="6"/>
      <c r="DI692" s="125"/>
      <c r="DJ692" s="16"/>
      <c r="DM692" s="16"/>
      <c r="DN692" s="16"/>
      <c r="DO692" s="125"/>
      <c r="DP692" s="16"/>
      <c r="DQ692" s="125"/>
      <c r="DZ692" s="125"/>
      <c r="EA692" s="142"/>
      <c r="EB692" s="125"/>
      <c r="EC692" s="16"/>
      <c r="ED692" s="125"/>
      <c r="EE692" s="125"/>
      <c r="EF692" s="16"/>
      <c r="EG692" s="125"/>
      <c r="EQ692" s="125"/>
      <c r="ER692" s="16"/>
      <c r="ES692" s="123"/>
      <c r="ET692" s="19"/>
      <c r="EU692" s="139"/>
      <c r="EV692" s="139"/>
      <c r="EW692" s="123"/>
      <c r="EX692" s="123"/>
      <c r="EY692" s="123"/>
      <c r="EZ692" s="123"/>
      <c r="FA692" s="123"/>
      <c r="FB692" s="123"/>
      <c r="FC692" s="6"/>
      <c r="FD692" s="123"/>
      <c r="FE692" s="6"/>
      <c r="FF692" s="123"/>
      <c r="FG692" s="6"/>
      <c r="FH692" s="6"/>
      <c r="FI692" s="6"/>
      <c r="FJ692" s="6"/>
      <c r="FK692" s="123"/>
      <c r="FL692" s="6"/>
      <c r="FM692" s="6"/>
      <c r="FN692" s="6"/>
      <c r="FO692" s="138"/>
      <c r="FP692" s="138"/>
      <c r="FQ692" s="123"/>
      <c r="FR692" s="6"/>
      <c r="FS692" s="6"/>
      <c r="FT692" s="139"/>
      <c r="FU692" s="139"/>
      <c r="FV692" s="76"/>
      <c r="FW692" s="123"/>
      <c r="FX692" s="6"/>
    </row>
    <row r="693" spans="35:180">
      <c r="AI693" s="125"/>
      <c r="AJ693" s="16"/>
      <c r="AM693" s="16"/>
      <c r="AN693" s="16"/>
      <c r="AO693" s="125"/>
      <c r="AP693" s="16"/>
      <c r="AQ693" s="125"/>
      <c r="AZ693" s="125"/>
      <c r="BA693" s="142"/>
      <c r="BB693" s="125"/>
      <c r="BC693" s="16"/>
      <c r="BD693" s="125"/>
      <c r="BE693" s="125"/>
      <c r="BF693" s="16"/>
      <c r="BG693" s="125"/>
      <c r="BQ693" s="125"/>
      <c r="BR693" s="16"/>
      <c r="BS693" s="123"/>
      <c r="BT693" s="19"/>
      <c r="BU693" s="139"/>
      <c r="BV693" s="139"/>
      <c r="BW693" s="123"/>
      <c r="BX693" s="123"/>
      <c r="BY693" s="123"/>
      <c r="BZ693" s="123"/>
      <c r="CA693" s="123"/>
      <c r="CB693" s="123"/>
      <c r="CC693" s="6"/>
      <c r="CD693" s="123"/>
      <c r="CE693" s="6"/>
      <c r="CF693" s="123"/>
      <c r="CG693" s="6"/>
      <c r="CH693" s="6"/>
      <c r="CI693" s="6"/>
      <c r="CJ693" s="6"/>
      <c r="CK693" s="123"/>
      <c r="CL693" s="6"/>
      <c r="CM693" s="6"/>
      <c r="CN693" s="6"/>
      <c r="CO693" s="138"/>
      <c r="CP693" s="138"/>
      <c r="CQ693" s="123"/>
      <c r="CR693" s="6"/>
      <c r="CS693" s="6"/>
      <c r="CT693" s="139"/>
      <c r="CU693" s="139"/>
      <c r="CV693" s="76"/>
      <c r="CW693" s="123"/>
      <c r="CX693" s="6"/>
      <c r="DI693" s="125"/>
      <c r="DJ693" s="16"/>
      <c r="DM693" s="16"/>
      <c r="DN693" s="16"/>
      <c r="DO693" s="125"/>
      <c r="DP693" s="16"/>
      <c r="DQ693" s="125"/>
      <c r="DZ693" s="125"/>
      <c r="EA693" s="142"/>
      <c r="EB693" s="125"/>
      <c r="EC693" s="16"/>
      <c r="ED693" s="125"/>
      <c r="EE693" s="125"/>
      <c r="EF693" s="16"/>
      <c r="EG693" s="125"/>
      <c r="EQ693" s="125"/>
      <c r="ER693" s="16"/>
      <c r="ES693" s="123"/>
      <c r="ET693" s="19"/>
      <c r="EU693" s="139"/>
      <c r="EV693" s="139"/>
      <c r="EW693" s="123"/>
      <c r="EX693" s="123"/>
      <c r="EY693" s="123"/>
      <c r="EZ693" s="123"/>
      <c r="FA693" s="123"/>
      <c r="FB693" s="123"/>
      <c r="FC693" s="6"/>
      <c r="FD693" s="123"/>
      <c r="FE693" s="6"/>
      <c r="FF693" s="123"/>
      <c r="FG693" s="6"/>
      <c r="FH693" s="6"/>
      <c r="FI693" s="6"/>
      <c r="FJ693" s="6"/>
      <c r="FK693" s="123"/>
      <c r="FL693" s="6"/>
      <c r="FM693" s="6"/>
      <c r="FN693" s="6"/>
      <c r="FO693" s="138"/>
      <c r="FP693" s="138"/>
      <c r="FQ693" s="123"/>
      <c r="FR693" s="6"/>
      <c r="FS693" s="6"/>
      <c r="FT693" s="139"/>
      <c r="FU693" s="139"/>
      <c r="FV693" s="76"/>
      <c r="FW693" s="123"/>
      <c r="FX693" s="6"/>
    </row>
    <row r="694" spans="35:180">
      <c r="AI694" s="125"/>
      <c r="AJ694" s="16"/>
      <c r="AM694" s="16"/>
      <c r="AN694" s="16"/>
      <c r="AO694" s="125"/>
      <c r="AP694" s="16"/>
      <c r="AQ694" s="125"/>
      <c r="AZ694" s="125"/>
      <c r="BA694" s="142"/>
      <c r="BB694" s="125"/>
      <c r="BC694" s="16"/>
      <c r="BD694" s="125"/>
      <c r="BE694" s="125"/>
      <c r="BF694" s="16"/>
      <c r="BG694" s="125"/>
      <c r="BQ694" s="125"/>
      <c r="BR694" s="16"/>
      <c r="BS694" s="123"/>
      <c r="BT694" s="19"/>
      <c r="BU694" s="139"/>
      <c r="BV694" s="139"/>
      <c r="BW694" s="123"/>
      <c r="BX694" s="123"/>
      <c r="BY694" s="123"/>
      <c r="BZ694" s="123"/>
      <c r="CA694" s="123"/>
      <c r="CB694" s="123"/>
      <c r="CC694" s="6"/>
      <c r="CD694" s="123"/>
      <c r="CE694" s="6"/>
      <c r="CF694" s="123"/>
      <c r="CG694" s="6"/>
      <c r="CH694" s="6"/>
      <c r="CI694" s="6"/>
      <c r="CJ694" s="6"/>
      <c r="CK694" s="123"/>
      <c r="CL694" s="6"/>
      <c r="CM694" s="6"/>
      <c r="CN694" s="6"/>
      <c r="CO694" s="138"/>
      <c r="CP694" s="138"/>
      <c r="CQ694" s="123"/>
      <c r="CR694" s="6"/>
      <c r="CS694" s="6"/>
      <c r="CT694" s="139"/>
      <c r="CU694" s="139"/>
      <c r="CV694" s="76"/>
      <c r="CW694" s="123"/>
      <c r="CX694" s="6"/>
      <c r="DI694" s="125"/>
      <c r="DJ694" s="16"/>
      <c r="DM694" s="16"/>
      <c r="DN694" s="16"/>
      <c r="DO694" s="125"/>
      <c r="DP694" s="16"/>
      <c r="DQ694" s="125"/>
      <c r="DZ694" s="125"/>
      <c r="EA694" s="142"/>
      <c r="EB694" s="125"/>
      <c r="EC694" s="16"/>
      <c r="ED694" s="125"/>
      <c r="EE694" s="125"/>
      <c r="EF694" s="16"/>
      <c r="EG694" s="125"/>
      <c r="EQ694" s="125"/>
      <c r="ER694" s="16"/>
      <c r="ES694" s="123"/>
      <c r="ET694" s="19"/>
      <c r="EU694" s="139"/>
      <c r="EV694" s="139"/>
      <c r="EW694" s="123"/>
      <c r="EX694" s="123"/>
      <c r="EY694" s="123"/>
      <c r="EZ694" s="123"/>
      <c r="FA694" s="123"/>
      <c r="FB694" s="123"/>
      <c r="FC694" s="6"/>
      <c r="FD694" s="123"/>
      <c r="FE694" s="6"/>
      <c r="FF694" s="123"/>
      <c r="FG694" s="6"/>
      <c r="FH694" s="6"/>
      <c r="FI694" s="6"/>
      <c r="FJ694" s="6"/>
      <c r="FK694" s="123"/>
      <c r="FL694" s="6"/>
      <c r="FM694" s="6"/>
      <c r="FN694" s="6"/>
      <c r="FO694" s="138"/>
      <c r="FP694" s="138"/>
      <c r="FQ694" s="123"/>
      <c r="FR694" s="6"/>
      <c r="FS694" s="6"/>
      <c r="FT694" s="139"/>
      <c r="FU694" s="139"/>
      <c r="FV694" s="76"/>
      <c r="FW694" s="123"/>
      <c r="FX694" s="6"/>
    </row>
    <row r="695" spans="35:180">
      <c r="AI695" s="125"/>
      <c r="AJ695" s="16"/>
      <c r="AM695" s="16"/>
      <c r="AN695" s="16"/>
      <c r="AO695" s="125"/>
      <c r="AP695" s="16"/>
      <c r="AQ695" s="125"/>
      <c r="AZ695" s="125"/>
      <c r="BA695" s="142"/>
      <c r="BB695" s="125"/>
      <c r="BC695" s="16"/>
      <c r="BD695" s="125"/>
      <c r="BE695" s="125"/>
      <c r="BF695" s="16"/>
      <c r="BG695" s="125"/>
      <c r="BQ695" s="125"/>
      <c r="BR695" s="16"/>
      <c r="BS695" s="123"/>
      <c r="BT695" s="19"/>
      <c r="BU695" s="139"/>
      <c r="BV695" s="139"/>
      <c r="BW695" s="123"/>
      <c r="BX695" s="123"/>
      <c r="BY695" s="123"/>
      <c r="BZ695" s="123"/>
      <c r="CA695" s="123"/>
      <c r="CB695" s="123"/>
      <c r="CC695" s="6"/>
      <c r="CD695" s="123"/>
      <c r="CE695" s="6"/>
      <c r="CF695" s="123"/>
      <c r="CG695" s="6"/>
      <c r="CH695" s="6"/>
      <c r="CI695" s="6"/>
      <c r="CJ695" s="6"/>
      <c r="CK695" s="123"/>
      <c r="CL695" s="6"/>
      <c r="CM695" s="6"/>
      <c r="CN695" s="6"/>
      <c r="CO695" s="138"/>
      <c r="CP695" s="138"/>
      <c r="CQ695" s="123"/>
      <c r="CR695" s="6"/>
      <c r="CS695" s="6"/>
      <c r="CT695" s="139"/>
      <c r="CU695" s="139"/>
      <c r="CV695" s="76"/>
      <c r="CW695" s="123"/>
      <c r="CX695" s="6"/>
      <c r="DI695" s="125"/>
      <c r="DJ695" s="16"/>
      <c r="DM695" s="16"/>
      <c r="DN695" s="16"/>
      <c r="DO695" s="125"/>
      <c r="DP695" s="16"/>
      <c r="DQ695" s="125"/>
      <c r="DZ695" s="125"/>
      <c r="EA695" s="142"/>
      <c r="EB695" s="125"/>
      <c r="EC695" s="16"/>
      <c r="ED695" s="125"/>
      <c r="EE695" s="125"/>
      <c r="EF695" s="16"/>
      <c r="EG695" s="125"/>
      <c r="EQ695" s="125"/>
      <c r="ER695" s="16"/>
      <c r="ES695" s="123"/>
      <c r="ET695" s="19"/>
      <c r="EU695" s="139"/>
      <c r="EV695" s="139"/>
      <c r="EW695" s="123"/>
      <c r="EX695" s="123"/>
      <c r="EY695" s="123"/>
      <c r="EZ695" s="123"/>
      <c r="FA695" s="123"/>
      <c r="FB695" s="123"/>
      <c r="FC695" s="6"/>
      <c r="FD695" s="123"/>
      <c r="FE695" s="6"/>
      <c r="FF695" s="123"/>
      <c r="FG695" s="6"/>
      <c r="FH695" s="6"/>
      <c r="FI695" s="6"/>
      <c r="FJ695" s="6"/>
      <c r="FK695" s="123"/>
      <c r="FL695" s="6"/>
      <c r="FM695" s="6"/>
      <c r="FN695" s="6"/>
      <c r="FO695" s="138"/>
      <c r="FP695" s="138"/>
      <c r="FQ695" s="123"/>
      <c r="FR695" s="6"/>
      <c r="FS695" s="6"/>
      <c r="FT695" s="139"/>
      <c r="FU695" s="139"/>
      <c r="FV695" s="76"/>
      <c r="FW695" s="123"/>
      <c r="FX695" s="6"/>
    </row>
    <row r="696" spans="35:180">
      <c r="AI696" s="125"/>
      <c r="AJ696" s="16"/>
      <c r="AM696" s="16"/>
      <c r="AN696" s="16"/>
      <c r="AO696" s="125"/>
      <c r="AP696" s="16"/>
      <c r="AQ696" s="125"/>
      <c r="AZ696" s="125"/>
      <c r="BA696" s="142"/>
      <c r="BB696" s="125"/>
      <c r="BC696" s="16"/>
      <c r="BD696" s="125"/>
      <c r="BE696" s="125"/>
      <c r="BF696" s="16"/>
      <c r="BG696" s="125"/>
      <c r="BQ696" s="125"/>
      <c r="BR696" s="16"/>
      <c r="BS696" s="123"/>
      <c r="BT696" s="19"/>
      <c r="BU696" s="139"/>
      <c r="BV696" s="139"/>
      <c r="BW696" s="123"/>
      <c r="BX696" s="123"/>
      <c r="BY696" s="123"/>
      <c r="BZ696" s="123"/>
      <c r="CA696" s="123"/>
      <c r="CB696" s="123"/>
      <c r="CC696" s="6"/>
      <c r="CD696" s="123"/>
      <c r="CE696" s="6"/>
      <c r="CF696" s="123"/>
      <c r="CG696" s="6"/>
      <c r="CH696" s="6"/>
      <c r="CI696" s="6"/>
      <c r="CJ696" s="6"/>
      <c r="CK696" s="123"/>
      <c r="CL696" s="6"/>
      <c r="CM696" s="6"/>
      <c r="CN696" s="6"/>
      <c r="CO696" s="138"/>
      <c r="CP696" s="138"/>
      <c r="CQ696" s="123"/>
      <c r="CR696" s="6"/>
      <c r="CS696" s="6"/>
      <c r="CT696" s="139"/>
      <c r="CU696" s="139"/>
      <c r="CV696" s="76"/>
      <c r="CW696" s="123"/>
      <c r="CX696" s="6"/>
      <c r="DI696" s="125"/>
      <c r="DJ696" s="16"/>
      <c r="DM696" s="16"/>
      <c r="DN696" s="16"/>
      <c r="DO696" s="125"/>
      <c r="DP696" s="16"/>
      <c r="DQ696" s="125"/>
      <c r="DZ696" s="125"/>
      <c r="EA696" s="142"/>
      <c r="EB696" s="125"/>
      <c r="EC696" s="16"/>
      <c r="ED696" s="125"/>
      <c r="EE696" s="125"/>
      <c r="EF696" s="16"/>
      <c r="EG696" s="125"/>
      <c r="EQ696" s="125"/>
      <c r="ER696" s="16"/>
      <c r="ES696" s="123"/>
      <c r="ET696" s="19"/>
      <c r="EU696" s="139"/>
      <c r="EV696" s="139"/>
      <c r="EW696" s="123"/>
      <c r="EX696" s="123"/>
      <c r="EY696" s="123"/>
      <c r="EZ696" s="123"/>
      <c r="FA696" s="123"/>
      <c r="FB696" s="123"/>
      <c r="FC696" s="6"/>
      <c r="FD696" s="123"/>
      <c r="FE696" s="6"/>
      <c r="FF696" s="123"/>
      <c r="FG696" s="6"/>
      <c r="FH696" s="6"/>
      <c r="FI696" s="6"/>
      <c r="FJ696" s="6"/>
      <c r="FK696" s="123"/>
      <c r="FL696" s="6"/>
      <c r="FM696" s="6"/>
      <c r="FN696" s="6"/>
      <c r="FO696" s="138"/>
      <c r="FP696" s="138"/>
      <c r="FQ696" s="123"/>
      <c r="FR696" s="6"/>
      <c r="FS696" s="6"/>
      <c r="FT696" s="139"/>
      <c r="FU696" s="139"/>
      <c r="FV696" s="76"/>
      <c r="FW696" s="123"/>
      <c r="FX696" s="6"/>
    </row>
    <row r="697" spans="35:180">
      <c r="AI697" s="125"/>
      <c r="AJ697" s="16"/>
      <c r="AM697" s="16"/>
      <c r="AN697" s="16"/>
      <c r="AO697" s="125"/>
      <c r="AP697" s="16"/>
      <c r="AQ697" s="125"/>
      <c r="AZ697" s="125"/>
      <c r="BA697" s="142"/>
      <c r="BB697" s="125"/>
      <c r="BC697" s="16"/>
      <c r="BD697" s="125"/>
      <c r="BE697" s="125"/>
      <c r="BF697" s="16"/>
      <c r="BG697" s="125"/>
      <c r="BQ697" s="125"/>
      <c r="BR697" s="16"/>
      <c r="BS697" s="123"/>
      <c r="BT697" s="19"/>
      <c r="BU697" s="139"/>
      <c r="BV697" s="139"/>
      <c r="BW697" s="123"/>
      <c r="BX697" s="123"/>
      <c r="BY697" s="123"/>
      <c r="BZ697" s="123"/>
      <c r="CA697" s="123"/>
      <c r="CB697" s="123"/>
      <c r="CC697" s="6"/>
      <c r="CD697" s="123"/>
      <c r="CE697" s="6"/>
      <c r="CF697" s="123"/>
      <c r="CG697" s="6"/>
      <c r="CH697" s="6"/>
      <c r="CI697" s="6"/>
      <c r="CJ697" s="6"/>
      <c r="CK697" s="123"/>
      <c r="CL697" s="6"/>
      <c r="CM697" s="6"/>
      <c r="CN697" s="6"/>
      <c r="CO697" s="138"/>
      <c r="CP697" s="138"/>
      <c r="CQ697" s="123"/>
      <c r="CR697" s="6"/>
      <c r="CS697" s="6"/>
      <c r="CT697" s="139"/>
      <c r="CU697" s="139"/>
      <c r="CV697" s="76"/>
      <c r="CW697" s="123"/>
      <c r="CX697" s="6"/>
      <c r="DI697" s="125"/>
      <c r="DJ697" s="16"/>
      <c r="DM697" s="16"/>
      <c r="DN697" s="16"/>
      <c r="DO697" s="125"/>
      <c r="DP697" s="16"/>
      <c r="DQ697" s="125"/>
      <c r="DZ697" s="125"/>
      <c r="EA697" s="142"/>
      <c r="EB697" s="125"/>
      <c r="EC697" s="16"/>
      <c r="ED697" s="125"/>
      <c r="EE697" s="125"/>
      <c r="EF697" s="16"/>
      <c r="EG697" s="125"/>
      <c r="EQ697" s="125"/>
      <c r="ER697" s="16"/>
      <c r="ES697" s="123"/>
      <c r="ET697" s="19"/>
      <c r="EU697" s="139"/>
      <c r="EV697" s="139"/>
      <c r="EW697" s="123"/>
      <c r="EX697" s="123"/>
      <c r="EY697" s="123"/>
      <c r="EZ697" s="123"/>
      <c r="FA697" s="123"/>
      <c r="FB697" s="123"/>
      <c r="FC697" s="6"/>
      <c r="FD697" s="123"/>
      <c r="FE697" s="6"/>
      <c r="FF697" s="123"/>
      <c r="FG697" s="6"/>
      <c r="FH697" s="6"/>
      <c r="FI697" s="6"/>
      <c r="FJ697" s="6"/>
      <c r="FK697" s="123"/>
      <c r="FL697" s="6"/>
      <c r="FM697" s="6"/>
      <c r="FN697" s="6"/>
      <c r="FO697" s="138"/>
      <c r="FP697" s="138"/>
      <c r="FQ697" s="123"/>
      <c r="FR697" s="6"/>
      <c r="FS697" s="6"/>
      <c r="FT697" s="139"/>
      <c r="FU697" s="139"/>
      <c r="FV697" s="76"/>
      <c r="FW697" s="123"/>
      <c r="FX697" s="6"/>
    </row>
    <row r="698" spans="35:180">
      <c r="AI698" s="125"/>
      <c r="AJ698" s="16"/>
      <c r="AM698" s="16"/>
      <c r="AN698" s="16"/>
      <c r="AO698" s="125"/>
      <c r="AP698" s="16"/>
      <c r="AQ698" s="125"/>
      <c r="AZ698" s="125"/>
      <c r="BA698" s="142"/>
      <c r="BB698" s="125"/>
      <c r="BC698" s="16"/>
      <c r="BD698" s="125"/>
      <c r="BE698" s="125"/>
      <c r="BF698" s="16"/>
      <c r="BG698" s="125"/>
      <c r="BQ698" s="125"/>
      <c r="BR698" s="16"/>
      <c r="BS698" s="123"/>
      <c r="BT698" s="19"/>
      <c r="BU698" s="139"/>
      <c r="BV698" s="139"/>
      <c r="BW698" s="123"/>
      <c r="BX698" s="123"/>
      <c r="BY698" s="123"/>
      <c r="BZ698" s="123"/>
      <c r="CA698" s="123"/>
      <c r="CB698" s="123"/>
      <c r="CC698" s="6"/>
      <c r="CD698" s="123"/>
      <c r="CE698" s="6"/>
      <c r="CF698" s="123"/>
      <c r="CG698" s="6"/>
      <c r="CH698" s="6"/>
      <c r="CI698" s="6"/>
      <c r="CJ698" s="6"/>
      <c r="CK698" s="123"/>
      <c r="CL698" s="6"/>
      <c r="CM698" s="6"/>
      <c r="CN698" s="6"/>
      <c r="CO698" s="138"/>
      <c r="CP698" s="138"/>
      <c r="CQ698" s="123"/>
      <c r="CR698" s="6"/>
      <c r="CS698" s="6"/>
      <c r="CT698" s="139"/>
      <c r="CU698" s="139"/>
      <c r="CV698" s="76"/>
      <c r="CW698" s="123"/>
      <c r="CX698" s="6"/>
      <c r="DI698" s="125"/>
      <c r="DJ698" s="16"/>
      <c r="DM698" s="16"/>
      <c r="DN698" s="16"/>
      <c r="DO698" s="125"/>
      <c r="DP698" s="16"/>
      <c r="DQ698" s="125"/>
      <c r="DZ698" s="125"/>
      <c r="EA698" s="142"/>
      <c r="EB698" s="125"/>
      <c r="EC698" s="16"/>
      <c r="ED698" s="125"/>
      <c r="EE698" s="125"/>
      <c r="EF698" s="16"/>
      <c r="EG698" s="125"/>
      <c r="EQ698" s="125"/>
      <c r="ER698" s="16"/>
      <c r="ES698" s="123"/>
      <c r="ET698" s="19"/>
      <c r="EU698" s="139"/>
      <c r="EV698" s="139"/>
      <c r="EW698" s="123"/>
      <c r="EX698" s="123"/>
      <c r="EY698" s="123"/>
      <c r="EZ698" s="123"/>
      <c r="FA698" s="123"/>
      <c r="FB698" s="123"/>
      <c r="FC698" s="6"/>
      <c r="FD698" s="123"/>
      <c r="FE698" s="6"/>
      <c r="FF698" s="123"/>
      <c r="FG698" s="6"/>
      <c r="FH698" s="6"/>
      <c r="FI698" s="6"/>
      <c r="FJ698" s="6"/>
      <c r="FK698" s="123"/>
      <c r="FL698" s="6"/>
      <c r="FM698" s="6"/>
      <c r="FN698" s="6"/>
      <c r="FO698" s="138"/>
      <c r="FP698" s="138"/>
      <c r="FQ698" s="123"/>
      <c r="FR698" s="6"/>
      <c r="FS698" s="6"/>
      <c r="FT698" s="139"/>
      <c r="FU698" s="139"/>
      <c r="FV698" s="76"/>
      <c r="FW698" s="123"/>
      <c r="FX698" s="6"/>
    </row>
    <row r="699" spans="35:180">
      <c r="AI699" s="125"/>
      <c r="AJ699" s="16"/>
      <c r="AM699" s="16"/>
      <c r="AN699" s="16"/>
      <c r="AO699" s="125"/>
      <c r="AP699" s="16"/>
      <c r="AQ699" s="125"/>
      <c r="AZ699" s="125"/>
      <c r="BA699" s="142"/>
      <c r="BB699" s="125"/>
      <c r="BC699" s="16"/>
      <c r="BD699" s="125"/>
      <c r="BE699" s="125"/>
      <c r="BF699" s="16"/>
      <c r="BG699" s="125"/>
      <c r="BQ699" s="125"/>
      <c r="BR699" s="16"/>
      <c r="BS699" s="123"/>
      <c r="BT699" s="19"/>
      <c r="BU699" s="139"/>
      <c r="BV699" s="139"/>
      <c r="BW699" s="123"/>
      <c r="BX699" s="123"/>
      <c r="BY699" s="123"/>
      <c r="BZ699" s="123"/>
      <c r="CA699" s="123"/>
      <c r="CB699" s="123"/>
      <c r="CC699" s="6"/>
      <c r="CD699" s="123"/>
      <c r="CE699" s="6"/>
      <c r="CF699" s="123"/>
      <c r="CG699" s="6"/>
      <c r="CH699" s="6"/>
      <c r="CI699" s="6"/>
      <c r="CJ699" s="6"/>
      <c r="CK699" s="123"/>
      <c r="CL699" s="6"/>
      <c r="CM699" s="6"/>
      <c r="CN699" s="6"/>
      <c r="CO699" s="138"/>
      <c r="CP699" s="138"/>
      <c r="CQ699" s="123"/>
      <c r="CR699" s="6"/>
      <c r="CS699" s="6"/>
      <c r="CT699" s="139"/>
      <c r="CU699" s="139"/>
      <c r="CV699" s="76"/>
      <c r="CW699" s="123"/>
      <c r="CX699" s="6"/>
      <c r="DI699" s="125"/>
      <c r="DJ699" s="16"/>
      <c r="DM699" s="16"/>
      <c r="DN699" s="16"/>
      <c r="DO699" s="125"/>
      <c r="DP699" s="16"/>
      <c r="DQ699" s="125"/>
      <c r="DZ699" s="125"/>
      <c r="EA699" s="142"/>
      <c r="EB699" s="125"/>
      <c r="EC699" s="16"/>
      <c r="ED699" s="125"/>
      <c r="EE699" s="125"/>
      <c r="EF699" s="16"/>
      <c r="EG699" s="125"/>
      <c r="EQ699" s="125"/>
      <c r="ER699" s="16"/>
      <c r="ES699" s="123"/>
      <c r="ET699" s="19"/>
      <c r="EU699" s="139"/>
      <c r="EV699" s="139"/>
      <c r="EW699" s="123"/>
      <c r="EX699" s="123"/>
      <c r="EY699" s="123"/>
      <c r="EZ699" s="123"/>
      <c r="FA699" s="123"/>
      <c r="FB699" s="123"/>
      <c r="FC699" s="6"/>
      <c r="FD699" s="123"/>
      <c r="FE699" s="6"/>
      <c r="FF699" s="123"/>
      <c r="FG699" s="6"/>
      <c r="FH699" s="6"/>
      <c r="FI699" s="6"/>
      <c r="FJ699" s="6"/>
      <c r="FK699" s="123"/>
      <c r="FL699" s="6"/>
      <c r="FM699" s="6"/>
      <c r="FN699" s="6"/>
      <c r="FO699" s="138"/>
      <c r="FP699" s="138"/>
      <c r="FQ699" s="123"/>
      <c r="FR699" s="6"/>
      <c r="FS699" s="6"/>
      <c r="FT699" s="139"/>
      <c r="FU699" s="139"/>
      <c r="FV699" s="76"/>
      <c r="FW699" s="123"/>
      <c r="FX699" s="6"/>
    </row>
    <row r="700" spans="35:180">
      <c r="AI700" s="125"/>
      <c r="AJ700" s="16"/>
      <c r="AM700" s="16"/>
      <c r="AN700" s="16"/>
      <c r="AO700" s="125"/>
      <c r="AP700" s="16"/>
      <c r="AQ700" s="125"/>
      <c r="AZ700" s="125"/>
      <c r="BA700" s="142"/>
      <c r="BB700" s="125"/>
      <c r="BC700" s="16"/>
      <c r="BD700" s="125"/>
      <c r="BE700" s="125"/>
      <c r="BF700" s="16"/>
      <c r="BG700" s="125"/>
      <c r="BQ700" s="125"/>
      <c r="BR700" s="16"/>
      <c r="BS700" s="123"/>
      <c r="BT700" s="19"/>
      <c r="BU700" s="139"/>
      <c r="BV700" s="139"/>
      <c r="BW700" s="123"/>
      <c r="BX700" s="123"/>
      <c r="BY700" s="123"/>
      <c r="BZ700" s="123"/>
      <c r="CA700" s="123"/>
      <c r="CB700" s="123"/>
      <c r="CC700" s="6"/>
      <c r="CD700" s="123"/>
      <c r="CE700" s="6"/>
      <c r="CF700" s="123"/>
      <c r="CG700" s="6"/>
      <c r="CH700" s="6"/>
      <c r="CI700" s="6"/>
      <c r="CJ700" s="6"/>
      <c r="CK700" s="123"/>
      <c r="CL700" s="6"/>
      <c r="CM700" s="6"/>
      <c r="CN700" s="6"/>
      <c r="CO700" s="138"/>
      <c r="CP700" s="138"/>
      <c r="CQ700" s="123"/>
      <c r="CR700" s="6"/>
      <c r="CS700" s="6"/>
      <c r="CT700" s="139"/>
      <c r="CU700" s="139"/>
      <c r="CV700" s="76"/>
      <c r="CW700" s="123"/>
      <c r="CX700" s="6"/>
      <c r="DI700" s="125"/>
      <c r="DJ700" s="16"/>
      <c r="DM700" s="16"/>
      <c r="DN700" s="16"/>
      <c r="DO700" s="125"/>
      <c r="DP700" s="16"/>
      <c r="DQ700" s="125"/>
      <c r="DZ700" s="125"/>
      <c r="EA700" s="142"/>
      <c r="EB700" s="125"/>
      <c r="EC700" s="16"/>
      <c r="ED700" s="125"/>
      <c r="EE700" s="125"/>
      <c r="EF700" s="16"/>
      <c r="EG700" s="125"/>
      <c r="EQ700" s="125"/>
      <c r="ER700" s="16"/>
      <c r="ES700" s="123"/>
      <c r="ET700" s="19"/>
      <c r="EU700" s="139"/>
      <c r="EV700" s="139"/>
      <c r="EW700" s="123"/>
      <c r="EX700" s="123"/>
      <c r="EY700" s="123"/>
      <c r="EZ700" s="123"/>
      <c r="FA700" s="123"/>
      <c r="FB700" s="123"/>
      <c r="FC700" s="6"/>
      <c r="FD700" s="123"/>
      <c r="FE700" s="6"/>
      <c r="FF700" s="123"/>
      <c r="FG700" s="6"/>
      <c r="FH700" s="6"/>
      <c r="FI700" s="6"/>
      <c r="FJ700" s="6"/>
      <c r="FK700" s="123"/>
      <c r="FL700" s="6"/>
      <c r="FM700" s="6"/>
      <c r="FN700" s="6"/>
      <c r="FO700" s="138"/>
      <c r="FP700" s="138"/>
      <c r="FQ700" s="123"/>
      <c r="FR700" s="6"/>
      <c r="FS700" s="6"/>
      <c r="FT700" s="139"/>
      <c r="FU700" s="139"/>
      <c r="FV700" s="76"/>
      <c r="FW700" s="123"/>
      <c r="FX700" s="6"/>
    </row>
    <row r="701" spans="35:180">
      <c r="AI701" s="125"/>
      <c r="AJ701" s="16"/>
      <c r="AM701" s="16"/>
      <c r="AN701" s="16"/>
      <c r="AO701" s="125"/>
      <c r="AP701" s="16"/>
      <c r="AQ701" s="125"/>
      <c r="AZ701" s="125"/>
      <c r="BA701" s="142"/>
      <c r="BB701" s="125"/>
      <c r="BC701" s="16"/>
      <c r="BD701" s="125"/>
      <c r="BE701" s="125"/>
      <c r="BF701" s="16"/>
      <c r="BG701" s="125"/>
      <c r="BQ701" s="125"/>
      <c r="BR701" s="16"/>
      <c r="BS701" s="123"/>
      <c r="BT701" s="19"/>
      <c r="BU701" s="139"/>
      <c r="BV701" s="139"/>
      <c r="BW701" s="123"/>
      <c r="BX701" s="123"/>
      <c r="BY701" s="123"/>
      <c r="BZ701" s="123"/>
      <c r="CA701" s="123"/>
      <c r="CB701" s="123"/>
      <c r="CC701" s="6"/>
      <c r="CD701" s="123"/>
      <c r="CE701" s="6"/>
      <c r="CF701" s="123"/>
      <c r="CG701" s="6"/>
      <c r="CH701" s="6"/>
      <c r="CI701" s="6"/>
      <c r="CJ701" s="6"/>
      <c r="CK701" s="123"/>
      <c r="CL701" s="6"/>
      <c r="CM701" s="6"/>
      <c r="CN701" s="6"/>
      <c r="CO701" s="138"/>
      <c r="CP701" s="138"/>
      <c r="CQ701" s="123"/>
      <c r="CR701" s="6"/>
      <c r="CS701" s="6"/>
      <c r="CT701" s="139"/>
      <c r="CU701" s="139"/>
      <c r="CV701" s="76"/>
      <c r="CW701" s="123"/>
      <c r="CX701" s="6"/>
      <c r="DI701" s="125"/>
      <c r="DJ701" s="16"/>
      <c r="DM701" s="16"/>
      <c r="DN701" s="16"/>
      <c r="DO701" s="125"/>
      <c r="DP701" s="16"/>
      <c r="DQ701" s="125"/>
      <c r="DZ701" s="125"/>
      <c r="EA701" s="142"/>
      <c r="EB701" s="125"/>
      <c r="EC701" s="16"/>
      <c r="ED701" s="125"/>
      <c r="EE701" s="125"/>
      <c r="EF701" s="16"/>
      <c r="EG701" s="125"/>
      <c r="EQ701" s="125"/>
      <c r="ER701" s="16"/>
      <c r="ES701" s="123"/>
      <c r="ET701" s="19"/>
      <c r="EU701" s="139"/>
      <c r="EV701" s="139"/>
      <c r="EW701" s="123"/>
      <c r="EX701" s="123"/>
      <c r="EY701" s="123"/>
      <c r="EZ701" s="123"/>
      <c r="FA701" s="123"/>
      <c r="FB701" s="123"/>
      <c r="FC701" s="6"/>
      <c r="FD701" s="123"/>
      <c r="FE701" s="6"/>
      <c r="FF701" s="123"/>
      <c r="FG701" s="6"/>
      <c r="FH701" s="6"/>
      <c r="FI701" s="6"/>
      <c r="FJ701" s="6"/>
      <c r="FK701" s="123"/>
      <c r="FL701" s="6"/>
      <c r="FM701" s="6"/>
      <c r="FN701" s="6"/>
      <c r="FO701" s="138"/>
      <c r="FP701" s="138"/>
      <c r="FQ701" s="123"/>
      <c r="FR701" s="6"/>
      <c r="FS701" s="6"/>
      <c r="FT701" s="139"/>
      <c r="FU701" s="139"/>
      <c r="FV701" s="76"/>
      <c r="FW701" s="123"/>
      <c r="FX701" s="6"/>
    </row>
    <row r="702" spans="35:180">
      <c r="AI702" s="125"/>
      <c r="AJ702" s="16"/>
      <c r="AM702" s="16"/>
      <c r="AN702" s="16"/>
      <c r="AO702" s="125"/>
      <c r="AP702" s="16"/>
      <c r="AQ702" s="125"/>
      <c r="AZ702" s="125"/>
      <c r="BA702" s="142"/>
      <c r="BB702" s="125"/>
      <c r="BC702" s="16"/>
      <c r="BD702" s="125"/>
      <c r="BE702" s="125"/>
      <c r="BF702" s="16"/>
      <c r="BG702" s="125"/>
      <c r="BQ702" s="125"/>
      <c r="BR702" s="16"/>
      <c r="BS702" s="123"/>
      <c r="BT702" s="19"/>
      <c r="BU702" s="139"/>
      <c r="BV702" s="139"/>
      <c r="BW702" s="123"/>
      <c r="BX702" s="123"/>
      <c r="BY702" s="123"/>
      <c r="BZ702" s="123"/>
      <c r="CA702" s="123"/>
      <c r="CB702" s="123"/>
      <c r="CC702" s="6"/>
      <c r="CD702" s="123"/>
      <c r="CE702" s="6"/>
      <c r="CF702" s="123"/>
      <c r="CG702" s="6"/>
      <c r="CH702" s="6"/>
      <c r="CI702" s="6"/>
      <c r="CJ702" s="6"/>
      <c r="CK702" s="123"/>
      <c r="CL702" s="6"/>
      <c r="CM702" s="6"/>
      <c r="CN702" s="6"/>
      <c r="CO702" s="138"/>
      <c r="CP702" s="138"/>
      <c r="CQ702" s="123"/>
      <c r="CR702" s="6"/>
      <c r="CS702" s="6"/>
      <c r="CT702" s="139"/>
      <c r="CU702" s="139"/>
      <c r="CV702" s="76"/>
      <c r="CW702" s="123"/>
      <c r="CX702" s="6"/>
      <c r="DI702" s="125"/>
      <c r="DJ702" s="16"/>
      <c r="DM702" s="16"/>
      <c r="DN702" s="16"/>
      <c r="DO702" s="125"/>
      <c r="DP702" s="16"/>
      <c r="DQ702" s="125"/>
      <c r="DZ702" s="125"/>
      <c r="EA702" s="142"/>
      <c r="EB702" s="125"/>
      <c r="EC702" s="16"/>
      <c r="ED702" s="125"/>
      <c r="EE702" s="125"/>
      <c r="EF702" s="16"/>
      <c r="EG702" s="125"/>
      <c r="EQ702" s="125"/>
      <c r="ER702" s="16"/>
      <c r="ES702" s="123"/>
      <c r="ET702" s="19"/>
      <c r="EU702" s="139"/>
      <c r="EV702" s="139"/>
      <c r="EW702" s="123"/>
      <c r="EX702" s="123"/>
      <c r="EY702" s="123"/>
      <c r="EZ702" s="123"/>
      <c r="FA702" s="123"/>
      <c r="FB702" s="123"/>
      <c r="FC702" s="6"/>
      <c r="FD702" s="123"/>
      <c r="FE702" s="6"/>
      <c r="FF702" s="123"/>
      <c r="FG702" s="6"/>
      <c r="FH702" s="6"/>
      <c r="FI702" s="6"/>
      <c r="FJ702" s="6"/>
      <c r="FK702" s="123"/>
      <c r="FL702" s="6"/>
      <c r="FM702" s="6"/>
      <c r="FN702" s="6"/>
      <c r="FO702" s="138"/>
      <c r="FP702" s="138"/>
      <c r="FQ702" s="123"/>
      <c r="FR702" s="6"/>
      <c r="FS702" s="6"/>
      <c r="FT702" s="139"/>
      <c r="FU702" s="139"/>
      <c r="FV702" s="76"/>
      <c r="FW702" s="123"/>
      <c r="FX702" s="6"/>
    </row>
    <row r="703" spans="35:180">
      <c r="AI703" s="125"/>
      <c r="AJ703" s="16"/>
      <c r="AM703" s="16"/>
      <c r="AN703" s="16"/>
      <c r="AO703" s="125"/>
      <c r="AP703" s="16"/>
      <c r="AQ703" s="125"/>
      <c r="AZ703" s="125"/>
      <c r="BA703" s="142"/>
      <c r="BB703" s="125"/>
      <c r="BC703" s="16"/>
      <c r="BD703" s="125"/>
      <c r="BE703" s="125"/>
      <c r="BF703" s="16"/>
      <c r="BG703" s="125"/>
      <c r="BQ703" s="125"/>
      <c r="BR703" s="16"/>
      <c r="BS703" s="123"/>
      <c r="BT703" s="19"/>
      <c r="BU703" s="139"/>
      <c r="BV703" s="139"/>
      <c r="BW703" s="123"/>
      <c r="BX703" s="123"/>
      <c r="BY703" s="123"/>
      <c r="BZ703" s="123"/>
      <c r="CA703" s="123"/>
      <c r="CB703" s="123"/>
      <c r="CC703" s="6"/>
      <c r="CD703" s="123"/>
      <c r="CE703" s="6"/>
      <c r="CF703" s="123"/>
      <c r="CG703" s="6"/>
      <c r="CH703" s="6"/>
      <c r="CI703" s="6"/>
      <c r="CJ703" s="6"/>
      <c r="CK703" s="123"/>
      <c r="CL703" s="6"/>
      <c r="CM703" s="6"/>
      <c r="CN703" s="6"/>
      <c r="CO703" s="138"/>
      <c r="CP703" s="138"/>
      <c r="CQ703" s="123"/>
      <c r="CR703" s="6"/>
      <c r="CS703" s="6"/>
      <c r="CT703" s="139"/>
      <c r="CU703" s="139"/>
      <c r="CV703" s="76"/>
      <c r="CW703" s="123"/>
      <c r="CX703" s="6"/>
      <c r="DI703" s="125"/>
      <c r="DJ703" s="16"/>
      <c r="DM703" s="16"/>
      <c r="DN703" s="16"/>
      <c r="DO703" s="125"/>
      <c r="DP703" s="16"/>
      <c r="DQ703" s="125"/>
      <c r="DZ703" s="125"/>
      <c r="EA703" s="142"/>
      <c r="EB703" s="125"/>
      <c r="EC703" s="16"/>
      <c r="ED703" s="125"/>
      <c r="EE703" s="125"/>
      <c r="EF703" s="16"/>
      <c r="EG703" s="125"/>
      <c r="EQ703" s="125"/>
      <c r="ER703" s="16"/>
      <c r="ES703" s="123"/>
      <c r="ET703" s="19"/>
      <c r="EU703" s="139"/>
      <c r="EV703" s="139"/>
      <c r="EW703" s="123"/>
      <c r="EX703" s="123"/>
      <c r="EY703" s="123"/>
      <c r="EZ703" s="123"/>
      <c r="FA703" s="123"/>
      <c r="FB703" s="123"/>
      <c r="FC703" s="6"/>
      <c r="FD703" s="123"/>
      <c r="FE703" s="6"/>
      <c r="FF703" s="123"/>
      <c r="FG703" s="6"/>
      <c r="FH703" s="6"/>
      <c r="FI703" s="6"/>
      <c r="FJ703" s="6"/>
      <c r="FK703" s="123"/>
      <c r="FL703" s="6"/>
      <c r="FM703" s="6"/>
      <c r="FN703" s="6"/>
      <c r="FO703" s="138"/>
      <c r="FP703" s="138"/>
      <c r="FQ703" s="123"/>
      <c r="FR703" s="6"/>
      <c r="FS703" s="6"/>
      <c r="FT703" s="139"/>
      <c r="FU703" s="139"/>
      <c r="FV703" s="76"/>
      <c r="FW703" s="123"/>
      <c r="FX703" s="6"/>
    </row>
    <row r="704" spans="35:180">
      <c r="AI704" s="125"/>
      <c r="AJ704" s="16"/>
      <c r="AM704" s="16"/>
      <c r="AN704" s="16"/>
      <c r="AO704" s="125"/>
      <c r="AP704" s="16"/>
      <c r="AQ704" s="125"/>
      <c r="AZ704" s="125"/>
      <c r="BA704" s="142"/>
      <c r="BB704" s="125"/>
      <c r="BC704" s="16"/>
      <c r="BD704" s="125"/>
      <c r="BE704" s="125"/>
      <c r="BF704" s="16"/>
      <c r="BG704" s="125"/>
      <c r="BQ704" s="125"/>
      <c r="BR704" s="16"/>
      <c r="BS704" s="123"/>
      <c r="BT704" s="19"/>
      <c r="BU704" s="139"/>
      <c r="BV704" s="139"/>
      <c r="BW704" s="123"/>
      <c r="BX704" s="123"/>
      <c r="BY704" s="123"/>
      <c r="BZ704" s="123"/>
      <c r="CA704" s="123"/>
      <c r="CB704" s="123"/>
      <c r="CC704" s="6"/>
      <c r="CD704" s="123"/>
      <c r="CE704" s="6"/>
      <c r="CF704" s="123"/>
      <c r="CG704" s="6"/>
      <c r="CH704" s="6"/>
      <c r="CI704" s="6"/>
      <c r="CJ704" s="6"/>
      <c r="CK704" s="123"/>
      <c r="CL704" s="6"/>
      <c r="CM704" s="6"/>
      <c r="CN704" s="6"/>
      <c r="CO704" s="138"/>
      <c r="CP704" s="138"/>
      <c r="CQ704" s="123"/>
      <c r="CR704" s="6"/>
      <c r="CS704" s="6"/>
      <c r="CT704" s="139"/>
      <c r="CU704" s="139"/>
      <c r="CV704" s="76"/>
      <c r="CW704" s="123"/>
      <c r="CX704" s="6"/>
      <c r="DI704" s="125"/>
      <c r="DJ704" s="16"/>
      <c r="DM704" s="16"/>
      <c r="DN704" s="16"/>
      <c r="DO704" s="125"/>
      <c r="DP704" s="16"/>
      <c r="DQ704" s="125"/>
      <c r="DZ704" s="125"/>
      <c r="EA704" s="142"/>
      <c r="EB704" s="125"/>
      <c r="EC704" s="16"/>
      <c r="ED704" s="125"/>
      <c r="EE704" s="125"/>
      <c r="EF704" s="16"/>
      <c r="EG704" s="125"/>
      <c r="EQ704" s="125"/>
      <c r="ER704" s="16"/>
      <c r="ES704" s="123"/>
      <c r="ET704" s="19"/>
      <c r="EU704" s="139"/>
      <c r="EV704" s="139"/>
      <c r="EW704" s="123"/>
      <c r="EX704" s="123"/>
      <c r="EY704" s="123"/>
      <c r="EZ704" s="123"/>
      <c r="FA704" s="123"/>
      <c r="FB704" s="123"/>
      <c r="FC704" s="6"/>
      <c r="FD704" s="123"/>
      <c r="FE704" s="6"/>
      <c r="FF704" s="123"/>
      <c r="FG704" s="6"/>
      <c r="FH704" s="6"/>
      <c r="FI704" s="6"/>
      <c r="FJ704" s="6"/>
      <c r="FK704" s="123"/>
      <c r="FL704" s="6"/>
      <c r="FM704" s="6"/>
      <c r="FN704" s="6"/>
      <c r="FO704" s="138"/>
      <c r="FP704" s="138"/>
      <c r="FQ704" s="123"/>
      <c r="FR704" s="6"/>
      <c r="FS704" s="6"/>
      <c r="FT704" s="139"/>
      <c r="FU704" s="139"/>
      <c r="FV704" s="76"/>
      <c r="FW704" s="123"/>
      <c r="FX704" s="6"/>
    </row>
    <row r="705" spans="35:180">
      <c r="AI705" s="125"/>
      <c r="AJ705" s="16"/>
      <c r="AM705" s="16"/>
      <c r="AN705" s="16"/>
      <c r="AO705" s="125"/>
      <c r="AP705" s="16"/>
      <c r="AQ705" s="125"/>
      <c r="AZ705" s="125"/>
      <c r="BA705" s="142"/>
      <c r="BB705" s="125"/>
      <c r="BC705" s="16"/>
      <c r="BD705" s="125"/>
      <c r="BE705" s="125"/>
      <c r="BF705" s="16"/>
      <c r="BG705" s="125"/>
      <c r="BQ705" s="125"/>
      <c r="BR705" s="16"/>
      <c r="BS705" s="123"/>
      <c r="BT705" s="19"/>
      <c r="BU705" s="139"/>
      <c r="BV705" s="139"/>
      <c r="BW705" s="123"/>
      <c r="BX705" s="123"/>
      <c r="BY705" s="123"/>
      <c r="BZ705" s="123"/>
      <c r="CA705" s="123"/>
      <c r="CB705" s="123"/>
      <c r="CC705" s="6"/>
      <c r="CD705" s="123"/>
      <c r="CE705" s="6"/>
      <c r="CF705" s="123"/>
      <c r="CG705" s="6"/>
      <c r="CH705" s="6"/>
      <c r="CI705" s="6"/>
      <c r="CJ705" s="6"/>
      <c r="CK705" s="123"/>
      <c r="CL705" s="6"/>
      <c r="CM705" s="6"/>
      <c r="CN705" s="6"/>
      <c r="CO705" s="138"/>
      <c r="CP705" s="138"/>
      <c r="CQ705" s="123"/>
      <c r="CR705" s="6"/>
      <c r="CS705" s="6"/>
      <c r="CT705" s="139"/>
      <c r="CU705" s="139"/>
      <c r="CV705" s="76"/>
      <c r="CW705" s="123"/>
      <c r="CX705" s="6"/>
      <c r="DI705" s="125"/>
      <c r="DJ705" s="16"/>
      <c r="DM705" s="16"/>
      <c r="DN705" s="16"/>
      <c r="DO705" s="125"/>
      <c r="DP705" s="16"/>
      <c r="DQ705" s="125"/>
      <c r="DZ705" s="125"/>
      <c r="EA705" s="142"/>
      <c r="EB705" s="125"/>
      <c r="EC705" s="16"/>
      <c r="ED705" s="125"/>
      <c r="EE705" s="125"/>
      <c r="EF705" s="16"/>
      <c r="EG705" s="125"/>
      <c r="EQ705" s="125"/>
      <c r="ER705" s="16"/>
      <c r="ES705" s="123"/>
      <c r="ET705" s="19"/>
      <c r="EU705" s="139"/>
      <c r="EV705" s="139"/>
      <c r="EW705" s="123"/>
      <c r="EX705" s="123"/>
      <c r="EY705" s="123"/>
      <c r="EZ705" s="123"/>
      <c r="FA705" s="123"/>
      <c r="FB705" s="123"/>
      <c r="FC705" s="6"/>
      <c r="FD705" s="123"/>
      <c r="FE705" s="6"/>
      <c r="FF705" s="123"/>
      <c r="FG705" s="6"/>
      <c r="FH705" s="6"/>
      <c r="FI705" s="6"/>
      <c r="FJ705" s="6"/>
      <c r="FK705" s="123"/>
      <c r="FL705" s="6"/>
      <c r="FM705" s="6"/>
      <c r="FN705" s="6"/>
      <c r="FO705" s="138"/>
      <c r="FP705" s="138"/>
      <c r="FQ705" s="123"/>
      <c r="FR705" s="6"/>
      <c r="FS705" s="6"/>
      <c r="FT705" s="139"/>
      <c r="FU705" s="139"/>
      <c r="FV705" s="76"/>
      <c r="FW705" s="123"/>
      <c r="FX705" s="6"/>
    </row>
    <row r="706" spans="35:180">
      <c r="AI706" s="125"/>
      <c r="AJ706" s="16"/>
      <c r="AM706" s="16"/>
      <c r="AN706" s="16"/>
      <c r="AO706" s="125"/>
      <c r="AP706" s="16"/>
      <c r="AQ706" s="125"/>
      <c r="AZ706" s="125"/>
      <c r="BA706" s="142"/>
      <c r="BB706" s="125"/>
      <c r="BC706" s="16"/>
      <c r="BD706" s="125"/>
      <c r="BE706" s="125"/>
      <c r="BF706" s="16"/>
      <c r="BG706" s="125"/>
      <c r="BQ706" s="125"/>
      <c r="BR706" s="16"/>
      <c r="BS706" s="123"/>
      <c r="BT706" s="19"/>
      <c r="BU706" s="139"/>
      <c r="BV706" s="139"/>
      <c r="BW706" s="123"/>
      <c r="BX706" s="123"/>
      <c r="BY706" s="123"/>
      <c r="BZ706" s="123"/>
      <c r="CA706" s="123"/>
      <c r="CB706" s="123"/>
      <c r="CC706" s="6"/>
      <c r="CD706" s="123"/>
      <c r="CE706" s="6"/>
      <c r="CF706" s="123"/>
      <c r="CG706" s="6"/>
      <c r="CH706" s="6"/>
      <c r="CI706" s="6"/>
      <c r="CJ706" s="6"/>
      <c r="CK706" s="123"/>
      <c r="CL706" s="6"/>
      <c r="CM706" s="6"/>
      <c r="CN706" s="6"/>
      <c r="CO706" s="138"/>
      <c r="CP706" s="138"/>
      <c r="CQ706" s="123"/>
      <c r="CR706" s="6"/>
      <c r="CS706" s="6"/>
      <c r="CT706" s="139"/>
      <c r="CU706" s="139"/>
      <c r="CV706" s="76"/>
      <c r="CW706" s="123"/>
      <c r="CX706" s="6"/>
      <c r="DI706" s="125"/>
      <c r="DJ706" s="16"/>
      <c r="DM706" s="16"/>
      <c r="DN706" s="16"/>
      <c r="DO706" s="125"/>
      <c r="DP706" s="16"/>
      <c r="DQ706" s="125"/>
      <c r="DZ706" s="125"/>
      <c r="EA706" s="142"/>
      <c r="EB706" s="125"/>
      <c r="EC706" s="16"/>
      <c r="ED706" s="125"/>
      <c r="EE706" s="125"/>
      <c r="EF706" s="16"/>
      <c r="EG706" s="125"/>
      <c r="EQ706" s="125"/>
      <c r="ER706" s="16"/>
      <c r="ES706" s="123"/>
      <c r="ET706" s="19"/>
      <c r="EU706" s="139"/>
      <c r="EV706" s="139"/>
      <c r="EW706" s="123"/>
      <c r="EX706" s="123"/>
      <c r="EY706" s="123"/>
      <c r="EZ706" s="123"/>
      <c r="FA706" s="123"/>
      <c r="FB706" s="123"/>
      <c r="FC706" s="6"/>
      <c r="FD706" s="123"/>
      <c r="FE706" s="6"/>
      <c r="FF706" s="123"/>
      <c r="FG706" s="6"/>
      <c r="FH706" s="6"/>
      <c r="FI706" s="6"/>
      <c r="FJ706" s="6"/>
      <c r="FK706" s="123"/>
      <c r="FL706" s="6"/>
      <c r="FM706" s="6"/>
      <c r="FN706" s="6"/>
      <c r="FO706" s="138"/>
      <c r="FP706" s="138"/>
      <c r="FQ706" s="123"/>
      <c r="FR706" s="6"/>
      <c r="FS706" s="6"/>
      <c r="FT706" s="139"/>
      <c r="FU706" s="139"/>
      <c r="FV706" s="76"/>
      <c r="FW706" s="123"/>
      <c r="FX706" s="6"/>
    </row>
    <row r="707" spans="35:180">
      <c r="AI707" s="125"/>
      <c r="AJ707" s="16"/>
      <c r="AM707" s="16"/>
      <c r="AN707" s="16"/>
      <c r="AO707" s="125"/>
      <c r="AP707" s="16"/>
      <c r="AQ707" s="125"/>
      <c r="AZ707" s="125"/>
      <c r="BA707" s="142"/>
      <c r="BB707" s="125"/>
      <c r="BC707" s="16"/>
      <c r="BD707" s="125"/>
      <c r="BE707" s="125"/>
      <c r="BF707" s="16"/>
      <c r="BG707" s="125"/>
      <c r="BQ707" s="125"/>
      <c r="BR707" s="16"/>
      <c r="BS707" s="123"/>
      <c r="BT707" s="19"/>
      <c r="BU707" s="139"/>
      <c r="BV707" s="139"/>
      <c r="BW707" s="123"/>
      <c r="BX707" s="123"/>
      <c r="BY707" s="123"/>
      <c r="BZ707" s="123"/>
      <c r="CA707" s="123"/>
      <c r="CB707" s="123"/>
      <c r="CC707" s="6"/>
      <c r="CD707" s="123"/>
      <c r="CE707" s="6"/>
      <c r="CF707" s="123"/>
      <c r="CG707" s="6"/>
      <c r="CH707" s="6"/>
      <c r="CI707" s="6"/>
      <c r="CJ707" s="6"/>
      <c r="CK707" s="123"/>
      <c r="CL707" s="6"/>
      <c r="CM707" s="6"/>
      <c r="CN707" s="6"/>
      <c r="CO707" s="138"/>
      <c r="CP707" s="138"/>
      <c r="CQ707" s="123"/>
      <c r="CR707" s="6"/>
      <c r="CS707" s="6"/>
      <c r="CT707" s="139"/>
      <c r="CU707" s="139"/>
      <c r="CV707" s="76"/>
      <c r="CW707" s="123"/>
      <c r="CX707" s="6"/>
      <c r="DI707" s="125"/>
      <c r="DJ707" s="16"/>
      <c r="DM707" s="16"/>
      <c r="DN707" s="16"/>
      <c r="DO707" s="125"/>
      <c r="DP707" s="16"/>
      <c r="DQ707" s="125"/>
      <c r="DZ707" s="125"/>
      <c r="EA707" s="142"/>
      <c r="EB707" s="125"/>
      <c r="EC707" s="16"/>
      <c r="ED707" s="125"/>
      <c r="EE707" s="125"/>
      <c r="EF707" s="16"/>
      <c r="EG707" s="125"/>
      <c r="EQ707" s="125"/>
      <c r="ER707" s="16"/>
      <c r="ES707" s="123"/>
      <c r="ET707" s="19"/>
      <c r="EU707" s="139"/>
      <c r="EV707" s="139"/>
      <c r="EW707" s="123"/>
      <c r="EX707" s="123"/>
      <c r="EY707" s="123"/>
      <c r="EZ707" s="123"/>
      <c r="FA707" s="123"/>
      <c r="FB707" s="123"/>
      <c r="FC707" s="6"/>
      <c r="FD707" s="123"/>
      <c r="FE707" s="6"/>
      <c r="FF707" s="123"/>
      <c r="FG707" s="6"/>
      <c r="FH707" s="6"/>
      <c r="FI707" s="6"/>
      <c r="FJ707" s="6"/>
      <c r="FK707" s="123"/>
      <c r="FL707" s="6"/>
      <c r="FM707" s="6"/>
      <c r="FN707" s="6"/>
      <c r="FO707" s="138"/>
      <c r="FP707" s="138"/>
      <c r="FQ707" s="123"/>
      <c r="FR707" s="6"/>
      <c r="FS707" s="6"/>
      <c r="FT707" s="139"/>
      <c r="FU707" s="139"/>
      <c r="FV707" s="76"/>
      <c r="FW707" s="123"/>
      <c r="FX707" s="6"/>
    </row>
    <row r="708" spans="35:180">
      <c r="AI708" s="125"/>
      <c r="AJ708" s="16"/>
      <c r="AM708" s="16"/>
      <c r="AN708" s="16"/>
      <c r="AO708" s="125"/>
      <c r="AP708" s="16"/>
      <c r="AQ708" s="125"/>
      <c r="AZ708" s="125"/>
      <c r="BA708" s="142"/>
      <c r="BB708" s="125"/>
      <c r="BC708" s="16"/>
      <c r="BD708" s="125"/>
      <c r="BE708" s="125"/>
      <c r="BF708" s="16"/>
      <c r="BG708" s="125"/>
      <c r="BQ708" s="125"/>
      <c r="BR708" s="16"/>
      <c r="BS708" s="123"/>
      <c r="BT708" s="19"/>
      <c r="BU708" s="139"/>
      <c r="BV708" s="139"/>
      <c r="BW708" s="123"/>
      <c r="BX708" s="123"/>
      <c r="BY708" s="123"/>
      <c r="BZ708" s="123"/>
      <c r="CA708" s="123"/>
      <c r="CB708" s="123"/>
      <c r="CC708" s="6"/>
      <c r="CD708" s="123"/>
      <c r="CE708" s="6"/>
      <c r="CF708" s="123"/>
      <c r="CG708" s="6"/>
      <c r="CH708" s="6"/>
      <c r="CI708" s="6"/>
      <c r="CJ708" s="6"/>
      <c r="CK708" s="123"/>
      <c r="CL708" s="6"/>
      <c r="CM708" s="6"/>
      <c r="CN708" s="6"/>
      <c r="CO708" s="138"/>
      <c r="CP708" s="138"/>
      <c r="CQ708" s="123"/>
      <c r="CR708" s="6"/>
      <c r="CS708" s="6"/>
      <c r="CT708" s="139"/>
      <c r="CU708" s="139"/>
      <c r="CV708" s="76"/>
      <c r="CW708" s="123"/>
      <c r="CX708" s="6"/>
      <c r="DI708" s="125"/>
      <c r="DJ708" s="16"/>
      <c r="DM708" s="16"/>
      <c r="DN708" s="16"/>
      <c r="DO708" s="125"/>
      <c r="DP708" s="16"/>
      <c r="DQ708" s="125"/>
      <c r="DZ708" s="125"/>
      <c r="EA708" s="142"/>
      <c r="EB708" s="125"/>
      <c r="EC708" s="16"/>
      <c r="ED708" s="125"/>
      <c r="EE708" s="125"/>
      <c r="EF708" s="16"/>
      <c r="EG708" s="125"/>
      <c r="EQ708" s="125"/>
      <c r="ER708" s="16"/>
      <c r="ES708" s="123"/>
      <c r="ET708" s="19"/>
      <c r="EU708" s="139"/>
      <c r="EV708" s="139"/>
      <c r="EW708" s="123"/>
      <c r="EX708" s="123"/>
      <c r="EY708" s="123"/>
      <c r="EZ708" s="123"/>
      <c r="FA708" s="123"/>
      <c r="FB708" s="123"/>
      <c r="FC708" s="6"/>
      <c r="FD708" s="123"/>
      <c r="FE708" s="6"/>
      <c r="FF708" s="123"/>
      <c r="FG708" s="6"/>
      <c r="FH708" s="6"/>
      <c r="FI708" s="6"/>
      <c r="FJ708" s="6"/>
      <c r="FK708" s="123"/>
      <c r="FL708" s="6"/>
      <c r="FM708" s="6"/>
      <c r="FN708" s="6"/>
      <c r="FO708" s="138"/>
      <c r="FP708" s="138"/>
      <c r="FQ708" s="123"/>
      <c r="FR708" s="6"/>
      <c r="FS708" s="6"/>
      <c r="FT708" s="139"/>
      <c r="FU708" s="139"/>
      <c r="FV708" s="76"/>
      <c r="FW708" s="123"/>
      <c r="FX708" s="6"/>
    </row>
    <row r="709" spans="35:180">
      <c r="AI709" s="125"/>
      <c r="AJ709" s="16"/>
      <c r="AM709" s="16"/>
      <c r="AN709" s="16"/>
      <c r="AO709" s="125"/>
      <c r="AP709" s="16"/>
      <c r="AQ709" s="125"/>
      <c r="AZ709" s="125"/>
      <c r="BA709" s="142"/>
      <c r="BB709" s="125"/>
      <c r="BC709" s="16"/>
      <c r="BD709" s="125"/>
      <c r="BE709" s="125"/>
      <c r="BF709" s="16"/>
      <c r="BG709" s="125"/>
      <c r="BQ709" s="125"/>
      <c r="BR709" s="16"/>
      <c r="BS709" s="123"/>
      <c r="BT709" s="19"/>
      <c r="BU709" s="139"/>
      <c r="BV709" s="139"/>
      <c r="BW709" s="123"/>
      <c r="BX709" s="123"/>
      <c r="BY709" s="123"/>
      <c r="BZ709" s="123"/>
      <c r="CA709" s="123"/>
      <c r="CB709" s="123"/>
      <c r="CC709" s="6"/>
      <c r="CD709" s="123"/>
      <c r="CE709" s="6"/>
      <c r="CF709" s="123"/>
      <c r="CG709" s="6"/>
      <c r="CH709" s="6"/>
      <c r="CI709" s="6"/>
      <c r="CJ709" s="6"/>
      <c r="CK709" s="123"/>
      <c r="CL709" s="6"/>
      <c r="CM709" s="6"/>
      <c r="CN709" s="6"/>
      <c r="CO709" s="138"/>
      <c r="CP709" s="138"/>
      <c r="CQ709" s="123"/>
      <c r="CR709" s="6"/>
      <c r="CS709" s="6"/>
      <c r="CT709" s="139"/>
      <c r="CU709" s="139"/>
      <c r="CV709" s="76"/>
      <c r="CW709" s="123"/>
      <c r="CX709" s="6"/>
      <c r="DI709" s="125"/>
      <c r="DJ709" s="16"/>
      <c r="DM709" s="16"/>
      <c r="DN709" s="16"/>
      <c r="DO709" s="125"/>
      <c r="DP709" s="16"/>
      <c r="DQ709" s="125"/>
      <c r="DZ709" s="125"/>
      <c r="EA709" s="142"/>
      <c r="EB709" s="125"/>
      <c r="EC709" s="16"/>
      <c r="ED709" s="125"/>
      <c r="EE709" s="125"/>
      <c r="EF709" s="16"/>
      <c r="EG709" s="125"/>
      <c r="EQ709" s="125"/>
      <c r="ER709" s="16"/>
      <c r="ES709" s="123"/>
      <c r="ET709" s="19"/>
      <c r="EU709" s="139"/>
      <c r="EV709" s="139"/>
      <c r="EW709" s="123"/>
      <c r="EX709" s="123"/>
      <c r="EY709" s="123"/>
      <c r="EZ709" s="123"/>
      <c r="FA709" s="123"/>
      <c r="FB709" s="123"/>
      <c r="FC709" s="6"/>
      <c r="FD709" s="123"/>
      <c r="FE709" s="6"/>
      <c r="FF709" s="123"/>
      <c r="FG709" s="6"/>
      <c r="FH709" s="6"/>
      <c r="FI709" s="6"/>
      <c r="FJ709" s="6"/>
      <c r="FK709" s="123"/>
      <c r="FL709" s="6"/>
      <c r="FM709" s="6"/>
      <c r="FN709" s="6"/>
      <c r="FO709" s="138"/>
      <c r="FP709" s="138"/>
      <c r="FQ709" s="123"/>
      <c r="FR709" s="6"/>
      <c r="FS709" s="6"/>
      <c r="FT709" s="139"/>
      <c r="FU709" s="139"/>
      <c r="FV709" s="76"/>
      <c r="FW709" s="123"/>
      <c r="FX709" s="6"/>
    </row>
    <row r="710" spans="35:180">
      <c r="AI710" s="125"/>
      <c r="AJ710" s="16"/>
      <c r="AM710" s="16"/>
      <c r="AN710" s="16"/>
      <c r="AO710" s="125"/>
      <c r="AP710" s="16"/>
      <c r="AQ710" s="125"/>
      <c r="AZ710" s="125"/>
      <c r="BA710" s="142"/>
      <c r="BB710" s="125"/>
      <c r="BC710" s="16"/>
      <c r="BD710" s="125"/>
      <c r="BE710" s="125"/>
      <c r="BF710" s="16"/>
      <c r="BG710" s="125"/>
      <c r="BQ710" s="125"/>
      <c r="BR710" s="16"/>
      <c r="BS710" s="123"/>
      <c r="BT710" s="19"/>
      <c r="BU710" s="139"/>
      <c r="BV710" s="139"/>
      <c r="BW710" s="123"/>
      <c r="BX710" s="123"/>
      <c r="BY710" s="123"/>
      <c r="BZ710" s="123"/>
      <c r="CA710" s="123"/>
      <c r="CB710" s="123"/>
      <c r="CC710" s="6"/>
      <c r="CD710" s="123"/>
      <c r="CE710" s="6"/>
      <c r="CF710" s="123"/>
      <c r="CG710" s="6"/>
      <c r="CH710" s="6"/>
      <c r="CI710" s="6"/>
      <c r="CJ710" s="6"/>
      <c r="CK710" s="123"/>
      <c r="CL710" s="6"/>
      <c r="CM710" s="6"/>
      <c r="CN710" s="6"/>
      <c r="CO710" s="138"/>
      <c r="CP710" s="138"/>
      <c r="CQ710" s="123"/>
      <c r="CR710" s="6"/>
      <c r="CS710" s="6"/>
      <c r="CT710" s="139"/>
      <c r="CU710" s="139"/>
      <c r="CV710" s="76"/>
      <c r="CW710" s="123"/>
      <c r="CX710" s="6"/>
      <c r="DI710" s="125"/>
      <c r="DJ710" s="16"/>
      <c r="DM710" s="16"/>
      <c r="DN710" s="16"/>
      <c r="DO710" s="125"/>
      <c r="DP710" s="16"/>
      <c r="DQ710" s="125"/>
      <c r="DZ710" s="125"/>
      <c r="EA710" s="142"/>
      <c r="EB710" s="125"/>
      <c r="EC710" s="16"/>
      <c r="ED710" s="125"/>
      <c r="EE710" s="125"/>
      <c r="EF710" s="16"/>
      <c r="EG710" s="125"/>
      <c r="EQ710" s="125"/>
      <c r="ER710" s="16"/>
      <c r="ES710" s="123"/>
      <c r="ET710" s="19"/>
      <c r="EU710" s="139"/>
      <c r="EV710" s="139"/>
      <c r="EW710" s="123"/>
      <c r="EX710" s="123"/>
      <c r="EY710" s="123"/>
      <c r="EZ710" s="123"/>
      <c r="FA710" s="123"/>
      <c r="FB710" s="123"/>
      <c r="FC710" s="6"/>
      <c r="FD710" s="123"/>
      <c r="FE710" s="6"/>
      <c r="FF710" s="123"/>
      <c r="FG710" s="6"/>
      <c r="FH710" s="6"/>
      <c r="FI710" s="6"/>
      <c r="FJ710" s="6"/>
      <c r="FK710" s="123"/>
      <c r="FL710" s="6"/>
      <c r="FM710" s="6"/>
      <c r="FN710" s="6"/>
      <c r="FO710" s="138"/>
      <c r="FP710" s="138"/>
      <c r="FQ710" s="123"/>
      <c r="FR710" s="6"/>
      <c r="FS710" s="6"/>
      <c r="FT710" s="139"/>
      <c r="FU710" s="139"/>
      <c r="FV710" s="76"/>
      <c r="FW710" s="123"/>
      <c r="FX710" s="6"/>
    </row>
    <row r="711" spans="35:180">
      <c r="AI711" s="125"/>
      <c r="AJ711" s="16"/>
      <c r="AM711" s="16"/>
      <c r="AN711" s="16"/>
      <c r="AO711" s="125"/>
      <c r="AP711" s="16"/>
      <c r="AQ711" s="125"/>
      <c r="AZ711" s="125"/>
      <c r="BA711" s="142"/>
      <c r="BB711" s="125"/>
      <c r="BC711" s="16"/>
      <c r="BD711" s="125"/>
      <c r="BE711" s="125"/>
      <c r="BF711" s="16"/>
      <c r="BG711" s="125"/>
      <c r="BQ711" s="125"/>
      <c r="BR711" s="16"/>
      <c r="BS711" s="123"/>
      <c r="BT711" s="19"/>
      <c r="BU711" s="139"/>
      <c r="BV711" s="139"/>
      <c r="BW711" s="123"/>
      <c r="BX711" s="123"/>
      <c r="BY711" s="123"/>
      <c r="BZ711" s="123"/>
      <c r="CA711" s="123"/>
      <c r="CB711" s="123"/>
      <c r="CC711" s="6"/>
      <c r="CD711" s="123"/>
      <c r="CE711" s="6"/>
      <c r="CF711" s="123"/>
      <c r="CG711" s="6"/>
      <c r="CH711" s="6"/>
      <c r="CI711" s="6"/>
      <c r="CJ711" s="6"/>
      <c r="CK711" s="123"/>
      <c r="CL711" s="6"/>
      <c r="CM711" s="6"/>
      <c r="CN711" s="6"/>
      <c r="CO711" s="138"/>
      <c r="CP711" s="138"/>
      <c r="CQ711" s="123"/>
      <c r="CR711" s="6"/>
      <c r="CS711" s="6"/>
      <c r="CT711" s="139"/>
      <c r="CU711" s="139"/>
      <c r="CV711" s="76"/>
      <c r="CW711" s="123"/>
      <c r="CX711" s="6"/>
      <c r="DI711" s="125"/>
      <c r="DJ711" s="16"/>
      <c r="DM711" s="16"/>
      <c r="DN711" s="16"/>
      <c r="DO711" s="125"/>
      <c r="DP711" s="16"/>
      <c r="DQ711" s="125"/>
      <c r="DZ711" s="125"/>
      <c r="EA711" s="142"/>
      <c r="EB711" s="125"/>
      <c r="EC711" s="16"/>
      <c r="ED711" s="125"/>
      <c r="EE711" s="125"/>
      <c r="EF711" s="16"/>
      <c r="EG711" s="125"/>
      <c r="EQ711" s="125"/>
      <c r="ER711" s="16"/>
      <c r="ES711" s="123"/>
      <c r="ET711" s="19"/>
      <c r="EU711" s="139"/>
      <c r="EV711" s="139"/>
      <c r="EW711" s="123"/>
      <c r="EX711" s="123"/>
      <c r="EY711" s="123"/>
      <c r="EZ711" s="123"/>
      <c r="FA711" s="123"/>
      <c r="FB711" s="123"/>
      <c r="FC711" s="6"/>
      <c r="FD711" s="123"/>
      <c r="FE711" s="6"/>
      <c r="FF711" s="123"/>
      <c r="FG711" s="6"/>
      <c r="FH711" s="6"/>
      <c r="FI711" s="6"/>
      <c r="FJ711" s="6"/>
      <c r="FK711" s="123"/>
      <c r="FL711" s="6"/>
      <c r="FM711" s="6"/>
      <c r="FN711" s="6"/>
      <c r="FO711" s="138"/>
      <c r="FP711" s="138"/>
      <c r="FQ711" s="123"/>
      <c r="FR711" s="6"/>
      <c r="FS711" s="6"/>
      <c r="FT711" s="139"/>
      <c r="FU711" s="139"/>
      <c r="FV711" s="76"/>
      <c r="FW711" s="123"/>
      <c r="FX711" s="6"/>
    </row>
    <row r="712" spans="35:180">
      <c r="AI712" s="125"/>
      <c r="AJ712" s="16"/>
      <c r="AM712" s="16"/>
      <c r="AN712" s="16"/>
      <c r="AO712" s="125"/>
      <c r="AP712" s="16"/>
      <c r="AQ712" s="125"/>
      <c r="AZ712" s="125"/>
      <c r="BA712" s="142"/>
      <c r="BB712" s="125"/>
      <c r="BC712" s="16"/>
      <c r="BD712" s="125"/>
      <c r="BE712" s="125"/>
      <c r="BF712" s="16"/>
      <c r="BG712" s="125"/>
      <c r="BQ712" s="125"/>
      <c r="BR712" s="16"/>
      <c r="BS712" s="123"/>
      <c r="BT712" s="19"/>
      <c r="BU712" s="139"/>
      <c r="BV712" s="139"/>
      <c r="BW712" s="123"/>
      <c r="BX712" s="123"/>
      <c r="BY712" s="123"/>
      <c r="BZ712" s="123"/>
      <c r="CA712" s="123"/>
      <c r="CB712" s="123"/>
      <c r="CC712" s="6"/>
      <c r="CD712" s="123"/>
      <c r="CE712" s="6"/>
      <c r="CF712" s="123"/>
      <c r="CG712" s="6"/>
      <c r="CH712" s="6"/>
      <c r="CI712" s="6"/>
      <c r="CJ712" s="6"/>
      <c r="CK712" s="123"/>
      <c r="CL712" s="6"/>
      <c r="CM712" s="6"/>
      <c r="CN712" s="6"/>
      <c r="CO712" s="138"/>
      <c r="CP712" s="138"/>
      <c r="CQ712" s="123"/>
      <c r="CR712" s="6"/>
      <c r="CS712" s="6"/>
      <c r="CT712" s="139"/>
      <c r="CU712" s="139"/>
      <c r="CV712" s="76"/>
      <c r="CW712" s="123"/>
      <c r="CX712" s="6"/>
      <c r="DI712" s="125"/>
      <c r="DJ712" s="16"/>
      <c r="DM712" s="16"/>
      <c r="DN712" s="16"/>
      <c r="DO712" s="125"/>
      <c r="DP712" s="16"/>
      <c r="DQ712" s="125"/>
      <c r="DZ712" s="125"/>
      <c r="EA712" s="142"/>
      <c r="EB712" s="125"/>
      <c r="EC712" s="16"/>
      <c r="ED712" s="125"/>
      <c r="EE712" s="125"/>
      <c r="EF712" s="16"/>
      <c r="EG712" s="125"/>
      <c r="EQ712" s="125"/>
      <c r="ER712" s="16"/>
      <c r="ES712" s="123"/>
      <c r="ET712" s="19"/>
      <c r="EU712" s="139"/>
      <c r="EV712" s="139"/>
      <c r="EW712" s="123"/>
      <c r="EX712" s="123"/>
      <c r="EY712" s="123"/>
      <c r="EZ712" s="123"/>
      <c r="FA712" s="123"/>
      <c r="FB712" s="123"/>
      <c r="FC712" s="6"/>
      <c r="FD712" s="123"/>
      <c r="FE712" s="6"/>
      <c r="FF712" s="123"/>
      <c r="FG712" s="6"/>
      <c r="FH712" s="6"/>
      <c r="FI712" s="6"/>
      <c r="FJ712" s="6"/>
      <c r="FK712" s="123"/>
      <c r="FL712" s="6"/>
      <c r="FM712" s="6"/>
      <c r="FN712" s="6"/>
      <c r="FO712" s="138"/>
      <c r="FP712" s="138"/>
      <c r="FQ712" s="123"/>
      <c r="FR712" s="6"/>
      <c r="FS712" s="6"/>
      <c r="FT712" s="139"/>
      <c r="FU712" s="139"/>
      <c r="FV712" s="76"/>
      <c r="FW712" s="123"/>
      <c r="FX712" s="6"/>
    </row>
    <row r="713" spans="35:180">
      <c r="AI713" s="125"/>
      <c r="AJ713" s="16"/>
      <c r="AM713" s="16"/>
      <c r="AN713" s="16"/>
      <c r="AO713" s="125"/>
      <c r="AP713" s="16"/>
      <c r="AQ713" s="125"/>
      <c r="AZ713" s="125"/>
      <c r="BA713" s="142"/>
      <c r="BB713" s="125"/>
      <c r="BC713" s="16"/>
      <c r="BD713" s="125"/>
      <c r="BE713" s="125"/>
      <c r="BF713" s="16"/>
      <c r="BG713" s="125"/>
      <c r="BQ713" s="125"/>
      <c r="BR713" s="16"/>
      <c r="BS713" s="123"/>
      <c r="BT713" s="19"/>
      <c r="BU713" s="139"/>
      <c r="BV713" s="139"/>
      <c r="BW713" s="123"/>
      <c r="BX713" s="123"/>
      <c r="BY713" s="123"/>
      <c r="BZ713" s="123"/>
      <c r="CA713" s="123"/>
      <c r="CB713" s="123"/>
      <c r="CC713" s="6"/>
      <c r="CD713" s="123"/>
      <c r="CE713" s="6"/>
      <c r="CF713" s="123"/>
      <c r="CG713" s="6"/>
      <c r="CH713" s="6"/>
      <c r="CI713" s="6"/>
      <c r="CJ713" s="6"/>
      <c r="CK713" s="123"/>
      <c r="CL713" s="6"/>
      <c r="CM713" s="6"/>
      <c r="CN713" s="6"/>
      <c r="CO713" s="138"/>
      <c r="CP713" s="138"/>
      <c r="CQ713" s="123"/>
      <c r="CR713" s="6"/>
      <c r="CS713" s="6"/>
      <c r="CT713" s="139"/>
      <c r="CU713" s="139"/>
      <c r="CV713" s="76"/>
      <c r="CW713" s="123"/>
      <c r="CX713" s="6"/>
      <c r="DI713" s="125"/>
      <c r="DJ713" s="16"/>
      <c r="DM713" s="16"/>
      <c r="DN713" s="16"/>
      <c r="DO713" s="125"/>
      <c r="DP713" s="16"/>
      <c r="DQ713" s="125"/>
      <c r="DZ713" s="125"/>
      <c r="EA713" s="142"/>
      <c r="EB713" s="125"/>
      <c r="EC713" s="16"/>
      <c r="ED713" s="125"/>
      <c r="EE713" s="125"/>
      <c r="EF713" s="16"/>
      <c r="EG713" s="125"/>
      <c r="EQ713" s="125"/>
      <c r="ER713" s="16"/>
      <c r="ES713" s="123"/>
      <c r="ET713" s="19"/>
      <c r="EU713" s="139"/>
      <c r="EV713" s="139"/>
      <c r="EW713" s="123"/>
      <c r="EX713" s="123"/>
      <c r="EY713" s="123"/>
      <c r="EZ713" s="123"/>
      <c r="FA713" s="123"/>
      <c r="FB713" s="123"/>
      <c r="FC713" s="6"/>
      <c r="FD713" s="123"/>
      <c r="FE713" s="6"/>
      <c r="FF713" s="123"/>
      <c r="FG713" s="6"/>
      <c r="FH713" s="6"/>
      <c r="FI713" s="6"/>
      <c r="FJ713" s="6"/>
      <c r="FK713" s="123"/>
      <c r="FL713" s="6"/>
      <c r="FM713" s="6"/>
      <c r="FN713" s="6"/>
      <c r="FO713" s="138"/>
      <c r="FP713" s="138"/>
      <c r="FQ713" s="123"/>
      <c r="FR713" s="6"/>
      <c r="FS713" s="6"/>
      <c r="FT713" s="139"/>
      <c r="FU713" s="139"/>
      <c r="FV713" s="76"/>
      <c r="FW713" s="123"/>
      <c r="FX713" s="6"/>
    </row>
    <row r="714" spans="35:180">
      <c r="AI714" s="125"/>
      <c r="AJ714" s="16"/>
      <c r="AM714" s="16"/>
      <c r="AN714" s="16"/>
      <c r="AO714" s="125"/>
      <c r="AP714" s="16"/>
      <c r="AQ714" s="125"/>
      <c r="AZ714" s="125"/>
      <c r="BA714" s="142"/>
      <c r="BB714" s="125"/>
      <c r="BC714" s="16"/>
      <c r="BD714" s="125"/>
      <c r="BE714" s="125"/>
      <c r="BF714" s="16"/>
      <c r="BG714" s="125"/>
      <c r="BQ714" s="125"/>
      <c r="BR714" s="16"/>
      <c r="BS714" s="123"/>
      <c r="BT714" s="19"/>
      <c r="BU714" s="139"/>
      <c r="BV714" s="139"/>
      <c r="BW714" s="123"/>
      <c r="BX714" s="123"/>
      <c r="BY714" s="123"/>
      <c r="BZ714" s="123"/>
      <c r="CA714" s="123"/>
      <c r="CB714" s="123"/>
      <c r="CC714" s="6"/>
      <c r="CD714" s="123"/>
      <c r="CE714" s="6"/>
      <c r="CF714" s="123"/>
      <c r="CG714" s="6"/>
      <c r="CH714" s="6"/>
      <c r="CI714" s="6"/>
      <c r="CJ714" s="6"/>
      <c r="CK714" s="123"/>
      <c r="CL714" s="6"/>
      <c r="CM714" s="6"/>
      <c r="CN714" s="6"/>
      <c r="CO714" s="138"/>
      <c r="CP714" s="138"/>
      <c r="CQ714" s="123"/>
      <c r="CR714" s="6"/>
      <c r="CS714" s="6"/>
      <c r="CT714" s="139"/>
      <c r="CU714" s="139"/>
      <c r="CV714" s="76"/>
      <c r="CW714" s="123"/>
      <c r="CX714" s="6"/>
      <c r="DI714" s="125"/>
      <c r="DJ714" s="16"/>
      <c r="DM714" s="16"/>
      <c r="DN714" s="16"/>
      <c r="DO714" s="125"/>
      <c r="DP714" s="16"/>
      <c r="DQ714" s="125"/>
      <c r="DZ714" s="125"/>
      <c r="EA714" s="142"/>
      <c r="EB714" s="125"/>
      <c r="EC714" s="16"/>
      <c r="ED714" s="125"/>
      <c r="EE714" s="125"/>
      <c r="EF714" s="16"/>
      <c r="EG714" s="125"/>
      <c r="EQ714" s="125"/>
      <c r="ER714" s="16"/>
      <c r="ES714" s="123"/>
      <c r="ET714" s="19"/>
      <c r="EU714" s="139"/>
      <c r="EV714" s="139"/>
      <c r="EW714" s="123"/>
      <c r="EX714" s="123"/>
      <c r="EY714" s="123"/>
      <c r="EZ714" s="123"/>
      <c r="FA714" s="123"/>
      <c r="FB714" s="123"/>
      <c r="FC714" s="6"/>
      <c r="FD714" s="123"/>
      <c r="FE714" s="6"/>
      <c r="FF714" s="123"/>
      <c r="FG714" s="6"/>
      <c r="FH714" s="6"/>
      <c r="FI714" s="6"/>
      <c r="FJ714" s="6"/>
      <c r="FK714" s="123"/>
      <c r="FL714" s="6"/>
      <c r="FM714" s="6"/>
      <c r="FN714" s="6"/>
      <c r="FO714" s="138"/>
      <c r="FP714" s="138"/>
      <c r="FQ714" s="123"/>
      <c r="FR714" s="6"/>
      <c r="FS714" s="6"/>
      <c r="FT714" s="139"/>
      <c r="FU714" s="139"/>
      <c r="FV714" s="76"/>
      <c r="FW714" s="123"/>
      <c r="FX714" s="6"/>
    </row>
    <row r="715" spans="35:180">
      <c r="AI715" s="125"/>
      <c r="AJ715" s="16"/>
      <c r="AM715" s="16"/>
      <c r="AN715" s="16"/>
      <c r="AO715" s="125"/>
      <c r="AP715" s="16"/>
      <c r="AQ715" s="125"/>
      <c r="AZ715" s="125"/>
      <c r="BA715" s="142"/>
      <c r="BB715" s="125"/>
      <c r="BC715" s="16"/>
      <c r="BD715" s="125"/>
      <c r="BE715" s="125"/>
      <c r="BF715" s="16"/>
      <c r="BG715" s="125"/>
      <c r="BQ715" s="125"/>
      <c r="BR715" s="16"/>
      <c r="BS715" s="123"/>
      <c r="BT715" s="19"/>
      <c r="BU715" s="139"/>
      <c r="BV715" s="139"/>
      <c r="BW715" s="123"/>
      <c r="BX715" s="123"/>
      <c r="BY715" s="123"/>
      <c r="BZ715" s="123"/>
      <c r="CA715" s="123"/>
      <c r="CB715" s="123"/>
      <c r="CC715" s="6"/>
      <c r="CD715" s="123"/>
      <c r="CE715" s="6"/>
      <c r="CF715" s="123"/>
      <c r="CG715" s="6"/>
      <c r="CH715" s="6"/>
      <c r="CI715" s="6"/>
      <c r="CJ715" s="6"/>
      <c r="CK715" s="123"/>
      <c r="CL715" s="6"/>
      <c r="CM715" s="6"/>
      <c r="CN715" s="6"/>
      <c r="CO715" s="138"/>
      <c r="CP715" s="138"/>
      <c r="CQ715" s="123"/>
      <c r="CR715" s="6"/>
      <c r="CS715" s="6"/>
      <c r="CT715" s="139"/>
      <c r="CU715" s="139"/>
      <c r="CV715" s="76"/>
      <c r="CW715" s="123"/>
      <c r="CX715" s="6"/>
      <c r="DI715" s="125"/>
      <c r="DJ715" s="16"/>
      <c r="DM715" s="16"/>
      <c r="DN715" s="16"/>
      <c r="DO715" s="125"/>
      <c r="DP715" s="16"/>
      <c r="DQ715" s="125"/>
      <c r="DZ715" s="125"/>
      <c r="EA715" s="142"/>
      <c r="EB715" s="125"/>
      <c r="EC715" s="16"/>
      <c r="ED715" s="125"/>
      <c r="EE715" s="125"/>
      <c r="EF715" s="16"/>
      <c r="EG715" s="125"/>
      <c r="EQ715" s="125"/>
      <c r="ER715" s="16"/>
      <c r="ES715" s="123"/>
      <c r="ET715" s="19"/>
      <c r="EU715" s="139"/>
      <c r="EV715" s="139"/>
      <c r="EW715" s="123"/>
      <c r="EX715" s="123"/>
      <c r="EY715" s="123"/>
      <c r="EZ715" s="123"/>
      <c r="FA715" s="123"/>
      <c r="FB715" s="123"/>
      <c r="FC715" s="6"/>
      <c r="FD715" s="123"/>
      <c r="FE715" s="6"/>
      <c r="FF715" s="123"/>
      <c r="FG715" s="6"/>
      <c r="FH715" s="6"/>
      <c r="FI715" s="6"/>
      <c r="FJ715" s="6"/>
      <c r="FK715" s="123"/>
      <c r="FL715" s="6"/>
      <c r="FM715" s="6"/>
      <c r="FN715" s="6"/>
      <c r="FO715" s="138"/>
      <c r="FP715" s="138"/>
      <c r="FQ715" s="123"/>
      <c r="FR715" s="6"/>
      <c r="FS715" s="6"/>
      <c r="FT715" s="139"/>
      <c r="FU715" s="139"/>
      <c r="FV715" s="76"/>
      <c r="FW715" s="123"/>
      <c r="FX715" s="6"/>
    </row>
    <row r="716" spans="35:180">
      <c r="AI716" s="125"/>
      <c r="AJ716" s="16"/>
      <c r="AM716" s="16"/>
      <c r="AN716" s="16"/>
      <c r="AO716" s="125"/>
      <c r="AP716" s="16"/>
      <c r="AQ716" s="125"/>
      <c r="AZ716" s="125"/>
      <c r="BA716" s="142"/>
      <c r="BB716" s="125"/>
      <c r="BC716" s="16"/>
      <c r="BD716" s="125"/>
      <c r="BE716" s="125"/>
      <c r="BF716" s="16"/>
      <c r="BG716" s="125"/>
      <c r="BQ716" s="125"/>
      <c r="BR716" s="16"/>
      <c r="BS716" s="123"/>
      <c r="BT716" s="19"/>
      <c r="BU716" s="139"/>
      <c r="BV716" s="139"/>
      <c r="BW716" s="123"/>
      <c r="BX716" s="123"/>
      <c r="BY716" s="123"/>
      <c r="BZ716" s="123"/>
      <c r="CA716" s="123"/>
      <c r="CB716" s="123"/>
      <c r="CC716" s="6"/>
      <c r="CD716" s="123"/>
      <c r="CE716" s="6"/>
      <c r="CF716" s="123"/>
      <c r="CG716" s="6"/>
      <c r="CH716" s="6"/>
      <c r="CI716" s="6"/>
      <c r="CJ716" s="6"/>
      <c r="CK716" s="123"/>
      <c r="CL716" s="6"/>
      <c r="CM716" s="6"/>
      <c r="CN716" s="6"/>
      <c r="CO716" s="138"/>
      <c r="CP716" s="138"/>
      <c r="CQ716" s="123"/>
      <c r="CR716" s="6"/>
      <c r="CS716" s="6"/>
      <c r="CT716" s="139"/>
      <c r="CU716" s="139"/>
      <c r="CV716" s="76"/>
      <c r="CW716" s="123"/>
      <c r="CX716" s="6"/>
      <c r="DI716" s="125"/>
      <c r="DJ716" s="16"/>
      <c r="DM716" s="16"/>
      <c r="DN716" s="16"/>
      <c r="DO716" s="125"/>
      <c r="DP716" s="16"/>
      <c r="DQ716" s="125"/>
      <c r="DZ716" s="125"/>
      <c r="EA716" s="142"/>
      <c r="EB716" s="125"/>
      <c r="EC716" s="16"/>
      <c r="ED716" s="125"/>
      <c r="EE716" s="125"/>
      <c r="EF716" s="16"/>
      <c r="EG716" s="125"/>
      <c r="EQ716" s="125"/>
      <c r="ER716" s="16"/>
      <c r="ES716" s="123"/>
      <c r="ET716" s="19"/>
      <c r="EU716" s="139"/>
      <c r="EV716" s="139"/>
      <c r="EW716" s="123"/>
      <c r="EX716" s="123"/>
      <c r="EY716" s="123"/>
      <c r="EZ716" s="123"/>
      <c r="FA716" s="123"/>
      <c r="FB716" s="123"/>
      <c r="FC716" s="6"/>
      <c r="FD716" s="123"/>
      <c r="FE716" s="6"/>
      <c r="FF716" s="123"/>
      <c r="FG716" s="6"/>
      <c r="FH716" s="6"/>
      <c r="FI716" s="6"/>
      <c r="FJ716" s="6"/>
      <c r="FK716" s="123"/>
      <c r="FL716" s="6"/>
      <c r="FM716" s="6"/>
      <c r="FN716" s="6"/>
      <c r="FO716" s="138"/>
      <c r="FP716" s="138"/>
      <c r="FQ716" s="123"/>
      <c r="FR716" s="6"/>
      <c r="FS716" s="6"/>
      <c r="FT716" s="139"/>
      <c r="FU716" s="139"/>
      <c r="FV716" s="76"/>
      <c r="FW716" s="123"/>
      <c r="FX716" s="6"/>
    </row>
    <row r="717" spans="35:180">
      <c r="AI717" s="125"/>
      <c r="AJ717" s="16"/>
      <c r="AM717" s="16"/>
      <c r="AN717" s="16"/>
      <c r="AO717" s="125"/>
      <c r="AP717" s="16"/>
      <c r="AQ717" s="125"/>
      <c r="AZ717" s="125"/>
      <c r="BA717" s="142"/>
      <c r="BB717" s="125"/>
      <c r="BC717" s="16"/>
      <c r="BD717" s="125"/>
      <c r="BE717" s="125"/>
      <c r="BF717" s="16"/>
      <c r="BG717" s="125"/>
      <c r="BQ717" s="125"/>
      <c r="BR717" s="16"/>
      <c r="BS717" s="123"/>
      <c r="BT717" s="19"/>
      <c r="BU717" s="139"/>
      <c r="BV717" s="139"/>
      <c r="BW717" s="123"/>
      <c r="BX717" s="123"/>
      <c r="BY717" s="123"/>
      <c r="BZ717" s="123"/>
      <c r="CA717" s="123"/>
      <c r="CB717" s="123"/>
      <c r="CC717" s="6"/>
      <c r="CD717" s="123"/>
      <c r="CE717" s="6"/>
      <c r="CF717" s="123"/>
      <c r="CG717" s="6"/>
      <c r="CH717" s="6"/>
      <c r="CI717" s="6"/>
      <c r="CJ717" s="6"/>
      <c r="CK717" s="123"/>
      <c r="CL717" s="6"/>
      <c r="CM717" s="6"/>
      <c r="CN717" s="6"/>
      <c r="CO717" s="138"/>
      <c r="CP717" s="138"/>
      <c r="CQ717" s="123"/>
      <c r="CR717" s="6"/>
      <c r="CS717" s="6"/>
      <c r="CT717" s="139"/>
      <c r="CU717" s="139"/>
      <c r="CV717" s="76"/>
      <c r="CW717" s="123"/>
      <c r="CX717" s="6"/>
      <c r="DI717" s="125"/>
      <c r="DJ717" s="16"/>
      <c r="DM717" s="16"/>
      <c r="DN717" s="16"/>
      <c r="DO717" s="125"/>
      <c r="DP717" s="16"/>
      <c r="DQ717" s="125"/>
      <c r="DZ717" s="125"/>
      <c r="EA717" s="142"/>
      <c r="EB717" s="125"/>
      <c r="EC717" s="16"/>
      <c r="ED717" s="125"/>
      <c r="EE717" s="125"/>
      <c r="EF717" s="16"/>
      <c r="EG717" s="125"/>
      <c r="EQ717" s="125"/>
      <c r="ER717" s="16"/>
      <c r="ES717" s="123"/>
      <c r="ET717" s="19"/>
      <c r="EU717" s="139"/>
      <c r="EV717" s="139"/>
      <c r="EW717" s="123"/>
      <c r="EX717" s="123"/>
      <c r="EY717" s="123"/>
      <c r="EZ717" s="123"/>
      <c r="FA717" s="123"/>
      <c r="FB717" s="123"/>
      <c r="FC717" s="6"/>
      <c r="FD717" s="123"/>
      <c r="FE717" s="6"/>
      <c r="FF717" s="123"/>
      <c r="FG717" s="6"/>
      <c r="FH717" s="6"/>
      <c r="FI717" s="6"/>
      <c r="FJ717" s="6"/>
      <c r="FK717" s="123"/>
      <c r="FL717" s="6"/>
      <c r="FM717" s="6"/>
      <c r="FN717" s="6"/>
      <c r="FO717" s="138"/>
      <c r="FP717" s="138"/>
      <c r="FQ717" s="123"/>
      <c r="FR717" s="6"/>
      <c r="FS717" s="6"/>
      <c r="FT717" s="139"/>
      <c r="FU717" s="139"/>
      <c r="FV717" s="76"/>
      <c r="FW717" s="123"/>
      <c r="FX717" s="6"/>
    </row>
    <row r="718" spans="35:180">
      <c r="AI718" s="125"/>
      <c r="AJ718" s="16"/>
      <c r="AM718" s="16"/>
      <c r="AN718" s="16"/>
      <c r="AO718" s="125"/>
      <c r="AP718" s="16"/>
      <c r="AQ718" s="125"/>
      <c r="AZ718" s="125"/>
      <c r="BA718" s="142"/>
      <c r="BB718" s="125"/>
      <c r="BC718" s="16"/>
      <c r="BD718" s="125"/>
      <c r="BE718" s="125"/>
      <c r="BF718" s="16"/>
      <c r="BG718" s="125"/>
      <c r="BQ718" s="125"/>
      <c r="BR718" s="16"/>
      <c r="BS718" s="123"/>
      <c r="BT718" s="19"/>
      <c r="BU718" s="139"/>
      <c r="BV718" s="139"/>
      <c r="BW718" s="123"/>
      <c r="BX718" s="123"/>
      <c r="BY718" s="123"/>
      <c r="BZ718" s="123"/>
      <c r="CA718" s="123"/>
      <c r="CB718" s="123"/>
      <c r="CC718" s="6"/>
      <c r="CD718" s="123"/>
      <c r="CE718" s="6"/>
      <c r="CF718" s="123"/>
      <c r="CG718" s="6"/>
      <c r="CH718" s="6"/>
      <c r="CI718" s="6"/>
      <c r="CJ718" s="6"/>
      <c r="CK718" s="123"/>
      <c r="CL718" s="6"/>
      <c r="CM718" s="6"/>
      <c r="CN718" s="6"/>
      <c r="CO718" s="138"/>
      <c r="CP718" s="138"/>
      <c r="CQ718" s="123"/>
      <c r="CR718" s="6"/>
      <c r="CS718" s="6"/>
      <c r="CT718" s="139"/>
      <c r="CU718" s="139"/>
      <c r="CV718" s="76"/>
      <c r="CW718" s="123"/>
      <c r="CX718" s="6"/>
      <c r="DI718" s="125"/>
      <c r="DJ718" s="16"/>
      <c r="DM718" s="16"/>
      <c r="DN718" s="16"/>
      <c r="DO718" s="125"/>
      <c r="DP718" s="16"/>
      <c r="DQ718" s="125"/>
      <c r="DZ718" s="125"/>
      <c r="EA718" s="142"/>
      <c r="EB718" s="125"/>
      <c r="EC718" s="16"/>
      <c r="ED718" s="125"/>
      <c r="EE718" s="125"/>
      <c r="EF718" s="16"/>
      <c r="EG718" s="125"/>
      <c r="EQ718" s="125"/>
      <c r="ER718" s="16"/>
      <c r="ES718" s="123"/>
      <c r="ET718" s="19"/>
      <c r="EU718" s="139"/>
      <c r="EV718" s="139"/>
      <c r="EW718" s="123"/>
      <c r="EX718" s="123"/>
      <c r="EY718" s="123"/>
      <c r="EZ718" s="123"/>
      <c r="FA718" s="123"/>
      <c r="FB718" s="123"/>
      <c r="FC718" s="6"/>
      <c r="FD718" s="123"/>
      <c r="FE718" s="6"/>
      <c r="FF718" s="123"/>
      <c r="FG718" s="6"/>
      <c r="FH718" s="6"/>
      <c r="FI718" s="6"/>
      <c r="FJ718" s="6"/>
      <c r="FK718" s="123"/>
      <c r="FL718" s="6"/>
      <c r="FM718" s="6"/>
      <c r="FN718" s="6"/>
      <c r="FO718" s="138"/>
      <c r="FP718" s="138"/>
      <c r="FQ718" s="123"/>
      <c r="FR718" s="6"/>
      <c r="FS718" s="6"/>
      <c r="FT718" s="139"/>
      <c r="FU718" s="139"/>
      <c r="FV718" s="76"/>
      <c r="FW718" s="123"/>
      <c r="FX718" s="6"/>
    </row>
    <row r="719" spans="35:180">
      <c r="AI719" s="125"/>
      <c r="AJ719" s="16"/>
      <c r="AM719" s="16"/>
      <c r="AN719" s="16"/>
      <c r="AO719" s="125"/>
      <c r="AP719" s="16"/>
      <c r="AQ719" s="125"/>
      <c r="AZ719" s="125"/>
      <c r="BA719" s="142"/>
      <c r="BB719" s="125"/>
      <c r="BC719" s="16"/>
      <c r="BD719" s="125"/>
      <c r="BE719" s="125"/>
      <c r="BF719" s="16"/>
      <c r="BG719" s="125"/>
      <c r="BQ719" s="125"/>
      <c r="BR719" s="16"/>
      <c r="BS719" s="123"/>
      <c r="BT719" s="19"/>
      <c r="BU719" s="139"/>
      <c r="BV719" s="139"/>
      <c r="BW719" s="123"/>
      <c r="BX719" s="123"/>
      <c r="BY719" s="123"/>
      <c r="BZ719" s="123"/>
      <c r="CA719" s="123"/>
      <c r="CB719" s="123"/>
      <c r="CC719" s="6"/>
      <c r="CD719" s="123"/>
      <c r="CE719" s="6"/>
      <c r="CF719" s="123"/>
      <c r="CG719" s="6"/>
      <c r="CH719" s="6"/>
      <c r="CI719" s="6"/>
      <c r="CJ719" s="6"/>
      <c r="CK719" s="123"/>
      <c r="CL719" s="6"/>
      <c r="CM719" s="6"/>
      <c r="CN719" s="6"/>
      <c r="CO719" s="138"/>
      <c r="CP719" s="138"/>
      <c r="CQ719" s="123"/>
      <c r="CR719" s="6"/>
      <c r="CS719" s="6"/>
      <c r="CT719" s="139"/>
      <c r="CU719" s="139"/>
      <c r="CV719" s="76"/>
      <c r="CW719" s="123"/>
      <c r="CX719" s="6"/>
      <c r="DI719" s="125"/>
      <c r="DJ719" s="16"/>
      <c r="DM719" s="16"/>
      <c r="DN719" s="16"/>
      <c r="DO719" s="125"/>
      <c r="DP719" s="16"/>
      <c r="DQ719" s="125"/>
      <c r="DZ719" s="125"/>
      <c r="EA719" s="142"/>
      <c r="EB719" s="125"/>
      <c r="EC719" s="16"/>
      <c r="ED719" s="125"/>
      <c r="EE719" s="125"/>
      <c r="EF719" s="16"/>
      <c r="EG719" s="125"/>
      <c r="EQ719" s="125"/>
      <c r="ER719" s="16"/>
      <c r="ES719" s="123"/>
      <c r="ET719" s="19"/>
      <c r="EU719" s="139"/>
      <c r="EV719" s="139"/>
      <c r="EW719" s="123"/>
      <c r="EX719" s="123"/>
      <c r="EY719" s="123"/>
      <c r="EZ719" s="123"/>
      <c r="FA719" s="123"/>
      <c r="FB719" s="123"/>
      <c r="FC719" s="6"/>
      <c r="FD719" s="123"/>
      <c r="FE719" s="6"/>
      <c r="FF719" s="123"/>
      <c r="FG719" s="6"/>
      <c r="FH719" s="6"/>
      <c r="FI719" s="6"/>
      <c r="FJ719" s="6"/>
      <c r="FK719" s="123"/>
      <c r="FL719" s="6"/>
      <c r="FM719" s="6"/>
      <c r="FN719" s="6"/>
      <c r="FO719" s="138"/>
      <c r="FP719" s="138"/>
      <c r="FQ719" s="123"/>
      <c r="FR719" s="6"/>
      <c r="FS719" s="6"/>
      <c r="FT719" s="139"/>
      <c r="FU719" s="139"/>
      <c r="FV719" s="76"/>
      <c r="FW719" s="123"/>
      <c r="FX719" s="6"/>
    </row>
    <row r="720" spans="35:180">
      <c r="AI720" s="125"/>
      <c r="AJ720" s="16"/>
      <c r="AM720" s="16"/>
      <c r="AN720" s="16"/>
      <c r="AO720" s="125"/>
      <c r="AP720" s="16"/>
      <c r="AQ720" s="125"/>
      <c r="AZ720" s="125"/>
      <c r="BA720" s="142"/>
      <c r="BB720" s="125"/>
      <c r="BC720" s="16"/>
      <c r="BD720" s="125"/>
      <c r="BE720" s="125"/>
      <c r="BF720" s="16"/>
      <c r="BG720" s="125"/>
      <c r="BQ720" s="125"/>
      <c r="BR720" s="16"/>
      <c r="BS720" s="123"/>
      <c r="BT720" s="19"/>
      <c r="BU720" s="139"/>
      <c r="BV720" s="139"/>
      <c r="BW720" s="123"/>
      <c r="BX720" s="123"/>
      <c r="BY720" s="123"/>
      <c r="BZ720" s="123"/>
      <c r="CA720" s="123"/>
      <c r="CB720" s="123"/>
      <c r="CC720" s="6"/>
      <c r="CD720" s="123"/>
      <c r="CE720" s="6"/>
      <c r="CF720" s="123"/>
      <c r="CG720" s="6"/>
      <c r="CH720" s="6"/>
      <c r="CI720" s="6"/>
      <c r="CJ720" s="6"/>
      <c r="CK720" s="123"/>
      <c r="CL720" s="6"/>
      <c r="CM720" s="6"/>
      <c r="CN720" s="6"/>
      <c r="CO720" s="138"/>
      <c r="CP720" s="138"/>
      <c r="CQ720" s="123"/>
      <c r="CR720" s="6"/>
      <c r="CS720" s="6"/>
      <c r="CT720" s="139"/>
      <c r="CU720" s="139"/>
      <c r="CV720" s="76"/>
      <c r="CW720" s="123"/>
      <c r="CX720" s="6"/>
      <c r="DI720" s="125"/>
      <c r="DJ720" s="16"/>
      <c r="DM720" s="16"/>
      <c r="DN720" s="16"/>
      <c r="DO720" s="125"/>
      <c r="DP720" s="16"/>
      <c r="DQ720" s="125"/>
      <c r="DZ720" s="125"/>
      <c r="EA720" s="142"/>
      <c r="EB720" s="125"/>
      <c r="EC720" s="16"/>
      <c r="ED720" s="125"/>
      <c r="EE720" s="125"/>
      <c r="EF720" s="16"/>
      <c r="EG720" s="125"/>
      <c r="EQ720" s="125"/>
      <c r="ER720" s="16"/>
      <c r="ES720" s="123"/>
      <c r="ET720" s="19"/>
      <c r="EU720" s="139"/>
      <c r="EV720" s="139"/>
      <c r="EW720" s="123"/>
      <c r="EX720" s="123"/>
      <c r="EY720" s="123"/>
      <c r="EZ720" s="123"/>
      <c r="FA720" s="123"/>
      <c r="FB720" s="123"/>
      <c r="FC720" s="6"/>
      <c r="FD720" s="123"/>
      <c r="FE720" s="6"/>
      <c r="FF720" s="123"/>
      <c r="FG720" s="6"/>
      <c r="FH720" s="6"/>
      <c r="FI720" s="6"/>
      <c r="FJ720" s="6"/>
      <c r="FK720" s="123"/>
      <c r="FL720" s="6"/>
      <c r="FM720" s="6"/>
      <c r="FN720" s="6"/>
      <c r="FO720" s="138"/>
      <c r="FP720" s="138"/>
      <c r="FQ720" s="123"/>
      <c r="FR720" s="6"/>
      <c r="FS720" s="6"/>
      <c r="FT720" s="139"/>
      <c r="FU720" s="139"/>
      <c r="FV720" s="76"/>
      <c r="FW720" s="123"/>
      <c r="FX720" s="6"/>
    </row>
    <row r="721" spans="35:180">
      <c r="AI721" s="125"/>
      <c r="AJ721" s="16"/>
      <c r="AM721" s="16"/>
      <c r="AN721" s="16"/>
      <c r="AO721" s="125"/>
      <c r="AP721" s="16"/>
      <c r="AQ721" s="125"/>
      <c r="AZ721" s="125"/>
      <c r="BA721" s="142"/>
      <c r="BB721" s="125"/>
      <c r="BC721" s="16"/>
      <c r="BD721" s="125"/>
      <c r="BE721" s="125"/>
      <c r="BF721" s="16"/>
      <c r="BG721" s="125"/>
      <c r="BQ721" s="125"/>
      <c r="BR721" s="16"/>
      <c r="BS721" s="123"/>
      <c r="BT721" s="19"/>
      <c r="BU721" s="139"/>
      <c r="BV721" s="139"/>
      <c r="BW721" s="123"/>
      <c r="BX721" s="123"/>
      <c r="BY721" s="123"/>
      <c r="BZ721" s="123"/>
      <c r="CA721" s="123"/>
      <c r="CB721" s="123"/>
      <c r="CC721" s="6"/>
      <c r="CD721" s="123"/>
      <c r="CE721" s="6"/>
      <c r="CF721" s="123"/>
      <c r="CG721" s="6"/>
      <c r="CH721" s="6"/>
      <c r="CI721" s="6"/>
      <c r="CJ721" s="6"/>
      <c r="CK721" s="123"/>
      <c r="CL721" s="6"/>
      <c r="CM721" s="6"/>
      <c r="CN721" s="6"/>
      <c r="CO721" s="138"/>
      <c r="CP721" s="138"/>
      <c r="CQ721" s="123"/>
      <c r="CR721" s="6"/>
      <c r="CS721" s="6"/>
      <c r="CT721" s="139"/>
      <c r="CU721" s="139"/>
      <c r="CV721" s="76"/>
      <c r="CW721" s="123"/>
      <c r="CX721" s="6"/>
      <c r="DI721" s="125"/>
      <c r="DJ721" s="16"/>
      <c r="DM721" s="16"/>
      <c r="DN721" s="16"/>
      <c r="DO721" s="125"/>
      <c r="DP721" s="16"/>
      <c r="DQ721" s="125"/>
      <c r="DZ721" s="125"/>
      <c r="EA721" s="142"/>
      <c r="EB721" s="125"/>
      <c r="EC721" s="16"/>
      <c r="ED721" s="125"/>
      <c r="EE721" s="125"/>
      <c r="EF721" s="16"/>
      <c r="EG721" s="125"/>
      <c r="EQ721" s="125"/>
      <c r="ER721" s="16"/>
      <c r="ES721" s="123"/>
      <c r="ET721" s="19"/>
      <c r="EU721" s="139"/>
      <c r="EV721" s="139"/>
      <c r="EW721" s="123"/>
      <c r="EX721" s="123"/>
      <c r="EY721" s="123"/>
      <c r="EZ721" s="123"/>
      <c r="FA721" s="123"/>
      <c r="FB721" s="123"/>
      <c r="FC721" s="6"/>
      <c r="FD721" s="123"/>
      <c r="FE721" s="6"/>
      <c r="FF721" s="123"/>
      <c r="FG721" s="6"/>
      <c r="FH721" s="6"/>
      <c r="FI721" s="6"/>
      <c r="FJ721" s="6"/>
      <c r="FK721" s="123"/>
      <c r="FL721" s="6"/>
      <c r="FM721" s="6"/>
      <c r="FN721" s="6"/>
      <c r="FO721" s="138"/>
      <c r="FP721" s="138"/>
      <c r="FQ721" s="123"/>
      <c r="FR721" s="6"/>
      <c r="FS721" s="6"/>
      <c r="FT721" s="139"/>
      <c r="FU721" s="139"/>
      <c r="FV721" s="76"/>
      <c r="FW721" s="123"/>
      <c r="FX721" s="6"/>
    </row>
    <row r="722" spans="35:180">
      <c r="AI722" s="125"/>
      <c r="AJ722" s="16"/>
      <c r="AM722" s="16"/>
      <c r="AN722" s="16"/>
      <c r="AO722" s="125"/>
      <c r="AP722" s="16"/>
      <c r="AQ722" s="125"/>
      <c r="AZ722" s="125"/>
      <c r="BA722" s="142"/>
      <c r="BB722" s="125"/>
      <c r="BC722" s="16"/>
      <c r="BD722" s="125"/>
      <c r="BE722" s="125"/>
      <c r="BF722" s="16"/>
      <c r="BG722" s="125"/>
      <c r="BQ722" s="125"/>
      <c r="BR722" s="16"/>
      <c r="BS722" s="123"/>
      <c r="BT722" s="19"/>
      <c r="BU722" s="139"/>
      <c r="BV722" s="139"/>
      <c r="BW722" s="123"/>
      <c r="BX722" s="123"/>
      <c r="BY722" s="123"/>
      <c r="BZ722" s="123"/>
      <c r="CA722" s="123"/>
      <c r="CB722" s="123"/>
      <c r="CC722" s="6"/>
      <c r="CD722" s="123"/>
      <c r="CE722" s="6"/>
      <c r="CF722" s="123"/>
      <c r="CG722" s="6"/>
      <c r="CH722" s="6"/>
      <c r="CI722" s="6"/>
      <c r="CJ722" s="6"/>
      <c r="CK722" s="123"/>
      <c r="CL722" s="6"/>
      <c r="CM722" s="6"/>
      <c r="CN722" s="6"/>
      <c r="CO722" s="138"/>
      <c r="CP722" s="138"/>
      <c r="CQ722" s="123"/>
      <c r="CR722" s="6"/>
      <c r="CS722" s="6"/>
      <c r="CT722" s="139"/>
      <c r="CU722" s="139"/>
      <c r="CV722" s="76"/>
      <c r="CW722" s="123"/>
      <c r="CX722" s="6"/>
      <c r="DI722" s="125"/>
      <c r="DJ722" s="16"/>
      <c r="DM722" s="16"/>
      <c r="DN722" s="16"/>
      <c r="DO722" s="125"/>
      <c r="DP722" s="16"/>
      <c r="DQ722" s="125"/>
      <c r="DZ722" s="125"/>
      <c r="EA722" s="142"/>
      <c r="EB722" s="125"/>
      <c r="EC722" s="16"/>
      <c r="ED722" s="125"/>
      <c r="EE722" s="125"/>
      <c r="EF722" s="16"/>
      <c r="EG722" s="125"/>
      <c r="EQ722" s="125"/>
      <c r="ER722" s="16"/>
      <c r="ES722" s="123"/>
      <c r="ET722" s="19"/>
      <c r="EU722" s="139"/>
      <c r="EV722" s="139"/>
      <c r="EW722" s="123"/>
      <c r="EX722" s="123"/>
      <c r="EY722" s="123"/>
      <c r="EZ722" s="123"/>
      <c r="FA722" s="123"/>
      <c r="FB722" s="123"/>
      <c r="FC722" s="6"/>
      <c r="FD722" s="123"/>
      <c r="FE722" s="6"/>
      <c r="FF722" s="123"/>
      <c r="FG722" s="6"/>
      <c r="FH722" s="6"/>
      <c r="FI722" s="6"/>
      <c r="FJ722" s="6"/>
      <c r="FK722" s="123"/>
      <c r="FL722" s="6"/>
      <c r="FM722" s="6"/>
      <c r="FN722" s="6"/>
      <c r="FO722" s="138"/>
      <c r="FP722" s="138"/>
      <c r="FQ722" s="123"/>
      <c r="FR722" s="6"/>
      <c r="FS722" s="6"/>
      <c r="FT722" s="139"/>
      <c r="FU722" s="139"/>
      <c r="FV722" s="76"/>
      <c r="FW722" s="123"/>
      <c r="FX722" s="6"/>
    </row>
    <row r="723" spans="35:180">
      <c r="AI723" s="125"/>
      <c r="AJ723" s="16"/>
      <c r="AM723" s="16"/>
      <c r="AN723" s="16"/>
      <c r="AO723" s="125"/>
      <c r="AP723" s="16"/>
      <c r="AQ723" s="125"/>
      <c r="AZ723" s="125"/>
      <c r="BA723" s="142"/>
      <c r="BB723" s="125"/>
      <c r="BC723" s="16"/>
      <c r="BD723" s="125"/>
      <c r="BE723" s="125"/>
      <c r="BF723" s="16"/>
      <c r="BG723" s="125"/>
      <c r="BQ723" s="125"/>
      <c r="BR723" s="16"/>
      <c r="BS723" s="123"/>
      <c r="BT723" s="19"/>
      <c r="BU723" s="139"/>
      <c r="BV723" s="139"/>
      <c r="BW723" s="123"/>
      <c r="BX723" s="123"/>
      <c r="BY723" s="123"/>
      <c r="BZ723" s="123"/>
      <c r="CA723" s="123"/>
      <c r="CB723" s="123"/>
      <c r="CC723" s="6"/>
      <c r="CD723" s="123"/>
      <c r="CE723" s="6"/>
      <c r="CF723" s="123"/>
      <c r="CG723" s="6"/>
      <c r="CH723" s="6"/>
      <c r="CI723" s="6"/>
      <c r="CJ723" s="6"/>
      <c r="CK723" s="123"/>
      <c r="CL723" s="6"/>
      <c r="CM723" s="6"/>
      <c r="CN723" s="6"/>
      <c r="CO723" s="138"/>
      <c r="CP723" s="138"/>
      <c r="CQ723" s="123"/>
      <c r="CR723" s="6"/>
      <c r="CS723" s="6"/>
      <c r="CT723" s="139"/>
      <c r="CU723" s="139"/>
      <c r="CV723" s="76"/>
      <c r="CW723" s="123"/>
      <c r="CX723" s="6"/>
      <c r="DI723" s="125"/>
      <c r="DJ723" s="16"/>
      <c r="DM723" s="16"/>
      <c r="DN723" s="16"/>
      <c r="DO723" s="125"/>
      <c r="DP723" s="16"/>
      <c r="DQ723" s="125"/>
      <c r="DZ723" s="125"/>
      <c r="EA723" s="142"/>
      <c r="EB723" s="125"/>
      <c r="EC723" s="16"/>
      <c r="ED723" s="125"/>
      <c r="EE723" s="125"/>
      <c r="EF723" s="16"/>
      <c r="EG723" s="125"/>
      <c r="EQ723" s="125"/>
      <c r="ER723" s="16"/>
      <c r="ES723" s="123"/>
      <c r="ET723" s="19"/>
      <c r="EU723" s="139"/>
      <c r="EV723" s="139"/>
      <c r="EW723" s="123"/>
      <c r="EX723" s="123"/>
      <c r="EY723" s="123"/>
      <c r="EZ723" s="123"/>
      <c r="FA723" s="123"/>
      <c r="FB723" s="123"/>
      <c r="FC723" s="6"/>
      <c r="FD723" s="123"/>
      <c r="FE723" s="6"/>
      <c r="FF723" s="123"/>
      <c r="FG723" s="6"/>
      <c r="FH723" s="6"/>
      <c r="FI723" s="6"/>
      <c r="FJ723" s="6"/>
      <c r="FK723" s="123"/>
      <c r="FL723" s="6"/>
      <c r="FM723" s="6"/>
      <c r="FN723" s="6"/>
      <c r="FO723" s="138"/>
      <c r="FP723" s="138"/>
      <c r="FQ723" s="123"/>
      <c r="FR723" s="6"/>
      <c r="FS723" s="6"/>
      <c r="FT723" s="139"/>
      <c r="FU723" s="139"/>
      <c r="FV723" s="76"/>
      <c r="FW723" s="123"/>
      <c r="FX723" s="6"/>
    </row>
    <row r="724" spans="35:180">
      <c r="AI724" s="125"/>
      <c r="AJ724" s="16"/>
      <c r="AM724" s="16"/>
      <c r="AN724" s="16"/>
      <c r="AO724" s="125"/>
      <c r="AP724" s="16"/>
      <c r="AQ724" s="125"/>
      <c r="AZ724" s="125"/>
      <c r="BA724" s="142"/>
      <c r="BB724" s="125"/>
      <c r="BC724" s="16"/>
      <c r="BD724" s="125"/>
      <c r="BE724" s="125"/>
      <c r="BF724" s="16"/>
      <c r="BG724" s="125"/>
      <c r="BQ724" s="125"/>
      <c r="BR724" s="16"/>
      <c r="BS724" s="123"/>
      <c r="BT724" s="19"/>
      <c r="BU724" s="139"/>
      <c r="BV724" s="139"/>
      <c r="BW724" s="123"/>
      <c r="BX724" s="123"/>
      <c r="BY724" s="123"/>
      <c r="BZ724" s="123"/>
      <c r="CA724" s="123"/>
      <c r="CB724" s="123"/>
      <c r="CC724" s="6"/>
      <c r="CD724" s="123"/>
      <c r="CE724" s="6"/>
      <c r="CF724" s="123"/>
      <c r="CG724" s="6"/>
      <c r="CH724" s="6"/>
      <c r="CI724" s="6"/>
      <c r="CJ724" s="6"/>
      <c r="CK724" s="123"/>
      <c r="CL724" s="6"/>
      <c r="CM724" s="6"/>
      <c r="CN724" s="6"/>
      <c r="CO724" s="138"/>
      <c r="CP724" s="138"/>
      <c r="CQ724" s="123"/>
      <c r="CR724" s="6"/>
      <c r="CS724" s="6"/>
      <c r="CT724" s="139"/>
      <c r="CU724" s="139"/>
      <c r="CV724" s="76"/>
      <c r="CW724" s="123"/>
      <c r="CX724" s="6"/>
      <c r="DI724" s="125"/>
      <c r="DJ724" s="16"/>
      <c r="DM724" s="16"/>
      <c r="DN724" s="16"/>
      <c r="DO724" s="125"/>
      <c r="DP724" s="16"/>
      <c r="DQ724" s="125"/>
      <c r="DZ724" s="125"/>
      <c r="EA724" s="142"/>
      <c r="EB724" s="125"/>
      <c r="EC724" s="16"/>
      <c r="ED724" s="125"/>
      <c r="EE724" s="125"/>
      <c r="EF724" s="16"/>
      <c r="EG724" s="125"/>
      <c r="EQ724" s="125"/>
      <c r="ER724" s="16"/>
      <c r="ES724" s="123"/>
      <c r="ET724" s="19"/>
      <c r="EU724" s="139"/>
      <c r="EV724" s="139"/>
      <c r="EW724" s="123"/>
      <c r="EX724" s="123"/>
      <c r="EY724" s="123"/>
      <c r="EZ724" s="123"/>
      <c r="FA724" s="123"/>
      <c r="FB724" s="123"/>
      <c r="FC724" s="6"/>
      <c r="FD724" s="123"/>
      <c r="FE724" s="6"/>
      <c r="FF724" s="123"/>
      <c r="FG724" s="6"/>
      <c r="FH724" s="6"/>
      <c r="FI724" s="6"/>
      <c r="FJ724" s="6"/>
      <c r="FK724" s="123"/>
      <c r="FL724" s="6"/>
      <c r="FM724" s="6"/>
      <c r="FN724" s="6"/>
      <c r="FO724" s="138"/>
      <c r="FP724" s="138"/>
      <c r="FQ724" s="123"/>
      <c r="FR724" s="6"/>
      <c r="FS724" s="6"/>
      <c r="FT724" s="139"/>
      <c r="FU724" s="139"/>
      <c r="FV724" s="76"/>
      <c r="FW724" s="123"/>
      <c r="FX724" s="6"/>
    </row>
    <row r="725" spans="35:180">
      <c r="AI725" s="125"/>
      <c r="AJ725" s="16"/>
      <c r="AM725" s="16"/>
      <c r="AN725" s="16"/>
      <c r="AO725" s="125"/>
      <c r="AP725" s="16"/>
      <c r="AQ725" s="125"/>
      <c r="AZ725" s="125"/>
      <c r="BA725" s="142"/>
      <c r="BB725" s="125"/>
      <c r="BC725" s="16"/>
      <c r="BD725" s="125"/>
      <c r="BE725" s="125"/>
      <c r="BF725" s="16"/>
      <c r="BG725" s="125"/>
      <c r="BQ725" s="125"/>
      <c r="BR725" s="16"/>
      <c r="BS725" s="123"/>
      <c r="BT725" s="19"/>
      <c r="BU725" s="139"/>
      <c r="BV725" s="139"/>
      <c r="BW725" s="123"/>
      <c r="BX725" s="123"/>
      <c r="BY725" s="123"/>
      <c r="BZ725" s="123"/>
      <c r="CA725" s="123"/>
      <c r="CB725" s="123"/>
      <c r="CC725" s="6"/>
      <c r="CD725" s="123"/>
      <c r="CE725" s="6"/>
      <c r="CF725" s="123"/>
      <c r="CG725" s="6"/>
      <c r="CH725" s="6"/>
      <c r="CI725" s="6"/>
      <c r="CJ725" s="6"/>
      <c r="CK725" s="123"/>
      <c r="CL725" s="6"/>
      <c r="CM725" s="6"/>
      <c r="CN725" s="6"/>
      <c r="CO725" s="138"/>
      <c r="CP725" s="138"/>
      <c r="CQ725" s="123"/>
      <c r="CR725" s="6"/>
      <c r="CS725" s="6"/>
      <c r="CT725" s="139"/>
      <c r="CU725" s="139"/>
      <c r="CV725" s="76"/>
      <c r="CW725" s="123"/>
      <c r="CX725" s="6"/>
      <c r="DI725" s="125"/>
      <c r="DJ725" s="16"/>
      <c r="DM725" s="16"/>
      <c r="DN725" s="16"/>
      <c r="DO725" s="125"/>
      <c r="DP725" s="16"/>
      <c r="DQ725" s="125"/>
      <c r="DZ725" s="125"/>
      <c r="EA725" s="142"/>
      <c r="EB725" s="125"/>
      <c r="EC725" s="16"/>
      <c r="ED725" s="125"/>
      <c r="EE725" s="125"/>
      <c r="EF725" s="16"/>
      <c r="EG725" s="125"/>
      <c r="EQ725" s="125"/>
      <c r="ER725" s="16"/>
      <c r="ES725" s="123"/>
      <c r="ET725" s="19"/>
      <c r="EU725" s="139"/>
      <c r="EV725" s="139"/>
      <c r="EW725" s="123"/>
      <c r="EX725" s="123"/>
      <c r="EY725" s="123"/>
      <c r="EZ725" s="123"/>
      <c r="FA725" s="123"/>
      <c r="FB725" s="123"/>
      <c r="FC725" s="6"/>
      <c r="FD725" s="123"/>
      <c r="FE725" s="6"/>
      <c r="FF725" s="123"/>
      <c r="FG725" s="6"/>
      <c r="FH725" s="6"/>
      <c r="FI725" s="6"/>
      <c r="FJ725" s="6"/>
      <c r="FK725" s="123"/>
      <c r="FL725" s="6"/>
      <c r="FM725" s="6"/>
      <c r="FN725" s="6"/>
      <c r="FO725" s="138"/>
      <c r="FP725" s="138"/>
      <c r="FQ725" s="123"/>
      <c r="FR725" s="6"/>
      <c r="FS725" s="6"/>
      <c r="FT725" s="139"/>
      <c r="FU725" s="139"/>
      <c r="FV725" s="76"/>
      <c r="FW725" s="123"/>
      <c r="FX725" s="6"/>
    </row>
    <row r="726" spans="35:180">
      <c r="AI726" s="125"/>
      <c r="AJ726" s="16"/>
      <c r="AM726" s="16"/>
      <c r="AN726" s="16"/>
      <c r="AO726" s="125"/>
      <c r="AP726" s="16"/>
      <c r="AQ726" s="125"/>
      <c r="AZ726" s="125"/>
      <c r="BA726" s="142"/>
      <c r="BB726" s="125"/>
      <c r="BC726" s="16"/>
      <c r="BD726" s="125"/>
      <c r="BE726" s="125"/>
      <c r="BF726" s="16"/>
      <c r="BG726" s="125"/>
      <c r="BQ726" s="125"/>
      <c r="BR726" s="16"/>
      <c r="BS726" s="123"/>
      <c r="BT726" s="19"/>
      <c r="BU726" s="139"/>
      <c r="BV726" s="139"/>
      <c r="BW726" s="123"/>
      <c r="BX726" s="123"/>
      <c r="BY726" s="123"/>
      <c r="BZ726" s="123"/>
      <c r="CA726" s="123"/>
      <c r="CB726" s="123"/>
      <c r="CC726" s="6"/>
      <c r="CD726" s="123"/>
      <c r="CE726" s="6"/>
      <c r="CF726" s="123"/>
      <c r="CG726" s="6"/>
      <c r="CH726" s="6"/>
      <c r="CI726" s="6"/>
      <c r="CJ726" s="6"/>
      <c r="CK726" s="123"/>
      <c r="CL726" s="6"/>
      <c r="CM726" s="6"/>
      <c r="CN726" s="6"/>
      <c r="CO726" s="138"/>
      <c r="CP726" s="138"/>
      <c r="CQ726" s="123"/>
      <c r="CR726" s="6"/>
      <c r="CS726" s="6"/>
      <c r="CT726" s="139"/>
      <c r="CU726" s="139"/>
      <c r="CV726" s="76"/>
      <c r="CW726" s="123"/>
      <c r="CX726" s="6"/>
      <c r="DI726" s="125"/>
      <c r="DJ726" s="16"/>
      <c r="DM726" s="16"/>
      <c r="DN726" s="16"/>
      <c r="DO726" s="125"/>
      <c r="DP726" s="16"/>
      <c r="DQ726" s="125"/>
      <c r="DZ726" s="125"/>
      <c r="EA726" s="142"/>
      <c r="EB726" s="125"/>
      <c r="EC726" s="16"/>
      <c r="ED726" s="125"/>
      <c r="EE726" s="125"/>
      <c r="EF726" s="16"/>
      <c r="EG726" s="125"/>
      <c r="EQ726" s="125"/>
      <c r="ER726" s="16"/>
      <c r="ES726" s="123"/>
      <c r="ET726" s="19"/>
      <c r="EU726" s="139"/>
      <c r="EV726" s="139"/>
      <c r="EW726" s="123"/>
      <c r="EX726" s="123"/>
      <c r="EY726" s="123"/>
      <c r="EZ726" s="123"/>
      <c r="FA726" s="123"/>
      <c r="FB726" s="123"/>
      <c r="FC726" s="6"/>
      <c r="FD726" s="123"/>
      <c r="FE726" s="6"/>
      <c r="FF726" s="123"/>
      <c r="FG726" s="6"/>
      <c r="FH726" s="6"/>
      <c r="FI726" s="6"/>
      <c r="FJ726" s="6"/>
      <c r="FK726" s="123"/>
      <c r="FL726" s="6"/>
      <c r="FM726" s="6"/>
      <c r="FN726" s="6"/>
      <c r="FO726" s="138"/>
      <c r="FP726" s="138"/>
      <c r="FQ726" s="123"/>
      <c r="FR726" s="6"/>
      <c r="FS726" s="6"/>
      <c r="FT726" s="139"/>
      <c r="FU726" s="139"/>
      <c r="FV726" s="76"/>
      <c r="FW726" s="123"/>
      <c r="FX726" s="6"/>
    </row>
    <row r="727" spans="35:180">
      <c r="AI727" s="125"/>
      <c r="AJ727" s="16"/>
      <c r="AM727" s="16"/>
      <c r="AN727" s="16"/>
      <c r="AO727" s="125"/>
      <c r="AP727" s="16"/>
      <c r="AQ727" s="125"/>
      <c r="AZ727" s="125"/>
      <c r="BA727" s="142"/>
      <c r="BB727" s="125"/>
      <c r="BC727" s="16"/>
      <c r="BD727" s="125"/>
      <c r="BE727" s="125"/>
      <c r="BF727" s="16"/>
      <c r="BG727" s="125"/>
      <c r="BQ727" s="125"/>
      <c r="BR727" s="16"/>
      <c r="BS727" s="123"/>
      <c r="BT727" s="19"/>
      <c r="BU727" s="139"/>
      <c r="BV727" s="139"/>
      <c r="BW727" s="123"/>
      <c r="BX727" s="123"/>
      <c r="BY727" s="123"/>
      <c r="BZ727" s="123"/>
      <c r="CA727" s="123"/>
      <c r="CB727" s="123"/>
      <c r="CC727" s="6"/>
      <c r="CD727" s="123"/>
      <c r="CE727" s="6"/>
      <c r="CF727" s="123"/>
      <c r="CG727" s="6"/>
      <c r="CH727" s="6"/>
      <c r="CI727" s="6"/>
      <c r="CJ727" s="6"/>
      <c r="CK727" s="123"/>
      <c r="CL727" s="6"/>
      <c r="CM727" s="6"/>
      <c r="CN727" s="6"/>
      <c r="CO727" s="138"/>
      <c r="CP727" s="138"/>
      <c r="CQ727" s="123"/>
      <c r="CR727" s="6"/>
      <c r="CS727" s="6"/>
      <c r="CT727" s="139"/>
      <c r="CU727" s="139"/>
      <c r="CV727" s="76"/>
      <c r="CW727" s="123"/>
      <c r="CX727" s="6"/>
      <c r="DI727" s="125"/>
      <c r="DJ727" s="16"/>
      <c r="DM727" s="16"/>
      <c r="DN727" s="16"/>
      <c r="DO727" s="125"/>
      <c r="DP727" s="16"/>
      <c r="DQ727" s="125"/>
      <c r="DZ727" s="125"/>
      <c r="EA727" s="142"/>
      <c r="EB727" s="125"/>
      <c r="EC727" s="16"/>
      <c r="ED727" s="125"/>
      <c r="EE727" s="125"/>
      <c r="EF727" s="16"/>
      <c r="EG727" s="125"/>
      <c r="EQ727" s="125"/>
      <c r="ER727" s="16"/>
      <c r="ES727" s="123"/>
      <c r="ET727" s="19"/>
      <c r="EU727" s="139"/>
      <c r="EV727" s="139"/>
      <c r="EW727" s="123"/>
      <c r="EX727" s="123"/>
      <c r="EY727" s="123"/>
      <c r="EZ727" s="123"/>
      <c r="FA727" s="123"/>
      <c r="FB727" s="123"/>
      <c r="FC727" s="6"/>
      <c r="FD727" s="123"/>
      <c r="FE727" s="6"/>
      <c r="FF727" s="123"/>
      <c r="FG727" s="6"/>
      <c r="FH727" s="6"/>
      <c r="FI727" s="6"/>
      <c r="FJ727" s="6"/>
      <c r="FK727" s="123"/>
      <c r="FL727" s="6"/>
      <c r="FM727" s="6"/>
      <c r="FN727" s="6"/>
      <c r="FO727" s="138"/>
      <c r="FP727" s="138"/>
      <c r="FQ727" s="123"/>
      <c r="FR727" s="6"/>
      <c r="FS727" s="6"/>
      <c r="FT727" s="139"/>
      <c r="FU727" s="139"/>
      <c r="FV727" s="76"/>
      <c r="FW727" s="123"/>
      <c r="FX727" s="6"/>
    </row>
    <row r="728" spans="35:180">
      <c r="AI728" s="125"/>
      <c r="AJ728" s="16"/>
      <c r="AM728" s="16"/>
      <c r="AN728" s="16"/>
      <c r="AO728" s="125"/>
      <c r="AP728" s="16"/>
      <c r="AQ728" s="125"/>
      <c r="AZ728" s="125"/>
      <c r="BA728" s="142"/>
      <c r="BB728" s="125"/>
      <c r="BC728" s="16"/>
      <c r="BD728" s="125"/>
      <c r="BE728" s="125"/>
      <c r="BF728" s="16"/>
      <c r="BG728" s="125"/>
      <c r="BQ728" s="125"/>
      <c r="BR728" s="16"/>
      <c r="BS728" s="123"/>
      <c r="BT728" s="19"/>
      <c r="BU728" s="139"/>
      <c r="BV728" s="139"/>
      <c r="BW728" s="123"/>
      <c r="BX728" s="123"/>
      <c r="BY728" s="123"/>
      <c r="BZ728" s="123"/>
      <c r="CA728" s="123"/>
      <c r="CB728" s="123"/>
      <c r="CC728" s="6"/>
      <c r="CD728" s="123"/>
      <c r="CE728" s="6"/>
      <c r="CF728" s="123"/>
      <c r="CG728" s="6"/>
      <c r="CH728" s="6"/>
      <c r="CI728" s="6"/>
      <c r="CJ728" s="6"/>
      <c r="CK728" s="123"/>
      <c r="CL728" s="6"/>
      <c r="CM728" s="6"/>
      <c r="CN728" s="6"/>
      <c r="CO728" s="138"/>
      <c r="CP728" s="138"/>
      <c r="CQ728" s="123"/>
      <c r="CR728" s="6"/>
      <c r="CS728" s="6"/>
      <c r="CT728" s="139"/>
      <c r="CU728" s="139"/>
      <c r="CV728" s="76"/>
      <c r="CW728" s="123"/>
      <c r="CX728" s="6"/>
      <c r="DI728" s="125"/>
      <c r="DJ728" s="16"/>
      <c r="DM728" s="16"/>
      <c r="DN728" s="16"/>
      <c r="DO728" s="125"/>
      <c r="DP728" s="16"/>
      <c r="DQ728" s="125"/>
      <c r="DZ728" s="125"/>
      <c r="EA728" s="142"/>
      <c r="EB728" s="125"/>
      <c r="EC728" s="16"/>
      <c r="ED728" s="125"/>
      <c r="EE728" s="125"/>
      <c r="EF728" s="16"/>
      <c r="EG728" s="125"/>
      <c r="EQ728" s="125"/>
      <c r="ER728" s="16"/>
      <c r="ES728" s="123"/>
      <c r="ET728" s="19"/>
      <c r="EU728" s="139"/>
      <c r="EV728" s="139"/>
      <c r="EW728" s="123"/>
      <c r="EX728" s="123"/>
      <c r="EY728" s="123"/>
      <c r="EZ728" s="123"/>
      <c r="FA728" s="123"/>
      <c r="FB728" s="123"/>
      <c r="FC728" s="6"/>
      <c r="FD728" s="123"/>
      <c r="FE728" s="6"/>
      <c r="FF728" s="123"/>
      <c r="FG728" s="6"/>
      <c r="FH728" s="6"/>
      <c r="FI728" s="6"/>
      <c r="FJ728" s="6"/>
      <c r="FK728" s="123"/>
      <c r="FL728" s="6"/>
      <c r="FM728" s="6"/>
      <c r="FN728" s="6"/>
      <c r="FO728" s="138"/>
      <c r="FP728" s="138"/>
      <c r="FQ728" s="123"/>
      <c r="FR728" s="6"/>
      <c r="FS728" s="6"/>
      <c r="FT728" s="139"/>
      <c r="FU728" s="139"/>
      <c r="FV728" s="76"/>
      <c r="FW728" s="123"/>
      <c r="FX728" s="6"/>
    </row>
    <row r="729" spans="35:180">
      <c r="AI729" s="125"/>
      <c r="AJ729" s="16"/>
      <c r="AM729" s="16"/>
      <c r="AN729" s="16"/>
      <c r="AO729" s="125"/>
      <c r="AP729" s="16"/>
      <c r="AQ729" s="125"/>
      <c r="AZ729" s="125"/>
      <c r="BA729" s="142"/>
      <c r="BB729" s="125"/>
      <c r="BC729" s="16"/>
      <c r="BD729" s="125"/>
      <c r="BE729" s="125"/>
      <c r="BF729" s="16"/>
      <c r="BG729" s="125"/>
      <c r="BQ729" s="125"/>
      <c r="BR729" s="16"/>
      <c r="BS729" s="123"/>
      <c r="BT729" s="19"/>
      <c r="BU729" s="139"/>
      <c r="BV729" s="139"/>
      <c r="BW729" s="123"/>
      <c r="BX729" s="123"/>
      <c r="BY729" s="123"/>
      <c r="BZ729" s="123"/>
      <c r="CA729" s="123"/>
      <c r="CB729" s="123"/>
      <c r="CC729" s="6"/>
      <c r="CD729" s="123"/>
      <c r="CE729" s="6"/>
      <c r="CF729" s="123"/>
      <c r="CG729" s="6"/>
      <c r="CH729" s="6"/>
      <c r="CI729" s="6"/>
      <c r="CJ729" s="6"/>
      <c r="CK729" s="123"/>
      <c r="CL729" s="6"/>
      <c r="CM729" s="6"/>
      <c r="CN729" s="6"/>
      <c r="CO729" s="138"/>
      <c r="CP729" s="138"/>
      <c r="CQ729" s="123"/>
      <c r="CR729" s="6"/>
      <c r="CS729" s="6"/>
      <c r="CT729" s="139"/>
      <c r="CU729" s="139"/>
      <c r="CV729" s="76"/>
      <c r="CW729" s="123"/>
      <c r="CX729" s="6"/>
      <c r="DI729" s="125"/>
      <c r="DJ729" s="16"/>
      <c r="DM729" s="16"/>
      <c r="DN729" s="16"/>
      <c r="DO729" s="125"/>
      <c r="DP729" s="16"/>
      <c r="DQ729" s="125"/>
      <c r="DZ729" s="125"/>
      <c r="EA729" s="142"/>
      <c r="EB729" s="125"/>
      <c r="EC729" s="16"/>
      <c r="ED729" s="125"/>
      <c r="EE729" s="125"/>
      <c r="EF729" s="16"/>
      <c r="EG729" s="125"/>
      <c r="EQ729" s="125"/>
      <c r="ER729" s="16"/>
      <c r="ES729" s="123"/>
      <c r="ET729" s="19"/>
      <c r="EU729" s="139"/>
      <c r="EV729" s="139"/>
      <c r="EW729" s="123"/>
      <c r="EX729" s="123"/>
      <c r="EY729" s="123"/>
      <c r="EZ729" s="123"/>
      <c r="FA729" s="123"/>
      <c r="FB729" s="123"/>
      <c r="FC729" s="6"/>
      <c r="FD729" s="123"/>
      <c r="FE729" s="6"/>
      <c r="FF729" s="123"/>
      <c r="FG729" s="6"/>
      <c r="FH729" s="6"/>
      <c r="FI729" s="6"/>
      <c r="FJ729" s="6"/>
      <c r="FK729" s="123"/>
      <c r="FL729" s="6"/>
      <c r="FM729" s="6"/>
      <c r="FN729" s="6"/>
      <c r="FO729" s="138"/>
      <c r="FP729" s="138"/>
      <c r="FQ729" s="123"/>
      <c r="FR729" s="6"/>
      <c r="FS729" s="6"/>
      <c r="FT729" s="139"/>
      <c r="FU729" s="139"/>
      <c r="FV729" s="76"/>
      <c r="FW729" s="123"/>
      <c r="FX729" s="6"/>
    </row>
    <row r="730" spans="35:180">
      <c r="AI730" s="125"/>
      <c r="AJ730" s="16"/>
      <c r="AM730" s="16"/>
      <c r="AN730" s="16"/>
      <c r="AO730" s="125"/>
      <c r="AP730" s="16"/>
      <c r="AQ730" s="125"/>
      <c r="AZ730" s="125"/>
      <c r="BA730" s="142"/>
      <c r="BB730" s="125"/>
      <c r="BC730" s="16"/>
      <c r="BD730" s="125"/>
      <c r="BE730" s="125"/>
      <c r="BF730" s="16"/>
      <c r="BG730" s="125"/>
      <c r="BQ730" s="125"/>
      <c r="BR730" s="16"/>
      <c r="BS730" s="123"/>
      <c r="BT730" s="19"/>
      <c r="BU730" s="139"/>
      <c r="BV730" s="139"/>
      <c r="BW730" s="123"/>
      <c r="BX730" s="123"/>
      <c r="BY730" s="123"/>
      <c r="BZ730" s="123"/>
      <c r="CA730" s="123"/>
      <c r="CB730" s="123"/>
      <c r="CC730" s="6"/>
      <c r="CD730" s="123"/>
      <c r="CE730" s="6"/>
      <c r="CF730" s="123"/>
      <c r="CG730" s="6"/>
      <c r="CH730" s="6"/>
      <c r="CI730" s="6"/>
      <c r="CJ730" s="6"/>
      <c r="CK730" s="123"/>
      <c r="CL730" s="6"/>
      <c r="CM730" s="6"/>
      <c r="CN730" s="6"/>
      <c r="CO730" s="138"/>
      <c r="CP730" s="138"/>
      <c r="CQ730" s="123"/>
      <c r="CR730" s="6"/>
      <c r="CS730" s="6"/>
      <c r="CT730" s="139"/>
      <c r="CU730" s="139"/>
      <c r="CV730" s="76"/>
      <c r="CW730" s="123"/>
      <c r="CX730" s="6"/>
      <c r="DI730" s="125"/>
      <c r="DJ730" s="16"/>
      <c r="DM730" s="16"/>
      <c r="DN730" s="16"/>
      <c r="DO730" s="125"/>
      <c r="DP730" s="16"/>
      <c r="DQ730" s="125"/>
      <c r="DZ730" s="125"/>
      <c r="EA730" s="142"/>
      <c r="EB730" s="125"/>
      <c r="EC730" s="16"/>
      <c r="ED730" s="125"/>
      <c r="EE730" s="125"/>
      <c r="EF730" s="16"/>
      <c r="EG730" s="125"/>
      <c r="EQ730" s="125"/>
      <c r="ER730" s="16"/>
      <c r="ES730" s="123"/>
      <c r="ET730" s="19"/>
      <c r="EU730" s="139"/>
      <c r="EV730" s="139"/>
      <c r="EW730" s="123"/>
      <c r="EX730" s="123"/>
      <c r="EY730" s="123"/>
      <c r="EZ730" s="123"/>
      <c r="FA730" s="123"/>
      <c r="FB730" s="123"/>
      <c r="FC730" s="6"/>
      <c r="FD730" s="123"/>
      <c r="FE730" s="6"/>
      <c r="FF730" s="123"/>
      <c r="FG730" s="6"/>
      <c r="FH730" s="6"/>
      <c r="FI730" s="6"/>
      <c r="FJ730" s="6"/>
      <c r="FK730" s="123"/>
      <c r="FL730" s="6"/>
      <c r="FM730" s="6"/>
      <c r="FN730" s="6"/>
      <c r="FO730" s="138"/>
      <c r="FP730" s="138"/>
      <c r="FQ730" s="123"/>
      <c r="FR730" s="6"/>
      <c r="FS730" s="6"/>
      <c r="FT730" s="139"/>
      <c r="FU730" s="139"/>
      <c r="FV730" s="76"/>
      <c r="FW730" s="123"/>
      <c r="FX730" s="6"/>
    </row>
    <row r="731" spans="35:180">
      <c r="AI731" s="125"/>
      <c r="AJ731" s="16"/>
      <c r="AM731" s="16"/>
      <c r="AN731" s="16"/>
      <c r="AO731" s="125"/>
      <c r="AP731" s="16"/>
      <c r="AQ731" s="125"/>
      <c r="AZ731" s="125"/>
      <c r="BA731" s="142"/>
      <c r="BB731" s="125"/>
      <c r="BC731" s="16"/>
      <c r="BD731" s="125"/>
      <c r="BE731" s="125"/>
      <c r="BF731" s="16"/>
      <c r="BG731" s="125"/>
      <c r="BQ731" s="125"/>
      <c r="BR731" s="16"/>
      <c r="BS731" s="123"/>
      <c r="BT731" s="19"/>
      <c r="BU731" s="139"/>
      <c r="BV731" s="139"/>
      <c r="BW731" s="123"/>
      <c r="BX731" s="123"/>
      <c r="BY731" s="123"/>
      <c r="BZ731" s="123"/>
      <c r="CA731" s="123"/>
      <c r="CB731" s="123"/>
      <c r="CC731" s="6"/>
      <c r="CD731" s="123"/>
      <c r="CE731" s="6"/>
      <c r="CF731" s="123"/>
      <c r="CG731" s="6"/>
      <c r="CH731" s="6"/>
      <c r="CI731" s="6"/>
      <c r="CJ731" s="6"/>
      <c r="CK731" s="123"/>
      <c r="CL731" s="6"/>
      <c r="CM731" s="6"/>
      <c r="CN731" s="6"/>
      <c r="CO731" s="138"/>
      <c r="CP731" s="138"/>
      <c r="CQ731" s="123"/>
      <c r="CR731" s="6"/>
      <c r="CS731" s="6"/>
      <c r="CT731" s="139"/>
      <c r="CU731" s="139"/>
      <c r="CV731" s="76"/>
      <c r="CW731" s="123"/>
      <c r="CX731" s="6"/>
      <c r="DI731" s="125"/>
      <c r="DJ731" s="16"/>
      <c r="DM731" s="16"/>
      <c r="DN731" s="16"/>
      <c r="DO731" s="125"/>
      <c r="DP731" s="16"/>
      <c r="DQ731" s="125"/>
      <c r="DZ731" s="125"/>
      <c r="EA731" s="142"/>
      <c r="EB731" s="125"/>
      <c r="EC731" s="16"/>
      <c r="ED731" s="125"/>
      <c r="EE731" s="125"/>
      <c r="EF731" s="16"/>
      <c r="EG731" s="125"/>
      <c r="EQ731" s="125"/>
      <c r="ER731" s="16"/>
      <c r="ES731" s="123"/>
      <c r="ET731" s="19"/>
      <c r="EU731" s="139"/>
      <c r="EV731" s="139"/>
      <c r="EW731" s="123"/>
      <c r="EX731" s="123"/>
      <c r="EY731" s="123"/>
      <c r="EZ731" s="123"/>
      <c r="FA731" s="123"/>
      <c r="FB731" s="123"/>
      <c r="FC731" s="6"/>
      <c r="FD731" s="123"/>
      <c r="FE731" s="6"/>
      <c r="FF731" s="123"/>
      <c r="FG731" s="6"/>
      <c r="FH731" s="6"/>
      <c r="FI731" s="6"/>
      <c r="FJ731" s="6"/>
      <c r="FK731" s="123"/>
      <c r="FL731" s="6"/>
      <c r="FM731" s="6"/>
      <c r="FN731" s="6"/>
      <c r="FO731" s="138"/>
      <c r="FP731" s="138"/>
      <c r="FQ731" s="123"/>
      <c r="FR731" s="6"/>
      <c r="FS731" s="6"/>
      <c r="FT731" s="139"/>
      <c r="FU731" s="139"/>
      <c r="FV731" s="76"/>
      <c r="FW731" s="123"/>
      <c r="FX731" s="6"/>
    </row>
    <row r="732" spans="35:180">
      <c r="AI732" s="125"/>
      <c r="AJ732" s="16"/>
      <c r="AM732" s="16"/>
      <c r="AN732" s="16"/>
      <c r="AO732" s="125"/>
      <c r="AP732" s="16"/>
      <c r="AQ732" s="125"/>
      <c r="AZ732" s="125"/>
      <c r="BA732" s="142"/>
      <c r="BB732" s="125"/>
      <c r="BC732" s="16"/>
      <c r="BD732" s="125"/>
      <c r="BE732" s="125"/>
      <c r="BF732" s="16"/>
      <c r="BG732" s="125"/>
      <c r="BQ732" s="125"/>
      <c r="BR732" s="16"/>
      <c r="BS732" s="123"/>
      <c r="BT732" s="19"/>
      <c r="BU732" s="139"/>
      <c r="BV732" s="139"/>
      <c r="BW732" s="123"/>
      <c r="BX732" s="123"/>
      <c r="BY732" s="123"/>
      <c r="BZ732" s="123"/>
      <c r="CA732" s="123"/>
      <c r="CB732" s="123"/>
      <c r="CC732" s="6"/>
      <c r="CD732" s="123"/>
      <c r="CE732" s="6"/>
      <c r="CF732" s="123"/>
      <c r="CG732" s="6"/>
      <c r="CH732" s="6"/>
      <c r="CI732" s="6"/>
      <c r="CJ732" s="6"/>
      <c r="CK732" s="123"/>
      <c r="CL732" s="6"/>
      <c r="CM732" s="6"/>
      <c r="CN732" s="6"/>
      <c r="CO732" s="138"/>
      <c r="CP732" s="138"/>
      <c r="CQ732" s="123"/>
      <c r="CR732" s="6"/>
      <c r="CS732" s="6"/>
      <c r="CT732" s="139"/>
      <c r="CU732" s="139"/>
      <c r="CV732" s="76"/>
      <c r="CW732" s="123"/>
      <c r="CX732" s="6"/>
      <c r="DI732" s="125"/>
      <c r="DJ732" s="16"/>
      <c r="DM732" s="16"/>
      <c r="DN732" s="16"/>
      <c r="DO732" s="125"/>
      <c r="DP732" s="16"/>
      <c r="DQ732" s="125"/>
      <c r="DZ732" s="125"/>
      <c r="EA732" s="142"/>
      <c r="EB732" s="125"/>
      <c r="EC732" s="16"/>
      <c r="ED732" s="125"/>
      <c r="EE732" s="125"/>
      <c r="EF732" s="16"/>
      <c r="EG732" s="125"/>
      <c r="EQ732" s="125"/>
      <c r="ER732" s="16"/>
      <c r="ES732" s="123"/>
      <c r="ET732" s="19"/>
      <c r="EU732" s="139"/>
      <c r="EV732" s="139"/>
      <c r="EW732" s="123"/>
      <c r="EX732" s="123"/>
      <c r="EY732" s="123"/>
      <c r="EZ732" s="123"/>
      <c r="FA732" s="123"/>
      <c r="FB732" s="123"/>
      <c r="FC732" s="6"/>
      <c r="FD732" s="123"/>
      <c r="FE732" s="6"/>
      <c r="FF732" s="123"/>
      <c r="FG732" s="6"/>
      <c r="FH732" s="6"/>
      <c r="FI732" s="6"/>
      <c r="FJ732" s="6"/>
      <c r="FK732" s="123"/>
      <c r="FL732" s="6"/>
      <c r="FM732" s="6"/>
      <c r="FN732" s="6"/>
      <c r="FO732" s="138"/>
      <c r="FP732" s="138"/>
      <c r="FQ732" s="123"/>
      <c r="FR732" s="6"/>
      <c r="FS732" s="6"/>
      <c r="FT732" s="139"/>
      <c r="FU732" s="139"/>
      <c r="FV732" s="76"/>
      <c r="FW732" s="123"/>
      <c r="FX732" s="6"/>
    </row>
    <row r="733" spans="35:180">
      <c r="AI733" s="125"/>
      <c r="AJ733" s="16"/>
      <c r="AM733" s="16"/>
      <c r="AN733" s="16"/>
      <c r="AO733" s="125"/>
      <c r="AP733" s="16"/>
      <c r="AQ733" s="125"/>
      <c r="AZ733" s="125"/>
      <c r="BA733" s="142"/>
      <c r="BB733" s="125"/>
      <c r="BC733" s="16"/>
      <c r="BD733" s="125"/>
      <c r="BE733" s="125"/>
      <c r="BF733" s="16"/>
      <c r="BG733" s="125"/>
      <c r="BQ733" s="125"/>
      <c r="BR733" s="16"/>
      <c r="BS733" s="123"/>
      <c r="BT733" s="19"/>
      <c r="BU733" s="139"/>
      <c r="BV733" s="139"/>
      <c r="BW733" s="123"/>
      <c r="BX733" s="123"/>
      <c r="BY733" s="123"/>
      <c r="BZ733" s="123"/>
      <c r="CA733" s="123"/>
      <c r="CB733" s="123"/>
      <c r="CC733" s="6"/>
      <c r="CD733" s="123"/>
      <c r="CE733" s="6"/>
      <c r="CF733" s="123"/>
      <c r="CG733" s="6"/>
      <c r="CH733" s="6"/>
      <c r="CI733" s="6"/>
      <c r="CJ733" s="6"/>
      <c r="CK733" s="123"/>
      <c r="CL733" s="6"/>
      <c r="CM733" s="6"/>
      <c r="CN733" s="6"/>
      <c r="CO733" s="138"/>
      <c r="CP733" s="138"/>
      <c r="CQ733" s="123"/>
      <c r="CR733" s="6"/>
      <c r="CS733" s="6"/>
      <c r="CT733" s="139"/>
      <c r="CU733" s="139"/>
      <c r="CV733" s="76"/>
      <c r="CW733" s="123"/>
      <c r="CX733" s="6"/>
      <c r="DI733" s="125"/>
      <c r="DJ733" s="16"/>
      <c r="DM733" s="16"/>
      <c r="DN733" s="16"/>
      <c r="DO733" s="125"/>
      <c r="DP733" s="16"/>
      <c r="DQ733" s="125"/>
      <c r="DZ733" s="125"/>
      <c r="EA733" s="142"/>
      <c r="EB733" s="125"/>
      <c r="EC733" s="16"/>
      <c r="ED733" s="125"/>
      <c r="EE733" s="125"/>
      <c r="EF733" s="16"/>
      <c r="EG733" s="125"/>
      <c r="EQ733" s="125"/>
      <c r="ER733" s="16"/>
      <c r="ES733" s="123"/>
      <c r="ET733" s="19"/>
      <c r="EU733" s="139"/>
      <c r="EV733" s="139"/>
      <c r="EW733" s="123"/>
      <c r="EX733" s="123"/>
      <c r="EY733" s="123"/>
      <c r="EZ733" s="123"/>
      <c r="FA733" s="123"/>
      <c r="FB733" s="123"/>
      <c r="FC733" s="6"/>
      <c r="FD733" s="123"/>
      <c r="FE733" s="6"/>
      <c r="FF733" s="123"/>
      <c r="FG733" s="6"/>
      <c r="FH733" s="6"/>
      <c r="FI733" s="6"/>
      <c r="FJ733" s="6"/>
      <c r="FK733" s="123"/>
      <c r="FL733" s="6"/>
      <c r="FM733" s="6"/>
      <c r="FN733" s="6"/>
      <c r="FO733" s="138"/>
      <c r="FP733" s="138"/>
      <c r="FQ733" s="123"/>
      <c r="FR733" s="6"/>
      <c r="FS733" s="6"/>
      <c r="FT733" s="139"/>
      <c r="FU733" s="139"/>
      <c r="FV733" s="76"/>
      <c r="FW733" s="123"/>
      <c r="FX733" s="6"/>
    </row>
    <row r="734" spans="35:180">
      <c r="AI734" s="125"/>
      <c r="AJ734" s="16"/>
      <c r="AM734" s="16"/>
      <c r="AN734" s="16"/>
      <c r="AO734" s="125"/>
      <c r="AP734" s="16"/>
      <c r="AQ734" s="125"/>
      <c r="AZ734" s="125"/>
      <c r="BA734" s="142"/>
      <c r="BB734" s="125"/>
      <c r="BC734" s="16"/>
      <c r="BD734" s="125"/>
      <c r="BE734" s="125"/>
      <c r="BF734" s="16"/>
      <c r="BG734" s="125"/>
      <c r="BQ734" s="125"/>
      <c r="BR734" s="16"/>
      <c r="BS734" s="123"/>
      <c r="BT734" s="19"/>
      <c r="BU734" s="139"/>
      <c r="BV734" s="139"/>
      <c r="BW734" s="123"/>
      <c r="BX734" s="123"/>
      <c r="BY734" s="123"/>
      <c r="BZ734" s="123"/>
      <c r="CA734" s="123"/>
      <c r="CB734" s="123"/>
      <c r="CC734" s="6"/>
      <c r="CD734" s="123"/>
      <c r="CE734" s="6"/>
      <c r="CF734" s="123"/>
      <c r="CG734" s="6"/>
      <c r="CH734" s="6"/>
      <c r="CI734" s="6"/>
      <c r="CJ734" s="6"/>
      <c r="CK734" s="123"/>
      <c r="CL734" s="6"/>
      <c r="CM734" s="6"/>
      <c r="CN734" s="6"/>
      <c r="CO734" s="138"/>
      <c r="CP734" s="138"/>
      <c r="CQ734" s="123"/>
      <c r="CR734" s="6"/>
      <c r="CS734" s="6"/>
      <c r="CT734" s="139"/>
      <c r="CU734" s="139"/>
      <c r="CV734" s="76"/>
      <c r="CW734" s="123"/>
      <c r="CX734" s="6"/>
      <c r="DI734" s="125"/>
      <c r="DJ734" s="16"/>
      <c r="DM734" s="16"/>
      <c r="DN734" s="16"/>
      <c r="DO734" s="125"/>
      <c r="DP734" s="16"/>
      <c r="DQ734" s="125"/>
      <c r="DZ734" s="125"/>
      <c r="EA734" s="142"/>
      <c r="EB734" s="125"/>
      <c r="EC734" s="16"/>
      <c r="ED734" s="125"/>
      <c r="EE734" s="125"/>
      <c r="EF734" s="16"/>
      <c r="EG734" s="125"/>
      <c r="EQ734" s="125"/>
      <c r="ER734" s="16"/>
      <c r="ES734" s="123"/>
      <c r="ET734" s="19"/>
      <c r="EU734" s="139"/>
      <c r="EV734" s="139"/>
      <c r="EW734" s="123"/>
      <c r="EX734" s="123"/>
      <c r="EY734" s="123"/>
      <c r="EZ734" s="123"/>
      <c r="FA734" s="123"/>
      <c r="FB734" s="123"/>
      <c r="FC734" s="6"/>
      <c r="FD734" s="123"/>
      <c r="FE734" s="6"/>
      <c r="FF734" s="123"/>
      <c r="FG734" s="6"/>
      <c r="FH734" s="6"/>
      <c r="FI734" s="6"/>
      <c r="FJ734" s="6"/>
      <c r="FK734" s="123"/>
      <c r="FL734" s="6"/>
      <c r="FM734" s="6"/>
      <c r="FN734" s="6"/>
      <c r="FO734" s="138"/>
      <c r="FP734" s="138"/>
      <c r="FQ734" s="123"/>
      <c r="FR734" s="6"/>
      <c r="FS734" s="6"/>
      <c r="FT734" s="139"/>
      <c r="FU734" s="139"/>
      <c r="FV734" s="76"/>
      <c r="FW734" s="123"/>
      <c r="FX734" s="6"/>
    </row>
    <row r="735" spans="35:180">
      <c r="AI735" s="125"/>
      <c r="AJ735" s="16"/>
      <c r="AM735" s="16"/>
      <c r="AN735" s="16"/>
      <c r="AO735" s="125"/>
      <c r="AP735" s="16"/>
      <c r="AQ735" s="125"/>
      <c r="AZ735" s="125"/>
      <c r="BA735" s="142"/>
      <c r="BB735" s="125"/>
      <c r="BC735" s="16"/>
      <c r="BD735" s="125"/>
      <c r="BE735" s="125"/>
      <c r="BF735" s="16"/>
      <c r="BG735" s="125"/>
      <c r="BQ735" s="125"/>
      <c r="BR735" s="16"/>
      <c r="BS735" s="123"/>
      <c r="BT735" s="19"/>
      <c r="BU735" s="139"/>
      <c r="BV735" s="139"/>
      <c r="BW735" s="123"/>
      <c r="BX735" s="123"/>
      <c r="BY735" s="123"/>
      <c r="BZ735" s="123"/>
      <c r="CA735" s="123"/>
      <c r="CB735" s="123"/>
      <c r="CC735" s="6"/>
      <c r="CD735" s="123"/>
      <c r="CE735" s="6"/>
      <c r="CF735" s="123"/>
      <c r="CG735" s="6"/>
      <c r="CH735" s="6"/>
      <c r="CI735" s="6"/>
      <c r="CJ735" s="6"/>
      <c r="CK735" s="123"/>
      <c r="CL735" s="6"/>
      <c r="CM735" s="6"/>
      <c r="CN735" s="6"/>
      <c r="CO735" s="138"/>
      <c r="CP735" s="138"/>
      <c r="CQ735" s="123"/>
      <c r="CR735" s="6"/>
      <c r="CS735" s="6"/>
      <c r="CT735" s="139"/>
      <c r="CU735" s="139"/>
      <c r="CV735" s="76"/>
      <c r="CW735" s="123"/>
      <c r="CX735" s="6"/>
      <c r="DI735" s="125"/>
      <c r="DJ735" s="16"/>
      <c r="DM735" s="16"/>
      <c r="DN735" s="16"/>
      <c r="DO735" s="125"/>
      <c r="DP735" s="16"/>
      <c r="DQ735" s="125"/>
      <c r="DZ735" s="125"/>
      <c r="EA735" s="142"/>
      <c r="EB735" s="125"/>
      <c r="EC735" s="16"/>
      <c r="ED735" s="125"/>
      <c r="EE735" s="125"/>
      <c r="EF735" s="16"/>
      <c r="EG735" s="125"/>
      <c r="EQ735" s="125"/>
      <c r="ER735" s="16"/>
      <c r="ES735" s="123"/>
      <c r="ET735" s="19"/>
      <c r="EU735" s="139"/>
      <c r="EV735" s="139"/>
      <c r="EW735" s="123"/>
      <c r="EX735" s="123"/>
      <c r="EY735" s="123"/>
      <c r="EZ735" s="123"/>
      <c r="FA735" s="123"/>
      <c r="FB735" s="123"/>
      <c r="FC735" s="6"/>
      <c r="FD735" s="123"/>
      <c r="FE735" s="6"/>
      <c r="FF735" s="123"/>
      <c r="FG735" s="6"/>
      <c r="FH735" s="6"/>
      <c r="FI735" s="6"/>
      <c r="FJ735" s="6"/>
      <c r="FK735" s="123"/>
      <c r="FL735" s="6"/>
      <c r="FM735" s="6"/>
      <c r="FN735" s="6"/>
      <c r="FO735" s="138"/>
      <c r="FP735" s="138"/>
      <c r="FQ735" s="123"/>
      <c r="FR735" s="6"/>
      <c r="FS735" s="6"/>
      <c r="FT735" s="139"/>
      <c r="FU735" s="139"/>
      <c r="FV735" s="76"/>
      <c r="FW735" s="123"/>
      <c r="FX735" s="6"/>
    </row>
    <row r="736" spans="35:180">
      <c r="AI736" s="125"/>
      <c r="AJ736" s="16"/>
      <c r="AM736" s="16"/>
      <c r="AN736" s="16"/>
      <c r="AO736" s="125"/>
      <c r="AP736" s="16"/>
      <c r="AQ736" s="125"/>
      <c r="AZ736" s="125"/>
      <c r="BA736" s="142"/>
      <c r="BB736" s="125"/>
      <c r="BC736" s="16"/>
      <c r="BD736" s="125"/>
      <c r="BE736" s="125"/>
      <c r="BF736" s="16"/>
      <c r="BG736" s="125"/>
      <c r="BQ736" s="125"/>
      <c r="BR736" s="16"/>
      <c r="BS736" s="123"/>
      <c r="BT736" s="19"/>
      <c r="BU736" s="139"/>
      <c r="BV736" s="139"/>
      <c r="BW736" s="123"/>
      <c r="BX736" s="123"/>
      <c r="BY736" s="123"/>
      <c r="BZ736" s="123"/>
      <c r="CA736" s="123"/>
      <c r="CB736" s="123"/>
      <c r="CC736" s="6"/>
      <c r="CD736" s="123"/>
      <c r="CE736" s="6"/>
      <c r="CF736" s="123"/>
      <c r="CG736" s="6"/>
      <c r="CH736" s="6"/>
      <c r="CI736" s="6"/>
      <c r="CJ736" s="6"/>
      <c r="CK736" s="123"/>
      <c r="CL736" s="6"/>
      <c r="CM736" s="6"/>
      <c r="CN736" s="6"/>
      <c r="CO736" s="138"/>
      <c r="CP736" s="138"/>
      <c r="CQ736" s="123"/>
      <c r="CR736" s="6"/>
      <c r="CS736" s="6"/>
      <c r="CT736" s="139"/>
      <c r="CU736" s="139"/>
      <c r="CV736" s="76"/>
      <c r="CW736" s="123"/>
      <c r="CX736" s="6"/>
      <c r="DI736" s="125"/>
      <c r="DJ736" s="16"/>
      <c r="DM736" s="16"/>
      <c r="DN736" s="16"/>
      <c r="DO736" s="125"/>
      <c r="DP736" s="16"/>
      <c r="DQ736" s="125"/>
      <c r="DZ736" s="125"/>
      <c r="EA736" s="142"/>
      <c r="EB736" s="125"/>
      <c r="EC736" s="16"/>
      <c r="ED736" s="125"/>
      <c r="EE736" s="125"/>
      <c r="EF736" s="16"/>
      <c r="EG736" s="125"/>
      <c r="EQ736" s="125"/>
      <c r="ER736" s="16"/>
      <c r="ES736" s="123"/>
      <c r="ET736" s="19"/>
      <c r="EU736" s="139"/>
      <c r="EV736" s="139"/>
      <c r="EW736" s="123"/>
      <c r="EX736" s="123"/>
      <c r="EY736" s="123"/>
      <c r="EZ736" s="123"/>
      <c r="FA736" s="123"/>
      <c r="FB736" s="123"/>
      <c r="FC736" s="6"/>
      <c r="FD736" s="123"/>
      <c r="FE736" s="6"/>
      <c r="FF736" s="123"/>
      <c r="FG736" s="6"/>
      <c r="FH736" s="6"/>
      <c r="FI736" s="6"/>
      <c r="FJ736" s="6"/>
      <c r="FK736" s="123"/>
      <c r="FL736" s="6"/>
      <c r="FM736" s="6"/>
      <c r="FN736" s="6"/>
      <c r="FO736" s="138"/>
      <c r="FP736" s="138"/>
      <c r="FQ736" s="123"/>
      <c r="FR736" s="6"/>
      <c r="FS736" s="6"/>
      <c r="FT736" s="139"/>
      <c r="FU736" s="139"/>
      <c r="FV736" s="76"/>
      <c r="FW736" s="123"/>
      <c r="FX736" s="6"/>
    </row>
    <row r="737" spans="35:180">
      <c r="AI737" s="125"/>
      <c r="AJ737" s="16"/>
      <c r="AM737" s="16"/>
      <c r="AN737" s="16"/>
      <c r="AO737" s="125"/>
      <c r="AP737" s="16"/>
      <c r="AQ737" s="125"/>
      <c r="AZ737" s="125"/>
      <c r="BA737" s="142"/>
      <c r="BB737" s="125"/>
      <c r="BC737" s="16"/>
      <c r="BD737" s="125"/>
      <c r="BE737" s="125"/>
      <c r="BF737" s="16"/>
      <c r="BG737" s="125"/>
      <c r="BQ737" s="125"/>
      <c r="BR737" s="16"/>
      <c r="BS737" s="123"/>
      <c r="BT737" s="19"/>
      <c r="BU737" s="139"/>
      <c r="BV737" s="139"/>
      <c r="BW737" s="123"/>
      <c r="BX737" s="123"/>
      <c r="BY737" s="123"/>
      <c r="BZ737" s="123"/>
      <c r="CA737" s="123"/>
      <c r="CB737" s="123"/>
      <c r="CC737" s="6"/>
      <c r="CD737" s="123"/>
      <c r="CE737" s="6"/>
      <c r="CF737" s="123"/>
      <c r="CG737" s="6"/>
      <c r="CH737" s="6"/>
      <c r="CI737" s="6"/>
      <c r="CJ737" s="6"/>
      <c r="CK737" s="123"/>
      <c r="CL737" s="6"/>
      <c r="CM737" s="6"/>
      <c r="CN737" s="6"/>
      <c r="CO737" s="138"/>
      <c r="CP737" s="138"/>
      <c r="CQ737" s="123"/>
      <c r="CR737" s="6"/>
      <c r="CS737" s="6"/>
      <c r="CT737" s="139"/>
      <c r="CU737" s="139"/>
      <c r="CV737" s="76"/>
      <c r="CW737" s="123"/>
      <c r="CX737" s="6"/>
      <c r="DI737" s="125"/>
      <c r="DJ737" s="16"/>
      <c r="DM737" s="16"/>
      <c r="DN737" s="16"/>
      <c r="DO737" s="125"/>
      <c r="DP737" s="16"/>
      <c r="DQ737" s="125"/>
      <c r="DZ737" s="125"/>
      <c r="EA737" s="142"/>
      <c r="EB737" s="125"/>
      <c r="EC737" s="16"/>
      <c r="ED737" s="125"/>
      <c r="EE737" s="125"/>
      <c r="EF737" s="16"/>
      <c r="EG737" s="125"/>
      <c r="EQ737" s="125"/>
      <c r="ER737" s="16"/>
      <c r="ES737" s="123"/>
      <c r="ET737" s="19"/>
      <c r="EU737" s="139"/>
      <c r="EV737" s="139"/>
      <c r="EW737" s="123"/>
      <c r="EX737" s="123"/>
      <c r="EY737" s="123"/>
      <c r="EZ737" s="123"/>
      <c r="FA737" s="123"/>
      <c r="FB737" s="123"/>
      <c r="FC737" s="6"/>
      <c r="FD737" s="123"/>
      <c r="FE737" s="6"/>
      <c r="FF737" s="123"/>
      <c r="FG737" s="6"/>
      <c r="FH737" s="6"/>
      <c r="FI737" s="6"/>
      <c r="FJ737" s="6"/>
      <c r="FK737" s="123"/>
      <c r="FL737" s="6"/>
      <c r="FM737" s="6"/>
      <c r="FN737" s="6"/>
      <c r="FO737" s="138"/>
      <c r="FP737" s="138"/>
      <c r="FQ737" s="123"/>
      <c r="FR737" s="6"/>
      <c r="FS737" s="6"/>
      <c r="FT737" s="139"/>
      <c r="FU737" s="139"/>
      <c r="FV737" s="76"/>
      <c r="FW737" s="123"/>
      <c r="FX737" s="6"/>
    </row>
    <row r="738" spans="35:180">
      <c r="AI738" s="125"/>
      <c r="AJ738" s="16"/>
      <c r="AM738" s="16"/>
      <c r="AN738" s="16"/>
      <c r="AO738" s="125"/>
      <c r="AP738" s="16"/>
      <c r="AQ738" s="125"/>
      <c r="AZ738" s="125"/>
      <c r="BA738" s="142"/>
      <c r="BB738" s="125"/>
      <c r="BC738" s="16"/>
      <c r="BD738" s="125"/>
      <c r="BE738" s="125"/>
      <c r="BF738" s="16"/>
      <c r="BG738" s="125"/>
      <c r="BQ738" s="125"/>
      <c r="BR738" s="16"/>
      <c r="BS738" s="123"/>
      <c r="BT738" s="19"/>
      <c r="BU738" s="139"/>
      <c r="BV738" s="139"/>
      <c r="BW738" s="123"/>
      <c r="BX738" s="123"/>
      <c r="BY738" s="123"/>
      <c r="BZ738" s="123"/>
      <c r="CA738" s="123"/>
      <c r="CB738" s="123"/>
      <c r="CC738" s="6"/>
      <c r="CD738" s="123"/>
      <c r="CE738" s="6"/>
      <c r="CF738" s="123"/>
      <c r="CG738" s="6"/>
      <c r="CH738" s="6"/>
      <c r="CI738" s="6"/>
      <c r="CJ738" s="6"/>
      <c r="CK738" s="123"/>
      <c r="CL738" s="6"/>
      <c r="CM738" s="6"/>
      <c r="CN738" s="6"/>
      <c r="CO738" s="138"/>
      <c r="CP738" s="138"/>
      <c r="CQ738" s="123"/>
      <c r="CR738" s="6"/>
      <c r="CS738" s="6"/>
      <c r="CT738" s="139"/>
      <c r="CU738" s="139"/>
      <c r="CV738" s="76"/>
      <c r="CW738" s="123"/>
      <c r="CX738" s="6"/>
      <c r="DI738" s="125"/>
      <c r="DJ738" s="16"/>
      <c r="DM738" s="16"/>
      <c r="DN738" s="16"/>
      <c r="DO738" s="125"/>
      <c r="DP738" s="16"/>
      <c r="DQ738" s="125"/>
      <c r="DZ738" s="125"/>
      <c r="EA738" s="142"/>
      <c r="EB738" s="125"/>
      <c r="EC738" s="16"/>
      <c r="ED738" s="125"/>
      <c r="EE738" s="125"/>
      <c r="EF738" s="16"/>
      <c r="EG738" s="125"/>
      <c r="EQ738" s="125"/>
      <c r="ER738" s="16"/>
      <c r="ES738" s="123"/>
      <c r="ET738" s="19"/>
      <c r="EU738" s="139"/>
      <c r="EV738" s="139"/>
      <c r="EW738" s="123"/>
      <c r="EX738" s="123"/>
      <c r="EY738" s="123"/>
      <c r="EZ738" s="123"/>
      <c r="FA738" s="123"/>
      <c r="FB738" s="123"/>
      <c r="FC738" s="6"/>
      <c r="FD738" s="123"/>
      <c r="FE738" s="6"/>
      <c r="FF738" s="123"/>
      <c r="FG738" s="6"/>
      <c r="FH738" s="6"/>
      <c r="FI738" s="6"/>
      <c r="FJ738" s="6"/>
      <c r="FK738" s="123"/>
      <c r="FL738" s="6"/>
      <c r="FM738" s="6"/>
      <c r="FN738" s="6"/>
      <c r="FO738" s="138"/>
      <c r="FP738" s="138"/>
      <c r="FQ738" s="123"/>
      <c r="FR738" s="6"/>
      <c r="FS738" s="6"/>
      <c r="FT738" s="139"/>
      <c r="FU738" s="139"/>
      <c r="FV738" s="76"/>
      <c r="FW738" s="123"/>
      <c r="FX738" s="6"/>
    </row>
    <row r="739" spans="35:180">
      <c r="AI739" s="125"/>
      <c r="AJ739" s="16"/>
      <c r="AM739" s="16"/>
      <c r="AN739" s="16"/>
      <c r="AO739" s="125"/>
      <c r="AP739" s="16"/>
      <c r="AQ739" s="125"/>
      <c r="AZ739" s="125"/>
      <c r="BA739" s="142"/>
      <c r="BB739" s="125"/>
      <c r="BC739" s="16"/>
      <c r="BD739" s="125"/>
      <c r="BE739" s="125"/>
      <c r="BF739" s="16"/>
      <c r="BG739" s="125"/>
      <c r="BQ739" s="125"/>
      <c r="BR739" s="16"/>
      <c r="BS739" s="123"/>
      <c r="BT739" s="19"/>
      <c r="BU739" s="139"/>
      <c r="BV739" s="139"/>
      <c r="BW739" s="123"/>
      <c r="BX739" s="123"/>
      <c r="BY739" s="123"/>
      <c r="BZ739" s="123"/>
      <c r="CA739" s="123"/>
      <c r="CB739" s="123"/>
      <c r="CC739" s="6"/>
      <c r="CD739" s="123"/>
      <c r="CE739" s="6"/>
      <c r="CF739" s="123"/>
      <c r="CG739" s="6"/>
      <c r="CH739" s="6"/>
      <c r="CI739" s="6"/>
      <c r="CJ739" s="6"/>
      <c r="CK739" s="123"/>
      <c r="CL739" s="6"/>
      <c r="CM739" s="6"/>
      <c r="CN739" s="6"/>
      <c r="CO739" s="138"/>
      <c r="CP739" s="138"/>
      <c r="CQ739" s="123"/>
      <c r="CR739" s="6"/>
      <c r="CS739" s="6"/>
      <c r="CT739" s="139"/>
      <c r="CU739" s="139"/>
      <c r="CV739" s="76"/>
      <c r="CW739" s="123"/>
      <c r="CX739" s="6"/>
      <c r="DI739" s="125"/>
      <c r="DJ739" s="16"/>
      <c r="DM739" s="16"/>
      <c r="DN739" s="16"/>
      <c r="DO739" s="125"/>
      <c r="DP739" s="16"/>
      <c r="DQ739" s="125"/>
      <c r="DZ739" s="125"/>
      <c r="EA739" s="142"/>
      <c r="EB739" s="125"/>
      <c r="EC739" s="16"/>
      <c r="ED739" s="125"/>
      <c r="EE739" s="125"/>
      <c r="EF739" s="16"/>
      <c r="EG739" s="125"/>
      <c r="EQ739" s="125"/>
      <c r="ER739" s="16"/>
      <c r="ES739" s="123"/>
      <c r="ET739" s="19"/>
      <c r="EU739" s="139"/>
      <c r="EV739" s="139"/>
      <c r="EW739" s="123"/>
      <c r="EX739" s="123"/>
      <c r="EY739" s="123"/>
      <c r="EZ739" s="123"/>
      <c r="FA739" s="123"/>
      <c r="FB739" s="123"/>
      <c r="FC739" s="6"/>
      <c r="FD739" s="123"/>
      <c r="FE739" s="6"/>
      <c r="FF739" s="123"/>
      <c r="FG739" s="6"/>
      <c r="FH739" s="6"/>
      <c r="FI739" s="6"/>
      <c r="FJ739" s="6"/>
      <c r="FK739" s="123"/>
      <c r="FL739" s="6"/>
      <c r="FM739" s="6"/>
      <c r="FN739" s="6"/>
      <c r="FO739" s="138"/>
      <c r="FP739" s="138"/>
      <c r="FQ739" s="123"/>
      <c r="FR739" s="6"/>
      <c r="FS739" s="6"/>
      <c r="FT739" s="139"/>
      <c r="FU739" s="139"/>
      <c r="FV739" s="76"/>
      <c r="FW739" s="123"/>
      <c r="FX739" s="6"/>
    </row>
    <row r="740" spans="35:180">
      <c r="AI740" s="125"/>
      <c r="AJ740" s="16"/>
      <c r="AM740" s="16"/>
      <c r="AN740" s="16"/>
      <c r="AO740" s="125"/>
      <c r="AP740" s="16"/>
      <c r="AQ740" s="125"/>
      <c r="AZ740" s="125"/>
      <c r="BA740" s="142"/>
      <c r="BB740" s="125"/>
      <c r="BC740" s="16"/>
      <c r="BD740" s="125"/>
      <c r="BE740" s="125"/>
      <c r="BF740" s="16"/>
      <c r="BG740" s="125"/>
      <c r="BQ740" s="125"/>
      <c r="BR740" s="16"/>
      <c r="BS740" s="123"/>
      <c r="BT740" s="19"/>
      <c r="BU740" s="139"/>
      <c r="BV740" s="139"/>
      <c r="BW740" s="123"/>
      <c r="BX740" s="123"/>
      <c r="BY740" s="123"/>
      <c r="BZ740" s="123"/>
      <c r="CA740" s="123"/>
      <c r="CB740" s="123"/>
      <c r="CC740" s="6"/>
      <c r="CD740" s="123"/>
      <c r="CE740" s="6"/>
      <c r="CF740" s="123"/>
      <c r="CG740" s="6"/>
      <c r="CH740" s="6"/>
      <c r="CI740" s="6"/>
      <c r="CJ740" s="6"/>
      <c r="CK740" s="123"/>
      <c r="CL740" s="6"/>
      <c r="CM740" s="6"/>
      <c r="CN740" s="6"/>
      <c r="CO740" s="138"/>
      <c r="CP740" s="138"/>
      <c r="CQ740" s="123"/>
      <c r="CR740" s="6"/>
      <c r="CS740" s="6"/>
      <c r="CT740" s="139"/>
      <c r="CU740" s="139"/>
      <c r="CV740" s="76"/>
      <c r="CW740" s="123"/>
      <c r="CX740" s="6"/>
      <c r="DI740" s="125"/>
      <c r="DJ740" s="16"/>
      <c r="DM740" s="16"/>
      <c r="DN740" s="16"/>
      <c r="DO740" s="125"/>
      <c r="DP740" s="16"/>
      <c r="DQ740" s="125"/>
      <c r="DZ740" s="125"/>
      <c r="EA740" s="142"/>
      <c r="EB740" s="125"/>
      <c r="EC740" s="16"/>
      <c r="ED740" s="125"/>
      <c r="EE740" s="125"/>
      <c r="EF740" s="16"/>
      <c r="EG740" s="125"/>
      <c r="EQ740" s="125"/>
      <c r="ER740" s="16"/>
      <c r="ES740" s="123"/>
      <c r="ET740" s="19"/>
      <c r="EU740" s="139"/>
      <c r="EV740" s="139"/>
      <c r="EW740" s="123"/>
      <c r="EX740" s="123"/>
      <c r="EY740" s="123"/>
      <c r="EZ740" s="123"/>
      <c r="FA740" s="123"/>
      <c r="FB740" s="123"/>
      <c r="FC740" s="6"/>
      <c r="FD740" s="123"/>
      <c r="FE740" s="6"/>
      <c r="FF740" s="123"/>
      <c r="FG740" s="6"/>
      <c r="FH740" s="6"/>
      <c r="FI740" s="6"/>
      <c r="FJ740" s="6"/>
      <c r="FK740" s="123"/>
      <c r="FL740" s="6"/>
      <c r="FM740" s="6"/>
      <c r="FN740" s="6"/>
      <c r="FO740" s="138"/>
      <c r="FP740" s="138"/>
      <c r="FQ740" s="123"/>
      <c r="FR740" s="6"/>
      <c r="FS740" s="6"/>
      <c r="FT740" s="139"/>
      <c r="FU740" s="139"/>
      <c r="FV740" s="76"/>
      <c r="FW740" s="123"/>
      <c r="FX740" s="6"/>
    </row>
    <row r="741" spans="35:180">
      <c r="AI741" s="125"/>
      <c r="AJ741" s="16"/>
      <c r="AM741" s="16"/>
      <c r="AN741" s="16"/>
      <c r="AO741" s="125"/>
      <c r="AP741" s="16"/>
      <c r="AQ741" s="125"/>
      <c r="AZ741" s="125"/>
      <c r="BA741" s="142"/>
      <c r="BB741" s="125"/>
      <c r="BC741" s="16"/>
      <c r="BD741" s="125"/>
      <c r="BE741" s="125"/>
      <c r="BF741" s="16"/>
      <c r="BG741" s="125"/>
      <c r="BQ741" s="125"/>
      <c r="BR741" s="16"/>
      <c r="BS741" s="123"/>
      <c r="BT741" s="19"/>
      <c r="BU741" s="139"/>
      <c r="BV741" s="139"/>
      <c r="BW741" s="123"/>
      <c r="BX741" s="123"/>
      <c r="BY741" s="123"/>
      <c r="BZ741" s="123"/>
      <c r="CA741" s="123"/>
      <c r="CB741" s="123"/>
      <c r="CC741" s="6"/>
      <c r="CD741" s="123"/>
      <c r="CE741" s="6"/>
      <c r="CF741" s="123"/>
      <c r="CG741" s="6"/>
      <c r="CH741" s="6"/>
      <c r="CI741" s="6"/>
      <c r="CJ741" s="6"/>
      <c r="CK741" s="123"/>
      <c r="CL741" s="6"/>
      <c r="CM741" s="6"/>
      <c r="CN741" s="6"/>
      <c r="CO741" s="138"/>
      <c r="CP741" s="138"/>
      <c r="CQ741" s="123"/>
      <c r="CR741" s="6"/>
      <c r="CS741" s="6"/>
      <c r="CT741" s="139"/>
      <c r="CU741" s="139"/>
      <c r="CV741" s="76"/>
      <c r="CW741" s="123"/>
      <c r="CX741" s="6"/>
      <c r="DI741" s="125"/>
      <c r="DJ741" s="16"/>
      <c r="DM741" s="16"/>
      <c r="DN741" s="16"/>
      <c r="DO741" s="125"/>
      <c r="DP741" s="16"/>
      <c r="DQ741" s="125"/>
      <c r="DZ741" s="125"/>
      <c r="EA741" s="142"/>
      <c r="EB741" s="125"/>
      <c r="EC741" s="16"/>
      <c r="ED741" s="125"/>
      <c r="EE741" s="125"/>
      <c r="EF741" s="16"/>
      <c r="EG741" s="125"/>
      <c r="EQ741" s="125"/>
      <c r="ER741" s="16"/>
      <c r="ES741" s="123"/>
      <c r="ET741" s="19"/>
      <c r="EU741" s="139"/>
      <c r="EV741" s="139"/>
      <c r="EW741" s="123"/>
      <c r="EX741" s="123"/>
      <c r="EY741" s="123"/>
      <c r="EZ741" s="123"/>
      <c r="FA741" s="123"/>
      <c r="FB741" s="123"/>
      <c r="FC741" s="6"/>
      <c r="FD741" s="123"/>
      <c r="FE741" s="6"/>
      <c r="FF741" s="123"/>
      <c r="FG741" s="6"/>
      <c r="FH741" s="6"/>
      <c r="FI741" s="6"/>
      <c r="FJ741" s="6"/>
      <c r="FK741" s="123"/>
      <c r="FL741" s="6"/>
      <c r="FM741" s="6"/>
      <c r="FN741" s="6"/>
      <c r="FO741" s="138"/>
      <c r="FP741" s="138"/>
      <c r="FQ741" s="123"/>
      <c r="FR741" s="6"/>
      <c r="FS741" s="6"/>
      <c r="FT741" s="139"/>
      <c r="FU741" s="139"/>
      <c r="FV741" s="76"/>
      <c r="FW741" s="123"/>
      <c r="FX741" s="6"/>
    </row>
    <row r="742" spans="35:180">
      <c r="AI742" s="125"/>
      <c r="AJ742" s="16"/>
      <c r="AM742" s="16"/>
      <c r="AN742" s="16"/>
      <c r="AO742" s="125"/>
      <c r="AP742" s="16"/>
      <c r="AQ742" s="125"/>
      <c r="AZ742" s="125"/>
      <c r="BA742" s="142"/>
      <c r="BB742" s="125"/>
      <c r="BC742" s="16"/>
      <c r="BD742" s="125"/>
      <c r="BE742" s="125"/>
      <c r="BF742" s="16"/>
      <c r="BG742" s="125"/>
      <c r="BQ742" s="125"/>
      <c r="BR742" s="16"/>
      <c r="BS742" s="123"/>
      <c r="BT742" s="19"/>
      <c r="BU742" s="139"/>
      <c r="BV742" s="139"/>
      <c r="BW742" s="123"/>
      <c r="BX742" s="123"/>
      <c r="BY742" s="123"/>
      <c r="BZ742" s="123"/>
      <c r="CA742" s="123"/>
      <c r="CB742" s="123"/>
      <c r="CC742" s="6"/>
      <c r="CD742" s="123"/>
      <c r="CE742" s="6"/>
      <c r="CF742" s="123"/>
      <c r="CG742" s="6"/>
      <c r="CH742" s="6"/>
      <c r="CI742" s="6"/>
      <c r="CJ742" s="6"/>
      <c r="CK742" s="123"/>
      <c r="CL742" s="6"/>
      <c r="CM742" s="6"/>
      <c r="CN742" s="6"/>
      <c r="CO742" s="138"/>
      <c r="CP742" s="138"/>
      <c r="CQ742" s="123"/>
      <c r="CR742" s="6"/>
      <c r="CS742" s="6"/>
      <c r="CT742" s="139"/>
      <c r="CU742" s="139"/>
      <c r="CV742" s="76"/>
      <c r="CW742" s="123"/>
      <c r="CX742" s="6"/>
      <c r="DI742" s="125"/>
      <c r="DJ742" s="16"/>
      <c r="DM742" s="16"/>
      <c r="DN742" s="16"/>
      <c r="DO742" s="125"/>
      <c r="DP742" s="16"/>
      <c r="DQ742" s="125"/>
      <c r="DZ742" s="125"/>
      <c r="EA742" s="142"/>
      <c r="EB742" s="125"/>
      <c r="EC742" s="16"/>
      <c r="ED742" s="125"/>
      <c r="EE742" s="125"/>
      <c r="EF742" s="16"/>
      <c r="EG742" s="125"/>
      <c r="EQ742" s="125"/>
      <c r="ER742" s="16"/>
      <c r="ES742" s="123"/>
      <c r="ET742" s="19"/>
      <c r="EU742" s="139"/>
      <c r="EV742" s="139"/>
      <c r="EW742" s="123"/>
      <c r="EX742" s="123"/>
      <c r="EY742" s="123"/>
      <c r="EZ742" s="123"/>
      <c r="FA742" s="123"/>
      <c r="FB742" s="123"/>
      <c r="FC742" s="6"/>
      <c r="FD742" s="123"/>
      <c r="FE742" s="6"/>
      <c r="FF742" s="123"/>
      <c r="FG742" s="6"/>
      <c r="FH742" s="6"/>
      <c r="FI742" s="6"/>
      <c r="FJ742" s="6"/>
      <c r="FK742" s="123"/>
      <c r="FL742" s="6"/>
      <c r="FM742" s="6"/>
      <c r="FN742" s="6"/>
      <c r="FO742" s="138"/>
      <c r="FP742" s="138"/>
      <c r="FQ742" s="123"/>
      <c r="FR742" s="6"/>
      <c r="FS742" s="6"/>
      <c r="FT742" s="139"/>
      <c r="FU742" s="139"/>
      <c r="FV742" s="76"/>
      <c r="FW742" s="123"/>
      <c r="FX742" s="6"/>
    </row>
    <row r="743" spans="35:180">
      <c r="AI743" s="125"/>
      <c r="AJ743" s="16"/>
      <c r="AM743" s="16"/>
      <c r="AN743" s="16"/>
      <c r="AO743" s="125"/>
      <c r="AP743" s="16"/>
      <c r="AQ743" s="125"/>
      <c r="AZ743" s="125"/>
      <c r="BA743" s="142"/>
      <c r="BB743" s="125"/>
      <c r="BC743" s="16"/>
      <c r="BD743" s="125"/>
      <c r="BE743" s="125"/>
      <c r="BF743" s="16"/>
      <c r="BG743" s="125"/>
      <c r="BQ743" s="125"/>
      <c r="BR743" s="16"/>
      <c r="BS743" s="123"/>
      <c r="BT743" s="19"/>
      <c r="BU743" s="139"/>
      <c r="BV743" s="139"/>
      <c r="BW743" s="123"/>
      <c r="BX743" s="123"/>
      <c r="BY743" s="123"/>
      <c r="BZ743" s="123"/>
      <c r="CA743" s="123"/>
      <c r="CB743" s="123"/>
      <c r="CC743" s="6"/>
      <c r="CD743" s="123"/>
      <c r="CE743" s="6"/>
      <c r="CF743" s="123"/>
      <c r="CG743" s="6"/>
      <c r="CH743" s="6"/>
      <c r="CI743" s="6"/>
      <c r="CJ743" s="6"/>
      <c r="CK743" s="123"/>
      <c r="CL743" s="6"/>
      <c r="CM743" s="6"/>
      <c r="CN743" s="6"/>
      <c r="CO743" s="138"/>
      <c r="CP743" s="138"/>
      <c r="CQ743" s="123"/>
      <c r="CR743" s="6"/>
      <c r="CS743" s="6"/>
      <c r="CT743" s="139"/>
      <c r="CU743" s="139"/>
      <c r="CV743" s="76"/>
      <c r="CW743" s="123"/>
      <c r="CX743" s="6"/>
      <c r="DI743" s="125"/>
      <c r="DJ743" s="16"/>
      <c r="DM743" s="16"/>
      <c r="DN743" s="16"/>
      <c r="DO743" s="125"/>
      <c r="DP743" s="16"/>
      <c r="DQ743" s="125"/>
      <c r="DZ743" s="125"/>
      <c r="EA743" s="142"/>
      <c r="EB743" s="125"/>
      <c r="EC743" s="16"/>
      <c r="ED743" s="125"/>
      <c r="EE743" s="125"/>
      <c r="EF743" s="16"/>
      <c r="EG743" s="125"/>
      <c r="EQ743" s="125"/>
      <c r="ER743" s="16"/>
      <c r="ES743" s="123"/>
      <c r="ET743" s="19"/>
      <c r="EU743" s="139"/>
      <c r="EV743" s="139"/>
      <c r="EW743" s="123"/>
      <c r="EX743" s="123"/>
      <c r="EY743" s="123"/>
      <c r="EZ743" s="123"/>
      <c r="FA743" s="123"/>
      <c r="FB743" s="123"/>
      <c r="FC743" s="6"/>
      <c r="FD743" s="123"/>
      <c r="FE743" s="6"/>
      <c r="FF743" s="123"/>
      <c r="FG743" s="6"/>
      <c r="FH743" s="6"/>
      <c r="FI743" s="6"/>
      <c r="FJ743" s="6"/>
      <c r="FK743" s="123"/>
      <c r="FL743" s="6"/>
      <c r="FM743" s="6"/>
      <c r="FN743" s="6"/>
      <c r="FO743" s="138"/>
      <c r="FP743" s="138"/>
      <c r="FQ743" s="123"/>
      <c r="FR743" s="6"/>
      <c r="FS743" s="6"/>
      <c r="FT743" s="139"/>
      <c r="FU743" s="139"/>
      <c r="FV743" s="76"/>
      <c r="FW743" s="123"/>
      <c r="FX743" s="6"/>
    </row>
    <row r="744" spans="35:180">
      <c r="AI744" s="125"/>
      <c r="AJ744" s="16"/>
      <c r="AM744" s="16"/>
      <c r="AN744" s="16"/>
      <c r="AO744" s="125"/>
      <c r="AP744" s="16"/>
      <c r="AQ744" s="125"/>
      <c r="AZ744" s="125"/>
      <c r="BA744" s="142"/>
      <c r="BB744" s="125"/>
      <c r="BC744" s="16"/>
      <c r="BD744" s="125"/>
      <c r="BE744" s="125"/>
      <c r="BF744" s="16"/>
      <c r="BG744" s="125"/>
      <c r="BQ744" s="125"/>
      <c r="BR744" s="16"/>
      <c r="BS744" s="123"/>
      <c r="BT744" s="19"/>
      <c r="BU744" s="139"/>
      <c r="BV744" s="139"/>
      <c r="BW744" s="123"/>
      <c r="BX744" s="123"/>
      <c r="BY744" s="123"/>
      <c r="BZ744" s="123"/>
      <c r="CA744" s="123"/>
      <c r="CB744" s="123"/>
      <c r="CC744" s="6"/>
      <c r="CD744" s="123"/>
      <c r="CE744" s="6"/>
      <c r="CF744" s="123"/>
      <c r="CG744" s="6"/>
      <c r="CH744" s="6"/>
      <c r="CI744" s="6"/>
      <c r="CJ744" s="6"/>
      <c r="CK744" s="123"/>
      <c r="CL744" s="6"/>
      <c r="CM744" s="6"/>
      <c r="CN744" s="6"/>
      <c r="CO744" s="138"/>
      <c r="CP744" s="138"/>
      <c r="CQ744" s="123"/>
      <c r="CR744" s="6"/>
      <c r="CS744" s="6"/>
      <c r="CT744" s="139"/>
      <c r="CU744" s="139"/>
      <c r="CV744" s="76"/>
      <c r="CW744" s="123"/>
      <c r="CX744" s="6"/>
      <c r="DI744" s="125"/>
      <c r="DJ744" s="16"/>
      <c r="DM744" s="16"/>
      <c r="DN744" s="16"/>
      <c r="DO744" s="125"/>
      <c r="DP744" s="16"/>
      <c r="DQ744" s="125"/>
      <c r="DZ744" s="125"/>
      <c r="EA744" s="142"/>
      <c r="EB744" s="125"/>
      <c r="EC744" s="16"/>
      <c r="ED744" s="125"/>
      <c r="EE744" s="125"/>
      <c r="EF744" s="16"/>
      <c r="EG744" s="125"/>
      <c r="EQ744" s="125"/>
      <c r="ER744" s="16"/>
      <c r="ES744" s="123"/>
      <c r="ET744" s="19"/>
      <c r="EU744" s="139"/>
      <c r="EV744" s="139"/>
      <c r="EW744" s="123"/>
      <c r="EX744" s="123"/>
      <c r="EY744" s="123"/>
      <c r="EZ744" s="123"/>
      <c r="FA744" s="123"/>
      <c r="FB744" s="123"/>
      <c r="FC744" s="6"/>
      <c r="FD744" s="123"/>
      <c r="FE744" s="6"/>
      <c r="FF744" s="123"/>
      <c r="FG744" s="6"/>
      <c r="FH744" s="6"/>
      <c r="FI744" s="6"/>
      <c r="FJ744" s="6"/>
      <c r="FK744" s="123"/>
      <c r="FL744" s="6"/>
      <c r="FM744" s="6"/>
      <c r="FN744" s="6"/>
      <c r="FO744" s="138"/>
      <c r="FP744" s="138"/>
      <c r="FQ744" s="123"/>
      <c r="FR744" s="6"/>
      <c r="FS744" s="6"/>
      <c r="FT744" s="139"/>
      <c r="FU744" s="139"/>
      <c r="FV744" s="76"/>
      <c r="FW744" s="123"/>
      <c r="FX744" s="6"/>
    </row>
    <row r="745" spans="35:180">
      <c r="AI745" s="125"/>
      <c r="AJ745" s="16"/>
      <c r="AM745" s="16"/>
      <c r="AN745" s="16"/>
      <c r="AO745" s="125"/>
      <c r="AP745" s="16"/>
      <c r="AQ745" s="125"/>
      <c r="AZ745" s="125"/>
      <c r="BA745" s="142"/>
      <c r="BB745" s="125"/>
      <c r="BC745" s="16"/>
      <c r="BD745" s="125"/>
      <c r="BE745" s="125"/>
      <c r="BF745" s="16"/>
      <c r="BG745" s="125"/>
      <c r="BQ745" s="125"/>
      <c r="BR745" s="16"/>
      <c r="BS745" s="123"/>
      <c r="BT745" s="19"/>
      <c r="BU745" s="139"/>
      <c r="BV745" s="139"/>
      <c r="BW745" s="123"/>
      <c r="BX745" s="123"/>
      <c r="BY745" s="123"/>
      <c r="BZ745" s="123"/>
      <c r="CA745" s="123"/>
      <c r="CB745" s="123"/>
      <c r="CC745" s="6"/>
      <c r="CD745" s="123"/>
      <c r="CE745" s="6"/>
      <c r="CF745" s="123"/>
      <c r="CG745" s="6"/>
      <c r="CH745" s="6"/>
      <c r="CI745" s="6"/>
      <c r="CJ745" s="6"/>
      <c r="CK745" s="123"/>
      <c r="CL745" s="6"/>
      <c r="CM745" s="6"/>
      <c r="CN745" s="6"/>
      <c r="CO745" s="138"/>
      <c r="CP745" s="138"/>
      <c r="CQ745" s="123"/>
      <c r="CR745" s="6"/>
      <c r="CS745" s="6"/>
      <c r="CT745" s="139"/>
      <c r="CU745" s="139"/>
      <c r="CV745" s="76"/>
      <c r="CW745" s="123"/>
      <c r="CX745" s="6"/>
      <c r="DI745" s="125"/>
      <c r="DJ745" s="16"/>
      <c r="DM745" s="16"/>
      <c r="DN745" s="16"/>
      <c r="DO745" s="125"/>
      <c r="DP745" s="16"/>
      <c r="DQ745" s="125"/>
      <c r="DZ745" s="125"/>
      <c r="EA745" s="142"/>
      <c r="EB745" s="125"/>
      <c r="EC745" s="16"/>
      <c r="ED745" s="125"/>
      <c r="EE745" s="125"/>
      <c r="EF745" s="16"/>
      <c r="EG745" s="125"/>
      <c r="EQ745" s="125"/>
      <c r="ER745" s="16"/>
      <c r="ES745" s="123"/>
      <c r="ET745" s="19"/>
      <c r="EU745" s="139"/>
      <c r="EV745" s="139"/>
      <c r="EW745" s="123"/>
      <c r="EX745" s="123"/>
      <c r="EY745" s="123"/>
      <c r="EZ745" s="123"/>
      <c r="FA745" s="123"/>
      <c r="FB745" s="123"/>
      <c r="FC745" s="6"/>
      <c r="FD745" s="123"/>
      <c r="FE745" s="6"/>
      <c r="FF745" s="123"/>
      <c r="FG745" s="6"/>
      <c r="FH745" s="6"/>
      <c r="FI745" s="6"/>
      <c r="FJ745" s="6"/>
      <c r="FK745" s="123"/>
      <c r="FL745" s="6"/>
      <c r="FM745" s="6"/>
      <c r="FN745" s="6"/>
      <c r="FO745" s="138"/>
      <c r="FP745" s="138"/>
      <c r="FQ745" s="123"/>
      <c r="FR745" s="6"/>
      <c r="FS745" s="6"/>
      <c r="FT745" s="139"/>
      <c r="FU745" s="139"/>
      <c r="FV745" s="76"/>
      <c r="FW745" s="123"/>
      <c r="FX745" s="6"/>
    </row>
    <row r="746" spans="35:180">
      <c r="AI746" s="125"/>
      <c r="AJ746" s="16"/>
      <c r="AM746" s="16"/>
      <c r="AN746" s="16"/>
      <c r="AO746" s="125"/>
      <c r="AP746" s="16"/>
      <c r="AQ746" s="125"/>
      <c r="AZ746" s="125"/>
      <c r="BA746" s="142"/>
      <c r="BB746" s="125"/>
      <c r="BC746" s="16"/>
      <c r="BD746" s="125"/>
      <c r="BE746" s="125"/>
      <c r="BF746" s="16"/>
      <c r="BG746" s="125"/>
      <c r="BQ746" s="125"/>
      <c r="BR746" s="16"/>
      <c r="BS746" s="123"/>
      <c r="BT746" s="19"/>
      <c r="BU746" s="139"/>
      <c r="BV746" s="139"/>
      <c r="BW746" s="123"/>
      <c r="BX746" s="123"/>
      <c r="BY746" s="123"/>
      <c r="BZ746" s="123"/>
      <c r="CA746" s="123"/>
      <c r="CB746" s="123"/>
      <c r="CC746" s="6"/>
      <c r="CD746" s="123"/>
      <c r="CE746" s="6"/>
      <c r="CF746" s="123"/>
      <c r="CG746" s="6"/>
      <c r="CH746" s="6"/>
      <c r="CI746" s="6"/>
      <c r="CJ746" s="6"/>
      <c r="CK746" s="123"/>
      <c r="CL746" s="6"/>
      <c r="CM746" s="6"/>
      <c r="CN746" s="6"/>
      <c r="CO746" s="138"/>
      <c r="CP746" s="138"/>
      <c r="CQ746" s="123"/>
      <c r="CR746" s="6"/>
      <c r="CS746" s="6"/>
      <c r="CT746" s="139"/>
      <c r="CU746" s="139"/>
      <c r="CV746" s="76"/>
      <c r="CW746" s="123"/>
      <c r="CX746" s="6"/>
      <c r="DI746" s="125"/>
      <c r="DJ746" s="16"/>
      <c r="DM746" s="16"/>
      <c r="DN746" s="16"/>
      <c r="DO746" s="125"/>
      <c r="DP746" s="16"/>
      <c r="DQ746" s="125"/>
      <c r="DZ746" s="125"/>
      <c r="EA746" s="142"/>
      <c r="EB746" s="125"/>
      <c r="EC746" s="16"/>
      <c r="ED746" s="125"/>
      <c r="EE746" s="125"/>
      <c r="EF746" s="16"/>
      <c r="EG746" s="125"/>
      <c r="EQ746" s="125"/>
      <c r="ER746" s="16"/>
      <c r="ES746" s="123"/>
      <c r="ET746" s="19"/>
      <c r="EU746" s="139"/>
      <c r="EV746" s="139"/>
      <c r="EW746" s="123"/>
      <c r="EX746" s="123"/>
      <c r="EY746" s="123"/>
      <c r="EZ746" s="123"/>
      <c r="FA746" s="123"/>
      <c r="FB746" s="123"/>
      <c r="FC746" s="6"/>
      <c r="FD746" s="123"/>
      <c r="FE746" s="6"/>
      <c r="FF746" s="123"/>
      <c r="FG746" s="6"/>
      <c r="FH746" s="6"/>
      <c r="FI746" s="6"/>
      <c r="FJ746" s="6"/>
      <c r="FK746" s="123"/>
      <c r="FL746" s="6"/>
      <c r="FM746" s="6"/>
      <c r="FN746" s="6"/>
      <c r="FO746" s="138"/>
      <c r="FP746" s="138"/>
      <c r="FQ746" s="123"/>
      <c r="FR746" s="6"/>
      <c r="FS746" s="6"/>
      <c r="FT746" s="139"/>
      <c r="FU746" s="139"/>
      <c r="FV746" s="76"/>
      <c r="FW746" s="123"/>
      <c r="FX746" s="6"/>
    </row>
    <row r="747" spans="35:180">
      <c r="AI747" s="125"/>
      <c r="AJ747" s="16"/>
      <c r="AM747" s="16"/>
      <c r="AN747" s="16"/>
      <c r="AO747" s="125"/>
      <c r="AP747" s="16"/>
      <c r="AQ747" s="125"/>
      <c r="AZ747" s="125"/>
      <c r="BA747" s="142"/>
      <c r="BB747" s="125"/>
      <c r="BC747" s="16"/>
      <c r="BD747" s="125"/>
      <c r="BE747" s="125"/>
      <c r="BF747" s="16"/>
      <c r="BG747" s="125"/>
      <c r="BQ747" s="125"/>
      <c r="BR747" s="16"/>
      <c r="BS747" s="123"/>
      <c r="BT747" s="19"/>
      <c r="BU747" s="139"/>
      <c r="BV747" s="139"/>
      <c r="BW747" s="123"/>
      <c r="BX747" s="123"/>
      <c r="BY747" s="123"/>
      <c r="BZ747" s="123"/>
      <c r="CA747" s="123"/>
      <c r="CB747" s="123"/>
      <c r="CC747" s="6"/>
      <c r="CD747" s="123"/>
      <c r="CE747" s="6"/>
      <c r="CF747" s="123"/>
      <c r="CG747" s="6"/>
      <c r="CH747" s="6"/>
      <c r="CI747" s="6"/>
      <c r="CJ747" s="6"/>
      <c r="CK747" s="123"/>
      <c r="CL747" s="6"/>
      <c r="CM747" s="6"/>
      <c r="CN747" s="6"/>
      <c r="CO747" s="138"/>
      <c r="CP747" s="138"/>
      <c r="CQ747" s="123"/>
      <c r="CR747" s="6"/>
      <c r="CS747" s="6"/>
      <c r="CT747" s="139"/>
      <c r="CU747" s="139"/>
      <c r="CV747" s="76"/>
      <c r="CW747" s="123"/>
      <c r="CX747" s="6"/>
      <c r="DI747" s="125"/>
      <c r="DJ747" s="16"/>
      <c r="DM747" s="16"/>
      <c r="DN747" s="16"/>
      <c r="DO747" s="125"/>
      <c r="DP747" s="16"/>
      <c r="DQ747" s="125"/>
      <c r="DZ747" s="125"/>
      <c r="EA747" s="142"/>
      <c r="EB747" s="125"/>
      <c r="EC747" s="16"/>
      <c r="ED747" s="125"/>
      <c r="EE747" s="125"/>
      <c r="EF747" s="16"/>
      <c r="EG747" s="125"/>
      <c r="EQ747" s="125"/>
      <c r="ER747" s="16"/>
      <c r="ES747" s="123"/>
      <c r="ET747" s="19"/>
      <c r="EU747" s="139"/>
      <c r="EV747" s="139"/>
      <c r="EW747" s="123"/>
      <c r="EX747" s="123"/>
      <c r="EY747" s="123"/>
      <c r="EZ747" s="123"/>
      <c r="FA747" s="123"/>
      <c r="FB747" s="123"/>
      <c r="FC747" s="6"/>
      <c r="FD747" s="123"/>
      <c r="FE747" s="6"/>
      <c r="FF747" s="123"/>
      <c r="FG747" s="6"/>
      <c r="FH747" s="6"/>
      <c r="FI747" s="6"/>
      <c r="FJ747" s="6"/>
      <c r="FK747" s="123"/>
      <c r="FL747" s="6"/>
      <c r="FM747" s="6"/>
      <c r="FN747" s="6"/>
      <c r="FO747" s="138"/>
      <c r="FP747" s="138"/>
      <c r="FQ747" s="123"/>
      <c r="FR747" s="6"/>
      <c r="FS747" s="6"/>
      <c r="FT747" s="139"/>
      <c r="FU747" s="139"/>
      <c r="FV747" s="76"/>
      <c r="FW747" s="123"/>
      <c r="FX747" s="6"/>
    </row>
    <row r="748" spans="35:180">
      <c r="AI748" s="125"/>
      <c r="AJ748" s="16"/>
      <c r="AM748" s="16"/>
      <c r="AN748" s="16"/>
      <c r="AO748" s="125"/>
      <c r="AP748" s="16"/>
      <c r="AQ748" s="125"/>
      <c r="AZ748" s="125"/>
      <c r="BA748" s="142"/>
      <c r="BB748" s="125"/>
      <c r="BC748" s="16"/>
      <c r="BD748" s="125"/>
      <c r="BE748" s="125"/>
      <c r="BF748" s="16"/>
      <c r="BG748" s="125"/>
      <c r="BQ748" s="125"/>
      <c r="BR748" s="16"/>
      <c r="BS748" s="123"/>
      <c r="BT748" s="19"/>
      <c r="BU748" s="139"/>
      <c r="BV748" s="139"/>
      <c r="BW748" s="123"/>
      <c r="BX748" s="123"/>
      <c r="BY748" s="123"/>
      <c r="BZ748" s="123"/>
      <c r="CA748" s="123"/>
      <c r="CB748" s="123"/>
      <c r="CC748" s="6"/>
      <c r="CD748" s="123"/>
      <c r="CE748" s="6"/>
      <c r="CF748" s="123"/>
      <c r="CG748" s="6"/>
      <c r="CH748" s="6"/>
      <c r="CI748" s="6"/>
      <c r="CJ748" s="6"/>
      <c r="CK748" s="123"/>
      <c r="CL748" s="6"/>
      <c r="CM748" s="6"/>
      <c r="CN748" s="6"/>
      <c r="CO748" s="138"/>
      <c r="CP748" s="138"/>
      <c r="CQ748" s="123"/>
      <c r="CR748" s="6"/>
      <c r="CS748" s="6"/>
      <c r="CT748" s="139"/>
      <c r="CU748" s="139"/>
      <c r="CV748" s="76"/>
      <c r="CW748" s="123"/>
      <c r="CX748" s="6"/>
      <c r="DI748" s="125"/>
      <c r="DJ748" s="16"/>
      <c r="DM748" s="16"/>
      <c r="DN748" s="16"/>
      <c r="DO748" s="125"/>
      <c r="DP748" s="16"/>
      <c r="DQ748" s="125"/>
      <c r="DZ748" s="125"/>
      <c r="EA748" s="142"/>
      <c r="EB748" s="125"/>
      <c r="EC748" s="16"/>
      <c r="ED748" s="125"/>
      <c r="EE748" s="125"/>
      <c r="EF748" s="16"/>
      <c r="EG748" s="125"/>
      <c r="EQ748" s="125"/>
      <c r="ER748" s="16"/>
      <c r="ES748" s="123"/>
      <c r="ET748" s="19"/>
      <c r="EU748" s="139"/>
      <c r="EV748" s="139"/>
      <c r="EW748" s="123"/>
      <c r="EX748" s="123"/>
      <c r="EY748" s="123"/>
      <c r="EZ748" s="123"/>
      <c r="FA748" s="123"/>
      <c r="FB748" s="123"/>
      <c r="FC748" s="6"/>
      <c r="FD748" s="123"/>
      <c r="FE748" s="6"/>
      <c r="FF748" s="123"/>
      <c r="FG748" s="6"/>
      <c r="FH748" s="6"/>
      <c r="FI748" s="6"/>
      <c r="FJ748" s="6"/>
      <c r="FK748" s="123"/>
      <c r="FL748" s="6"/>
      <c r="FM748" s="6"/>
      <c r="FN748" s="6"/>
      <c r="FO748" s="138"/>
      <c r="FP748" s="138"/>
      <c r="FQ748" s="123"/>
      <c r="FR748" s="6"/>
      <c r="FS748" s="6"/>
      <c r="FT748" s="139"/>
      <c r="FU748" s="139"/>
      <c r="FV748" s="76"/>
      <c r="FW748" s="123"/>
      <c r="FX748" s="6"/>
    </row>
    <row r="749" spans="35:180">
      <c r="AI749" s="125"/>
      <c r="AJ749" s="16"/>
      <c r="AM749" s="16"/>
      <c r="AN749" s="16"/>
      <c r="AO749" s="125"/>
      <c r="AP749" s="16"/>
      <c r="AQ749" s="125"/>
      <c r="AZ749" s="125"/>
      <c r="BA749" s="142"/>
      <c r="BB749" s="125"/>
      <c r="BC749" s="16"/>
      <c r="BD749" s="125"/>
      <c r="BE749" s="125"/>
      <c r="BF749" s="16"/>
      <c r="BG749" s="125"/>
      <c r="BQ749" s="125"/>
      <c r="BR749" s="16"/>
      <c r="BS749" s="123"/>
      <c r="BT749" s="19"/>
      <c r="BU749" s="139"/>
      <c r="BV749" s="139"/>
      <c r="BW749" s="123"/>
      <c r="BX749" s="123"/>
      <c r="BY749" s="123"/>
      <c r="BZ749" s="123"/>
      <c r="CA749" s="123"/>
      <c r="CB749" s="123"/>
      <c r="CC749" s="6"/>
      <c r="CD749" s="123"/>
      <c r="CE749" s="6"/>
      <c r="CF749" s="123"/>
      <c r="CG749" s="6"/>
      <c r="CH749" s="6"/>
      <c r="CI749" s="6"/>
      <c r="CJ749" s="6"/>
      <c r="CK749" s="123"/>
      <c r="CL749" s="6"/>
      <c r="CM749" s="6"/>
      <c r="CN749" s="6"/>
      <c r="CO749" s="138"/>
      <c r="CP749" s="138"/>
      <c r="CQ749" s="123"/>
      <c r="CR749" s="6"/>
      <c r="CS749" s="6"/>
      <c r="CT749" s="139"/>
      <c r="CU749" s="139"/>
      <c r="CV749" s="76"/>
      <c r="CW749" s="123"/>
      <c r="CX749" s="6"/>
      <c r="DI749" s="125"/>
      <c r="DJ749" s="16"/>
      <c r="DM749" s="16"/>
      <c r="DN749" s="16"/>
      <c r="DO749" s="125"/>
      <c r="DP749" s="16"/>
      <c r="DQ749" s="125"/>
      <c r="DZ749" s="125"/>
      <c r="EA749" s="142"/>
      <c r="EB749" s="125"/>
      <c r="EC749" s="16"/>
      <c r="ED749" s="125"/>
      <c r="EE749" s="125"/>
      <c r="EF749" s="16"/>
      <c r="EG749" s="125"/>
      <c r="EQ749" s="125"/>
      <c r="ER749" s="16"/>
      <c r="ES749" s="123"/>
      <c r="ET749" s="19"/>
      <c r="EU749" s="139"/>
      <c r="EV749" s="139"/>
      <c r="EW749" s="123"/>
      <c r="EX749" s="123"/>
      <c r="EY749" s="123"/>
      <c r="EZ749" s="123"/>
      <c r="FA749" s="123"/>
      <c r="FB749" s="123"/>
      <c r="FC749" s="6"/>
      <c r="FD749" s="123"/>
      <c r="FE749" s="6"/>
      <c r="FF749" s="123"/>
      <c r="FG749" s="6"/>
      <c r="FH749" s="6"/>
      <c r="FI749" s="6"/>
      <c r="FJ749" s="6"/>
      <c r="FK749" s="123"/>
      <c r="FL749" s="6"/>
      <c r="FM749" s="6"/>
      <c r="FN749" s="6"/>
      <c r="FO749" s="138"/>
      <c r="FP749" s="138"/>
      <c r="FQ749" s="123"/>
      <c r="FR749" s="6"/>
      <c r="FS749" s="6"/>
      <c r="FT749" s="139"/>
      <c r="FU749" s="139"/>
      <c r="FV749" s="76"/>
      <c r="FW749" s="123"/>
      <c r="FX749" s="6"/>
    </row>
    <row r="750" spans="35:180">
      <c r="AI750" s="125"/>
      <c r="AJ750" s="16"/>
      <c r="AM750" s="16"/>
      <c r="AN750" s="16"/>
      <c r="AO750" s="125"/>
      <c r="AP750" s="16"/>
      <c r="AQ750" s="125"/>
      <c r="AZ750" s="125"/>
      <c r="BA750" s="142"/>
      <c r="BB750" s="125"/>
      <c r="BC750" s="16"/>
      <c r="BD750" s="125"/>
      <c r="BE750" s="125"/>
      <c r="BF750" s="16"/>
      <c r="BG750" s="125"/>
      <c r="BQ750" s="125"/>
      <c r="BR750" s="16"/>
      <c r="BS750" s="123"/>
      <c r="BT750" s="19"/>
      <c r="BU750" s="139"/>
      <c r="BV750" s="139"/>
      <c r="BW750" s="123"/>
      <c r="BX750" s="123"/>
      <c r="BY750" s="123"/>
      <c r="BZ750" s="123"/>
      <c r="CA750" s="123"/>
      <c r="CB750" s="123"/>
      <c r="CC750" s="6"/>
      <c r="CD750" s="123"/>
      <c r="CE750" s="6"/>
      <c r="CF750" s="123"/>
      <c r="CG750" s="6"/>
      <c r="CH750" s="6"/>
      <c r="CI750" s="6"/>
      <c r="CJ750" s="6"/>
      <c r="CK750" s="123"/>
      <c r="CL750" s="6"/>
      <c r="CM750" s="6"/>
      <c r="CN750" s="6"/>
      <c r="CO750" s="138"/>
      <c r="CP750" s="138"/>
      <c r="CQ750" s="123"/>
      <c r="CR750" s="6"/>
      <c r="CS750" s="6"/>
      <c r="CT750" s="139"/>
      <c r="CU750" s="139"/>
      <c r="CV750" s="76"/>
      <c r="CW750" s="123"/>
      <c r="CX750" s="6"/>
      <c r="DI750" s="125"/>
      <c r="DJ750" s="16"/>
      <c r="DM750" s="16"/>
      <c r="DN750" s="16"/>
      <c r="DO750" s="125"/>
      <c r="DP750" s="16"/>
      <c r="DQ750" s="125"/>
      <c r="DZ750" s="125"/>
      <c r="EA750" s="142"/>
      <c r="EB750" s="125"/>
      <c r="EC750" s="16"/>
      <c r="ED750" s="125"/>
      <c r="EE750" s="125"/>
      <c r="EF750" s="16"/>
      <c r="EG750" s="125"/>
      <c r="EQ750" s="125"/>
      <c r="ER750" s="16"/>
      <c r="ES750" s="123"/>
      <c r="ET750" s="19"/>
      <c r="EU750" s="139"/>
      <c r="EV750" s="139"/>
      <c r="EW750" s="123"/>
      <c r="EX750" s="123"/>
      <c r="EY750" s="123"/>
      <c r="EZ750" s="123"/>
      <c r="FA750" s="123"/>
      <c r="FB750" s="123"/>
      <c r="FC750" s="6"/>
      <c r="FD750" s="123"/>
      <c r="FE750" s="6"/>
      <c r="FF750" s="123"/>
      <c r="FG750" s="6"/>
      <c r="FH750" s="6"/>
      <c r="FI750" s="6"/>
      <c r="FJ750" s="6"/>
      <c r="FK750" s="123"/>
      <c r="FL750" s="6"/>
      <c r="FM750" s="6"/>
      <c r="FN750" s="6"/>
      <c r="FO750" s="138"/>
      <c r="FP750" s="138"/>
      <c r="FQ750" s="123"/>
      <c r="FR750" s="6"/>
      <c r="FS750" s="6"/>
      <c r="FT750" s="139"/>
      <c r="FU750" s="139"/>
      <c r="FV750" s="76"/>
      <c r="FW750" s="123"/>
      <c r="FX750" s="6"/>
    </row>
    <row r="751" spans="35:180">
      <c r="AI751" s="125"/>
      <c r="AJ751" s="16"/>
      <c r="AM751" s="16"/>
      <c r="AN751" s="16"/>
      <c r="AO751" s="125"/>
      <c r="AP751" s="16"/>
      <c r="AQ751" s="125"/>
      <c r="AZ751" s="125"/>
      <c r="BA751" s="142"/>
      <c r="BB751" s="125"/>
      <c r="BC751" s="16"/>
      <c r="BD751" s="125"/>
      <c r="BE751" s="125"/>
      <c r="BF751" s="16"/>
      <c r="BG751" s="125"/>
      <c r="BQ751" s="125"/>
      <c r="BR751" s="16"/>
      <c r="BS751" s="123"/>
      <c r="BT751" s="19"/>
      <c r="BU751" s="139"/>
      <c r="BV751" s="139"/>
      <c r="BW751" s="123"/>
      <c r="BX751" s="123"/>
      <c r="BY751" s="123"/>
      <c r="BZ751" s="123"/>
      <c r="CA751" s="123"/>
      <c r="CB751" s="123"/>
      <c r="CC751" s="6"/>
      <c r="CD751" s="123"/>
      <c r="CE751" s="6"/>
      <c r="CF751" s="123"/>
      <c r="CG751" s="6"/>
      <c r="CH751" s="6"/>
      <c r="CI751" s="6"/>
      <c r="CJ751" s="6"/>
      <c r="CK751" s="123"/>
      <c r="CL751" s="6"/>
      <c r="CM751" s="6"/>
      <c r="CN751" s="6"/>
      <c r="CO751" s="138"/>
      <c r="CP751" s="138"/>
      <c r="CQ751" s="123"/>
      <c r="CR751" s="6"/>
      <c r="CS751" s="6"/>
      <c r="CT751" s="139"/>
      <c r="CU751" s="139"/>
      <c r="CV751" s="76"/>
      <c r="CW751" s="123"/>
      <c r="CX751" s="6"/>
      <c r="DI751" s="125"/>
      <c r="DJ751" s="16"/>
      <c r="DM751" s="16"/>
      <c r="DN751" s="16"/>
      <c r="DO751" s="125"/>
      <c r="DP751" s="16"/>
      <c r="DQ751" s="125"/>
      <c r="DZ751" s="125"/>
      <c r="EA751" s="142"/>
      <c r="EB751" s="125"/>
      <c r="EC751" s="16"/>
      <c r="ED751" s="125"/>
      <c r="EE751" s="125"/>
      <c r="EF751" s="16"/>
      <c r="EG751" s="125"/>
      <c r="EQ751" s="125"/>
      <c r="ER751" s="16"/>
      <c r="ES751" s="123"/>
      <c r="ET751" s="19"/>
      <c r="EU751" s="139"/>
      <c r="EV751" s="139"/>
      <c r="EW751" s="123"/>
      <c r="EX751" s="123"/>
      <c r="EY751" s="123"/>
      <c r="EZ751" s="123"/>
      <c r="FA751" s="123"/>
      <c r="FB751" s="123"/>
      <c r="FC751" s="6"/>
      <c r="FD751" s="123"/>
      <c r="FE751" s="6"/>
      <c r="FF751" s="123"/>
      <c r="FG751" s="6"/>
      <c r="FH751" s="6"/>
      <c r="FI751" s="6"/>
      <c r="FJ751" s="6"/>
      <c r="FK751" s="123"/>
      <c r="FL751" s="6"/>
      <c r="FM751" s="6"/>
      <c r="FN751" s="6"/>
      <c r="FO751" s="138"/>
      <c r="FP751" s="138"/>
      <c r="FQ751" s="123"/>
      <c r="FR751" s="6"/>
      <c r="FS751" s="6"/>
      <c r="FT751" s="139"/>
      <c r="FU751" s="139"/>
      <c r="FV751" s="76"/>
      <c r="FW751" s="123"/>
      <c r="FX751" s="6"/>
    </row>
    <row r="752" spans="35:180">
      <c r="AI752" s="125"/>
      <c r="AJ752" s="16"/>
      <c r="AM752" s="16"/>
      <c r="AN752" s="16"/>
      <c r="AO752" s="125"/>
      <c r="AP752" s="16"/>
      <c r="AQ752" s="125"/>
      <c r="AZ752" s="125"/>
      <c r="BA752" s="142"/>
      <c r="BB752" s="125"/>
      <c r="BC752" s="16"/>
      <c r="BD752" s="125"/>
      <c r="BE752" s="125"/>
      <c r="BF752" s="16"/>
      <c r="BG752" s="125"/>
      <c r="BQ752" s="125"/>
      <c r="BR752" s="16"/>
      <c r="BS752" s="123"/>
      <c r="BT752" s="19"/>
      <c r="BU752" s="139"/>
      <c r="BV752" s="139"/>
      <c r="BW752" s="123"/>
      <c r="BX752" s="123"/>
      <c r="BY752" s="123"/>
      <c r="BZ752" s="123"/>
      <c r="CA752" s="123"/>
      <c r="CB752" s="123"/>
      <c r="CC752" s="6"/>
      <c r="CD752" s="123"/>
      <c r="CE752" s="6"/>
      <c r="CF752" s="123"/>
      <c r="CG752" s="6"/>
      <c r="CH752" s="6"/>
      <c r="CI752" s="6"/>
      <c r="CJ752" s="6"/>
      <c r="CK752" s="123"/>
      <c r="CL752" s="6"/>
      <c r="CM752" s="6"/>
      <c r="CN752" s="6"/>
      <c r="CO752" s="138"/>
      <c r="CP752" s="138"/>
      <c r="CQ752" s="123"/>
      <c r="CR752" s="6"/>
      <c r="CS752" s="6"/>
      <c r="CT752" s="139"/>
      <c r="CU752" s="139"/>
      <c r="CV752" s="76"/>
      <c r="CW752" s="123"/>
      <c r="CX752" s="6"/>
      <c r="DI752" s="125"/>
      <c r="DJ752" s="16"/>
      <c r="DM752" s="16"/>
      <c r="DN752" s="16"/>
      <c r="DO752" s="125"/>
      <c r="DP752" s="16"/>
      <c r="DQ752" s="125"/>
      <c r="DZ752" s="125"/>
      <c r="EA752" s="142"/>
      <c r="EB752" s="125"/>
      <c r="EC752" s="16"/>
      <c r="ED752" s="125"/>
      <c r="EE752" s="125"/>
      <c r="EF752" s="16"/>
      <c r="EG752" s="125"/>
      <c r="EQ752" s="125"/>
      <c r="ER752" s="16"/>
      <c r="ES752" s="123"/>
      <c r="ET752" s="19"/>
      <c r="EU752" s="139"/>
      <c r="EV752" s="139"/>
      <c r="EW752" s="123"/>
      <c r="EX752" s="123"/>
      <c r="EY752" s="123"/>
      <c r="EZ752" s="123"/>
      <c r="FA752" s="123"/>
      <c r="FB752" s="123"/>
      <c r="FC752" s="6"/>
      <c r="FD752" s="123"/>
      <c r="FE752" s="6"/>
      <c r="FF752" s="123"/>
      <c r="FG752" s="6"/>
      <c r="FH752" s="6"/>
      <c r="FI752" s="6"/>
      <c r="FJ752" s="6"/>
      <c r="FK752" s="123"/>
      <c r="FL752" s="6"/>
      <c r="FM752" s="6"/>
      <c r="FN752" s="6"/>
      <c r="FO752" s="138"/>
      <c r="FP752" s="138"/>
      <c r="FQ752" s="123"/>
      <c r="FR752" s="6"/>
      <c r="FS752" s="6"/>
      <c r="FT752" s="139"/>
      <c r="FU752" s="139"/>
      <c r="FV752" s="76"/>
      <c r="FW752" s="123"/>
      <c r="FX752" s="6"/>
    </row>
    <row r="753" spans="35:180">
      <c r="AI753" s="125"/>
      <c r="AJ753" s="16"/>
      <c r="AM753" s="16"/>
      <c r="AN753" s="16"/>
      <c r="AO753" s="125"/>
      <c r="AP753" s="16"/>
      <c r="AQ753" s="125"/>
      <c r="AZ753" s="125"/>
      <c r="BA753" s="142"/>
      <c r="BB753" s="125"/>
      <c r="BC753" s="16"/>
      <c r="BD753" s="125"/>
      <c r="BE753" s="125"/>
      <c r="BF753" s="16"/>
      <c r="BG753" s="125"/>
      <c r="BQ753" s="125"/>
      <c r="BR753" s="16"/>
      <c r="BS753" s="123"/>
      <c r="BT753" s="19"/>
      <c r="BU753" s="139"/>
      <c r="BV753" s="139"/>
      <c r="BW753" s="123"/>
      <c r="BX753" s="123"/>
      <c r="BY753" s="123"/>
      <c r="BZ753" s="123"/>
      <c r="CA753" s="123"/>
      <c r="CB753" s="123"/>
      <c r="CC753" s="6"/>
      <c r="CD753" s="123"/>
      <c r="CE753" s="6"/>
      <c r="CF753" s="123"/>
      <c r="CG753" s="6"/>
      <c r="CH753" s="6"/>
      <c r="CI753" s="6"/>
      <c r="CJ753" s="6"/>
      <c r="CK753" s="123"/>
      <c r="CL753" s="6"/>
      <c r="CM753" s="6"/>
      <c r="CN753" s="6"/>
      <c r="CO753" s="138"/>
      <c r="CP753" s="138"/>
      <c r="CQ753" s="123"/>
      <c r="CR753" s="6"/>
      <c r="CS753" s="6"/>
      <c r="CT753" s="139"/>
      <c r="CU753" s="139"/>
      <c r="CV753" s="76"/>
      <c r="CW753" s="123"/>
      <c r="CX753" s="6"/>
      <c r="DI753" s="125"/>
      <c r="DJ753" s="16"/>
      <c r="DM753" s="16"/>
      <c r="DN753" s="16"/>
      <c r="DO753" s="125"/>
      <c r="DP753" s="16"/>
      <c r="DQ753" s="125"/>
      <c r="DZ753" s="125"/>
      <c r="EA753" s="142"/>
      <c r="EB753" s="125"/>
      <c r="EC753" s="16"/>
      <c r="ED753" s="125"/>
      <c r="EE753" s="125"/>
      <c r="EF753" s="16"/>
      <c r="EG753" s="125"/>
      <c r="EQ753" s="125"/>
      <c r="ER753" s="16"/>
      <c r="ES753" s="123"/>
      <c r="ET753" s="19"/>
      <c r="EU753" s="139"/>
      <c r="EV753" s="139"/>
      <c r="EW753" s="123"/>
      <c r="EX753" s="123"/>
      <c r="EY753" s="123"/>
      <c r="EZ753" s="123"/>
      <c r="FA753" s="123"/>
      <c r="FB753" s="123"/>
      <c r="FC753" s="6"/>
      <c r="FD753" s="123"/>
      <c r="FE753" s="6"/>
      <c r="FF753" s="123"/>
      <c r="FG753" s="6"/>
      <c r="FH753" s="6"/>
      <c r="FI753" s="6"/>
      <c r="FJ753" s="6"/>
      <c r="FK753" s="123"/>
      <c r="FL753" s="6"/>
      <c r="FM753" s="6"/>
      <c r="FN753" s="6"/>
      <c r="FO753" s="138"/>
      <c r="FP753" s="138"/>
      <c r="FQ753" s="123"/>
      <c r="FR753" s="6"/>
      <c r="FS753" s="6"/>
      <c r="FT753" s="139"/>
      <c r="FU753" s="139"/>
      <c r="FV753" s="76"/>
      <c r="FW753" s="123"/>
      <c r="FX753" s="6"/>
    </row>
    <row r="754" spans="35:180">
      <c r="AI754" s="125"/>
      <c r="AJ754" s="16"/>
      <c r="AM754" s="16"/>
      <c r="AN754" s="16"/>
      <c r="AO754" s="125"/>
      <c r="AP754" s="16"/>
      <c r="AQ754" s="125"/>
      <c r="AZ754" s="125"/>
      <c r="BA754" s="142"/>
      <c r="BB754" s="125"/>
      <c r="BC754" s="16"/>
      <c r="BD754" s="125"/>
      <c r="BE754" s="125"/>
      <c r="BF754" s="16"/>
      <c r="BG754" s="125"/>
      <c r="BQ754" s="125"/>
      <c r="BR754" s="16"/>
      <c r="BS754" s="123"/>
      <c r="BT754" s="19"/>
      <c r="BU754" s="139"/>
      <c r="BV754" s="139"/>
      <c r="BW754" s="123"/>
      <c r="BX754" s="123"/>
      <c r="BY754" s="123"/>
      <c r="BZ754" s="123"/>
      <c r="CA754" s="123"/>
      <c r="CB754" s="123"/>
      <c r="CC754" s="6"/>
      <c r="CD754" s="123"/>
      <c r="CE754" s="6"/>
      <c r="CF754" s="123"/>
      <c r="CG754" s="6"/>
      <c r="CH754" s="6"/>
      <c r="CI754" s="6"/>
      <c r="CJ754" s="6"/>
      <c r="CK754" s="123"/>
      <c r="CL754" s="6"/>
      <c r="CM754" s="6"/>
      <c r="CN754" s="6"/>
      <c r="CO754" s="138"/>
      <c r="CP754" s="138"/>
      <c r="CQ754" s="123"/>
      <c r="CR754" s="6"/>
      <c r="CS754" s="6"/>
      <c r="CT754" s="139"/>
      <c r="CU754" s="139"/>
      <c r="CV754" s="76"/>
      <c r="CW754" s="123"/>
      <c r="CX754" s="6"/>
      <c r="DI754" s="125"/>
      <c r="DJ754" s="16"/>
      <c r="DM754" s="16"/>
      <c r="DN754" s="16"/>
      <c r="DO754" s="125"/>
      <c r="DP754" s="16"/>
      <c r="DQ754" s="125"/>
      <c r="DZ754" s="125"/>
      <c r="EA754" s="142"/>
      <c r="EB754" s="125"/>
      <c r="EC754" s="16"/>
      <c r="ED754" s="125"/>
      <c r="EE754" s="125"/>
      <c r="EF754" s="16"/>
      <c r="EG754" s="125"/>
      <c r="EQ754" s="125"/>
      <c r="ER754" s="16"/>
      <c r="ES754" s="123"/>
      <c r="ET754" s="19"/>
      <c r="EU754" s="139"/>
      <c r="EV754" s="139"/>
      <c r="EW754" s="123"/>
      <c r="EX754" s="123"/>
      <c r="EY754" s="123"/>
      <c r="EZ754" s="123"/>
      <c r="FA754" s="123"/>
      <c r="FB754" s="123"/>
      <c r="FC754" s="6"/>
      <c r="FD754" s="123"/>
      <c r="FE754" s="6"/>
      <c r="FF754" s="123"/>
      <c r="FG754" s="6"/>
      <c r="FH754" s="6"/>
      <c r="FI754" s="6"/>
      <c r="FJ754" s="6"/>
      <c r="FK754" s="123"/>
      <c r="FL754" s="6"/>
      <c r="FM754" s="6"/>
      <c r="FN754" s="6"/>
      <c r="FO754" s="138"/>
      <c r="FP754" s="138"/>
      <c r="FQ754" s="123"/>
      <c r="FR754" s="6"/>
      <c r="FS754" s="6"/>
      <c r="FT754" s="139"/>
      <c r="FU754" s="139"/>
      <c r="FV754" s="76"/>
      <c r="FW754" s="123"/>
      <c r="FX754" s="6"/>
    </row>
    <row r="755" spans="35:180">
      <c r="AI755" s="125"/>
      <c r="AJ755" s="16"/>
      <c r="AM755" s="16"/>
      <c r="AN755" s="16"/>
      <c r="AO755" s="125"/>
      <c r="AP755" s="16"/>
      <c r="AQ755" s="125"/>
      <c r="AZ755" s="125"/>
      <c r="BA755" s="142"/>
      <c r="BB755" s="125"/>
      <c r="BC755" s="16"/>
      <c r="BD755" s="125"/>
      <c r="BE755" s="125"/>
      <c r="BF755" s="16"/>
      <c r="BG755" s="125"/>
      <c r="BQ755" s="125"/>
      <c r="BR755" s="16"/>
      <c r="BS755" s="123"/>
      <c r="BT755" s="19"/>
      <c r="BU755" s="139"/>
      <c r="BV755" s="139"/>
      <c r="BW755" s="123"/>
      <c r="BX755" s="123"/>
      <c r="BY755" s="123"/>
      <c r="BZ755" s="123"/>
      <c r="CA755" s="123"/>
      <c r="CB755" s="123"/>
      <c r="CC755" s="6"/>
      <c r="CD755" s="123"/>
      <c r="CE755" s="6"/>
      <c r="CF755" s="123"/>
      <c r="CG755" s="6"/>
      <c r="CH755" s="6"/>
      <c r="CI755" s="6"/>
      <c r="CJ755" s="6"/>
      <c r="CK755" s="123"/>
      <c r="CL755" s="6"/>
      <c r="CM755" s="6"/>
      <c r="CN755" s="6"/>
      <c r="CO755" s="138"/>
      <c r="CP755" s="138"/>
      <c r="CQ755" s="123"/>
      <c r="CR755" s="6"/>
      <c r="CS755" s="6"/>
      <c r="CT755" s="139"/>
      <c r="CU755" s="139"/>
      <c r="CV755" s="76"/>
      <c r="CW755" s="123"/>
      <c r="CX755" s="6"/>
      <c r="DI755" s="125"/>
      <c r="DJ755" s="16"/>
      <c r="DM755" s="16"/>
      <c r="DN755" s="16"/>
      <c r="DO755" s="125"/>
      <c r="DP755" s="16"/>
      <c r="DQ755" s="125"/>
      <c r="DZ755" s="125"/>
      <c r="EA755" s="142"/>
      <c r="EB755" s="125"/>
      <c r="EC755" s="16"/>
      <c r="ED755" s="125"/>
      <c r="EE755" s="125"/>
      <c r="EF755" s="16"/>
      <c r="EG755" s="125"/>
      <c r="EQ755" s="125"/>
      <c r="ER755" s="16"/>
      <c r="ES755" s="123"/>
      <c r="ET755" s="19"/>
      <c r="EU755" s="139"/>
      <c r="EV755" s="139"/>
      <c r="EW755" s="123"/>
      <c r="EX755" s="123"/>
      <c r="EY755" s="123"/>
      <c r="EZ755" s="123"/>
      <c r="FA755" s="123"/>
      <c r="FB755" s="123"/>
      <c r="FC755" s="6"/>
      <c r="FD755" s="123"/>
      <c r="FE755" s="6"/>
      <c r="FF755" s="123"/>
      <c r="FG755" s="6"/>
      <c r="FH755" s="6"/>
      <c r="FI755" s="6"/>
      <c r="FJ755" s="6"/>
      <c r="FK755" s="123"/>
      <c r="FL755" s="6"/>
      <c r="FM755" s="6"/>
      <c r="FN755" s="6"/>
      <c r="FO755" s="138"/>
      <c r="FP755" s="138"/>
      <c r="FQ755" s="123"/>
      <c r="FR755" s="6"/>
      <c r="FS755" s="6"/>
      <c r="FT755" s="139"/>
      <c r="FU755" s="139"/>
      <c r="FV755" s="76"/>
      <c r="FW755" s="123"/>
      <c r="FX755" s="6"/>
    </row>
    <row r="756" spans="35:180">
      <c r="AI756" s="125"/>
      <c r="AJ756" s="16"/>
      <c r="AM756" s="16"/>
      <c r="AN756" s="16"/>
      <c r="AO756" s="125"/>
      <c r="AP756" s="16"/>
      <c r="AQ756" s="125"/>
      <c r="AZ756" s="125"/>
      <c r="BA756" s="142"/>
      <c r="BB756" s="125"/>
      <c r="BC756" s="16"/>
      <c r="BD756" s="125"/>
      <c r="BE756" s="125"/>
      <c r="BF756" s="16"/>
      <c r="BG756" s="125"/>
      <c r="BQ756" s="125"/>
      <c r="BR756" s="16"/>
      <c r="BS756" s="123"/>
      <c r="BT756" s="19"/>
      <c r="BU756" s="139"/>
      <c r="BV756" s="139"/>
      <c r="BW756" s="123"/>
      <c r="BX756" s="123"/>
      <c r="BY756" s="123"/>
      <c r="BZ756" s="123"/>
      <c r="CA756" s="123"/>
      <c r="CB756" s="123"/>
      <c r="CC756" s="6"/>
      <c r="CD756" s="123"/>
      <c r="CE756" s="6"/>
      <c r="CF756" s="123"/>
      <c r="CG756" s="6"/>
      <c r="CH756" s="6"/>
      <c r="CI756" s="6"/>
      <c r="CJ756" s="6"/>
      <c r="CK756" s="123"/>
      <c r="CL756" s="6"/>
      <c r="CM756" s="6"/>
      <c r="CN756" s="6"/>
      <c r="CO756" s="138"/>
      <c r="CP756" s="138"/>
      <c r="CQ756" s="123"/>
      <c r="CR756" s="6"/>
      <c r="CS756" s="6"/>
      <c r="CT756" s="139"/>
      <c r="CU756" s="139"/>
      <c r="CV756" s="76"/>
      <c r="CW756" s="123"/>
      <c r="CX756" s="6"/>
      <c r="DI756" s="125"/>
      <c r="DJ756" s="16"/>
      <c r="DM756" s="16"/>
      <c r="DN756" s="16"/>
      <c r="DO756" s="125"/>
      <c r="DP756" s="16"/>
      <c r="DQ756" s="125"/>
      <c r="DZ756" s="125"/>
      <c r="EA756" s="142"/>
      <c r="EB756" s="125"/>
      <c r="EC756" s="16"/>
      <c r="ED756" s="125"/>
      <c r="EE756" s="125"/>
      <c r="EF756" s="16"/>
      <c r="EG756" s="125"/>
      <c r="EQ756" s="125"/>
      <c r="ER756" s="16"/>
      <c r="ES756" s="123"/>
      <c r="ET756" s="19"/>
      <c r="EU756" s="139"/>
      <c r="EV756" s="139"/>
      <c r="EW756" s="123"/>
      <c r="EX756" s="123"/>
      <c r="EY756" s="123"/>
      <c r="EZ756" s="123"/>
      <c r="FA756" s="123"/>
      <c r="FB756" s="123"/>
      <c r="FC756" s="6"/>
      <c r="FD756" s="123"/>
      <c r="FE756" s="6"/>
      <c r="FF756" s="123"/>
      <c r="FG756" s="6"/>
      <c r="FH756" s="6"/>
      <c r="FI756" s="6"/>
      <c r="FJ756" s="6"/>
      <c r="FK756" s="123"/>
      <c r="FL756" s="6"/>
      <c r="FM756" s="6"/>
      <c r="FN756" s="6"/>
      <c r="FO756" s="138"/>
      <c r="FP756" s="138"/>
      <c r="FQ756" s="123"/>
      <c r="FR756" s="6"/>
      <c r="FS756" s="6"/>
      <c r="FT756" s="139"/>
      <c r="FU756" s="139"/>
      <c r="FV756" s="76"/>
      <c r="FW756" s="123"/>
      <c r="FX756" s="6"/>
    </row>
    <row r="757" spans="35:180">
      <c r="AI757" s="125"/>
      <c r="AJ757" s="16"/>
      <c r="AM757" s="16"/>
      <c r="AN757" s="16"/>
      <c r="AO757" s="125"/>
      <c r="AP757" s="16"/>
      <c r="AQ757" s="125"/>
      <c r="AZ757" s="125"/>
      <c r="BA757" s="142"/>
      <c r="BB757" s="125"/>
      <c r="BC757" s="16"/>
      <c r="BD757" s="125"/>
      <c r="BE757" s="125"/>
      <c r="BF757" s="16"/>
      <c r="BG757" s="125"/>
      <c r="BQ757" s="125"/>
      <c r="BR757" s="16"/>
      <c r="BS757" s="123"/>
      <c r="BT757" s="19"/>
      <c r="BU757" s="139"/>
      <c r="BV757" s="139"/>
      <c r="BW757" s="123"/>
      <c r="BX757" s="123"/>
      <c r="BY757" s="123"/>
      <c r="BZ757" s="123"/>
      <c r="CA757" s="123"/>
      <c r="CB757" s="123"/>
      <c r="CC757" s="6"/>
      <c r="CD757" s="123"/>
      <c r="CE757" s="6"/>
      <c r="CF757" s="123"/>
      <c r="CG757" s="6"/>
      <c r="CH757" s="6"/>
      <c r="CI757" s="6"/>
      <c r="CJ757" s="6"/>
      <c r="CK757" s="123"/>
      <c r="CL757" s="6"/>
      <c r="CM757" s="6"/>
      <c r="CN757" s="6"/>
      <c r="CO757" s="138"/>
      <c r="CP757" s="138"/>
      <c r="CQ757" s="123"/>
      <c r="CR757" s="6"/>
      <c r="CS757" s="6"/>
      <c r="CT757" s="139"/>
      <c r="CU757" s="139"/>
      <c r="CV757" s="76"/>
      <c r="CW757" s="123"/>
      <c r="CX757" s="6"/>
      <c r="DI757" s="125"/>
      <c r="DJ757" s="16"/>
      <c r="DM757" s="16"/>
      <c r="DN757" s="16"/>
      <c r="DO757" s="125"/>
      <c r="DP757" s="16"/>
      <c r="DQ757" s="125"/>
      <c r="DZ757" s="125"/>
      <c r="EA757" s="142"/>
      <c r="EB757" s="125"/>
      <c r="EC757" s="16"/>
      <c r="ED757" s="125"/>
      <c r="EE757" s="125"/>
      <c r="EF757" s="16"/>
      <c r="EG757" s="125"/>
      <c r="EQ757" s="125"/>
      <c r="ER757" s="16"/>
      <c r="ES757" s="123"/>
      <c r="ET757" s="19"/>
      <c r="EU757" s="139"/>
      <c r="EV757" s="139"/>
      <c r="EW757" s="123"/>
      <c r="EX757" s="123"/>
      <c r="EY757" s="123"/>
      <c r="EZ757" s="123"/>
      <c r="FA757" s="123"/>
      <c r="FB757" s="123"/>
      <c r="FC757" s="6"/>
      <c r="FD757" s="123"/>
      <c r="FE757" s="6"/>
      <c r="FF757" s="123"/>
      <c r="FG757" s="6"/>
      <c r="FH757" s="6"/>
      <c r="FI757" s="6"/>
      <c r="FJ757" s="6"/>
      <c r="FK757" s="123"/>
      <c r="FL757" s="6"/>
      <c r="FM757" s="6"/>
      <c r="FN757" s="6"/>
      <c r="FO757" s="138"/>
      <c r="FP757" s="138"/>
      <c r="FQ757" s="123"/>
      <c r="FR757" s="6"/>
      <c r="FS757" s="6"/>
      <c r="FT757" s="139"/>
      <c r="FU757" s="139"/>
      <c r="FV757" s="76"/>
      <c r="FW757" s="123"/>
      <c r="FX757" s="6"/>
    </row>
    <row r="758" spans="35:180">
      <c r="AI758" s="125"/>
      <c r="AJ758" s="16"/>
      <c r="AM758" s="16"/>
      <c r="AN758" s="16"/>
      <c r="AO758" s="125"/>
      <c r="AP758" s="16"/>
      <c r="AQ758" s="125"/>
      <c r="AZ758" s="125"/>
      <c r="BA758" s="142"/>
      <c r="BB758" s="125"/>
      <c r="BC758" s="16"/>
      <c r="BD758" s="125"/>
      <c r="BE758" s="125"/>
      <c r="BF758" s="16"/>
      <c r="BG758" s="125"/>
      <c r="BQ758" s="125"/>
      <c r="BR758" s="16"/>
      <c r="BS758" s="123"/>
      <c r="BT758" s="19"/>
      <c r="BU758" s="139"/>
      <c r="BV758" s="139"/>
      <c r="BW758" s="123"/>
      <c r="BX758" s="123"/>
      <c r="BY758" s="123"/>
      <c r="BZ758" s="123"/>
      <c r="CA758" s="123"/>
      <c r="CB758" s="123"/>
      <c r="CC758" s="6"/>
      <c r="CD758" s="123"/>
      <c r="CE758" s="6"/>
      <c r="CF758" s="123"/>
      <c r="CG758" s="6"/>
      <c r="CH758" s="6"/>
      <c r="CI758" s="6"/>
      <c r="CJ758" s="6"/>
      <c r="CK758" s="123"/>
      <c r="CL758" s="6"/>
      <c r="CM758" s="6"/>
      <c r="CN758" s="6"/>
      <c r="CO758" s="138"/>
      <c r="CP758" s="138"/>
      <c r="CQ758" s="123"/>
      <c r="CR758" s="6"/>
      <c r="CS758" s="6"/>
      <c r="CT758" s="139"/>
      <c r="CU758" s="139"/>
      <c r="CV758" s="76"/>
      <c r="CW758" s="123"/>
      <c r="CX758" s="6"/>
      <c r="DI758" s="125"/>
      <c r="DJ758" s="16"/>
      <c r="DM758" s="16"/>
      <c r="DN758" s="16"/>
      <c r="DO758" s="125"/>
      <c r="DP758" s="16"/>
      <c r="DQ758" s="125"/>
      <c r="DZ758" s="125"/>
      <c r="EA758" s="142"/>
      <c r="EB758" s="125"/>
      <c r="EC758" s="16"/>
      <c r="ED758" s="125"/>
      <c r="EE758" s="125"/>
      <c r="EF758" s="16"/>
      <c r="EG758" s="125"/>
      <c r="EQ758" s="125"/>
      <c r="ER758" s="16"/>
      <c r="ES758" s="123"/>
      <c r="ET758" s="19"/>
      <c r="EU758" s="139"/>
      <c r="EV758" s="139"/>
      <c r="EW758" s="123"/>
      <c r="EX758" s="123"/>
      <c r="EY758" s="123"/>
      <c r="EZ758" s="123"/>
      <c r="FA758" s="123"/>
      <c r="FB758" s="123"/>
      <c r="FC758" s="6"/>
      <c r="FD758" s="123"/>
      <c r="FE758" s="6"/>
      <c r="FF758" s="123"/>
      <c r="FG758" s="6"/>
      <c r="FH758" s="6"/>
      <c r="FI758" s="6"/>
      <c r="FJ758" s="6"/>
      <c r="FK758" s="123"/>
      <c r="FL758" s="6"/>
      <c r="FM758" s="6"/>
      <c r="FN758" s="6"/>
      <c r="FO758" s="138"/>
      <c r="FP758" s="138"/>
      <c r="FQ758" s="123"/>
      <c r="FR758" s="6"/>
      <c r="FS758" s="6"/>
      <c r="FT758" s="139"/>
      <c r="FU758" s="139"/>
      <c r="FV758" s="76"/>
      <c r="FW758" s="123"/>
      <c r="FX758" s="6"/>
    </row>
    <row r="759" spans="35:180">
      <c r="AI759" s="125"/>
      <c r="AJ759" s="16"/>
      <c r="AM759" s="16"/>
      <c r="AN759" s="16"/>
      <c r="AO759" s="125"/>
      <c r="AP759" s="16"/>
      <c r="AQ759" s="125"/>
      <c r="AZ759" s="125"/>
      <c r="BA759" s="142"/>
      <c r="BB759" s="125"/>
      <c r="BC759" s="16"/>
      <c r="BD759" s="125"/>
      <c r="BE759" s="125"/>
      <c r="BF759" s="16"/>
      <c r="BG759" s="125"/>
      <c r="BQ759" s="125"/>
      <c r="BR759" s="16"/>
      <c r="BS759" s="123"/>
      <c r="BT759" s="19"/>
      <c r="BU759" s="139"/>
      <c r="BV759" s="139"/>
      <c r="BW759" s="123"/>
      <c r="BX759" s="123"/>
      <c r="BY759" s="123"/>
      <c r="BZ759" s="123"/>
      <c r="CA759" s="123"/>
      <c r="CB759" s="123"/>
      <c r="CC759" s="6"/>
      <c r="CD759" s="123"/>
      <c r="CE759" s="6"/>
      <c r="CF759" s="123"/>
      <c r="CG759" s="6"/>
      <c r="CH759" s="6"/>
      <c r="CI759" s="6"/>
      <c r="CJ759" s="6"/>
      <c r="CK759" s="123"/>
      <c r="CL759" s="6"/>
      <c r="CM759" s="6"/>
      <c r="CN759" s="6"/>
      <c r="CO759" s="138"/>
      <c r="CP759" s="138"/>
      <c r="CQ759" s="123"/>
      <c r="CR759" s="6"/>
      <c r="CS759" s="6"/>
      <c r="CT759" s="139"/>
      <c r="CU759" s="139"/>
      <c r="CV759" s="76"/>
      <c r="CW759" s="123"/>
      <c r="CX759" s="6"/>
      <c r="DI759" s="125"/>
      <c r="DJ759" s="16"/>
      <c r="DM759" s="16"/>
      <c r="DN759" s="16"/>
      <c r="DO759" s="125"/>
      <c r="DP759" s="16"/>
      <c r="DQ759" s="125"/>
      <c r="DZ759" s="125"/>
      <c r="EA759" s="142"/>
      <c r="EB759" s="125"/>
      <c r="EC759" s="16"/>
      <c r="ED759" s="125"/>
      <c r="EE759" s="125"/>
      <c r="EF759" s="16"/>
      <c r="EG759" s="125"/>
      <c r="EQ759" s="125"/>
      <c r="ER759" s="16"/>
      <c r="ES759" s="123"/>
      <c r="ET759" s="19"/>
      <c r="EU759" s="139"/>
      <c r="EV759" s="139"/>
      <c r="EW759" s="123"/>
      <c r="EX759" s="123"/>
      <c r="EY759" s="123"/>
      <c r="EZ759" s="123"/>
      <c r="FA759" s="123"/>
      <c r="FB759" s="123"/>
      <c r="FC759" s="6"/>
      <c r="FD759" s="123"/>
      <c r="FE759" s="6"/>
      <c r="FF759" s="123"/>
      <c r="FG759" s="6"/>
      <c r="FH759" s="6"/>
      <c r="FI759" s="6"/>
      <c r="FJ759" s="6"/>
      <c r="FK759" s="123"/>
      <c r="FL759" s="6"/>
      <c r="FM759" s="6"/>
      <c r="FN759" s="6"/>
      <c r="FO759" s="138"/>
      <c r="FP759" s="138"/>
      <c r="FQ759" s="123"/>
      <c r="FR759" s="6"/>
      <c r="FS759" s="6"/>
      <c r="FT759" s="139"/>
      <c r="FU759" s="139"/>
      <c r="FV759" s="76"/>
      <c r="FW759" s="123"/>
      <c r="FX759" s="6"/>
    </row>
    <row r="760" spans="35:180">
      <c r="AI760" s="125"/>
      <c r="AJ760" s="16"/>
      <c r="AM760" s="16"/>
      <c r="AN760" s="16"/>
      <c r="AO760" s="125"/>
      <c r="AP760" s="16"/>
      <c r="AQ760" s="125"/>
      <c r="AZ760" s="125"/>
      <c r="BA760" s="142"/>
      <c r="BB760" s="125"/>
      <c r="BC760" s="16"/>
      <c r="BD760" s="125"/>
      <c r="BE760" s="125"/>
      <c r="BF760" s="16"/>
      <c r="BG760" s="125"/>
      <c r="BQ760" s="125"/>
      <c r="BR760" s="16"/>
      <c r="BS760" s="123"/>
      <c r="BT760" s="19"/>
      <c r="BU760" s="139"/>
      <c r="BV760" s="139"/>
      <c r="BW760" s="123"/>
      <c r="BX760" s="123"/>
      <c r="BY760" s="123"/>
      <c r="BZ760" s="123"/>
      <c r="CA760" s="123"/>
      <c r="CB760" s="123"/>
      <c r="CC760" s="6"/>
      <c r="CD760" s="123"/>
      <c r="CE760" s="6"/>
      <c r="CF760" s="123"/>
      <c r="CG760" s="6"/>
      <c r="CH760" s="6"/>
      <c r="CI760" s="6"/>
      <c r="CJ760" s="6"/>
      <c r="CK760" s="123"/>
      <c r="CL760" s="6"/>
      <c r="CM760" s="6"/>
      <c r="CN760" s="6"/>
      <c r="CO760" s="138"/>
      <c r="CP760" s="138"/>
      <c r="CQ760" s="123"/>
      <c r="CR760" s="6"/>
      <c r="CS760" s="6"/>
      <c r="CT760" s="139"/>
      <c r="CU760" s="139"/>
      <c r="CV760" s="76"/>
      <c r="CW760" s="123"/>
      <c r="CX760" s="6"/>
      <c r="DI760" s="125"/>
      <c r="DJ760" s="16"/>
      <c r="DM760" s="16"/>
      <c r="DN760" s="16"/>
      <c r="DO760" s="125"/>
      <c r="DP760" s="16"/>
      <c r="DQ760" s="125"/>
      <c r="DZ760" s="125"/>
      <c r="EA760" s="142"/>
      <c r="EB760" s="125"/>
      <c r="EC760" s="16"/>
      <c r="ED760" s="125"/>
      <c r="EE760" s="125"/>
      <c r="EF760" s="16"/>
      <c r="EG760" s="125"/>
      <c r="EQ760" s="125"/>
      <c r="ER760" s="16"/>
      <c r="ES760" s="123"/>
      <c r="ET760" s="19"/>
      <c r="EU760" s="139"/>
      <c r="EV760" s="139"/>
      <c r="EW760" s="123"/>
      <c r="EX760" s="123"/>
      <c r="EY760" s="123"/>
      <c r="EZ760" s="123"/>
      <c r="FA760" s="123"/>
      <c r="FB760" s="123"/>
      <c r="FC760" s="6"/>
      <c r="FD760" s="123"/>
      <c r="FE760" s="6"/>
      <c r="FF760" s="123"/>
      <c r="FG760" s="6"/>
      <c r="FH760" s="6"/>
      <c r="FI760" s="6"/>
      <c r="FJ760" s="6"/>
      <c r="FK760" s="123"/>
      <c r="FL760" s="6"/>
      <c r="FM760" s="6"/>
      <c r="FN760" s="6"/>
      <c r="FO760" s="138"/>
      <c r="FP760" s="138"/>
      <c r="FQ760" s="123"/>
      <c r="FR760" s="6"/>
      <c r="FS760" s="6"/>
      <c r="FT760" s="139"/>
      <c r="FU760" s="139"/>
      <c r="FV760" s="76"/>
      <c r="FW760" s="123"/>
      <c r="FX760" s="6"/>
    </row>
    <row r="761" spans="35:180">
      <c r="AI761" s="125"/>
      <c r="AJ761" s="16"/>
      <c r="AM761" s="16"/>
      <c r="AN761" s="16"/>
      <c r="AO761" s="125"/>
      <c r="AP761" s="16"/>
      <c r="AQ761" s="125"/>
      <c r="AZ761" s="125"/>
      <c r="BA761" s="142"/>
      <c r="BB761" s="125"/>
      <c r="BC761" s="16"/>
      <c r="BD761" s="125"/>
      <c r="BE761" s="125"/>
      <c r="BF761" s="16"/>
      <c r="BG761" s="125"/>
      <c r="BQ761" s="125"/>
      <c r="BR761" s="16"/>
      <c r="BS761" s="123"/>
      <c r="BT761" s="19"/>
      <c r="BU761" s="139"/>
      <c r="BV761" s="139"/>
      <c r="BW761" s="123"/>
      <c r="BX761" s="123"/>
      <c r="BY761" s="123"/>
      <c r="BZ761" s="123"/>
      <c r="CA761" s="123"/>
      <c r="CB761" s="123"/>
      <c r="CC761" s="6"/>
      <c r="CD761" s="123"/>
      <c r="CE761" s="6"/>
      <c r="CF761" s="123"/>
      <c r="CG761" s="6"/>
      <c r="CH761" s="6"/>
      <c r="CI761" s="6"/>
      <c r="CJ761" s="6"/>
      <c r="CK761" s="123"/>
      <c r="CL761" s="6"/>
      <c r="CM761" s="6"/>
      <c r="CN761" s="6"/>
      <c r="CO761" s="138"/>
      <c r="CP761" s="138"/>
      <c r="CQ761" s="123"/>
      <c r="CR761" s="6"/>
      <c r="CS761" s="6"/>
      <c r="CT761" s="139"/>
      <c r="CU761" s="139"/>
      <c r="CV761" s="76"/>
      <c r="CW761" s="123"/>
      <c r="CX761" s="6"/>
      <c r="DI761" s="125"/>
      <c r="DJ761" s="16"/>
      <c r="DM761" s="16"/>
      <c r="DN761" s="16"/>
      <c r="DO761" s="125"/>
      <c r="DP761" s="16"/>
      <c r="DQ761" s="125"/>
      <c r="DZ761" s="125"/>
      <c r="EA761" s="142"/>
      <c r="EB761" s="125"/>
      <c r="EC761" s="16"/>
      <c r="ED761" s="125"/>
      <c r="EE761" s="125"/>
      <c r="EF761" s="16"/>
      <c r="EG761" s="125"/>
      <c r="EQ761" s="125"/>
      <c r="ER761" s="16"/>
      <c r="ES761" s="123"/>
      <c r="ET761" s="19"/>
      <c r="EU761" s="139"/>
      <c r="EV761" s="139"/>
      <c r="EW761" s="123"/>
      <c r="EX761" s="123"/>
      <c r="EY761" s="123"/>
      <c r="EZ761" s="123"/>
      <c r="FA761" s="123"/>
      <c r="FB761" s="123"/>
      <c r="FC761" s="6"/>
      <c r="FD761" s="123"/>
      <c r="FE761" s="6"/>
      <c r="FF761" s="123"/>
      <c r="FG761" s="6"/>
      <c r="FH761" s="6"/>
      <c r="FI761" s="6"/>
      <c r="FJ761" s="6"/>
      <c r="FK761" s="123"/>
      <c r="FL761" s="6"/>
      <c r="FM761" s="6"/>
      <c r="FN761" s="6"/>
      <c r="FO761" s="138"/>
      <c r="FP761" s="138"/>
      <c r="FQ761" s="123"/>
      <c r="FR761" s="6"/>
      <c r="FS761" s="6"/>
      <c r="FT761" s="139"/>
      <c r="FU761" s="139"/>
      <c r="FV761" s="76"/>
      <c r="FW761" s="123"/>
      <c r="FX761" s="6"/>
    </row>
    <row r="762" spans="35:180">
      <c r="AI762" s="125"/>
      <c r="AJ762" s="16"/>
      <c r="AM762" s="16"/>
      <c r="AN762" s="16"/>
      <c r="AO762" s="125"/>
      <c r="AP762" s="16"/>
      <c r="AQ762" s="125"/>
      <c r="AZ762" s="125"/>
      <c r="BA762" s="142"/>
      <c r="BB762" s="125"/>
      <c r="BC762" s="16"/>
      <c r="BD762" s="125"/>
      <c r="BE762" s="125"/>
      <c r="BF762" s="16"/>
      <c r="BG762" s="125"/>
      <c r="BQ762" s="125"/>
      <c r="BR762" s="16"/>
      <c r="BS762" s="123"/>
      <c r="BT762" s="19"/>
      <c r="BU762" s="139"/>
      <c r="BV762" s="139"/>
      <c r="BW762" s="123"/>
      <c r="BX762" s="123"/>
      <c r="BY762" s="123"/>
      <c r="BZ762" s="123"/>
      <c r="CA762" s="123"/>
      <c r="CB762" s="123"/>
      <c r="CC762" s="6"/>
      <c r="CD762" s="123"/>
      <c r="CE762" s="6"/>
      <c r="CF762" s="123"/>
      <c r="CG762" s="6"/>
      <c r="CH762" s="6"/>
      <c r="CI762" s="6"/>
      <c r="CJ762" s="6"/>
      <c r="CK762" s="123"/>
      <c r="CL762" s="6"/>
      <c r="CM762" s="6"/>
      <c r="CN762" s="6"/>
      <c r="CO762" s="138"/>
      <c r="CP762" s="138"/>
      <c r="CQ762" s="123"/>
      <c r="CR762" s="6"/>
      <c r="CS762" s="6"/>
      <c r="CT762" s="139"/>
      <c r="CU762" s="139"/>
      <c r="CV762" s="76"/>
      <c r="CW762" s="123"/>
      <c r="CX762" s="6"/>
      <c r="DI762" s="125"/>
      <c r="DJ762" s="16"/>
      <c r="DM762" s="16"/>
      <c r="DN762" s="16"/>
      <c r="DO762" s="125"/>
      <c r="DP762" s="16"/>
      <c r="DQ762" s="125"/>
      <c r="DZ762" s="125"/>
      <c r="EA762" s="142"/>
      <c r="EB762" s="125"/>
      <c r="EC762" s="16"/>
      <c r="ED762" s="125"/>
      <c r="EE762" s="125"/>
      <c r="EF762" s="16"/>
      <c r="EG762" s="125"/>
      <c r="EQ762" s="125"/>
      <c r="ER762" s="16"/>
      <c r="ES762" s="123"/>
      <c r="ET762" s="19"/>
      <c r="EU762" s="139"/>
      <c r="EV762" s="139"/>
      <c r="EW762" s="123"/>
      <c r="EX762" s="123"/>
      <c r="EY762" s="123"/>
      <c r="EZ762" s="123"/>
      <c r="FA762" s="123"/>
      <c r="FB762" s="123"/>
      <c r="FC762" s="6"/>
      <c r="FD762" s="123"/>
      <c r="FE762" s="6"/>
      <c r="FF762" s="123"/>
      <c r="FG762" s="6"/>
      <c r="FH762" s="6"/>
      <c r="FI762" s="6"/>
      <c r="FJ762" s="6"/>
      <c r="FK762" s="123"/>
      <c r="FL762" s="6"/>
      <c r="FM762" s="6"/>
      <c r="FN762" s="6"/>
      <c r="FO762" s="138"/>
      <c r="FP762" s="138"/>
      <c r="FQ762" s="123"/>
      <c r="FR762" s="6"/>
      <c r="FS762" s="6"/>
      <c r="FT762" s="139"/>
      <c r="FU762" s="139"/>
      <c r="FV762" s="76"/>
      <c r="FW762" s="123"/>
      <c r="FX762" s="6"/>
    </row>
    <row r="763" spans="35:180">
      <c r="AI763" s="125"/>
      <c r="AJ763" s="16"/>
      <c r="AM763" s="16"/>
      <c r="AN763" s="16"/>
      <c r="AO763" s="125"/>
      <c r="AP763" s="16"/>
      <c r="AQ763" s="125"/>
      <c r="AZ763" s="125"/>
      <c r="BA763" s="142"/>
      <c r="BB763" s="125"/>
      <c r="BC763" s="16"/>
      <c r="BD763" s="125"/>
      <c r="BE763" s="125"/>
      <c r="BF763" s="16"/>
      <c r="BG763" s="125"/>
      <c r="BQ763" s="125"/>
      <c r="BR763" s="16"/>
      <c r="BS763" s="123"/>
      <c r="BT763" s="19"/>
      <c r="BU763" s="139"/>
      <c r="BV763" s="139"/>
      <c r="BW763" s="123"/>
      <c r="BX763" s="123"/>
      <c r="BY763" s="123"/>
      <c r="BZ763" s="123"/>
      <c r="CA763" s="123"/>
      <c r="CB763" s="123"/>
      <c r="CC763" s="6"/>
      <c r="CD763" s="123"/>
      <c r="CE763" s="6"/>
      <c r="CF763" s="123"/>
      <c r="CG763" s="6"/>
      <c r="CH763" s="6"/>
      <c r="CI763" s="6"/>
      <c r="CJ763" s="6"/>
      <c r="CK763" s="123"/>
      <c r="CL763" s="6"/>
      <c r="CM763" s="6"/>
      <c r="CN763" s="6"/>
      <c r="CO763" s="138"/>
      <c r="CP763" s="138"/>
      <c r="CQ763" s="123"/>
      <c r="CR763" s="6"/>
      <c r="CS763" s="6"/>
      <c r="CT763" s="139"/>
      <c r="CU763" s="139"/>
      <c r="CV763" s="76"/>
      <c r="CW763" s="123"/>
      <c r="CX763" s="6"/>
      <c r="DI763" s="125"/>
      <c r="DJ763" s="16"/>
      <c r="DM763" s="16"/>
      <c r="DN763" s="16"/>
      <c r="DO763" s="125"/>
      <c r="DP763" s="16"/>
      <c r="DQ763" s="125"/>
      <c r="DZ763" s="125"/>
      <c r="EA763" s="142"/>
      <c r="EB763" s="125"/>
      <c r="EC763" s="16"/>
      <c r="ED763" s="125"/>
      <c r="EE763" s="125"/>
      <c r="EF763" s="16"/>
      <c r="EG763" s="125"/>
      <c r="EQ763" s="125"/>
      <c r="ER763" s="16"/>
      <c r="ES763" s="123"/>
      <c r="ET763" s="19"/>
      <c r="EU763" s="139"/>
      <c r="EV763" s="139"/>
      <c r="EW763" s="123"/>
      <c r="EX763" s="123"/>
      <c r="EY763" s="123"/>
      <c r="EZ763" s="123"/>
      <c r="FA763" s="123"/>
      <c r="FB763" s="123"/>
      <c r="FC763" s="6"/>
      <c r="FD763" s="123"/>
      <c r="FE763" s="6"/>
      <c r="FF763" s="123"/>
      <c r="FG763" s="6"/>
      <c r="FH763" s="6"/>
      <c r="FI763" s="6"/>
      <c r="FJ763" s="6"/>
      <c r="FK763" s="123"/>
      <c r="FL763" s="6"/>
      <c r="FM763" s="6"/>
      <c r="FN763" s="6"/>
      <c r="FO763" s="138"/>
      <c r="FP763" s="138"/>
      <c r="FQ763" s="123"/>
      <c r="FR763" s="6"/>
      <c r="FS763" s="6"/>
      <c r="FT763" s="139"/>
      <c r="FU763" s="139"/>
      <c r="FV763" s="76"/>
      <c r="FW763" s="123"/>
      <c r="FX763" s="6"/>
    </row>
    <row r="764" spans="35:180">
      <c r="AI764" s="125"/>
      <c r="AJ764" s="16"/>
      <c r="AM764" s="16"/>
      <c r="AN764" s="16"/>
      <c r="AO764" s="125"/>
      <c r="AP764" s="16"/>
      <c r="AQ764" s="125"/>
      <c r="AZ764" s="125"/>
      <c r="BA764" s="142"/>
      <c r="BB764" s="125"/>
      <c r="BC764" s="16"/>
      <c r="BD764" s="125"/>
      <c r="BE764" s="125"/>
      <c r="BF764" s="16"/>
      <c r="BG764" s="125"/>
      <c r="BQ764" s="125"/>
      <c r="BR764" s="16"/>
      <c r="BS764" s="123"/>
      <c r="BT764" s="19"/>
      <c r="BU764" s="139"/>
      <c r="BV764" s="139"/>
      <c r="BW764" s="123"/>
      <c r="BX764" s="123"/>
      <c r="BY764" s="123"/>
      <c r="BZ764" s="123"/>
      <c r="CA764" s="123"/>
      <c r="CB764" s="123"/>
      <c r="CC764" s="6"/>
      <c r="CD764" s="123"/>
      <c r="CE764" s="6"/>
      <c r="CF764" s="123"/>
      <c r="CG764" s="6"/>
      <c r="CH764" s="6"/>
      <c r="CI764" s="6"/>
      <c r="CJ764" s="6"/>
      <c r="CK764" s="123"/>
      <c r="CL764" s="6"/>
      <c r="CM764" s="6"/>
      <c r="CN764" s="6"/>
      <c r="CO764" s="138"/>
      <c r="CP764" s="138"/>
      <c r="CQ764" s="123"/>
      <c r="CR764" s="6"/>
      <c r="CS764" s="6"/>
      <c r="CT764" s="139"/>
      <c r="CU764" s="139"/>
      <c r="CV764" s="76"/>
      <c r="CW764" s="123"/>
      <c r="CX764" s="6"/>
      <c r="DI764" s="125"/>
      <c r="DJ764" s="16"/>
      <c r="DM764" s="16"/>
      <c r="DN764" s="16"/>
      <c r="DO764" s="125"/>
      <c r="DP764" s="16"/>
      <c r="DQ764" s="125"/>
      <c r="DZ764" s="125"/>
      <c r="EA764" s="142"/>
      <c r="EB764" s="125"/>
      <c r="EC764" s="16"/>
      <c r="ED764" s="125"/>
      <c r="EE764" s="125"/>
      <c r="EF764" s="16"/>
      <c r="EG764" s="125"/>
      <c r="EQ764" s="125"/>
      <c r="ER764" s="16"/>
      <c r="ES764" s="123"/>
      <c r="ET764" s="19"/>
      <c r="EU764" s="139"/>
      <c r="EV764" s="139"/>
      <c r="EW764" s="123"/>
      <c r="EX764" s="123"/>
      <c r="EY764" s="123"/>
      <c r="EZ764" s="123"/>
      <c r="FA764" s="123"/>
      <c r="FB764" s="123"/>
      <c r="FC764" s="6"/>
      <c r="FD764" s="123"/>
      <c r="FE764" s="6"/>
      <c r="FF764" s="123"/>
      <c r="FG764" s="6"/>
      <c r="FH764" s="6"/>
      <c r="FI764" s="6"/>
      <c r="FJ764" s="6"/>
      <c r="FK764" s="123"/>
      <c r="FL764" s="6"/>
      <c r="FM764" s="6"/>
      <c r="FN764" s="6"/>
      <c r="FO764" s="138"/>
      <c r="FP764" s="138"/>
      <c r="FQ764" s="123"/>
      <c r="FR764" s="6"/>
      <c r="FS764" s="6"/>
      <c r="FT764" s="139"/>
      <c r="FU764" s="139"/>
      <c r="FV764" s="76"/>
      <c r="FW764" s="123"/>
      <c r="FX764" s="6"/>
    </row>
    <row r="765" spans="35:180">
      <c r="AI765" s="125"/>
      <c r="AJ765" s="16"/>
      <c r="AM765" s="16"/>
      <c r="AN765" s="16"/>
      <c r="AO765" s="125"/>
      <c r="AP765" s="16"/>
      <c r="AQ765" s="125"/>
      <c r="AZ765" s="125"/>
      <c r="BA765" s="142"/>
      <c r="BB765" s="125"/>
      <c r="BC765" s="16"/>
      <c r="BD765" s="125"/>
      <c r="BE765" s="125"/>
      <c r="BF765" s="16"/>
      <c r="BG765" s="125"/>
      <c r="BQ765" s="125"/>
      <c r="BR765" s="16"/>
      <c r="BS765" s="123"/>
      <c r="BT765" s="19"/>
      <c r="BU765" s="139"/>
      <c r="BV765" s="139"/>
      <c r="BW765" s="123"/>
      <c r="BX765" s="123"/>
      <c r="BY765" s="123"/>
      <c r="BZ765" s="123"/>
      <c r="CA765" s="123"/>
      <c r="CB765" s="123"/>
      <c r="CC765" s="6"/>
      <c r="CD765" s="123"/>
      <c r="CE765" s="6"/>
      <c r="CF765" s="123"/>
      <c r="CG765" s="6"/>
      <c r="CH765" s="6"/>
      <c r="CI765" s="6"/>
      <c r="CJ765" s="6"/>
      <c r="CK765" s="123"/>
      <c r="CL765" s="6"/>
      <c r="CM765" s="6"/>
      <c r="CN765" s="6"/>
      <c r="CO765" s="138"/>
      <c r="CP765" s="138"/>
      <c r="CQ765" s="123"/>
      <c r="CR765" s="6"/>
      <c r="CS765" s="6"/>
      <c r="CT765" s="139"/>
      <c r="CU765" s="139"/>
      <c r="CV765" s="76"/>
      <c r="CW765" s="123"/>
      <c r="CX765" s="6"/>
      <c r="DI765" s="125"/>
      <c r="DJ765" s="16"/>
      <c r="DM765" s="16"/>
      <c r="DN765" s="16"/>
      <c r="DO765" s="125"/>
      <c r="DP765" s="16"/>
      <c r="DQ765" s="125"/>
      <c r="DZ765" s="125"/>
      <c r="EA765" s="142"/>
      <c r="EB765" s="125"/>
      <c r="EC765" s="16"/>
      <c r="ED765" s="125"/>
      <c r="EE765" s="125"/>
      <c r="EF765" s="16"/>
      <c r="EG765" s="125"/>
      <c r="EQ765" s="125"/>
      <c r="ER765" s="16"/>
      <c r="ES765" s="123"/>
      <c r="ET765" s="19"/>
      <c r="EU765" s="139"/>
      <c r="EV765" s="139"/>
      <c r="EW765" s="123"/>
      <c r="EX765" s="123"/>
      <c r="EY765" s="123"/>
      <c r="EZ765" s="123"/>
      <c r="FA765" s="123"/>
      <c r="FB765" s="123"/>
      <c r="FC765" s="6"/>
      <c r="FD765" s="123"/>
      <c r="FE765" s="6"/>
      <c r="FF765" s="123"/>
      <c r="FG765" s="6"/>
      <c r="FH765" s="6"/>
      <c r="FI765" s="6"/>
      <c r="FJ765" s="6"/>
      <c r="FK765" s="123"/>
      <c r="FL765" s="6"/>
      <c r="FM765" s="6"/>
      <c r="FN765" s="6"/>
      <c r="FO765" s="138"/>
      <c r="FP765" s="138"/>
      <c r="FQ765" s="123"/>
      <c r="FR765" s="6"/>
      <c r="FS765" s="6"/>
      <c r="FT765" s="139"/>
      <c r="FU765" s="139"/>
      <c r="FV765" s="76"/>
      <c r="FW765" s="123"/>
      <c r="FX765" s="6"/>
    </row>
    <row r="766" spans="35:180">
      <c r="AI766" s="125"/>
      <c r="AJ766" s="16"/>
      <c r="AM766" s="16"/>
      <c r="AN766" s="16"/>
      <c r="AO766" s="125"/>
      <c r="AP766" s="16"/>
      <c r="AQ766" s="125"/>
      <c r="AZ766" s="125"/>
      <c r="BA766" s="142"/>
      <c r="BB766" s="125"/>
      <c r="BC766" s="16"/>
      <c r="BD766" s="125"/>
      <c r="BE766" s="125"/>
      <c r="BF766" s="16"/>
      <c r="BG766" s="125"/>
      <c r="BQ766" s="125"/>
      <c r="BR766" s="16"/>
      <c r="BS766" s="123"/>
      <c r="BT766" s="19"/>
      <c r="BU766" s="139"/>
      <c r="BV766" s="139"/>
      <c r="BW766" s="123"/>
      <c r="BX766" s="123"/>
      <c r="BY766" s="123"/>
      <c r="BZ766" s="123"/>
      <c r="CA766" s="123"/>
      <c r="CB766" s="123"/>
      <c r="CC766" s="6"/>
      <c r="CD766" s="123"/>
      <c r="CE766" s="6"/>
      <c r="CF766" s="123"/>
      <c r="CG766" s="6"/>
      <c r="CH766" s="6"/>
      <c r="CI766" s="6"/>
      <c r="CJ766" s="6"/>
      <c r="CK766" s="123"/>
      <c r="CL766" s="6"/>
      <c r="CM766" s="6"/>
      <c r="CN766" s="6"/>
      <c r="CO766" s="138"/>
      <c r="CP766" s="138"/>
      <c r="CQ766" s="123"/>
      <c r="CR766" s="6"/>
      <c r="CS766" s="6"/>
      <c r="CT766" s="139"/>
      <c r="CU766" s="139"/>
      <c r="CV766" s="76"/>
      <c r="CW766" s="123"/>
      <c r="CX766" s="6"/>
      <c r="DI766" s="125"/>
      <c r="DJ766" s="16"/>
      <c r="DM766" s="16"/>
      <c r="DN766" s="16"/>
      <c r="DO766" s="125"/>
      <c r="DP766" s="16"/>
      <c r="DQ766" s="125"/>
      <c r="DZ766" s="125"/>
      <c r="EA766" s="142"/>
      <c r="EB766" s="125"/>
      <c r="EC766" s="16"/>
      <c r="ED766" s="125"/>
      <c r="EE766" s="125"/>
      <c r="EF766" s="16"/>
      <c r="EG766" s="125"/>
      <c r="EQ766" s="125"/>
      <c r="ER766" s="16"/>
      <c r="ES766" s="123"/>
      <c r="ET766" s="19"/>
      <c r="EU766" s="139"/>
      <c r="EV766" s="139"/>
      <c r="EW766" s="123"/>
      <c r="EX766" s="123"/>
      <c r="EY766" s="123"/>
      <c r="EZ766" s="123"/>
      <c r="FA766" s="123"/>
      <c r="FB766" s="123"/>
      <c r="FC766" s="6"/>
      <c r="FD766" s="123"/>
      <c r="FE766" s="6"/>
      <c r="FF766" s="123"/>
      <c r="FG766" s="6"/>
      <c r="FH766" s="6"/>
      <c r="FI766" s="6"/>
      <c r="FJ766" s="6"/>
      <c r="FK766" s="123"/>
      <c r="FL766" s="6"/>
      <c r="FM766" s="6"/>
      <c r="FN766" s="6"/>
      <c r="FO766" s="138"/>
      <c r="FP766" s="138"/>
      <c r="FQ766" s="123"/>
      <c r="FR766" s="6"/>
      <c r="FS766" s="6"/>
      <c r="FT766" s="139"/>
      <c r="FU766" s="139"/>
      <c r="FV766" s="76"/>
      <c r="FW766" s="123"/>
      <c r="FX766" s="6"/>
    </row>
    <row r="767" spans="35:180">
      <c r="AI767" s="125"/>
      <c r="AJ767" s="16"/>
      <c r="AM767" s="16"/>
      <c r="AN767" s="16"/>
      <c r="AO767" s="125"/>
      <c r="AP767" s="16"/>
      <c r="AQ767" s="125"/>
      <c r="AZ767" s="125"/>
      <c r="BA767" s="142"/>
      <c r="BB767" s="125"/>
      <c r="BC767" s="16"/>
      <c r="BD767" s="125"/>
      <c r="BE767" s="125"/>
      <c r="BF767" s="16"/>
      <c r="BG767" s="125"/>
      <c r="BQ767" s="125"/>
      <c r="BR767" s="16"/>
      <c r="BS767" s="123"/>
      <c r="BT767" s="19"/>
      <c r="BU767" s="139"/>
      <c r="BV767" s="139"/>
      <c r="BW767" s="123"/>
      <c r="BX767" s="123"/>
      <c r="BY767" s="123"/>
      <c r="BZ767" s="123"/>
      <c r="CA767" s="123"/>
      <c r="CB767" s="123"/>
      <c r="CC767" s="6"/>
      <c r="CD767" s="123"/>
      <c r="CE767" s="6"/>
      <c r="CF767" s="123"/>
      <c r="CG767" s="6"/>
      <c r="CH767" s="6"/>
      <c r="CI767" s="6"/>
      <c r="CJ767" s="6"/>
      <c r="CK767" s="123"/>
      <c r="CL767" s="6"/>
      <c r="CM767" s="6"/>
      <c r="CN767" s="6"/>
      <c r="CO767" s="138"/>
      <c r="CP767" s="138"/>
      <c r="CQ767" s="123"/>
      <c r="CR767" s="6"/>
      <c r="CS767" s="6"/>
      <c r="CT767" s="139"/>
      <c r="CU767" s="139"/>
      <c r="CV767" s="76"/>
      <c r="CW767" s="123"/>
      <c r="CX767" s="6"/>
      <c r="DI767" s="125"/>
      <c r="DJ767" s="16"/>
      <c r="DM767" s="16"/>
      <c r="DN767" s="16"/>
      <c r="DO767" s="125"/>
      <c r="DP767" s="16"/>
      <c r="DQ767" s="125"/>
      <c r="DZ767" s="125"/>
      <c r="EA767" s="142"/>
      <c r="EB767" s="125"/>
      <c r="EC767" s="16"/>
      <c r="ED767" s="125"/>
      <c r="EE767" s="125"/>
      <c r="EF767" s="16"/>
      <c r="EG767" s="125"/>
      <c r="EQ767" s="125"/>
      <c r="ER767" s="16"/>
      <c r="ES767" s="123"/>
      <c r="ET767" s="19"/>
      <c r="EU767" s="139"/>
      <c r="EV767" s="139"/>
      <c r="EW767" s="123"/>
      <c r="EX767" s="123"/>
      <c r="EY767" s="123"/>
      <c r="EZ767" s="123"/>
      <c r="FA767" s="123"/>
      <c r="FB767" s="123"/>
      <c r="FC767" s="6"/>
      <c r="FD767" s="123"/>
      <c r="FE767" s="6"/>
      <c r="FF767" s="123"/>
      <c r="FG767" s="6"/>
      <c r="FH767" s="6"/>
      <c r="FI767" s="6"/>
      <c r="FJ767" s="6"/>
      <c r="FK767" s="123"/>
      <c r="FL767" s="6"/>
      <c r="FM767" s="6"/>
      <c r="FN767" s="6"/>
      <c r="FO767" s="138"/>
      <c r="FP767" s="138"/>
      <c r="FQ767" s="123"/>
      <c r="FR767" s="6"/>
      <c r="FS767" s="6"/>
      <c r="FT767" s="139"/>
      <c r="FU767" s="139"/>
      <c r="FV767" s="76"/>
      <c r="FW767" s="123"/>
      <c r="FX767" s="6"/>
    </row>
    <row r="768" spans="35:180">
      <c r="AI768" s="125"/>
      <c r="AJ768" s="16"/>
      <c r="AM768" s="16"/>
      <c r="AN768" s="16"/>
      <c r="AO768" s="125"/>
      <c r="AP768" s="16"/>
      <c r="AQ768" s="125"/>
      <c r="AZ768" s="125"/>
      <c r="BA768" s="142"/>
      <c r="BB768" s="125"/>
      <c r="BC768" s="16"/>
      <c r="BD768" s="125"/>
      <c r="BE768" s="125"/>
      <c r="BF768" s="16"/>
      <c r="BG768" s="125"/>
      <c r="BQ768" s="125"/>
      <c r="BR768" s="16"/>
      <c r="BS768" s="123"/>
      <c r="BT768" s="19"/>
      <c r="BU768" s="139"/>
      <c r="BV768" s="139"/>
      <c r="BW768" s="123"/>
      <c r="BX768" s="123"/>
      <c r="BY768" s="123"/>
      <c r="BZ768" s="123"/>
      <c r="CA768" s="123"/>
      <c r="CB768" s="123"/>
      <c r="CC768" s="6"/>
      <c r="CD768" s="123"/>
      <c r="CE768" s="6"/>
      <c r="CF768" s="123"/>
      <c r="CG768" s="6"/>
      <c r="CH768" s="6"/>
      <c r="CI768" s="6"/>
      <c r="CJ768" s="6"/>
      <c r="CK768" s="123"/>
      <c r="CL768" s="6"/>
      <c r="CM768" s="6"/>
      <c r="CN768" s="6"/>
      <c r="CO768" s="138"/>
      <c r="CP768" s="138"/>
      <c r="CQ768" s="123"/>
      <c r="CR768" s="6"/>
      <c r="CS768" s="6"/>
      <c r="CT768" s="139"/>
      <c r="CU768" s="139"/>
      <c r="CV768" s="76"/>
      <c r="CW768" s="123"/>
      <c r="CX768" s="6"/>
      <c r="DI768" s="125"/>
      <c r="DJ768" s="16"/>
      <c r="DM768" s="16"/>
      <c r="DN768" s="16"/>
      <c r="DO768" s="125"/>
      <c r="DP768" s="16"/>
      <c r="DQ768" s="125"/>
      <c r="DZ768" s="125"/>
      <c r="EA768" s="142"/>
      <c r="EB768" s="125"/>
      <c r="EC768" s="16"/>
      <c r="ED768" s="125"/>
      <c r="EE768" s="125"/>
      <c r="EF768" s="16"/>
      <c r="EG768" s="125"/>
      <c r="EQ768" s="125"/>
      <c r="ER768" s="16"/>
      <c r="ES768" s="123"/>
      <c r="ET768" s="19"/>
      <c r="EU768" s="139"/>
      <c r="EV768" s="139"/>
      <c r="EW768" s="123"/>
      <c r="EX768" s="123"/>
      <c r="EY768" s="123"/>
      <c r="EZ768" s="123"/>
      <c r="FA768" s="123"/>
      <c r="FB768" s="123"/>
      <c r="FC768" s="6"/>
      <c r="FD768" s="123"/>
      <c r="FE768" s="6"/>
      <c r="FF768" s="123"/>
      <c r="FG768" s="6"/>
      <c r="FH768" s="6"/>
      <c r="FI768" s="6"/>
      <c r="FJ768" s="6"/>
      <c r="FK768" s="123"/>
      <c r="FL768" s="6"/>
      <c r="FM768" s="6"/>
      <c r="FN768" s="6"/>
      <c r="FO768" s="138"/>
      <c r="FP768" s="138"/>
      <c r="FQ768" s="123"/>
      <c r="FR768" s="6"/>
      <c r="FS768" s="6"/>
      <c r="FT768" s="139"/>
      <c r="FU768" s="139"/>
      <c r="FV768" s="76"/>
      <c r="FW768" s="123"/>
      <c r="FX768" s="6"/>
    </row>
    <row r="769" spans="35:180">
      <c r="AI769" s="125"/>
      <c r="AJ769" s="16"/>
      <c r="AM769" s="16"/>
      <c r="AN769" s="16"/>
      <c r="AO769" s="125"/>
      <c r="AP769" s="16"/>
      <c r="AQ769" s="125"/>
      <c r="AZ769" s="125"/>
      <c r="BA769" s="142"/>
      <c r="BB769" s="125"/>
      <c r="BC769" s="16"/>
      <c r="BD769" s="125"/>
      <c r="BE769" s="125"/>
      <c r="BF769" s="16"/>
      <c r="BG769" s="125"/>
      <c r="BQ769" s="125"/>
      <c r="BR769" s="16"/>
      <c r="BS769" s="123"/>
      <c r="BT769" s="19"/>
      <c r="BU769" s="139"/>
      <c r="BV769" s="139"/>
      <c r="BW769" s="123"/>
      <c r="BX769" s="123"/>
      <c r="BY769" s="123"/>
      <c r="BZ769" s="123"/>
      <c r="CA769" s="123"/>
      <c r="CB769" s="123"/>
      <c r="CC769" s="6"/>
      <c r="CD769" s="123"/>
      <c r="CE769" s="6"/>
      <c r="CF769" s="123"/>
      <c r="CG769" s="6"/>
      <c r="CH769" s="6"/>
      <c r="CI769" s="6"/>
      <c r="CJ769" s="6"/>
      <c r="CK769" s="123"/>
      <c r="CL769" s="6"/>
      <c r="CM769" s="6"/>
      <c r="CN769" s="6"/>
      <c r="CO769" s="138"/>
      <c r="CP769" s="138"/>
      <c r="CQ769" s="123"/>
      <c r="CR769" s="6"/>
      <c r="CS769" s="6"/>
      <c r="CT769" s="139"/>
      <c r="CU769" s="139"/>
      <c r="CV769" s="76"/>
      <c r="CW769" s="123"/>
      <c r="CX769" s="6"/>
      <c r="DI769" s="125"/>
      <c r="DJ769" s="16"/>
      <c r="DM769" s="16"/>
      <c r="DN769" s="16"/>
      <c r="DO769" s="125"/>
      <c r="DP769" s="16"/>
      <c r="DQ769" s="125"/>
      <c r="DZ769" s="125"/>
      <c r="EA769" s="142"/>
      <c r="EB769" s="125"/>
      <c r="EC769" s="16"/>
      <c r="ED769" s="125"/>
      <c r="EE769" s="125"/>
      <c r="EF769" s="16"/>
      <c r="EG769" s="125"/>
      <c r="EQ769" s="125"/>
      <c r="ER769" s="16"/>
      <c r="ES769" s="123"/>
      <c r="ET769" s="19"/>
      <c r="EU769" s="139"/>
      <c r="EV769" s="139"/>
      <c r="EW769" s="123"/>
      <c r="EX769" s="123"/>
      <c r="EY769" s="123"/>
      <c r="EZ769" s="123"/>
      <c r="FA769" s="123"/>
      <c r="FB769" s="123"/>
      <c r="FC769" s="6"/>
      <c r="FD769" s="123"/>
      <c r="FE769" s="6"/>
      <c r="FF769" s="123"/>
      <c r="FG769" s="6"/>
      <c r="FH769" s="6"/>
      <c r="FI769" s="6"/>
      <c r="FJ769" s="6"/>
      <c r="FK769" s="123"/>
      <c r="FL769" s="6"/>
      <c r="FM769" s="6"/>
      <c r="FN769" s="6"/>
      <c r="FO769" s="138"/>
      <c r="FP769" s="138"/>
      <c r="FQ769" s="123"/>
      <c r="FR769" s="6"/>
      <c r="FS769" s="6"/>
      <c r="FT769" s="139"/>
      <c r="FU769" s="139"/>
      <c r="FV769" s="76"/>
      <c r="FW769" s="123"/>
      <c r="FX769" s="6"/>
    </row>
    <row r="770" spans="35:180">
      <c r="AI770" s="125"/>
      <c r="AJ770" s="16"/>
      <c r="AM770" s="16"/>
      <c r="AN770" s="16"/>
      <c r="AO770" s="125"/>
      <c r="AP770" s="16"/>
      <c r="AQ770" s="125"/>
      <c r="AZ770" s="125"/>
      <c r="BA770" s="142"/>
      <c r="BB770" s="125"/>
      <c r="BC770" s="16"/>
      <c r="BD770" s="125"/>
      <c r="BE770" s="125"/>
      <c r="BF770" s="16"/>
      <c r="BG770" s="125"/>
      <c r="BQ770" s="125"/>
      <c r="BR770" s="16"/>
      <c r="BS770" s="123"/>
      <c r="BT770" s="19"/>
      <c r="BU770" s="139"/>
      <c r="BV770" s="139"/>
      <c r="BW770" s="123"/>
      <c r="BX770" s="123"/>
      <c r="BY770" s="123"/>
      <c r="BZ770" s="123"/>
      <c r="CA770" s="123"/>
      <c r="CB770" s="123"/>
      <c r="CC770" s="6"/>
      <c r="CD770" s="123"/>
      <c r="CE770" s="6"/>
      <c r="CF770" s="123"/>
      <c r="CG770" s="6"/>
      <c r="CH770" s="6"/>
      <c r="CI770" s="6"/>
      <c r="CJ770" s="6"/>
      <c r="CK770" s="123"/>
      <c r="CL770" s="6"/>
      <c r="CM770" s="6"/>
      <c r="CN770" s="6"/>
      <c r="CO770" s="138"/>
      <c r="CP770" s="138"/>
      <c r="CQ770" s="123"/>
      <c r="CR770" s="6"/>
      <c r="CS770" s="6"/>
      <c r="CT770" s="139"/>
      <c r="CU770" s="139"/>
      <c r="CV770" s="76"/>
      <c r="CW770" s="123"/>
      <c r="CX770" s="6"/>
      <c r="DI770" s="125"/>
      <c r="DJ770" s="16"/>
      <c r="DM770" s="16"/>
      <c r="DN770" s="16"/>
      <c r="DO770" s="125"/>
      <c r="DP770" s="16"/>
      <c r="DQ770" s="125"/>
      <c r="DZ770" s="125"/>
      <c r="EA770" s="142"/>
      <c r="EB770" s="125"/>
      <c r="EC770" s="16"/>
      <c r="ED770" s="125"/>
      <c r="EE770" s="125"/>
      <c r="EF770" s="16"/>
      <c r="EG770" s="125"/>
      <c r="EQ770" s="125"/>
      <c r="ER770" s="16"/>
      <c r="ES770" s="123"/>
      <c r="ET770" s="19"/>
      <c r="EU770" s="139"/>
      <c r="EV770" s="139"/>
      <c r="EW770" s="123"/>
      <c r="EX770" s="123"/>
      <c r="EY770" s="123"/>
      <c r="EZ770" s="123"/>
      <c r="FA770" s="123"/>
      <c r="FB770" s="123"/>
      <c r="FC770" s="6"/>
      <c r="FD770" s="123"/>
      <c r="FE770" s="6"/>
      <c r="FF770" s="123"/>
      <c r="FG770" s="6"/>
      <c r="FH770" s="6"/>
      <c r="FI770" s="6"/>
      <c r="FJ770" s="6"/>
      <c r="FK770" s="123"/>
      <c r="FL770" s="6"/>
      <c r="FM770" s="6"/>
      <c r="FN770" s="6"/>
      <c r="FO770" s="138"/>
      <c r="FP770" s="138"/>
      <c r="FQ770" s="123"/>
      <c r="FR770" s="6"/>
      <c r="FS770" s="6"/>
      <c r="FT770" s="139"/>
      <c r="FU770" s="139"/>
      <c r="FV770" s="76"/>
      <c r="FW770" s="123"/>
      <c r="FX770" s="6"/>
    </row>
    <row r="771" spans="35:180">
      <c r="AI771" s="125"/>
      <c r="AJ771" s="16"/>
      <c r="AM771" s="16"/>
      <c r="AN771" s="16"/>
      <c r="AO771" s="125"/>
      <c r="AP771" s="16"/>
      <c r="AQ771" s="125"/>
      <c r="AZ771" s="125"/>
      <c r="BA771" s="142"/>
      <c r="BB771" s="125"/>
      <c r="BC771" s="16"/>
      <c r="BD771" s="125"/>
      <c r="BE771" s="125"/>
      <c r="BF771" s="16"/>
      <c r="BG771" s="125"/>
      <c r="BQ771" s="125"/>
      <c r="BR771" s="16"/>
      <c r="BS771" s="123"/>
      <c r="BT771" s="19"/>
      <c r="BU771" s="139"/>
      <c r="BV771" s="139"/>
      <c r="BW771" s="123"/>
      <c r="BX771" s="123"/>
      <c r="BY771" s="123"/>
      <c r="BZ771" s="123"/>
      <c r="CA771" s="123"/>
      <c r="CB771" s="123"/>
      <c r="CC771" s="6"/>
      <c r="CD771" s="123"/>
      <c r="CE771" s="6"/>
      <c r="CF771" s="123"/>
      <c r="CG771" s="6"/>
      <c r="CH771" s="6"/>
      <c r="CI771" s="6"/>
      <c r="CJ771" s="6"/>
      <c r="CK771" s="123"/>
      <c r="CL771" s="6"/>
      <c r="CM771" s="6"/>
      <c r="CN771" s="6"/>
      <c r="CO771" s="138"/>
      <c r="CP771" s="138"/>
      <c r="CQ771" s="123"/>
      <c r="CR771" s="6"/>
      <c r="CS771" s="6"/>
      <c r="CT771" s="139"/>
      <c r="CU771" s="139"/>
      <c r="CV771" s="76"/>
      <c r="CW771" s="123"/>
      <c r="CX771" s="6"/>
      <c r="DI771" s="125"/>
      <c r="DJ771" s="16"/>
      <c r="DM771" s="16"/>
      <c r="DN771" s="16"/>
      <c r="DO771" s="125"/>
      <c r="DP771" s="16"/>
      <c r="DQ771" s="125"/>
      <c r="DZ771" s="125"/>
      <c r="EA771" s="142"/>
      <c r="EB771" s="125"/>
      <c r="EC771" s="16"/>
      <c r="ED771" s="125"/>
      <c r="EE771" s="125"/>
      <c r="EF771" s="16"/>
      <c r="EG771" s="125"/>
      <c r="EQ771" s="125"/>
      <c r="ER771" s="16"/>
      <c r="ES771" s="123"/>
      <c r="ET771" s="19"/>
      <c r="EU771" s="139"/>
      <c r="EV771" s="139"/>
      <c r="EW771" s="123"/>
      <c r="EX771" s="123"/>
      <c r="EY771" s="123"/>
      <c r="EZ771" s="123"/>
      <c r="FA771" s="123"/>
      <c r="FB771" s="123"/>
      <c r="FC771" s="6"/>
      <c r="FD771" s="123"/>
      <c r="FE771" s="6"/>
      <c r="FF771" s="123"/>
      <c r="FG771" s="6"/>
      <c r="FH771" s="6"/>
      <c r="FI771" s="6"/>
      <c r="FJ771" s="6"/>
      <c r="FK771" s="123"/>
      <c r="FL771" s="6"/>
      <c r="FM771" s="6"/>
      <c r="FN771" s="6"/>
      <c r="FO771" s="138"/>
      <c r="FP771" s="138"/>
      <c r="FQ771" s="123"/>
      <c r="FR771" s="6"/>
      <c r="FS771" s="6"/>
      <c r="FT771" s="139"/>
      <c r="FU771" s="139"/>
      <c r="FV771" s="76"/>
      <c r="FW771" s="123"/>
      <c r="FX771" s="6"/>
    </row>
    <row r="772" spans="35:180">
      <c r="AI772" s="125"/>
      <c r="AJ772" s="16"/>
      <c r="AM772" s="16"/>
      <c r="AN772" s="16"/>
      <c r="AO772" s="125"/>
      <c r="AP772" s="16"/>
      <c r="AQ772" s="125"/>
      <c r="AZ772" s="125"/>
      <c r="BA772" s="142"/>
      <c r="BB772" s="125"/>
      <c r="BC772" s="16"/>
      <c r="BD772" s="125"/>
      <c r="BE772" s="125"/>
      <c r="BF772" s="16"/>
      <c r="BG772" s="125"/>
      <c r="BQ772" s="125"/>
      <c r="BR772" s="16"/>
      <c r="BS772" s="123"/>
      <c r="BT772" s="19"/>
      <c r="BU772" s="139"/>
      <c r="BV772" s="139"/>
      <c r="BW772" s="123"/>
      <c r="BX772" s="123"/>
      <c r="BY772" s="123"/>
      <c r="BZ772" s="123"/>
      <c r="CA772" s="123"/>
      <c r="CB772" s="123"/>
      <c r="CC772" s="6"/>
      <c r="CD772" s="123"/>
      <c r="CE772" s="6"/>
      <c r="CF772" s="123"/>
      <c r="CG772" s="6"/>
      <c r="CH772" s="6"/>
      <c r="CI772" s="6"/>
      <c r="CJ772" s="6"/>
      <c r="CK772" s="123"/>
      <c r="CL772" s="6"/>
      <c r="CM772" s="6"/>
      <c r="CN772" s="6"/>
      <c r="CO772" s="138"/>
      <c r="CP772" s="138"/>
      <c r="CQ772" s="123"/>
      <c r="CR772" s="6"/>
      <c r="CS772" s="6"/>
      <c r="CT772" s="139"/>
      <c r="CU772" s="139"/>
      <c r="CV772" s="76"/>
      <c r="CW772" s="123"/>
      <c r="CX772" s="6"/>
      <c r="DI772" s="125"/>
      <c r="DJ772" s="16"/>
      <c r="DM772" s="16"/>
      <c r="DN772" s="16"/>
      <c r="DO772" s="125"/>
      <c r="DP772" s="16"/>
      <c r="DQ772" s="125"/>
      <c r="DZ772" s="125"/>
      <c r="EA772" s="142"/>
      <c r="EB772" s="125"/>
      <c r="EC772" s="16"/>
      <c r="ED772" s="125"/>
      <c r="EE772" s="125"/>
      <c r="EF772" s="16"/>
      <c r="EG772" s="125"/>
      <c r="EQ772" s="125"/>
      <c r="ER772" s="16"/>
      <c r="ES772" s="123"/>
      <c r="ET772" s="19"/>
      <c r="EU772" s="139"/>
      <c r="EV772" s="139"/>
      <c r="EW772" s="123"/>
      <c r="EX772" s="123"/>
      <c r="EY772" s="123"/>
      <c r="EZ772" s="123"/>
      <c r="FA772" s="123"/>
      <c r="FB772" s="123"/>
      <c r="FC772" s="6"/>
      <c r="FD772" s="123"/>
      <c r="FE772" s="6"/>
      <c r="FF772" s="123"/>
      <c r="FG772" s="6"/>
      <c r="FH772" s="6"/>
      <c r="FI772" s="6"/>
      <c r="FJ772" s="6"/>
      <c r="FK772" s="123"/>
      <c r="FL772" s="6"/>
      <c r="FM772" s="6"/>
      <c r="FN772" s="6"/>
      <c r="FO772" s="138"/>
      <c r="FP772" s="138"/>
      <c r="FQ772" s="123"/>
      <c r="FR772" s="6"/>
      <c r="FS772" s="6"/>
      <c r="FT772" s="139"/>
      <c r="FU772" s="139"/>
      <c r="FV772" s="76"/>
      <c r="FW772" s="123"/>
      <c r="FX772" s="6"/>
    </row>
    <row r="773" spans="35:180">
      <c r="AI773" s="125"/>
      <c r="AJ773" s="16"/>
      <c r="AM773" s="16"/>
      <c r="AN773" s="16"/>
      <c r="AO773" s="125"/>
      <c r="AP773" s="16"/>
      <c r="AQ773" s="125"/>
      <c r="AZ773" s="125"/>
      <c r="BA773" s="142"/>
      <c r="BB773" s="125"/>
      <c r="BC773" s="16"/>
      <c r="BD773" s="125"/>
      <c r="BE773" s="125"/>
      <c r="BF773" s="16"/>
      <c r="BG773" s="125"/>
      <c r="BQ773" s="125"/>
      <c r="BR773" s="16"/>
      <c r="BS773" s="123"/>
      <c r="BT773" s="19"/>
      <c r="BU773" s="139"/>
      <c r="BV773" s="139"/>
      <c r="BW773" s="123"/>
      <c r="BX773" s="123"/>
      <c r="BY773" s="123"/>
      <c r="BZ773" s="123"/>
      <c r="CA773" s="123"/>
      <c r="CB773" s="123"/>
      <c r="CC773" s="6"/>
      <c r="CD773" s="123"/>
      <c r="CE773" s="6"/>
      <c r="CF773" s="123"/>
      <c r="CG773" s="6"/>
      <c r="CH773" s="6"/>
      <c r="CI773" s="6"/>
      <c r="CJ773" s="6"/>
      <c r="CK773" s="123"/>
      <c r="CL773" s="6"/>
      <c r="CM773" s="6"/>
      <c r="CN773" s="6"/>
      <c r="CO773" s="138"/>
      <c r="CP773" s="138"/>
      <c r="CQ773" s="123"/>
      <c r="CR773" s="6"/>
      <c r="CS773" s="6"/>
      <c r="CT773" s="139"/>
      <c r="CU773" s="139"/>
      <c r="CV773" s="76"/>
      <c r="CW773" s="123"/>
      <c r="CX773" s="6"/>
      <c r="DI773" s="125"/>
      <c r="DJ773" s="16"/>
      <c r="DM773" s="16"/>
      <c r="DN773" s="16"/>
      <c r="DO773" s="125"/>
      <c r="DP773" s="16"/>
      <c r="DQ773" s="125"/>
      <c r="DZ773" s="125"/>
      <c r="EA773" s="142"/>
      <c r="EB773" s="125"/>
      <c r="EC773" s="16"/>
      <c r="ED773" s="125"/>
      <c r="EE773" s="125"/>
      <c r="EF773" s="16"/>
      <c r="EG773" s="125"/>
      <c r="EQ773" s="125"/>
      <c r="ER773" s="16"/>
      <c r="ES773" s="123"/>
      <c r="ET773" s="19"/>
      <c r="EU773" s="139"/>
      <c r="EV773" s="139"/>
      <c r="EW773" s="123"/>
      <c r="EX773" s="123"/>
      <c r="EY773" s="123"/>
      <c r="EZ773" s="123"/>
      <c r="FA773" s="123"/>
      <c r="FB773" s="123"/>
      <c r="FC773" s="6"/>
      <c r="FD773" s="123"/>
      <c r="FE773" s="6"/>
      <c r="FF773" s="123"/>
      <c r="FG773" s="6"/>
      <c r="FH773" s="6"/>
      <c r="FI773" s="6"/>
      <c r="FJ773" s="6"/>
      <c r="FK773" s="123"/>
      <c r="FL773" s="6"/>
      <c r="FM773" s="6"/>
      <c r="FN773" s="6"/>
      <c r="FO773" s="138"/>
      <c r="FP773" s="138"/>
      <c r="FQ773" s="123"/>
      <c r="FR773" s="6"/>
      <c r="FS773" s="6"/>
      <c r="FT773" s="139"/>
      <c r="FU773" s="139"/>
      <c r="FV773" s="76"/>
      <c r="FW773" s="123"/>
      <c r="FX773" s="6"/>
    </row>
    <row r="774" spans="35:180">
      <c r="AI774" s="125"/>
      <c r="AJ774" s="16"/>
      <c r="AM774" s="16"/>
      <c r="AN774" s="16"/>
      <c r="AO774" s="125"/>
      <c r="AP774" s="16"/>
      <c r="AQ774" s="125"/>
      <c r="AZ774" s="125"/>
      <c r="BA774" s="142"/>
      <c r="BB774" s="125"/>
      <c r="BC774" s="16"/>
      <c r="BD774" s="125"/>
      <c r="BE774" s="125"/>
      <c r="BF774" s="16"/>
      <c r="BG774" s="125"/>
      <c r="BQ774" s="125"/>
      <c r="BR774" s="16"/>
      <c r="BS774" s="123"/>
      <c r="BT774" s="19"/>
      <c r="BU774" s="139"/>
      <c r="BV774" s="139"/>
      <c r="BW774" s="123"/>
      <c r="BX774" s="123"/>
      <c r="BY774" s="123"/>
      <c r="BZ774" s="123"/>
      <c r="CA774" s="123"/>
      <c r="CB774" s="123"/>
      <c r="CC774" s="6"/>
      <c r="CD774" s="123"/>
      <c r="CE774" s="6"/>
      <c r="CF774" s="123"/>
      <c r="CG774" s="6"/>
      <c r="CH774" s="6"/>
      <c r="CI774" s="6"/>
      <c r="CJ774" s="6"/>
      <c r="CK774" s="123"/>
      <c r="CL774" s="6"/>
      <c r="CM774" s="6"/>
      <c r="CN774" s="6"/>
      <c r="CO774" s="138"/>
      <c r="CP774" s="138"/>
      <c r="CQ774" s="123"/>
      <c r="CR774" s="6"/>
      <c r="CS774" s="6"/>
      <c r="CT774" s="139"/>
      <c r="CU774" s="139"/>
      <c r="CV774" s="76"/>
      <c r="CW774" s="123"/>
      <c r="CX774" s="6"/>
      <c r="DI774" s="125"/>
      <c r="DJ774" s="16"/>
      <c r="DM774" s="16"/>
      <c r="DN774" s="16"/>
      <c r="DO774" s="125"/>
      <c r="DP774" s="16"/>
      <c r="DQ774" s="125"/>
      <c r="DZ774" s="125"/>
      <c r="EA774" s="142"/>
      <c r="EB774" s="125"/>
      <c r="EC774" s="16"/>
      <c r="ED774" s="125"/>
      <c r="EE774" s="125"/>
      <c r="EF774" s="16"/>
      <c r="EG774" s="125"/>
      <c r="EQ774" s="125"/>
      <c r="ER774" s="16"/>
      <c r="ES774" s="123"/>
      <c r="ET774" s="19"/>
      <c r="EU774" s="139"/>
      <c r="EV774" s="139"/>
      <c r="EW774" s="123"/>
      <c r="EX774" s="123"/>
      <c r="EY774" s="123"/>
      <c r="EZ774" s="123"/>
      <c r="FA774" s="123"/>
      <c r="FB774" s="123"/>
      <c r="FC774" s="6"/>
      <c r="FD774" s="123"/>
      <c r="FE774" s="6"/>
      <c r="FF774" s="123"/>
      <c r="FG774" s="6"/>
      <c r="FH774" s="6"/>
      <c r="FI774" s="6"/>
      <c r="FJ774" s="6"/>
      <c r="FK774" s="123"/>
      <c r="FL774" s="6"/>
      <c r="FM774" s="6"/>
      <c r="FN774" s="6"/>
      <c r="FO774" s="138"/>
      <c r="FP774" s="138"/>
      <c r="FQ774" s="123"/>
      <c r="FR774" s="6"/>
      <c r="FS774" s="6"/>
      <c r="FT774" s="139"/>
      <c r="FU774" s="139"/>
      <c r="FV774" s="76"/>
      <c r="FW774" s="123"/>
      <c r="FX774" s="6"/>
    </row>
    <row r="775" spans="35:180">
      <c r="AI775" s="125"/>
      <c r="AJ775" s="16"/>
      <c r="AM775" s="16"/>
      <c r="AN775" s="16"/>
      <c r="AO775" s="125"/>
      <c r="AP775" s="16"/>
      <c r="AQ775" s="125"/>
      <c r="AZ775" s="125"/>
      <c r="BA775" s="142"/>
      <c r="BB775" s="125"/>
      <c r="BC775" s="16"/>
      <c r="BD775" s="125"/>
      <c r="BE775" s="125"/>
      <c r="BF775" s="16"/>
      <c r="BG775" s="125"/>
      <c r="BQ775" s="125"/>
      <c r="BR775" s="16"/>
      <c r="BS775" s="123"/>
      <c r="BT775" s="19"/>
      <c r="BU775" s="139"/>
      <c r="BV775" s="139"/>
      <c r="BW775" s="123"/>
      <c r="BX775" s="123"/>
      <c r="BY775" s="123"/>
      <c r="BZ775" s="123"/>
      <c r="CA775" s="123"/>
      <c r="CB775" s="123"/>
      <c r="CC775" s="6"/>
      <c r="CD775" s="123"/>
      <c r="CE775" s="6"/>
      <c r="CF775" s="123"/>
      <c r="CG775" s="6"/>
      <c r="CH775" s="6"/>
      <c r="CI775" s="6"/>
      <c r="CJ775" s="6"/>
      <c r="CK775" s="123"/>
      <c r="CL775" s="6"/>
      <c r="CM775" s="6"/>
      <c r="CN775" s="6"/>
      <c r="CO775" s="138"/>
      <c r="CP775" s="138"/>
      <c r="CQ775" s="123"/>
      <c r="CR775" s="6"/>
      <c r="CS775" s="6"/>
      <c r="CT775" s="139"/>
      <c r="CU775" s="139"/>
      <c r="CV775" s="76"/>
      <c r="CW775" s="123"/>
      <c r="CX775" s="6"/>
      <c r="DI775" s="125"/>
      <c r="DJ775" s="16"/>
      <c r="DM775" s="16"/>
      <c r="DN775" s="16"/>
      <c r="DO775" s="125"/>
      <c r="DP775" s="16"/>
      <c r="DQ775" s="125"/>
      <c r="DZ775" s="125"/>
      <c r="EA775" s="142"/>
      <c r="EB775" s="125"/>
      <c r="EC775" s="16"/>
      <c r="ED775" s="125"/>
      <c r="EE775" s="125"/>
      <c r="EF775" s="16"/>
      <c r="EG775" s="125"/>
      <c r="EQ775" s="125"/>
      <c r="ER775" s="16"/>
      <c r="ES775" s="123"/>
      <c r="ET775" s="19"/>
      <c r="EU775" s="139"/>
      <c r="EV775" s="139"/>
      <c r="EW775" s="123"/>
      <c r="EX775" s="123"/>
      <c r="EY775" s="123"/>
      <c r="EZ775" s="123"/>
      <c r="FA775" s="123"/>
      <c r="FB775" s="123"/>
      <c r="FC775" s="6"/>
      <c r="FD775" s="123"/>
      <c r="FE775" s="6"/>
      <c r="FF775" s="123"/>
      <c r="FG775" s="6"/>
      <c r="FH775" s="6"/>
      <c r="FI775" s="6"/>
      <c r="FJ775" s="6"/>
      <c r="FK775" s="123"/>
      <c r="FL775" s="6"/>
      <c r="FM775" s="6"/>
      <c r="FN775" s="6"/>
      <c r="FO775" s="138"/>
      <c r="FP775" s="138"/>
      <c r="FQ775" s="123"/>
      <c r="FR775" s="6"/>
      <c r="FS775" s="6"/>
      <c r="FT775" s="139"/>
      <c r="FU775" s="139"/>
      <c r="FV775" s="76"/>
      <c r="FW775" s="123"/>
      <c r="FX775" s="6"/>
    </row>
    <row r="776" spans="35:180">
      <c r="AI776" s="125"/>
      <c r="AJ776" s="16"/>
      <c r="AM776" s="16"/>
      <c r="AN776" s="16"/>
      <c r="AO776" s="125"/>
      <c r="AP776" s="16"/>
      <c r="AQ776" s="125"/>
      <c r="AZ776" s="125"/>
      <c r="BA776" s="142"/>
      <c r="BB776" s="125"/>
      <c r="BC776" s="16"/>
      <c r="BD776" s="125"/>
      <c r="BE776" s="125"/>
      <c r="BF776" s="16"/>
      <c r="BG776" s="125"/>
      <c r="BQ776" s="125"/>
      <c r="BR776" s="16"/>
      <c r="BS776" s="123"/>
      <c r="BT776" s="19"/>
      <c r="BU776" s="139"/>
      <c r="BV776" s="139"/>
      <c r="BW776" s="123"/>
      <c r="BX776" s="123"/>
      <c r="BY776" s="123"/>
      <c r="BZ776" s="123"/>
      <c r="CA776" s="123"/>
      <c r="CB776" s="123"/>
      <c r="CC776" s="6"/>
      <c r="CD776" s="123"/>
      <c r="CE776" s="6"/>
      <c r="CF776" s="123"/>
      <c r="CG776" s="6"/>
      <c r="CH776" s="6"/>
      <c r="CI776" s="6"/>
      <c r="CJ776" s="6"/>
      <c r="CK776" s="123"/>
      <c r="CL776" s="6"/>
      <c r="CM776" s="6"/>
      <c r="CN776" s="6"/>
      <c r="CO776" s="138"/>
      <c r="CP776" s="138"/>
      <c r="CQ776" s="123"/>
      <c r="CR776" s="6"/>
      <c r="CS776" s="6"/>
      <c r="CT776" s="139"/>
      <c r="CU776" s="139"/>
      <c r="CV776" s="76"/>
      <c r="CW776" s="123"/>
      <c r="CX776" s="6"/>
      <c r="DI776" s="125"/>
      <c r="DJ776" s="16"/>
      <c r="DM776" s="16"/>
      <c r="DN776" s="16"/>
      <c r="DO776" s="125"/>
      <c r="DP776" s="16"/>
      <c r="DQ776" s="125"/>
      <c r="DZ776" s="125"/>
      <c r="EA776" s="142"/>
      <c r="EB776" s="125"/>
      <c r="EC776" s="16"/>
      <c r="ED776" s="125"/>
      <c r="EE776" s="125"/>
      <c r="EF776" s="16"/>
      <c r="EG776" s="125"/>
      <c r="EQ776" s="125"/>
      <c r="ER776" s="16"/>
      <c r="ES776" s="123"/>
      <c r="ET776" s="19"/>
      <c r="EU776" s="139"/>
      <c r="EV776" s="139"/>
      <c r="EW776" s="123"/>
      <c r="EX776" s="123"/>
      <c r="EY776" s="123"/>
      <c r="EZ776" s="123"/>
      <c r="FA776" s="123"/>
      <c r="FB776" s="123"/>
      <c r="FC776" s="6"/>
      <c r="FD776" s="123"/>
      <c r="FE776" s="6"/>
      <c r="FF776" s="123"/>
      <c r="FG776" s="6"/>
      <c r="FH776" s="6"/>
      <c r="FI776" s="6"/>
      <c r="FJ776" s="6"/>
      <c r="FK776" s="123"/>
      <c r="FL776" s="6"/>
      <c r="FM776" s="6"/>
      <c r="FN776" s="6"/>
      <c r="FO776" s="138"/>
      <c r="FP776" s="138"/>
      <c r="FQ776" s="123"/>
      <c r="FR776" s="6"/>
      <c r="FS776" s="6"/>
      <c r="FT776" s="139"/>
      <c r="FU776" s="139"/>
      <c r="FV776" s="76"/>
      <c r="FW776" s="123"/>
      <c r="FX776" s="6"/>
    </row>
    <row r="777" spans="35:180">
      <c r="AI777" s="125"/>
      <c r="AJ777" s="16"/>
      <c r="AM777" s="16"/>
      <c r="AN777" s="16"/>
      <c r="AO777" s="125"/>
      <c r="AP777" s="16"/>
      <c r="AQ777" s="125"/>
      <c r="AZ777" s="125"/>
      <c r="BA777" s="142"/>
      <c r="BB777" s="125"/>
      <c r="BC777" s="16"/>
      <c r="BD777" s="125"/>
      <c r="BE777" s="125"/>
      <c r="BF777" s="16"/>
      <c r="BG777" s="125"/>
      <c r="BQ777" s="125"/>
      <c r="BR777" s="16"/>
      <c r="BS777" s="123"/>
      <c r="BT777" s="19"/>
      <c r="BU777" s="139"/>
      <c r="BV777" s="139"/>
      <c r="BW777" s="123"/>
      <c r="BX777" s="123"/>
      <c r="BY777" s="123"/>
      <c r="BZ777" s="123"/>
      <c r="CA777" s="123"/>
      <c r="CB777" s="123"/>
      <c r="CC777" s="6"/>
      <c r="CD777" s="123"/>
      <c r="CE777" s="6"/>
      <c r="CF777" s="123"/>
      <c r="CG777" s="6"/>
      <c r="CH777" s="6"/>
      <c r="CI777" s="6"/>
      <c r="CJ777" s="6"/>
      <c r="CK777" s="123"/>
      <c r="CL777" s="6"/>
      <c r="CM777" s="6"/>
      <c r="CN777" s="6"/>
      <c r="CO777" s="138"/>
      <c r="CP777" s="138"/>
      <c r="CQ777" s="123"/>
      <c r="CR777" s="6"/>
      <c r="CS777" s="6"/>
      <c r="CT777" s="139"/>
      <c r="CU777" s="139"/>
      <c r="CV777" s="76"/>
      <c r="CW777" s="123"/>
      <c r="CX777" s="6"/>
      <c r="DI777" s="125"/>
      <c r="DJ777" s="16"/>
      <c r="DM777" s="16"/>
      <c r="DN777" s="16"/>
      <c r="DO777" s="125"/>
      <c r="DP777" s="16"/>
      <c r="DQ777" s="125"/>
      <c r="DZ777" s="125"/>
      <c r="EA777" s="142"/>
      <c r="EB777" s="125"/>
      <c r="EC777" s="16"/>
      <c r="ED777" s="125"/>
      <c r="EE777" s="125"/>
      <c r="EF777" s="16"/>
      <c r="EG777" s="125"/>
      <c r="EQ777" s="125"/>
      <c r="ER777" s="16"/>
      <c r="ES777" s="123"/>
      <c r="ET777" s="19"/>
      <c r="EU777" s="139"/>
      <c r="EV777" s="139"/>
      <c r="EW777" s="123"/>
      <c r="EX777" s="123"/>
      <c r="EY777" s="123"/>
      <c r="EZ777" s="123"/>
      <c r="FA777" s="123"/>
      <c r="FB777" s="123"/>
      <c r="FC777" s="6"/>
      <c r="FD777" s="123"/>
      <c r="FE777" s="6"/>
      <c r="FF777" s="123"/>
      <c r="FG777" s="6"/>
      <c r="FH777" s="6"/>
      <c r="FI777" s="6"/>
      <c r="FJ777" s="6"/>
      <c r="FK777" s="123"/>
      <c r="FL777" s="6"/>
      <c r="FM777" s="6"/>
      <c r="FN777" s="6"/>
      <c r="FO777" s="138"/>
      <c r="FP777" s="138"/>
      <c r="FQ777" s="123"/>
      <c r="FR777" s="6"/>
      <c r="FS777" s="6"/>
      <c r="FT777" s="139"/>
      <c r="FU777" s="139"/>
      <c r="FV777" s="76"/>
      <c r="FW777" s="123"/>
      <c r="FX777" s="6"/>
    </row>
    <row r="778" spans="35:180">
      <c r="AI778" s="125"/>
      <c r="AJ778" s="16"/>
      <c r="AM778" s="16"/>
      <c r="AN778" s="16"/>
      <c r="AO778" s="125"/>
      <c r="AP778" s="16"/>
      <c r="AQ778" s="125"/>
      <c r="AZ778" s="125"/>
      <c r="BA778" s="142"/>
      <c r="BB778" s="125"/>
      <c r="BC778" s="16"/>
      <c r="BD778" s="125"/>
      <c r="BE778" s="125"/>
      <c r="BF778" s="16"/>
      <c r="BG778" s="125"/>
      <c r="BQ778" s="125"/>
      <c r="BR778" s="16"/>
      <c r="BS778" s="123"/>
      <c r="BT778" s="19"/>
      <c r="BU778" s="139"/>
      <c r="BV778" s="139"/>
      <c r="BW778" s="123"/>
      <c r="BX778" s="123"/>
      <c r="BY778" s="123"/>
      <c r="BZ778" s="123"/>
      <c r="CA778" s="123"/>
      <c r="CB778" s="123"/>
      <c r="CC778" s="6"/>
      <c r="CD778" s="123"/>
      <c r="CE778" s="6"/>
      <c r="CF778" s="123"/>
      <c r="CG778" s="6"/>
      <c r="CH778" s="6"/>
      <c r="CI778" s="6"/>
      <c r="CJ778" s="6"/>
      <c r="CK778" s="123"/>
      <c r="CL778" s="6"/>
      <c r="CM778" s="6"/>
      <c r="CN778" s="6"/>
      <c r="CO778" s="138"/>
      <c r="CP778" s="138"/>
      <c r="CQ778" s="123"/>
      <c r="CR778" s="6"/>
      <c r="CS778" s="6"/>
      <c r="CT778" s="139"/>
      <c r="CU778" s="139"/>
      <c r="CV778" s="76"/>
      <c r="CW778" s="123"/>
      <c r="CX778" s="6"/>
      <c r="DI778" s="125"/>
      <c r="DJ778" s="16"/>
      <c r="DM778" s="16"/>
      <c r="DN778" s="16"/>
      <c r="DO778" s="125"/>
      <c r="DP778" s="16"/>
      <c r="DQ778" s="125"/>
      <c r="DZ778" s="125"/>
      <c r="EA778" s="142"/>
      <c r="EB778" s="125"/>
      <c r="EC778" s="16"/>
      <c r="ED778" s="125"/>
      <c r="EE778" s="125"/>
      <c r="EF778" s="16"/>
      <c r="EG778" s="125"/>
      <c r="EQ778" s="125"/>
      <c r="ER778" s="16"/>
      <c r="ES778" s="123"/>
      <c r="ET778" s="19"/>
      <c r="EU778" s="139"/>
      <c r="EV778" s="139"/>
      <c r="EW778" s="123"/>
      <c r="EX778" s="123"/>
      <c r="EY778" s="123"/>
      <c r="EZ778" s="123"/>
      <c r="FA778" s="123"/>
      <c r="FB778" s="123"/>
      <c r="FC778" s="6"/>
      <c r="FD778" s="123"/>
      <c r="FE778" s="6"/>
      <c r="FF778" s="123"/>
      <c r="FG778" s="6"/>
      <c r="FH778" s="6"/>
      <c r="FI778" s="6"/>
      <c r="FJ778" s="6"/>
      <c r="FK778" s="123"/>
      <c r="FL778" s="6"/>
      <c r="FM778" s="6"/>
      <c r="FN778" s="6"/>
      <c r="FO778" s="138"/>
      <c r="FP778" s="138"/>
      <c r="FQ778" s="123"/>
      <c r="FR778" s="6"/>
      <c r="FS778" s="6"/>
      <c r="FT778" s="139"/>
      <c r="FU778" s="139"/>
      <c r="FV778" s="76"/>
      <c r="FW778" s="123"/>
      <c r="FX778" s="6"/>
    </row>
    <row r="779" spans="35:180">
      <c r="AI779" s="125"/>
      <c r="AJ779" s="16"/>
      <c r="AM779" s="16"/>
      <c r="AN779" s="16"/>
      <c r="AO779" s="125"/>
      <c r="AP779" s="16"/>
      <c r="AQ779" s="125"/>
      <c r="AZ779" s="125"/>
      <c r="BA779" s="142"/>
      <c r="BB779" s="125"/>
      <c r="BC779" s="16"/>
      <c r="BD779" s="125"/>
      <c r="BE779" s="125"/>
      <c r="BF779" s="16"/>
      <c r="BG779" s="125"/>
      <c r="BQ779" s="125"/>
      <c r="BR779" s="16"/>
      <c r="BS779" s="123"/>
      <c r="BT779" s="19"/>
      <c r="BU779" s="139"/>
      <c r="BV779" s="139"/>
      <c r="BW779" s="123"/>
      <c r="BX779" s="123"/>
      <c r="BY779" s="123"/>
      <c r="BZ779" s="123"/>
      <c r="CA779" s="123"/>
      <c r="CB779" s="123"/>
      <c r="CC779" s="6"/>
      <c r="CD779" s="123"/>
      <c r="CE779" s="6"/>
      <c r="CF779" s="123"/>
      <c r="CG779" s="6"/>
      <c r="CH779" s="6"/>
      <c r="CI779" s="6"/>
      <c r="CJ779" s="6"/>
      <c r="CK779" s="123"/>
      <c r="CL779" s="6"/>
      <c r="CM779" s="6"/>
      <c r="CN779" s="6"/>
      <c r="CO779" s="138"/>
      <c r="CP779" s="138"/>
      <c r="CQ779" s="123"/>
      <c r="CR779" s="6"/>
      <c r="CS779" s="6"/>
      <c r="CT779" s="139"/>
      <c r="CU779" s="139"/>
      <c r="CV779" s="76"/>
      <c r="CW779" s="123"/>
      <c r="CX779" s="6"/>
      <c r="DI779" s="125"/>
      <c r="DJ779" s="16"/>
      <c r="DM779" s="16"/>
      <c r="DN779" s="16"/>
      <c r="DO779" s="125"/>
      <c r="DP779" s="16"/>
      <c r="DQ779" s="125"/>
      <c r="DZ779" s="125"/>
      <c r="EA779" s="142"/>
      <c r="EB779" s="125"/>
      <c r="EC779" s="16"/>
      <c r="ED779" s="125"/>
      <c r="EE779" s="125"/>
      <c r="EF779" s="16"/>
      <c r="EG779" s="125"/>
      <c r="EQ779" s="125"/>
      <c r="ER779" s="16"/>
      <c r="ES779" s="123"/>
      <c r="ET779" s="19"/>
      <c r="EU779" s="139"/>
      <c r="EV779" s="139"/>
      <c r="EW779" s="123"/>
      <c r="EX779" s="123"/>
      <c r="EY779" s="123"/>
      <c r="EZ779" s="123"/>
      <c r="FA779" s="123"/>
      <c r="FB779" s="123"/>
      <c r="FC779" s="6"/>
      <c r="FD779" s="123"/>
      <c r="FE779" s="6"/>
      <c r="FF779" s="123"/>
      <c r="FG779" s="6"/>
      <c r="FH779" s="6"/>
      <c r="FI779" s="6"/>
      <c r="FJ779" s="6"/>
      <c r="FK779" s="123"/>
      <c r="FL779" s="6"/>
      <c r="FM779" s="6"/>
      <c r="FN779" s="6"/>
      <c r="FO779" s="138"/>
      <c r="FP779" s="138"/>
      <c r="FQ779" s="123"/>
      <c r="FR779" s="6"/>
      <c r="FS779" s="6"/>
      <c r="FT779" s="139"/>
      <c r="FU779" s="139"/>
      <c r="FV779" s="76"/>
      <c r="FW779" s="123"/>
      <c r="FX779" s="6"/>
    </row>
    <row r="780" spans="35:180">
      <c r="AI780" s="125"/>
      <c r="AJ780" s="16"/>
      <c r="AM780" s="16"/>
      <c r="AN780" s="16"/>
      <c r="AO780" s="125"/>
      <c r="AP780" s="16"/>
      <c r="AQ780" s="125"/>
      <c r="AZ780" s="125"/>
      <c r="BA780" s="142"/>
      <c r="BB780" s="125"/>
      <c r="BC780" s="16"/>
      <c r="BD780" s="125"/>
      <c r="BE780" s="125"/>
      <c r="BF780" s="16"/>
      <c r="BG780" s="125"/>
      <c r="BQ780" s="125"/>
      <c r="BR780" s="16"/>
      <c r="BS780" s="123"/>
      <c r="BT780" s="19"/>
      <c r="BU780" s="139"/>
      <c r="BV780" s="139"/>
      <c r="BW780" s="123"/>
      <c r="BX780" s="123"/>
      <c r="BY780" s="123"/>
      <c r="BZ780" s="123"/>
      <c r="CA780" s="123"/>
      <c r="CB780" s="123"/>
      <c r="CC780" s="6"/>
      <c r="CD780" s="123"/>
      <c r="CE780" s="6"/>
      <c r="CF780" s="123"/>
      <c r="CG780" s="6"/>
      <c r="CH780" s="6"/>
      <c r="CI780" s="6"/>
      <c r="CJ780" s="6"/>
      <c r="CK780" s="123"/>
      <c r="CL780" s="6"/>
      <c r="CM780" s="6"/>
      <c r="CN780" s="6"/>
      <c r="CO780" s="138"/>
      <c r="CP780" s="138"/>
      <c r="CQ780" s="123"/>
      <c r="CR780" s="6"/>
      <c r="CS780" s="6"/>
      <c r="CT780" s="139"/>
      <c r="CU780" s="139"/>
      <c r="CV780" s="76"/>
      <c r="CW780" s="123"/>
      <c r="CX780" s="6"/>
      <c r="DI780" s="125"/>
      <c r="DJ780" s="16"/>
      <c r="DM780" s="16"/>
      <c r="DN780" s="16"/>
      <c r="DO780" s="125"/>
      <c r="DP780" s="16"/>
      <c r="DQ780" s="125"/>
      <c r="DZ780" s="125"/>
      <c r="EA780" s="142"/>
      <c r="EB780" s="125"/>
      <c r="EC780" s="16"/>
      <c r="ED780" s="125"/>
      <c r="EE780" s="125"/>
      <c r="EF780" s="16"/>
      <c r="EG780" s="125"/>
      <c r="EQ780" s="125"/>
      <c r="ER780" s="16"/>
      <c r="ES780" s="123"/>
      <c r="ET780" s="19"/>
      <c r="EU780" s="139"/>
      <c r="EV780" s="139"/>
      <c r="EW780" s="123"/>
      <c r="EX780" s="123"/>
      <c r="EY780" s="123"/>
      <c r="EZ780" s="123"/>
      <c r="FA780" s="123"/>
      <c r="FB780" s="123"/>
      <c r="FC780" s="6"/>
      <c r="FD780" s="123"/>
      <c r="FE780" s="6"/>
      <c r="FF780" s="123"/>
      <c r="FG780" s="6"/>
      <c r="FH780" s="6"/>
      <c r="FI780" s="6"/>
      <c r="FJ780" s="6"/>
      <c r="FK780" s="123"/>
      <c r="FL780" s="6"/>
      <c r="FM780" s="6"/>
      <c r="FN780" s="6"/>
      <c r="FO780" s="138"/>
      <c r="FP780" s="138"/>
      <c r="FQ780" s="123"/>
      <c r="FR780" s="6"/>
      <c r="FS780" s="6"/>
      <c r="FT780" s="139"/>
      <c r="FU780" s="139"/>
      <c r="FV780" s="76"/>
      <c r="FW780" s="123"/>
      <c r="FX780" s="6"/>
    </row>
    <row r="781" spans="35:180">
      <c r="AI781" s="125"/>
      <c r="AJ781" s="16"/>
      <c r="AM781" s="16"/>
      <c r="AN781" s="16"/>
      <c r="AO781" s="125"/>
      <c r="AP781" s="16"/>
      <c r="AQ781" s="125"/>
      <c r="AZ781" s="125"/>
      <c r="BA781" s="142"/>
      <c r="BB781" s="125"/>
      <c r="BC781" s="16"/>
      <c r="BD781" s="125"/>
      <c r="BE781" s="125"/>
      <c r="BF781" s="16"/>
      <c r="BG781" s="125"/>
      <c r="BQ781" s="125"/>
      <c r="BR781" s="16"/>
      <c r="BS781" s="123"/>
      <c r="BT781" s="19"/>
      <c r="BU781" s="139"/>
      <c r="BV781" s="139"/>
      <c r="BW781" s="123"/>
      <c r="BX781" s="123"/>
      <c r="BY781" s="123"/>
      <c r="BZ781" s="123"/>
      <c r="CA781" s="123"/>
      <c r="CB781" s="123"/>
      <c r="CC781" s="6"/>
      <c r="CD781" s="123"/>
      <c r="CE781" s="6"/>
      <c r="CF781" s="123"/>
      <c r="CG781" s="6"/>
      <c r="CH781" s="6"/>
      <c r="CI781" s="6"/>
      <c r="CJ781" s="6"/>
      <c r="CK781" s="123"/>
      <c r="CL781" s="6"/>
      <c r="CM781" s="6"/>
      <c r="CN781" s="6"/>
      <c r="CO781" s="138"/>
      <c r="CP781" s="138"/>
      <c r="CQ781" s="123"/>
      <c r="CR781" s="6"/>
      <c r="CS781" s="6"/>
      <c r="CT781" s="139"/>
      <c r="CU781" s="139"/>
      <c r="CV781" s="76"/>
      <c r="CW781" s="123"/>
      <c r="CX781" s="6"/>
      <c r="DI781" s="125"/>
      <c r="DJ781" s="16"/>
      <c r="DM781" s="16"/>
      <c r="DN781" s="16"/>
      <c r="DO781" s="125"/>
      <c r="DP781" s="16"/>
      <c r="DQ781" s="125"/>
      <c r="DZ781" s="125"/>
      <c r="EA781" s="142"/>
      <c r="EB781" s="125"/>
      <c r="EC781" s="16"/>
      <c r="ED781" s="125"/>
      <c r="EE781" s="125"/>
      <c r="EF781" s="16"/>
      <c r="EG781" s="125"/>
      <c r="EQ781" s="125"/>
      <c r="ER781" s="16"/>
      <c r="ES781" s="123"/>
      <c r="ET781" s="19"/>
      <c r="EU781" s="139"/>
      <c r="EV781" s="139"/>
      <c r="EW781" s="123"/>
      <c r="EX781" s="123"/>
      <c r="EY781" s="123"/>
      <c r="EZ781" s="123"/>
      <c r="FA781" s="123"/>
      <c r="FB781" s="123"/>
      <c r="FC781" s="6"/>
      <c r="FD781" s="123"/>
      <c r="FE781" s="6"/>
      <c r="FF781" s="123"/>
      <c r="FG781" s="6"/>
      <c r="FH781" s="6"/>
      <c r="FI781" s="6"/>
      <c r="FJ781" s="6"/>
      <c r="FK781" s="123"/>
      <c r="FL781" s="6"/>
      <c r="FM781" s="6"/>
      <c r="FN781" s="6"/>
      <c r="FO781" s="138"/>
      <c r="FP781" s="138"/>
      <c r="FQ781" s="123"/>
      <c r="FR781" s="6"/>
      <c r="FS781" s="6"/>
      <c r="FT781" s="139"/>
      <c r="FU781" s="139"/>
      <c r="FV781" s="76"/>
      <c r="FW781" s="123"/>
      <c r="FX781" s="6"/>
    </row>
    <row r="782" spans="35:180">
      <c r="AI782" s="125"/>
      <c r="AJ782" s="16"/>
      <c r="AM782" s="16"/>
      <c r="AN782" s="16"/>
      <c r="AO782" s="125"/>
      <c r="AP782" s="16"/>
      <c r="AQ782" s="125"/>
      <c r="AZ782" s="125"/>
      <c r="BA782" s="142"/>
      <c r="BB782" s="125"/>
      <c r="BC782" s="16"/>
      <c r="BD782" s="125"/>
      <c r="BE782" s="125"/>
      <c r="BF782" s="16"/>
      <c r="BG782" s="125"/>
      <c r="BQ782" s="125"/>
      <c r="BR782" s="16"/>
      <c r="BS782" s="123"/>
      <c r="BT782" s="19"/>
      <c r="BU782" s="139"/>
      <c r="BV782" s="139"/>
      <c r="BW782" s="123"/>
      <c r="BX782" s="123"/>
      <c r="BY782" s="123"/>
      <c r="BZ782" s="123"/>
      <c r="CA782" s="123"/>
      <c r="CB782" s="123"/>
      <c r="CC782" s="6"/>
      <c r="CD782" s="123"/>
      <c r="CE782" s="6"/>
      <c r="CF782" s="123"/>
      <c r="CG782" s="6"/>
      <c r="CH782" s="6"/>
      <c r="CI782" s="6"/>
      <c r="CJ782" s="6"/>
      <c r="CK782" s="123"/>
      <c r="CL782" s="6"/>
      <c r="CM782" s="6"/>
      <c r="CN782" s="6"/>
      <c r="CO782" s="138"/>
      <c r="CP782" s="138"/>
      <c r="CQ782" s="123"/>
      <c r="CR782" s="6"/>
      <c r="CS782" s="6"/>
      <c r="CT782" s="139"/>
      <c r="CU782" s="139"/>
      <c r="CV782" s="76"/>
      <c r="CW782" s="123"/>
      <c r="CX782" s="6"/>
      <c r="DI782" s="125"/>
      <c r="DJ782" s="16"/>
      <c r="DM782" s="16"/>
      <c r="DN782" s="16"/>
      <c r="DO782" s="125"/>
      <c r="DP782" s="16"/>
      <c r="DQ782" s="125"/>
      <c r="DZ782" s="125"/>
      <c r="EA782" s="142"/>
      <c r="EB782" s="125"/>
      <c r="EC782" s="16"/>
      <c r="ED782" s="125"/>
      <c r="EE782" s="125"/>
      <c r="EF782" s="16"/>
      <c r="EG782" s="125"/>
      <c r="EQ782" s="125"/>
      <c r="ER782" s="16"/>
      <c r="ES782" s="123"/>
      <c r="ET782" s="19"/>
      <c r="EU782" s="139"/>
      <c r="EV782" s="139"/>
      <c r="EW782" s="123"/>
      <c r="EX782" s="123"/>
      <c r="EY782" s="123"/>
      <c r="EZ782" s="123"/>
      <c r="FA782" s="123"/>
      <c r="FB782" s="123"/>
      <c r="FC782" s="6"/>
      <c r="FD782" s="123"/>
      <c r="FE782" s="6"/>
      <c r="FF782" s="123"/>
      <c r="FG782" s="6"/>
      <c r="FH782" s="6"/>
      <c r="FI782" s="6"/>
      <c r="FJ782" s="6"/>
      <c r="FK782" s="123"/>
      <c r="FL782" s="6"/>
      <c r="FM782" s="6"/>
      <c r="FN782" s="6"/>
      <c r="FO782" s="138"/>
      <c r="FP782" s="138"/>
      <c r="FQ782" s="123"/>
      <c r="FR782" s="6"/>
      <c r="FS782" s="6"/>
      <c r="FT782" s="139"/>
      <c r="FU782" s="139"/>
      <c r="FV782" s="76"/>
      <c r="FW782" s="123"/>
      <c r="FX782" s="6"/>
    </row>
    <row r="783" spans="35:180">
      <c r="AI783" s="125"/>
      <c r="AJ783" s="16"/>
      <c r="AM783" s="16"/>
      <c r="AN783" s="16"/>
      <c r="AO783" s="125"/>
      <c r="AP783" s="16"/>
      <c r="AQ783" s="125"/>
      <c r="AZ783" s="125"/>
      <c r="BA783" s="142"/>
      <c r="BB783" s="125"/>
      <c r="BC783" s="16"/>
      <c r="BD783" s="125"/>
      <c r="BE783" s="125"/>
      <c r="BF783" s="16"/>
      <c r="BG783" s="125"/>
      <c r="BQ783" s="125"/>
      <c r="BR783" s="16"/>
      <c r="BS783" s="123"/>
      <c r="BT783" s="19"/>
      <c r="BU783" s="139"/>
      <c r="BV783" s="139"/>
      <c r="BW783" s="123"/>
      <c r="BX783" s="123"/>
      <c r="BY783" s="123"/>
      <c r="BZ783" s="123"/>
      <c r="CA783" s="123"/>
      <c r="CB783" s="123"/>
      <c r="CC783" s="6"/>
      <c r="CD783" s="123"/>
      <c r="CE783" s="6"/>
      <c r="CF783" s="123"/>
      <c r="CG783" s="6"/>
      <c r="CH783" s="6"/>
      <c r="CI783" s="6"/>
      <c r="CJ783" s="6"/>
      <c r="CK783" s="123"/>
      <c r="CL783" s="6"/>
      <c r="CM783" s="6"/>
      <c r="CN783" s="6"/>
      <c r="CO783" s="138"/>
      <c r="CP783" s="138"/>
      <c r="CQ783" s="123"/>
      <c r="CR783" s="6"/>
      <c r="CS783" s="6"/>
      <c r="CT783" s="139"/>
      <c r="CU783" s="139"/>
      <c r="CV783" s="76"/>
      <c r="CW783" s="123"/>
      <c r="CX783" s="6"/>
      <c r="DI783" s="125"/>
      <c r="DJ783" s="16"/>
      <c r="DM783" s="16"/>
      <c r="DN783" s="16"/>
      <c r="DO783" s="125"/>
      <c r="DP783" s="16"/>
      <c r="DQ783" s="125"/>
      <c r="DZ783" s="125"/>
      <c r="EA783" s="142"/>
      <c r="EB783" s="125"/>
      <c r="EC783" s="16"/>
      <c r="ED783" s="125"/>
      <c r="EE783" s="125"/>
      <c r="EF783" s="16"/>
      <c r="EG783" s="125"/>
      <c r="EQ783" s="125"/>
      <c r="ER783" s="16"/>
      <c r="ES783" s="123"/>
      <c r="ET783" s="19"/>
      <c r="EU783" s="139"/>
      <c r="EV783" s="139"/>
      <c r="EW783" s="123"/>
      <c r="EX783" s="123"/>
      <c r="EY783" s="123"/>
      <c r="EZ783" s="123"/>
      <c r="FA783" s="123"/>
      <c r="FB783" s="123"/>
      <c r="FC783" s="6"/>
      <c r="FD783" s="123"/>
      <c r="FE783" s="6"/>
      <c r="FF783" s="123"/>
      <c r="FG783" s="6"/>
      <c r="FH783" s="6"/>
      <c r="FI783" s="6"/>
      <c r="FJ783" s="6"/>
      <c r="FK783" s="123"/>
      <c r="FL783" s="6"/>
      <c r="FM783" s="6"/>
      <c r="FN783" s="6"/>
      <c r="FO783" s="138"/>
      <c r="FP783" s="138"/>
      <c r="FQ783" s="123"/>
      <c r="FR783" s="6"/>
      <c r="FS783" s="6"/>
      <c r="FT783" s="139"/>
      <c r="FU783" s="139"/>
      <c r="FV783" s="76"/>
      <c r="FW783" s="123"/>
      <c r="FX783" s="6"/>
    </row>
    <row r="784" spans="35:180">
      <c r="AI784" s="125"/>
      <c r="AJ784" s="16"/>
      <c r="AM784" s="16"/>
      <c r="AN784" s="16"/>
      <c r="AO784" s="125"/>
      <c r="AP784" s="16"/>
      <c r="AQ784" s="125"/>
      <c r="AZ784" s="125"/>
      <c r="BA784" s="142"/>
      <c r="BB784" s="125"/>
      <c r="BC784" s="16"/>
      <c r="BD784" s="125"/>
      <c r="BE784" s="125"/>
      <c r="BF784" s="16"/>
      <c r="BG784" s="125"/>
      <c r="BQ784" s="125"/>
      <c r="BR784" s="16"/>
      <c r="BS784" s="123"/>
      <c r="BT784" s="19"/>
      <c r="BU784" s="139"/>
      <c r="BV784" s="139"/>
      <c r="BW784" s="123"/>
      <c r="BX784" s="123"/>
      <c r="BY784" s="123"/>
      <c r="BZ784" s="123"/>
      <c r="CA784" s="123"/>
      <c r="CB784" s="123"/>
      <c r="CC784" s="6"/>
      <c r="CD784" s="123"/>
      <c r="CE784" s="6"/>
      <c r="CF784" s="123"/>
      <c r="CG784" s="6"/>
      <c r="CH784" s="6"/>
      <c r="CI784" s="6"/>
      <c r="CJ784" s="6"/>
      <c r="CK784" s="123"/>
      <c r="CL784" s="6"/>
      <c r="CM784" s="6"/>
      <c r="CN784" s="6"/>
      <c r="CO784" s="138"/>
      <c r="CP784" s="138"/>
      <c r="CQ784" s="123"/>
      <c r="CR784" s="6"/>
      <c r="CS784" s="6"/>
      <c r="CT784" s="139"/>
      <c r="CU784" s="139"/>
      <c r="CV784" s="76"/>
      <c r="CW784" s="123"/>
      <c r="CX784" s="6"/>
      <c r="DI784" s="125"/>
      <c r="DJ784" s="16"/>
      <c r="DM784" s="16"/>
      <c r="DN784" s="16"/>
      <c r="DO784" s="125"/>
      <c r="DP784" s="16"/>
      <c r="DQ784" s="125"/>
      <c r="DZ784" s="125"/>
      <c r="EA784" s="142"/>
      <c r="EB784" s="125"/>
      <c r="EC784" s="16"/>
      <c r="ED784" s="125"/>
      <c r="EE784" s="125"/>
      <c r="EF784" s="16"/>
      <c r="EG784" s="125"/>
      <c r="EQ784" s="125"/>
      <c r="ER784" s="16"/>
      <c r="ES784" s="123"/>
      <c r="ET784" s="19"/>
      <c r="EU784" s="139"/>
      <c r="EV784" s="139"/>
      <c r="EW784" s="123"/>
      <c r="EX784" s="123"/>
      <c r="EY784" s="123"/>
      <c r="EZ784" s="123"/>
      <c r="FA784" s="123"/>
      <c r="FB784" s="123"/>
      <c r="FC784" s="6"/>
      <c r="FD784" s="123"/>
      <c r="FE784" s="6"/>
      <c r="FF784" s="123"/>
      <c r="FG784" s="6"/>
      <c r="FH784" s="6"/>
      <c r="FI784" s="6"/>
      <c r="FJ784" s="6"/>
      <c r="FK784" s="123"/>
      <c r="FL784" s="6"/>
      <c r="FM784" s="6"/>
      <c r="FN784" s="6"/>
      <c r="FO784" s="138"/>
      <c r="FP784" s="138"/>
      <c r="FQ784" s="123"/>
      <c r="FR784" s="6"/>
      <c r="FS784" s="6"/>
      <c r="FT784" s="139"/>
      <c r="FU784" s="139"/>
      <c r="FV784" s="76"/>
      <c r="FW784" s="123"/>
      <c r="FX784" s="6"/>
    </row>
    <row r="785" spans="35:180">
      <c r="AI785" s="125"/>
      <c r="AJ785" s="16"/>
      <c r="AM785" s="16"/>
      <c r="AN785" s="16"/>
      <c r="AO785" s="125"/>
      <c r="AP785" s="16"/>
      <c r="AQ785" s="125"/>
      <c r="AZ785" s="125"/>
      <c r="BA785" s="142"/>
      <c r="BB785" s="125"/>
      <c r="BC785" s="16"/>
      <c r="BD785" s="125"/>
      <c r="BE785" s="125"/>
      <c r="BF785" s="16"/>
      <c r="BG785" s="125"/>
      <c r="BQ785" s="125"/>
      <c r="BR785" s="16"/>
      <c r="BS785" s="123"/>
      <c r="BT785" s="19"/>
      <c r="BU785" s="139"/>
      <c r="BV785" s="139"/>
      <c r="BW785" s="123"/>
      <c r="BX785" s="123"/>
      <c r="BY785" s="123"/>
      <c r="BZ785" s="123"/>
      <c r="CA785" s="123"/>
      <c r="CB785" s="123"/>
      <c r="CC785" s="6"/>
      <c r="CD785" s="123"/>
      <c r="CE785" s="6"/>
      <c r="CF785" s="123"/>
      <c r="CG785" s="6"/>
      <c r="CH785" s="6"/>
      <c r="CI785" s="6"/>
      <c r="CJ785" s="6"/>
      <c r="CK785" s="123"/>
      <c r="CL785" s="6"/>
      <c r="CM785" s="6"/>
      <c r="CN785" s="6"/>
      <c r="CO785" s="138"/>
      <c r="CP785" s="138"/>
      <c r="CQ785" s="123"/>
      <c r="CR785" s="6"/>
      <c r="CS785" s="6"/>
      <c r="CT785" s="139"/>
      <c r="CU785" s="139"/>
      <c r="CV785" s="76"/>
      <c r="CW785" s="123"/>
      <c r="CX785" s="6"/>
      <c r="DI785" s="125"/>
      <c r="DJ785" s="16"/>
      <c r="DM785" s="16"/>
      <c r="DN785" s="16"/>
      <c r="DO785" s="125"/>
      <c r="DP785" s="16"/>
      <c r="DQ785" s="125"/>
      <c r="DZ785" s="125"/>
      <c r="EA785" s="142"/>
      <c r="EB785" s="125"/>
      <c r="EC785" s="16"/>
      <c r="ED785" s="125"/>
      <c r="EE785" s="125"/>
      <c r="EF785" s="16"/>
      <c r="EG785" s="125"/>
      <c r="EQ785" s="125"/>
      <c r="ER785" s="16"/>
      <c r="ES785" s="123"/>
      <c r="ET785" s="19"/>
      <c r="EU785" s="139"/>
      <c r="EV785" s="139"/>
      <c r="EW785" s="123"/>
      <c r="EX785" s="123"/>
      <c r="EY785" s="123"/>
      <c r="EZ785" s="123"/>
      <c r="FA785" s="123"/>
      <c r="FB785" s="123"/>
      <c r="FC785" s="6"/>
      <c r="FD785" s="123"/>
      <c r="FE785" s="6"/>
      <c r="FF785" s="123"/>
      <c r="FG785" s="6"/>
      <c r="FH785" s="6"/>
      <c r="FI785" s="6"/>
      <c r="FJ785" s="6"/>
      <c r="FK785" s="123"/>
      <c r="FL785" s="6"/>
      <c r="FM785" s="6"/>
      <c r="FN785" s="6"/>
      <c r="FO785" s="138"/>
      <c r="FP785" s="138"/>
      <c r="FQ785" s="123"/>
      <c r="FR785" s="6"/>
      <c r="FS785" s="6"/>
      <c r="FT785" s="139"/>
      <c r="FU785" s="139"/>
      <c r="FV785" s="76"/>
      <c r="FW785" s="123"/>
      <c r="FX785" s="6"/>
    </row>
    <row r="786" spans="35:180">
      <c r="AI786" s="125"/>
      <c r="AJ786" s="16"/>
      <c r="AM786" s="16"/>
      <c r="AN786" s="16"/>
      <c r="AO786" s="125"/>
      <c r="AP786" s="16"/>
      <c r="AQ786" s="125"/>
      <c r="AZ786" s="125"/>
      <c r="BA786" s="142"/>
      <c r="BB786" s="125"/>
      <c r="BC786" s="16"/>
      <c r="BD786" s="125"/>
      <c r="BE786" s="125"/>
      <c r="BF786" s="16"/>
      <c r="BG786" s="125"/>
      <c r="BQ786" s="125"/>
      <c r="BR786" s="16"/>
      <c r="BS786" s="123"/>
      <c r="BT786" s="19"/>
      <c r="BU786" s="139"/>
      <c r="BV786" s="139"/>
      <c r="BW786" s="123"/>
      <c r="BX786" s="123"/>
      <c r="BY786" s="123"/>
      <c r="BZ786" s="123"/>
      <c r="CA786" s="123"/>
      <c r="CB786" s="123"/>
      <c r="CC786" s="6"/>
      <c r="CD786" s="123"/>
      <c r="CE786" s="6"/>
      <c r="CF786" s="123"/>
      <c r="CG786" s="6"/>
      <c r="CH786" s="6"/>
      <c r="CI786" s="6"/>
      <c r="CJ786" s="6"/>
      <c r="CK786" s="123"/>
      <c r="CL786" s="6"/>
      <c r="CM786" s="6"/>
      <c r="CN786" s="6"/>
      <c r="CO786" s="138"/>
      <c r="CP786" s="138"/>
      <c r="CQ786" s="123"/>
      <c r="CR786" s="6"/>
      <c r="CS786" s="6"/>
      <c r="CT786" s="139"/>
      <c r="CU786" s="139"/>
      <c r="CV786" s="76"/>
      <c r="CW786" s="123"/>
      <c r="CX786" s="6"/>
      <c r="DI786" s="125"/>
      <c r="DJ786" s="16"/>
      <c r="DM786" s="16"/>
      <c r="DN786" s="16"/>
      <c r="DO786" s="125"/>
      <c r="DP786" s="16"/>
      <c r="DQ786" s="125"/>
      <c r="DZ786" s="125"/>
      <c r="EA786" s="142"/>
      <c r="EB786" s="125"/>
      <c r="EC786" s="16"/>
      <c r="ED786" s="125"/>
      <c r="EE786" s="125"/>
      <c r="EF786" s="16"/>
      <c r="EG786" s="125"/>
      <c r="EQ786" s="125"/>
      <c r="ER786" s="16"/>
      <c r="ES786" s="123"/>
      <c r="ET786" s="19"/>
      <c r="EU786" s="139"/>
      <c r="EV786" s="139"/>
      <c r="EW786" s="123"/>
      <c r="EX786" s="123"/>
      <c r="EY786" s="123"/>
      <c r="EZ786" s="123"/>
      <c r="FA786" s="123"/>
      <c r="FB786" s="123"/>
      <c r="FC786" s="6"/>
      <c r="FD786" s="123"/>
      <c r="FE786" s="6"/>
      <c r="FF786" s="123"/>
      <c r="FG786" s="6"/>
      <c r="FH786" s="6"/>
      <c r="FI786" s="6"/>
      <c r="FJ786" s="6"/>
      <c r="FK786" s="123"/>
      <c r="FL786" s="6"/>
      <c r="FM786" s="6"/>
      <c r="FN786" s="6"/>
      <c r="FO786" s="138"/>
      <c r="FP786" s="138"/>
      <c r="FQ786" s="123"/>
      <c r="FR786" s="6"/>
      <c r="FS786" s="6"/>
      <c r="FT786" s="139"/>
      <c r="FU786" s="139"/>
      <c r="FV786" s="76"/>
      <c r="FW786" s="123"/>
      <c r="FX786" s="6"/>
    </row>
    <row r="787" spans="35:180">
      <c r="AI787" s="125"/>
      <c r="AJ787" s="16"/>
      <c r="AM787" s="16"/>
      <c r="AN787" s="16"/>
      <c r="AO787" s="125"/>
      <c r="AP787" s="16"/>
      <c r="AQ787" s="125"/>
      <c r="AZ787" s="125"/>
      <c r="BA787" s="142"/>
      <c r="BB787" s="125"/>
      <c r="BC787" s="16"/>
      <c r="BD787" s="125"/>
      <c r="BE787" s="125"/>
      <c r="BF787" s="16"/>
      <c r="BG787" s="125"/>
      <c r="BQ787" s="125"/>
      <c r="BR787" s="16"/>
      <c r="BS787" s="123"/>
      <c r="BT787" s="19"/>
      <c r="BU787" s="139"/>
      <c r="BV787" s="139"/>
      <c r="BW787" s="123"/>
      <c r="BX787" s="123"/>
      <c r="BY787" s="123"/>
      <c r="BZ787" s="123"/>
      <c r="CA787" s="123"/>
      <c r="CB787" s="123"/>
      <c r="CC787" s="6"/>
      <c r="CD787" s="123"/>
      <c r="CE787" s="6"/>
      <c r="CF787" s="123"/>
      <c r="CG787" s="6"/>
      <c r="CH787" s="6"/>
      <c r="CI787" s="6"/>
      <c r="CJ787" s="6"/>
      <c r="CK787" s="123"/>
      <c r="CL787" s="6"/>
      <c r="CM787" s="6"/>
      <c r="CN787" s="6"/>
      <c r="CO787" s="138"/>
      <c r="CP787" s="138"/>
      <c r="CQ787" s="123"/>
      <c r="CR787" s="6"/>
      <c r="CS787" s="6"/>
      <c r="CT787" s="139"/>
      <c r="CU787" s="139"/>
      <c r="CV787" s="76"/>
      <c r="CW787" s="123"/>
      <c r="CX787" s="6"/>
      <c r="DI787" s="125"/>
      <c r="DJ787" s="16"/>
      <c r="DM787" s="16"/>
      <c r="DN787" s="16"/>
      <c r="DO787" s="125"/>
      <c r="DP787" s="16"/>
      <c r="DQ787" s="125"/>
      <c r="DZ787" s="125"/>
      <c r="EA787" s="142"/>
      <c r="EB787" s="125"/>
      <c r="EC787" s="16"/>
      <c r="ED787" s="125"/>
      <c r="EE787" s="125"/>
      <c r="EF787" s="16"/>
      <c r="EG787" s="125"/>
      <c r="EQ787" s="125"/>
      <c r="ER787" s="16"/>
      <c r="ES787" s="123"/>
      <c r="ET787" s="19"/>
      <c r="EU787" s="139"/>
      <c r="EV787" s="139"/>
      <c r="EW787" s="123"/>
      <c r="EX787" s="123"/>
      <c r="EY787" s="123"/>
      <c r="EZ787" s="123"/>
      <c r="FA787" s="123"/>
      <c r="FB787" s="123"/>
      <c r="FC787" s="6"/>
      <c r="FD787" s="123"/>
      <c r="FE787" s="6"/>
      <c r="FF787" s="123"/>
      <c r="FG787" s="6"/>
      <c r="FH787" s="6"/>
      <c r="FI787" s="6"/>
      <c r="FJ787" s="6"/>
      <c r="FK787" s="123"/>
      <c r="FL787" s="6"/>
      <c r="FM787" s="6"/>
      <c r="FN787" s="6"/>
      <c r="FO787" s="138"/>
      <c r="FP787" s="138"/>
      <c r="FQ787" s="123"/>
      <c r="FR787" s="6"/>
      <c r="FS787" s="6"/>
      <c r="FT787" s="139"/>
      <c r="FU787" s="139"/>
      <c r="FV787" s="76"/>
      <c r="FW787" s="123"/>
      <c r="FX787" s="6"/>
    </row>
    <row r="788" spans="35:180">
      <c r="AI788" s="125"/>
      <c r="AJ788" s="16"/>
      <c r="AM788" s="16"/>
      <c r="AN788" s="16"/>
      <c r="AO788" s="125"/>
      <c r="AP788" s="16"/>
      <c r="AQ788" s="125"/>
      <c r="AZ788" s="125"/>
      <c r="BA788" s="142"/>
      <c r="BB788" s="125"/>
      <c r="BC788" s="16"/>
      <c r="BD788" s="125"/>
      <c r="BE788" s="125"/>
      <c r="BF788" s="16"/>
      <c r="BG788" s="125"/>
      <c r="BQ788" s="125"/>
      <c r="BR788" s="16"/>
      <c r="BS788" s="123"/>
      <c r="BT788" s="19"/>
      <c r="BU788" s="139"/>
      <c r="BV788" s="139"/>
      <c r="BW788" s="123"/>
      <c r="BX788" s="123"/>
      <c r="BY788" s="123"/>
      <c r="BZ788" s="123"/>
      <c r="CA788" s="123"/>
      <c r="CB788" s="123"/>
      <c r="CC788" s="6"/>
      <c r="CD788" s="123"/>
      <c r="CE788" s="6"/>
      <c r="CF788" s="123"/>
      <c r="CG788" s="6"/>
      <c r="CH788" s="6"/>
      <c r="CI788" s="6"/>
      <c r="CJ788" s="6"/>
      <c r="CK788" s="123"/>
      <c r="CL788" s="6"/>
      <c r="CM788" s="6"/>
      <c r="CN788" s="6"/>
      <c r="CO788" s="138"/>
      <c r="CP788" s="138"/>
      <c r="CQ788" s="123"/>
      <c r="CR788" s="6"/>
      <c r="CS788" s="6"/>
      <c r="CT788" s="139"/>
      <c r="CU788" s="139"/>
      <c r="CV788" s="76"/>
      <c r="CW788" s="123"/>
      <c r="CX788" s="6"/>
      <c r="DI788" s="125"/>
      <c r="DJ788" s="16"/>
      <c r="DM788" s="16"/>
      <c r="DN788" s="16"/>
      <c r="DO788" s="125"/>
      <c r="DP788" s="16"/>
      <c r="DQ788" s="125"/>
      <c r="DZ788" s="125"/>
      <c r="EA788" s="142"/>
      <c r="EB788" s="125"/>
      <c r="EC788" s="16"/>
      <c r="ED788" s="125"/>
      <c r="EE788" s="125"/>
      <c r="EF788" s="16"/>
      <c r="EG788" s="125"/>
      <c r="EQ788" s="125"/>
      <c r="ER788" s="16"/>
      <c r="ES788" s="123"/>
      <c r="ET788" s="19"/>
      <c r="EU788" s="139"/>
      <c r="EV788" s="139"/>
      <c r="EW788" s="123"/>
      <c r="EX788" s="123"/>
      <c r="EY788" s="123"/>
      <c r="EZ788" s="123"/>
      <c r="FA788" s="123"/>
      <c r="FB788" s="123"/>
      <c r="FC788" s="6"/>
      <c r="FD788" s="123"/>
      <c r="FE788" s="6"/>
      <c r="FF788" s="123"/>
      <c r="FG788" s="6"/>
      <c r="FH788" s="6"/>
      <c r="FI788" s="6"/>
      <c r="FJ788" s="6"/>
      <c r="FK788" s="123"/>
      <c r="FL788" s="6"/>
      <c r="FM788" s="6"/>
      <c r="FN788" s="6"/>
      <c r="FO788" s="138"/>
      <c r="FP788" s="138"/>
      <c r="FQ788" s="123"/>
      <c r="FR788" s="6"/>
      <c r="FS788" s="6"/>
      <c r="FT788" s="139"/>
      <c r="FU788" s="139"/>
      <c r="FV788" s="76"/>
      <c r="FW788" s="123"/>
      <c r="FX788" s="6"/>
    </row>
    <row r="789" spans="35:180">
      <c r="AI789" s="125"/>
      <c r="AJ789" s="16"/>
      <c r="AM789" s="16"/>
      <c r="AN789" s="16"/>
      <c r="AO789" s="125"/>
      <c r="AP789" s="16"/>
      <c r="AQ789" s="125"/>
      <c r="AZ789" s="125"/>
      <c r="BA789" s="142"/>
      <c r="BB789" s="125"/>
      <c r="BC789" s="16"/>
      <c r="BD789" s="125"/>
      <c r="BE789" s="125"/>
      <c r="BF789" s="16"/>
      <c r="BG789" s="125"/>
      <c r="BQ789" s="125"/>
      <c r="BR789" s="16"/>
      <c r="BS789" s="123"/>
      <c r="BT789" s="19"/>
      <c r="BU789" s="139"/>
      <c r="BV789" s="139"/>
      <c r="BW789" s="123"/>
      <c r="BX789" s="123"/>
      <c r="BY789" s="123"/>
      <c r="BZ789" s="123"/>
      <c r="CA789" s="123"/>
      <c r="CB789" s="123"/>
      <c r="CC789" s="6"/>
      <c r="CD789" s="123"/>
      <c r="CE789" s="6"/>
      <c r="CF789" s="123"/>
      <c r="CG789" s="6"/>
      <c r="CH789" s="6"/>
      <c r="CI789" s="6"/>
      <c r="CJ789" s="6"/>
      <c r="CK789" s="123"/>
      <c r="CL789" s="6"/>
      <c r="CM789" s="6"/>
      <c r="CN789" s="6"/>
      <c r="CO789" s="138"/>
      <c r="CP789" s="138"/>
      <c r="CQ789" s="123"/>
      <c r="CR789" s="6"/>
      <c r="CS789" s="6"/>
      <c r="CT789" s="139"/>
      <c r="CU789" s="139"/>
      <c r="CV789" s="76"/>
      <c r="CW789" s="123"/>
      <c r="CX789" s="6"/>
      <c r="DI789" s="125"/>
      <c r="DJ789" s="16"/>
      <c r="DM789" s="16"/>
      <c r="DN789" s="16"/>
      <c r="DO789" s="125"/>
      <c r="DP789" s="16"/>
      <c r="DQ789" s="125"/>
      <c r="DZ789" s="125"/>
      <c r="EA789" s="142"/>
      <c r="EB789" s="125"/>
      <c r="EC789" s="16"/>
      <c r="ED789" s="125"/>
      <c r="EE789" s="125"/>
      <c r="EF789" s="16"/>
      <c r="EG789" s="125"/>
      <c r="EQ789" s="125"/>
      <c r="ER789" s="16"/>
      <c r="ES789" s="123"/>
      <c r="ET789" s="19"/>
      <c r="EU789" s="139"/>
      <c r="EV789" s="139"/>
      <c r="EW789" s="123"/>
      <c r="EX789" s="123"/>
      <c r="EY789" s="123"/>
      <c r="EZ789" s="123"/>
      <c r="FA789" s="123"/>
      <c r="FB789" s="123"/>
      <c r="FC789" s="6"/>
      <c r="FD789" s="123"/>
      <c r="FE789" s="6"/>
      <c r="FF789" s="123"/>
      <c r="FG789" s="6"/>
      <c r="FH789" s="6"/>
      <c r="FI789" s="6"/>
      <c r="FJ789" s="6"/>
      <c r="FK789" s="123"/>
      <c r="FL789" s="6"/>
      <c r="FM789" s="6"/>
      <c r="FN789" s="6"/>
      <c r="FO789" s="138"/>
      <c r="FP789" s="138"/>
      <c r="FQ789" s="123"/>
      <c r="FR789" s="6"/>
      <c r="FS789" s="6"/>
      <c r="FT789" s="139"/>
      <c r="FU789" s="139"/>
      <c r="FV789" s="76"/>
      <c r="FW789" s="123"/>
      <c r="FX789" s="6"/>
    </row>
    <row r="790" spans="35:180">
      <c r="AI790" s="125"/>
      <c r="AJ790" s="16"/>
      <c r="AM790" s="16"/>
      <c r="AN790" s="16"/>
      <c r="AO790" s="125"/>
      <c r="AP790" s="16"/>
      <c r="AQ790" s="125"/>
      <c r="AZ790" s="125"/>
      <c r="BA790" s="142"/>
      <c r="BB790" s="125"/>
      <c r="BC790" s="16"/>
      <c r="BD790" s="125"/>
      <c r="BE790" s="125"/>
      <c r="BF790" s="16"/>
      <c r="BG790" s="125"/>
      <c r="BQ790" s="125"/>
      <c r="BR790" s="16"/>
      <c r="BS790" s="123"/>
      <c r="BT790" s="19"/>
      <c r="BU790" s="139"/>
      <c r="BV790" s="139"/>
      <c r="BW790" s="123"/>
      <c r="BX790" s="123"/>
      <c r="BY790" s="123"/>
      <c r="BZ790" s="123"/>
      <c r="CA790" s="123"/>
      <c r="CB790" s="123"/>
      <c r="CC790" s="6"/>
      <c r="CD790" s="123"/>
      <c r="CE790" s="6"/>
      <c r="CF790" s="123"/>
      <c r="CG790" s="6"/>
      <c r="CH790" s="6"/>
      <c r="CI790" s="6"/>
      <c r="CJ790" s="6"/>
      <c r="CK790" s="123"/>
      <c r="CL790" s="6"/>
      <c r="CM790" s="6"/>
      <c r="CN790" s="6"/>
      <c r="CO790" s="138"/>
      <c r="CP790" s="138"/>
      <c r="CQ790" s="123"/>
      <c r="CR790" s="6"/>
      <c r="CS790" s="6"/>
      <c r="CT790" s="139"/>
      <c r="CU790" s="139"/>
      <c r="CV790" s="76"/>
      <c r="CW790" s="123"/>
      <c r="CX790" s="6"/>
      <c r="DI790" s="125"/>
      <c r="DJ790" s="16"/>
      <c r="DM790" s="16"/>
      <c r="DN790" s="16"/>
      <c r="DO790" s="125"/>
      <c r="DP790" s="16"/>
      <c r="DQ790" s="125"/>
      <c r="DZ790" s="125"/>
      <c r="EA790" s="142"/>
      <c r="EB790" s="125"/>
      <c r="EC790" s="16"/>
      <c r="ED790" s="125"/>
      <c r="EE790" s="125"/>
      <c r="EF790" s="16"/>
      <c r="EG790" s="125"/>
      <c r="EQ790" s="125"/>
      <c r="ER790" s="16"/>
      <c r="ES790" s="123"/>
      <c r="ET790" s="19"/>
      <c r="EU790" s="139"/>
      <c r="EV790" s="139"/>
      <c r="EW790" s="123"/>
      <c r="EX790" s="123"/>
      <c r="EY790" s="123"/>
      <c r="EZ790" s="123"/>
      <c r="FA790" s="123"/>
      <c r="FB790" s="123"/>
      <c r="FC790" s="6"/>
      <c r="FD790" s="123"/>
      <c r="FE790" s="6"/>
      <c r="FF790" s="123"/>
      <c r="FG790" s="6"/>
      <c r="FH790" s="6"/>
      <c r="FI790" s="6"/>
      <c r="FJ790" s="6"/>
      <c r="FK790" s="123"/>
      <c r="FL790" s="6"/>
      <c r="FM790" s="6"/>
      <c r="FN790" s="6"/>
      <c r="FO790" s="138"/>
      <c r="FP790" s="138"/>
      <c r="FQ790" s="123"/>
      <c r="FR790" s="6"/>
      <c r="FS790" s="6"/>
      <c r="FT790" s="139"/>
      <c r="FU790" s="139"/>
      <c r="FV790" s="76"/>
      <c r="FW790" s="123"/>
      <c r="FX790" s="6"/>
    </row>
    <row r="791" spans="35:180">
      <c r="AI791" s="125"/>
      <c r="AJ791" s="16"/>
      <c r="AM791" s="16"/>
      <c r="AN791" s="16"/>
      <c r="AO791" s="125"/>
      <c r="AP791" s="16"/>
      <c r="AQ791" s="125"/>
      <c r="AZ791" s="125"/>
      <c r="BA791" s="142"/>
      <c r="BB791" s="125"/>
      <c r="BC791" s="16"/>
      <c r="BD791" s="125"/>
      <c r="BE791" s="125"/>
      <c r="BF791" s="16"/>
      <c r="BG791" s="125"/>
      <c r="BQ791" s="125"/>
      <c r="BR791" s="16"/>
      <c r="BS791" s="123"/>
      <c r="BT791" s="19"/>
      <c r="BU791" s="139"/>
      <c r="BV791" s="139"/>
      <c r="BW791" s="123"/>
      <c r="BX791" s="123"/>
      <c r="BY791" s="123"/>
      <c r="BZ791" s="123"/>
      <c r="CA791" s="123"/>
      <c r="CB791" s="123"/>
      <c r="CC791" s="6"/>
      <c r="CD791" s="123"/>
      <c r="CE791" s="6"/>
      <c r="CF791" s="123"/>
      <c r="CG791" s="6"/>
      <c r="CH791" s="6"/>
      <c r="CI791" s="6"/>
      <c r="CJ791" s="6"/>
      <c r="CK791" s="123"/>
      <c r="CL791" s="6"/>
      <c r="CM791" s="6"/>
      <c r="CN791" s="6"/>
      <c r="CO791" s="138"/>
      <c r="CP791" s="138"/>
      <c r="CQ791" s="123"/>
      <c r="CR791" s="6"/>
      <c r="CS791" s="6"/>
      <c r="CT791" s="139"/>
      <c r="CU791" s="139"/>
      <c r="CV791" s="76"/>
      <c r="CW791" s="123"/>
      <c r="CX791" s="6"/>
      <c r="DI791" s="125"/>
      <c r="DJ791" s="16"/>
      <c r="DM791" s="16"/>
      <c r="DN791" s="16"/>
      <c r="DO791" s="125"/>
      <c r="DP791" s="16"/>
      <c r="DQ791" s="125"/>
      <c r="DZ791" s="125"/>
      <c r="EA791" s="142"/>
      <c r="EB791" s="125"/>
      <c r="EC791" s="16"/>
      <c r="ED791" s="125"/>
      <c r="EE791" s="125"/>
      <c r="EF791" s="16"/>
      <c r="EG791" s="125"/>
      <c r="EQ791" s="125"/>
      <c r="ER791" s="16"/>
      <c r="ES791" s="123"/>
      <c r="ET791" s="19"/>
      <c r="EU791" s="139"/>
      <c r="EV791" s="139"/>
      <c r="EW791" s="123"/>
      <c r="EX791" s="123"/>
      <c r="EY791" s="123"/>
      <c r="EZ791" s="123"/>
      <c r="FA791" s="123"/>
      <c r="FB791" s="123"/>
      <c r="FC791" s="6"/>
      <c r="FD791" s="123"/>
      <c r="FE791" s="6"/>
      <c r="FF791" s="123"/>
      <c r="FG791" s="6"/>
      <c r="FH791" s="6"/>
      <c r="FI791" s="6"/>
      <c r="FJ791" s="6"/>
      <c r="FK791" s="123"/>
      <c r="FL791" s="6"/>
      <c r="FM791" s="6"/>
      <c r="FN791" s="6"/>
      <c r="FO791" s="138"/>
      <c r="FP791" s="138"/>
      <c r="FQ791" s="123"/>
      <c r="FR791" s="6"/>
      <c r="FS791" s="6"/>
      <c r="FT791" s="139"/>
      <c r="FU791" s="139"/>
      <c r="FV791" s="76"/>
      <c r="FW791" s="123"/>
      <c r="FX791" s="6"/>
    </row>
    <row r="792" spans="35:180">
      <c r="AI792" s="125"/>
      <c r="AJ792" s="16"/>
      <c r="AM792" s="16"/>
      <c r="AN792" s="16"/>
      <c r="AO792" s="125"/>
      <c r="AP792" s="16"/>
      <c r="AQ792" s="125"/>
      <c r="AZ792" s="125"/>
      <c r="BA792" s="142"/>
      <c r="BB792" s="125"/>
      <c r="BC792" s="16"/>
      <c r="BD792" s="125"/>
      <c r="BE792" s="125"/>
      <c r="BF792" s="16"/>
      <c r="BG792" s="125"/>
      <c r="BQ792" s="125"/>
      <c r="BR792" s="16"/>
      <c r="BS792" s="123"/>
      <c r="BT792" s="19"/>
      <c r="BU792" s="139"/>
      <c r="BV792" s="139"/>
      <c r="BW792" s="123"/>
      <c r="BX792" s="123"/>
      <c r="BY792" s="123"/>
      <c r="BZ792" s="123"/>
      <c r="CA792" s="123"/>
      <c r="CB792" s="123"/>
      <c r="CC792" s="6"/>
      <c r="CD792" s="123"/>
      <c r="CE792" s="6"/>
      <c r="CF792" s="123"/>
      <c r="CG792" s="6"/>
      <c r="CH792" s="6"/>
      <c r="CI792" s="6"/>
      <c r="CJ792" s="6"/>
      <c r="CK792" s="123"/>
      <c r="CL792" s="6"/>
      <c r="CM792" s="6"/>
      <c r="CN792" s="6"/>
      <c r="CO792" s="138"/>
      <c r="CP792" s="138"/>
      <c r="CQ792" s="123"/>
      <c r="CR792" s="6"/>
      <c r="CS792" s="6"/>
      <c r="CT792" s="139"/>
      <c r="CU792" s="139"/>
      <c r="CV792" s="76"/>
      <c r="CW792" s="123"/>
      <c r="CX792" s="6"/>
      <c r="DI792" s="125"/>
      <c r="DJ792" s="16"/>
      <c r="DM792" s="16"/>
      <c r="DN792" s="16"/>
      <c r="DO792" s="125"/>
      <c r="DP792" s="16"/>
      <c r="DQ792" s="125"/>
      <c r="DZ792" s="125"/>
      <c r="EA792" s="142"/>
      <c r="EB792" s="125"/>
      <c r="EC792" s="16"/>
      <c r="ED792" s="125"/>
      <c r="EE792" s="125"/>
      <c r="EF792" s="16"/>
      <c r="EG792" s="125"/>
      <c r="EQ792" s="125"/>
      <c r="ER792" s="16"/>
      <c r="ES792" s="123"/>
      <c r="ET792" s="19"/>
      <c r="EU792" s="139"/>
      <c r="EV792" s="139"/>
      <c r="EW792" s="123"/>
      <c r="EX792" s="123"/>
      <c r="EY792" s="123"/>
      <c r="EZ792" s="123"/>
      <c r="FA792" s="123"/>
      <c r="FB792" s="123"/>
      <c r="FC792" s="6"/>
      <c r="FD792" s="123"/>
      <c r="FE792" s="6"/>
      <c r="FF792" s="123"/>
      <c r="FG792" s="6"/>
      <c r="FH792" s="6"/>
      <c r="FI792" s="6"/>
      <c r="FJ792" s="6"/>
      <c r="FK792" s="123"/>
      <c r="FL792" s="6"/>
      <c r="FM792" s="6"/>
      <c r="FN792" s="6"/>
      <c r="FO792" s="138"/>
      <c r="FP792" s="138"/>
      <c r="FQ792" s="123"/>
      <c r="FR792" s="6"/>
      <c r="FS792" s="6"/>
      <c r="FT792" s="139"/>
      <c r="FU792" s="139"/>
      <c r="FV792" s="76"/>
      <c r="FW792" s="123"/>
      <c r="FX792" s="6"/>
    </row>
    <row r="793" spans="35:180">
      <c r="AI793" s="125"/>
      <c r="AJ793" s="16"/>
      <c r="AM793" s="16"/>
      <c r="AN793" s="16"/>
      <c r="AO793" s="125"/>
      <c r="AP793" s="16"/>
      <c r="AQ793" s="125"/>
      <c r="AZ793" s="125"/>
      <c r="BA793" s="142"/>
      <c r="BB793" s="125"/>
      <c r="BC793" s="16"/>
      <c r="BD793" s="125"/>
      <c r="BE793" s="125"/>
      <c r="BF793" s="16"/>
      <c r="BG793" s="125"/>
      <c r="BQ793" s="125"/>
      <c r="BR793" s="16"/>
      <c r="BS793" s="123"/>
      <c r="BT793" s="19"/>
      <c r="BU793" s="139"/>
      <c r="BV793" s="139"/>
      <c r="BW793" s="123"/>
      <c r="BX793" s="123"/>
      <c r="BY793" s="123"/>
      <c r="BZ793" s="123"/>
      <c r="CA793" s="123"/>
      <c r="CB793" s="123"/>
      <c r="CC793" s="6"/>
      <c r="CD793" s="123"/>
      <c r="CE793" s="6"/>
      <c r="CF793" s="123"/>
      <c r="CG793" s="6"/>
      <c r="CH793" s="6"/>
      <c r="CI793" s="6"/>
      <c r="CJ793" s="6"/>
      <c r="CK793" s="123"/>
      <c r="CL793" s="6"/>
      <c r="CM793" s="6"/>
      <c r="CN793" s="6"/>
      <c r="CO793" s="138"/>
      <c r="CP793" s="138"/>
      <c r="CQ793" s="123"/>
      <c r="CR793" s="6"/>
      <c r="CS793" s="6"/>
      <c r="CT793" s="139"/>
      <c r="CU793" s="139"/>
      <c r="CV793" s="76"/>
      <c r="CW793" s="123"/>
      <c r="CX793" s="6"/>
      <c r="DI793" s="125"/>
      <c r="DJ793" s="16"/>
      <c r="DM793" s="16"/>
      <c r="DN793" s="16"/>
      <c r="DO793" s="125"/>
      <c r="DP793" s="16"/>
      <c r="DQ793" s="125"/>
      <c r="DZ793" s="125"/>
      <c r="EA793" s="142"/>
      <c r="EB793" s="125"/>
      <c r="EC793" s="16"/>
      <c r="ED793" s="125"/>
      <c r="EE793" s="125"/>
      <c r="EF793" s="16"/>
      <c r="EG793" s="125"/>
      <c r="EQ793" s="125"/>
      <c r="ER793" s="16"/>
      <c r="ES793" s="123"/>
      <c r="ET793" s="19"/>
      <c r="EU793" s="139"/>
      <c r="EV793" s="139"/>
      <c r="EW793" s="123"/>
      <c r="EX793" s="123"/>
      <c r="EY793" s="123"/>
      <c r="EZ793" s="123"/>
      <c r="FA793" s="123"/>
      <c r="FB793" s="123"/>
      <c r="FC793" s="6"/>
      <c r="FD793" s="123"/>
      <c r="FE793" s="6"/>
      <c r="FF793" s="123"/>
      <c r="FG793" s="6"/>
      <c r="FH793" s="6"/>
      <c r="FI793" s="6"/>
      <c r="FJ793" s="6"/>
      <c r="FK793" s="123"/>
      <c r="FL793" s="6"/>
      <c r="FM793" s="6"/>
      <c r="FN793" s="6"/>
      <c r="FO793" s="138"/>
      <c r="FP793" s="138"/>
      <c r="FQ793" s="123"/>
      <c r="FR793" s="6"/>
      <c r="FS793" s="6"/>
      <c r="FT793" s="139"/>
      <c r="FU793" s="139"/>
      <c r="FV793" s="76"/>
      <c r="FW793" s="123"/>
      <c r="FX793" s="6"/>
    </row>
    <row r="794" spans="35:180">
      <c r="AI794" s="125"/>
      <c r="AJ794" s="16"/>
      <c r="AM794" s="16"/>
      <c r="AN794" s="16"/>
      <c r="AO794" s="125"/>
      <c r="AP794" s="16"/>
      <c r="AQ794" s="125"/>
      <c r="AZ794" s="125"/>
      <c r="BA794" s="142"/>
      <c r="BB794" s="125"/>
      <c r="BC794" s="16"/>
      <c r="BD794" s="125"/>
      <c r="BE794" s="125"/>
      <c r="BF794" s="16"/>
      <c r="BG794" s="125"/>
      <c r="BQ794" s="125"/>
      <c r="BR794" s="16"/>
      <c r="BS794" s="123"/>
      <c r="BT794" s="19"/>
      <c r="BU794" s="139"/>
      <c r="BV794" s="139"/>
      <c r="BW794" s="123"/>
      <c r="BX794" s="123"/>
      <c r="BY794" s="123"/>
      <c r="BZ794" s="123"/>
      <c r="CA794" s="123"/>
      <c r="CB794" s="123"/>
      <c r="CC794" s="6"/>
      <c r="CD794" s="123"/>
      <c r="CE794" s="6"/>
      <c r="CF794" s="123"/>
      <c r="CG794" s="6"/>
      <c r="CH794" s="6"/>
      <c r="CI794" s="6"/>
      <c r="CJ794" s="6"/>
      <c r="CK794" s="123"/>
      <c r="CL794" s="6"/>
      <c r="CM794" s="6"/>
      <c r="CN794" s="6"/>
      <c r="CO794" s="138"/>
      <c r="CP794" s="138"/>
      <c r="CQ794" s="123"/>
      <c r="CR794" s="6"/>
      <c r="CS794" s="6"/>
      <c r="CT794" s="139"/>
      <c r="CU794" s="139"/>
      <c r="CV794" s="76"/>
      <c r="CW794" s="123"/>
      <c r="CX794" s="6"/>
      <c r="DI794" s="125"/>
      <c r="DJ794" s="16"/>
      <c r="DM794" s="16"/>
      <c r="DN794" s="16"/>
      <c r="DO794" s="125"/>
      <c r="DP794" s="16"/>
      <c r="DQ794" s="125"/>
      <c r="DZ794" s="125"/>
      <c r="EA794" s="142"/>
      <c r="EB794" s="125"/>
      <c r="EC794" s="16"/>
      <c r="ED794" s="125"/>
      <c r="EE794" s="125"/>
      <c r="EF794" s="16"/>
      <c r="EG794" s="125"/>
      <c r="EQ794" s="125"/>
      <c r="ER794" s="16"/>
      <c r="ES794" s="123"/>
      <c r="ET794" s="19"/>
      <c r="EU794" s="139"/>
      <c r="EV794" s="139"/>
      <c r="EW794" s="123"/>
      <c r="EX794" s="123"/>
      <c r="EY794" s="123"/>
      <c r="EZ794" s="123"/>
      <c r="FA794" s="123"/>
      <c r="FB794" s="123"/>
      <c r="FC794" s="6"/>
      <c r="FD794" s="123"/>
      <c r="FE794" s="6"/>
      <c r="FF794" s="123"/>
      <c r="FG794" s="6"/>
      <c r="FH794" s="6"/>
      <c r="FI794" s="6"/>
      <c r="FJ794" s="6"/>
      <c r="FK794" s="123"/>
      <c r="FL794" s="6"/>
      <c r="FM794" s="6"/>
      <c r="FN794" s="6"/>
      <c r="FO794" s="138"/>
      <c r="FP794" s="138"/>
      <c r="FQ794" s="123"/>
      <c r="FR794" s="6"/>
      <c r="FS794" s="6"/>
      <c r="FT794" s="139"/>
      <c r="FU794" s="139"/>
      <c r="FV794" s="76"/>
      <c r="FW794" s="123"/>
      <c r="FX794" s="6"/>
    </row>
    <row r="795" spans="35:180">
      <c r="AI795" s="125"/>
      <c r="AJ795" s="16"/>
      <c r="AM795" s="16"/>
      <c r="AN795" s="16"/>
      <c r="AO795" s="125"/>
      <c r="AP795" s="16"/>
      <c r="AQ795" s="125"/>
      <c r="AZ795" s="125"/>
      <c r="BA795" s="142"/>
      <c r="BB795" s="125"/>
      <c r="BC795" s="16"/>
      <c r="BD795" s="125"/>
      <c r="BE795" s="125"/>
      <c r="BF795" s="16"/>
      <c r="BG795" s="125"/>
      <c r="BQ795" s="125"/>
      <c r="BR795" s="16"/>
      <c r="BS795" s="123"/>
      <c r="BT795" s="19"/>
      <c r="BU795" s="139"/>
      <c r="BV795" s="139"/>
      <c r="BW795" s="123"/>
      <c r="BX795" s="123"/>
      <c r="BY795" s="123"/>
      <c r="BZ795" s="123"/>
      <c r="CA795" s="123"/>
      <c r="CB795" s="123"/>
      <c r="CC795" s="6"/>
      <c r="CD795" s="123"/>
      <c r="CE795" s="6"/>
      <c r="CF795" s="123"/>
      <c r="CG795" s="6"/>
      <c r="CH795" s="6"/>
      <c r="CI795" s="6"/>
      <c r="CJ795" s="6"/>
      <c r="CK795" s="123"/>
      <c r="CL795" s="6"/>
      <c r="CM795" s="6"/>
      <c r="CN795" s="6"/>
      <c r="CO795" s="138"/>
      <c r="CP795" s="138"/>
      <c r="CQ795" s="123"/>
      <c r="CR795" s="6"/>
      <c r="CS795" s="6"/>
      <c r="CT795" s="139"/>
      <c r="CU795" s="139"/>
      <c r="CV795" s="76"/>
      <c r="CW795" s="123"/>
      <c r="CX795" s="6"/>
      <c r="DI795" s="125"/>
      <c r="DJ795" s="16"/>
      <c r="DM795" s="16"/>
      <c r="DN795" s="16"/>
      <c r="DO795" s="125"/>
      <c r="DP795" s="16"/>
      <c r="DQ795" s="125"/>
      <c r="DZ795" s="125"/>
      <c r="EA795" s="142"/>
      <c r="EB795" s="125"/>
      <c r="EC795" s="16"/>
      <c r="ED795" s="125"/>
      <c r="EE795" s="125"/>
      <c r="EF795" s="16"/>
      <c r="EG795" s="125"/>
      <c r="EQ795" s="125"/>
      <c r="ER795" s="16"/>
      <c r="ES795" s="123"/>
      <c r="ET795" s="19"/>
      <c r="EU795" s="139"/>
      <c r="EV795" s="139"/>
      <c r="EW795" s="123"/>
      <c r="EX795" s="123"/>
      <c r="EY795" s="123"/>
      <c r="EZ795" s="123"/>
      <c r="FA795" s="123"/>
      <c r="FB795" s="123"/>
      <c r="FC795" s="6"/>
      <c r="FD795" s="123"/>
      <c r="FE795" s="6"/>
      <c r="FF795" s="123"/>
      <c r="FG795" s="6"/>
      <c r="FH795" s="6"/>
      <c r="FI795" s="6"/>
      <c r="FJ795" s="6"/>
      <c r="FK795" s="123"/>
      <c r="FL795" s="6"/>
      <c r="FM795" s="6"/>
      <c r="FN795" s="6"/>
      <c r="FO795" s="138"/>
      <c r="FP795" s="138"/>
      <c r="FQ795" s="123"/>
      <c r="FR795" s="6"/>
      <c r="FS795" s="6"/>
      <c r="FT795" s="139"/>
      <c r="FU795" s="139"/>
      <c r="FV795" s="76"/>
      <c r="FW795" s="123"/>
      <c r="FX795" s="6"/>
    </row>
    <row r="796" spans="35:180">
      <c r="AI796" s="125"/>
      <c r="AJ796" s="16"/>
      <c r="AM796" s="16"/>
      <c r="AN796" s="16"/>
      <c r="AO796" s="125"/>
      <c r="AP796" s="16"/>
      <c r="AQ796" s="125"/>
      <c r="AZ796" s="125"/>
      <c r="BA796" s="142"/>
      <c r="BB796" s="125"/>
      <c r="BC796" s="16"/>
      <c r="BD796" s="125"/>
      <c r="BE796" s="125"/>
      <c r="BF796" s="16"/>
      <c r="BG796" s="125"/>
      <c r="BQ796" s="125"/>
      <c r="BR796" s="16"/>
      <c r="BS796" s="123"/>
      <c r="BT796" s="19"/>
      <c r="BU796" s="139"/>
      <c r="BV796" s="139"/>
      <c r="BW796" s="123"/>
      <c r="BX796" s="123"/>
      <c r="BY796" s="123"/>
      <c r="BZ796" s="123"/>
      <c r="CA796" s="123"/>
      <c r="CB796" s="123"/>
      <c r="CC796" s="6"/>
      <c r="CD796" s="123"/>
      <c r="CE796" s="6"/>
      <c r="CF796" s="123"/>
      <c r="CG796" s="6"/>
      <c r="CH796" s="6"/>
      <c r="CI796" s="6"/>
      <c r="CJ796" s="6"/>
      <c r="CK796" s="123"/>
      <c r="CL796" s="6"/>
      <c r="CM796" s="6"/>
      <c r="CN796" s="6"/>
      <c r="CO796" s="138"/>
      <c r="CP796" s="138"/>
      <c r="CQ796" s="123"/>
      <c r="CR796" s="6"/>
      <c r="CS796" s="6"/>
      <c r="CT796" s="139"/>
      <c r="CU796" s="139"/>
      <c r="CV796" s="76"/>
      <c r="CW796" s="123"/>
      <c r="CX796" s="6"/>
      <c r="DI796" s="125"/>
      <c r="DJ796" s="16"/>
      <c r="DM796" s="16"/>
      <c r="DN796" s="16"/>
      <c r="DO796" s="125"/>
      <c r="DP796" s="16"/>
      <c r="DQ796" s="125"/>
      <c r="DZ796" s="125"/>
      <c r="EA796" s="142"/>
      <c r="EB796" s="125"/>
      <c r="EC796" s="16"/>
      <c r="ED796" s="125"/>
      <c r="EE796" s="125"/>
      <c r="EF796" s="16"/>
      <c r="EG796" s="125"/>
      <c r="EQ796" s="125"/>
      <c r="ER796" s="16"/>
      <c r="ES796" s="123"/>
      <c r="ET796" s="19"/>
      <c r="EU796" s="139"/>
      <c r="EV796" s="139"/>
      <c r="EW796" s="123"/>
      <c r="EX796" s="123"/>
      <c r="EY796" s="123"/>
      <c r="EZ796" s="123"/>
      <c r="FA796" s="123"/>
      <c r="FB796" s="123"/>
      <c r="FC796" s="6"/>
      <c r="FD796" s="123"/>
      <c r="FE796" s="6"/>
      <c r="FF796" s="123"/>
      <c r="FG796" s="6"/>
      <c r="FH796" s="6"/>
      <c r="FI796" s="6"/>
      <c r="FJ796" s="6"/>
      <c r="FK796" s="123"/>
      <c r="FL796" s="6"/>
      <c r="FM796" s="6"/>
      <c r="FN796" s="6"/>
      <c r="FO796" s="138"/>
      <c r="FP796" s="138"/>
      <c r="FQ796" s="123"/>
      <c r="FR796" s="6"/>
      <c r="FS796" s="6"/>
      <c r="FT796" s="139"/>
      <c r="FU796" s="139"/>
      <c r="FV796" s="76"/>
      <c r="FW796" s="123"/>
      <c r="FX796" s="6"/>
    </row>
    <row r="797" spans="35:180">
      <c r="AI797" s="125"/>
      <c r="AJ797" s="16"/>
      <c r="AM797" s="16"/>
      <c r="AN797" s="16"/>
      <c r="AO797" s="125"/>
      <c r="AP797" s="16"/>
      <c r="AQ797" s="125"/>
      <c r="AZ797" s="125"/>
      <c r="BA797" s="142"/>
      <c r="BB797" s="125"/>
      <c r="BC797" s="16"/>
      <c r="BD797" s="125"/>
      <c r="BE797" s="125"/>
      <c r="BF797" s="16"/>
      <c r="BG797" s="125"/>
      <c r="BQ797" s="125"/>
      <c r="BR797" s="16"/>
      <c r="BS797" s="123"/>
      <c r="BT797" s="19"/>
      <c r="BU797" s="139"/>
      <c r="BV797" s="139"/>
      <c r="BW797" s="123"/>
      <c r="BX797" s="123"/>
      <c r="BY797" s="123"/>
      <c r="BZ797" s="123"/>
      <c r="CA797" s="123"/>
      <c r="CB797" s="123"/>
      <c r="CC797" s="6"/>
      <c r="CD797" s="123"/>
      <c r="CE797" s="6"/>
      <c r="CF797" s="123"/>
      <c r="CG797" s="6"/>
      <c r="CH797" s="6"/>
      <c r="CI797" s="6"/>
      <c r="CJ797" s="6"/>
      <c r="CK797" s="123"/>
      <c r="CL797" s="6"/>
      <c r="CM797" s="6"/>
      <c r="CN797" s="6"/>
      <c r="CO797" s="138"/>
      <c r="CP797" s="138"/>
      <c r="CQ797" s="123"/>
      <c r="CR797" s="6"/>
      <c r="CS797" s="6"/>
      <c r="CT797" s="139"/>
      <c r="CU797" s="139"/>
      <c r="CV797" s="76"/>
      <c r="CW797" s="123"/>
      <c r="CX797" s="6"/>
      <c r="DI797" s="125"/>
      <c r="DJ797" s="16"/>
      <c r="DM797" s="16"/>
      <c r="DN797" s="16"/>
      <c r="DO797" s="125"/>
      <c r="DP797" s="16"/>
      <c r="DQ797" s="125"/>
      <c r="DZ797" s="125"/>
      <c r="EA797" s="142"/>
      <c r="EB797" s="125"/>
      <c r="EC797" s="16"/>
      <c r="ED797" s="125"/>
      <c r="EE797" s="125"/>
      <c r="EF797" s="16"/>
      <c r="EG797" s="125"/>
      <c r="EQ797" s="125"/>
      <c r="ER797" s="16"/>
      <c r="ES797" s="123"/>
      <c r="ET797" s="19"/>
      <c r="EU797" s="139"/>
      <c r="EV797" s="139"/>
      <c r="EW797" s="123"/>
      <c r="EX797" s="123"/>
      <c r="EY797" s="123"/>
      <c r="EZ797" s="123"/>
      <c r="FA797" s="123"/>
      <c r="FB797" s="123"/>
      <c r="FC797" s="6"/>
      <c r="FD797" s="123"/>
      <c r="FE797" s="6"/>
      <c r="FF797" s="123"/>
      <c r="FG797" s="6"/>
      <c r="FH797" s="6"/>
      <c r="FI797" s="6"/>
      <c r="FJ797" s="6"/>
      <c r="FK797" s="123"/>
      <c r="FL797" s="6"/>
      <c r="FM797" s="6"/>
      <c r="FN797" s="6"/>
      <c r="FO797" s="138"/>
      <c r="FP797" s="138"/>
      <c r="FQ797" s="123"/>
      <c r="FR797" s="6"/>
      <c r="FS797" s="6"/>
      <c r="FT797" s="139"/>
      <c r="FU797" s="139"/>
      <c r="FV797" s="76"/>
      <c r="FW797" s="123"/>
      <c r="FX797" s="6"/>
    </row>
    <row r="798" spans="35:180">
      <c r="AI798" s="125"/>
      <c r="AJ798" s="16"/>
      <c r="AM798" s="16"/>
      <c r="AN798" s="16"/>
      <c r="AO798" s="125"/>
      <c r="AP798" s="16"/>
      <c r="AQ798" s="125"/>
      <c r="AZ798" s="125"/>
      <c r="BA798" s="142"/>
      <c r="BB798" s="125"/>
      <c r="BC798" s="16"/>
      <c r="BD798" s="125"/>
      <c r="BE798" s="125"/>
      <c r="BF798" s="16"/>
      <c r="BG798" s="125"/>
      <c r="BQ798" s="125"/>
      <c r="BR798" s="16"/>
      <c r="BS798" s="123"/>
      <c r="BT798" s="19"/>
      <c r="BU798" s="139"/>
      <c r="BV798" s="139"/>
      <c r="BW798" s="123"/>
      <c r="BX798" s="123"/>
      <c r="BY798" s="123"/>
      <c r="BZ798" s="123"/>
      <c r="CA798" s="123"/>
      <c r="CB798" s="123"/>
      <c r="CC798" s="6"/>
      <c r="CD798" s="123"/>
      <c r="CE798" s="6"/>
      <c r="CF798" s="123"/>
      <c r="CG798" s="6"/>
      <c r="CH798" s="6"/>
      <c r="CI798" s="6"/>
      <c r="CJ798" s="6"/>
      <c r="CK798" s="123"/>
      <c r="CL798" s="6"/>
      <c r="CM798" s="6"/>
      <c r="CN798" s="6"/>
      <c r="CO798" s="138"/>
      <c r="CP798" s="138"/>
      <c r="CQ798" s="123"/>
      <c r="CR798" s="6"/>
      <c r="CS798" s="6"/>
      <c r="CT798" s="139"/>
      <c r="CU798" s="139"/>
      <c r="CV798" s="76"/>
      <c r="CW798" s="123"/>
      <c r="CX798" s="6"/>
      <c r="DI798" s="125"/>
      <c r="DJ798" s="16"/>
      <c r="DM798" s="16"/>
      <c r="DN798" s="16"/>
      <c r="DO798" s="125"/>
      <c r="DP798" s="16"/>
      <c r="DQ798" s="125"/>
      <c r="DZ798" s="125"/>
      <c r="EA798" s="142"/>
      <c r="EB798" s="125"/>
      <c r="EC798" s="16"/>
      <c r="ED798" s="125"/>
      <c r="EE798" s="125"/>
      <c r="EF798" s="16"/>
      <c r="EG798" s="125"/>
      <c r="EQ798" s="125"/>
      <c r="ER798" s="16"/>
      <c r="ES798" s="123"/>
      <c r="ET798" s="19"/>
      <c r="EU798" s="139"/>
      <c r="EV798" s="139"/>
      <c r="EW798" s="123"/>
      <c r="EX798" s="123"/>
      <c r="EY798" s="123"/>
      <c r="EZ798" s="123"/>
      <c r="FA798" s="123"/>
      <c r="FB798" s="123"/>
      <c r="FC798" s="6"/>
      <c r="FD798" s="123"/>
      <c r="FE798" s="6"/>
      <c r="FF798" s="123"/>
      <c r="FG798" s="6"/>
      <c r="FH798" s="6"/>
      <c r="FI798" s="6"/>
      <c r="FJ798" s="6"/>
      <c r="FK798" s="123"/>
      <c r="FL798" s="6"/>
      <c r="FM798" s="6"/>
      <c r="FN798" s="6"/>
      <c r="FO798" s="138"/>
      <c r="FP798" s="138"/>
      <c r="FQ798" s="123"/>
      <c r="FR798" s="6"/>
      <c r="FS798" s="6"/>
      <c r="FT798" s="139"/>
      <c r="FU798" s="139"/>
      <c r="FV798" s="76"/>
      <c r="FW798" s="123"/>
      <c r="FX798" s="6"/>
    </row>
    <row r="799" spans="35:180">
      <c r="AI799" s="125"/>
      <c r="AJ799" s="16"/>
      <c r="AM799" s="16"/>
      <c r="AN799" s="16"/>
      <c r="AO799" s="125"/>
      <c r="AP799" s="16"/>
      <c r="AQ799" s="125"/>
      <c r="AZ799" s="125"/>
      <c r="BA799" s="142"/>
      <c r="BB799" s="125"/>
      <c r="BC799" s="16"/>
      <c r="BD799" s="125"/>
      <c r="BE799" s="125"/>
      <c r="BF799" s="16"/>
      <c r="BG799" s="125"/>
      <c r="BQ799" s="125"/>
      <c r="BR799" s="16"/>
      <c r="BS799" s="123"/>
      <c r="BT799" s="19"/>
      <c r="BU799" s="139"/>
      <c r="BV799" s="139"/>
      <c r="BW799" s="123"/>
      <c r="BX799" s="123"/>
      <c r="BY799" s="123"/>
      <c r="BZ799" s="123"/>
      <c r="CA799" s="123"/>
      <c r="CB799" s="123"/>
      <c r="CC799" s="6"/>
      <c r="CD799" s="123"/>
      <c r="CE799" s="6"/>
      <c r="CF799" s="123"/>
      <c r="CG799" s="6"/>
      <c r="CH799" s="6"/>
      <c r="CI799" s="6"/>
      <c r="CJ799" s="6"/>
      <c r="CK799" s="123"/>
      <c r="CL799" s="6"/>
      <c r="CM799" s="6"/>
      <c r="CN799" s="6"/>
      <c r="CO799" s="138"/>
      <c r="CP799" s="138"/>
      <c r="CQ799" s="123"/>
      <c r="CR799" s="6"/>
      <c r="CS799" s="6"/>
      <c r="CT799" s="139"/>
      <c r="CU799" s="139"/>
      <c r="CV799" s="76"/>
      <c r="CW799" s="123"/>
      <c r="CX799" s="6"/>
      <c r="DI799" s="125"/>
      <c r="DJ799" s="16"/>
      <c r="DM799" s="16"/>
      <c r="DN799" s="16"/>
      <c r="DO799" s="125"/>
      <c r="DP799" s="16"/>
      <c r="DQ799" s="125"/>
      <c r="DZ799" s="125"/>
      <c r="EA799" s="142"/>
      <c r="EB799" s="125"/>
      <c r="EC799" s="16"/>
      <c r="ED799" s="125"/>
      <c r="EE799" s="125"/>
      <c r="EF799" s="16"/>
      <c r="EG799" s="125"/>
      <c r="EQ799" s="125"/>
      <c r="ER799" s="16"/>
      <c r="ES799" s="123"/>
      <c r="ET799" s="19"/>
      <c r="EU799" s="139"/>
      <c r="EV799" s="139"/>
      <c r="EW799" s="123"/>
      <c r="EX799" s="123"/>
      <c r="EY799" s="123"/>
      <c r="EZ799" s="123"/>
      <c r="FA799" s="123"/>
      <c r="FB799" s="123"/>
      <c r="FC799" s="6"/>
      <c r="FD799" s="123"/>
      <c r="FE799" s="6"/>
      <c r="FF799" s="123"/>
      <c r="FG799" s="6"/>
      <c r="FH799" s="6"/>
      <c r="FI799" s="6"/>
      <c r="FJ799" s="6"/>
      <c r="FK799" s="123"/>
      <c r="FL799" s="6"/>
      <c r="FM799" s="6"/>
      <c r="FN799" s="6"/>
      <c r="FO799" s="138"/>
      <c r="FP799" s="138"/>
      <c r="FQ799" s="123"/>
      <c r="FR799" s="6"/>
      <c r="FS799" s="6"/>
      <c r="FT799" s="139"/>
      <c r="FU799" s="139"/>
      <c r="FV799" s="76"/>
      <c r="FW799" s="123"/>
      <c r="FX799" s="6"/>
    </row>
    <row r="800" spans="35:180">
      <c r="AI800" s="125"/>
      <c r="AJ800" s="16"/>
      <c r="AM800" s="16"/>
      <c r="AN800" s="16"/>
      <c r="AO800" s="125"/>
      <c r="AP800" s="16"/>
      <c r="AQ800" s="125"/>
      <c r="AZ800" s="125"/>
      <c r="BA800" s="142"/>
      <c r="BB800" s="125"/>
      <c r="BC800" s="16"/>
      <c r="BD800" s="125"/>
      <c r="BE800" s="125"/>
      <c r="BF800" s="16"/>
      <c r="BG800" s="125"/>
      <c r="BQ800" s="125"/>
      <c r="BR800" s="16"/>
      <c r="BS800" s="123"/>
      <c r="BT800" s="19"/>
      <c r="BU800" s="139"/>
      <c r="BV800" s="139"/>
      <c r="BW800" s="123"/>
      <c r="BX800" s="123"/>
      <c r="BY800" s="123"/>
      <c r="BZ800" s="123"/>
      <c r="CA800" s="123"/>
      <c r="CB800" s="123"/>
      <c r="CC800" s="6"/>
      <c r="CD800" s="123"/>
      <c r="CE800" s="6"/>
      <c r="CF800" s="123"/>
      <c r="CG800" s="6"/>
      <c r="CH800" s="6"/>
      <c r="CI800" s="6"/>
      <c r="CJ800" s="6"/>
      <c r="CK800" s="123"/>
      <c r="CL800" s="6"/>
      <c r="CM800" s="6"/>
      <c r="CN800" s="6"/>
      <c r="CO800" s="138"/>
      <c r="CP800" s="138"/>
      <c r="CQ800" s="123"/>
      <c r="CR800" s="6"/>
      <c r="CS800" s="6"/>
      <c r="CT800" s="139"/>
      <c r="CU800" s="139"/>
      <c r="CV800" s="76"/>
      <c r="CW800" s="123"/>
      <c r="CX800" s="6"/>
      <c r="DI800" s="125"/>
      <c r="DJ800" s="16"/>
      <c r="DM800" s="16"/>
      <c r="DN800" s="16"/>
      <c r="DO800" s="125"/>
      <c r="DP800" s="16"/>
      <c r="DQ800" s="125"/>
      <c r="DZ800" s="125"/>
      <c r="EA800" s="142"/>
      <c r="EB800" s="125"/>
      <c r="EC800" s="16"/>
      <c r="ED800" s="125"/>
      <c r="EE800" s="125"/>
      <c r="EF800" s="16"/>
      <c r="EG800" s="125"/>
      <c r="EQ800" s="125"/>
      <c r="ER800" s="16"/>
      <c r="ES800" s="123"/>
      <c r="ET800" s="19"/>
      <c r="EU800" s="139"/>
      <c r="EV800" s="139"/>
      <c r="EW800" s="123"/>
      <c r="EX800" s="123"/>
      <c r="EY800" s="123"/>
      <c r="EZ800" s="123"/>
      <c r="FA800" s="123"/>
      <c r="FB800" s="123"/>
      <c r="FC800" s="6"/>
      <c r="FD800" s="123"/>
      <c r="FE800" s="6"/>
      <c r="FF800" s="123"/>
      <c r="FG800" s="6"/>
      <c r="FH800" s="6"/>
      <c r="FI800" s="6"/>
      <c r="FJ800" s="6"/>
      <c r="FK800" s="123"/>
      <c r="FL800" s="6"/>
      <c r="FM800" s="6"/>
      <c r="FN800" s="6"/>
      <c r="FO800" s="138"/>
      <c r="FP800" s="138"/>
      <c r="FQ800" s="123"/>
      <c r="FR800" s="6"/>
      <c r="FS800" s="6"/>
      <c r="FT800" s="139"/>
      <c r="FU800" s="139"/>
      <c r="FV800" s="76"/>
      <c r="FW800" s="123"/>
      <c r="FX800" s="6"/>
    </row>
    <row r="801" spans="35:180">
      <c r="AI801" s="125"/>
      <c r="AJ801" s="16"/>
      <c r="AM801" s="16"/>
      <c r="AN801" s="16"/>
      <c r="AO801" s="125"/>
      <c r="AP801" s="16"/>
      <c r="AQ801" s="125"/>
      <c r="AZ801" s="125"/>
      <c r="BA801" s="142"/>
      <c r="BB801" s="125"/>
      <c r="BC801" s="16"/>
      <c r="BD801" s="125"/>
      <c r="BE801" s="125"/>
      <c r="BF801" s="16"/>
      <c r="BG801" s="125"/>
      <c r="BQ801" s="125"/>
      <c r="BR801" s="16"/>
      <c r="BS801" s="123"/>
      <c r="BT801" s="19"/>
      <c r="BU801" s="139"/>
      <c r="BV801" s="139"/>
      <c r="BW801" s="123"/>
      <c r="BX801" s="123"/>
      <c r="BY801" s="123"/>
      <c r="BZ801" s="123"/>
      <c r="CA801" s="123"/>
      <c r="CB801" s="123"/>
      <c r="CC801" s="6"/>
      <c r="CD801" s="123"/>
      <c r="CE801" s="6"/>
      <c r="CF801" s="123"/>
      <c r="CG801" s="6"/>
      <c r="CH801" s="6"/>
      <c r="CI801" s="6"/>
      <c r="CJ801" s="6"/>
      <c r="CK801" s="123"/>
      <c r="CL801" s="6"/>
      <c r="CM801" s="6"/>
      <c r="CN801" s="6"/>
      <c r="CO801" s="138"/>
      <c r="CP801" s="138"/>
      <c r="CQ801" s="123"/>
      <c r="CR801" s="6"/>
      <c r="CS801" s="6"/>
      <c r="CT801" s="139"/>
      <c r="CU801" s="139"/>
      <c r="CV801" s="76"/>
      <c r="CW801" s="123"/>
      <c r="CX801" s="6"/>
      <c r="DI801" s="125"/>
      <c r="DJ801" s="16"/>
      <c r="DM801" s="16"/>
      <c r="DN801" s="16"/>
      <c r="DO801" s="125"/>
      <c r="DP801" s="16"/>
      <c r="DQ801" s="125"/>
      <c r="DZ801" s="125"/>
      <c r="EA801" s="142"/>
      <c r="EB801" s="125"/>
      <c r="EC801" s="16"/>
      <c r="ED801" s="125"/>
      <c r="EE801" s="125"/>
      <c r="EF801" s="16"/>
      <c r="EG801" s="125"/>
      <c r="EQ801" s="125"/>
      <c r="ER801" s="16"/>
      <c r="ES801" s="123"/>
      <c r="ET801" s="19"/>
      <c r="EU801" s="139"/>
      <c r="EV801" s="139"/>
      <c r="EW801" s="123"/>
      <c r="EX801" s="123"/>
      <c r="EY801" s="123"/>
      <c r="EZ801" s="123"/>
      <c r="FA801" s="123"/>
      <c r="FB801" s="123"/>
      <c r="FC801" s="6"/>
      <c r="FD801" s="123"/>
      <c r="FE801" s="6"/>
      <c r="FF801" s="123"/>
      <c r="FG801" s="6"/>
      <c r="FH801" s="6"/>
      <c r="FI801" s="6"/>
      <c r="FJ801" s="6"/>
      <c r="FK801" s="123"/>
      <c r="FL801" s="6"/>
      <c r="FM801" s="6"/>
      <c r="FN801" s="6"/>
      <c r="FO801" s="138"/>
      <c r="FP801" s="138"/>
      <c r="FQ801" s="123"/>
      <c r="FR801" s="6"/>
      <c r="FS801" s="6"/>
      <c r="FT801" s="139"/>
      <c r="FU801" s="139"/>
      <c r="FV801" s="76"/>
      <c r="FW801" s="123"/>
      <c r="FX801" s="6"/>
    </row>
    <row r="802" spans="35:180">
      <c r="AI802" s="125"/>
      <c r="AJ802" s="16"/>
      <c r="AM802" s="16"/>
      <c r="AN802" s="16"/>
      <c r="AO802" s="125"/>
      <c r="AP802" s="16"/>
      <c r="AQ802" s="125"/>
      <c r="AZ802" s="125"/>
      <c r="BA802" s="142"/>
      <c r="BB802" s="125"/>
      <c r="BC802" s="16"/>
      <c r="BD802" s="125"/>
      <c r="BE802" s="125"/>
      <c r="BF802" s="16"/>
      <c r="BG802" s="125"/>
      <c r="BQ802" s="125"/>
      <c r="BR802" s="16"/>
      <c r="BS802" s="123"/>
      <c r="BT802" s="19"/>
      <c r="BU802" s="139"/>
      <c r="BV802" s="139"/>
      <c r="BW802" s="123"/>
      <c r="BX802" s="123"/>
      <c r="BY802" s="123"/>
      <c r="BZ802" s="123"/>
      <c r="CA802" s="123"/>
      <c r="CB802" s="123"/>
      <c r="CC802" s="6"/>
      <c r="CD802" s="123"/>
      <c r="CE802" s="6"/>
      <c r="CF802" s="123"/>
      <c r="CG802" s="6"/>
      <c r="CH802" s="6"/>
      <c r="CI802" s="6"/>
      <c r="CJ802" s="6"/>
      <c r="CK802" s="123"/>
      <c r="CL802" s="6"/>
      <c r="CM802" s="6"/>
      <c r="CN802" s="6"/>
      <c r="CO802" s="138"/>
      <c r="CP802" s="138"/>
      <c r="CQ802" s="123"/>
      <c r="CR802" s="6"/>
      <c r="CS802" s="6"/>
      <c r="CT802" s="139"/>
      <c r="CU802" s="139"/>
      <c r="CV802" s="76"/>
      <c r="CW802" s="123"/>
      <c r="CX802" s="6"/>
      <c r="DI802" s="125"/>
      <c r="DJ802" s="16"/>
      <c r="DM802" s="16"/>
      <c r="DN802" s="16"/>
      <c r="DO802" s="125"/>
      <c r="DP802" s="16"/>
      <c r="DQ802" s="125"/>
      <c r="DZ802" s="125"/>
      <c r="EA802" s="142"/>
      <c r="EB802" s="125"/>
      <c r="EC802" s="16"/>
      <c r="ED802" s="125"/>
      <c r="EE802" s="125"/>
      <c r="EF802" s="16"/>
      <c r="EG802" s="125"/>
      <c r="EQ802" s="125"/>
      <c r="ER802" s="16"/>
      <c r="ES802" s="123"/>
      <c r="ET802" s="19"/>
      <c r="EU802" s="139"/>
      <c r="EV802" s="139"/>
      <c r="EW802" s="123"/>
      <c r="EX802" s="123"/>
      <c r="EY802" s="123"/>
      <c r="EZ802" s="123"/>
      <c r="FA802" s="123"/>
      <c r="FB802" s="123"/>
      <c r="FC802" s="6"/>
      <c r="FD802" s="123"/>
      <c r="FE802" s="6"/>
      <c r="FF802" s="123"/>
      <c r="FG802" s="6"/>
      <c r="FH802" s="6"/>
      <c r="FI802" s="6"/>
      <c r="FJ802" s="6"/>
      <c r="FK802" s="123"/>
      <c r="FL802" s="6"/>
      <c r="FM802" s="6"/>
      <c r="FN802" s="6"/>
      <c r="FO802" s="138"/>
      <c r="FP802" s="138"/>
      <c r="FQ802" s="123"/>
      <c r="FR802" s="6"/>
      <c r="FS802" s="6"/>
      <c r="FT802" s="139"/>
      <c r="FU802" s="139"/>
      <c r="FV802" s="76"/>
      <c r="FW802" s="123"/>
      <c r="FX802" s="6"/>
    </row>
    <row r="803" spans="35:180">
      <c r="AI803" s="125"/>
      <c r="AJ803" s="16"/>
      <c r="AM803" s="16"/>
      <c r="AN803" s="16"/>
      <c r="AO803" s="125"/>
      <c r="AP803" s="16"/>
      <c r="AQ803" s="125"/>
      <c r="AZ803" s="125"/>
      <c r="BA803" s="142"/>
      <c r="BB803" s="125"/>
      <c r="BC803" s="16"/>
      <c r="BD803" s="125"/>
      <c r="BE803" s="125"/>
      <c r="BF803" s="16"/>
      <c r="BG803" s="125"/>
      <c r="BQ803" s="125"/>
      <c r="BR803" s="16"/>
      <c r="BS803" s="123"/>
      <c r="BT803" s="19"/>
      <c r="BU803" s="139"/>
      <c r="BV803" s="139"/>
      <c r="BW803" s="123"/>
      <c r="BX803" s="123"/>
      <c r="BY803" s="123"/>
      <c r="BZ803" s="123"/>
      <c r="CA803" s="123"/>
      <c r="CB803" s="123"/>
      <c r="CC803" s="6"/>
      <c r="CD803" s="123"/>
      <c r="CE803" s="6"/>
      <c r="CF803" s="123"/>
      <c r="CG803" s="6"/>
      <c r="CH803" s="6"/>
      <c r="CI803" s="6"/>
      <c r="CJ803" s="6"/>
      <c r="CK803" s="123"/>
      <c r="CL803" s="6"/>
      <c r="CM803" s="6"/>
      <c r="CN803" s="6"/>
      <c r="CO803" s="138"/>
      <c r="CP803" s="138"/>
      <c r="CQ803" s="123"/>
      <c r="CR803" s="6"/>
      <c r="CS803" s="6"/>
      <c r="CT803" s="139"/>
      <c r="CU803" s="139"/>
      <c r="CV803" s="76"/>
      <c r="CW803" s="123"/>
      <c r="CX803" s="6"/>
      <c r="DI803" s="125"/>
      <c r="DJ803" s="16"/>
      <c r="DM803" s="16"/>
      <c r="DN803" s="16"/>
      <c r="DO803" s="125"/>
      <c r="DP803" s="16"/>
      <c r="DQ803" s="125"/>
      <c r="DZ803" s="125"/>
      <c r="EA803" s="142"/>
      <c r="EB803" s="125"/>
      <c r="EC803" s="16"/>
      <c r="ED803" s="125"/>
      <c r="EE803" s="125"/>
      <c r="EF803" s="16"/>
      <c r="EG803" s="125"/>
      <c r="EQ803" s="125"/>
      <c r="ER803" s="16"/>
      <c r="ES803" s="123"/>
      <c r="ET803" s="19"/>
      <c r="EU803" s="139"/>
      <c r="EV803" s="139"/>
      <c r="EW803" s="123"/>
      <c r="EX803" s="123"/>
      <c r="EY803" s="123"/>
      <c r="EZ803" s="123"/>
      <c r="FA803" s="123"/>
      <c r="FB803" s="123"/>
      <c r="FC803" s="6"/>
      <c r="FD803" s="123"/>
      <c r="FE803" s="6"/>
      <c r="FF803" s="123"/>
      <c r="FG803" s="6"/>
      <c r="FH803" s="6"/>
      <c r="FI803" s="6"/>
      <c r="FJ803" s="6"/>
      <c r="FK803" s="123"/>
      <c r="FL803" s="6"/>
      <c r="FM803" s="6"/>
      <c r="FN803" s="6"/>
      <c r="FO803" s="138"/>
      <c r="FP803" s="138"/>
      <c r="FQ803" s="123"/>
      <c r="FR803" s="6"/>
      <c r="FS803" s="6"/>
      <c r="FT803" s="139"/>
      <c r="FU803" s="139"/>
      <c r="FV803" s="76"/>
      <c r="FW803" s="123"/>
      <c r="FX803" s="6"/>
    </row>
    <row r="804" spans="35:180">
      <c r="AI804" s="125"/>
      <c r="AJ804" s="16"/>
      <c r="AM804" s="16"/>
      <c r="AN804" s="16"/>
      <c r="AO804" s="125"/>
      <c r="AP804" s="16"/>
      <c r="AQ804" s="125"/>
      <c r="AZ804" s="125"/>
      <c r="BA804" s="142"/>
      <c r="BB804" s="125"/>
      <c r="BC804" s="16"/>
      <c r="BD804" s="125"/>
      <c r="BE804" s="125"/>
      <c r="BF804" s="16"/>
      <c r="BG804" s="125"/>
      <c r="BQ804" s="125"/>
      <c r="BR804" s="16"/>
      <c r="BS804" s="123"/>
      <c r="BT804" s="19"/>
      <c r="BU804" s="139"/>
      <c r="BV804" s="139"/>
      <c r="BW804" s="123"/>
      <c r="BX804" s="123"/>
      <c r="BY804" s="123"/>
      <c r="BZ804" s="123"/>
      <c r="CA804" s="123"/>
      <c r="CB804" s="123"/>
      <c r="CC804" s="6"/>
      <c r="CD804" s="123"/>
      <c r="CE804" s="6"/>
      <c r="CF804" s="123"/>
      <c r="CG804" s="6"/>
      <c r="CH804" s="6"/>
      <c r="CI804" s="6"/>
      <c r="CJ804" s="6"/>
      <c r="CK804" s="123"/>
      <c r="CL804" s="6"/>
      <c r="CM804" s="6"/>
      <c r="CN804" s="6"/>
      <c r="CO804" s="138"/>
      <c r="CP804" s="138"/>
      <c r="CQ804" s="123"/>
      <c r="CR804" s="6"/>
      <c r="CS804" s="6"/>
      <c r="CT804" s="139"/>
      <c r="CU804" s="139"/>
      <c r="CV804" s="76"/>
      <c r="CW804" s="123"/>
      <c r="CX804" s="6"/>
      <c r="DI804" s="125"/>
      <c r="DJ804" s="16"/>
      <c r="DM804" s="16"/>
      <c r="DN804" s="16"/>
      <c r="DO804" s="125"/>
      <c r="DP804" s="16"/>
      <c r="DQ804" s="125"/>
      <c r="DZ804" s="125"/>
      <c r="EA804" s="142"/>
      <c r="EB804" s="125"/>
      <c r="EC804" s="16"/>
      <c r="ED804" s="125"/>
      <c r="EE804" s="125"/>
      <c r="EF804" s="16"/>
      <c r="EG804" s="125"/>
      <c r="EQ804" s="125"/>
      <c r="ER804" s="16"/>
      <c r="ES804" s="123"/>
      <c r="ET804" s="19"/>
      <c r="EU804" s="139"/>
      <c r="EV804" s="139"/>
      <c r="EW804" s="123"/>
      <c r="EX804" s="123"/>
      <c r="EY804" s="123"/>
      <c r="EZ804" s="123"/>
      <c r="FA804" s="123"/>
      <c r="FB804" s="123"/>
      <c r="FC804" s="6"/>
      <c r="FD804" s="123"/>
      <c r="FE804" s="6"/>
      <c r="FF804" s="123"/>
      <c r="FG804" s="6"/>
      <c r="FH804" s="6"/>
      <c r="FI804" s="6"/>
      <c r="FJ804" s="6"/>
      <c r="FK804" s="123"/>
      <c r="FL804" s="6"/>
      <c r="FM804" s="6"/>
      <c r="FN804" s="6"/>
      <c r="FO804" s="138"/>
      <c r="FP804" s="138"/>
      <c r="FQ804" s="123"/>
      <c r="FR804" s="6"/>
      <c r="FS804" s="6"/>
      <c r="FT804" s="139"/>
      <c r="FU804" s="139"/>
      <c r="FV804" s="76"/>
      <c r="FW804" s="123"/>
      <c r="FX804" s="6"/>
    </row>
    <row r="805" spans="35:180">
      <c r="AI805" s="125"/>
      <c r="AJ805" s="16"/>
      <c r="AM805" s="16"/>
      <c r="AN805" s="16"/>
      <c r="AO805" s="125"/>
      <c r="AP805" s="16"/>
      <c r="AQ805" s="125"/>
      <c r="AZ805" s="125"/>
      <c r="BA805" s="142"/>
      <c r="BB805" s="125"/>
      <c r="BC805" s="16"/>
      <c r="BD805" s="125"/>
      <c r="BE805" s="125"/>
      <c r="BF805" s="16"/>
      <c r="BG805" s="125"/>
      <c r="BQ805" s="125"/>
      <c r="BR805" s="16"/>
      <c r="BS805" s="123"/>
      <c r="BT805" s="19"/>
      <c r="BU805" s="139"/>
      <c r="BV805" s="139"/>
      <c r="BW805" s="123"/>
      <c r="BX805" s="123"/>
      <c r="BY805" s="123"/>
      <c r="BZ805" s="123"/>
      <c r="CA805" s="123"/>
      <c r="CB805" s="123"/>
      <c r="CC805" s="6"/>
      <c r="CD805" s="123"/>
      <c r="CE805" s="6"/>
      <c r="CF805" s="123"/>
      <c r="CG805" s="6"/>
      <c r="CH805" s="6"/>
      <c r="CI805" s="6"/>
      <c r="CJ805" s="6"/>
      <c r="CK805" s="123"/>
      <c r="CL805" s="6"/>
      <c r="CM805" s="6"/>
      <c r="CN805" s="6"/>
      <c r="CO805" s="138"/>
      <c r="CP805" s="138"/>
      <c r="CQ805" s="123"/>
      <c r="CR805" s="6"/>
      <c r="CS805" s="6"/>
      <c r="CT805" s="139"/>
      <c r="CU805" s="139"/>
      <c r="CV805" s="76"/>
      <c r="CW805" s="123"/>
      <c r="CX805" s="6"/>
      <c r="DI805" s="125"/>
      <c r="DJ805" s="16"/>
      <c r="DM805" s="16"/>
      <c r="DN805" s="16"/>
      <c r="DO805" s="125"/>
      <c r="DP805" s="16"/>
      <c r="DQ805" s="125"/>
      <c r="DZ805" s="125"/>
      <c r="EA805" s="142"/>
      <c r="EB805" s="125"/>
      <c r="EC805" s="16"/>
      <c r="ED805" s="125"/>
      <c r="EE805" s="125"/>
      <c r="EF805" s="16"/>
      <c r="EG805" s="125"/>
      <c r="EQ805" s="125"/>
      <c r="ER805" s="16"/>
      <c r="ES805" s="123"/>
      <c r="ET805" s="19"/>
      <c r="EU805" s="139"/>
      <c r="EV805" s="139"/>
      <c r="EW805" s="123"/>
      <c r="EX805" s="123"/>
      <c r="EY805" s="123"/>
      <c r="EZ805" s="123"/>
      <c r="FA805" s="123"/>
      <c r="FB805" s="123"/>
      <c r="FC805" s="6"/>
      <c r="FD805" s="123"/>
      <c r="FE805" s="6"/>
      <c r="FF805" s="123"/>
      <c r="FG805" s="6"/>
      <c r="FH805" s="6"/>
      <c r="FI805" s="6"/>
      <c r="FJ805" s="6"/>
      <c r="FK805" s="123"/>
      <c r="FL805" s="6"/>
      <c r="FM805" s="6"/>
      <c r="FN805" s="6"/>
      <c r="FO805" s="138"/>
      <c r="FP805" s="138"/>
      <c r="FQ805" s="123"/>
      <c r="FR805" s="6"/>
      <c r="FS805" s="6"/>
      <c r="FT805" s="139"/>
      <c r="FU805" s="139"/>
      <c r="FV805" s="76"/>
      <c r="FW805" s="123"/>
      <c r="FX805" s="6"/>
    </row>
    <row r="806" spans="35:180">
      <c r="AI806" s="125"/>
      <c r="AJ806" s="16"/>
      <c r="AM806" s="16"/>
      <c r="AN806" s="16"/>
      <c r="AO806" s="125"/>
      <c r="AP806" s="16"/>
      <c r="AQ806" s="125"/>
      <c r="AZ806" s="125"/>
      <c r="BA806" s="142"/>
      <c r="BB806" s="125"/>
      <c r="BC806" s="16"/>
      <c r="BD806" s="125"/>
      <c r="BE806" s="125"/>
      <c r="BF806" s="16"/>
      <c r="BG806" s="125"/>
      <c r="BQ806" s="125"/>
      <c r="BR806" s="16"/>
      <c r="BS806" s="123"/>
      <c r="BT806" s="19"/>
      <c r="BU806" s="139"/>
      <c r="BV806" s="139"/>
      <c r="BW806" s="123"/>
      <c r="BX806" s="123"/>
      <c r="BY806" s="123"/>
      <c r="BZ806" s="123"/>
      <c r="CA806" s="123"/>
      <c r="CB806" s="123"/>
      <c r="CC806" s="6"/>
      <c r="CD806" s="123"/>
      <c r="CE806" s="6"/>
      <c r="CF806" s="123"/>
      <c r="CG806" s="6"/>
      <c r="CH806" s="6"/>
      <c r="CI806" s="6"/>
      <c r="CJ806" s="6"/>
      <c r="CK806" s="123"/>
      <c r="CL806" s="6"/>
      <c r="CM806" s="6"/>
      <c r="CN806" s="6"/>
      <c r="CO806" s="138"/>
      <c r="CP806" s="138"/>
      <c r="CQ806" s="123"/>
      <c r="CR806" s="6"/>
      <c r="CS806" s="6"/>
      <c r="CT806" s="139"/>
      <c r="CU806" s="139"/>
      <c r="CV806" s="76"/>
      <c r="CW806" s="123"/>
      <c r="CX806" s="6"/>
      <c r="DI806" s="125"/>
      <c r="DJ806" s="16"/>
      <c r="DM806" s="16"/>
      <c r="DN806" s="16"/>
      <c r="DO806" s="125"/>
      <c r="DP806" s="16"/>
      <c r="DQ806" s="125"/>
      <c r="DZ806" s="125"/>
      <c r="EA806" s="142"/>
      <c r="EB806" s="125"/>
      <c r="EC806" s="16"/>
      <c r="ED806" s="125"/>
      <c r="EE806" s="125"/>
      <c r="EF806" s="16"/>
      <c r="EG806" s="125"/>
      <c r="EQ806" s="125"/>
      <c r="ER806" s="16"/>
      <c r="ES806" s="123"/>
      <c r="ET806" s="19"/>
      <c r="EU806" s="139"/>
      <c r="EV806" s="139"/>
      <c r="EW806" s="123"/>
      <c r="EX806" s="123"/>
      <c r="EY806" s="123"/>
      <c r="EZ806" s="123"/>
      <c r="FA806" s="123"/>
      <c r="FB806" s="123"/>
      <c r="FC806" s="6"/>
      <c r="FD806" s="123"/>
      <c r="FE806" s="6"/>
      <c r="FF806" s="123"/>
      <c r="FG806" s="6"/>
      <c r="FH806" s="6"/>
      <c r="FI806" s="6"/>
      <c r="FJ806" s="6"/>
      <c r="FK806" s="123"/>
      <c r="FL806" s="6"/>
      <c r="FM806" s="6"/>
      <c r="FN806" s="6"/>
      <c r="FO806" s="138"/>
      <c r="FP806" s="138"/>
      <c r="FQ806" s="123"/>
      <c r="FR806" s="6"/>
      <c r="FS806" s="6"/>
      <c r="FT806" s="139"/>
      <c r="FU806" s="139"/>
      <c r="FV806" s="76"/>
      <c r="FW806" s="123"/>
      <c r="FX806" s="6"/>
    </row>
    <row r="807" spans="35:180">
      <c r="AI807" s="125"/>
      <c r="AJ807" s="16"/>
      <c r="AM807" s="16"/>
      <c r="AN807" s="16"/>
      <c r="AO807" s="125"/>
      <c r="AP807" s="16"/>
      <c r="AQ807" s="125"/>
      <c r="AZ807" s="125"/>
      <c r="BA807" s="142"/>
      <c r="BB807" s="125"/>
      <c r="BC807" s="16"/>
      <c r="BD807" s="125"/>
      <c r="BE807" s="125"/>
      <c r="BF807" s="16"/>
      <c r="BG807" s="125"/>
      <c r="BQ807" s="125"/>
      <c r="BR807" s="16"/>
      <c r="BS807" s="123"/>
      <c r="BT807" s="19"/>
      <c r="BU807" s="139"/>
      <c r="BV807" s="139"/>
      <c r="BW807" s="123"/>
      <c r="BX807" s="123"/>
      <c r="BY807" s="123"/>
      <c r="BZ807" s="123"/>
      <c r="CA807" s="123"/>
      <c r="CB807" s="123"/>
      <c r="CC807" s="6"/>
      <c r="CD807" s="123"/>
      <c r="CE807" s="6"/>
      <c r="CF807" s="123"/>
      <c r="CG807" s="6"/>
      <c r="CH807" s="6"/>
      <c r="CI807" s="6"/>
      <c r="CJ807" s="6"/>
      <c r="CK807" s="123"/>
      <c r="CL807" s="6"/>
      <c r="CM807" s="6"/>
      <c r="CN807" s="6"/>
      <c r="CO807" s="138"/>
      <c r="CP807" s="138"/>
      <c r="CQ807" s="123"/>
      <c r="CR807" s="6"/>
      <c r="CS807" s="6"/>
      <c r="CT807" s="139"/>
      <c r="CU807" s="139"/>
      <c r="CV807" s="76"/>
      <c r="CW807" s="123"/>
      <c r="CX807" s="6"/>
      <c r="DI807" s="125"/>
      <c r="DJ807" s="16"/>
      <c r="DM807" s="16"/>
      <c r="DN807" s="16"/>
      <c r="DO807" s="125"/>
      <c r="DP807" s="16"/>
      <c r="DQ807" s="125"/>
      <c r="DZ807" s="125"/>
      <c r="EA807" s="142"/>
      <c r="EB807" s="125"/>
      <c r="EC807" s="16"/>
      <c r="ED807" s="125"/>
      <c r="EE807" s="125"/>
      <c r="EF807" s="16"/>
      <c r="EG807" s="125"/>
      <c r="EQ807" s="125"/>
      <c r="ER807" s="16"/>
      <c r="ES807" s="123"/>
      <c r="ET807" s="19"/>
      <c r="EU807" s="139"/>
      <c r="EV807" s="139"/>
      <c r="EW807" s="123"/>
      <c r="EX807" s="123"/>
      <c r="EY807" s="123"/>
      <c r="EZ807" s="123"/>
      <c r="FA807" s="123"/>
      <c r="FB807" s="123"/>
      <c r="FC807" s="6"/>
      <c r="FD807" s="123"/>
      <c r="FE807" s="6"/>
      <c r="FF807" s="123"/>
      <c r="FG807" s="6"/>
      <c r="FH807" s="6"/>
      <c r="FI807" s="6"/>
      <c r="FJ807" s="6"/>
      <c r="FK807" s="123"/>
      <c r="FL807" s="6"/>
      <c r="FM807" s="6"/>
      <c r="FN807" s="6"/>
      <c r="FO807" s="138"/>
      <c r="FP807" s="138"/>
      <c r="FQ807" s="123"/>
      <c r="FR807" s="6"/>
      <c r="FS807" s="6"/>
      <c r="FT807" s="139"/>
      <c r="FU807" s="139"/>
      <c r="FV807" s="76"/>
      <c r="FW807" s="123"/>
      <c r="FX807" s="6"/>
    </row>
    <row r="808" spans="35:180">
      <c r="AI808" s="125"/>
      <c r="AJ808" s="16"/>
      <c r="AM808" s="16"/>
      <c r="AN808" s="16"/>
      <c r="AO808" s="125"/>
      <c r="AP808" s="16"/>
      <c r="AQ808" s="125"/>
      <c r="AZ808" s="125"/>
      <c r="BA808" s="142"/>
      <c r="BB808" s="125"/>
      <c r="BC808" s="16"/>
      <c r="BD808" s="125"/>
      <c r="BE808" s="125"/>
      <c r="BF808" s="16"/>
      <c r="BG808" s="125"/>
      <c r="BQ808" s="125"/>
      <c r="BR808" s="16"/>
      <c r="BS808" s="123"/>
      <c r="BT808" s="19"/>
      <c r="BU808" s="139"/>
      <c r="BV808" s="139"/>
      <c r="BW808" s="123"/>
      <c r="BX808" s="123"/>
      <c r="BY808" s="123"/>
      <c r="BZ808" s="123"/>
      <c r="CA808" s="123"/>
      <c r="CB808" s="123"/>
      <c r="CC808" s="6"/>
      <c r="CD808" s="123"/>
      <c r="CE808" s="6"/>
      <c r="CF808" s="123"/>
      <c r="CG808" s="6"/>
      <c r="CH808" s="6"/>
      <c r="CI808" s="6"/>
      <c r="CJ808" s="6"/>
      <c r="CK808" s="123"/>
      <c r="CL808" s="6"/>
      <c r="CM808" s="6"/>
      <c r="CN808" s="6"/>
      <c r="CO808" s="138"/>
      <c r="CP808" s="138"/>
      <c r="CQ808" s="123"/>
      <c r="CR808" s="6"/>
      <c r="CS808" s="6"/>
      <c r="CT808" s="139"/>
      <c r="CU808" s="139"/>
      <c r="CV808" s="76"/>
      <c r="CW808" s="123"/>
      <c r="CX808" s="6"/>
      <c r="DI808" s="125"/>
      <c r="DJ808" s="16"/>
      <c r="DM808" s="16"/>
      <c r="DN808" s="16"/>
      <c r="DO808" s="125"/>
      <c r="DP808" s="16"/>
      <c r="DQ808" s="125"/>
      <c r="DZ808" s="125"/>
      <c r="EA808" s="142"/>
      <c r="EB808" s="125"/>
      <c r="EC808" s="16"/>
      <c r="ED808" s="125"/>
      <c r="EE808" s="125"/>
      <c r="EF808" s="16"/>
      <c r="EG808" s="125"/>
      <c r="EQ808" s="125"/>
      <c r="ER808" s="16"/>
      <c r="ES808" s="123"/>
      <c r="ET808" s="19"/>
      <c r="EU808" s="139"/>
      <c r="EV808" s="139"/>
      <c r="EW808" s="123"/>
      <c r="EX808" s="123"/>
      <c r="EY808" s="123"/>
      <c r="EZ808" s="123"/>
      <c r="FA808" s="123"/>
      <c r="FB808" s="123"/>
      <c r="FC808" s="6"/>
      <c r="FD808" s="123"/>
      <c r="FE808" s="6"/>
      <c r="FF808" s="123"/>
      <c r="FG808" s="6"/>
      <c r="FH808" s="6"/>
      <c r="FI808" s="6"/>
      <c r="FJ808" s="6"/>
      <c r="FK808" s="123"/>
      <c r="FL808" s="6"/>
      <c r="FM808" s="6"/>
      <c r="FN808" s="6"/>
      <c r="FO808" s="138"/>
      <c r="FP808" s="138"/>
      <c r="FQ808" s="123"/>
      <c r="FR808" s="6"/>
      <c r="FS808" s="6"/>
      <c r="FT808" s="139"/>
      <c r="FU808" s="139"/>
      <c r="FV808" s="76"/>
      <c r="FW808" s="123"/>
      <c r="FX808" s="6"/>
    </row>
    <row r="809" spans="35:180">
      <c r="AI809" s="125"/>
      <c r="AJ809" s="16"/>
      <c r="AM809" s="16"/>
      <c r="AN809" s="16"/>
      <c r="AO809" s="125"/>
      <c r="AP809" s="16"/>
      <c r="AQ809" s="125"/>
      <c r="AZ809" s="125"/>
      <c r="BA809" s="142"/>
      <c r="BB809" s="125"/>
      <c r="BC809" s="16"/>
      <c r="BD809" s="125"/>
      <c r="BE809" s="125"/>
      <c r="BF809" s="16"/>
      <c r="BG809" s="125"/>
      <c r="BQ809" s="125"/>
      <c r="BR809" s="16"/>
      <c r="BS809" s="123"/>
      <c r="BT809" s="19"/>
      <c r="BU809" s="139"/>
      <c r="BV809" s="139"/>
      <c r="BW809" s="123"/>
      <c r="BX809" s="123"/>
      <c r="BY809" s="123"/>
      <c r="BZ809" s="123"/>
      <c r="CA809" s="123"/>
      <c r="CB809" s="123"/>
      <c r="CC809" s="6"/>
      <c r="CD809" s="123"/>
      <c r="CE809" s="6"/>
      <c r="CF809" s="123"/>
      <c r="CG809" s="6"/>
      <c r="CH809" s="6"/>
      <c r="CI809" s="6"/>
      <c r="CJ809" s="6"/>
      <c r="CK809" s="123"/>
      <c r="CL809" s="6"/>
      <c r="CM809" s="6"/>
      <c r="CN809" s="6"/>
      <c r="CO809" s="138"/>
      <c r="CP809" s="138"/>
      <c r="CQ809" s="123"/>
      <c r="CR809" s="6"/>
      <c r="CS809" s="6"/>
      <c r="CT809" s="139"/>
      <c r="CU809" s="139"/>
      <c r="CV809" s="76"/>
      <c r="CW809" s="123"/>
      <c r="CX809" s="6"/>
      <c r="DI809" s="125"/>
      <c r="DJ809" s="16"/>
      <c r="DM809" s="16"/>
      <c r="DN809" s="16"/>
      <c r="DO809" s="125"/>
      <c r="DP809" s="16"/>
      <c r="DQ809" s="125"/>
      <c r="DZ809" s="125"/>
      <c r="EA809" s="142"/>
      <c r="EB809" s="125"/>
      <c r="EC809" s="16"/>
      <c r="ED809" s="125"/>
      <c r="EE809" s="125"/>
      <c r="EF809" s="16"/>
      <c r="EG809" s="125"/>
      <c r="EQ809" s="125"/>
      <c r="ER809" s="16"/>
      <c r="ES809" s="123"/>
      <c r="ET809" s="19"/>
      <c r="EU809" s="139"/>
      <c r="EV809" s="139"/>
      <c r="EW809" s="123"/>
      <c r="EX809" s="123"/>
      <c r="EY809" s="123"/>
      <c r="EZ809" s="123"/>
      <c r="FA809" s="123"/>
      <c r="FB809" s="123"/>
      <c r="FC809" s="6"/>
      <c r="FD809" s="123"/>
      <c r="FE809" s="6"/>
      <c r="FF809" s="123"/>
      <c r="FG809" s="6"/>
      <c r="FH809" s="6"/>
      <c r="FI809" s="6"/>
      <c r="FJ809" s="6"/>
      <c r="FK809" s="123"/>
      <c r="FL809" s="6"/>
      <c r="FM809" s="6"/>
      <c r="FN809" s="6"/>
      <c r="FO809" s="138"/>
      <c r="FP809" s="138"/>
      <c r="FQ809" s="123"/>
      <c r="FR809" s="6"/>
      <c r="FS809" s="6"/>
      <c r="FT809" s="139"/>
      <c r="FU809" s="139"/>
      <c r="FV809" s="76"/>
      <c r="FW809" s="123"/>
      <c r="FX809" s="6"/>
    </row>
    <row r="810" spans="35:180">
      <c r="AI810" s="125"/>
      <c r="AJ810" s="16"/>
      <c r="AM810" s="16"/>
      <c r="AN810" s="16"/>
      <c r="AO810" s="125"/>
      <c r="AP810" s="16"/>
      <c r="AQ810" s="125"/>
      <c r="AZ810" s="125"/>
      <c r="BA810" s="142"/>
      <c r="BB810" s="125"/>
      <c r="BC810" s="16"/>
      <c r="BD810" s="125"/>
      <c r="BE810" s="125"/>
      <c r="BF810" s="16"/>
      <c r="BG810" s="125"/>
      <c r="BQ810" s="125"/>
      <c r="BR810" s="16"/>
      <c r="BS810" s="123"/>
      <c r="BT810" s="19"/>
      <c r="BU810" s="139"/>
      <c r="BV810" s="139"/>
      <c r="BW810" s="123"/>
      <c r="BX810" s="123"/>
      <c r="BY810" s="123"/>
      <c r="BZ810" s="123"/>
      <c r="CA810" s="123"/>
      <c r="CB810" s="123"/>
      <c r="CC810" s="6"/>
      <c r="CD810" s="123"/>
      <c r="CE810" s="6"/>
      <c r="CF810" s="123"/>
      <c r="CG810" s="6"/>
      <c r="CH810" s="6"/>
      <c r="CI810" s="6"/>
      <c r="CJ810" s="6"/>
      <c r="CK810" s="123"/>
      <c r="CL810" s="6"/>
      <c r="CM810" s="6"/>
      <c r="CN810" s="6"/>
      <c r="CO810" s="138"/>
      <c r="CP810" s="138"/>
      <c r="CQ810" s="123"/>
      <c r="CR810" s="6"/>
      <c r="CS810" s="6"/>
      <c r="CT810" s="139"/>
      <c r="CU810" s="139"/>
      <c r="CV810" s="76"/>
      <c r="CW810" s="123"/>
      <c r="CX810" s="6"/>
      <c r="DI810" s="125"/>
      <c r="DJ810" s="16"/>
      <c r="DM810" s="16"/>
      <c r="DN810" s="16"/>
      <c r="DO810" s="125"/>
      <c r="DP810" s="16"/>
      <c r="DQ810" s="125"/>
      <c r="DZ810" s="125"/>
      <c r="EA810" s="142"/>
      <c r="EB810" s="125"/>
      <c r="EC810" s="16"/>
      <c r="ED810" s="125"/>
      <c r="EE810" s="125"/>
      <c r="EF810" s="16"/>
      <c r="EG810" s="125"/>
      <c r="EQ810" s="125"/>
      <c r="ER810" s="16"/>
      <c r="ES810" s="123"/>
      <c r="ET810" s="19"/>
      <c r="EU810" s="139"/>
      <c r="EV810" s="139"/>
      <c r="EW810" s="123"/>
      <c r="EX810" s="123"/>
      <c r="EY810" s="123"/>
      <c r="EZ810" s="123"/>
      <c r="FA810" s="123"/>
      <c r="FB810" s="123"/>
      <c r="FC810" s="6"/>
      <c r="FD810" s="123"/>
      <c r="FE810" s="6"/>
      <c r="FF810" s="123"/>
      <c r="FG810" s="6"/>
      <c r="FH810" s="6"/>
      <c r="FI810" s="6"/>
      <c r="FJ810" s="6"/>
      <c r="FK810" s="123"/>
      <c r="FL810" s="6"/>
      <c r="FM810" s="6"/>
      <c r="FN810" s="6"/>
      <c r="FO810" s="138"/>
      <c r="FP810" s="138"/>
      <c r="FQ810" s="123"/>
      <c r="FR810" s="6"/>
      <c r="FS810" s="6"/>
      <c r="FT810" s="139"/>
      <c r="FU810" s="139"/>
      <c r="FV810" s="76"/>
      <c r="FW810" s="123"/>
      <c r="FX810" s="6"/>
    </row>
    <row r="811" spans="35:180">
      <c r="AI811" s="125"/>
      <c r="AJ811" s="16"/>
      <c r="AM811" s="16"/>
      <c r="AN811" s="16"/>
      <c r="AO811" s="125"/>
      <c r="AP811" s="16"/>
      <c r="AQ811" s="125"/>
      <c r="AZ811" s="125"/>
      <c r="BA811" s="142"/>
      <c r="BB811" s="125"/>
      <c r="BC811" s="16"/>
      <c r="BD811" s="125"/>
      <c r="BE811" s="125"/>
      <c r="BF811" s="16"/>
      <c r="BG811" s="125"/>
      <c r="BQ811" s="125"/>
      <c r="BR811" s="16"/>
      <c r="BS811" s="123"/>
      <c r="BT811" s="19"/>
      <c r="BU811" s="139"/>
      <c r="BV811" s="139"/>
      <c r="BW811" s="123"/>
      <c r="BX811" s="123"/>
      <c r="BY811" s="123"/>
      <c r="BZ811" s="123"/>
      <c r="CA811" s="123"/>
      <c r="CB811" s="123"/>
      <c r="CC811" s="6"/>
      <c r="CD811" s="123"/>
      <c r="CE811" s="6"/>
      <c r="CF811" s="123"/>
      <c r="CG811" s="6"/>
      <c r="CH811" s="6"/>
      <c r="CI811" s="6"/>
      <c r="CJ811" s="6"/>
      <c r="CK811" s="123"/>
      <c r="CL811" s="6"/>
      <c r="CM811" s="6"/>
      <c r="CN811" s="6"/>
      <c r="CO811" s="138"/>
      <c r="CP811" s="138"/>
      <c r="CQ811" s="123"/>
      <c r="CR811" s="6"/>
      <c r="CS811" s="6"/>
      <c r="CT811" s="139"/>
      <c r="CU811" s="139"/>
      <c r="CV811" s="76"/>
      <c r="CW811" s="123"/>
      <c r="CX811" s="6"/>
      <c r="DI811" s="125"/>
      <c r="DJ811" s="16"/>
      <c r="DM811" s="16"/>
      <c r="DN811" s="16"/>
      <c r="DO811" s="125"/>
      <c r="DP811" s="16"/>
      <c r="DQ811" s="125"/>
      <c r="DZ811" s="125"/>
      <c r="EA811" s="142"/>
      <c r="EB811" s="125"/>
      <c r="EC811" s="16"/>
      <c r="ED811" s="125"/>
      <c r="EE811" s="125"/>
      <c r="EF811" s="16"/>
      <c r="EG811" s="125"/>
      <c r="EQ811" s="125"/>
      <c r="ER811" s="16"/>
      <c r="ES811" s="123"/>
      <c r="ET811" s="19"/>
      <c r="EU811" s="139"/>
      <c r="EV811" s="139"/>
      <c r="EW811" s="123"/>
      <c r="EX811" s="123"/>
      <c r="EY811" s="123"/>
      <c r="EZ811" s="123"/>
      <c r="FA811" s="123"/>
      <c r="FB811" s="123"/>
      <c r="FC811" s="6"/>
      <c r="FD811" s="123"/>
      <c r="FE811" s="6"/>
      <c r="FF811" s="123"/>
      <c r="FG811" s="6"/>
      <c r="FH811" s="6"/>
      <c r="FI811" s="6"/>
      <c r="FJ811" s="6"/>
      <c r="FK811" s="123"/>
      <c r="FL811" s="6"/>
      <c r="FM811" s="6"/>
      <c r="FN811" s="6"/>
      <c r="FO811" s="138"/>
      <c r="FP811" s="138"/>
      <c r="FQ811" s="123"/>
      <c r="FR811" s="6"/>
      <c r="FS811" s="6"/>
      <c r="FT811" s="139"/>
      <c r="FU811" s="139"/>
      <c r="FV811" s="76"/>
      <c r="FW811" s="123"/>
      <c r="FX811" s="6"/>
    </row>
    <row r="812" spans="35:180">
      <c r="AI812" s="125"/>
      <c r="AJ812" s="16"/>
      <c r="AM812" s="16"/>
      <c r="AN812" s="16"/>
      <c r="AO812" s="125"/>
      <c r="AP812" s="16"/>
      <c r="AQ812" s="125"/>
      <c r="AZ812" s="125"/>
      <c r="BA812" s="142"/>
      <c r="BB812" s="125"/>
      <c r="BC812" s="16"/>
      <c r="BD812" s="125"/>
      <c r="BE812" s="125"/>
      <c r="BF812" s="16"/>
      <c r="BG812" s="125"/>
      <c r="BQ812" s="125"/>
      <c r="BR812" s="16"/>
      <c r="BS812" s="123"/>
      <c r="BT812" s="19"/>
      <c r="BU812" s="139"/>
      <c r="BV812" s="139"/>
      <c r="BW812" s="123"/>
      <c r="BX812" s="123"/>
      <c r="BY812" s="123"/>
      <c r="BZ812" s="123"/>
      <c r="CA812" s="123"/>
      <c r="CB812" s="123"/>
      <c r="CC812" s="6"/>
      <c r="CD812" s="123"/>
      <c r="CE812" s="6"/>
      <c r="CF812" s="123"/>
      <c r="CG812" s="6"/>
      <c r="CH812" s="6"/>
      <c r="CI812" s="6"/>
      <c r="CJ812" s="6"/>
      <c r="CK812" s="123"/>
      <c r="CL812" s="6"/>
      <c r="CM812" s="6"/>
      <c r="CN812" s="6"/>
      <c r="CO812" s="138"/>
      <c r="CP812" s="138"/>
      <c r="CQ812" s="123"/>
      <c r="CR812" s="6"/>
      <c r="CS812" s="6"/>
      <c r="CT812" s="139"/>
      <c r="CU812" s="139"/>
      <c r="CV812" s="76"/>
      <c r="CW812" s="123"/>
      <c r="CX812" s="6"/>
      <c r="DI812" s="125"/>
      <c r="DJ812" s="16"/>
      <c r="DM812" s="16"/>
      <c r="DN812" s="16"/>
      <c r="DO812" s="125"/>
      <c r="DP812" s="16"/>
      <c r="DQ812" s="125"/>
      <c r="DZ812" s="125"/>
      <c r="EA812" s="142"/>
      <c r="EB812" s="125"/>
      <c r="EC812" s="16"/>
      <c r="ED812" s="125"/>
      <c r="EE812" s="125"/>
      <c r="EF812" s="16"/>
      <c r="EG812" s="125"/>
      <c r="EQ812" s="125"/>
      <c r="ER812" s="16"/>
      <c r="ES812" s="123"/>
      <c r="ET812" s="19"/>
      <c r="EU812" s="139"/>
      <c r="EV812" s="139"/>
      <c r="EW812" s="123"/>
      <c r="EX812" s="123"/>
      <c r="EY812" s="123"/>
      <c r="EZ812" s="123"/>
      <c r="FA812" s="123"/>
      <c r="FB812" s="123"/>
      <c r="FC812" s="6"/>
      <c r="FD812" s="123"/>
      <c r="FE812" s="6"/>
      <c r="FF812" s="123"/>
      <c r="FG812" s="6"/>
      <c r="FH812" s="6"/>
      <c r="FI812" s="6"/>
      <c r="FJ812" s="6"/>
      <c r="FK812" s="123"/>
      <c r="FL812" s="6"/>
      <c r="FM812" s="6"/>
      <c r="FN812" s="6"/>
      <c r="FO812" s="138"/>
      <c r="FP812" s="138"/>
      <c r="FQ812" s="123"/>
      <c r="FR812" s="6"/>
      <c r="FS812" s="6"/>
      <c r="FT812" s="139"/>
      <c r="FU812" s="139"/>
      <c r="FV812" s="76"/>
      <c r="FW812" s="123"/>
      <c r="FX812" s="6"/>
    </row>
    <row r="813" spans="35:180">
      <c r="AI813" s="125"/>
      <c r="AJ813" s="16"/>
      <c r="AM813" s="16"/>
      <c r="AN813" s="16"/>
      <c r="AO813" s="125"/>
      <c r="AP813" s="16"/>
      <c r="AQ813" s="125"/>
      <c r="AZ813" s="125"/>
      <c r="BA813" s="142"/>
      <c r="BB813" s="125"/>
      <c r="BC813" s="16"/>
      <c r="BD813" s="125"/>
      <c r="BE813" s="125"/>
      <c r="BF813" s="16"/>
      <c r="BG813" s="125"/>
      <c r="BQ813" s="125"/>
      <c r="BR813" s="16"/>
      <c r="BS813" s="123"/>
      <c r="BT813" s="19"/>
      <c r="BU813" s="139"/>
      <c r="BV813" s="139"/>
      <c r="BW813" s="123"/>
      <c r="BX813" s="123"/>
      <c r="BY813" s="123"/>
      <c r="BZ813" s="123"/>
      <c r="CA813" s="123"/>
      <c r="CB813" s="123"/>
      <c r="CC813" s="6"/>
      <c r="CD813" s="123"/>
      <c r="CE813" s="6"/>
      <c r="CF813" s="123"/>
      <c r="CG813" s="6"/>
      <c r="CH813" s="6"/>
      <c r="CI813" s="6"/>
      <c r="CJ813" s="6"/>
      <c r="CK813" s="123"/>
      <c r="CL813" s="6"/>
      <c r="CM813" s="6"/>
      <c r="CN813" s="6"/>
      <c r="CO813" s="138"/>
      <c r="CP813" s="138"/>
      <c r="CQ813" s="123"/>
      <c r="CR813" s="6"/>
      <c r="CS813" s="6"/>
      <c r="CT813" s="139"/>
      <c r="CU813" s="139"/>
      <c r="CV813" s="76"/>
      <c r="CW813" s="123"/>
      <c r="CX813" s="6"/>
      <c r="DI813" s="125"/>
      <c r="DJ813" s="16"/>
      <c r="DM813" s="16"/>
      <c r="DN813" s="16"/>
      <c r="DO813" s="125"/>
      <c r="DP813" s="16"/>
      <c r="DQ813" s="125"/>
      <c r="DZ813" s="125"/>
      <c r="EA813" s="142"/>
      <c r="EB813" s="125"/>
      <c r="EC813" s="16"/>
      <c r="ED813" s="125"/>
      <c r="EE813" s="125"/>
      <c r="EF813" s="16"/>
      <c r="EG813" s="125"/>
      <c r="EQ813" s="125"/>
      <c r="ER813" s="16"/>
      <c r="ES813" s="123"/>
      <c r="ET813" s="19"/>
      <c r="EU813" s="139"/>
      <c r="EV813" s="139"/>
      <c r="EW813" s="123"/>
      <c r="EX813" s="123"/>
      <c r="EY813" s="123"/>
      <c r="EZ813" s="123"/>
      <c r="FA813" s="123"/>
      <c r="FB813" s="123"/>
      <c r="FC813" s="6"/>
      <c r="FD813" s="123"/>
      <c r="FE813" s="6"/>
      <c r="FF813" s="123"/>
      <c r="FG813" s="6"/>
      <c r="FH813" s="6"/>
      <c r="FI813" s="6"/>
      <c r="FJ813" s="6"/>
      <c r="FK813" s="123"/>
      <c r="FL813" s="6"/>
      <c r="FM813" s="6"/>
      <c r="FN813" s="6"/>
      <c r="FO813" s="138"/>
      <c r="FP813" s="138"/>
      <c r="FQ813" s="123"/>
      <c r="FR813" s="6"/>
      <c r="FS813" s="6"/>
      <c r="FT813" s="139"/>
      <c r="FU813" s="139"/>
      <c r="FV813" s="76"/>
      <c r="FW813" s="123"/>
      <c r="FX813" s="6"/>
    </row>
    <row r="814" spans="35:180">
      <c r="AI814" s="125"/>
      <c r="AJ814" s="16"/>
      <c r="AM814" s="16"/>
      <c r="AN814" s="16"/>
      <c r="AO814" s="125"/>
      <c r="AP814" s="16"/>
      <c r="AQ814" s="125"/>
      <c r="AZ814" s="125"/>
      <c r="BA814" s="142"/>
      <c r="BB814" s="125"/>
      <c r="BC814" s="16"/>
      <c r="BD814" s="125"/>
      <c r="BE814" s="125"/>
      <c r="BF814" s="16"/>
      <c r="BG814" s="125"/>
      <c r="BQ814" s="125"/>
      <c r="BR814" s="16"/>
      <c r="BS814" s="123"/>
      <c r="BT814" s="19"/>
      <c r="BU814" s="139"/>
      <c r="BV814" s="139"/>
      <c r="BW814" s="123"/>
      <c r="BX814" s="123"/>
      <c r="BY814" s="123"/>
      <c r="BZ814" s="123"/>
      <c r="CA814" s="123"/>
      <c r="CB814" s="123"/>
      <c r="CC814" s="6"/>
      <c r="CD814" s="123"/>
      <c r="CE814" s="6"/>
      <c r="CF814" s="123"/>
      <c r="CG814" s="6"/>
      <c r="CH814" s="6"/>
      <c r="CI814" s="6"/>
      <c r="CJ814" s="6"/>
      <c r="CK814" s="123"/>
      <c r="CL814" s="6"/>
      <c r="CM814" s="6"/>
      <c r="CN814" s="6"/>
      <c r="CO814" s="138"/>
      <c r="CP814" s="138"/>
      <c r="CQ814" s="123"/>
      <c r="CR814" s="6"/>
      <c r="CS814" s="6"/>
      <c r="CT814" s="139"/>
      <c r="CU814" s="139"/>
      <c r="CV814" s="76"/>
      <c r="CW814" s="123"/>
      <c r="CX814" s="6"/>
      <c r="DI814" s="125"/>
      <c r="DJ814" s="16"/>
      <c r="DM814" s="16"/>
      <c r="DN814" s="16"/>
      <c r="DO814" s="125"/>
      <c r="DP814" s="16"/>
      <c r="DQ814" s="125"/>
      <c r="DZ814" s="125"/>
      <c r="EA814" s="142"/>
      <c r="EB814" s="125"/>
      <c r="EC814" s="16"/>
      <c r="ED814" s="125"/>
      <c r="EE814" s="125"/>
      <c r="EF814" s="16"/>
      <c r="EG814" s="125"/>
      <c r="EQ814" s="125"/>
      <c r="ER814" s="16"/>
      <c r="ES814" s="123"/>
      <c r="ET814" s="19"/>
      <c r="EU814" s="139"/>
      <c r="EV814" s="139"/>
      <c r="EW814" s="123"/>
      <c r="EX814" s="123"/>
      <c r="EY814" s="123"/>
      <c r="EZ814" s="123"/>
      <c r="FA814" s="123"/>
      <c r="FB814" s="123"/>
      <c r="FC814" s="6"/>
      <c r="FD814" s="123"/>
      <c r="FE814" s="6"/>
      <c r="FF814" s="123"/>
      <c r="FG814" s="6"/>
      <c r="FH814" s="6"/>
      <c r="FI814" s="6"/>
      <c r="FJ814" s="6"/>
      <c r="FK814" s="123"/>
      <c r="FL814" s="6"/>
      <c r="FM814" s="6"/>
      <c r="FN814" s="6"/>
      <c r="FO814" s="138"/>
      <c r="FP814" s="138"/>
      <c r="FQ814" s="123"/>
      <c r="FR814" s="6"/>
      <c r="FS814" s="6"/>
      <c r="FT814" s="139"/>
      <c r="FU814" s="139"/>
      <c r="FV814" s="76"/>
      <c r="FW814" s="123"/>
      <c r="FX814" s="6"/>
    </row>
    <row r="815" spans="35:180">
      <c r="AI815" s="125"/>
      <c r="AJ815" s="16"/>
      <c r="AM815" s="16"/>
      <c r="AN815" s="16"/>
      <c r="AO815" s="125"/>
      <c r="AP815" s="16"/>
      <c r="AQ815" s="125"/>
      <c r="AZ815" s="125"/>
      <c r="BA815" s="142"/>
      <c r="BB815" s="125"/>
      <c r="BC815" s="16"/>
      <c r="BD815" s="125"/>
      <c r="BE815" s="125"/>
      <c r="BF815" s="16"/>
      <c r="BG815" s="125"/>
      <c r="BQ815" s="125"/>
      <c r="BR815" s="16"/>
      <c r="BS815" s="123"/>
      <c r="BT815" s="19"/>
      <c r="BU815" s="139"/>
      <c r="BV815" s="139"/>
      <c r="BW815" s="123"/>
      <c r="BX815" s="123"/>
      <c r="BY815" s="123"/>
      <c r="BZ815" s="123"/>
      <c r="CA815" s="123"/>
      <c r="CB815" s="123"/>
      <c r="CC815" s="6"/>
      <c r="CD815" s="123"/>
      <c r="CE815" s="6"/>
      <c r="CF815" s="123"/>
      <c r="CG815" s="6"/>
      <c r="CH815" s="6"/>
      <c r="CI815" s="6"/>
      <c r="CJ815" s="6"/>
      <c r="CK815" s="123"/>
      <c r="CL815" s="6"/>
      <c r="CM815" s="6"/>
      <c r="CN815" s="6"/>
      <c r="CO815" s="138"/>
      <c r="CP815" s="138"/>
      <c r="CQ815" s="123"/>
      <c r="CR815" s="6"/>
      <c r="CS815" s="6"/>
      <c r="CT815" s="139"/>
      <c r="CU815" s="139"/>
      <c r="CV815" s="76"/>
      <c r="CW815" s="123"/>
      <c r="CX815" s="6"/>
      <c r="DI815" s="125"/>
      <c r="DJ815" s="16"/>
      <c r="DM815" s="16"/>
      <c r="DN815" s="16"/>
      <c r="DO815" s="125"/>
      <c r="DP815" s="16"/>
      <c r="DQ815" s="125"/>
      <c r="DZ815" s="125"/>
      <c r="EA815" s="142"/>
      <c r="EB815" s="125"/>
      <c r="EC815" s="16"/>
      <c r="ED815" s="125"/>
      <c r="EE815" s="125"/>
      <c r="EF815" s="16"/>
      <c r="EG815" s="125"/>
      <c r="EQ815" s="125"/>
      <c r="ER815" s="16"/>
      <c r="ES815" s="123"/>
      <c r="ET815" s="19"/>
      <c r="EU815" s="139"/>
      <c r="EV815" s="139"/>
      <c r="EW815" s="123"/>
      <c r="EX815" s="123"/>
      <c r="EY815" s="123"/>
      <c r="EZ815" s="123"/>
      <c r="FA815" s="123"/>
      <c r="FB815" s="123"/>
      <c r="FC815" s="6"/>
      <c r="FD815" s="123"/>
      <c r="FE815" s="6"/>
      <c r="FF815" s="123"/>
      <c r="FG815" s="6"/>
      <c r="FH815" s="6"/>
      <c r="FI815" s="6"/>
      <c r="FJ815" s="6"/>
      <c r="FK815" s="123"/>
      <c r="FL815" s="6"/>
      <c r="FM815" s="6"/>
      <c r="FN815" s="6"/>
      <c r="FO815" s="138"/>
      <c r="FP815" s="138"/>
      <c r="FQ815" s="123"/>
      <c r="FR815" s="6"/>
      <c r="FS815" s="6"/>
      <c r="FT815" s="139"/>
      <c r="FU815" s="139"/>
      <c r="FV815" s="76"/>
      <c r="FW815" s="123"/>
      <c r="FX815" s="6"/>
    </row>
    <row r="816" spans="35:180">
      <c r="AI816" s="125"/>
      <c r="AJ816" s="16"/>
      <c r="AM816" s="16"/>
      <c r="AN816" s="16"/>
      <c r="AO816" s="125"/>
      <c r="AP816" s="16"/>
      <c r="AQ816" s="125"/>
      <c r="AZ816" s="125"/>
      <c r="BA816" s="142"/>
      <c r="BB816" s="125"/>
      <c r="BC816" s="16"/>
      <c r="BD816" s="125"/>
      <c r="BE816" s="125"/>
      <c r="BF816" s="16"/>
      <c r="BG816" s="125"/>
      <c r="BQ816" s="125"/>
      <c r="BR816" s="16"/>
      <c r="BS816" s="123"/>
      <c r="BT816" s="19"/>
      <c r="BU816" s="139"/>
      <c r="BV816" s="139"/>
      <c r="BW816" s="123"/>
      <c r="BX816" s="123"/>
      <c r="BY816" s="123"/>
      <c r="BZ816" s="123"/>
      <c r="CA816" s="123"/>
      <c r="CB816" s="123"/>
      <c r="CC816" s="6"/>
      <c r="CD816" s="123"/>
      <c r="CE816" s="6"/>
      <c r="CF816" s="123"/>
      <c r="CG816" s="6"/>
      <c r="CH816" s="6"/>
      <c r="CI816" s="6"/>
      <c r="CJ816" s="6"/>
      <c r="CK816" s="123"/>
      <c r="CL816" s="6"/>
      <c r="CM816" s="6"/>
      <c r="CN816" s="6"/>
      <c r="CO816" s="138"/>
      <c r="CP816" s="138"/>
      <c r="CQ816" s="123"/>
      <c r="CR816" s="6"/>
      <c r="CS816" s="6"/>
      <c r="CT816" s="139"/>
      <c r="CU816" s="139"/>
      <c r="CV816" s="76"/>
      <c r="CW816" s="123"/>
      <c r="CX816" s="6"/>
      <c r="DI816" s="125"/>
      <c r="DJ816" s="16"/>
      <c r="DM816" s="16"/>
      <c r="DN816" s="16"/>
      <c r="DO816" s="125"/>
      <c r="DP816" s="16"/>
      <c r="DQ816" s="125"/>
      <c r="DZ816" s="125"/>
      <c r="EA816" s="142"/>
      <c r="EB816" s="125"/>
      <c r="EC816" s="16"/>
      <c r="ED816" s="125"/>
      <c r="EE816" s="125"/>
      <c r="EF816" s="16"/>
      <c r="EG816" s="125"/>
      <c r="EQ816" s="125"/>
      <c r="ER816" s="16"/>
      <c r="ES816" s="123"/>
      <c r="ET816" s="19"/>
      <c r="EU816" s="139"/>
      <c r="EV816" s="139"/>
      <c r="EW816" s="123"/>
      <c r="EX816" s="123"/>
      <c r="EY816" s="123"/>
      <c r="EZ816" s="123"/>
      <c r="FA816" s="123"/>
      <c r="FB816" s="123"/>
      <c r="FC816" s="6"/>
      <c r="FD816" s="123"/>
      <c r="FE816" s="6"/>
      <c r="FF816" s="123"/>
      <c r="FG816" s="6"/>
      <c r="FH816" s="6"/>
      <c r="FI816" s="6"/>
      <c r="FJ816" s="6"/>
      <c r="FK816" s="123"/>
      <c r="FL816" s="6"/>
      <c r="FM816" s="6"/>
      <c r="FN816" s="6"/>
      <c r="FO816" s="138"/>
      <c r="FP816" s="138"/>
      <c r="FQ816" s="123"/>
      <c r="FR816" s="6"/>
      <c r="FS816" s="6"/>
      <c r="FT816" s="139"/>
      <c r="FU816" s="139"/>
      <c r="FV816" s="76"/>
      <c r="FW816" s="123"/>
      <c r="FX816" s="6"/>
    </row>
    <row r="817" spans="35:180">
      <c r="AI817" s="125"/>
      <c r="AJ817" s="16"/>
      <c r="AM817" s="16"/>
      <c r="AN817" s="16"/>
      <c r="AO817" s="125"/>
      <c r="AP817" s="16"/>
      <c r="AQ817" s="125"/>
      <c r="AZ817" s="125"/>
      <c r="BA817" s="142"/>
      <c r="BB817" s="125"/>
      <c r="BC817" s="16"/>
      <c r="BD817" s="125"/>
      <c r="BE817" s="125"/>
      <c r="BF817" s="16"/>
      <c r="BG817" s="125"/>
      <c r="BQ817" s="125"/>
      <c r="BR817" s="16"/>
      <c r="BS817" s="123"/>
      <c r="BT817" s="19"/>
      <c r="BU817" s="139"/>
      <c r="BV817" s="139"/>
      <c r="BW817" s="123"/>
      <c r="BX817" s="123"/>
      <c r="BY817" s="123"/>
      <c r="BZ817" s="123"/>
      <c r="CA817" s="123"/>
      <c r="CB817" s="123"/>
      <c r="CC817" s="6"/>
      <c r="CD817" s="123"/>
      <c r="CE817" s="6"/>
      <c r="CF817" s="123"/>
      <c r="CG817" s="6"/>
      <c r="CH817" s="6"/>
      <c r="CI817" s="6"/>
      <c r="CJ817" s="6"/>
      <c r="CK817" s="123"/>
      <c r="CL817" s="6"/>
      <c r="CM817" s="6"/>
      <c r="CN817" s="6"/>
      <c r="CO817" s="138"/>
      <c r="CP817" s="138"/>
      <c r="CQ817" s="123"/>
      <c r="CR817" s="6"/>
      <c r="CS817" s="6"/>
      <c r="CT817" s="139"/>
      <c r="CU817" s="139"/>
      <c r="CV817" s="76"/>
      <c r="CW817" s="123"/>
      <c r="CX817" s="6"/>
      <c r="DI817" s="125"/>
      <c r="DJ817" s="16"/>
      <c r="DM817" s="16"/>
      <c r="DN817" s="16"/>
      <c r="DO817" s="125"/>
      <c r="DP817" s="16"/>
      <c r="DQ817" s="125"/>
      <c r="DZ817" s="125"/>
      <c r="EA817" s="142"/>
      <c r="EB817" s="125"/>
      <c r="EC817" s="16"/>
      <c r="ED817" s="125"/>
      <c r="EE817" s="125"/>
      <c r="EF817" s="16"/>
      <c r="EG817" s="125"/>
      <c r="EQ817" s="125"/>
      <c r="ER817" s="16"/>
      <c r="ES817" s="123"/>
      <c r="ET817" s="19"/>
      <c r="EU817" s="139"/>
      <c r="EV817" s="139"/>
      <c r="EW817" s="123"/>
      <c r="EX817" s="123"/>
      <c r="EY817" s="123"/>
      <c r="EZ817" s="123"/>
      <c r="FA817" s="123"/>
      <c r="FB817" s="123"/>
      <c r="FC817" s="6"/>
      <c r="FD817" s="123"/>
      <c r="FE817" s="6"/>
      <c r="FF817" s="123"/>
      <c r="FG817" s="6"/>
      <c r="FH817" s="6"/>
      <c r="FI817" s="6"/>
      <c r="FJ817" s="6"/>
      <c r="FK817" s="123"/>
      <c r="FL817" s="6"/>
      <c r="FM817" s="6"/>
      <c r="FN817" s="6"/>
      <c r="FO817" s="138"/>
      <c r="FP817" s="138"/>
      <c r="FQ817" s="123"/>
      <c r="FR817" s="6"/>
      <c r="FS817" s="6"/>
      <c r="FT817" s="139"/>
      <c r="FU817" s="139"/>
      <c r="FV817" s="76"/>
      <c r="FW817" s="123"/>
      <c r="FX817" s="6"/>
    </row>
    <row r="818" spans="35:180">
      <c r="AI818" s="125"/>
      <c r="AJ818" s="16"/>
      <c r="AM818" s="16"/>
      <c r="AN818" s="16"/>
      <c r="AO818" s="125"/>
      <c r="AP818" s="16"/>
      <c r="AQ818" s="125"/>
      <c r="AZ818" s="125"/>
      <c r="BA818" s="142"/>
      <c r="BB818" s="125"/>
      <c r="BC818" s="16"/>
      <c r="BD818" s="125"/>
      <c r="BE818" s="125"/>
      <c r="BF818" s="16"/>
      <c r="BG818" s="125"/>
      <c r="BQ818" s="125"/>
      <c r="BR818" s="16"/>
      <c r="BS818" s="123"/>
      <c r="BT818" s="19"/>
      <c r="BU818" s="139"/>
      <c r="BV818" s="139"/>
      <c r="BW818" s="123"/>
      <c r="BX818" s="123"/>
      <c r="BY818" s="123"/>
      <c r="BZ818" s="123"/>
      <c r="CA818" s="123"/>
      <c r="CB818" s="123"/>
      <c r="CC818" s="6"/>
      <c r="CD818" s="123"/>
      <c r="CE818" s="6"/>
      <c r="CF818" s="123"/>
      <c r="CG818" s="6"/>
      <c r="CH818" s="6"/>
      <c r="CI818" s="6"/>
      <c r="CJ818" s="6"/>
      <c r="CK818" s="123"/>
      <c r="CL818" s="6"/>
      <c r="CM818" s="6"/>
      <c r="CN818" s="6"/>
      <c r="CO818" s="138"/>
      <c r="CP818" s="138"/>
      <c r="CQ818" s="123"/>
      <c r="CR818" s="6"/>
      <c r="CS818" s="6"/>
      <c r="CT818" s="139"/>
      <c r="CU818" s="139"/>
      <c r="CV818" s="76"/>
      <c r="CW818" s="123"/>
      <c r="CX818" s="6"/>
      <c r="DI818" s="125"/>
      <c r="DJ818" s="16"/>
      <c r="DM818" s="16"/>
      <c r="DN818" s="16"/>
      <c r="DO818" s="125"/>
      <c r="DP818" s="16"/>
      <c r="DQ818" s="125"/>
      <c r="DZ818" s="125"/>
      <c r="EA818" s="142"/>
      <c r="EB818" s="125"/>
      <c r="EC818" s="16"/>
      <c r="ED818" s="125"/>
      <c r="EE818" s="125"/>
      <c r="EF818" s="16"/>
      <c r="EG818" s="125"/>
      <c r="EQ818" s="125"/>
      <c r="ER818" s="16"/>
      <c r="ES818" s="123"/>
      <c r="ET818" s="19"/>
      <c r="EU818" s="139"/>
      <c r="EV818" s="139"/>
      <c r="EW818" s="123"/>
      <c r="EX818" s="123"/>
      <c r="EY818" s="123"/>
      <c r="EZ818" s="123"/>
      <c r="FA818" s="123"/>
      <c r="FB818" s="123"/>
      <c r="FC818" s="6"/>
      <c r="FD818" s="123"/>
      <c r="FE818" s="6"/>
      <c r="FF818" s="123"/>
      <c r="FG818" s="6"/>
      <c r="FH818" s="6"/>
      <c r="FI818" s="6"/>
      <c r="FJ818" s="6"/>
      <c r="FK818" s="123"/>
      <c r="FL818" s="6"/>
      <c r="FM818" s="6"/>
      <c r="FN818" s="6"/>
      <c r="FO818" s="138"/>
      <c r="FP818" s="138"/>
      <c r="FQ818" s="123"/>
      <c r="FR818" s="6"/>
      <c r="FS818" s="6"/>
      <c r="FT818" s="139"/>
      <c r="FU818" s="139"/>
      <c r="FV818" s="76"/>
      <c r="FW818" s="123"/>
      <c r="FX818" s="6"/>
    </row>
    <row r="819" spans="35:180">
      <c r="AI819" s="125"/>
      <c r="AJ819" s="16"/>
      <c r="AM819" s="16"/>
      <c r="AN819" s="16"/>
      <c r="AO819" s="125"/>
      <c r="AP819" s="16"/>
      <c r="AQ819" s="125"/>
      <c r="AZ819" s="125"/>
      <c r="BA819" s="142"/>
      <c r="BB819" s="125"/>
      <c r="BC819" s="16"/>
      <c r="BD819" s="125"/>
      <c r="BE819" s="125"/>
      <c r="BF819" s="16"/>
      <c r="BG819" s="125"/>
      <c r="BQ819" s="125"/>
      <c r="BR819" s="16"/>
      <c r="BS819" s="123"/>
      <c r="BT819" s="19"/>
      <c r="BU819" s="139"/>
      <c r="BV819" s="139"/>
      <c r="BW819" s="123"/>
      <c r="BX819" s="123"/>
      <c r="BY819" s="123"/>
      <c r="BZ819" s="123"/>
      <c r="CA819" s="123"/>
      <c r="CB819" s="123"/>
      <c r="CC819" s="6"/>
      <c r="CD819" s="123"/>
      <c r="CE819" s="6"/>
      <c r="CF819" s="123"/>
      <c r="CG819" s="6"/>
      <c r="CH819" s="6"/>
      <c r="CI819" s="6"/>
      <c r="CJ819" s="6"/>
      <c r="CK819" s="123"/>
      <c r="CL819" s="6"/>
      <c r="CM819" s="6"/>
      <c r="CN819" s="6"/>
      <c r="CO819" s="138"/>
      <c r="CP819" s="138"/>
      <c r="CQ819" s="123"/>
      <c r="CR819" s="6"/>
      <c r="CS819" s="6"/>
      <c r="CT819" s="139"/>
      <c r="CU819" s="139"/>
      <c r="CV819" s="76"/>
      <c r="CW819" s="123"/>
      <c r="CX819" s="6"/>
      <c r="DI819" s="125"/>
      <c r="DJ819" s="16"/>
      <c r="DM819" s="16"/>
      <c r="DN819" s="16"/>
      <c r="DO819" s="125"/>
      <c r="DP819" s="16"/>
      <c r="DQ819" s="125"/>
      <c r="DZ819" s="125"/>
      <c r="EA819" s="142"/>
      <c r="EB819" s="125"/>
      <c r="EC819" s="16"/>
      <c r="ED819" s="125"/>
      <c r="EE819" s="125"/>
      <c r="EF819" s="16"/>
      <c r="EG819" s="125"/>
      <c r="EQ819" s="125"/>
      <c r="ER819" s="16"/>
      <c r="ES819" s="123"/>
      <c r="ET819" s="19"/>
      <c r="EU819" s="139"/>
      <c r="EV819" s="139"/>
      <c r="EW819" s="123"/>
      <c r="EX819" s="123"/>
      <c r="EY819" s="123"/>
      <c r="EZ819" s="123"/>
      <c r="FA819" s="123"/>
      <c r="FB819" s="123"/>
      <c r="FC819" s="6"/>
      <c r="FD819" s="123"/>
      <c r="FE819" s="6"/>
      <c r="FF819" s="123"/>
      <c r="FG819" s="6"/>
      <c r="FH819" s="6"/>
      <c r="FI819" s="6"/>
      <c r="FJ819" s="6"/>
      <c r="FK819" s="123"/>
      <c r="FL819" s="6"/>
      <c r="FM819" s="6"/>
      <c r="FN819" s="6"/>
      <c r="FO819" s="138"/>
      <c r="FP819" s="138"/>
      <c r="FQ819" s="123"/>
      <c r="FR819" s="6"/>
      <c r="FS819" s="6"/>
      <c r="FT819" s="139"/>
      <c r="FU819" s="139"/>
      <c r="FV819" s="76"/>
      <c r="FW819" s="123"/>
      <c r="FX819" s="6"/>
    </row>
    <row r="820" spans="35:180">
      <c r="AI820" s="125"/>
      <c r="AJ820" s="16"/>
      <c r="AM820" s="16"/>
      <c r="AN820" s="16"/>
      <c r="AO820" s="125"/>
      <c r="AP820" s="16"/>
      <c r="AQ820" s="125"/>
      <c r="AZ820" s="125"/>
      <c r="BA820" s="142"/>
      <c r="BB820" s="125"/>
      <c r="BC820" s="16"/>
      <c r="BD820" s="125"/>
      <c r="BE820" s="125"/>
      <c r="BF820" s="16"/>
      <c r="BG820" s="125"/>
      <c r="BQ820" s="125"/>
      <c r="BR820" s="16"/>
      <c r="BS820" s="123"/>
      <c r="BT820" s="19"/>
      <c r="BU820" s="139"/>
      <c r="BV820" s="139"/>
      <c r="BW820" s="123"/>
      <c r="BX820" s="123"/>
      <c r="BY820" s="123"/>
      <c r="BZ820" s="123"/>
      <c r="CA820" s="123"/>
      <c r="CB820" s="123"/>
      <c r="CC820" s="6"/>
      <c r="CD820" s="123"/>
      <c r="CE820" s="6"/>
      <c r="CF820" s="123"/>
      <c r="CG820" s="6"/>
      <c r="CH820" s="6"/>
      <c r="CI820" s="6"/>
      <c r="CJ820" s="6"/>
      <c r="CK820" s="123"/>
      <c r="CL820" s="6"/>
      <c r="CM820" s="6"/>
      <c r="CN820" s="6"/>
      <c r="CO820" s="138"/>
      <c r="CP820" s="138"/>
      <c r="CQ820" s="123"/>
      <c r="CR820" s="6"/>
      <c r="CS820" s="6"/>
      <c r="CT820" s="139"/>
      <c r="CU820" s="139"/>
      <c r="CV820" s="76"/>
      <c r="CW820" s="123"/>
      <c r="CX820" s="6"/>
      <c r="DI820" s="125"/>
      <c r="DJ820" s="16"/>
      <c r="DM820" s="16"/>
      <c r="DN820" s="16"/>
      <c r="DO820" s="125"/>
      <c r="DP820" s="16"/>
      <c r="DQ820" s="125"/>
      <c r="DZ820" s="125"/>
      <c r="EA820" s="142"/>
      <c r="EB820" s="125"/>
      <c r="EC820" s="16"/>
      <c r="ED820" s="125"/>
      <c r="EE820" s="125"/>
      <c r="EF820" s="16"/>
      <c r="EG820" s="125"/>
      <c r="EQ820" s="125"/>
      <c r="ER820" s="16"/>
      <c r="ES820" s="123"/>
      <c r="ET820" s="19"/>
      <c r="EU820" s="139"/>
      <c r="EV820" s="139"/>
      <c r="EW820" s="123"/>
      <c r="EX820" s="123"/>
      <c r="EY820" s="123"/>
      <c r="EZ820" s="123"/>
      <c r="FA820" s="123"/>
      <c r="FB820" s="123"/>
      <c r="FC820" s="6"/>
      <c r="FD820" s="123"/>
      <c r="FE820" s="6"/>
      <c r="FF820" s="123"/>
      <c r="FG820" s="6"/>
      <c r="FH820" s="6"/>
      <c r="FI820" s="6"/>
      <c r="FJ820" s="6"/>
      <c r="FK820" s="123"/>
      <c r="FL820" s="6"/>
      <c r="FM820" s="6"/>
      <c r="FN820" s="6"/>
      <c r="FO820" s="138"/>
      <c r="FP820" s="138"/>
      <c r="FQ820" s="123"/>
      <c r="FR820" s="6"/>
      <c r="FS820" s="6"/>
      <c r="FT820" s="139"/>
      <c r="FU820" s="139"/>
      <c r="FV820" s="76"/>
      <c r="FW820" s="123"/>
      <c r="FX820" s="6"/>
    </row>
    <row r="821" spans="35:180">
      <c r="AI821" s="125"/>
      <c r="AJ821" s="16"/>
      <c r="AM821" s="16"/>
      <c r="AN821" s="16"/>
      <c r="AO821" s="125"/>
      <c r="AP821" s="16"/>
      <c r="AQ821" s="125"/>
      <c r="AZ821" s="125"/>
      <c r="BA821" s="142"/>
      <c r="BB821" s="125"/>
      <c r="BC821" s="16"/>
      <c r="BD821" s="125"/>
      <c r="BE821" s="125"/>
      <c r="BF821" s="16"/>
      <c r="BG821" s="125"/>
      <c r="BQ821" s="125"/>
      <c r="BR821" s="16"/>
      <c r="BS821" s="123"/>
      <c r="BT821" s="19"/>
      <c r="BU821" s="139"/>
      <c r="BV821" s="139"/>
      <c r="BW821" s="123"/>
      <c r="BX821" s="123"/>
      <c r="BY821" s="123"/>
      <c r="BZ821" s="123"/>
      <c r="CA821" s="123"/>
      <c r="CB821" s="123"/>
      <c r="CC821" s="6"/>
      <c r="CD821" s="123"/>
      <c r="CE821" s="6"/>
      <c r="CF821" s="123"/>
      <c r="CG821" s="6"/>
      <c r="CH821" s="6"/>
      <c r="CI821" s="6"/>
      <c r="CJ821" s="6"/>
      <c r="CK821" s="123"/>
      <c r="CL821" s="6"/>
      <c r="CM821" s="6"/>
      <c r="CN821" s="6"/>
      <c r="CO821" s="138"/>
      <c r="CP821" s="138"/>
      <c r="CQ821" s="123"/>
      <c r="CR821" s="6"/>
      <c r="CS821" s="6"/>
      <c r="CT821" s="139"/>
      <c r="CU821" s="139"/>
      <c r="CV821" s="76"/>
      <c r="CW821" s="123"/>
      <c r="CX821" s="6"/>
      <c r="DI821" s="125"/>
      <c r="DJ821" s="16"/>
      <c r="DM821" s="16"/>
      <c r="DN821" s="16"/>
      <c r="DO821" s="125"/>
      <c r="DP821" s="16"/>
      <c r="DQ821" s="125"/>
      <c r="DZ821" s="125"/>
      <c r="EA821" s="142"/>
      <c r="EB821" s="125"/>
      <c r="EC821" s="16"/>
      <c r="ED821" s="125"/>
      <c r="EE821" s="125"/>
      <c r="EF821" s="16"/>
      <c r="EG821" s="125"/>
      <c r="EQ821" s="125"/>
      <c r="ER821" s="16"/>
      <c r="ES821" s="123"/>
      <c r="ET821" s="19"/>
      <c r="EU821" s="139"/>
      <c r="EV821" s="139"/>
      <c r="EW821" s="123"/>
      <c r="EX821" s="123"/>
      <c r="EY821" s="123"/>
      <c r="EZ821" s="123"/>
      <c r="FA821" s="123"/>
      <c r="FB821" s="123"/>
      <c r="FC821" s="6"/>
      <c r="FD821" s="123"/>
      <c r="FE821" s="6"/>
      <c r="FF821" s="123"/>
      <c r="FG821" s="6"/>
      <c r="FH821" s="6"/>
      <c r="FI821" s="6"/>
      <c r="FJ821" s="6"/>
      <c r="FK821" s="123"/>
      <c r="FL821" s="6"/>
      <c r="FM821" s="6"/>
      <c r="FN821" s="6"/>
      <c r="FO821" s="138"/>
      <c r="FP821" s="138"/>
      <c r="FQ821" s="123"/>
      <c r="FR821" s="6"/>
      <c r="FS821" s="6"/>
      <c r="FT821" s="139"/>
      <c r="FU821" s="139"/>
      <c r="FV821" s="76"/>
      <c r="FW821" s="123"/>
      <c r="FX821" s="6"/>
    </row>
    <row r="822" spans="35:180">
      <c r="AI822" s="125"/>
      <c r="AJ822" s="16"/>
      <c r="AM822" s="16"/>
      <c r="AN822" s="16"/>
      <c r="AO822" s="125"/>
      <c r="AP822" s="16"/>
      <c r="AQ822" s="125"/>
      <c r="AZ822" s="125"/>
      <c r="BA822" s="142"/>
      <c r="BB822" s="125"/>
      <c r="BC822" s="16"/>
      <c r="BD822" s="125"/>
      <c r="BE822" s="125"/>
      <c r="BF822" s="16"/>
      <c r="BG822" s="125"/>
      <c r="BQ822" s="125"/>
      <c r="BR822" s="16"/>
      <c r="BS822" s="123"/>
      <c r="BT822" s="19"/>
      <c r="BU822" s="139"/>
      <c r="BV822" s="139"/>
      <c r="BW822" s="123"/>
      <c r="BX822" s="123"/>
      <c r="BY822" s="123"/>
      <c r="BZ822" s="123"/>
      <c r="CA822" s="123"/>
      <c r="CB822" s="123"/>
      <c r="CC822" s="6"/>
      <c r="CD822" s="123"/>
      <c r="CE822" s="6"/>
      <c r="CF822" s="123"/>
      <c r="CG822" s="6"/>
      <c r="CH822" s="6"/>
      <c r="CI822" s="6"/>
      <c r="CJ822" s="6"/>
      <c r="CK822" s="123"/>
      <c r="CL822" s="6"/>
      <c r="CM822" s="6"/>
      <c r="CN822" s="6"/>
      <c r="CO822" s="138"/>
      <c r="CP822" s="138"/>
      <c r="CQ822" s="123"/>
      <c r="CR822" s="6"/>
      <c r="CS822" s="6"/>
      <c r="CT822" s="139"/>
      <c r="CU822" s="139"/>
      <c r="CV822" s="76"/>
      <c r="CW822" s="123"/>
      <c r="CX822" s="6"/>
      <c r="DI822" s="125"/>
      <c r="DJ822" s="16"/>
      <c r="DM822" s="16"/>
      <c r="DN822" s="16"/>
      <c r="DO822" s="125"/>
      <c r="DP822" s="16"/>
      <c r="DQ822" s="125"/>
      <c r="DZ822" s="125"/>
      <c r="EA822" s="142"/>
      <c r="EB822" s="125"/>
      <c r="EC822" s="16"/>
      <c r="ED822" s="125"/>
      <c r="EE822" s="125"/>
      <c r="EF822" s="16"/>
      <c r="EG822" s="125"/>
      <c r="EQ822" s="125"/>
      <c r="ER822" s="16"/>
      <c r="ES822" s="123"/>
      <c r="ET822" s="19"/>
      <c r="EU822" s="139"/>
      <c r="EV822" s="139"/>
      <c r="EW822" s="123"/>
      <c r="EX822" s="123"/>
      <c r="EY822" s="123"/>
      <c r="EZ822" s="123"/>
      <c r="FA822" s="123"/>
      <c r="FB822" s="123"/>
      <c r="FC822" s="6"/>
      <c r="FD822" s="123"/>
      <c r="FE822" s="6"/>
      <c r="FF822" s="123"/>
      <c r="FG822" s="6"/>
      <c r="FH822" s="6"/>
      <c r="FI822" s="6"/>
      <c r="FJ822" s="6"/>
      <c r="FK822" s="123"/>
      <c r="FL822" s="6"/>
      <c r="FM822" s="6"/>
      <c r="FN822" s="6"/>
      <c r="FO822" s="138"/>
      <c r="FP822" s="138"/>
      <c r="FQ822" s="123"/>
      <c r="FR822" s="6"/>
      <c r="FS822" s="6"/>
      <c r="FT822" s="139"/>
      <c r="FU822" s="139"/>
      <c r="FV822" s="76"/>
      <c r="FW822" s="123"/>
      <c r="FX822" s="6"/>
    </row>
    <row r="823" spans="35:180">
      <c r="AI823" s="125"/>
      <c r="AJ823" s="16"/>
      <c r="AM823" s="16"/>
      <c r="AN823" s="16"/>
      <c r="AO823" s="125"/>
      <c r="AP823" s="16"/>
      <c r="AQ823" s="125"/>
      <c r="AZ823" s="125"/>
      <c r="BA823" s="142"/>
      <c r="BB823" s="125"/>
      <c r="BC823" s="16"/>
      <c r="BD823" s="125"/>
      <c r="BE823" s="125"/>
      <c r="BF823" s="16"/>
      <c r="BG823" s="125"/>
      <c r="BQ823" s="125"/>
      <c r="BR823" s="16"/>
      <c r="BS823" s="123"/>
      <c r="BT823" s="19"/>
      <c r="BU823" s="139"/>
      <c r="BV823" s="139"/>
      <c r="BW823" s="123"/>
      <c r="BX823" s="123"/>
      <c r="BY823" s="123"/>
      <c r="BZ823" s="123"/>
      <c r="CA823" s="123"/>
      <c r="CB823" s="123"/>
      <c r="CC823" s="6"/>
      <c r="CD823" s="123"/>
      <c r="CE823" s="6"/>
      <c r="CF823" s="123"/>
      <c r="CG823" s="6"/>
      <c r="CH823" s="6"/>
      <c r="CI823" s="6"/>
      <c r="CJ823" s="6"/>
      <c r="CK823" s="123"/>
      <c r="CL823" s="6"/>
      <c r="CM823" s="6"/>
      <c r="CN823" s="6"/>
      <c r="CO823" s="138"/>
      <c r="CP823" s="138"/>
      <c r="CQ823" s="123"/>
      <c r="CR823" s="6"/>
      <c r="CS823" s="6"/>
      <c r="CT823" s="139"/>
      <c r="CU823" s="139"/>
      <c r="CV823" s="76"/>
      <c r="CW823" s="123"/>
      <c r="CX823" s="6"/>
      <c r="DI823" s="125"/>
      <c r="DJ823" s="16"/>
      <c r="DM823" s="16"/>
      <c r="DN823" s="16"/>
      <c r="DO823" s="125"/>
      <c r="DP823" s="16"/>
      <c r="DQ823" s="125"/>
      <c r="DZ823" s="125"/>
      <c r="EA823" s="142"/>
      <c r="EB823" s="125"/>
      <c r="EC823" s="16"/>
      <c r="ED823" s="125"/>
      <c r="EE823" s="125"/>
      <c r="EF823" s="16"/>
      <c r="EG823" s="125"/>
      <c r="EQ823" s="125"/>
      <c r="ER823" s="16"/>
      <c r="ES823" s="123"/>
      <c r="ET823" s="19"/>
      <c r="EU823" s="139"/>
      <c r="EV823" s="139"/>
      <c r="EW823" s="123"/>
      <c r="EX823" s="123"/>
      <c r="EY823" s="123"/>
      <c r="EZ823" s="123"/>
      <c r="FA823" s="123"/>
      <c r="FB823" s="123"/>
      <c r="FC823" s="6"/>
      <c r="FD823" s="123"/>
      <c r="FE823" s="6"/>
      <c r="FF823" s="123"/>
      <c r="FG823" s="6"/>
      <c r="FH823" s="6"/>
      <c r="FI823" s="6"/>
      <c r="FJ823" s="6"/>
      <c r="FK823" s="123"/>
      <c r="FL823" s="6"/>
      <c r="FM823" s="6"/>
      <c r="FN823" s="6"/>
      <c r="FO823" s="138"/>
      <c r="FP823" s="138"/>
      <c r="FQ823" s="123"/>
      <c r="FR823" s="6"/>
      <c r="FS823" s="6"/>
      <c r="FT823" s="139"/>
      <c r="FU823" s="139"/>
      <c r="FV823" s="76"/>
      <c r="FW823" s="123"/>
      <c r="FX823" s="6"/>
    </row>
    <row r="824" spans="35:180">
      <c r="AI824" s="125"/>
      <c r="AJ824" s="16"/>
      <c r="AM824" s="16"/>
      <c r="AN824" s="16"/>
      <c r="AO824" s="125"/>
      <c r="AP824" s="16"/>
      <c r="AQ824" s="125"/>
      <c r="AZ824" s="125"/>
      <c r="BA824" s="142"/>
      <c r="BB824" s="125"/>
      <c r="BC824" s="16"/>
      <c r="BD824" s="125"/>
      <c r="BE824" s="125"/>
      <c r="BF824" s="16"/>
      <c r="BG824" s="125"/>
      <c r="BQ824" s="125"/>
      <c r="BR824" s="16"/>
      <c r="BS824" s="123"/>
      <c r="BT824" s="19"/>
      <c r="BU824" s="139"/>
      <c r="BV824" s="139"/>
      <c r="BW824" s="123"/>
      <c r="BX824" s="123"/>
      <c r="BY824" s="123"/>
      <c r="BZ824" s="123"/>
      <c r="CA824" s="123"/>
      <c r="CB824" s="123"/>
      <c r="CC824" s="6"/>
      <c r="CD824" s="123"/>
      <c r="CE824" s="6"/>
      <c r="CF824" s="123"/>
      <c r="CG824" s="6"/>
      <c r="CH824" s="6"/>
      <c r="CI824" s="6"/>
      <c r="CJ824" s="6"/>
      <c r="CK824" s="123"/>
      <c r="CL824" s="6"/>
      <c r="CM824" s="6"/>
      <c r="CN824" s="6"/>
      <c r="CO824" s="138"/>
      <c r="CP824" s="138"/>
      <c r="CQ824" s="123"/>
      <c r="CR824" s="6"/>
      <c r="CS824" s="6"/>
      <c r="CT824" s="139"/>
      <c r="CU824" s="139"/>
      <c r="CV824" s="76"/>
      <c r="CW824" s="123"/>
      <c r="CX824" s="6"/>
      <c r="DI824" s="125"/>
      <c r="DJ824" s="16"/>
      <c r="DM824" s="16"/>
      <c r="DN824" s="16"/>
      <c r="DO824" s="125"/>
      <c r="DP824" s="16"/>
      <c r="DQ824" s="125"/>
      <c r="DZ824" s="125"/>
      <c r="EA824" s="142"/>
      <c r="EB824" s="125"/>
      <c r="EC824" s="16"/>
      <c r="ED824" s="125"/>
      <c r="EE824" s="125"/>
      <c r="EF824" s="16"/>
      <c r="EG824" s="125"/>
      <c r="EQ824" s="125"/>
      <c r="ER824" s="16"/>
      <c r="ES824" s="123"/>
      <c r="ET824" s="19"/>
      <c r="EU824" s="139"/>
      <c r="EV824" s="139"/>
      <c r="EW824" s="123"/>
      <c r="EX824" s="123"/>
      <c r="EY824" s="123"/>
      <c r="EZ824" s="123"/>
      <c r="FA824" s="123"/>
      <c r="FB824" s="123"/>
      <c r="FC824" s="6"/>
      <c r="FD824" s="123"/>
      <c r="FE824" s="6"/>
      <c r="FF824" s="123"/>
      <c r="FG824" s="6"/>
      <c r="FH824" s="6"/>
      <c r="FI824" s="6"/>
      <c r="FJ824" s="6"/>
      <c r="FK824" s="123"/>
      <c r="FL824" s="6"/>
      <c r="FM824" s="6"/>
      <c r="FN824" s="6"/>
      <c r="FO824" s="138"/>
      <c r="FP824" s="138"/>
      <c r="FQ824" s="123"/>
      <c r="FR824" s="6"/>
      <c r="FS824" s="6"/>
      <c r="FT824" s="139"/>
      <c r="FU824" s="139"/>
      <c r="FV824" s="76"/>
      <c r="FW824" s="123"/>
      <c r="FX824" s="6"/>
    </row>
    <row r="825" spans="35:180">
      <c r="AI825" s="125"/>
      <c r="AJ825" s="16"/>
      <c r="AM825" s="16"/>
      <c r="AN825" s="16"/>
      <c r="AO825" s="125"/>
      <c r="AP825" s="16"/>
      <c r="AQ825" s="125"/>
      <c r="AZ825" s="125"/>
      <c r="BA825" s="142"/>
      <c r="BB825" s="125"/>
      <c r="BC825" s="16"/>
      <c r="BD825" s="125"/>
      <c r="BE825" s="125"/>
      <c r="BF825" s="16"/>
      <c r="BG825" s="125"/>
      <c r="BQ825" s="125"/>
      <c r="BR825" s="16"/>
      <c r="BS825" s="123"/>
      <c r="BT825" s="19"/>
      <c r="BU825" s="139"/>
      <c r="BV825" s="139"/>
      <c r="BW825" s="123"/>
      <c r="BX825" s="123"/>
      <c r="BY825" s="123"/>
      <c r="BZ825" s="123"/>
      <c r="CA825" s="123"/>
      <c r="CB825" s="123"/>
      <c r="CC825" s="6"/>
      <c r="CD825" s="123"/>
      <c r="CE825" s="6"/>
      <c r="CF825" s="123"/>
      <c r="CG825" s="6"/>
      <c r="CH825" s="6"/>
      <c r="CI825" s="6"/>
      <c r="CJ825" s="6"/>
      <c r="CK825" s="123"/>
      <c r="CL825" s="6"/>
      <c r="CM825" s="6"/>
      <c r="CN825" s="6"/>
      <c r="CO825" s="138"/>
      <c r="CP825" s="138"/>
      <c r="CQ825" s="123"/>
      <c r="CR825" s="6"/>
      <c r="CS825" s="6"/>
      <c r="CT825" s="139"/>
      <c r="CU825" s="139"/>
      <c r="CV825" s="76"/>
      <c r="CW825" s="123"/>
      <c r="CX825" s="6"/>
      <c r="DI825" s="125"/>
      <c r="DJ825" s="16"/>
      <c r="DM825" s="16"/>
      <c r="DN825" s="16"/>
      <c r="DO825" s="125"/>
      <c r="DP825" s="16"/>
      <c r="DQ825" s="125"/>
      <c r="DZ825" s="125"/>
      <c r="EA825" s="142"/>
      <c r="EB825" s="125"/>
      <c r="EC825" s="16"/>
      <c r="ED825" s="125"/>
      <c r="EE825" s="125"/>
      <c r="EF825" s="16"/>
      <c r="EG825" s="125"/>
      <c r="EQ825" s="125"/>
      <c r="ER825" s="16"/>
      <c r="ES825" s="123"/>
      <c r="ET825" s="19"/>
      <c r="EU825" s="139"/>
      <c r="EV825" s="139"/>
      <c r="EW825" s="123"/>
      <c r="EX825" s="123"/>
      <c r="EY825" s="123"/>
      <c r="EZ825" s="123"/>
      <c r="FA825" s="123"/>
      <c r="FB825" s="123"/>
      <c r="FC825" s="6"/>
      <c r="FD825" s="123"/>
      <c r="FE825" s="6"/>
      <c r="FF825" s="123"/>
      <c r="FG825" s="6"/>
      <c r="FH825" s="6"/>
      <c r="FI825" s="6"/>
      <c r="FJ825" s="6"/>
      <c r="FK825" s="123"/>
      <c r="FL825" s="6"/>
      <c r="FM825" s="6"/>
      <c r="FN825" s="6"/>
      <c r="FO825" s="138"/>
      <c r="FP825" s="138"/>
      <c r="FQ825" s="123"/>
      <c r="FR825" s="6"/>
      <c r="FS825" s="6"/>
      <c r="FT825" s="139"/>
      <c r="FU825" s="139"/>
      <c r="FV825" s="76"/>
      <c r="FW825" s="123"/>
      <c r="FX825" s="6"/>
    </row>
    <row r="826" spans="35:180">
      <c r="AI826" s="125"/>
      <c r="AJ826" s="16"/>
      <c r="AM826" s="16"/>
      <c r="AN826" s="16"/>
      <c r="AO826" s="125"/>
      <c r="AP826" s="16"/>
      <c r="AQ826" s="125"/>
      <c r="AZ826" s="125"/>
      <c r="BA826" s="142"/>
      <c r="BB826" s="125"/>
      <c r="BC826" s="16"/>
      <c r="BD826" s="125"/>
      <c r="BE826" s="125"/>
      <c r="BF826" s="16"/>
      <c r="BG826" s="125"/>
      <c r="BQ826" s="125"/>
      <c r="BR826" s="16"/>
      <c r="BS826" s="123"/>
      <c r="BT826" s="19"/>
      <c r="BU826" s="139"/>
      <c r="BV826" s="139"/>
      <c r="BW826" s="123"/>
      <c r="BX826" s="123"/>
      <c r="BY826" s="123"/>
      <c r="BZ826" s="123"/>
      <c r="CA826" s="123"/>
      <c r="CB826" s="123"/>
      <c r="CC826" s="6"/>
      <c r="CD826" s="123"/>
      <c r="CE826" s="6"/>
      <c r="CF826" s="123"/>
      <c r="CG826" s="6"/>
      <c r="CH826" s="6"/>
      <c r="CI826" s="6"/>
      <c r="CJ826" s="6"/>
      <c r="CK826" s="123"/>
      <c r="CL826" s="6"/>
      <c r="CM826" s="6"/>
      <c r="CN826" s="6"/>
      <c r="CO826" s="138"/>
      <c r="CP826" s="138"/>
      <c r="CQ826" s="123"/>
      <c r="CR826" s="6"/>
      <c r="CS826" s="6"/>
      <c r="CT826" s="139"/>
      <c r="CU826" s="139"/>
      <c r="CV826" s="76"/>
      <c r="CW826" s="123"/>
      <c r="CX826" s="6"/>
      <c r="DI826" s="125"/>
      <c r="DJ826" s="16"/>
      <c r="DM826" s="16"/>
      <c r="DN826" s="16"/>
      <c r="DO826" s="125"/>
      <c r="DP826" s="16"/>
      <c r="DQ826" s="125"/>
      <c r="DZ826" s="125"/>
      <c r="EA826" s="142"/>
      <c r="EB826" s="125"/>
      <c r="EC826" s="16"/>
      <c r="ED826" s="125"/>
      <c r="EE826" s="125"/>
      <c r="EF826" s="16"/>
      <c r="EG826" s="125"/>
      <c r="EQ826" s="125"/>
      <c r="ER826" s="16"/>
      <c r="ES826" s="123"/>
      <c r="ET826" s="19"/>
      <c r="EU826" s="139"/>
      <c r="EV826" s="139"/>
      <c r="EW826" s="123"/>
      <c r="EX826" s="123"/>
      <c r="EY826" s="123"/>
      <c r="EZ826" s="123"/>
      <c r="FA826" s="123"/>
      <c r="FB826" s="123"/>
      <c r="FC826" s="6"/>
      <c r="FD826" s="123"/>
      <c r="FE826" s="6"/>
      <c r="FF826" s="123"/>
      <c r="FG826" s="6"/>
      <c r="FH826" s="6"/>
      <c r="FI826" s="6"/>
      <c r="FJ826" s="6"/>
      <c r="FK826" s="123"/>
      <c r="FL826" s="6"/>
      <c r="FM826" s="6"/>
      <c r="FN826" s="6"/>
      <c r="FO826" s="138"/>
      <c r="FP826" s="138"/>
      <c r="FQ826" s="123"/>
      <c r="FR826" s="6"/>
      <c r="FS826" s="6"/>
      <c r="FT826" s="139"/>
      <c r="FU826" s="139"/>
      <c r="FV826" s="76"/>
      <c r="FW826" s="123"/>
      <c r="FX826" s="6"/>
    </row>
    <row r="827" spans="35:180">
      <c r="AI827" s="125"/>
      <c r="AJ827" s="16"/>
      <c r="AM827" s="16"/>
      <c r="AN827" s="16"/>
      <c r="AO827" s="125"/>
      <c r="AP827" s="16"/>
      <c r="AQ827" s="125"/>
      <c r="AZ827" s="125"/>
      <c r="BA827" s="142"/>
      <c r="BB827" s="125"/>
      <c r="BC827" s="16"/>
      <c r="BD827" s="125"/>
      <c r="BE827" s="125"/>
      <c r="BF827" s="16"/>
      <c r="BG827" s="125"/>
      <c r="BQ827" s="125"/>
      <c r="BR827" s="16"/>
      <c r="BS827" s="123"/>
      <c r="BT827" s="19"/>
      <c r="BU827" s="139"/>
      <c r="BV827" s="139"/>
      <c r="BW827" s="123"/>
      <c r="BX827" s="123"/>
      <c r="BY827" s="123"/>
      <c r="BZ827" s="123"/>
      <c r="CA827" s="123"/>
      <c r="CB827" s="123"/>
      <c r="CC827" s="6"/>
      <c r="CD827" s="123"/>
      <c r="CE827" s="6"/>
      <c r="CF827" s="123"/>
      <c r="CG827" s="6"/>
      <c r="CH827" s="6"/>
      <c r="CI827" s="6"/>
      <c r="CJ827" s="6"/>
      <c r="CK827" s="123"/>
      <c r="CL827" s="6"/>
      <c r="CM827" s="6"/>
      <c r="CN827" s="6"/>
      <c r="CO827" s="138"/>
      <c r="CP827" s="138"/>
      <c r="CQ827" s="123"/>
      <c r="CR827" s="6"/>
      <c r="CS827" s="6"/>
      <c r="CT827" s="139"/>
      <c r="CU827" s="139"/>
      <c r="CV827" s="76"/>
      <c r="CW827" s="123"/>
      <c r="CX827" s="6"/>
      <c r="DI827" s="125"/>
      <c r="DJ827" s="16"/>
      <c r="DM827" s="16"/>
      <c r="DN827" s="16"/>
      <c r="DO827" s="125"/>
      <c r="DP827" s="16"/>
      <c r="DQ827" s="125"/>
      <c r="DZ827" s="125"/>
      <c r="EA827" s="142"/>
      <c r="EB827" s="125"/>
      <c r="EC827" s="16"/>
      <c r="ED827" s="125"/>
      <c r="EE827" s="125"/>
      <c r="EF827" s="16"/>
      <c r="EG827" s="125"/>
      <c r="EQ827" s="125"/>
      <c r="ER827" s="16"/>
      <c r="ES827" s="123"/>
      <c r="ET827" s="19"/>
      <c r="EU827" s="139"/>
      <c r="EV827" s="139"/>
      <c r="EW827" s="123"/>
      <c r="EX827" s="123"/>
      <c r="EY827" s="123"/>
      <c r="EZ827" s="123"/>
      <c r="FA827" s="123"/>
      <c r="FB827" s="123"/>
      <c r="FC827" s="6"/>
      <c r="FD827" s="123"/>
      <c r="FE827" s="6"/>
      <c r="FF827" s="123"/>
      <c r="FG827" s="6"/>
      <c r="FH827" s="6"/>
      <c r="FI827" s="6"/>
      <c r="FJ827" s="6"/>
      <c r="FK827" s="123"/>
      <c r="FL827" s="6"/>
      <c r="FM827" s="6"/>
      <c r="FN827" s="6"/>
      <c r="FO827" s="138"/>
      <c r="FP827" s="138"/>
      <c r="FQ827" s="123"/>
      <c r="FR827" s="6"/>
      <c r="FS827" s="6"/>
      <c r="FT827" s="139"/>
      <c r="FU827" s="139"/>
      <c r="FV827" s="76"/>
      <c r="FW827" s="123"/>
      <c r="FX827" s="6"/>
    </row>
    <row r="828" spans="35:180">
      <c r="AI828" s="125"/>
      <c r="AJ828" s="16"/>
      <c r="AM828" s="16"/>
      <c r="AN828" s="16"/>
      <c r="AO828" s="125"/>
      <c r="AP828" s="16"/>
      <c r="AQ828" s="125"/>
      <c r="AZ828" s="125"/>
      <c r="BA828" s="142"/>
      <c r="BB828" s="125"/>
      <c r="BC828" s="16"/>
      <c r="BD828" s="125"/>
      <c r="BE828" s="125"/>
      <c r="BF828" s="16"/>
      <c r="BG828" s="125"/>
      <c r="BQ828" s="125"/>
      <c r="BR828" s="16"/>
      <c r="BS828" s="123"/>
      <c r="BT828" s="19"/>
      <c r="BU828" s="139"/>
      <c r="BV828" s="139"/>
      <c r="BW828" s="123"/>
      <c r="BX828" s="123"/>
      <c r="BY828" s="123"/>
      <c r="BZ828" s="123"/>
      <c r="CA828" s="123"/>
      <c r="CB828" s="123"/>
      <c r="CC828" s="6"/>
      <c r="CD828" s="123"/>
      <c r="CE828" s="6"/>
      <c r="CF828" s="123"/>
      <c r="CG828" s="6"/>
      <c r="CH828" s="6"/>
      <c r="CI828" s="6"/>
      <c r="CJ828" s="6"/>
      <c r="CK828" s="123"/>
      <c r="CL828" s="6"/>
      <c r="CM828" s="6"/>
      <c r="CN828" s="6"/>
      <c r="CO828" s="138"/>
      <c r="CP828" s="138"/>
      <c r="CQ828" s="123"/>
      <c r="CR828" s="6"/>
      <c r="CS828" s="6"/>
      <c r="CT828" s="139"/>
      <c r="CU828" s="139"/>
      <c r="CV828" s="76"/>
      <c r="CW828" s="123"/>
      <c r="CX828" s="6"/>
      <c r="DI828" s="125"/>
      <c r="DJ828" s="16"/>
      <c r="DM828" s="16"/>
      <c r="DN828" s="16"/>
      <c r="DO828" s="125"/>
      <c r="DP828" s="16"/>
      <c r="DQ828" s="125"/>
      <c r="DZ828" s="125"/>
      <c r="EA828" s="142"/>
      <c r="EB828" s="125"/>
      <c r="EC828" s="16"/>
      <c r="ED828" s="125"/>
      <c r="EE828" s="125"/>
      <c r="EF828" s="16"/>
      <c r="EG828" s="125"/>
      <c r="EQ828" s="125"/>
      <c r="ER828" s="16"/>
      <c r="ES828" s="123"/>
      <c r="ET828" s="19"/>
      <c r="EU828" s="139"/>
      <c r="EV828" s="139"/>
      <c r="EW828" s="123"/>
      <c r="EX828" s="123"/>
      <c r="EY828" s="123"/>
      <c r="EZ828" s="123"/>
      <c r="FA828" s="123"/>
      <c r="FB828" s="123"/>
      <c r="FC828" s="6"/>
      <c r="FD828" s="123"/>
      <c r="FE828" s="6"/>
      <c r="FF828" s="123"/>
      <c r="FG828" s="6"/>
      <c r="FH828" s="6"/>
      <c r="FI828" s="6"/>
      <c r="FJ828" s="6"/>
      <c r="FK828" s="123"/>
      <c r="FL828" s="6"/>
      <c r="FM828" s="6"/>
      <c r="FN828" s="6"/>
      <c r="FO828" s="138"/>
      <c r="FP828" s="138"/>
      <c r="FQ828" s="123"/>
      <c r="FR828" s="6"/>
      <c r="FS828" s="6"/>
      <c r="FT828" s="139"/>
      <c r="FU828" s="139"/>
      <c r="FV828" s="76"/>
      <c r="FW828" s="123"/>
      <c r="FX828" s="6"/>
    </row>
    <row r="829" spans="35:180">
      <c r="AI829" s="125"/>
      <c r="AJ829" s="16"/>
      <c r="AM829" s="16"/>
      <c r="AN829" s="16"/>
      <c r="AO829" s="125"/>
      <c r="AP829" s="16"/>
      <c r="AQ829" s="125"/>
      <c r="AZ829" s="125"/>
      <c r="BA829" s="142"/>
      <c r="BB829" s="125"/>
      <c r="BC829" s="16"/>
      <c r="BD829" s="125"/>
      <c r="BE829" s="125"/>
      <c r="BF829" s="16"/>
      <c r="BG829" s="125"/>
      <c r="BQ829" s="125"/>
      <c r="BR829" s="16"/>
      <c r="BS829" s="123"/>
      <c r="BT829" s="19"/>
      <c r="BU829" s="139"/>
      <c r="BV829" s="139"/>
      <c r="BW829" s="123"/>
      <c r="BX829" s="123"/>
      <c r="BY829" s="123"/>
      <c r="BZ829" s="123"/>
      <c r="CA829" s="123"/>
      <c r="CB829" s="123"/>
      <c r="CC829" s="6"/>
      <c r="CD829" s="123"/>
      <c r="CE829" s="6"/>
      <c r="CF829" s="123"/>
      <c r="CG829" s="6"/>
      <c r="CH829" s="6"/>
      <c r="CI829" s="6"/>
      <c r="CJ829" s="6"/>
      <c r="CK829" s="123"/>
      <c r="CL829" s="6"/>
      <c r="CM829" s="6"/>
      <c r="CN829" s="6"/>
      <c r="CO829" s="138"/>
      <c r="CP829" s="138"/>
      <c r="CQ829" s="123"/>
      <c r="CR829" s="6"/>
      <c r="CS829" s="6"/>
      <c r="CT829" s="139"/>
      <c r="CU829" s="139"/>
      <c r="CV829" s="76"/>
      <c r="CW829" s="123"/>
      <c r="CX829" s="6"/>
      <c r="DI829" s="125"/>
      <c r="DJ829" s="16"/>
      <c r="DM829" s="16"/>
      <c r="DN829" s="16"/>
      <c r="DO829" s="125"/>
      <c r="DP829" s="16"/>
      <c r="DQ829" s="125"/>
      <c r="DZ829" s="125"/>
      <c r="EA829" s="142"/>
      <c r="EB829" s="125"/>
      <c r="EC829" s="16"/>
      <c r="ED829" s="125"/>
      <c r="EE829" s="125"/>
      <c r="EF829" s="16"/>
      <c r="EG829" s="125"/>
      <c r="EQ829" s="125"/>
      <c r="ER829" s="16"/>
      <c r="ES829" s="123"/>
      <c r="ET829" s="19"/>
      <c r="EU829" s="139"/>
      <c r="EV829" s="139"/>
      <c r="EW829" s="123"/>
      <c r="EX829" s="123"/>
      <c r="EY829" s="123"/>
      <c r="EZ829" s="123"/>
      <c r="FA829" s="123"/>
      <c r="FB829" s="123"/>
      <c r="FC829" s="6"/>
      <c r="FD829" s="123"/>
      <c r="FE829" s="6"/>
      <c r="FF829" s="123"/>
      <c r="FG829" s="6"/>
      <c r="FH829" s="6"/>
      <c r="FI829" s="6"/>
      <c r="FJ829" s="6"/>
      <c r="FK829" s="123"/>
      <c r="FL829" s="6"/>
      <c r="FM829" s="6"/>
      <c r="FN829" s="6"/>
      <c r="FO829" s="138"/>
      <c r="FP829" s="138"/>
      <c r="FQ829" s="123"/>
      <c r="FR829" s="6"/>
      <c r="FS829" s="6"/>
      <c r="FT829" s="139"/>
      <c r="FU829" s="139"/>
      <c r="FV829" s="76"/>
      <c r="FW829" s="123"/>
      <c r="FX829" s="6"/>
    </row>
    <row r="830" spans="35:180">
      <c r="AI830" s="125"/>
      <c r="AJ830" s="16"/>
      <c r="AM830" s="16"/>
      <c r="AN830" s="16"/>
      <c r="AO830" s="125"/>
      <c r="AP830" s="16"/>
      <c r="AQ830" s="125"/>
      <c r="AZ830" s="125"/>
      <c r="BA830" s="142"/>
      <c r="BB830" s="125"/>
      <c r="BC830" s="16"/>
      <c r="BD830" s="125"/>
      <c r="BE830" s="125"/>
      <c r="BF830" s="16"/>
      <c r="BG830" s="125"/>
      <c r="BQ830" s="125"/>
      <c r="BR830" s="16"/>
      <c r="BS830" s="123"/>
      <c r="BT830" s="19"/>
      <c r="BU830" s="139"/>
      <c r="BV830" s="139"/>
      <c r="BW830" s="123"/>
      <c r="BX830" s="123"/>
      <c r="BY830" s="123"/>
      <c r="BZ830" s="123"/>
      <c r="CA830" s="123"/>
      <c r="CB830" s="123"/>
      <c r="CC830" s="6"/>
      <c r="CD830" s="123"/>
      <c r="CE830" s="6"/>
      <c r="CF830" s="123"/>
      <c r="CG830" s="6"/>
      <c r="CH830" s="6"/>
      <c r="CI830" s="6"/>
      <c r="CJ830" s="6"/>
      <c r="CK830" s="123"/>
      <c r="CL830" s="6"/>
      <c r="CM830" s="6"/>
      <c r="CN830" s="6"/>
      <c r="CO830" s="138"/>
      <c r="CP830" s="138"/>
      <c r="CQ830" s="123"/>
      <c r="CR830" s="6"/>
      <c r="CS830" s="6"/>
      <c r="CT830" s="139"/>
      <c r="CU830" s="139"/>
      <c r="CV830" s="76"/>
      <c r="CW830" s="123"/>
      <c r="CX830" s="6"/>
      <c r="DI830" s="125"/>
      <c r="DJ830" s="16"/>
      <c r="DM830" s="16"/>
      <c r="DN830" s="16"/>
      <c r="DO830" s="125"/>
      <c r="DP830" s="16"/>
      <c r="DQ830" s="125"/>
      <c r="DZ830" s="125"/>
      <c r="EA830" s="142"/>
      <c r="EB830" s="125"/>
      <c r="EC830" s="16"/>
      <c r="ED830" s="125"/>
      <c r="EE830" s="125"/>
      <c r="EF830" s="16"/>
      <c r="EG830" s="125"/>
      <c r="EQ830" s="125"/>
      <c r="ER830" s="16"/>
      <c r="ES830" s="123"/>
      <c r="ET830" s="19"/>
      <c r="EU830" s="139"/>
      <c r="EV830" s="139"/>
      <c r="EW830" s="123"/>
      <c r="EX830" s="123"/>
      <c r="EY830" s="123"/>
      <c r="EZ830" s="123"/>
      <c r="FA830" s="123"/>
      <c r="FB830" s="123"/>
      <c r="FC830" s="6"/>
      <c r="FD830" s="123"/>
      <c r="FE830" s="6"/>
      <c r="FF830" s="123"/>
      <c r="FG830" s="6"/>
      <c r="FH830" s="6"/>
      <c r="FI830" s="6"/>
      <c r="FJ830" s="6"/>
      <c r="FK830" s="123"/>
      <c r="FL830" s="6"/>
      <c r="FM830" s="6"/>
      <c r="FN830" s="6"/>
      <c r="FO830" s="138"/>
      <c r="FP830" s="138"/>
      <c r="FQ830" s="123"/>
      <c r="FR830" s="6"/>
      <c r="FS830" s="6"/>
      <c r="FT830" s="139"/>
      <c r="FU830" s="139"/>
      <c r="FV830" s="76"/>
      <c r="FW830" s="123"/>
      <c r="FX830" s="6"/>
    </row>
    <row r="831" spans="35:180">
      <c r="AI831" s="125"/>
      <c r="AJ831" s="16"/>
      <c r="AM831" s="16"/>
      <c r="AN831" s="16"/>
      <c r="AO831" s="125"/>
      <c r="AP831" s="16"/>
      <c r="AQ831" s="125"/>
      <c r="AZ831" s="125"/>
      <c r="BA831" s="142"/>
      <c r="BB831" s="125"/>
      <c r="BC831" s="16"/>
      <c r="BD831" s="125"/>
      <c r="BE831" s="125"/>
      <c r="BF831" s="16"/>
      <c r="BG831" s="125"/>
      <c r="BQ831" s="125"/>
      <c r="BR831" s="16"/>
      <c r="BS831" s="123"/>
      <c r="BT831" s="19"/>
      <c r="BU831" s="139"/>
      <c r="BV831" s="139"/>
      <c r="BW831" s="123"/>
      <c r="BX831" s="123"/>
      <c r="BY831" s="123"/>
      <c r="BZ831" s="123"/>
      <c r="CA831" s="123"/>
      <c r="CB831" s="123"/>
      <c r="CC831" s="6"/>
      <c r="CD831" s="123"/>
      <c r="CE831" s="6"/>
      <c r="CF831" s="123"/>
      <c r="CG831" s="6"/>
      <c r="CH831" s="6"/>
      <c r="CI831" s="6"/>
      <c r="CJ831" s="6"/>
      <c r="CK831" s="123"/>
      <c r="CL831" s="6"/>
      <c r="CM831" s="6"/>
      <c r="CN831" s="6"/>
      <c r="CO831" s="138"/>
      <c r="CP831" s="138"/>
      <c r="CQ831" s="123"/>
      <c r="CR831" s="6"/>
      <c r="CS831" s="6"/>
      <c r="CT831" s="139"/>
      <c r="CU831" s="139"/>
      <c r="CV831" s="76"/>
      <c r="CW831" s="123"/>
      <c r="CX831" s="6"/>
      <c r="DI831" s="125"/>
      <c r="DJ831" s="16"/>
      <c r="DM831" s="16"/>
      <c r="DN831" s="16"/>
      <c r="DO831" s="125"/>
      <c r="DP831" s="16"/>
      <c r="DQ831" s="125"/>
      <c r="DZ831" s="125"/>
      <c r="EA831" s="142"/>
      <c r="EB831" s="125"/>
      <c r="EC831" s="16"/>
      <c r="ED831" s="125"/>
      <c r="EE831" s="125"/>
      <c r="EF831" s="16"/>
      <c r="EG831" s="125"/>
      <c r="EQ831" s="125"/>
      <c r="ER831" s="16"/>
      <c r="ES831" s="123"/>
      <c r="ET831" s="19"/>
      <c r="EU831" s="139"/>
      <c r="EV831" s="139"/>
      <c r="EW831" s="123"/>
      <c r="EX831" s="123"/>
      <c r="EY831" s="123"/>
      <c r="EZ831" s="123"/>
      <c r="FA831" s="123"/>
      <c r="FB831" s="123"/>
      <c r="FC831" s="6"/>
      <c r="FD831" s="123"/>
      <c r="FE831" s="6"/>
      <c r="FF831" s="123"/>
      <c r="FG831" s="6"/>
      <c r="FH831" s="6"/>
      <c r="FI831" s="6"/>
      <c r="FJ831" s="6"/>
      <c r="FK831" s="123"/>
      <c r="FL831" s="6"/>
      <c r="FM831" s="6"/>
      <c r="FN831" s="6"/>
      <c r="FO831" s="138"/>
      <c r="FP831" s="138"/>
      <c r="FQ831" s="123"/>
      <c r="FR831" s="6"/>
      <c r="FS831" s="6"/>
      <c r="FT831" s="139"/>
      <c r="FU831" s="139"/>
      <c r="FV831" s="76"/>
      <c r="FW831" s="123"/>
      <c r="FX831" s="6"/>
    </row>
    <row r="832" spans="35:180">
      <c r="AI832" s="125"/>
      <c r="AJ832" s="16"/>
      <c r="AM832" s="16"/>
      <c r="AN832" s="16"/>
      <c r="AO832" s="125"/>
      <c r="AP832" s="16"/>
      <c r="AQ832" s="125"/>
      <c r="AZ832" s="125"/>
      <c r="BA832" s="142"/>
      <c r="BB832" s="125"/>
      <c r="BC832" s="16"/>
      <c r="BD832" s="125"/>
      <c r="BE832" s="125"/>
      <c r="BF832" s="16"/>
      <c r="BG832" s="125"/>
      <c r="BQ832" s="125"/>
      <c r="BR832" s="16"/>
      <c r="BS832" s="123"/>
      <c r="BT832" s="19"/>
      <c r="BU832" s="139"/>
      <c r="BV832" s="139"/>
      <c r="BW832" s="123"/>
      <c r="BX832" s="123"/>
      <c r="BY832" s="123"/>
      <c r="BZ832" s="123"/>
      <c r="CA832" s="123"/>
      <c r="CB832" s="123"/>
      <c r="CC832" s="6"/>
      <c r="CD832" s="123"/>
      <c r="CE832" s="6"/>
      <c r="CF832" s="123"/>
      <c r="CG832" s="6"/>
      <c r="CH832" s="6"/>
      <c r="CI832" s="6"/>
      <c r="CJ832" s="6"/>
      <c r="CK832" s="123"/>
      <c r="CL832" s="6"/>
      <c r="CM832" s="6"/>
      <c r="CN832" s="6"/>
      <c r="CO832" s="138"/>
      <c r="CP832" s="138"/>
      <c r="CQ832" s="123"/>
      <c r="CR832" s="6"/>
      <c r="CS832" s="6"/>
      <c r="CT832" s="139"/>
      <c r="CU832" s="139"/>
      <c r="CV832" s="76"/>
      <c r="CW832" s="123"/>
      <c r="CX832" s="6"/>
      <c r="DI832" s="125"/>
      <c r="DJ832" s="16"/>
      <c r="DM832" s="16"/>
      <c r="DN832" s="16"/>
      <c r="DO832" s="125"/>
      <c r="DP832" s="16"/>
      <c r="DQ832" s="125"/>
      <c r="DZ832" s="125"/>
      <c r="EA832" s="142"/>
      <c r="EB832" s="125"/>
      <c r="EC832" s="16"/>
      <c r="ED832" s="125"/>
      <c r="EE832" s="125"/>
      <c r="EF832" s="16"/>
      <c r="EG832" s="125"/>
      <c r="EQ832" s="125"/>
      <c r="ER832" s="16"/>
      <c r="ES832" s="123"/>
      <c r="ET832" s="19"/>
      <c r="EU832" s="139"/>
      <c r="EV832" s="139"/>
      <c r="EW832" s="123"/>
      <c r="EX832" s="123"/>
      <c r="EY832" s="123"/>
      <c r="EZ832" s="123"/>
      <c r="FA832" s="123"/>
      <c r="FB832" s="123"/>
      <c r="FC832" s="6"/>
      <c r="FD832" s="123"/>
      <c r="FE832" s="6"/>
      <c r="FF832" s="123"/>
      <c r="FG832" s="6"/>
      <c r="FH832" s="6"/>
      <c r="FI832" s="6"/>
      <c r="FJ832" s="6"/>
      <c r="FK832" s="123"/>
      <c r="FL832" s="6"/>
      <c r="FM832" s="6"/>
      <c r="FN832" s="6"/>
      <c r="FO832" s="138"/>
      <c r="FP832" s="138"/>
      <c r="FQ832" s="123"/>
      <c r="FR832" s="6"/>
      <c r="FS832" s="6"/>
      <c r="FT832" s="139"/>
      <c r="FU832" s="139"/>
      <c r="FV832" s="76"/>
      <c r="FW832" s="123"/>
      <c r="FX832" s="6"/>
    </row>
    <row r="833" spans="35:180">
      <c r="AI833" s="125"/>
      <c r="AJ833" s="16"/>
      <c r="AM833" s="16"/>
      <c r="AN833" s="16"/>
      <c r="AO833" s="125"/>
      <c r="AP833" s="16"/>
      <c r="AQ833" s="125"/>
      <c r="AZ833" s="125"/>
      <c r="BA833" s="142"/>
      <c r="BB833" s="125"/>
      <c r="BC833" s="16"/>
      <c r="BD833" s="125"/>
      <c r="BE833" s="125"/>
      <c r="BF833" s="16"/>
      <c r="BG833" s="125"/>
      <c r="BQ833" s="125"/>
      <c r="BR833" s="16"/>
      <c r="BS833" s="123"/>
      <c r="BT833" s="19"/>
      <c r="BU833" s="139"/>
      <c r="BV833" s="139"/>
      <c r="BW833" s="123"/>
      <c r="BX833" s="123"/>
      <c r="BY833" s="123"/>
      <c r="BZ833" s="123"/>
      <c r="CA833" s="123"/>
      <c r="CB833" s="123"/>
      <c r="CC833" s="6"/>
      <c r="CD833" s="123"/>
      <c r="CE833" s="6"/>
      <c r="CF833" s="123"/>
      <c r="CG833" s="6"/>
      <c r="CH833" s="6"/>
      <c r="CI833" s="6"/>
      <c r="CJ833" s="6"/>
      <c r="CK833" s="123"/>
      <c r="CL833" s="6"/>
      <c r="CM833" s="6"/>
      <c r="CN833" s="6"/>
      <c r="CO833" s="138"/>
      <c r="CP833" s="138"/>
      <c r="CQ833" s="123"/>
      <c r="CR833" s="6"/>
      <c r="CS833" s="6"/>
      <c r="CT833" s="139"/>
      <c r="CU833" s="139"/>
      <c r="CV833" s="76"/>
      <c r="CW833" s="123"/>
      <c r="CX833" s="6"/>
      <c r="DI833" s="125"/>
      <c r="DJ833" s="16"/>
      <c r="DM833" s="16"/>
      <c r="DN833" s="16"/>
      <c r="DO833" s="125"/>
      <c r="DP833" s="16"/>
      <c r="DQ833" s="125"/>
      <c r="DZ833" s="125"/>
      <c r="EA833" s="142"/>
      <c r="EB833" s="125"/>
      <c r="EC833" s="16"/>
      <c r="ED833" s="125"/>
      <c r="EE833" s="125"/>
      <c r="EF833" s="16"/>
      <c r="EG833" s="125"/>
      <c r="EQ833" s="125"/>
      <c r="ER833" s="16"/>
      <c r="ES833" s="123"/>
      <c r="ET833" s="19"/>
      <c r="EU833" s="139"/>
      <c r="EV833" s="139"/>
      <c r="EW833" s="123"/>
      <c r="EX833" s="123"/>
      <c r="EY833" s="123"/>
      <c r="EZ833" s="123"/>
      <c r="FA833" s="123"/>
      <c r="FB833" s="123"/>
      <c r="FC833" s="6"/>
      <c r="FD833" s="123"/>
      <c r="FE833" s="6"/>
      <c r="FF833" s="123"/>
      <c r="FG833" s="6"/>
      <c r="FH833" s="6"/>
      <c r="FI833" s="6"/>
      <c r="FJ833" s="6"/>
      <c r="FK833" s="123"/>
      <c r="FL833" s="6"/>
      <c r="FM833" s="6"/>
      <c r="FN833" s="6"/>
      <c r="FO833" s="138"/>
      <c r="FP833" s="138"/>
      <c r="FQ833" s="123"/>
      <c r="FR833" s="6"/>
      <c r="FS833" s="6"/>
      <c r="FT833" s="139"/>
      <c r="FU833" s="139"/>
      <c r="FV833" s="76"/>
      <c r="FW833" s="123"/>
      <c r="FX833" s="6"/>
    </row>
    <row r="834" spans="35:180">
      <c r="AI834" s="125"/>
      <c r="AJ834" s="16"/>
      <c r="AM834" s="16"/>
      <c r="AN834" s="16"/>
      <c r="AO834" s="125"/>
      <c r="AP834" s="16"/>
      <c r="AQ834" s="125"/>
      <c r="AZ834" s="125"/>
      <c r="BA834" s="142"/>
      <c r="BB834" s="125"/>
      <c r="BC834" s="16"/>
      <c r="BD834" s="125"/>
      <c r="BE834" s="125"/>
      <c r="BF834" s="16"/>
      <c r="BG834" s="125"/>
      <c r="BQ834" s="125"/>
      <c r="BR834" s="16"/>
      <c r="BS834" s="123"/>
      <c r="BT834" s="19"/>
      <c r="BU834" s="139"/>
      <c r="BV834" s="139"/>
      <c r="BW834" s="123"/>
      <c r="BX834" s="123"/>
      <c r="BY834" s="123"/>
      <c r="BZ834" s="123"/>
      <c r="CA834" s="123"/>
      <c r="CB834" s="123"/>
      <c r="CC834" s="6"/>
      <c r="CD834" s="123"/>
      <c r="CE834" s="6"/>
      <c r="CF834" s="123"/>
      <c r="CG834" s="6"/>
      <c r="CH834" s="6"/>
      <c r="CI834" s="6"/>
      <c r="CJ834" s="6"/>
      <c r="CK834" s="123"/>
      <c r="CL834" s="6"/>
      <c r="CM834" s="6"/>
      <c r="CN834" s="6"/>
      <c r="CO834" s="138"/>
      <c r="CP834" s="138"/>
      <c r="CQ834" s="123"/>
      <c r="CR834" s="6"/>
      <c r="CS834" s="6"/>
      <c r="CT834" s="139"/>
      <c r="CU834" s="139"/>
      <c r="CV834" s="76"/>
      <c r="CW834" s="123"/>
      <c r="CX834" s="6"/>
      <c r="DI834" s="125"/>
      <c r="DJ834" s="16"/>
      <c r="DM834" s="16"/>
      <c r="DN834" s="16"/>
      <c r="DO834" s="125"/>
      <c r="DP834" s="16"/>
      <c r="DQ834" s="125"/>
      <c r="DZ834" s="125"/>
      <c r="EA834" s="142"/>
      <c r="EB834" s="125"/>
      <c r="EC834" s="16"/>
      <c r="ED834" s="125"/>
      <c r="EE834" s="125"/>
      <c r="EF834" s="16"/>
      <c r="EG834" s="125"/>
      <c r="EQ834" s="125"/>
      <c r="ER834" s="16"/>
      <c r="ES834" s="123"/>
      <c r="ET834" s="19"/>
      <c r="EU834" s="139"/>
      <c r="EV834" s="139"/>
      <c r="EW834" s="123"/>
      <c r="EX834" s="123"/>
      <c r="EY834" s="123"/>
      <c r="EZ834" s="123"/>
      <c r="FA834" s="123"/>
      <c r="FB834" s="123"/>
      <c r="FC834" s="6"/>
      <c r="FD834" s="123"/>
      <c r="FE834" s="6"/>
      <c r="FF834" s="123"/>
      <c r="FG834" s="6"/>
      <c r="FH834" s="6"/>
      <c r="FI834" s="6"/>
      <c r="FJ834" s="6"/>
      <c r="FK834" s="123"/>
      <c r="FL834" s="6"/>
      <c r="FM834" s="6"/>
      <c r="FN834" s="6"/>
      <c r="FO834" s="138"/>
      <c r="FP834" s="138"/>
      <c r="FQ834" s="123"/>
      <c r="FR834" s="6"/>
      <c r="FS834" s="6"/>
      <c r="FT834" s="139"/>
      <c r="FU834" s="139"/>
      <c r="FV834" s="76"/>
      <c r="FW834" s="123"/>
      <c r="FX834" s="6"/>
    </row>
    <row r="835" spans="35:180">
      <c r="AI835" s="125"/>
      <c r="AJ835" s="16"/>
      <c r="AM835" s="16"/>
      <c r="AN835" s="16"/>
      <c r="AO835" s="125"/>
      <c r="AP835" s="16"/>
      <c r="AQ835" s="125"/>
      <c r="AZ835" s="125"/>
      <c r="BA835" s="142"/>
      <c r="BB835" s="125"/>
      <c r="BC835" s="16"/>
      <c r="BD835" s="125"/>
      <c r="BE835" s="125"/>
      <c r="BF835" s="16"/>
      <c r="BG835" s="125"/>
      <c r="BQ835" s="125"/>
      <c r="BR835" s="16"/>
      <c r="BS835" s="123"/>
      <c r="BT835" s="19"/>
      <c r="BU835" s="139"/>
      <c r="BV835" s="139"/>
      <c r="BW835" s="123"/>
      <c r="BX835" s="123"/>
      <c r="BY835" s="123"/>
      <c r="BZ835" s="123"/>
      <c r="CA835" s="123"/>
      <c r="CB835" s="123"/>
      <c r="CC835" s="6"/>
      <c r="CD835" s="123"/>
      <c r="CE835" s="6"/>
      <c r="CF835" s="123"/>
      <c r="CG835" s="6"/>
      <c r="CH835" s="6"/>
      <c r="CI835" s="6"/>
      <c r="CJ835" s="6"/>
      <c r="CK835" s="123"/>
      <c r="CL835" s="6"/>
      <c r="CM835" s="6"/>
      <c r="CN835" s="6"/>
      <c r="CO835" s="138"/>
      <c r="CP835" s="138"/>
      <c r="CQ835" s="123"/>
      <c r="CR835" s="6"/>
      <c r="CS835" s="6"/>
      <c r="CT835" s="139"/>
      <c r="CU835" s="139"/>
      <c r="CV835" s="76"/>
      <c r="CW835" s="123"/>
      <c r="CX835" s="6"/>
      <c r="DI835" s="125"/>
      <c r="DJ835" s="16"/>
      <c r="DM835" s="16"/>
      <c r="DN835" s="16"/>
      <c r="DO835" s="125"/>
      <c r="DP835" s="16"/>
      <c r="DQ835" s="125"/>
      <c r="DZ835" s="125"/>
      <c r="EA835" s="142"/>
      <c r="EB835" s="125"/>
      <c r="EC835" s="16"/>
      <c r="ED835" s="125"/>
      <c r="EE835" s="125"/>
      <c r="EF835" s="16"/>
      <c r="EG835" s="125"/>
      <c r="EQ835" s="125"/>
      <c r="ER835" s="16"/>
      <c r="ES835" s="123"/>
      <c r="ET835" s="19"/>
      <c r="EU835" s="139"/>
      <c r="EV835" s="139"/>
      <c r="EW835" s="123"/>
      <c r="EX835" s="123"/>
      <c r="EY835" s="123"/>
      <c r="EZ835" s="123"/>
      <c r="FA835" s="123"/>
      <c r="FB835" s="123"/>
      <c r="FC835" s="6"/>
      <c r="FD835" s="123"/>
      <c r="FE835" s="6"/>
      <c r="FF835" s="123"/>
      <c r="FG835" s="6"/>
      <c r="FH835" s="6"/>
      <c r="FI835" s="6"/>
      <c r="FJ835" s="6"/>
      <c r="FK835" s="123"/>
      <c r="FL835" s="6"/>
      <c r="FM835" s="6"/>
      <c r="FN835" s="6"/>
      <c r="FO835" s="138"/>
      <c r="FP835" s="138"/>
      <c r="FQ835" s="123"/>
      <c r="FR835" s="6"/>
      <c r="FS835" s="6"/>
      <c r="FT835" s="139"/>
      <c r="FU835" s="139"/>
      <c r="FV835" s="76"/>
      <c r="FW835" s="123"/>
      <c r="FX835" s="6"/>
    </row>
    <row r="836" spans="35:180">
      <c r="AI836" s="125"/>
      <c r="AJ836" s="16"/>
      <c r="AM836" s="16"/>
      <c r="AN836" s="16"/>
      <c r="AO836" s="125"/>
      <c r="AP836" s="16"/>
      <c r="AQ836" s="125"/>
      <c r="AZ836" s="125"/>
      <c r="BA836" s="142"/>
      <c r="BB836" s="125"/>
      <c r="BC836" s="16"/>
      <c r="BD836" s="125"/>
      <c r="BE836" s="125"/>
      <c r="BF836" s="16"/>
      <c r="BG836" s="125"/>
      <c r="BQ836" s="125"/>
      <c r="BR836" s="16"/>
      <c r="BS836" s="123"/>
      <c r="BT836" s="19"/>
      <c r="BU836" s="139"/>
      <c r="BV836" s="139"/>
      <c r="BW836" s="123"/>
      <c r="BX836" s="123"/>
      <c r="BY836" s="123"/>
      <c r="BZ836" s="123"/>
      <c r="CA836" s="123"/>
      <c r="CB836" s="123"/>
      <c r="CC836" s="6"/>
      <c r="CD836" s="123"/>
      <c r="CE836" s="6"/>
      <c r="CF836" s="123"/>
      <c r="CG836" s="6"/>
      <c r="CH836" s="6"/>
      <c r="CI836" s="6"/>
      <c r="CJ836" s="6"/>
      <c r="CK836" s="123"/>
      <c r="CL836" s="6"/>
      <c r="CM836" s="6"/>
      <c r="CN836" s="6"/>
      <c r="CO836" s="138"/>
      <c r="CP836" s="138"/>
      <c r="CQ836" s="123"/>
      <c r="CR836" s="6"/>
      <c r="CS836" s="6"/>
      <c r="CT836" s="139"/>
      <c r="CU836" s="139"/>
      <c r="CV836" s="76"/>
      <c r="CW836" s="123"/>
      <c r="CX836" s="6"/>
      <c r="DI836" s="125"/>
      <c r="DJ836" s="16"/>
      <c r="DM836" s="16"/>
      <c r="DN836" s="16"/>
      <c r="DO836" s="125"/>
      <c r="DP836" s="16"/>
      <c r="DQ836" s="125"/>
      <c r="DZ836" s="125"/>
      <c r="EA836" s="142"/>
      <c r="EB836" s="125"/>
      <c r="EC836" s="16"/>
      <c r="ED836" s="125"/>
      <c r="EE836" s="125"/>
      <c r="EF836" s="16"/>
      <c r="EG836" s="125"/>
      <c r="EQ836" s="125"/>
      <c r="ER836" s="16"/>
      <c r="ES836" s="123"/>
      <c r="ET836" s="19"/>
      <c r="EU836" s="139"/>
      <c r="EV836" s="139"/>
      <c r="EW836" s="123"/>
      <c r="EX836" s="123"/>
      <c r="EY836" s="123"/>
      <c r="EZ836" s="123"/>
      <c r="FA836" s="123"/>
      <c r="FB836" s="123"/>
      <c r="FC836" s="6"/>
      <c r="FD836" s="123"/>
      <c r="FE836" s="6"/>
      <c r="FF836" s="123"/>
      <c r="FG836" s="6"/>
      <c r="FH836" s="6"/>
      <c r="FI836" s="6"/>
      <c r="FJ836" s="6"/>
      <c r="FK836" s="123"/>
      <c r="FL836" s="6"/>
      <c r="FM836" s="6"/>
      <c r="FN836" s="6"/>
      <c r="FO836" s="138"/>
      <c r="FP836" s="138"/>
      <c r="FQ836" s="123"/>
      <c r="FR836" s="6"/>
      <c r="FS836" s="6"/>
      <c r="FT836" s="139"/>
      <c r="FU836" s="139"/>
      <c r="FV836" s="76"/>
      <c r="FW836" s="123"/>
      <c r="FX836" s="6"/>
    </row>
    <row r="837" spans="35:180">
      <c r="AI837" s="125"/>
      <c r="AJ837" s="16"/>
      <c r="AM837" s="16"/>
      <c r="AN837" s="16"/>
      <c r="AO837" s="125"/>
      <c r="AP837" s="16"/>
      <c r="AQ837" s="125"/>
      <c r="AZ837" s="125"/>
      <c r="BA837" s="142"/>
      <c r="BB837" s="125"/>
      <c r="BC837" s="16"/>
      <c r="BD837" s="125"/>
      <c r="BE837" s="125"/>
      <c r="BF837" s="16"/>
      <c r="BG837" s="125"/>
      <c r="BQ837" s="125"/>
      <c r="BR837" s="16"/>
      <c r="BS837" s="123"/>
      <c r="BT837" s="19"/>
      <c r="BU837" s="139"/>
      <c r="BV837" s="139"/>
      <c r="BW837" s="123"/>
      <c r="BX837" s="123"/>
      <c r="BY837" s="123"/>
      <c r="BZ837" s="123"/>
      <c r="CA837" s="123"/>
      <c r="CB837" s="123"/>
      <c r="CC837" s="6"/>
      <c r="CD837" s="123"/>
      <c r="CE837" s="6"/>
      <c r="CF837" s="123"/>
      <c r="CG837" s="6"/>
      <c r="CH837" s="6"/>
      <c r="CI837" s="6"/>
      <c r="CJ837" s="6"/>
      <c r="CK837" s="123"/>
      <c r="CL837" s="6"/>
      <c r="CM837" s="6"/>
      <c r="CN837" s="6"/>
      <c r="CO837" s="138"/>
      <c r="CP837" s="138"/>
      <c r="CQ837" s="123"/>
      <c r="CR837" s="6"/>
      <c r="CS837" s="6"/>
      <c r="CT837" s="139"/>
      <c r="CU837" s="139"/>
      <c r="CV837" s="76"/>
      <c r="CW837" s="123"/>
      <c r="CX837" s="6"/>
      <c r="DI837" s="125"/>
      <c r="DJ837" s="16"/>
      <c r="DM837" s="16"/>
      <c r="DN837" s="16"/>
      <c r="DO837" s="125"/>
      <c r="DP837" s="16"/>
      <c r="DQ837" s="125"/>
      <c r="DZ837" s="125"/>
      <c r="EA837" s="142"/>
      <c r="EB837" s="125"/>
      <c r="EC837" s="16"/>
      <c r="ED837" s="125"/>
      <c r="EE837" s="125"/>
      <c r="EF837" s="16"/>
      <c r="EG837" s="125"/>
      <c r="EQ837" s="125"/>
      <c r="ER837" s="16"/>
      <c r="ES837" s="123"/>
      <c r="ET837" s="19"/>
      <c r="EU837" s="139"/>
      <c r="EV837" s="139"/>
      <c r="EW837" s="123"/>
      <c r="EX837" s="123"/>
      <c r="EY837" s="123"/>
      <c r="EZ837" s="123"/>
      <c r="FA837" s="123"/>
      <c r="FB837" s="123"/>
      <c r="FC837" s="6"/>
      <c r="FD837" s="123"/>
      <c r="FE837" s="6"/>
      <c r="FF837" s="123"/>
      <c r="FG837" s="6"/>
      <c r="FH837" s="6"/>
      <c r="FI837" s="6"/>
      <c r="FJ837" s="6"/>
      <c r="FK837" s="123"/>
      <c r="FL837" s="6"/>
      <c r="FM837" s="6"/>
      <c r="FN837" s="6"/>
      <c r="FO837" s="138"/>
      <c r="FP837" s="138"/>
      <c r="FQ837" s="123"/>
      <c r="FR837" s="6"/>
      <c r="FS837" s="6"/>
      <c r="FT837" s="139"/>
      <c r="FU837" s="139"/>
      <c r="FV837" s="76"/>
      <c r="FW837" s="123"/>
      <c r="FX837" s="6"/>
    </row>
    <row r="838" spans="35:180">
      <c r="AI838" s="125"/>
      <c r="AJ838" s="16"/>
      <c r="AM838" s="16"/>
      <c r="AN838" s="16"/>
      <c r="AO838" s="125"/>
      <c r="AP838" s="16"/>
      <c r="AQ838" s="125"/>
      <c r="AZ838" s="125"/>
      <c r="BA838" s="142"/>
      <c r="BB838" s="125"/>
      <c r="BC838" s="16"/>
      <c r="BD838" s="125"/>
      <c r="BE838" s="125"/>
      <c r="BF838" s="16"/>
      <c r="BG838" s="125"/>
      <c r="BQ838" s="125"/>
      <c r="BR838" s="16"/>
      <c r="BS838" s="123"/>
      <c r="BT838" s="19"/>
      <c r="BU838" s="139"/>
      <c r="BV838" s="139"/>
      <c r="BW838" s="123"/>
      <c r="BX838" s="123"/>
      <c r="BY838" s="123"/>
      <c r="BZ838" s="123"/>
      <c r="CA838" s="123"/>
      <c r="CB838" s="123"/>
      <c r="CC838" s="6"/>
      <c r="CD838" s="123"/>
      <c r="CE838" s="6"/>
      <c r="CF838" s="123"/>
      <c r="CG838" s="6"/>
      <c r="CH838" s="6"/>
      <c r="CI838" s="6"/>
      <c r="CJ838" s="6"/>
      <c r="CK838" s="123"/>
      <c r="CL838" s="6"/>
      <c r="CM838" s="6"/>
      <c r="CN838" s="6"/>
      <c r="CO838" s="138"/>
      <c r="CP838" s="138"/>
      <c r="CQ838" s="123"/>
      <c r="CR838" s="6"/>
      <c r="CS838" s="6"/>
      <c r="CT838" s="139"/>
      <c r="CU838" s="139"/>
      <c r="CV838" s="76"/>
      <c r="CW838" s="123"/>
      <c r="CX838" s="6"/>
      <c r="DI838" s="125"/>
      <c r="DJ838" s="16"/>
      <c r="DM838" s="16"/>
      <c r="DN838" s="16"/>
      <c r="DO838" s="125"/>
      <c r="DP838" s="16"/>
      <c r="DQ838" s="125"/>
      <c r="DZ838" s="125"/>
      <c r="EA838" s="142"/>
      <c r="EB838" s="125"/>
      <c r="EC838" s="16"/>
      <c r="ED838" s="125"/>
      <c r="EE838" s="125"/>
      <c r="EF838" s="16"/>
      <c r="EG838" s="125"/>
      <c r="EQ838" s="125"/>
      <c r="ER838" s="16"/>
      <c r="ES838" s="123"/>
      <c r="ET838" s="19"/>
      <c r="EU838" s="139"/>
      <c r="EV838" s="139"/>
      <c r="EW838" s="123"/>
      <c r="EX838" s="123"/>
      <c r="EY838" s="123"/>
      <c r="EZ838" s="123"/>
      <c r="FA838" s="123"/>
      <c r="FB838" s="123"/>
      <c r="FC838" s="6"/>
      <c r="FD838" s="123"/>
      <c r="FE838" s="6"/>
      <c r="FF838" s="123"/>
      <c r="FG838" s="6"/>
      <c r="FH838" s="6"/>
      <c r="FI838" s="6"/>
      <c r="FJ838" s="6"/>
      <c r="FK838" s="123"/>
      <c r="FL838" s="6"/>
      <c r="FM838" s="6"/>
      <c r="FN838" s="6"/>
      <c r="FO838" s="138"/>
      <c r="FP838" s="138"/>
      <c r="FQ838" s="123"/>
      <c r="FR838" s="6"/>
      <c r="FS838" s="6"/>
      <c r="FT838" s="139"/>
      <c r="FU838" s="139"/>
      <c r="FV838" s="76"/>
      <c r="FW838" s="123"/>
      <c r="FX838" s="6"/>
    </row>
    <row r="839" spans="35:180">
      <c r="AI839" s="125"/>
      <c r="AJ839" s="16"/>
      <c r="AM839" s="16"/>
      <c r="AN839" s="16"/>
      <c r="AO839" s="125"/>
      <c r="AP839" s="16"/>
      <c r="AQ839" s="125"/>
      <c r="AZ839" s="125"/>
      <c r="BA839" s="142"/>
      <c r="BB839" s="125"/>
      <c r="BC839" s="16"/>
      <c r="BD839" s="125"/>
      <c r="BE839" s="125"/>
      <c r="BF839" s="16"/>
      <c r="BG839" s="125"/>
      <c r="BQ839" s="125"/>
      <c r="BR839" s="16"/>
      <c r="BS839" s="123"/>
      <c r="BT839" s="19"/>
      <c r="BU839" s="139"/>
      <c r="BV839" s="139"/>
      <c r="BW839" s="123"/>
      <c r="BX839" s="123"/>
      <c r="BY839" s="123"/>
      <c r="BZ839" s="123"/>
      <c r="CA839" s="123"/>
      <c r="CB839" s="123"/>
      <c r="CC839" s="6"/>
      <c r="CD839" s="123"/>
      <c r="CE839" s="6"/>
      <c r="CF839" s="123"/>
      <c r="CG839" s="6"/>
      <c r="CH839" s="6"/>
      <c r="CI839" s="6"/>
      <c r="CJ839" s="6"/>
      <c r="CK839" s="123"/>
      <c r="CL839" s="6"/>
      <c r="CM839" s="6"/>
      <c r="CN839" s="6"/>
      <c r="CO839" s="138"/>
      <c r="CP839" s="138"/>
      <c r="CQ839" s="123"/>
      <c r="CR839" s="6"/>
      <c r="CS839" s="6"/>
      <c r="CT839" s="139"/>
      <c r="CU839" s="139"/>
      <c r="CV839" s="76"/>
      <c r="CW839" s="123"/>
      <c r="CX839" s="6"/>
      <c r="DI839" s="125"/>
      <c r="DJ839" s="16"/>
      <c r="DM839" s="16"/>
      <c r="DN839" s="16"/>
      <c r="DO839" s="125"/>
      <c r="DP839" s="16"/>
      <c r="DQ839" s="125"/>
      <c r="DZ839" s="125"/>
      <c r="EA839" s="142"/>
      <c r="EB839" s="125"/>
      <c r="EC839" s="16"/>
      <c r="ED839" s="125"/>
      <c r="EE839" s="125"/>
      <c r="EF839" s="16"/>
      <c r="EG839" s="125"/>
      <c r="EQ839" s="125"/>
      <c r="ER839" s="16"/>
      <c r="ES839" s="123"/>
      <c r="ET839" s="19"/>
      <c r="EU839" s="139"/>
      <c r="EV839" s="139"/>
      <c r="EW839" s="123"/>
      <c r="EX839" s="123"/>
      <c r="EY839" s="123"/>
      <c r="EZ839" s="123"/>
      <c r="FA839" s="123"/>
      <c r="FB839" s="123"/>
      <c r="FC839" s="6"/>
      <c r="FD839" s="123"/>
      <c r="FE839" s="6"/>
      <c r="FF839" s="123"/>
      <c r="FG839" s="6"/>
      <c r="FH839" s="6"/>
      <c r="FI839" s="6"/>
      <c r="FJ839" s="6"/>
      <c r="FK839" s="123"/>
      <c r="FL839" s="6"/>
      <c r="FM839" s="6"/>
      <c r="FN839" s="6"/>
      <c r="FO839" s="138"/>
      <c r="FP839" s="138"/>
      <c r="FQ839" s="123"/>
      <c r="FR839" s="6"/>
      <c r="FS839" s="6"/>
      <c r="FT839" s="139"/>
      <c r="FU839" s="139"/>
      <c r="FV839" s="76"/>
      <c r="FW839" s="123"/>
      <c r="FX839" s="6"/>
    </row>
    <row r="840" spans="35:180">
      <c r="AI840" s="125"/>
      <c r="AJ840" s="16"/>
      <c r="AM840" s="16"/>
      <c r="AN840" s="16"/>
      <c r="AO840" s="125"/>
      <c r="AP840" s="16"/>
      <c r="AQ840" s="125"/>
      <c r="AZ840" s="125"/>
      <c r="BA840" s="142"/>
      <c r="BB840" s="125"/>
      <c r="BC840" s="16"/>
      <c r="BD840" s="125"/>
      <c r="BE840" s="125"/>
      <c r="BF840" s="16"/>
      <c r="BG840" s="125"/>
      <c r="BQ840" s="125"/>
      <c r="BR840" s="16"/>
      <c r="BS840" s="123"/>
      <c r="BT840" s="19"/>
      <c r="BU840" s="139"/>
      <c r="BV840" s="139"/>
      <c r="BW840" s="123"/>
      <c r="BX840" s="123"/>
      <c r="BY840" s="123"/>
      <c r="BZ840" s="123"/>
      <c r="CA840" s="123"/>
      <c r="CB840" s="123"/>
      <c r="CC840" s="6"/>
      <c r="CD840" s="123"/>
      <c r="CE840" s="6"/>
      <c r="CF840" s="123"/>
      <c r="CG840" s="6"/>
      <c r="CH840" s="6"/>
      <c r="CI840" s="6"/>
      <c r="CJ840" s="6"/>
      <c r="CK840" s="123"/>
      <c r="CL840" s="6"/>
      <c r="CM840" s="6"/>
      <c r="CN840" s="6"/>
      <c r="CO840" s="138"/>
      <c r="CP840" s="138"/>
      <c r="CQ840" s="123"/>
      <c r="CR840" s="6"/>
      <c r="CS840" s="6"/>
      <c r="CT840" s="139"/>
      <c r="CU840" s="139"/>
      <c r="CV840" s="76"/>
      <c r="CW840" s="123"/>
      <c r="CX840" s="6"/>
      <c r="DI840" s="125"/>
      <c r="DJ840" s="16"/>
      <c r="DM840" s="16"/>
      <c r="DN840" s="16"/>
      <c r="DO840" s="125"/>
      <c r="DP840" s="16"/>
      <c r="DQ840" s="125"/>
      <c r="DZ840" s="125"/>
      <c r="EA840" s="142"/>
      <c r="EB840" s="125"/>
      <c r="EC840" s="16"/>
      <c r="ED840" s="125"/>
      <c r="EE840" s="125"/>
      <c r="EF840" s="16"/>
      <c r="EG840" s="125"/>
      <c r="EQ840" s="125"/>
      <c r="ER840" s="16"/>
      <c r="ES840" s="123"/>
      <c r="ET840" s="19"/>
      <c r="EU840" s="139"/>
      <c r="EV840" s="139"/>
      <c r="EW840" s="123"/>
      <c r="EX840" s="123"/>
      <c r="EY840" s="123"/>
      <c r="EZ840" s="123"/>
      <c r="FA840" s="123"/>
      <c r="FB840" s="123"/>
      <c r="FC840" s="6"/>
      <c r="FD840" s="123"/>
      <c r="FE840" s="6"/>
      <c r="FF840" s="123"/>
      <c r="FG840" s="6"/>
      <c r="FH840" s="6"/>
      <c r="FI840" s="6"/>
      <c r="FJ840" s="6"/>
      <c r="FK840" s="123"/>
      <c r="FL840" s="6"/>
      <c r="FM840" s="6"/>
      <c r="FN840" s="6"/>
      <c r="FO840" s="138"/>
      <c r="FP840" s="138"/>
      <c r="FQ840" s="123"/>
      <c r="FR840" s="6"/>
      <c r="FS840" s="6"/>
      <c r="FT840" s="139"/>
      <c r="FU840" s="139"/>
      <c r="FV840" s="76"/>
      <c r="FW840" s="123"/>
      <c r="FX840" s="6"/>
    </row>
    <row r="841" spans="35:180">
      <c r="AI841" s="125"/>
      <c r="AJ841" s="16"/>
      <c r="AM841" s="16"/>
      <c r="AN841" s="16"/>
      <c r="AO841" s="125"/>
      <c r="AP841" s="16"/>
      <c r="AQ841" s="125"/>
      <c r="AZ841" s="125"/>
      <c r="BA841" s="142"/>
      <c r="BB841" s="125"/>
      <c r="BC841" s="16"/>
      <c r="BD841" s="125"/>
      <c r="BE841" s="125"/>
      <c r="BF841" s="16"/>
      <c r="BG841" s="125"/>
      <c r="BQ841" s="125"/>
      <c r="BR841" s="16"/>
      <c r="BS841" s="123"/>
      <c r="BT841" s="19"/>
      <c r="BU841" s="139"/>
      <c r="BV841" s="139"/>
      <c r="BW841" s="123"/>
      <c r="BX841" s="123"/>
      <c r="BY841" s="123"/>
      <c r="BZ841" s="123"/>
      <c r="CA841" s="123"/>
      <c r="CB841" s="123"/>
      <c r="CC841" s="6"/>
      <c r="CD841" s="123"/>
      <c r="CE841" s="6"/>
      <c r="CF841" s="123"/>
      <c r="CG841" s="6"/>
      <c r="CH841" s="6"/>
      <c r="CI841" s="6"/>
      <c r="CJ841" s="6"/>
      <c r="CK841" s="123"/>
      <c r="CL841" s="6"/>
      <c r="CM841" s="6"/>
      <c r="CN841" s="6"/>
      <c r="CO841" s="138"/>
      <c r="CP841" s="138"/>
      <c r="CQ841" s="123"/>
      <c r="CR841" s="6"/>
      <c r="CS841" s="6"/>
      <c r="CT841" s="139"/>
      <c r="CU841" s="139"/>
      <c r="CV841" s="76"/>
      <c r="CW841" s="123"/>
      <c r="CX841" s="6"/>
      <c r="DI841" s="125"/>
      <c r="DJ841" s="16"/>
      <c r="DM841" s="16"/>
      <c r="DN841" s="16"/>
      <c r="DO841" s="125"/>
      <c r="DP841" s="16"/>
      <c r="DQ841" s="125"/>
      <c r="DZ841" s="125"/>
      <c r="EA841" s="142"/>
      <c r="EB841" s="125"/>
      <c r="EC841" s="16"/>
      <c r="ED841" s="125"/>
      <c r="EE841" s="125"/>
      <c r="EF841" s="16"/>
      <c r="EG841" s="125"/>
      <c r="EQ841" s="125"/>
      <c r="ER841" s="16"/>
      <c r="ES841" s="123"/>
      <c r="ET841" s="19"/>
      <c r="EU841" s="139"/>
      <c r="EV841" s="139"/>
      <c r="EW841" s="123"/>
      <c r="EX841" s="123"/>
      <c r="EY841" s="123"/>
      <c r="EZ841" s="123"/>
      <c r="FA841" s="123"/>
      <c r="FB841" s="123"/>
      <c r="FC841" s="6"/>
      <c r="FD841" s="123"/>
      <c r="FE841" s="6"/>
      <c r="FF841" s="123"/>
      <c r="FG841" s="6"/>
      <c r="FH841" s="6"/>
      <c r="FI841" s="6"/>
      <c r="FJ841" s="6"/>
      <c r="FK841" s="123"/>
      <c r="FL841" s="6"/>
      <c r="FM841" s="6"/>
      <c r="FN841" s="6"/>
      <c r="FO841" s="138"/>
      <c r="FP841" s="138"/>
      <c r="FQ841" s="123"/>
      <c r="FR841" s="6"/>
      <c r="FS841" s="6"/>
      <c r="FT841" s="139"/>
      <c r="FU841" s="139"/>
      <c r="FV841" s="76"/>
      <c r="FW841" s="123"/>
      <c r="FX841" s="6"/>
    </row>
    <row r="842" spans="35:180">
      <c r="AI842" s="125"/>
      <c r="AJ842" s="16"/>
      <c r="AM842" s="16"/>
      <c r="AN842" s="16"/>
      <c r="AO842" s="125"/>
      <c r="AP842" s="16"/>
      <c r="AQ842" s="125"/>
      <c r="AZ842" s="125"/>
      <c r="BA842" s="142"/>
      <c r="BB842" s="125"/>
      <c r="BC842" s="16"/>
      <c r="BD842" s="125"/>
      <c r="BE842" s="125"/>
      <c r="BF842" s="16"/>
      <c r="BG842" s="125"/>
      <c r="BQ842" s="125"/>
      <c r="BR842" s="16"/>
      <c r="BS842" s="123"/>
      <c r="BT842" s="19"/>
      <c r="BU842" s="139"/>
      <c r="BV842" s="139"/>
      <c r="BW842" s="123"/>
      <c r="BX842" s="123"/>
      <c r="BY842" s="123"/>
      <c r="BZ842" s="123"/>
      <c r="CA842" s="123"/>
      <c r="CB842" s="123"/>
      <c r="CC842" s="6"/>
      <c r="CD842" s="123"/>
      <c r="CE842" s="6"/>
      <c r="CF842" s="123"/>
      <c r="CG842" s="6"/>
      <c r="CH842" s="6"/>
      <c r="CI842" s="6"/>
      <c r="CJ842" s="6"/>
      <c r="CK842" s="123"/>
      <c r="CL842" s="6"/>
      <c r="CM842" s="6"/>
      <c r="CN842" s="6"/>
      <c r="CO842" s="138"/>
      <c r="CP842" s="138"/>
      <c r="CQ842" s="123"/>
      <c r="CR842" s="6"/>
      <c r="CS842" s="6"/>
      <c r="CT842" s="139"/>
      <c r="CU842" s="139"/>
      <c r="CV842" s="76"/>
      <c r="CW842" s="123"/>
      <c r="CX842" s="6"/>
      <c r="DI842" s="125"/>
      <c r="DJ842" s="16"/>
      <c r="DM842" s="16"/>
      <c r="DN842" s="16"/>
      <c r="DO842" s="125"/>
      <c r="DP842" s="16"/>
      <c r="DQ842" s="125"/>
      <c r="DZ842" s="125"/>
      <c r="EA842" s="142"/>
      <c r="EB842" s="125"/>
      <c r="EC842" s="16"/>
      <c r="ED842" s="125"/>
      <c r="EE842" s="125"/>
      <c r="EF842" s="16"/>
      <c r="EG842" s="125"/>
      <c r="EQ842" s="125"/>
      <c r="ER842" s="16"/>
      <c r="ES842" s="123"/>
      <c r="ET842" s="19"/>
      <c r="EU842" s="139"/>
      <c r="EV842" s="139"/>
      <c r="EW842" s="123"/>
      <c r="EX842" s="123"/>
      <c r="EY842" s="123"/>
      <c r="EZ842" s="123"/>
      <c r="FA842" s="123"/>
      <c r="FB842" s="123"/>
      <c r="FC842" s="6"/>
      <c r="FD842" s="123"/>
      <c r="FE842" s="6"/>
      <c r="FF842" s="123"/>
      <c r="FG842" s="6"/>
      <c r="FH842" s="6"/>
      <c r="FI842" s="6"/>
      <c r="FJ842" s="6"/>
      <c r="FK842" s="123"/>
      <c r="FL842" s="6"/>
      <c r="FM842" s="6"/>
      <c r="FN842" s="6"/>
      <c r="FO842" s="138"/>
      <c r="FP842" s="138"/>
      <c r="FQ842" s="123"/>
      <c r="FR842" s="6"/>
      <c r="FS842" s="6"/>
      <c r="FT842" s="139"/>
      <c r="FU842" s="139"/>
      <c r="FV842" s="76"/>
      <c r="FW842" s="123"/>
      <c r="FX842" s="6"/>
    </row>
    <row r="843" spans="35:180">
      <c r="AI843" s="125"/>
      <c r="AJ843" s="16"/>
      <c r="AM843" s="16"/>
      <c r="AN843" s="16"/>
      <c r="AO843" s="125"/>
      <c r="AP843" s="16"/>
      <c r="AQ843" s="125"/>
      <c r="AZ843" s="125"/>
      <c r="BA843" s="142"/>
      <c r="BB843" s="125"/>
      <c r="BC843" s="16"/>
      <c r="BD843" s="125"/>
      <c r="BE843" s="125"/>
      <c r="BF843" s="16"/>
      <c r="BG843" s="125"/>
      <c r="BQ843" s="125"/>
      <c r="BR843" s="16"/>
      <c r="BS843" s="123"/>
      <c r="BT843" s="19"/>
      <c r="BU843" s="139"/>
      <c r="BV843" s="139"/>
      <c r="BW843" s="123"/>
      <c r="BX843" s="123"/>
      <c r="BY843" s="123"/>
      <c r="BZ843" s="123"/>
      <c r="CA843" s="123"/>
      <c r="CB843" s="123"/>
      <c r="CC843" s="6"/>
      <c r="CD843" s="123"/>
      <c r="CE843" s="6"/>
      <c r="CF843" s="123"/>
      <c r="CG843" s="6"/>
      <c r="CH843" s="6"/>
      <c r="CI843" s="6"/>
      <c r="CJ843" s="6"/>
      <c r="CK843" s="123"/>
      <c r="CL843" s="6"/>
      <c r="CM843" s="6"/>
      <c r="CN843" s="6"/>
      <c r="CO843" s="138"/>
      <c r="CP843" s="138"/>
      <c r="CQ843" s="123"/>
      <c r="CR843" s="6"/>
      <c r="CS843" s="6"/>
      <c r="CT843" s="139"/>
      <c r="CU843" s="139"/>
      <c r="CV843" s="76"/>
      <c r="CW843" s="123"/>
      <c r="CX843" s="6"/>
      <c r="DI843" s="125"/>
      <c r="DJ843" s="16"/>
      <c r="DM843" s="16"/>
      <c r="DN843" s="16"/>
      <c r="DO843" s="125"/>
      <c r="DP843" s="16"/>
      <c r="DQ843" s="125"/>
      <c r="DZ843" s="125"/>
      <c r="EA843" s="142"/>
      <c r="EB843" s="125"/>
      <c r="EC843" s="16"/>
      <c r="ED843" s="125"/>
      <c r="EE843" s="125"/>
      <c r="EF843" s="16"/>
      <c r="EG843" s="125"/>
      <c r="EQ843" s="125"/>
      <c r="ER843" s="16"/>
      <c r="ES843" s="123"/>
      <c r="ET843" s="19"/>
      <c r="EU843" s="139"/>
      <c r="EV843" s="139"/>
      <c r="EW843" s="123"/>
      <c r="EX843" s="123"/>
      <c r="EY843" s="123"/>
      <c r="EZ843" s="123"/>
      <c r="FA843" s="123"/>
      <c r="FB843" s="123"/>
      <c r="FC843" s="6"/>
      <c r="FD843" s="123"/>
      <c r="FE843" s="6"/>
      <c r="FF843" s="123"/>
      <c r="FG843" s="6"/>
      <c r="FH843" s="6"/>
      <c r="FI843" s="6"/>
      <c r="FJ843" s="6"/>
      <c r="FK843" s="123"/>
      <c r="FL843" s="6"/>
      <c r="FM843" s="6"/>
      <c r="FN843" s="6"/>
      <c r="FO843" s="138"/>
      <c r="FP843" s="138"/>
      <c r="FQ843" s="123"/>
      <c r="FR843" s="6"/>
      <c r="FS843" s="6"/>
      <c r="FT843" s="139"/>
      <c r="FU843" s="139"/>
      <c r="FV843" s="76"/>
      <c r="FW843" s="123"/>
      <c r="FX843" s="6"/>
    </row>
    <row r="844" spans="35:180">
      <c r="AI844" s="125"/>
      <c r="AJ844" s="16"/>
      <c r="AM844" s="16"/>
      <c r="AN844" s="16"/>
      <c r="AO844" s="125"/>
      <c r="AP844" s="16"/>
      <c r="AQ844" s="125"/>
      <c r="AZ844" s="125"/>
      <c r="BA844" s="142"/>
      <c r="BB844" s="125"/>
      <c r="BC844" s="16"/>
      <c r="BD844" s="125"/>
      <c r="BE844" s="125"/>
      <c r="BF844" s="16"/>
      <c r="BG844" s="125"/>
      <c r="BQ844" s="125"/>
      <c r="BR844" s="16"/>
      <c r="BS844" s="123"/>
      <c r="BT844" s="19"/>
      <c r="BU844" s="139"/>
      <c r="BV844" s="139"/>
      <c r="BW844" s="123"/>
      <c r="BX844" s="123"/>
      <c r="BY844" s="123"/>
      <c r="BZ844" s="123"/>
      <c r="CA844" s="123"/>
      <c r="CB844" s="123"/>
      <c r="CC844" s="6"/>
      <c r="CD844" s="123"/>
      <c r="CE844" s="6"/>
      <c r="CF844" s="123"/>
      <c r="CG844" s="6"/>
      <c r="CH844" s="6"/>
      <c r="CI844" s="6"/>
      <c r="CJ844" s="6"/>
      <c r="CK844" s="123"/>
      <c r="CL844" s="6"/>
      <c r="CM844" s="6"/>
      <c r="CN844" s="6"/>
      <c r="CO844" s="138"/>
      <c r="CP844" s="138"/>
      <c r="CQ844" s="123"/>
      <c r="CR844" s="6"/>
      <c r="CS844" s="6"/>
      <c r="CT844" s="139"/>
      <c r="CU844" s="139"/>
      <c r="CV844" s="76"/>
      <c r="CW844" s="123"/>
      <c r="CX844" s="6"/>
      <c r="DI844" s="125"/>
      <c r="DJ844" s="16"/>
      <c r="DM844" s="16"/>
      <c r="DN844" s="16"/>
      <c r="DO844" s="125"/>
      <c r="DP844" s="16"/>
      <c r="DQ844" s="125"/>
      <c r="DZ844" s="125"/>
      <c r="EA844" s="142"/>
      <c r="EB844" s="125"/>
      <c r="EC844" s="16"/>
      <c r="ED844" s="125"/>
      <c r="EE844" s="125"/>
      <c r="EF844" s="16"/>
      <c r="EG844" s="125"/>
      <c r="EQ844" s="125"/>
      <c r="ER844" s="16"/>
      <c r="ES844" s="123"/>
      <c r="ET844" s="19"/>
      <c r="EU844" s="139"/>
      <c r="EV844" s="139"/>
      <c r="EW844" s="123"/>
      <c r="EX844" s="123"/>
      <c r="EY844" s="123"/>
      <c r="EZ844" s="123"/>
      <c r="FA844" s="123"/>
      <c r="FB844" s="123"/>
      <c r="FC844" s="6"/>
      <c r="FD844" s="123"/>
      <c r="FE844" s="6"/>
      <c r="FF844" s="123"/>
      <c r="FG844" s="6"/>
      <c r="FH844" s="6"/>
      <c r="FI844" s="6"/>
      <c r="FJ844" s="6"/>
      <c r="FK844" s="123"/>
      <c r="FL844" s="6"/>
      <c r="FM844" s="6"/>
      <c r="FN844" s="6"/>
      <c r="FO844" s="138"/>
      <c r="FP844" s="138"/>
      <c r="FQ844" s="123"/>
      <c r="FR844" s="6"/>
      <c r="FS844" s="6"/>
      <c r="FT844" s="139"/>
      <c r="FU844" s="139"/>
      <c r="FV844" s="76"/>
      <c r="FW844" s="123"/>
      <c r="FX844" s="6"/>
    </row>
    <row r="845" spans="35:180">
      <c r="AI845" s="125"/>
      <c r="AJ845" s="16"/>
      <c r="AM845" s="16"/>
      <c r="AN845" s="16"/>
      <c r="AO845" s="125"/>
      <c r="AP845" s="16"/>
      <c r="AQ845" s="125"/>
      <c r="AZ845" s="125"/>
      <c r="BA845" s="142"/>
      <c r="BB845" s="125"/>
      <c r="BC845" s="16"/>
      <c r="BD845" s="125"/>
      <c r="BE845" s="125"/>
      <c r="BF845" s="16"/>
      <c r="BG845" s="125"/>
      <c r="BQ845" s="125"/>
      <c r="BR845" s="16"/>
      <c r="BS845" s="123"/>
      <c r="BT845" s="19"/>
      <c r="BU845" s="139"/>
      <c r="BV845" s="139"/>
      <c r="BW845" s="123"/>
      <c r="BX845" s="123"/>
      <c r="BY845" s="123"/>
      <c r="BZ845" s="123"/>
      <c r="CA845" s="123"/>
      <c r="CB845" s="123"/>
      <c r="CC845" s="6"/>
      <c r="CD845" s="123"/>
      <c r="CE845" s="6"/>
      <c r="CF845" s="123"/>
      <c r="CG845" s="6"/>
      <c r="CH845" s="6"/>
      <c r="CI845" s="6"/>
      <c r="CJ845" s="6"/>
      <c r="CK845" s="123"/>
      <c r="CL845" s="6"/>
      <c r="CM845" s="6"/>
      <c r="CN845" s="6"/>
      <c r="CO845" s="138"/>
      <c r="CP845" s="138"/>
      <c r="CQ845" s="123"/>
      <c r="CR845" s="6"/>
      <c r="CS845" s="6"/>
      <c r="CT845" s="139"/>
      <c r="CU845" s="139"/>
      <c r="CV845" s="76"/>
      <c r="CW845" s="123"/>
      <c r="CX845" s="6"/>
      <c r="DI845" s="125"/>
      <c r="DJ845" s="16"/>
      <c r="DM845" s="16"/>
      <c r="DN845" s="16"/>
      <c r="DO845" s="125"/>
      <c r="DP845" s="16"/>
      <c r="DQ845" s="125"/>
      <c r="DZ845" s="125"/>
      <c r="EA845" s="142"/>
      <c r="EB845" s="125"/>
      <c r="EC845" s="16"/>
      <c r="ED845" s="125"/>
      <c r="EE845" s="125"/>
      <c r="EF845" s="16"/>
      <c r="EG845" s="125"/>
      <c r="EQ845" s="125"/>
      <c r="ER845" s="16"/>
      <c r="ES845" s="123"/>
      <c r="ET845" s="19"/>
      <c r="EU845" s="139"/>
      <c r="EV845" s="139"/>
      <c r="EW845" s="123"/>
      <c r="EX845" s="123"/>
      <c r="EY845" s="123"/>
      <c r="EZ845" s="123"/>
      <c r="FA845" s="123"/>
      <c r="FB845" s="123"/>
      <c r="FC845" s="6"/>
      <c r="FD845" s="123"/>
      <c r="FE845" s="6"/>
      <c r="FF845" s="123"/>
      <c r="FG845" s="6"/>
      <c r="FH845" s="6"/>
      <c r="FI845" s="6"/>
      <c r="FJ845" s="6"/>
      <c r="FK845" s="123"/>
      <c r="FL845" s="6"/>
      <c r="FM845" s="6"/>
      <c r="FN845" s="6"/>
      <c r="FO845" s="138"/>
      <c r="FP845" s="138"/>
      <c r="FQ845" s="123"/>
      <c r="FR845" s="6"/>
      <c r="FS845" s="6"/>
      <c r="FT845" s="139"/>
      <c r="FU845" s="139"/>
      <c r="FV845" s="76"/>
      <c r="FW845" s="123"/>
      <c r="FX845" s="6"/>
    </row>
    <row r="846" spans="35:180">
      <c r="AI846" s="125"/>
      <c r="AJ846" s="16"/>
      <c r="AM846" s="16"/>
      <c r="AN846" s="16"/>
      <c r="AO846" s="125"/>
      <c r="AP846" s="16"/>
      <c r="AQ846" s="125"/>
      <c r="AZ846" s="125"/>
      <c r="BA846" s="142"/>
      <c r="BB846" s="125"/>
      <c r="BC846" s="16"/>
      <c r="BD846" s="125"/>
      <c r="BE846" s="125"/>
      <c r="BF846" s="16"/>
      <c r="BG846" s="125"/>
      <c r="BQ846" s="125"/>
      <c r="BR846" s="16"/>
      <c r="BS846" s="123"/>
      <c r="BT846" s="19"/>
      <c r="BU846" s="139"/>
      <c r="BV846" s="139"/>
      <c r="BW846" s="123"/>
      <c r="BX846" s="123"/>
      <c r="BY846" s="123"/>
      <c r="BZ846" s="123"/>
      <c r="CA846" s="123"/>
      <c r="CB846" s="123"/>
      <c r="CC846" s="6"/>
      <c r="CD846" s="123"/>
      <c r="CE846" s="6"/>
      <c r="CF846" s="123"/>
      <c r="CG846" s="6"/>
      <c r="CH846" s="6"/>
      <c r="CI846" s="6"/>
      <c r="CJ846" s="6"/>
      <c r="CK846" s="123"/>
      <c r="CL846" s="6"/>
      <c r="CM846" s="6"/>
      <c r="CN846" s="6"/>
      <c r="CO846" s="138"/>
      <c r="CP846" s="138"/>
      <c r="CQ846" s="123"/>
      <c r="CR846" s="6"/>
      <c r="CS846" s="6"/>
      <c r="CT846" s="139"/>
      <c r="CU846" s="139"/>
      <c r="CV846" s="76"/>
      <c r="CW846" s="123"/>
      <c r="CX846" s="6"/>
      <c r="DI846" s="125"/>
      <c r="DJ846" s="16"/>
      <c r="DM846" s="16"/>
      <c r="DN846" s="16"/>
      <c r="DO846" s="125"/>
      <c r="DP846" s="16"/>
      <c r="DQ846" s="125"/>
      <c r="DZ846" s="125"/>
      <c r="EA846" s="142"/>
      <c r="EB846" s="125"/>
      <c r="EC846" s="16"/>
      <c r="ED846" s="125"/>
      <c r="EE846" s="125"/>
      <c r="EF846" s="16"/>
      <c r="EG846" s="125"/>
      <c r="EQ846" s="125"/>
      <c r="ER846" s="16"/>
      <c r="ES846" s="123"/>
      <c r="ET846" s="19"/>
      <c r="EU846" s="139"/>
      <c r="EV846" s="139"/>
      <c r="EW846" s="123"/>
      <c r="EX846" s="123"/>
      <c r="EY846" s="123"/>
      <c r="EZ846" s="123"/>
      <c r="FA846" s="123"/>
      <c r="FB846" s="123"/>
      <c r="FC846" s="6"/>
      <c r="FD846" s="123"/>
      <c r="FE846" s="6"/>
      <c r="FF846" s="123"/>
      <c r="FG846" s="6"/>
      <c r="FH846" s="6"/>
      <c r="FI846" s="6"/>
      <c r="FJ846" s="6"/>
      <c r="FK846" s="123"/>
      <c r="FL846" s="6"/>
      <c r="FM846" s="6"/>
      <c r="FN846" s="6"/>
      <c r="FO846" s="138"/>
      <c r="FP846" s="138"/>
      <c r="FQ846" s="123"/>
      <c r="FR846" s="6"/>
      <c r="FS846" s="6"/>
      <c r="FT846" s="139"/>
      <c r="FU846" s="139"/>
      <c r="FV846" s="76"/>
      <c r="FW846" s="123"/>
      <c r="FX846" s="6"/>
    </row>
    <row r="847" spans="35:180">
      <c r="AI847" s="125"/>
      <c r="AJ847" s="16"/>
      <c r="AM847" s="16"/>
      <c r="AN847" s="16"/>
      <c r="AO847" s="125"/>
      <c r="AP847" s="16"/>
      <c r="AQ847" s="125"/>
      <c r="AZ847" s="125"/>
      <c r="BA847" s="142"/>
      <c r="BB847" s="125"/>
      <c r="BC847" s="16"/>
      <c r="BD847" s="125"/>
      <c r="BE847" s="125"/>
      <c r="BF847" s="16"/>
      <c r="BG847" s="125"/>
      <c r="BQ847" s="125"/>
      <c r="BR847" s="16"/>
      <c r="BS847" s="123"/>
      <c r="BT847" s="19"/>
      <c r="BU847" s="139"/>
      <c r="BV847" s="139"/>
      <c r="BW847" s="123"/>
      <c r="BX847" s="123"/>
      <c r="BY847" s="123"/>
      <c r="BZ847" s="123"/>
      <c r="CA847" s="123"/>
      <c r="CB847" s="123"/>
      <c r="CC847" s="6"/>
      <c r="CD847" s="123"/>
      <c r="CE847" s="6"/>
      <c r="CF847" s="123"/>
      <c r="CG847" s="6"/>
      <c r="CH847" s="6"/>
      <c r="CI847" s="6"/>
      <c r="CJ847" s="6"/>
      <c r="CK847" s="123"/>
      <c r="CL847" s="6"/>
      <c r="CM847" s="6"/>
      <c r="CN847" s="6"/>
      <c r="CO847" s="138"/>
      <c r="CP847" s="138"/>
      <c r="CQ847" s="123"/>
      <c r="CR847" s="6"/>
      <c r="CS847" s="6"/>
      <c r="CT847" s="139"/>
      <c r="CU847" s="139"/>
      <c r="CV847" s="76"/>
      <c r="CW847" s="123"/>
      <c r="CX847" s="6"/>
      <c r="DI847" s="125"/>
      <c r="DJ847" s="16"/>
      <c r="DM847" s="16"/>
      <c r="DN847" s="16"/>
      <c r="DO847" s="125"/>
      <c r="DP847" s="16"/>
      <c r="DQ847" s="125"/>
      <c r="DZ847" s="125"/>
      <c r="EA847" s="142"/>
      <c r="EB847" s="125"/>
      <c r="EC847" s="16"/>
      <c r="ED847" s="125"/>
      <c r="EE847" s="125"/>
      <c r="EF847" s="16"/>
      <c r="EG847" s="125"/>
      <c r="EQ847" s="125"/>
      <c r="ER847" s="16"/>
      <c r="ES847" s="123"/>
      <c r="ET847" s="19"/>
      <c r="EU847" s="139"/>
      <c r="EV847" s="139"/>
      <c r="EW847" s="123"/>
      <c r="EX847" s="123"/>
      <c r="EY847" s="123"/>
      <c r="EZ847" s="123"/>
      <c r="FA847" s="123"/>
      <c r="FB847" s="123"/>
      <c r="FC847" s="6"/>
      <c r="FD847" s="123"/>
      <c r="FE847" s="6"/>
      <c r="FF847" s="123"/>
      <c r="FG847" s="6"/>
      <c r="FH847" s="6"/>
      <c r="FI847" s="6"/>
      <c r="FJ847" s="6"/>
      <c r="FK847" s="123"/>
      <c r="FL847" s="6"/>
      <c r="FM847" s="6"/>
      <c r="FN847" s="6"/>
      <c r="FO847" s="138"/>
      <c r="FP847" s="138"/>
      <c r="FQ847" s="123"/>
      <c r="FR847" s="6"/>
      <c r="FS847" s="6"/>
      <c r="FT847" s="139"/>
      <c r="FU847" s="139"/>
      <c r="FV847" s="76"/>
      <c r="FW847" s="123"/>
      <c r="FX847" s="6"/>
    </row>
    <row r="848" spans="35:180">
      <c r="AI848" s="125"/>
      <c r="AJ848" s="16"/>
      <c r="AM848" s="16"/>
      <c r="AN848" s="16"/>
      <c r="AO848" s="125"/>
      <c r="AP848" s="16"/>
      <c r="AQ848" s="125"/>
      <c r="AZ848" s="125"/>
      <c r="BA848" s="142"/>
      <c r="BB848" s="125"/>
      <c r="BC848" s="16"/>
      <c r="BD848" s="125"/>
      <c r="BE848" s="125"/>
      <c r="BF848" s="16"/>
      <c r="BG848" s="125"/>
      <c r="BQ848" s="125"/>
      <c r="BR848" s="16"/>
      <c r="BS848" s="123"/>
      <c r="BT848" s="19"/>
      <c r="BU848" s="139"/>
      <c r="BV848" s="139"/>
      <c r="BW848" s="123"/>
      <c r="BX848" s="123"/>
      <c r="BY848" s="123"/>
      <c r="BZ848" s="123"/>
      <c r="CA848" s="123"/>
      <c r="CB848" s="123"/>
      <c r="CC848" s="6"/>
      <c r="CD848" s="123"/>
      <c r="CE848" s="6"/>
      <c r="CF848" s="123"/>
      <c r="CG848" s="6"/>
      <c r="CH848" s="6"/>
      <c r="CI848" s="6"/>
      <c r="CJ848" s="6"/>
      <c r="CK848" s="123"/>
      <c r="CL848" s="6"/>
      <c r="CM848" s="6"/>
      <c r="CN848" s="6"/>
      <c r="CO848" s="138"/>
      <c r="CP848" s="138"/>
      <c r="CQ848" s="123"/>
      <c r="CR848" s="6"/>
      <c r="CS848" s="6"/>
      <c r="CT848" s="139"/>
      <c r="CU848" s="139"/>
      <c r="CV848" s="76"/>
      <c r="CW848" s="123"/>
      <c r="CX848" s="6"/>
      <c r="DI848" s="125"/>
      <c r="DJ848" s="16"/>
      <c r="DM848" s="16"/>
      <c r="DN848" s="16"/>
      <c r="DO848" s="125"/>
      <c r="DP848" s="16"/>
      <c r="DQ848" s="125"/>
      <c r="DZ848" s="125"/>
      <c r="EA848" s="142"/>
      <c r="EB848" s="125"/>
      <c r="EC848" s="16"/>
      <c r="ED848" s="125"/>
      <c r="EE848" s="125"/>
      <c r="EF848" s="16"/>
      <c r="EG848" s="125"/>
      <c r="EQ848" s="125"/>
      <c r="ER848" s="16"/>
      <c r="ES848" s="123"/>
      <c r="ET848" s="19"/>
      <c r="EU848" s="139"/>
      <c r="EV848" s="139"/>
      <c r="EW848" s="123"/>
      <c r="EX848" s="123"/>
      <c r="EY848" s="123"/>
      <c r="EZ848" s="123"/>
      <c r="FA848" s="123"/>
      <c r="FB848" s="123"/>
      <c r="FC848" s="6"/>
      <c r="FD848" s="123"/>
      <c r="FE848" s="6"/>
      <c r="FF848" s="123"/>
      <c r="FG848" s="6"/>
      <c r="FH848" s="6"/>
      <c r="FI848" s="6"/>
      <c r="FJ848" s="6"/>
      <c r="FK848" s="123"/>
      <c r="FL848" s="6"/>
      <c r="FM848" s="6"/>
      <c r="FN848" s="6"/>
      <c r="FO848" s="138"/>
      <c r="FP848" s="138"/>
      <c r="FQ848" s="123"/>
      <c r="FR848" s="6"/>
      <c r="FS848" s="6"/>
      <c r="FT848" s="139"/>
      <c r="FU848" s="139"/>
      <c r="FV848" s="76"/>
      <c r="FW848" s="123"/>
      <c r="FX848" s="6"/>
    </row>
    <row r="849" spans="35:180">
      <c r="AI849" s="125"/>
      <c r="AJ849" s="16"/>
      <c r="AM849" s="16"/>
      <c r="AN849" s="16"/>
      <c r="AO849" s="125"/>
      <c r="AP849" s="16"/>
      <c r="AQ849" s="125"/>
      <c r="AZ849" s="125"/>
      <c r="BA849" s="142"/>
      <c r="BB849" s="125"/>
      <c r="BC849" s="16"/>
      <c r="BD849" s="125"/>
      <c r="BE849" s="125"/>
      <c r="BF849" s="16"/>
      <c r="BG849" s="125"/>
      <c r="BQ849" s="125"/>
      <c r="BR849" s="16"/>
      <c r="BS849" s="123"/>
      <c r="BT849" s="19"/>
      <c r="BU849" s="139"/>
      <c r="BV849" s="139"/>
      <c r="BW849" s="123"/>
      <c r="BX849" s="123"/>
      <c r="BY849" s="123"/>
      <c r="BZ849" s="123"/>
      <c r="CA849" s="123"/>
      <c r="CB849" s="123"/>
      <c r="CC849" s="6"/>
      <c r="CD849" s="123"/>
      <c r="CE849" s="6"/>
      <c r="CF849" s="123"/>
      <c r="CG849" s="6"/>
      <c r="CH849" s="6"/>
      <c r="CI849" s="6"/>
      <c r="CJ849" s="6"/>
      <c r="CK849" s="123"/>
      <c r="CL849" s="6"/>
      <c r="CM849" s="6"/>
      <c r="CN849" s="6"/>
      <c r="CO849" s="138"/>
      <c r="CP849" s="138"/>
      <c r="CQ849" s="123"/>
      <c r="CR849" s="6"/>
      <c r="CS849" s="6"/>
      <c r="CT849" s="139"/>
      <c r="CU849" s="139"/>
      <c r="CV849" s="76"/>
      <c r="CW849" s="123"/>
      <c r="CX849" s="6"/>
      <c r="DI849" s="125"/>
      <c r="DJ849" s="16"/>
      <c r="DM849" s="16"/>
      <c r="DN849" s="16"/>
      <c r="DO849" s="125"/>
      <c r="DP849" s="16"/>
      <c r="DQ849" s="125"/>
      <c r="DZ849" s="125"/>
      <c r="EA849" s="142"/>
      <c r="EB849" s="125"/>
      <c r="EC849" s="16"/>
      <c r="ED849" s="125"/>
      <c r="EE849" s="125"/>
      <c r="EF849" s="16"/>
      <c r="EG849" s="125"/>
      <c r="EQ849" s="125"/>
      <c r="ER849" s="16"/>
      <c r="ES849" s="123"/>
      <c r="ET849" s="19"/>
      <c r="EU849" s="139"/>
      <c r="EV849" s="139"/>
      <c r="EW849" s="123"/>
      <c r="EX849" s="123"/>
      <c r="EY849" s="123"/>
      <c r="EZ849" s="123"/>
      <c r="FA849" s="123"/>
      <c r="FB849" s="123"/>
      <c r="FC849" s="6"/>
      <c r="FD849" s="123"/>
      <c r="FE849" s="6"/>
      <c r="FF849" s="123"/>
      <c r="FG849" s="6"/>
      <c r="FH849" s="6"/>
      <c r="FI849" s="6"/>
      <c r="FJ849" s="6"/>
      <c r="FK849" s="123"/>
      <c r="FL849" s="6"/>
      <c r="FM849" s="6"/>
      <c r="FN849" s="6"/>
      <c r="FO849" s="138"/>
      <c r="FP849" s="138"/>
      <c r="FQ849" s="123"/>
      <c r="FR849" s="6"/>
      <c r="FS849" s="6"/>
      <c r="FT849" s="139"/>
      <c r="FU849" s="139"/>
      <c r="FV849" s="76"/>
      <c r="FW849" s="123"/>
      <c r="FX849" s="6"/>
    </row>
    <row r="850" spans="35:180">
      <c r="AI850" s="125"/>
      <c r="AJ850" s="16"/>
      <c r="AM850" s="16"/>
      <c r="AN850" s="16"/>
      <c r="AO850" s="125"/>
      <c r="AP850" s="16"/>
      <c r="AQ850" s="125"/>
      <c r="AZ850" s="125"/>
      <c r="BA850" s="142"/>
      <c r="BB850" s="125"/>
      <c r="BC850" s="16"/>
      <c r="BD850" s="125"/>
      <c r="BE850" s="125"/>
      <c r="BF850" s="16"/>
      <c r="BG850" s="125"/>
      <c r="BQ850" s="125"/>
      <c r="BR850" s="16"/>
      <c r="BS850" s="123"/>
      <c r="BT850" s="19"/>
      <c r="BU850" s="139"/>
      <c r="BV850" s="139"/>
      <c r="BW850" s="123"/>
      <c r="BX850" s="123"/>
      <c r="BY850" s="123"/>
      <c r="BZ850" s="123"/>
      <c r="CA850" s="123"/>
      <c r="CB850" s="123"/>
      <c r="CC850" s="6"/>
      <c r="CD850" s="123"/>
      <c r="CE850" s="6"/>
      <c r="CF850" s="123"/>
      <c r="CG850" s="6"/>
      <c r="CH850" s="6"/>
      <c r="CI850" s="6"/>
      <c r="CJ850" s="6"/>
      <c r="CK850" s="123"/>
      <c r="CL850" s="6"/>
      <c r="CM850" s="6"/>
      <c r="CN850" s="6"/>
      <c r="CO850" s="138"/>
      <c r="CP850" s="138"/>
      <c r="CQ850" s="123"/>
      <c r="CR850" s="6"/>
      <c r="CS850" s="6"/>
      <c r="CT850" s="139"/>
      <c r="CU850" s="139"/>
      <c r="CV850" s="76"/>
      <c r="CW850" s="123"/>
      <c r="CX850" s="6"/>
      <c r="DI850" s="125"/>
      <c r="DJ850" s="16"/>
      <c r="DM850" s="16"/>
      <c r="DN850" s="16"/>
      <c r="DO850" s="125"/>
      <c r="DP850" s="16"/>
      <c r="DQ850" s="125"/>
      <c r="DZ850" s="125"/>
      <c r="EA850" s="142"/>
      <c r="EB850" s="125"/>
      <c r="EC850" s="16"/>
      <c r="ED850" s="125"/>
      <c r="EE850" s="125"/>
      <c r="EF850" s="16"/>
      <c r="EG850" s="125"/>
      <c r="EQ850" s="125"/>
      <c r="ER850" s="16"/>
      <c r="ES850" s="123"/>
      <c r="ET850" s="19"/>
      <c r="EU850" s="139"/>
      <c r="EV850" s="139"/>
      <c r="EW850" s="123"/>
      <c r="EX850" s="123"/>
      <c r="EY850" s="123"/>
      <c r="EZ850" s="123"/>
      <c r="FA850" s="123"/>
      <c r="FB850" s="123"/>
      <c r="FC850" s="6"/>
      <c r="FD850" s="123"/>
      <c r="FE850" s="6"/>
      <c r="FF850" s="123"/>
      <c r="FG850" s="6"/>
      <c r="FH850" s="6"/>
      <c r="FI850" s="6"/>
      <c r="FJ850" s="6"/>
      <c r="FK850" s="123"/>
      <c r="FL850" s="6"/>
      <c r="FM850" s="6"/>
      <c r="FN850" s="6"/>
      <c r="FO850" s="138"/>
      <c r="FP850" s="138"/>
      <c r="FQ850" s="123"/>
      <c r="FR850" s="6"/>
      <c r="FS850" s="6"/>
      <c r="FT850" s="139"/>
      <c r="FU850" s="139"/>
      <c r="FV850" s="76"/>
      <c r="FW850" s="123"/>
      <c r="FX850" s="6"/>
    </row>
    <row r="851" spans="35:180">
      <c r="AI851" s="125"/>
      <c r="AJ851" s="16"/>
      <c r="AM851" s="16"/>
      <c r="AN851" s="16"/>
      <c r="AO851" s="125"/>
      <c r="AP851" s="16"/>
      <c r="AQ851" s="125"/>
      <c r="AZ851" s="125"/>
      <c r="BA851" s="142"/>
      <c r="BB851" s="125"/>
      <c r="BC851" s="16"/>
      <c r="BD851" s="125"/>
      <c r="BE851" s="125"/>
      <c r="BF851" s="16"/>
      <c r="BG851" s="125"/>
      <c r="BQ851" s="125"/>
      <c r="BR851" s="16"/>
      <c r="BS851" s="123"/>
      <c r="BT851" s="19"/>
      <c r="BU851" s="139"/>
      <c r="BV851" s="139"/>
      <c r="BW851" s="123"/>
      <c r="BX851" s="123"/>
      <c r="BY851" s="123"/>
      <c r="BZ851" s="123"/>
      <c r="CA851" s="123"/>
      <c r="CB851" s="123"/>
      <c r="CC851" s="6"/>
      <c r="CD851" s="123"/>
      <c r="CE851" s="6"/>
      <c r="CF851" s="123"/>
      <c r="CG851" s="6"/>
      <c r="CH851" s="6"/>
      <c r="CI851" s="6"/>
      <c r="CJ851" s="6"/>
      <c r="CK851" s="123"/>
      <c r="CL851" s="6"/>
      <c r="CM851" s="6"/>
      <c r="CN851" s="6"/>
      <c r="CO851" s="138"/>
      <c r="CP851" s="138"/>
      <c r="CQ851" s="123"/>
      <c r="CR851" s="6"/>
      <c r="CS851" s="6"/>
      <c r="CT851" s="139"/>
      <c r="CU851" s="139"/>
      <c r="CV851" s="76"/>
      <c r="CW851" s="123"/>
      <c r="CX851" s="6"/>
      <c r="DI851" s="125"/>
      <c r="DJ851" s="16"/>
      <c r="DM851" s="16"/>
      <c r="DN851" s="16"/>
      <c r="DO851" s="125"/>
      <c r="DP851" s="16"/>
      <c r="DQ851" s="125"/>
      <c r="DZ851" s="125"/>
      <c r="EA851" s="142"/>
      <c r="EB851" s="125"/>
      <c r="EC851" s="16"/>
      <c r="ED851" s="125"/>
      <c r="EE851" s="125"/>
      <c r="EF851" s="16"/>
      <c r="EG851" s="125"/>
      <c r="EQ851" s="125"/>
      <c r="ER851" s="16"/>
      <c r="ES851" s="123"/>
      <c r="ET851" s="19"/>
      <c r="EU851" s="139"/>
      <c r="EV851" s="139"/>
      <c r="EW851" s="123"/>
      <c r="EX851" s="123"/>
      <c r="EY851" s="123"/>
      <c r="EZ851" s="123"/>
      <c r="FA851" s="123"/>
      <c r="FB851" s="123"/>
      <c r="FC851" s="6"/>
      <c r="FD851" s="123"/>
      <c r="FE851" s="6"/>
      <c r="FF851" s="123"/>
      <c r="FG851" s="6"/>
      <c r="FH851" s="6"/>
      <c r="FI851" s="6"/>
      <c r="FJ851" s="6"/>
      <c r="FK851" s="123"/>
      <c r="FL851" s="6"/>
      <c r="FM851" s="6"/>
      <c r="FN851" s="6"/>
      <c r="FO851" s="138"/>
      <c r="FP851" s="138"/>
      <c r="FQ851" s="123"/>
      <c r="FR851" s="6"/>
      <c r="FS851" s="6"/>
      <c r="FT851" s="139"/>
      <c r="FU851" s="139"/>
      <c r="FV851" s="76"/>
      <c r="FW851" s="123"/>
      <c r="FX851" s="6"/>
    </row>
    <row r="852" spans="35:180">
      <c r="AI852" s="125"/>
      <c r="AJ852" s="16"/>
      <c r="AM852" s="16"/>
      <c r="AN852" s="16"/>
      <c r="AO852" s="125"/>
      <c r="AP852" s="16"/>
      <c r="AQ852" s="125"/>
      <c r="AZ852" s="125"/>
      <c r="BA852" s="142"/>
      <c r="BB852" s="125"/>
      <c r="BC852" s="16"/>
      <c r="BD852" s="125"/>
      <c r="BE852" s="125"/>
      <c r="BF852" s="16"/>
      <c r="BG852" s="125"/>
      <c r="BQ852" s="125"/>
      <c r="BR852" s="16"/>
      <c r="BS852" s="123"/>
      <c r="BT852" s="19"/>
      <c r="BU852" s="139"/>
      <c r="BV852" s="139"/>
      <c r="BW852" s="123"/>
      <c r="BX852" s="123"/>
      <c r="BY852" s="123"/>
      <c r="BZ852" s="123"/>
      <c r="CA852" s="123"/>
      <c r="CB852" s="123"/>
      <c r="CC852" s="6"/>
      <c r="CD852" s="123"/>
      <c r="CE852" s="6"/>
      <c r="CF852" s="123"/>
      <c r="CG852" s="6"/>
      <c r="CH852" s="6"/>
      <c r="CI852" s="6"/>
      <c r="CJ852" s="6"/>
      <c r="CK852" s="123"/>
      <c r="CL852" s="6"/>
      <c r="CM852" s="6"/>
      <c r="CN852" s="6"/>
      <c r="CO852" s="138"/>
      <c r="CP852" s="138"/>
      <c r="CQ852" s="123"/>
      <c r="CR852" s="6"/>
      <c r="CS852" s="6"/>
      <c r="CT852" s="139"/>
      <c r="CU852" s="139"/>
      <c r="CV852" s="76"/>
      <c r="CW852" s="123"/>
      <c r="CX852" s="6"/>
      <c r="DI852" s="125"/>
      <c r="DJ852" s="16"/>
      <c r="DM852" s="16"/>
      <c r="DN852" s="16"/>
      <c r="DO852" s="125"/>
      <c r="DP852" s="16"/>
      <c r="DQ852" s="125"/>
      <c r="DZ852" s="125"/>
      <c r="EA852" s="142"/>
      <c r="EB852" s="125"/>
      <c r="EC852" s="16"/>
      <c r="ED852" s="125"/>
      <c r="EE852" s="125"/>
      <c r="EF852" s="16"/>
      <c r="EG852" s="125"/>
      <c r="EQ852" s="125"/>
      <c r="ER852" s="16"/>
      <c r="ES852" s="123"/>
      <c r="ET852" s="19"/>
      <c r="EU852" s="139"/>
      <c r="EV852" s="139"/>
      <c r="EW852" s="123"/>
      <c r="EX852" s="123"/>
      <c r="EY852" s="123"/>
      <c r="EZ852" s="123"/>
      <c r="FA852" s="123"/>
      <c r="FB852" s="123"/>
      <c r="FC852" s="6"/>
      <c r="FD852" s="123"/>
      <c r="FE852" s="6"/>
      <c r="FF852" s="123"/>
      <c r="FG852" s="6"/>
      <c r="FH852" s="6"/>
      <c r="FI852" s="6"/>
      <c r="FJ852" s="6"/>
      <c r="FK852" s="123"/>
      <c r="FL852" s="6"/>
      <c r="FM852" s="6"/>
      <c r="FN852" s="6"/>
      <c r="FO852" s="138"/>
      <c r="FP852" s="138"/>
      <c r="FQ852" s="123"/>
      <c r="FR852" s="6"/>
      <c r="FS852" s="6"/>
      <c r="FT852" s="139"/>
      <c r="FU852" s="139"/>
      <c r="FV852" s="76"/>
      <c r="FW852" s="123"/>
      <c r="FX852" s="6"/>
    </row>
    <row r="853" spans="35:180">
      <c r="AI853" s="125"/>
      <c r="AJ853" s="16"/>
      <c r="AM853" s="16"/>
      <c r="AN853" s="16"/>
      <c r="AO853" s="125"/>
      <c r="AP853" s="16"/>
      <c r="AQ853" s="125"/>
      <c r="AZ853" s="125"/>
      <c r="BA853" s="142"/>
      <c r="BB853" s="125"/>
      <c r="BC853" s="16"/>
      <c r="BD853" s="125"/>
      <c r="BE853" s="125"/>
      <c r="BF853" s="16"/>
      <c r="BG853" s="125"/>
      <c r="BQ853" s="125"/>
      <c r="BR853" s="16"/>
      <c r="BS853" s="123"/>
      <c r="BT853" s="19"/>
      <c r="BU853" s="139"/>
      <c r="BV853" s="139"/>
      <c r="BW853" s="123"/>
      <c r="BX853" s="123"/>
      <c r="BY853" s="123"/>
      <c r="BZ853" s="123"/>
      <c r="CA853" s="123"/>
      <c r="CB853" s="123"/>
      <c r="CC853" s="6"/>
      <c r="CD853" s="123"/>
      <c r="CE853" s="6"/>
      <c r="CF853" s="123"/>
      <c r="CG853" s="6"/>
      <c r="CH853" s="6"/>
      <c r="CI853" s="6"/>
      <c r="CJ853" s="6"/>
      <c r="CK853" s="123"/>
      <c r="CL853" s="6"/>
      <c r="CM853" s="6"/>
      <c r="CN853" s="6"/>
      <c r="CO853" s="138"/>
      <c r="CP853" s="138"/>
      <c r="CQ853" s="123"/>
      <c r="CR853" s="6"/>
      <c r="CS853" s="6"/>
      <c r="CT853" s="139"/>
      <c r="CU853" s="139"/>
      <c r="CV853" s="76"/>
      <c r="CW853" s="123"/>
      <c r="CX853" s="6"/>
      <c r="DI853" s="125"/>
      <c r="DJ853" s="16"/>
      <c r="DM853" s="16"/>
      <c r="DN853" s="16"/>
      <c r="DO853" s="125"/>
      <c r="DP853" s="16"/>
      <c r="DQ853" s="125"/>
      <c r="DZ853" s="125"/>
      <c r="EA853" s="142"/>
      <c r="EB853" s="125"/>
      <c r="EC853" s="16"/>
      <c r="ED853" s="125"/>
      <c r="EE853" s="125"/>
      <c r="EF853" s="16"/>
      <c r="EG853" s="125"/>
      <c r="EQ853" s="125"/>
      <c r="ER853" s="16"/>
      <c r="ES853" s="123"/>
      <c r="ET853" s="19"/>
      <c r="EU853" s="139"/>
      <c r="EV853" s="139"/>
      <c r="EW853" s="123"/>
      <c r="EX853" s="123"/>
      <c r="EY853" s="123"/>
      <c r="EZ853" s="123"/>
      <c r="FA853" s="123"/>
      <c r="FB853" s="123"/>
      <c r="FC853" s="6"/>
      <c r="FD853" s="123"/>
      <c r="FE853" s="6"/>
      <c r="FF853" s="123"/>
      <c r="FG853" s="6"/>
      <c r="FH853" s="6"/>
      <c r="FI853" s="6"/>
      <c r="FJ853" s="6"/>
      <c r="FK853" s="123"/>
      <c r="FL853" s="6"/>
      <c r="FM853" s="6"/>
      <c r="FN853" s="6"/>
      <c r="FO853" s="138"/>
      <c r="FP853" s="138"/>
      <c r="FQ853" s="123"/>
      <c r="FR853" s="6"/>
      <c r="FS853" s="6"/>
      <c r="FT853" s="139"/>
      <c r="FU853" s="139"/>
      <c r="FV853" s="76"/>
      <c r="FW853" s="123"/>
      <c r="FX853" s="6"/>
    </row>
    <row r="854" spans="35:180">
      <c r="AI854" s="125"/>
      <c r="AJ854" s="16"/>
      <c r="AM854" s="16"/>
      <c r="AN854" s="16"/>
      <c r="AO854" s="125"/>
      <c r="AP854" s="16"/>
      <c r="AQ854" s="125"/>
      <c r="AZ854" s="125"/>
      <c r="BA854" s="142"/>
      <c r="BB854" s="125"/>
      <c r="BC854" s="16"/>
      <c r="BD854" s="125"/>
      <c r="BE854" s="125"/>
      <c r="BF854" s="16"/>
      <c r="BG854" s="125"/>
      <c r="BQ854" s="125"/>
      <c r="BR854" s="16"/>
      <c r="BS854" s="123"/>
      <c r="BT854" s="19"/>
      <c r="BU854" s="139"/>
      <c r="BV854" s="139"/>
      <c r="BW854" s="123"/>
      <c r="BX854" s="123"/>
      <c r="BY854" s="123"/>
      <c r="BZ854" s="123"/>
      <c r="CA854" s="123"/>
      <c r="CB854" s="123"/>
      <c r="CC854" s="6"/>
      <c r="CD854" s="123"/>
      <c r="CE854" s="6"/>
      <c r="CF854" s="123"/>
      <c r="CG854" s="6"/>
      <c r="CH854" s="6"/>
      <c r="CI854" s="6"/>
      <c r="CJ854" s="6"/>
      <c r="CK854" s="123"/>
      <c r="CL854" s="6"/>
      <c r="CM854" s="6"/>
      <c r="CN854" s="6"/>
      <c r="CO854" s="138"/>
      <c r="CP854" s="138"/>
      <c r="CQ854" s="123"/>
      <c r="CR854" s="6"/>
      <c r="CS854" s="6"/>
      <c r="CT854" s="139"/>
      <c r="CU854" s="139"/>
      <c r="CV854" s="76"/>
      <c r="CW854" s="123"/>
      <c r="CX854" s="6"/>
      <c r="DI854" s="125"/>
      <c r="DJ854" s="16"/>
      <c r="DM854" s="16"/>
      <c r="DN854" s="16"/>
      <c r="DO854" s="125"/>
      <c r="DP854" s="16"/>
      <c r="DQ854" s="125"/>
      <c r="DZ854" s="125"/>
      <c r="EA854" s="142"/>
      <c r="EB854" s="125"/>
      <c r="EC854" s="16"/>
      <c r="ED854" s="125"/>
      <c r="EE854" s="125"/>
      <c r="EF854" s="16"/>
      <c r="EG854" s="125"/>
      <c r="EQ854" s="125"/>
      <c r="ER854" s="16"/>
      <c r="ES854" s="123"/>
      <c r="ET854" s="19"/>
      <c r="EU854" s="139"/>
      <c r="EV854" s="139"/>
      <c r="EW854" s="123"/>
      <c r="EX854" s="123"/>
      <c r="EY854" s="123"/>
      <c r="EZ854" s="123"/>
      <c r="FA854" s="123"/>
      <c r="FB854" s="123"/>
      <c r="FC854" s="6"/>
      <c r="FD854" s="123"/>
      <c r="FE854" s="6"/>
      <c r="FF854" s="123"/>
      <c r="FG854" s="6"/>
      <c r="FH854" s="6"/>
      <c r="FI854" s="6"/>
      <c r="FJ854" s="6"/>
      <c r="FK854" s="123"/>
      <c r="FL854" s="6"/>
      <c r="FM854" s="6"/>
      <c r="FN854" s="6"/>
      <c r="FO854" s="138"/>
      <c r="FP854" s="138"/>
      <c r="FQ854" s="123"/>
      <c r="FR854" s="6"/>
      <c r="FS854" s="6"/>
      <c r="FT854" s="139"/>
      <c r="FU854" s="139"/>
      <c r="FV854" s="76"/>
      <c r="FW854" s="123"/>
      <c r="FX854" s="6"/>
    </row>
    <row r="855" spans="35:180">
      <c r="AI855" s="125"/>
      <c r="AJ855" s="16"/>
      <c r="AM855" s="16"/>
      <c r="AN855" s="16"/>
      <c r="AO855" s="125"/>
      <c r="AP855" s="16"/>
      <c r="AQ855" s="125"/>
      <c r="AZ855" s="125"/>
      <c r="BA855" s="142"/>
      <c r="BB855" s="125"/>
      <c r="BC855" s="16"/>
      <c r="BD855" s="125"/>
      <c r="BE855" s="125"/>
      <c r="BF855" s="16"/>
      <c r="BG855" s="125"/>
      <c r="BQ855" s="125"/>
      <c r="BR855" s="16"/>
      <c r="BS855" s="123"/>
      <c r="BT855" s="19"/>
      <c r="BU855" s="139"/>
      <c r="BV855" s="139"/>
      <c r="BW855" s="123"/>
      <c r="BX855" s="123"/>
      <c r="BY855" s="123"/>
      <c r="BZ855" s="123"/>
      <c r="CA855" s="123"/>
      <c r="CB855" s="123"/>
      <c r="CC855" s="6"/>
      <c r="CD855" s="123"/>
      <c r="CE855" s="6"/>
      <c r="CF855" s="123"/>
      <c r="CG855" s="6"/>
      <c r="CH855" s="6"/>
      <c r="CI855" s="6"/>
      <c r="CJ855" s="6"/>
      <c r="CK855" s="123"/>
      <c r="CL855" s="6"/>
      <c r="CM855" s="6"/>
      <c r="CN855" s="6"/>
      <c r="CO855" s="138"/>
      <c r="CP855" s="138"/>
      <c r="CQ855" s="123"/>
      <c r="CR855" s="6"/>
      <c r="CS855" s="6"/>
      <c r="CT855" s="139"/>
      <c r="CU855" s="139"/>
      <c r="CV855" s="76"/>
      <c r="CW855" s="123"/>
      <c r="CX855" s="6"/>
      <c r="DI855" s="125"/>
      <c r="DJ855" s="16"/>
      <c r="DM855" s="16"/>
      <c r="DN855" s="16"/>
      <c r="DO855" s="125"/>
      <c r="DP855" s="16"/>
      <c r="DQ855" s="125"/>
      <c r="DZ855" s="125"/>
      <c r="EA855" s="142"/>
      <c r="EB855" s="125"/>
      <c r="EC855" s="16"/>
      <c r="ED855" s="125"/>
      <c r="EE855" s="125"/>
      <c r="EF855" s="16"/>
      <c r="EG855" s="125"/>
      <c r="EQ855" s="125"/>
      <c r="ER855" s="16"/>
      <c r="ES855" s="123"/>
      <c r="ET855" s="19"/>
      <c r="EU855" s="139"/>
      <c r="EV855" s="139"/>
      <c r="EW855" s="123"/>
      <c r="EX855" s="123"/>
      <c r="EY855" s="123"/>
      <c r="EZ855" s="123"/>
      <c r="FA855" s="123"/>
      <c r="FB855" s="123"/>
      <c r="FC855" s="6"/>
      <c r="FD855" s="123"/>
      <c r="FE855" s="6"/>
      <c r="FF855" s="123"/>
      <c r="FG855" s="6"/>
      <c r="FH855" s="6"/>
      <c r="FI855" s="6"/>
      <c r="FJ855" s="6"/>
      <c r="FK855" s="123"/>
      <c r="FL855" s="6"/>
      <c r="FM855" s="6"/>
      <c r="FN855" s="6"/>
      <c r="FO855" s="138"/>
      <c r="FP855" s="138"/>
      <c r="FQ855" s="123"/>
      <c r="FR855" s="6"/>
      <c r="FS855" s="6"/>
      <c r="FT855" s="139"/>
      <c r="FU855" s="139"/>
      <c r="FV855" s="76"/>
      <c r="FW855" s="123"/>
      <c r="FX855" s="6"/>
    </row>
    <row r="856" spans="35:180">
      <c r="AI856" s="125"/>
      <c r="AJ856" s="16"/>
      <c r="AM856" s="16"/>
      <c r="AN856" s="16"/>
      <c r="AO856" s="125"/>
      <c r="AP856" s="16"/>
      <c r="AQ856" s="125"/>
      <c r="AZ856" s="125"/>
      <c r="BA856" s="142"/>
      <c r="BB856" s="125"/>
      <c r="BC856" s="16"/>
      <c r="BD856" s="125"/>
      <c r="BE856" s="125"/>
      <c r="BF856" s="16"/>
      <c r="BG856" s="125"/>
      <c r="BQ856" s="125"/>
      <c r="BR856" s="16"/>
      <c r="BS856" s="123"/>
      <c r="BT856" s="19"/>
      <c r="BU856" s="139"/>
      <c r="BV856" s="139"/>
      <c r="BW856" s="123"/>
      <c r="BX856" s="123"/>
      <c r="BY856" s="123"/>
      <c r="BZ856" s="123"/>
      <c r="CA856" s="123"/>
      <c r="CB856" s="123"/>
      <c r="CC856" s="6"/>
      <c r="CD856" s="123"/>
      <c r="CE856" s="6"/>
      <c r="CF856" s="123"/>
      <c r="CG856" s="6"/>
      <c r="CH856" s="6"/>
      <c r="CI856" s="6"/>
      <c r="CJ856" s="6"/>
      <c r="CK856" s="123"/>
      <c r="CL856" s="6"/>
      <c r="CM856" s="6"/>
      <c r="CN856" s="6"/>
      <c r="CO856" s="138"/>
      <c r="CP856" s="138"/>
      <c r="CQ856" s="123"/>
      <c r="CR856" s="6"/>
      <c r="CS856" s="6"/>
      <c r="CT856" s="139"/>
      <c r="CU856" s="139"/>
      <c r="CV856" s="76"/>
      <c r="CW856" s="123"/>
      <c r="CX856" s="6"/>
      <c r="DI856" s="125"/>
      <c r="DJ856" s="16"/>
      <c r="DM856" s="16"/>
      <c r="DN856" s="16"/>
      <c r="DO856" s="125"/>
      <c r="DP856" s="16"/>
      <c r="DQ856" s="125"/>
      <c r="DZ856" s="125"/>
      <c r="EA856" s="142"/>
      <c r="EB856" s="125"/>
      <c r="EC856" s="16"/>
      <c r="ED856" s="125"/>
      <c r="EE856" s="125"/>
      <c r="EF856" s="16"/>
      <c r="EG856" s="125"/>
      <c r="EQ856" s="125"/>
      <c r="ER856" s="16"/>
      <c r="ES856" s="123"/>
      <c r="ET856" s="19"/>
      <c r="EU856" s="139"/>
      <c r="EV856" s="139"/>
      <c r="EW856" s="123"/>
      <c r="EX856" s="123"/>
      <c r="EY856" s="123"/>
      <c r="EZ856" s="123"/>
      <c r="FA856" s="123"/>
      <c r="FB856" s="123"/>
      <c r="FC856" s="6"/>
      <c r="FD856" s="123"/>
      <c r="FE856" s="6"/>
      <c r="FF856" s="123"/>
      <c r="FG856" s="6"/>
      <c r="FH856" s="6"/>
      <c r="FI856" s="6"/>
      <c r="FJ856" s="6"/>
      <c r="FK856" s="123"/>
      <c r="FL856" s="6"/>
      <c r="FM856" s="6"/>
      <c r="FN856" s="6"/>
      <c r="FO856" s="138"/>
      <c r="FP856" s="138"/>
      <c r="FQ856" s="123"/>
      <c r="FR856" s="6"/>
      <c r="FS856" s="6"/>
      <c r="FT856" s="139"/>
      <c r="FU856" s="139"/>
      <c r="FV856" s="76"/>
      <c r="FW856" s="123"/>
      <c r="FX856" s="6"/>
    </row>
    <row r="857" spans="35:180">
      <c r="AI857" s="125"/>
      <c r="AJ857" s="16"/>
      <c r="AM857" s="16"/>
      <c r="AN857" s="16"/>
      <c r="AO857" s="125"/>
      <c r="AP857" s="16"/>
      <c r="AQ857" s="125"/>
      <c r="AZ857" s="125"/>
      <c r="BA857" s="142"/>
      <c r="BB857" s="125"/>
      <c r="BC857" s="16"/>
      <c r="BD857" s="125"/>
      <c r="BE857" s="125"/>
      <c r="BF857" s="16"/>
      <c r="BG857" s="125"/>
      <c r="BQ857" s="125"/>
      <c r="BR857" s="16"/>
      <c r="BS857" s="123"/>
      <c r="BT857" s="19"/>
      <c r="BU857" s="139"/>
      <c r="BV857" s="139"/>
      <c r="BW857" s="123"/>
      <c r="BX857" s="123"/>
      <c r="BY857" s="123"/>
      <c r="BZ857" s="123"/>
      <c r="CA857" s="123"/>
      <c r="CB857" s="123"/>
      <c r="CC857" s="6"/>
      <c r="CD857" s="123"/>
      <c r="CE857" s="6"/>
      <c r="CF857" s="123"/>
      <c r="CG857" s="6"/>
      <c r="CH857" s="6"/>
      <c r="CI857" s="6"/>
      <c r="CJ857" s="6"/>
      <c r="CK857" s="123"/>
      <c r="CL857" s="6"/>
      <c r="CM857" s="6"/>
      <c r="CN857" s="6"/>
      <c r="CO857" s="138"/>
      <c r="CP857" s="138"/>
      <c r="CQ857" s="123"/>
      <c r="CR857" s="6"/>
      <c r="CS857" s="6"/>
      <c r="CT857" s="139"/>
      <c r="CU857" s="139"/>
      <c r="CV857" s="76"/>
      <c r="CW857" s="123"/>
      <c r="CX857" s="6"/>
      <c r="DI857" s="125"/>
      <c r="DJ857" s="16"/>
      <c r="DM857" s="16"/>
      <c r="DN857" s="16"/>
      <c r="DO857" s="125"/>
      <c r="DP857" s="16"/>
      <c r="DQ857" s="125"/>
      <c r="DZ857" s="125"/>
      <c r="EA857" s="142"/>
      <c r="EB857" s="125"/>
      <c r="EC857" s="16"/>
      <c r="ED857" s="125"/>
      <c r="EE857" s="125"/>
      <c r="EF857" s="16"/>
      <c r="EG857" s="125"/>
      <c r="EQ857" s="125"/>
      <c r="ER857" s="16"/>
      <c r="ES857" s="123"/>
      <c r="ET857" s="19"/>
      <c r="EU857" s="139"/>
      <c r="EV857" s="139"/>
      <c r="EW857" s="123"/>
      <c r="EX857" s="123"/>
      <c r="EY857" s="123"/>
      <c r="EZ857" s="123"/>
      <c r="FA857" s="123"/>
      <c r="FB857" s="123"/>
      <c r="FC857" s="6"/>
      <c r="FD857" s="123"/>
      <c r="FE857" s="6"/>
      <c r="FF857" s="123"/>
      <c r="FG857" s="6"/>
      <c r="FH857" s="6"/>
      <c r="FI857" s="6"/>
      <c r="FJ857" s="6"/>
      <c r="FK857" s="123"/>
      <c r="FL857" s="6"/>
      <c r="FM857" s="6"/>
      <c r="FN857" s="6"/>
      <c r="FO857" s="138"/>
      <c r="FP857" s="138"/>
      <c r="FQ857" s="123"/>
      <c r="FR857" s="6"/>
      <c r="FS857" s="6"/>
      <c r="FT857" s="139"/>
      <c r="FU857" s="139"/>
      <c r="FV857" s="76"/>
      <c r="FW857" s="123"/>
      <c r="FX857" s="6"/>
    </row>
    <row r="858" spans="35:180">
      <c r="AI858" s="125"/>
      <c r="AJ858" s="16"/>
      <c r="AM858" s="16"/>
      <c r="AN858" s="16"/>
      <c r="AO858" s="125"/>
      <c r="AP858" s="16"/>
      <c r="AQ858" s="125"/>
      <c r="AZ858" s="125"/>
      <c r="BA858" s="142"/>
      <c r="BB858" s="125"/>
      <c r="BC858" s="16"/>
      <c r="BD858" s="125"/>
      <c r="BE858" s="125"/>
      <c r="BF858" s="16"/>
      <c r="BG858" s="125"/>
      <c r="BQ858" s="125"/>
      <c r="BR858" s="16"/>
      <c r="BS858" s="123"/>
      <c r="BT858" s="19"/>
      <c r="BU858" s="139"/>
      <c r="BV858" s="139"/>
      <c r="BW858" s="123"/>
      <c r="BX858" s="123"/>
      <c r="BY858" s="123"/>
      <c r="BZ858" s="123"/>
      <c r="CA858" s="123"/>
      <c r="CB858" s="123"/>
      <c r="CC858" s="6"/>
      <c r="CD858" s="123"/>
      <c r="CE858" s="6"/>
      <c r="CF858" s="123"/>
      <c r="CG858" s="6"/>
      <c r="CH858" s="6"/>
      <c r="CI858" s="6"/>
      <c r="CJ858" s="6"/>
      <c r="CK858" s="123"/>
      <c r="CL858" s="6"/>
      <c r="CM858" s="6"/>
      <c r="CN858" s="6"/>
      <c r="CO858" s="138"/>
      <c r="CP858" s="138"/>
      <c r="CQ858" s="123"/>
      <c r="CR858" s="6"/>
      <c r="CS858" s="6"/>
      <c r="CT858" s="139"/>
      <c r="CU858" s="139"/>
      <c r="CV858" s="76"/>
      <c r="CW858" s="123"/>
      <c r="CX858" s="6"/>
      <c r="DI858" s="125"/>
      <c r="DJ858" s="16"/>
      <c r="DM858" s="16"/>
      <c r="DN858" s="16"/>
      <c r="DO858" s="125"/>
      <c r="DP858" s="16"/>
      <c r="DQ858" s="125"/>
      <c r="DZ858" s="125"/>
      <c r="EA858" s="142"/>
      <c r="EB858" s="125"/>
      <c r="EC858" s="16"/>
      <c r="ED858" s="125"/>
      <c r="EE858" s="125"/>
      <c r="EF858" s="16"/>
      <c r="EG858" s="125"/>
      <c r="EQ858" s="125"/>
      <c r="ER858" s="16"/>
      <c r="ES858" s="123"/>
      <c r="ET858" s="19"/>
      <c r="EU858" s="139"/>
      <c r="EV858" s="139"/>
      <c r="EW858" s="123"/>
      <c r="EX858" s="123"/>
      <c r="EY858" s="123"/>
      <c r="EZ858" s="123"/>
      <c r="FA858" s="123"/>
      <c r="FB858" s="123"/>
      <c r="FC858" s="6"/>
      <c r="FD858" s="123"/>
      <c r="FE858" s="6"/>
      <c r="FF858" s="123"/>
      <c r="FG858" s="6"/>
      <c r="FH858" s="6"/>
      <c r="FI858" s="6"/>
      <c r="FJ858" s="6"/>
      <c r="FK858" s="123"/>
      <c r="FL858" s="6"/>
      <c r="FM858" s="6"/>
      <c r="FN858" s="6"/>
      <c r="FO858" s="138"/>
      <c r="FP858" s="138"/>
      <c r="FQ858" s="123"/>
      <c r="FR858" s="6"/>
      <c r="FS858" s="6"/>
      <c r="FT858" s="139"/>
      <c r="FU858" s="139"/>
      <c r="FV858" s="76"/>
      <c r="FW858" s="123"/>
      <c r="FX858" s="6"/>
    </row>
    <row r="859" spans="35:180">
      <c r="AI859" s="125"/>
      <c r="AJ859" s="16"/>
      <c r="AM859" s="16"/>
      <c r="AN859" s="16"/>
      <c r="AO859" s="125"/>
      <c r="AP859" s="16"/>
      <c r="AQ859" s="125"/>
      <c r="AZ859" s="125"/>
      <c r="BA859" s="142"/>
      <c r="BB859" s="125"/>
      <c r="BC859" s="16"/>
      <c r="BD859" s="125"/>
      <c r="BE859" s="125"/>
      <c r="BF859" s="16"/>
      <c r="BG859" s="125"/>
      <c r="BQ859" s="125"/>
      <c r="BR859" s="16"/>
      <c r="BS859" s="123"/>
      <c r="BT859" s="19"/>
      <c r="BU859" s="139"/>
      <c r="BV859" s="139"/>
      <c r="BW859" s="123"/>
      <c r="BX859" s="123"/>
      <c r="BY859" s="123"/>
      <c r="BZ859" s="123"/>
      <c r="CA859" s="123"/>
      <c r="CB859" s="123"/>
      <c r="CC859" s="6"/>
      <c r="CD859" s="123"/>
      <c r="CE859" s="6"/>
      <c r="CF859" s="123"/>
      <c r="CG859" s="6"/>
      <c r="CH859" s="6"/>
      <c r="CI859" s="6"/>
      <c r="CJ859" s="6"/>
      <c r="CK859" s="123"/>
      <c r="CL859" s="6"/>
      <c r="CM859" s="6"/>
      <c r="CN859" s="6"/>
      <c r="CO859" s="138"/>
      <c r="CP859" s="138"/>
      <c r="CQ859" s="123"/>
      <c r="CR859" s="6"/>
      <c r="CS859" s="6"/>
      <c r="CT859" s="139"/>
      <c r="CU859" s="139"/>
      <c r="CV859" s="76"/>
      <c r="CW859" s="123"/>
      <c r="CX859" s="6"/>
      <c r="DI859" s="125"/>
      <c r="DJ859" s="16"/>
      <c r="DM859" s="16"/>
      <c r="DN859" s="16"/>
      <c r="DO859" s="125"/>
      <c r="DP859" s="16"/>
      <c r="DQ859" s="125"/>
      <c r="DZ859" s="125"/>
      <c r="EA859" s="142"/>
      <c r="EB859" s="125"/>
      <c r="EC859" s="16"/>
      <c r="ED859" s="125"/>
      <c r="EE859" s="125"/>
      <c r="EF859" s="16"/>
      <c r="EG859" s="125"/>
      <c r="EQ859" s="125"/>
      <c r="ER859" s="16"/>
      <c r="ES859" s="123"/>
      <c r="ET859" s="19"/>
      <c r="EU859" s="139"/>
      <c r="EV859" s="139"/>
      <c r="EW859" s="123"/>
      <c r="EX859" s="123"/>
      <c r="EY859" s="123"/>
      <c r="EZ859" s="123"/>
      <c r="FA859" s="123"/>
      <c r="FB859" s="123"/>
      <c r="FC859" s="6"/>
      <c r="FD859" s="123"/>
      <c r="FE859" s="6"/>
      <c r="FF859" s="123"/>
      <c r="FG859" s="6"/>
      <c r="FH859" s="6"/>
      <c r="FI859" s="6"/>
      <c r="FJ859" s="6"/>
      <c r="FK859" s="123"/>
      <c r="FL859" s="6"/>
      <c r="FM859" s="6"/>
      <c r="FN859" s="6"/>
      <c r="FO859" s="138"/>
      <c r="FP859" s="138"/>
      <c r="FQ859" s="123"/>
      <c r="FR859" s="6"/>
      <c r="FS859" s="6"/>
      <c r="FT859" s="139"/>
      <c r="FU859" s="139"/>
      <c r="FV859" s="76"/>
      <c r="FW859" s="123"/>
      <c r="FX859" s="6"/>
    </row>
    <row r="860" spans="35:180">
      <c r="AI860" s="125"/>
      <c r="AJ860" s="16"/>
      <c r="AM860" s="16"/>
      <c r="AN860" s="16"/>
      <c r="AO860" s="125"/>
      <c r="AP860" s="16"/>
      <c r="AQ860" s="125"/>
      <c r="AZ860" s="125"/>
      <c r="BA860" s="142"/>
      <c r="BB860" s="125"/>
      <c r="BC860" s="16"/>
      <c r="BD860" s="125"/>
      <c r="BE860" s="125"/>
      <c r="BF860" s="16"/>
      <c r="BG860" s="125"/>
      <c r="BQ860" s="125"/>
      <c r="BR860" s="16"/>
      <c r="BS860" s="123"/>
      <c r="BT860" s="19"/>
      <c r="BU860" s="139"/>
      <c r="BV860" s="139"/>
      <c r="BW860" s="123"/>
      <c r="BX860" s="123"/>
      <c r="BY860" s="123"/>
      <c r="BZ860" s="123"/>
      <c r="CA860" s="123"/>
      <c r="CB860" s="123"/>
      <c r="CC860" s="6"/>
      <c r="CD860" s="123"/>
      <c r="CE860" s="6"/>
      <c r="CF860" s="123"/>
      <c r="CG860" s="6"/>
      <c r="CH860" s="6"/>
      <c r="CI860" s="6"/>
      <c r="CJ860" s="6"/>
      <c r="CK860" s="123"/>
      <c r="CL860" s="6"/>
      <c r="CM860" s="6"/>
      <c r="CN860" s="6"/>
      <c r="CO860" s="138"/>
      <c r="CP860" s="138"/>
      <c r="CQ860" s="123"/>
      <c r="CR860" s="6"/>
      <c r="CS860" s="6"/>
      <c r="CT860" s="139"/>
      <c r="CU860" s="139"/>
      <c r="CV860" s="76"/>
      <c r="CW860" s="123"/>
      <c r="CX860" s="6"/>
      <c r="DI860" s="125"/>
      <c r="DJ860" s="16"/>
      <c r="DM860" s="16"/>
      <c r="DN860" s="16"/>
      <c r="DO860" s="125"/>
      <c r="DP860" s="16"/>
      <c r="DQ860" s="125"/>
      <c r="DZ860" s="125"/>
      <c r="EA860" s="142"/>
      <c r="EB860" s="125"/>
      <c r="EC860" s="16"/>
      <c r="ED860" s="125"/>
      <c r="EE860" s="125"/>
      <c r="EF860" s="16"/>
      <c r="EG860" s="125"/>
      <c r="EQ860" s="125"/>
      <c r="ER860" s="16"/>
      <c r="ES860" s="123"/>
      <c r="ET860" s="19"/>
      <c r="EU860" s="139"/>
      <c r="EV860" s="139"/>
      <c r="EW860" s="123"/>
      <c r="EX860" s="123"/>
      <c r="EY860" s="123"/>
      <c r="EZ860" s="123"/>
      <c r="FA860" s="123"/>
      <c r="FB860" s="123"/>
      <c r="FC860" s="6"/>
      <c r="FD860" s="123"/>
      <c r="FE860" s="6"/>
      <c r="FF860" s="123"/>
      <c r="FG860" s="6"/>
      <c r="FH860" s="6"/>
      <c r="FI860" s="6"/>
      <c r="FJ860" s="6"/>
      <c r="FK860" s="123"/>
      <c r="FL860" s="6"/>
      <c r="FM860" s="6"/>
      <c r="FN860" s="6"/>
      <c r="FO860" s="138"/>
      <c r="FP860" s="138"/>
      <c r="FQ860" s="123"/>
      <c r="FR860" s="6"/>
      <c r="FS860" s="6"/>
      <c r="FT860" s="139"/>
      <c r="FU860" s="139"/>
      <c r="FV860" s="76"/>
      <c r="FW860" s="123"/>
      <c r="FX860" s="6"/>
    </row>
    <row r="861" spans="35:180">
      <c r="AI861" s="125"/>
      <c r="AJ861" s="16"/>
      <c r="AM861" s="16"/>
      <c r="AN861" s="16"/>
      <c r="AO861" s="125"/>
      <c r="AP861" s="16"/>
      <c r="AQ861" s="125"/>
      <c r="AZ861" s="125"/>
      <c r="BA861" s="142"/>
      <c r="BB861" s="125"/>
      <c r="BC861" s="16"/>
      <c r="BD861" s="125"/>
      <c r="BE861" s="125"/>
      <c r="BF861" s="16"/>
      <c r="BG861" s="125"/>
      <c r="BQ861" s="125"/>
      <c r="BR861" s="16"/>
      <c r="BS861" s="123"/>
      <c r="BT861" s="19"/>
      <c r="BU861" s="139"/>
      <c r="BV861" s="139"/>
      <c r="BW861" s="123"/>
      <c r="BX861" s="123"/>
      <c r="BY861" s="123"/>
      <c r="BZ861" s="123"/>
      <c r="CA861" s="123"/>
      <c r="CB861" s="123"/>
      <c r="CC861" s="6"/>
      <c r="CD861" s="123"/>
      <c r="CE861" s="6"/>
      <c r="CF861" s="123"/>
      <c r="CG861" s="6"/>
      <c r="CH861" s="6"/>
      <c r="CI861" s="6"/>
      <c r="CJ861" s="6"/>
      <c r="CK861" s="123"/>
      <c r="CL861" s="6"/>
      <c r="CM861" s="6"/>
      <c r="CN861" s="6"/>
      <c r="CO861" s="138"/>
      <c r="CP861" s="138"/>
      <c r="CQ861" s="123"/>
      <c r="CR861" s="6"/>
      <c r="CS861" s="6"/>
      <c r="CT861" s="139"/>
      <c r="CU861" s="139"/>
      <c r="CV861" s="76"/>
      <c r="CW861" s="123"/>
      <c r="CX861" s="6"/>
      <c r="DI861" s="125"/>
      <c r="DJ861" s="16"/>
      <c r="DM861" s="16"/>
      <c r="DN861" s="16"/>
      <c r="DO861" s="125"/>
      <c r="DP861" s="16"/>
      <c r="DQ861" s="125"/>
      <c r="DZ861" s="125"/>
      <c r="EA861" s="142"/>
      <c r="EB861" s="125"/>
      <c r="EC861" s="16"/>
      <c r="ED861" s="125"/>
      <c r="EE861" s="125"/>
      <c r="EF861" s="16"/>
      <c r="EG861" s="125"/>
      <c r="EQ861" s="125"/>
      <c r="ER861" s="16"/>
      <c r="ES861" s="123"/>
      <c r="ET861" s="19"/>
      <c r="EU861" s="139"/>
      <c r="EV861" s="139"/>
      <c r="EW861" s="123"/>
      <c r="EX861" s="123"/>
      <c r="EY861" s="123"/>
      <c r="EZ861" s="123"/>
      <c r="FA861" s="123"/>
      <c r="FB861" s="123"/>
      <c r="FC861" s="6"/>
      <c r="FD861" s="123"/>
      <c r="FE861" s="6"/>
      <c r="FF861" s="123"/>
      <c r="FG861" s="6"/>
      <c r="FH861" s="6"/>
      <c r="FI861" s="6"/>
      <c r="FJ861" s="6"/>
      <c r="FK861" s="123"/>
      <c r="FL861" s="6"/>
      <c r="FM861" s="6"/>
      <c r="FN861" s="6"/>
      <c r="FO861" s="138"/>
      <c r="FP861" s="138"/>
      <c r="FQ861" s="123"/>
      <c r="FR861" s="6"/>
      <c r="FS861" s="6"/>
      <c r="FT861" s="139"/>
      <c r="FU861" s="139"/>
      <c r="FV861" s="76"/>
      <c r="FW861" s="123"/>
      <c r="FX861" s="6"/>
    </row>
    <row r="862" spans="35:180">
      <c r="AI862" s="125"/>
      <c r="AJ862" s="16"/>
      <c r="AM862" s="16"/>
      <c r="AN862" s="16"/>
      <c r="AO862" s="125"/>
      <c r="AP862" s="16"/>
      <c r="AQ862" s="125"/>
      <c r="AZ862" s="125"/>
      <c r="BA862" s="142"/>
      <c r="BB862" s="125"/>
      <c r="BC862" s="16"/>
      <c r="BD862" s="125"/>
      <c r="BE862" s="125"/>
      <c r="BF862" s="16"/>
      <c r="BG862" s="125"/>
      <c r="BQ862" s="125"/>
      <c r="BR862" s="16"/>
      <c r="BS862" s="123"/>
      <c r="BT862" s="19"/>
      <c r="BU862" s="139"/>
      <c r="BV862" s="139"/>
      <c r="BW862" s="123"/>
      <c r="BX862" s="123"/>
      <c r="BY862" s="123"/>
      <c r="BZ862" s="123"/>
      <c r="CA862" s="123"/>
      <c r="CB862" s="123"/>
      <c r="CC862" s="6"/>
      <c r="CD862" s="123"/>
      <c r="CE862" s="6"/>
      <c r="CF862" s="123"/>
      <c r="CG862" s="6"/>
      <c r="CH862" s="6"/>
      <c r="CI862" s="6"/>
      <c r="CJ862" s="6"/>
      <c r="CK862" s="123"/>
      <c r="CL862" s="6"/>
      <c r="CM862" s="6"/>
      <c r="CN862" s="6"/>
      <c r="CO862" s="138"/>
      <c r="CP862" s="138"/>
      <c r="CQ862" s="123"/>
      <c r="CR862" s="6"/>
      <c r="CS862" s="6"/>
      <c r="CT862" s="139"/>
      <c r="CU862" s="139"/>
      <c r="CV862" s="76"/>
      <c r="CW862" s="123"/>
      <c r="CX862" s="6"/>
      <c r="DI862" s="125"/>
      <c r="DJ862" s="16"/>
      <c r="DM862" s="16"/>
      <c r="DN862" s="16"/>
      <c r="DO862" s="125"/>
      <c r="DP862" s="16"/>
      <c r="DQ862" s="125"/>
      <c r="DZ862" s="125"/>
      <c r="EA862" s="142"/>
      <c r="EB862" s="125"/>
      <c r="EC862" s="16"/>
      <c r="ED862" s="125"/>
      <c r="EE862" s="125"/>
      <c r="EF862" s="16"/>
      <c r="EG862" s="125"/>
      <c r="EQ862" s="125"/>
      <c r="ER862" s="16"/>
      <c r="ES862" s="123"/>
      <c r="ET862" s="19"/>
      <c r="EU862" s="139"/>
      <c r="EV862" s="139"/>
      <c r="EW862" s="123"/>
      <c r="EX862" s="123"/>
      <c r="EY862" s="123"/>
      <c r="EZ862" s="123"/>
      <c r="FA862" s="123"/>
      <c r="FB862" s="123"/>
      <c r="FC862" s="6"/>
      <c r="FD862" s="123"/>
      <c r="FE862" s="6"/>
      <c r="FF862" s="123"/>
      <c r="FG862" s="6"/>
      <c r="FH862" s="6"/>
      <c r="FI862" s="6"/>
      <c r="FJ862" s="6"/>
      <c r="FK862" s="123"/>
      <c r="FL862" s="6"/>
      <c r="FM862" s="6"/>
      <c r="FN862" s="6"/>
      <c r="FO862" s="138"/>
      <c r="FP862" s="138"/>
      <c r="FQ862" s="123"/>
      <c r="FR862" s="6"/>
      <c r="FS862" s="6"/>
      <c r="FT862" s="139"/>
      <c r="FU862" s="139"/>
      <c r="FV862" s="76"/>
      <c r="FW862" s="123"/>
      <c r="FX862" s="6"/>
    </row>
    <row r="863" spans="35:180">
      <c r="AI863" s="125"/>
      <c r="AJ863" s="16"/>
      <c r="AM863" s="16"/>
      <c r="AN863" s="16"/>
      <c r="AO863" s="125"/>
      <c r="AP863" s="16"/>
      <c r="AQ863" s="125"/>
      <c r="AZ863" s="125"/>
      <c r="BA863" s="142"/>
      <c r="BB863" s="125"/>
      <c r="BC863" s="16"/>
      <c r="BD863" s="125"/>
      <c r="BE863" s="125"/>
      <c r="BF863" s="16"/>
      <c r="BG863" s="125"/>
      <c r="BQ863" s="125"/>
      <c r="BR863" s="16"/>
      <c r="BS863" s="123"/>
      <c r="BT863" s="19"/>
      <c r="BU863" s="139"/>
      <c r="BV863" s="139"/>
      <c r="BW863" s="123"/>
      <c r="BX863" s="123"/>
      <c r="BY863" s="123"/>
      <c r="BZ863" s="123"/>
      <c r="CA863" s="123"/>
      <c r="CB863" s="123"/>
      <c r="CC863" s="6"/>
      <c r="CD863" s="123"/>
      <c r="CE863" s="6"/>
      <c r="CF863" s="123"/>
      <c r="CG863" s="6"/>
      <c r="CH863" s="6"/>
      <c r="CI863" s="6"/>
      <c r="CJ863" s="6"/>
      <c r="CK863" s="123"/>
      <c r="CL863" s="6"/>
      <c r="CM863" s="6"/>
      <c r="CN863" s="6"/>
      <c r="CO863" s="138"/>
      <c r="CP863" s="138"/>
      <c r="CQ863" s="123"/>
      <c r="CR863" s="6"/>
      <c r="CS863" s="6"/>
      <c r="CT863" s="139"/>
      <c r="CU863" s="139"/>
      <c r="CV863" s="76"/>
      <c r="CW863" s="123"/>
      <c r="CX863" s="6"/>
      <c r="DI863" s="125"/>
      <c r="DJ863" s="16"/>
      <c r="DM863" s="16"/>
      <c r="DN863" s="16"/>
      <c r="DO863" s="125"/>
      <c r="DP863" s="16"/>
      <c r="DQ863" s="125"/>
      <c r="DZ863" s="125"/>
      <c r="EA863" s="142"/>
      <c r="EB863" s="125"/>
      <c r="EC863" s="16"/>
      <c r="ED863" s="125"/>
      <c r="EE863" s="125"/>
      <c r="EF863" s="16"/>
      <c r="EG863" s="125"/>
      <c r="EQ863" s="125"/>
      <c r="ER863" s="16"/>
      <c r="ES863" s="123"/>
      <c r="ET863" s="19"/>
      <c r="EU863" s="139"/>
      <c r="EV863" s="139"/>
      <c r="EW863" s="123"/>
      <c r="EX863" s="123"/>
      <c r="EY863" s="123"/>
      <c r="EZ863" s="123"/>
      <c r="FA863" s="123"/>
      <c r="FB863" s="123"/>
      <c r="FC863" s="6"/>
      <c r="FD863" s="123"/>
      <c r="FE863" s="6"/>
      <c r="FF863" s="123"/>
      <c r="FG863" s="6"/>
      <c r="FH863" s="6"/>
      <c r="FI863" s="6"/>
      <c r="FJ863" s="6"/>
      <c r="FK863" s="123"/>
      <c r="FL863" s="6"/>
      <c r="FM863" s="6"/>
      <c r="FN863" s="6"/>
      <c r="FO863" s="138"/>
      <c r="FP863" s="138"/>
      <c r="FQ863" s="123"/>
      <c r="FR863" s="6"/>
      <c r="FS863" s="6"/>
      <c r="FT863" s="139"/>
      <c r="FU863" s="139"/>
      <c r="FV863" s="76"/>
      <c r="FW863" s="123"/>
      <c r="FX863" s="6"/>
    </row>
    <row r="864" spans="35:180">
      <c r="AI864" s="125"/>
      <c r="AJ864" s="16"/>
      <c r="AM864" s="16"/>
      <c r="AN864" s="16"/>
      <c r="AO864" s="125"/>
      <c r="AP864" s="16"/>
      <c r="AQ864" s="125"/>
      <c r="AZ864" s="125"/>
      <c r="BA864" s="142"/>
      <c r="BB864" s="125"/>
      <c r="BC864" s="16"/>
      <c r="BD864" s="125"/>
      <c r="BE864" s="125"/>
      <c r="BF864" s="16"/>
      <c r="BG864" s="125"/>
      <c r="BQ864" s="125"/>
      <c r="BR864" s="16"/>
      <c r="BS864" s="123"/>
      <c r="BT864" s="19"/>
      <c r="BU864" s="139"/>
      <c r="BV864" s="139"/>
      <c r="BW864" s="123"/>
      <c r="BX864" s="123"/>
      <c r="BY864" s="123"/>
      <c r="BZ864" s="123"/>
      <c r="CA864" s="123"/>
      <c r="CB864" s="123"/>
      <c r="CC864" s="6"/>
      <c r="CD864" s="123"/>
      <c r="CE864" s="6"/>
      <c r="CF864" s="123"/>
      <c r="CG864" s="6"/>
      <c r="CH864" s="6"/>
      <c r="CI864" s="6"/>
      <c r="CJ864" s="6"/>
      <c r="CK864" s="123"/>
      <c r="CL864" s="6"/>
      <c r="CM864" s="6"/>
      <c r="CN864" s="6"/>
      <c r="CO864" s="138"/>
      <c r="CP864" s="138"/>
      <c r="CQ864" s="123"/>
      <c r="CR864" s="6"/>
      <c r="CS864" s="6"/>
      <c r="CT864" s="139"/>
      <c r="CU864" s="139"/>
      <c r="CV864" s="76"/>
      <c r="CW864" s="123"/>
      <c r="CX864" s="6"/>
      <c r="DI864" s="125"/>
      <c r="DJ864" s="16"/>
      <c r="DM864" s="16"/>
      <c r="DN864" s="16"/>
      <c r="DO864" s="125"/>
      <c r="DP864" s="16"/>
      <c r="DQ864" s="125"/>
      <c r="DZ864" s="125"/>
      <c r="EA864" s="142"/>
      <c r="EB864" s="125"/>
      <c r="EC864" s="16"/>
      <c r="ED864" s="125"/>
      <c r="EE864" s="125"/>
      <c r="EF864" s="16"/>
      <c r="EG864" s="125"/>
      <c r="EQ864" s="125"/>
      <c r="ER864" s="16"/>
      <c r="ES864" s="123"/>
      <c r="ET864" s="19"/>
      <c r="EU864" s="139"/>
      <c r="EV864" s="139"/>
      <c r="EW864" s="123"/>
      <c r="EX864" s="123"/>
      <c r="EY864" s="123"/>
      <c r="EZ864" s="123"/>
      <c r="FA864" s="123"/>
      <c r="FB864" s="123"/>
      <c r="FC864" s="6"/>
      <c r="FD864" s="123"/>
      <c r="FE864" s="6"/>
      <c r="FF864" s="123"/>
      <c r="FG864" s="6"/>
      <c r="FH864" s="6"/>
      <c r="FI864" s="6"/>
      <c r="FJ864" s="6"/>
      <c r="FK864" s="123"/>
      <c r="FL864" s="6"/>
      <c r="FM864" s="6"/>
      <c r="FN864" s="6"/>
      <c r="FO864" s="138"/>
      <c r="FP864" s="138"/>
      <c r="FQ864" s="123"/>
      <c r="FR864" s="6"/>
      <c r="FS864" s="6"/>
      <c r="FT864" s="139"/>
      <c r="FU864" s="139"/>
      <c r="FV864" s="76"/>
      <c r="FW864" s="123"/>
      <c r="FX864" s="6"/>
    </row>
    <row r="865" spans="35:180">
      <c r="AI865" s="125"/>
      <c r="AJ865" s="16"/>
      <c r="AM865" s="16"/>
      <c r="AN865" s="16"/>
      <c r="AO865" s="125"/>
      <c r="AP865" s="16"/>
      <c r="AQ865" s="125"/>
      <c r="AZ865" s="125"/>
      <c r="BA865" s="142"/>
      <c r="BB865" s="125"/>
      <c r="BC865" s="16"/>
      <c r="BD865" s="125"/>
      <c r="BE865" s="125"/>
      <c r="BF865" s="16"/>
      <c r="BG865" s="125"/>
      <c r="BQ865" s="125"/>
      <c r="BR865" s="16"/>
      <c r="BS865" s="123"/>
      <c r="BT865" s="19"/>
      <c r="BU865" s="139"/>
      <c r="BV865" s="139"/>
      <c r="BW865" s="123"/>
      <c r="BX865" s="123"/>
      <c r="BY865" s="123"/>
      <c r="BZ865" s="123"/>
      <c r="CA865" s="123"/>
      <c r="CB865" s="123"/>
      <c r="CC865" s="6"/>
      <c r="CD865" s="123"/>
      <c r="CE865" s="6"/>
      <c r="CF865" s="123"/>
      <c r="CG865" s="6"/>
      <c r="CH865" s="6"/>
      <c r="CI865" s="6"/>
      <c r="CJ865" s="6"/>
      <c r="CK865" s="123"/>
      <c r="CL865" s="6"/>
      <c r="CM865" s="6"/>
      <c r="CN865" s="6"/>
      <c r="CO865" s="138"/>
      <c r="CP865" s="138"/>
      <c r="CQ865" s="123"/>
      <c r="CR865" s="6"/>
      <c r="CS865" s="6"/>
      <c r="CT865" s="139"/>
      <c r="CU865" s="139"/>
      <c r="CV865" s="76"/>
      <c r="CW865" s="123"/>
      <c r="CX865" s="6"/>
      <c r="DI865" s="125"/>
      <c r="DJ865" s="16"/>
      <c r="DM865" s="16"/>
      <c r="DN865" s="16"/>
      <c r="DO865" s="125"/>
      <c r="DP865" s="16"/>
      <c r="DQ865" s="125"/>
      <c r="DZ865" s="125"/>
      <c r="EA865" s="142"/>
      <c r="EB865" s="125"/>
      <c r="EC865" s="16"/>
      <c r="ED865" s="125"/>
      <c r="EE865" s="125"/>
      <c r="EF865" s="16"/>
      <c r="EG865" s="125"/>
      <c r="EQ865" s="125"/>
      <c r="ER865" s="16"/>
      <c r="ES865" s="123"/>
      <c r="ET865" s="19"/>
      <c r="EU865" s="139"/>
      <c r="EV865" s="139"/>
      <c r="EW865" s="123"/>
      <c r="EX865" s="123"/>
      <c r="EY865" s="123"/>
      <c r="EZ865" s="123"/>
      <c r="FA865" s="123"/>
      <c r="FB865" s="123"/>
      <c r="FC865" s="6"/>
      <c r="FD865" s="123"/>
      <c r="FE865" s="6"/>
      <c r="FF865" s="123"/>
      <c r="FG865" s="6"/>
      <c r="FH865" s="6"/>
      <c r="FI865" s="6"/>
      <c r="FJ865" s="6"/>
      <c r="FK865" s="123"/>
      <c r="FL865" s="6"/>
      <c r="FM865" s="6"/>
      <c r="FN865" s="6"/>
      <c r="FO865" s="138"/>
      <c r="FP865" s="138"/>
      <c r="FQ865" s="123"/>
      <c r="FR865" s="6"/>
      <c r="FS865" s="6"/>
      <c r="FT865" s="139"/>
      <c r="FU865" s="139"/>
      <c r="FV865" s="76"/>
      <c r="FW865" s="123"/>
      <c r="FX865" s="6"/>
    </row>
    <row r="866" spans="35:180">
      <c r="AI866" s="125"/>
      <c r="AJ866" s="16"/>
      <c r="AM866" s="16"/>
      <c r="AN866" s="16"/>
      <c r="AO866" s="125"/>
      <c r="AP866" s="16"/>
      <c r="AQ866" s="125"/>
      <c r="AZ866" s="125"/>
      <c r="BA866" s="142"/>
      <c r="BB866" s="125"/>
      <c r="BC866" s="16"/>
      <c r="BD866" s="125"/>
      <c r="BE866" s="125"/>
      <c r="BF866" s="16"/>
      <c r="BG866" s="125"/>
      <c r="BQ866" s="125"/>
      <c r="BR866" s="16"/>
      <c r="BS866" s="123"/>
      <c r="BT866" s="19"/>
      <c r="BU866" s="139"/>
      <c r="BV866" s="139"/>
      <c r="BW866" s="123"/>
      <c r="BX866" s="123"/>
      <c r="BY866" s="123"/>
      <c r="BZ866" s="123"/>
      <c r="CA866" s="123"/>
      <c r="CB866" s="123"/>
      <c r="CC866" s="6"/>
      <c r="CD866" s="123"/>
      <c r="CE866" s="6"/>
      <c r="CF866" s="123"/>
      <c r="CG866" s="6"/>
      <c r="CH866" s="6"/>
      <c r="CI866" s="6"/>
      <c r="CJ866" s="6"/>
      <c r="CK866" s="123"/>
      <c r="CL866" s="6"/>
      <c r="CM866" s="6"/>
      <c r="CN866" s="6"/>
      <c r="CO866" s="138"/>
      <c r="CP866" s="138"/>
      <c r="CQ866" s="123"/>
      <c r="CR866" s="6"/>
      <c r="CS866" s="6"/>
      <c r="CT866" s="139"/>
      <c r="CU866" s="139"/>
      <c r="CV866" s="76"/>
      <c r="CW866" s="123"/>
      <c r="CX866" s="6"/>
      <c r="DI866" s="125"/>
      <c r="DJ866" s="16"/>
      <c r="DM866" s="16"/>
      <c r="DN866" s="16"/>
      <c r="DO866" s="125"/>
      <c r="DP866" s="16"/>
      <c r="DQ866" s="125"/>
      <c r="DZ866" s="125"/>
      <c r="EA866" s="142"/>
      <c r="EB866" s="125"/>
      <c r="EC866" s="16"/>
      <c r="ED866" s="125"/>
      <c r="EE866" s="125"/>
      <c r="EF866" s="16"/>
      <c r="EG866" s="125"/>
      <c r="EQ866" s="125"/>
      <c r="ER866" s="16"/>
      <c r="ES866" s="123"/>
      <c r="ET866" s="19"/>
      <c r="EU866" s="139"/>
      <c r="EV866" s="139"/>
      <c r="EW866" s="123"/>
      <c r="EX866" s="123"/>
      <c r="EY866" s="123"/>
      <c r="EZ866" s="123"/>
      <c r="FA866" s="123"/>
      <c r="FB866" s="123"/>
      <c r="FC866" s="6"/>
      <c r="FD866" s="123"/>
      <c r="FE866" s="6"/>
      <c r="FF866" s="123"/>
      <c r="FG866" s="6"/>
      <c r="FH866" s="6"/>
      <c r="FI866" s="6"/>
      <c r="FJ866" s="6"/>
      <c r="FK866" s="123"/>
      <c r="FL866" s="6"/>
      <c r="FM866" s="6"/>
      <c r="FN866" s="6"/>
      <c r="FO866" s="138"/>
      <c r="FP866" s="138"/>
      <c r="FQ866" s="123"/>
      <c r="FR866" s="6"/>
      <c r="FS866" s="6"/>
      <c r="FT866" s="139"/>
      <c r="FU866" s="139"/>
      <c r="FV866" s="76"/>
      <c r="FW866" s="123"/>
      <c r="FX866" s="6"/>
    </row>
    <row r="867" spans="35:180">
      <c r="AI867" s="125"/>
      <c r="AJ867" s="16"/>
      <c r="AM867" s="16"/>
      <c r="AN867" s="16"/>
      <c r="AO867" s="125"/>
      <c r="AP867" s="16"/>
      <c r="AQ867" s="125"/>
      <c r="AZ867" s="125"/>
      <c r="BA867" s="142"/>
      <c r="BB867" s="125"/>
      <c r="BC867" s="16"/>
      <c r="BD867" s="125"/>
      <c r="BE867" s="125"/>
      <c r="BF867" s="16"/>
      <c r="BG867" s="125"/>
      <c r="BQ867" s="125"/>
      <c r="BR867" s="16"/>
      <c r="BS867" s="123"/>
      <c r="BT867" s="19"/>
      <c r="BU867" s="139"/>
      <c r="BV867" s="139"/>
      <c r="BW867" s="123"/>
      <c r="BX867" s="123"/>
      <c r="BY867" s="123"/>
      <c r="BZ867" s="123"/>
      <c r="CA867" s="123"/>
      <c r="CB867" s="123"/>
      <c r="CC867" s="6"/>
      <c r="CD867" s="123"/>
      <c r="CE867" s="6"/>
      <c r="CF867" s="123"/>
      <c r="CG867" s="6"/>
      <c r="CH867" s="6"/>
      <c r="CI867" s="6"/>
      <c r="CJ867" s="6"/>
      <c r="CK867" s="123"/>
      <c r="CL867" s="6"/>
      <c r="CM867" s="6"/>
      <c r="CN867" s="6"/>
      <c r="CO867" s="138"/>
      <c r="CP867" s="138"/>
      <c r="CQ867" s="123"/>
      <c r="CR867" s="6"/>
      <c r="CS867" s="6"/>
      <c r="CT867" s="139"/>
      <c r="CU867" s="139"/>
      <c r="CV867" s="76"/>
      <c r="CW867" s="123"/>
      <c r="CX867" s="6"/>
      <c r="DI867" s="125"/>
      <c r="DJ867" s="16"/>
      <c r="DM867" s="16"/>
      <c r="DN867" s="16"/>
      <c r="DO867" s="125"/>
      <c r="DP867" s="16"/>
      <c r="DQ867" s="125"/>
      <c r="DZ867" s="125"/>
      <c r="EA867" s="142"/>
      <c r="EB867" s="125"/>
      <c r="EC867" s="16"/>
      <c r="ED867" s="125"/>
      <c r="EE867" s="125"/>
      <c r="EF867" s="16"/>
      <c r="EG867" s="125"/>
      <c r="EQ867" s="125"/>
      <c r="ER867" s="16"/>
      <c r="ES867" s="123"/>
      <c r="ET867" s="19"/>
      <c r="EU867" s="139"/>
      <c r="EV867" s="139"/>
      <c r="EW867" s="123"/>
      <c r="EX867" s="123"/>
      <c r="EY867" s="123"/>
      <c r="EZ867" s="123"/>
      <c r="FA867" s="123"/>
      <c r="FB867" s="123"/>
      <c r="FC867" s="6"/>
      <c r="FD867" s="123"/>
      <c r="FE867" s="6"/>
      <c r="FF867" s="123"/>
      <c r="FG867" s="6"/>
      <c r="FH867" s="6"/>
      <c r="FI867" s="6"/>
      <c r="FJ867" s="6"/>
      <c r="FK867" s="123"/>
      <c r="FL867" s="6"/>
      <c r="FM867" s="6"/>
      <c r="FN867" s="6"/>
      <c r="FO867" s="138"/>
      <c r="FP867" s="138"/>
      <c r="FQ867" s="123"/>
      <c r="FR867" s="6"/>
      <c r="FS867" s="6"/>
      <c r="FT867" s="139"/>
      <c r="FU867" s="139"/>
      <c r="FV867" s="76"/>
      <c r="FW867" s="123"/>
      <c r="FX867" s="6"/>
    </row>
    <row r="868" spans="35:180">
      <c r="AI868" s="125"/>
      <c r="AJ868" s="16"/>
      <c r="AM868" s="16"/>
      <c r="AN868" s="16"/>
      <c r="AO868" s="125"/>
      <c r="AP868" s="16"/>
      <c r="AQ868" s="125"/>
      <c r="AZ868" s="125"/>
      <c r="BA868" s="142"/>
      <c r="BB868" s="125"/>
      <c r="BC868" s="16"/>
      <c r="BD868" s="125"/>
      <c r="BE868" s="125"/>
      <c r="BF868" s="16"/>
      <c r="BG868" s="125"/>
      <c r="BQ868" s="125"/>
      <c r="BR868" s="16"/>
      <c r="BS868" s="123"/>
      <c r="BT868" s="19"/>
      <c r="BU868" s="139"/>
      <c r="BV868" s="139"/>
      <c r="BW868" s="123"/>
      <c r="BX868" s="123"/>
      <c r="BY868" s="123"/>
      <c r="BZ868" s="123"/>
      <c r="CA868" s="123"/>
      <c r="CB868" s="123"/>
      <c r="CC868" s="6"/>
      <c r="CD868" s="123"/>
      <c r="CE868" s="6"/>
      <c r="CF868" s="123"/>
      <c r="CG868" s="6"/>
      <c r="CH868" s="6"/>
      <c r="CI868" s="6"/>
      <c r="CJ868" s="6"/>
      <c r="CK868" s="123"/>
      <c r="CL868" s="6"/>
      <c r="CM868" s="6"/>
      <c r="CN868" s="6"/>
      <c r="CO868" s="138"/>
      <c r="CP868" s="138"/>
      <c r="CQ868" s="123"/>
      <c r="CR868" s="6"/>
      <c r="CS868" s="6"/>
      <c r="CT868" s="139"/>
      <c r="CU868" s="139"/>
      <c r="CV868" s="76"/>
      <c r="CW868" s="123"/>
      <c r="CX868" s="6"/>
      <c r="DI868" s="125"/>
      <c r="DJ868" s="16"/>
      <c r="DM868" s="16"/>
      <c r="DN868" s="16"/>
      <c r="DO868" s="125"/>
      <c r="DP868" s="16"/>
      <c r="DQ868" s="125"/>
      <c r="DZ868" s="125"/>
      <c r="EA868" s="142"/>
      <c r="EB868" s="125"/>
      <c r="EC868" s="16"/>
      <c r="ED868" s="125"/>
      <c r="EE868" s="125"/>
      <c r="EF868" s="16"/>
      <c r="EG868" s="125"/>
      <c r="EQ868" s="125"/>
      <c r="ER868" s="16"/>
      <c r="ES868" s="123"/>
      <c r="ET868" s="19"/>
      <c r="EU868" s="139"/>
      <c r="EV868" s="139"/>
      <c r="EW868" s="123"/>
      <c r="EX868" s="123"/>
      <c r="EY868" s="123"/>
      <c r="EZ868" s="123"/>
      <c r="FA868" s="123"/>
      <c r="FB868" s="123"/>
      <c r="FC868" s="6"/>
      <c r="FD868" s="123"/>
      <c r="FE868" s="6"/>
      <c r="FF868" s="123"/>
      <c r="FG868" s="6"/>
      <c r="FH868" s="6"/>
      <c r="FI868" s="6"/>
      <c r="FJ868" s="6"/>
      <c r="FK868" s="123"/>
      <c r="FL868" s="6"/>
      <c r="FM868" s="6"/>
      <c r="FN868" s="6"/>
      <c r="FO868" s="138"/>
      <c r="FP868" s="138"/>
      <c r="FQ868" s="123"/>
      <c r="FR868" s="6"/>
      <c r="FS868" s="6"/>
      <c r="FT868" s="139"/>
      <c r="FU868" s="139"/>
      <c r="FV868" s="76"/>
      <c r="FW868" s="123"/>
      <c r="FX868" s="6"/>
    </row>
    <row r="869" spans="35:180">
      <c r="AI869" s="125"/>
      <c r="AJ869" s="16"/>
      <c r="AM869" s="16"/>
      <c r="AN869" s="16"/>
      <c r="AO869" s="125"/>
      <c r="AP869" s="16"/>
      <c r="AQ869" s="125"/>
      <c r="AZ869" s="125"/>
      <c r="BA869" s="142"/>
      <c r="BB869" s="125"/>
      <c r="BC869" s="16"/>
      <c r="BD869" s="125"/>
      <c r="BE869" s="125"/>
      <c r="BF869" s="16"/>
      <c r="BG869" s="125"/>
      <c r="BQ869" s="125"/>
      <c r="BR869" s="16"/>
      <c r="BS869" s="123"/>
      <c r="BT869" s="19"/>
      <c r="BU869" s="139"/>
      <c r="BV869" s="139"/>
      <c r="BW869" s="123"/>
      <c r="BX869" s="123"/>
      <c r="BY869" s="123"/>
      <c r="BZ869" s="123"/>
      <c r="CA869" s="123"/>
      <c r="CB869" s="123"/>
      <c r="CC869" s="6"/>
      <c r="CD869" s="123"/>
      <c r="CE869" s="6"/>
      <c r="CF869" s="123"/>
      <c r="CG869" s="6"/>
      <c r="CH869" s="6"/>
      <c r="CI869" s="6"/>
      <c r="CJ869" s="6"/>
      <c r="CK869" s="123"/>
      <c r="CL869" s="6"/>
      <c r="CM869" s="6"/>
      <c r="CN869" s="6"/>
      <c r="CO869" s="138"/>
      <c r="CP869" s="138"/>
      <c r="CQ869" s="123"/>
      <c r="CR869" s="6"/>
      <c r="CS869" s="6"/>
      <c r="CT869" s="139"/>
      <c r="CU869" s="139"/>
      <c r="CV869" s="76"/>
      <c r="CW869" s="123"/>
      <c r="CX869" s="6"/>
      <c r="DI869" s="125"/>
      <c r="DJ869" s="16"/>
      <c r="DM869" s="16"/>
      <c r="DN869" s="16"/>
      <c r="DO869" s="125"/>
      <c r="DP869" s="16"/>
      <c r="DQ869" s="125"/>
      <c r="DZ869" s="125"/>
      <c r="EA869" s="142"/>
      <c r="EB869" s="125"/>
      <c r="EC869" s="16"/>
      <c r="ED869" s="125"/>
      <c r="EE869" s="125"/>
      <c r="EF869" s="16"/>
      <c r="EG869" s="125"/>
      <c r="EQ869" s="125"/>
      <c r="ER869" s="16"/>
      <c r="ES869" s="123"/>
      <c r="ET869" s="19"/>
      <c r="EU869" s="139"/>
      <c r="EV869" s="139"/>
      <c r="EW869" s="123"/>
      <c r="EX869" s="123"/>
      <c r="EY869" s="123"/>
      <c r="EZ869" s="123"/>
      <c r="FA869" s="123"/>
      <c r="FB869" s="123"/>
      <c r="FC869" s="6"/>
      <c r="FD869" s="123"/>
      <c r="FE869" s="6"/>
      <c r="FF869" s="123"/>
      <c r="FG869" s="6"/>
      <c r="FH869" s="6"/>
      <c r="FI869" s="6"/>
      <c r="FJ869" s="6"/>
      <c r="FK869" s="123"/>
      <c r="FL869" s="6"/>
      <c r="FM869" s="6"/>
      <c r="FN869" s="6"/>
      <c r="FO869" s="138"/>
      <c r="FP869" s="138"/>
      <c r="FQ869" s="123"/>
      <c r="FR869" s="6"/>
      <c r="FS869" s="6"/>
      <c r="FT869" s="139"/>
      <c r="FU869" s="139"/>
      <c r="FV869" s="76"/>
      <c r="FW869" s="123"/>
      <c r="FX869" s="6"/>
    </row>
    <row r="870" spans="35:180">
      <c r="AI870" s="125"/>
      <c r="AJ870" s="16"/>
      <c r="AM870" s="16"/>
      <c r="AN870" s="16"/>
      <c r="AO870" s="125"/>
      <c r="AP870" s="16"/>
      <c r="AQ870" s="125"/>
      <c r="AZ870" s="125"/>
      <c r="BA870" s="142"/>
      <c r="BB870" s="125"/>
      <c r="BC870" s="16"/>
      <c r="BD870" s="125"/>
      <c r="BE870" s="125"/>
      <c r="BF870" s="16"/>
      <c r="BG870" s="125"/>
      <c r="BQ870" s="125"/>
      <c r="BR870" s="16"/>
      <c r="BS870" s="123"/>
      <c r="BT870" s="19"/>
      <c r="BU870" s="139"/>
      <c r="BV870" s="139"/>
      <c r="BW870" s="123"/>
      <c r="BX870" s="123"/>
      <c r="BY870" s="123"/>
      <c r="BZ870" s="123"/>
      <c r="CA870" s="123"/>
      <c r="CB870" s="123"/>
      <c r="CC870" s="6"/>
      <c r="CD870" s="123"/>
      <c r="CE870" s="6"/>
      <c r="CF870" s="123"/>
      <c r="CG870" s="6"/>
      <c r="CH870" s="6"/>
      <c r="CI870" s="6"/>
      <c r="CJ870" s="6"/>
      <c r="CK870" s="123"/>
      <c r="CL870" s="6"/>
      <c r="CM870" s="6"/>
      <c r="CN870" s="6"/>
      <c r="CO870" s="138"/>
      <c r="CP870" s="138"/>
      <c r="CQ870" s="123"/>
      <c r="CR870" s="6"/>
      <c r="CS870" s="6"/>
      <c r="CT870" s="139"/>
      <c r="CU870" s="139"/>
      <c r="CV870" s="76"/>
      <c r="CW870" s="123"/>
      <c r="CX870" s="6"/>
      <c r="DI870" s="125"/>
      <c r="DJ870" s="16"/>
      <c r="DM870" s="16"/>
      <c r="DN870" s="16"/>
      <c r="DO870" s="125"/>
      <c r="DP870" s="16"/>
      <c r="DQ870" s="125"/>
      <c r="DZ870" s="125"/>
      <c r="EA870" s="142"/>
      <c r="EB870" s="125"/>
      <c r="EC870" s="16"/>
      <c r="ED870" s="125"/>
      <c r="EE870" s="125"/>
      <c r="EF870" s="16"/>
      <c r="EG870" s="125"/>
      <c r="EQ870" s="125"/>
      <c r="ER870" s="16"/>
      <c r="ES870" s="123"/>
      <c r="ET870" s="19"/>
      <c r="EU870" s="139"/>
      <c r="EV870" s="139"/>
      <c r="EW870" s="123"/>
      <c r="EX870" s="123"/>
      <c r="EY870" s="123"/>
      <c r="EZ870" s="123"/>
      <c r="FA870" s="123"/>
      <c r="FB870" s="123"/>
      <c r="FC870" s="6"/>
      <c r="FD870" s="123"/>
      <c r="FE870" s="6"/>
      <c r="FF870" s="123"/>
      <c r="FG870" s="6"/>
      <c r="FH870" s="6"/>
      <c r="FI870" s="6"/>
      <c r="FJ870" s="6"/>
      <c r="FK870" s="123"/>
      <c r="FL870" s="6"/>
      <c r="FM870" s="6"/>
      <c r="FN870" s="6"/>
      <c r="FO870" s="138"/>
      <c r="FP870" s="138"/>
      <c r="FQ870" s="123"/>
      <c r="FR870" s="6"/>
      <c r="FS870" s="6"/>
      <c r="FT870" s="139"/>
      <c r="FU870" s="139"/>
      <c r="FV870" s="76"/>
      <c r="FW870" s="123"/>
      <c r="FX870" s="6"/>
    </row>
    <row r="871" spans="35:180">
      <c r="AI871" s="125"/>
      <c r="AJ871" s="16"/>
      <c r="AM871" s="16"/>
      <c r="AN871" s="16"/>
      <c r="AO871" s="125"/>
      <c r="AP871" s="16"/>
      <c r="AQ871" s="125"/>
      <c r="AZ871" s="125"/>
      <c r="BA871" s="142"/>
      <c r="BB871" s="125"/>
      <c r="BC871" s="16"/>
      <c r="BD871" s="125"/>
      <c r="BE871" s="125"/>
      <c r="BF871" s="16"/>
      <c r="BG871" s="125"/>
      <c r="BQ871" s="125"/>
      <c r="BR871" s="16"/>
      <c r="BS871" s="123"/>
      <c r="BT871" s="19"/>
      <c r="BU871" s="139"/>
      <c r="BV871" s="139"/>
      <c r="BW871" s="123"/>
      <c r="BX871" s="123"/>
      <c r="BY871" s="123"/>
      <c r="BZ871" s="123"/>
      <c r="CA871" s="123"/>
      <c r="CB871" s="123"/>
      <c r="CC871" s="6"/>
      <c r="CD871" s="123"/>
      <c r="CE871" s="6"/>
      <c r="CF871" s="123"/>
      <c r="CG871" s="6"/>
      <c r="CH871" s="6"/>
      <c r="CI871" s="6"/>
      <c r="CJ871" s="6"/>
      <c r="CK871" s="123"/>
      <c r="CL871" s="6"/>
      <c r="CM871" s="6"/>
      <c r="CN871" s="6"/>
      <c r="CO871" s="138"/>
      <c r="CP871" s="138"/>
      <c r="CQ871" s="123"/>
      <c r="CR871" s="6"/>
      <c r="CS871" s="6"/>
      <c r="CT871" s="139"/>
      <c r="CU871" s="139"/>
      <c r="CV871" s="76"/>
      <c r="CW871" s="123"/>
      <c r="CX871" s="6"/>
      <c r="DI871" s="125"/>
      <c r="DJ871" s="16"/>
      <c r="DM871" s="16"/>
      <c r="DN871" s="16"/>
      <c r="DO871" s="125"/>
      <c r="DP871" s="16"/>
      <c r="DQ871" s="125"/>
      <c r="DZ871" s="125"/>
      <c r="EA871" s="142"/>
      <c r="EB871" s="125"/>
      <c r="EC871" s="16"/>
      <c r="ED871" s="125"/>
      <c r="EE871" s="125"/>
      <c r="EF871" s="16"/>
      <c r="EG871" s="125"/>
      <c r="EQ871" s="125"/>
      <c r="ER871" s="16"/>
      <c r="ES871" s="123"/>
      <c r="ET871" s="19"/>
      <c r="EU871" s="139"/>
      <c r="EV871" s="139"/>
      <c r="EW871" s="123"/>
      <c r="EX871" s="123"/>
      <c r="EY871" s="123"/>
      <c r="EZ871" s="123"/>
      <c r="FA871" s="123"/>
      <c r="FB871" s="123"/>
      <c r="FC871" s="6"/>
      <c r="FD871" s="123"/>
      <c r="FE871" s="6"/>
      <c r="FF871" s="123"/>
      <c r="FG871" s="6"/>
      <c r="FH871" s="6"/>
      <c r="FI871" s="6"/>
      <c r="FJ871" s="6"/>
      <c r="FK871" s="123"/>
      <c r="FL871" s="6"/>
      <c r="FM871" s="6"/>
      <c r="FN871" s="6"/>
      <c r="FO871" s="138"/>
      <c r="FP871" s="138"/>
      <c r="FQ871" s="123"/>
      <c r="FR871" s="6"/>
      <c r="FS871" s="6"/>
      <c r="FT871" s="139"/>
      <c r="FU871" s="139"/>
      <c r="FV871" s="76"/>
      <c r="FW871" s="123"/>
      <c r="FX871" s="6"/>
    </row>
    <row r="872" spans="35:180">
      <c r="AI872" s="125"/>
      <c r="AJ872" s="16"/>
      <c r="AM872" s="16"/>
      <c r="AN872" s="16"/>
      <c r="AO872" s="125"/>
      <c r="AP872" s="16"/>
      <c r="AQ872" s="125"/>
      <c r="AZ872" s="125"/>
      <c r="BA872" s="142"/>
      <c r="BB872" s="125"/>
      <c r="BC872" s="16"/>
      <c r="BD872" s="125"/>
      <c r="BE872" s="125"/>
      <c r="BF872" s="16"/>
      <c r="BG872" s="125"/>
      <c r="BQ872" s="125"/>
      <c r="BR872" s="16"/>
      <c r="BS872" s="123"/>
      <c r="BT872" s="19"/>
      <c r="BU872" s="139"/>
      <c r="BV872" s="139"/>
      <c r="BW872" s="123"/>
      <c r="BX872" s="123"/>
      <c r="BY872" s="123"/>
      <c r="BZ872" s="123"/>
      <c r="CA872" s="123"/>
      <c r="CB872" s="123"/>
      <c r="CC872" s="6"/>
      <c r="CD872" s="123"/>
      <c r="CE872" s="6"/>
      <c r="CF872" s="123"/>
      <c r="CG872" s="6"/>
      <c r="CH872" s="6"/>
      <c r="CI872" s="6"/>
      <c r="CJ872" s="6"/>
      <c r="CK872" s="123"/>
      <c r="CL872" s="6"/>
      <c r="CM872" s="6"/>
      <c r="CN872" s="6"/>
      <c r="CO872" s="138"/>
      <c r="CP872" s="138"/>
      <c r="CQ872" s="123"/>
      <c r="CR872" s="6"/>
      <c r="CS872" s="6"/>
      <c r="CT872" s="139"/>
      <c r="CU872" s="139"/>
      <c r="CV872" s="76"/>
      <c r="CW872" s="123"/>
      <c r="CX872" s="6"/>
      <c r="DI872" s="125"/>
      <c r="DJ872" s="16"/>
      <c r="DM872" s="16"/>
      <c r="DN872" s="16"/>
      <c r="DO872" s="125"/>
      <c r="DP872" s="16"/>
      <c r="DQ872" s="125"/>
      <c r="DZ872" s="125"/>
      <c r="EA872" s="142"/>
      <c r="EB872" s="125"/>
      <c r="EC872" s="16"/>
      <c r="ED872" s="125"/>
      <c r="EE872" s="125"/>
      <c r="EF872" s="16"/>
      <c r="EG872" s="125"/>
      <c r="EQ872" s="125"/>
      <c r="ER872" s="16"/>
      <c r="ES872" s="123"/>
      <c r="ET872" s="19"/>
      <c r="EU872" s="139"/>
      <c r="EV872" s="139"/>
      <c r="EW872" s="123"/>
      <c r="EX872" s="123"/>
      <c r="EY872" s="123"/>
      <c r="EZ872" s="123"/>
      <c r="FA872" s="123"/>
      <c r="FB872" s="123"/>
      <c r="FC872" s="6"/>
      <c r="FD872" s="123"/>
      <c r="FE872" s="6"/>
      <c r="FF872" s="123"/>
      <c r="FG872" s="6"/>
      <c r="FH872" s="6"/>
      <c r="FI872" s="6"/>
      <c r="FJ872" s="6"/>
      <c r="FK872" s="123"/>
      <c r="FL872" s="6"/>
      <c r="FM872" s="6"/>
      <c r="FN872" s="6"/>
      <c r="FO872" s="138"/>
      <c r="FP872" s="138"/>
      <c r="FQ872" s="123"/>
      <c r="FR872" s="6"/>
      <c r="FS872" s="6"/>
      <c r="FT872" s="139"/>
      <c r="FU872" s="139"/>
      <c r="FV872" s="76"/>
      <c r="FW872" s="123"/>
      <c r="FX872" s="6"/>
    </row>
    <row r="873" spans="35:180">
      <c r="AI873" s="125"/>
      <c r="AJ873" s="16"/>
      <c r="AM873" s="16"/>
      <c r="AN873" s="16"/>
      <c r="AO873" s="125"/>
      <c r="AP873" s="16"/>
      <c r="AQ873" s="125"/>
      <c r="AZ873" s="125"/>
      <c r="BA873" s="142"/>
      <c r="BB873" s="125"/>
      <c r="BC873" s="16"/>
      <c r="BD873" s="125"/>
      <c r="BE873" s="125"/>
      <c r="BF873" s="16"/>
      <c r="BG873" s="125"/>
      <c r="BQ873" s="125"/>
      <c r="BR873" s="16"/>
      <c r="BS873" s="123"/>
      <c r="BT873" s="19"/>
      <c r="BU873" s="139"/>
      <c r="BV873" s="139"/>
      <c r="BW873" s="123"/>
      <c r="BX873" s="123"/>
      <c r="BY873" s="123"/>
      <c r="BZ873" s="123"/>
      <c r="CA873" s="123"/>
      <c r="CB873" s="123"/>
      <c r="CC873" s="6"/>
      <c r="CD873" s="123"/>
      <c r="CE873" s="6"/>
      <c r="CF873" s="123"/>
      <c r="CG873" s="6"/>
      <c r="CH873" s="6"/>
      <c r="CI873" s="6"/>
      <c r="CJ873" s="6"/>
      <c r="CK873" s="123"/>
      <c r="CL873" s="6"/>
      <c r="CM873" s="6"/>
      <c r="CN873" s="6"/>
      <c r="CO873" s="138"/>
      <c r="CP873" s="138"/>
      <c r="CQ873" s="123"/>
      <c r="CR873" s="6"/>
      <c r="CS873" s="6"/>
      <c r="CT873" s="139"/>
      <c r="CU873" s="139"/>
      <c r="CV873" s="76"/>
      <c r="CW873" s="123"/>
      <c r="CX873" s="6"/>
      <c r="DI873" s="125"/>
      <c r="DJ873" s="16"/>
      <c r="DM873" s="16"/>
      <c r="DN873" s="16"/>
      <c r="DO873" s="125"/>
      <c r="DP873" s="16"/>
      <c r="DQ873" s="125"/>
      <c r="DZ873" s="125"/>
      <c r="EA873" s="142"/>
      <c r="EB873" s="125"/>
      <c r="EC873" s="16"/>
      <c r="ED873" s="125"/>
      <c r="EE873" s="125"/>
      <c r="EF873" s="16"/>
      <c r="EG873" s="125"/>
      <c r="EQ873" s="125"/>
      <c r="ER873" s="16"/>
      <c r="ES873" s="123"/>
      <c r="ET873" s="19"/>
      <c r="EU873" s="139"/>
      <c r="EV873" s="139"/>
      <c r="EW873" s="123"/>
      <c r="EX873" s="123"/>
      <c r="EY873" s="123"/>
      <c r="EZ873" s="123"/>
      <c r="FA873" s="123"/>
      <c r="FB873" s="123"/>
      <c r="FC873" s="6"/>
      <c r="FD873" s="123"/>
      <c r="FE873" s="6"/>
      <c r="FF873" s="123"/>
      <c r="FG873" s="6"/>
      <c r="FH873" s="6"/>
      <c r="FI873" s="6"/>
      <c r="FJ873" s="6"/>
      <c r="FK873" s="123"/>
      <c r="FL873" s="6"/>
      <c r="FM873" s="6"/>
      <c r="FN873" s="6"/>
      <c r="FO873" s="138"/>
      <c r="FP873" s="138"/>
      <c r="FQ873" s="123"/>
      <c r="FR873" s="6"/>
      <c r="FS873" s="6"/>
      <c r="FT873" s="139"/>
      <c r="FU873" s="139"/>
      <c r="FV873" s="76"/>
      <c r="FW873" s="123"/>
      <c r="FX873" s="6"/>
    </row>
    <row r="874" spans="35:180">
      <c r="AI874" s="125"/>
      <c r="AJ874" s="16"/>
      <c r="AM874" s="16"/>
      <c r="AN874" s="16"/>
      <c r="AO874" s="125"/>
      <c r="AP874" s="16"/>
      <c r="AQ874" s="125"/>
      <c r="AZ874" s="125"/>
      <c r="BA874" s="142"/>
      <c r="BB874" s="125"/>
      <c r="BC874" s="16"/>
      <c r="BD874" s="125"/>
      <c r="BE874" s="125"/>
      <c r="BF874" s="16"/>
      <c r="BG874" s="125"/>
      <c r="BQ874" s="125"/>
      <c r="BR874" s="16"/>
      <c r="BS874" s="123"/>
      <c r="BT874" s="19"/>
      <c r="BU874" s="139"/>
      <c r="BV874" s="139"/>
      <c r="BW874" s="123"/>
      <c r="BX874" s="123"/>
      <c r="BY874" s="123"/>
      <c r="BZ874" s="123"/>
      <c r="CA874" s="123"/>
      <c r="CB874" s="123"/>
      <c r="CC874" s="6"/>
      <c r="CD874" s="123"/>
      <c r="CE874" s="6"/>
      <c r="CF874" s="123"/>
      <c r="CG874" s="6"/>
      <c r="CH874" s="6"/>
      <c r="CI874" s="6"/>
      <c r="CJ874" s="6"/>
      <c r="CK874" s="123"/>
      <c r="CL874" s="6"/>
      <c r="CM874" s="6"/>
      <c r="CN874" s="6"/>
      <c r="CO874" s="138"/>
      <c r="CP874" s="138"/>
      <c r="CQ874" s="123"/>
      <c r="CR874" s="6"/>
      <c r="CS874" s="6"/>
      <c r="CT874" s="139"/>
      <c r="CU874" s="139"/>
      <c r="CV874" s="76"/>
      <c r="CW874" s="123"/>
      <c r="CX874" s="6"/>
      <c r="DI874" s="125"/>
      <c r="DJ874" s="16"/>
      <c r="DM874" s="16"/>
      <c r="DN874" s="16"/>
      <c r="DO874" s="125"/>
      <c r="DP874" s="16"/>
      <c r="DQ874" s="125"/>
      <c r="DZ874" s="125"/>
      <c r="EA874" s="142"/>
      <c r="EB874" s="125"/>
      <c r="EC874" s="16"/>
      <c r="ED874" s="125"/>
      <c r="EE874" s="125"/>
      <c r="EF874" s="16"/>
      <c r="EG874" s="125"/>
      <c r="EQ874" s="125"/>
      <c r="ER874" s="16"/>
      <c r="ES874" s="123"/>
      <c r="ET874" s="19"/>
      <c r="EU874" s="139"/>
      <c r="EV874" s="139"/>
      <c r="EW874" s="123"/>
      <c r="EX874" s="123"/>
      <c r="EY874" s="123"/>
      <c r="EZ874" s="123"/>
      <c r="FA874" s="123"/>
      <c r="FB874" s="123"/>
      <c r="FC874" s="6"/>
      <c r="FD874" s="123"/>
      <c r="FE874" s="6"/>
      <c r="FF874" s="123"/>
      <c r="FG874" s="6"/>
      <c r="FH874" s="6"/>
      <c r="FI874" s="6"/>
      <c r="FJ874" s="6"/>
      <c r="FK874" s="123"/>
      <c r="FL874" s="6"/>
      <c r="FM874" s="6"/>
      <c r="FN874" s="6"/>
      <c r="FO874" s="138"/>
      <c r="FP874" s="138"/>
      <c r="FQ874" s="123"/>
      <c r="FR874" s="6"/>
      <c r="FS874" s="6"/>
      <c r="FT874" s="139"/>
      <c r="FU874" s="139"/>
      <c r="FV874" s="76"/>
      <c r="FW874" s="123"/>
      <c r="FX874" s="6"/>
    </row>
    <row r="875" spans="35:180">
      <c r="AI875" s="125"/>
      <c r="AJ875" s="16"/>
      <c r="AM875" s="16"/>
      <c r="AN875" s="16"/>
      <c r="AO875" s="125"/>
      <c r="AP875" s="16"/>
      <c r="AQ875" s="125"/>
      <c r="AZ875" s="125"/>
      <c r="BA875" s="142"/>
      <c r="BB875" s="125"/>
      <c r="BC875" s="16"/>
      <c r="BD875" s="125"/>
      <c r="BE875" s="125"/>
      <c r="BF875" s="16"/>
      <c r="BG875" s="125"/>
      <c r="BQ875" s="125"/>
      <c r="BR875" s="16"/>
      <c r="BS875" s="123"/>
      <c r="BT875" s="19"/>
      <c r="BU875" s="139"/>
      <c r="BV875" s="139"/>
      <c r="BW875" s="123"/>
      <c r="BX875" s="123"/>
      <c r="BY875" s="123"/>
      <c r="BZ875" s="123"/>
      <c r="CA875" s="123"/>
      <c r="CB875" s="123"/>
      <c r="CC875" s="6"/>
      <c r="CD875" s="123"/>
      <c r="CE875" s="6"/>
      <c r="CF875" s="123"/>
      <c r="CG875" s="6"/>
      <c r="CH875" s="6"/>
      <c r="CI875" s="6"/>
      <c r="CJ875" s="6"/>
      <c r="CK875" s="123"/>
      <c r="CL875" s="6"/>
      <c r="CM875" s="6"/>
      <c r="CN875" s="6"/>
      <c r="CO875" s="138"/>
      <c r="CP875" s="138"/>
      <c r="CQ875" s="123"/>
      <c r="CR875" s="6"/>
      <c r="CS875" s="6"/>
      <c r="CT875" s="139"/>
      <c r="CU875" s="139"/>
      <c r="CV875" s="76"/>
      <c r="CW875" s="123"/>
      <c r="CX875" s="6"/>
      <c r="DI875" s="125"/>
      <c r="DJ875" s="16"/>
      <c r="DM875" s="16"/>
      <c r="DN875" s="16"/>
      <c r="DO875" s="125"/>
      <c r="DP875" s="16"/>
      <c r="DQ875" s="125"/>
      <c r="DZ875" s="125"/>
      <c r="EA875" s="142"/>
      <c r="EB875" s="125"/>
      <c r="EC875" s="16"/>
      <c r="ED875" s="125"/>
      <c r="EE875" s="125"/>
      <c r="EF875" s="16"/>
      <c r="EG875" s="125"/>
      <c r="EQ875" s="125"/>
      <c r="ER875" s="16"/>
      <c r="ES875" s="123"/>
      <c r="ET875" s="19"/>
      <c r="EU875" s="139"/>
      <c r="EV875" s="139"/>
      <c r="EW875" s="123"/>
      <c r="EX875" s="123"/>
      <c r="EY875" s="123"/>
      <c r="EZ875" s="123"/>
      <c r="FA875" s="123"/>
      <c r="FB875" s="123"/>
      <c r="FC875" s="6"/>
      <c r="FD875" s="123"/>
      <c r="FE875" s="6"/>
      <c r="FF875" s="123"/>
      <c r="FG875" s="6"/>
      <c r="FH875" s="6"/>
      <c r="FI875" s="6"/>
      <c r="FJ875" s="6"/>
      <c r="FK875" s="123"/>
      <c r="FL875" s="6"/>
      <c r="FM875" s="6"/>
      <c r="FN875" s="6"/>
      <c r="FO875" s="138"/>
      <c r="FP875" s="138"/>
      <c r="FQ875" s="123"/>
      <c r="FR875" s="6"/>
      <c r="FS875" s="6"/>
      <c r="FT875" s="139"/>
      <c r="FU875" s="139"/>
      <c r="FV875" s="76"/>
      <c r="FW875" s="123"/>
      <c r="FX875" s="6"/>
    </row>
    <row r="876" spans="35:180">
      <c r="AI876" s="125"/>
      <c r="AJ876" s="16"/>
      <c r="AM876" s="16"/>
      <c r="AN876" s="16"/>
      <c r="AO876" s="125"/>
      <c r="AP876" s="16"/>
      <c r="AQ876" s="125"/>
      <c r="AZ876" s="125"/>
      <c r="BA876" s="142"/>
      <c r="BB876" s="125"/>
      <c r="BC876" s="16"/>
      <c r="BD876" s="125"/>
      <c r="BE876" s="125"/>
      <c r="BF876" s="16"/>
      <c r="BG876" s="125"/>
      <c r="BQ876" s="125"/>
      <c r="BR876" s="16"/>
      <c r="BS876" s="123"/>
      <c r="BT876" s="19"/>
      <c r="BU876" s="139"/>
      <c r="BV876" s="139"/>
      <c r="BW876" s="123"/>
      <c r="BX876" s="123"/>
      <c r="BY876" s="123"/>
      <c r="BZ876" s="123"/>
      <c r="CA876" s="123"/>
      <c r="CB876" s="123"/>
      <c r="CC876" s="6"/>
      <c r="CD876" s="123"/>
      <c r="CE876" s="6"/>
      <c r="CF876" s="123"/>
      <c r="CG876" s="6"/>
      <c r="CH876" s="6"/>
      <c r="CI876" s="6"/>
      <c r="CJ876" s="6"/>
      <c r="CK876" s="123"/>
      <c r="CL876" s="6"/>
      <c r="CM876" s="6"/>
      <c r="CN876" s="6"/>
      <c r="CO876" s="138"/>
      <c r="CP876" s="138"/>
      <c r="CQ876" s="123"/>
      <c r="CR876" s="6"/>
      <c r="CS876" s="6"/>
      <c r="CT876" s="139"/>
      <c r="CU876" s="139"/>
      <c r="CV876" s="76"/>
      <c r="CW876" s="123"/>
      <c r="CX876" s="6"/>
      <c r="DI876" s="125"/>
      <c r="DJ876" s="16"/>
      <c r="DM876" s="16"/>
      <c r="DN876" s="16"/>
      <c r="DO876" s="125"/>
      <c r="DP876" s="16"/>
      <c r="DQ876" s="125"/>
      <c r="DZ876" s="125"/>
      <c r="EA876" s="142"/>
      <c r="EB876" s="125"/>
      <c r="EC876" s="16"/>
      <c r="ED876" s="125"/>
      <c r="EE876" s="125"/>
      <c r="EF876" s="16"/>
      <c r="EG876" s="125"/>
      <c r="EQ876" s="125"/>
      <c r="ER876" s="16"/>
      <c r="ES876" s="123"/>
      <c r="ET876" s="19"/>
      <c r="EU876" s="139"/>
      <c r="EV876" s="139"/>
      <c r="EW876" s="123"/>
      <c r="EX876" s="123"/>
      <c r="EY876" s="123"/>
      <c r="EZ876" s="123"/>
      <c r="FA876" s="123"/>
      <c r="FB876" s="123"/>
      <c r="FC876" s="6"/>
      <c r="FD876" s="123"/>
      <c r="FE876" s="6"/>
      <c r="FF876" s="123"/>
      <c r="FG876" s="6"/>
      <c r="FH876" s="6"/>
      <c r="FI876" s="6"/>
      <c r="FJ876" s="6"/>
      <c r="FK876" s="123"/>
      <c r="FL876" s="6"/>
      <c r="FM876" s="6"/>
      <c r="FN876" s="6"/>
      <c r="FO876" s="138"/>
      <c r="FP876" s="138"/>
      <c r="FQ876" s="123"/>
      <c r="FR876" s="6"/>
      <c r="FS876" s="6"/>
      <c r="FT876" s="139"/>
      <c r="FU876" s="139"/>
      <c r="FV876" s="76"/>
      <c r="FW876" s="123"/>
      <c r="FX876" s="6"/>
    </row>
    <row r="877" spans="35:180">
      <c r="AI877" s="125"/>
      <c r="AJ877" s="16"/>
      <c r="AM877" s="16"/>
      <c r="AN877" s="16"/>
      <c r="AO877" s="125"/>
      <c r="AP877" s="16"/>
      <c r="AQ877" s="125"/>
      <c r="AZ877" s="125"/>
      <c r="BA877" s="142"/>
      <c r="BB877" s="125"/>
      <c r="BC877" s="16"/>
      <c r="BD877" s="125"/>
      <c r="BE877" s="125"/>
      <c r="BF877" s="16"/>
      <c r="BG877" s="125"/>
      <c r="BQ877" s="125"/>
      <c r="BR877" s="16"/>
      <c r="BS877" s="123"/>
      <c r="BT877" s="19"/>
      <c r="BU877" s="139"/>
      <c r="BV877" s="139"/>
      <c r="BW877" s="123"/>
      <c r="BX877" s="123"/>
      <c r="BY877" s="123"/>
      <c r="BZ877" s="123"/>
      <c r="CA877" s="123"/>
      <c r="CB877" s="123"/>
      <c r="CC877" s="6"/>
      <c r="CD877" s="123"/>
      <c r="CE877" s="6"/>
      <c r="CF877" s="123"/>
      <c r="CG877" s="6"/>
      <c r="CH877" s="6"/>
      <c r="CI877" s="6"/>
      <c r="CJ877" s="6"/>
      <c r="CK877" s="123"/>
      <c r="CL877" s="6"/>
      <c r="CM877" s="6"/>
      <c r="CN877" s="6"/>
      <c r="CO877" s="138"/>
      <c r="CP877" s="138"/>
      <c r="CQ877" s="123"/>
      <c r="CR877" s="6"/>
      <c r="CS877" s="6"/>
      <c r="CT877" s="139"/>
      <c r="CU877" s="139"/>
      <c r="CV877" s="76"/>
      <c r="CW877" s="123"/>
      <c r="CX877" s="6"/>
      <c r="DI877" s="125"/>
      <c r="DJ877" s="16"/>
      <c r="DM877" s="16"/>
      <c r="DN877" s="16"/>
      <c r="DO877" s="125"/>
      <c r="DP877" s="16"/>
      <c r="DQ877" s="125"/>
      <c r="DZ877" s="125"/>
      <c r="EA877" s="142"/>
      <c r="EB877" s="125"/>
      <c r="EC877" s="16"/>
      <c r="ED877" s="125"/>
      <c r="EE877" s="125"/>
      <c r="EF877" s="16"/>
      <c r="EG877" s="125"/>
      <c r="EQ877" s="125"/>
      <c r="ER877" s="16"/>
      <c r="ES877" s="123"/>
      <c r="ET877" s="19"/>
      <c r="EU877" s="139"/>
      <c r="EV877" s="139"/>
      <c r="EW877" s="123"/>
      <c r="EX877" s="123"/>
      <c r="EY877" s="123"/>
      <c r="EZ877" s="123"/>
      <c r="FA877" s="123"/>
      <c r="FB877" s="123"/>
      <c r="FC877" s="6"/>
      <c r="FD877" s="123"/>
      <c r="FE877" s="6"/>
      <c r="FF877" s="123"/>
      <c r="FG877" s="6"/>
      <c r="FH877" s="6"/>
      <c r="FI877" s="6"/>
      <c r="FJ877" s="6"/>
      <c r="FK877" s="123"/>
      <c r="FL877" s="6"/>
      <c r="FM877" s="6"/>
      <c r="FN877" s="6"/>
      <c r="FO877" s="138"/>
      <c r="FP877" s="138"/>
      <c r="FQ877" s="123"/>
      <c r="FR877" s="6"/>
      <c r="FS877" s="6"/>
      <c r="FT877" s="139"/>
      <c r="FU877" s="139"/>
      <c r="FV877" s="76"/>
      <c r="FW877" s="123"/>
      <c r="FX877" s="6"/>
    </row>
    <row r="878" spans="35:180">
      <c r="AI878" s="125"/>
      <c r="AJ878" s="16"/>
      <c r="AM878" s="16"/>
      <c r="AN878" s="16"/>
      <c r="AO878" s="125"/>
      <c r="AP878" s="16"/>
      <c r="AQ878" s="125"/>
      <c r="AZ878" s="125"/>
      <c r="BA878" s="142"/>
      <c r="BB878" s="125"/>
      <c r="BC878" s="16"/>
      <c r="BD878" s="125"/>
      <c r="BE878" s="125"/>
      <c r="BF878" s="16"/>
      <c r="BG878" s="125"/>
      <c r="BQ878" s="125"/>
      <c r="BR878" s="16"/>
      <c r="BS878" s="123"/>
      <c r="BT878" s="19"/>
      <c r="BU878" s="139"/>
      <c r="BV878" s="139"/>
      <c r="BW878" s="123"/>
      <c r="BX878" s="123"/>
      <c r="BY878" s="123"/>
      <c r="BZ878" s="123"/>
      <c r="CA878" s="123"/>
      <c r="CB878" s="123"/>
      <c r="CC878" s="6"/>
      <c r="CD878" s="123"/>
      <c r="CE878" s="6"/>
      <c r="CF878" s="123"/>
      <c r="CG878" s="6"/>
      <c r="CH878" s="6"/>
      <c r="CI878" s="6"/>
      <c r="CJ878" s="6"/>
      <c r="CK878" s="123"/>
      <c r="CL878" s="6"/>
      <c r="CM878" s="6"/>
      <c r="CN878" s="6"/>
      <c r="CO878" s="138"/>
      <c r="CP878" s="138"/>
      <c r="CQ878" s="123"/>
      <c r="CR878" s="6"/>
      <c r="CS878" s="6"/>
      <c r="CT878" s="139"/>
      <c r="CU878" s="139"/>
      <c r="CV878" s="76"/>
      <c r="CW878" s="123"/>
      <c r="CX878" s="6"/>
      <c r="DI878" s="125"/>
      <c r="DJ878" s="16"/>
      <c r="DM878" s="16"/>
      <c r="DN878" s="16"/>
      <c r="DO878" s="125"/>
      <c r="DP878" s="16"/>
      <c r="DQ878" s="125"/>
      <c r="DZ878" s="125"/>
      <c r="EA878" s="142"/>
      <c r="EB878" s="125"/>
      <c r="EC878" s="16"/>
      <c r="ED878" s="125"/>
      <c r="EE878" s="125"/>
      <c r="EF878" s="16"/>
      <c r="EG878" s="125"/>
      <c r="EQ878" s="125"/>
      <c r="ER878" s="16"/>
      <c r="ES878" s="123"/>
      <c r="ET878" s="19"/>
      <c r="EU878" s="139"/>
      <c r="EV878" s="139"/>
      <c r="EW878" s="123"/>
      <c r="EX878" s="123"/>
      <c r="EY878" s="123"/>
      <c r="EZ878" s="123"/>
      <c r="FA878" s="123"/>
      <c r="FB878" s="123"/>
      <c r="FC878" s="6"/>
      <c r="FD878" s="123"/>
      <c r="FE878" s="6"/>
      <c r="FF878" s="123"/>
      <c r="FG878" s="6"/>
      <c r="FH878" s="6"/>
      <c r="FI878" s="6"/>
      <c r="FJ878" s="6"/>
      <c r="FK878" s="123"/>
      <c r="FL878" s="6"/>
      <c r="FM878" s="6"/>
      <c r="FN878" s="6"/>
      <c r="FO878" s="138"/>
      <c r="FP878" s="138"/>
      <c r="FQ878" s="123"/>
      <c r="FR878" s="6"/>
      <c r="FS878" s="6"/>
      <c r="FT878" s="139"/>
      <c r="FU878" s="139"/>
      <c r="FV878" s="76"/>
      <c r="FW878" s="123"/>
      <c r="FX878" s="6"/>
    </row>
    <row r="879" spans="35:180">
      <c r="AI879" s="125"/>
      <c r="AJ879" s="16"/>
      <c r="AM879" s="16"/>
      <c r="AN879" s="16"/>
      <c r="AO879" s="125"/>
      <c r="AP879" s="16"/>
      <c r="AQ879" s="125"/>
      <c r="AZ879" s="125"/>
      <c r="BA879" s="142"/>
      <c r="BB879" s="125"/>
      <c r="BC879" s="16"/>
      <c r="BD879" s="125"/>
      <c r="BE879" s="125"/>
      <c r="BF879" s="16"/>
      <c r="BG879" s="125"/>
      <c r="BQ879" s="125"/>
      <c r="BR879" s="16"/>
      <c r="BS879" s="123"/>
      <c r="BT879" s="19"/>
      <c r="BU879" s="139"/>
      <c r="BV879" s="139"/>
      <c r="BW879" s="123"/>
      <c r="BX879" s="123"/>
      <c r="BY879" s="123"/>
      <c r="BZ879" s="123"/>
      <c r="CA879" s="123"/>
      <c r="CB879" s="123"/>
      <c r="CC879" s="6"/>
      <c r="CD879" s="123"/>
      <c r="CE879" s="6"/>
      <c r="CF879" s="123"/>
      <c r="CG879" s="6"/>
      <c r="CH879" s="6"/>
      <c r="CI879" s="6"/>
      <c r="CJ879" s="6"/>
      <c r="CK879" s="123"/>
      <c r="CL879" s="6"/>
      <c r="CM879" s="6"/>
      <c r="CN879" s="6"/>
      <c r="CO879" s="138"/>
      <c r="CP879" s="138"/>
      <c r="CQ879" s="123"/>
      <c r="CR879" s="6"/>
      <c r="CS879" s="6"/>
      <c r="CT879" s="139"/>
      <c r="CU879" s="139"/>
      <c r="CV879" s="76"/>
      <c r="CW879" s="123"/>
      <c r="CX879" s="6"/>
      <c r="DI879" s="125"/>
      <c r="DJ879" s="16"/>
      <c r="DM879" s="16"/>
      <c r="DN879" s="16"/>
      <c r="DO879" s="125"/>
      <c r="DP879" s="16"/>
      <c r="DQ879" s="125"/>
      <c r="DZ879" s="125"/>
      <c r="EA879" s="142"/>
      <c r="EB879" s="125"/>
      <c r="EC879" s="16"/>
      <c r="ED879" s="125"/>
      <c r="EE879" s="125"/>
      <c r="EF879" s="16"/>
      <c r="EG879" s="125"/>
      <c r="EQ879" s="125"/>
      <c r="ER879" s="16"/>
      <c r="ES879" s="123"/>
      <c r="ET879" s="19"/>
      <c r="EU879" s="139"/>
      <c r="EV879" s="139"/>
      <c r="EW879" s="123"/>
      <c r="EX879" s="123"/>
      <c r="EY879" s="123"/>
      <c r="EZ879" s="123"/>
      <c r="FA879" s="123"/>
      <c r="FB879" s="123"/>
      <c r="FC879" s="6"/>
      <c r="FD879" s="123"/>
      <c r="FE879" s="6"/>
      <c r="FF879" s="123"/>
      <c r="FG879" s="6"/>
      <c r="FH879" s="6"/>
      <c r="FI879" s="6"/>
      <c r="FJ879" s="6"/>
      <c r="FK879" s="123"/>
      <c r="FL879" s="6"/>
      <c r="FM879" s="6"/>
      <c r="FN879" s="6"/>
      <c r="FO879" s="138"/>
      <c r="FP879" s="138"/>
      <c r="FQ879" s="123"/>
      <c r="FR879" s="6"/>
      <c r="FS879" s="6"/>
      <c r="FT879" s="139"/>
      <c r="FU879" s="139"/>
      <c r="FV879" s="76"/>
      <c r="FW879" s="123"/>
      <c r="FX879" s="6"/>
    </row>
    <row r="880" spans="35:180">
      <c r="AI880" s="125"/>
      <c r="AJ880" s="16"/>
      <c r="AM880" s="16"/>
      <c r="AN880" s="16"/>
      <c r="AO880" s="125"/>
      <c r="AP880" s="16"/>
      <c r="AQ880" s="125"/>
      <c r="AZ880" s="125"/>
      <c r="BA880" s="142"/>
      <c r="BB880" s="125"/>
      <c r="BC880" s="16"/>
      <c r="BD880" s="125"/>
      <c r="BE880" s="125"/>
      <c r="BF880" s="16"/>
      <c r="BG880" s="125"/>
      <c r="BQ880" s="125"/>
      <c r="BR880" s="16"/>
      <c r="BS880" s="123"/>
      <c r="BT880" s="19"/>
      <c r="BU880" s="139"/>
      <c r="BV880" s="139"/>
      <c r="BW880" s="123"/>
      <c r="BX880" s="123"/>
      <c r="BY880" s="123"/>
      <c r="BZ880" s="123"/>
      <c r="CA880" s="123"/>
      <c r="CB880" s="123"/>
      <c r="CC880" s="6"/>
      <c r="CD880" s="123"/>
      <c r="CE880" s="6"/>
      <c r="CF880" s="123"/>
      <c r="CG880" s="6"/>
      <c r="CH880" s="6"/>
      <c r="CI880" s="6"/>
      <c r="CJ880" s="6"/>
      <c r="CK880" s="123"/>
      <c r="CL880" s="6"/>
      <c r="CM880" s="6"/>
      <c r="CN880" s="6"/>
      <c r="CO880" s="138"/>
      <c r="CP880" s="138"/>
      <c r="CQ880" s="123"/>
      <c r="CR880" s="6"/>
      <c r="CS880" s="6"/>
      <c r="CT880" s="139"/>
      <c r="CU880" s="139"/>
      <c r="CV880" s="76"/>
      <c r="CW880" s="123"/>
      <c r="CX880" s="6"/>
      <c r="DI880" s="125"/>
      <c r="DJ880" s="16"/>
      <c r="DM880" s="16"/>
      <c r="DN880" s="16"/>
      <c r="DO880" s="125"/>
      <c r="DP880" s="16"/>
      <c r="DQ880" s="125"/>
      <c r="DZ880" s="125"/>
      <c r="EA880" s="142"/>
      <c r="EB880" s="125"/>
      <c r="EC880" s="16"/>
      <c r="ED880" s="125"/>
      <c r="EE880" s="125"/>
      <c r="EF880" s="16"/>
      <c r="EG880" s="125"/>
      <c r="EQ880" s="125"/>
      <c r="ER880" s="16"/>
      <c r="ES880" s="123"/>
      <c r="ET880" s="19"/>
      <c r="EU880" s="139"/>
      <c r="EV880" s="139"/>
      <c r="EW880" s="123"/>
      <c r="EX880" s="123"/>
      <c r="EY880" s="123"/>
      <c r="EZ880" s="123"/>
      <c r="FA880" s="123"/>
      <c r="FB880" s="123"/>
      <c r="FC880" s="6"/>
      <c r="FD880" s="123"/>
      <c r="FE880" s="6"/>
      <c r="FF880" s="123"/>
      <c r="FG880" s="6"/>
      <c r="FH880" s="6"/>
      <c r="FI880" s="6"/>
      <c r="FJ880" s="6"/>
      <c r="FK880" s="123"/>
      <c r="FL880" s="6"/>
      <c r="FM880" s="6"/>
      <c r="FN880" s="6"/>
      <c r="FO880" s="138"/>
      <c r="FP880" s="138"/>
      <c r="FQ880" s="123"/>
      <c r="FR880" s="6"/>
      <c r="FS880" s="6"/>
      <c r="FT880" s="139"/>
      <c r="FU880" s="139"/>
      <c r="FV880" s="76"/>
      <c r="FW880" s="123"/>
      <c r="FX880" s="6"/>
    </row>
    <row r="881" spans="35:180">
      <c r="AI881" s="125"/>
      <c r="AJ881" s="16"/>
      <c r="AM881" s="16"/>
      <c r="AN881" s="16"/>
      <c r="AO881" s="125"/>
      <c r="AP881" s="16"/>
      <c r="AQ881" s="125"/>
      <c r="AZ881" s="125"/>
      <c r="BA881" s="142"/>
      <c r="BB881" s="125"/>
      <c r="BC881" s="16"/>
      <c r="BD881" s="125"/>
      <c r="BE881" s="125"/>
      <c r="BF881" s="16"/>
      <c r="BG881" s="125"/>
      <c r="BQ881" s="125"/>
      <c r="BR881" s="16"/>
      <c r="BS881" s="123"/>
      <c r="BT881" s="19"/>
      <c r="BU881" s="139"/>
      <c r="BV881" s="139"/>
      <c r="BW881" s="123"/>
      <c r="BX881" s="123"/>
      <c r="BY881" s="123"/>
      <c r="BZ881" s="123"/>
      <c r="CA881" s="123"/>
      <c r="CB881" s="123"/>
      <c r="CC881" s="6"/>
      <c r="CD881" s="123"/>
      <c r="CE881" s="6"/>
      <c r="CF881" s="123"/>
      <c r="CG881" s="6"/>
      <c r="CH881" s="6"/>
      <c r="CI881" s="6"/>
      <c r="CJ881" s="6"/>
      <c r="CK881" s="123"/>
      <c r="CL881" s="6"/>
      <c r="CM881" s="6"/>
      <c r="CN881" s="6"/>
      <c r="CO881" s="138"/>
      <c r="CP881" s="138"/>
      <c r="CQ881" s="123"/>
      <c r="CR881" s="6"/>
      <c r="CS881" s="6"/>
      <c r="CT881" s="139"/>
      <c r="CU881" s="139"/>
      <c r="CV881" s="76"/>
      <c r="CW881" s="123"/>
      <c r="CX881" s="6"/>
      <c r="DI881" s="125"/>
      <c r="DJ881" s="16"/>
      <c r="DM881" s="16"/>
      <c r="DN881" s="16"/>
      <c r="DO881" s="125"/>
      <c r="DP881" s="16"/>
      <c r="DQ881" s="125"/>
      <c r="DZ881" s="125"/>
      <c r="EA881" s="142"/>
      <c r="EB881" s="125"/>
      <c r="EC881" s="16"/>
      <c r="ED881" s="125"/>
      <c r="EE881" s="125"/>
      <c r="EF881" s="16"/>
      <c r="EG881" s="125"/>
      <c r="EQ881" s="125"/>
      <c r="ER881" s="16"/>
      <c r="ES881" s="123"/>
      <c r="ET881" s="19"/>
      <c r="EU881" s="139"/>
      <c r="EV881" s="139"/>
      <c r="EW881" s="123"/>
      <c r="EX881" s="123"/>
      <c r="EY881" s="123"/>
      <c r="EZ881" s="123"/>
      <c r="FA881" s="123"/>
      <c r="FB881" s="123"/>
      <c r="FC881" s="6"/>
      <c r="FD881" s="123"/>
      <c r="FE881" s="6"/>
      <c r="FF881" s="123"/>
      <c r="FG881" s="6"/>
      <c r="FH881" s="6"/>
      <c r="FI881" s="6"/>
      <c r="FJ881" s="6"/>
      <c r="FK881" s="123"/>
      <c r="FL881" s="6"/>
      <c r="FM881" s="6"/>
      <c r="FN881" s="6"/>
      <c r="FO881" s="138"/>
      <c r="FP881" s="138"/>
      <c r="FQ881" s="123"/>
      <c r="FR881" s="6"/>
      <c r="FS881" s="6"/>
      <c r="FT881" s="139"/>
      <c r="FU881" s="139"/>
      <c r="FV881" s="76"/>
      <c r="FW881" s="123"/>
      <c r="FX881" s="6"/>
    </row>
    <row r="882" spans="35:180">
      <c r="AI882" s="125"/>
      <c r="AJ882" s="16"/>
      <c r="AM882" s="16"/>
      <c r="AN882" s="16"/>
      <c r="AO882" s="125"/>
      <c r="AP882" s="16"/>
      <c r="AQ882" s="125"/>
      <c r="AZ882" s="125"/>
      <c r="BA882" s="142"/>
      <c r="BB882" s="125"/>
      <c r="BC882" s="16"/>
      <c r="BD882" s="125"/>
      <c r="BE882" s="125"/>
      <c r="BF882" s="16"/>
      <c r="BG882" s="125"/>
      <c r="BQ882" s="125"/>
      <c r="BR882" s="16"/>
      <c r="BS882" s="123"/>
      <c r="BT882" s="19"/>
      <c r="BU882" s="139"/>
      <c r="BV882" s="139"/>
      <c r="BW882" s="123"/>
      <c r="BX882" s="123"/>
      <c r="BY882" s="123"/>
      <c r="BZ882" s="123"/>
      <c r="CA882" s="123"/>
      <c r="CB882" s="123"/>
      <c r="CC882" s="6"/>
      <c r="CD882" s="123"/>
      <c r="CE882" s="6"/>
      <c r="CF882" s="123"/>
      <c r="CG882" s="6"/>
      <c r="CH882" s="6"/>
      <c r="CI882" s="6"/>
      <c r="CJ882" s="6"/>
      <c r="CK882" s="123"/>
      <c r="CL882" s="6"/>
      <c r="CM882" s="6"/>
      <c r="CN882" s="6"/>
      <c r="CO882" s="138"/>
      <c r="CP882" s="138"/>
      <c r="CQ882" s="123"/>
      <c r="CR882" s="6"/>
      <c r="CS882" s="6"/>
      <c r="CT882" s="139"/>
      <c r="CU882" s="139"/>
      <c r="CV882" s="76"/>
      <c r="CW882" s="123"/>
      <c r="CX882" s="6"/>
      <c r="DI882" s="125"/>
      <c r="DJ882" s="16"/>
      <c r="DM882" s="16"/>
      <c r="DN882" s="16"/>
      <c r="DO882" s="125"/>
      <c r="DP882" s="16"/>
      <c r="DQ882" s="125"/>
      <c r="DZ882" s="125"/>
      <c r="EA882" s="142"/>
      <c r="EB882" s="125"/>
      <c r="EC882" s="16"/>
      <c r="ED882" s="125"/>
      <c r="EE882" s="125"/>
      <c r="EF882" s="16"/>
      <c r="EG882" s="125"/>
      <c r="EQ882" s="125"/>
      <c r="ER882" s="16"/>
      <c r="ES882" s="123"/>
      <c r="ET882" s="19"/>
      <c r="EU882" s="139"/>
      <c r="EV882" s="139"/>
      <c r="EW882" s="123"/>
      <c r="EX882" s="123"/>
      <c r="EY882" s="123"/>
      <c r="EZ882" s="123"/>
      <c r="FA882" s="123"/>
      <c r="FB882" s="123"/>
      <c r="FC882" s="6"/>
      <c r="FD882" s="123"/>
      <c r="FE882" s="6"/>
      <c r="FF882" s="123"/>
      <c r="FG882" s="6"/>
      <c r="FH882" s="6"/>
      <c r="FI882" s="6"/>
      <c r="FJ882" s="6"/>
      <c r="FK882" s="123"/>
      <c r="FL882" s="6"/>
      <c r="FM882" s="6"/>
      <c r="FN882" s="6"/>
      <c r="FO882" s="138"/>
      <c r="FP882" s="138"/>
      <c r="FQ882" s="123"/>
      <c r="FR882" s="6"/>
      <c r="FS882" s="6"/>
      <c r="FT882" s="139"/>
      <c r="FU882" s="139"/>
      <c r="FV882" s="76"/>
      <c r="FW882" s="123"/>
      <c r="FX882" s="6"/>
    </row>
    <row r="883" spans="35:180">
      <c r="AI883" s="125"/>
      <c r="AJ883" s="16"/>
      <c r="AM883" s="16"/>
      <c r="AN883" s="16"/>
      <c r="AO883" s="125"/>
      <c r="AP883" s="16"/>
      <c r="AQ883" s="125"/>
      <c r="AZ883" s="125"/>
      <c r="BA883" s="142"/>
      <c r="BB883" s="125"/>
      <c r="BC883" s="16"/>
      <c r="BD883" s="125"/>
      <c r="BE883" s="125"/>
      <c r="BF883" s="16"/>
      <c r="BG883" s="125"/>
      <c r="BQ883" s="125"/>
      <c r="BR883" s="16"/>
      <c r="BS883" s="123"/>
      <c r="BT883" s="19"/>
      <c r="BU883" s="139"/>
      <c r="BV883" s="139"/>
      <c r="BW883" s="123"/>
      <c r="BX883" s="123"/>
      <c r="BY883" s="123"/>
      <c r="BZ883" s="123"/>
      <c r="CA883" s="123"/>
      <c r="CB883" s="123"/>
      <c r="CC883" s="6"/>
      <c r="CD883" s="123"/>
      <c r="CE883" s="6"/>
      <c r="CF883" s="123"/>
      <c r="CG883" s="6"/>
      <c r="CH883" s="6"/>
      <c r="CI883" s="6"/>
      <c r="CJ883" s="6"/>
      <c r="CK883" s="123"/>
      <c r="CL883" s="6"/>
      <c r="CM883" s="6"/>
      <c r="CN883" s="6"/>
      <c r="CO883" s="138"/>
      <c r="CP883" s="138"/>
      <c r="CQ883" s="123"/>
      <c r="CR883" s="6"/>
      <c r="CS883" s="6"/>
      <c r="CT883" s="139"/>
      <c r="CU883" s="139"/>
      <c r="CV883" s="76"/>
      <c r="CW883" s="123"/>
      <c r="CX883" s="6"/>
      <c r="DI883" s="125"/>
      <c r="DJ883" s="16"/>
      <c r="DM883" s="16"/>
      <c r="DN883" s="16"/>
      <c r="DO883" s="125"/>
      <c r="DP883" s="16"/>
      <c r="DQ883" s="125"/>
      <c r="DZ883" s="125"/>
      <c r="EA883" s="142"/>
      <c r="EB883" s="125"/>
      <c r="EC883" s="16"/>
      <c r="ED883" s="125"/>
      <c r="EE883" s="125"/>
      <c r="EF883" s="16"/>
      <c r="EG883" s="125"/>
      <c r="EQ883" s="125"/>
      <c r="ER883" s="16"/>
      <c r="ES883" s="123"/>
      <c r="ET883" s="19"/>
      <c r="EU883" s="139"/>
      <c r="EV883" s="139"/>
      <c r="EW883" s="123"/>
      <c r="EX883" s="123"/>
      <c r="EY883" s="123"/>
      <c r="EZ883" s="123"/>
      <c r="FA883" s="123"/>
      <c r="FB883" s="123"/>
      <c r="FC883" s="6"/>
      <c r="FD883" s="123"/>
      <c r="FE883" s="6"/>
      <c r="FF883" s="123"/>
      <c r="FG883" s="6"/>
      <c r="FH883" s="6"/>
      <c r="FI883" s="6"/>
      <c r="FJ883" s="6"/>
      <c r="FK883" s="123"/>
      <c r="FL883" s="6"/>
      <c r="FM883" s="6"/>
      <c r="FN883" s="6"/>
      <c r="FO883" s="138"/>
      <c r="FP883" s="138"/>
      <c r="FQ883" s="123"/>
      <c r="FR883" s="6"/>
      <c r="FS883" s="6"/>
      <c r="FT883" s="139"/>
      <c r="FU883" s="139"/>
      <c r="FV883" s="76"/>
      <c r="FW883" s="123"/>
      <c r="FX883" s="6"/>
    </row>
    <row r="884" spans="35:180">
      <c r="AI884" s="125"/>
      <c r="AJ884" s="16"/>
      <c r="AM884" s="16"/>
      <c r="AN884" s="16"/>
      <c r="AO884" s="125"/>
      <c r="AP884" s="16"/>
      <c r="AQ884" s="125"/>
      <c r="AZ884" s="125"/>
      <c r="BA884" s="142"/>
      <c r="BB884" s="125"/>
      <c r="BC884" s="16"/>
      <c r="BD884" s="125"/>
      <c r="BE884" s="125"/>
      <c r="BF884" s="16"/>
      <c r="BG884" s="125"/>
      <c r="BQ884" s="125"/>
      <c r="BR884" s="16"/>
      <c r="BS884" s="123"/>
      <c r="BT884" s="19"/>
      <c r="BU884" s="139"/>
      <c r="BV884" s="139"/>
      <c r="BW884" s="123"/>
      <c r="BX884" s="123"/>
      <c r="BY884" s="123"/>
      <c r="BZ884" s="123"/>
      <c r="CA884" s="123"/>
      <c r="CB884" s="123"/>
      <c r="CC884" s="6"/>
      <c r="CD884" s="123"/>
      <c r="CE884" s="6"/>
      <c r="CF884" s="123"/>
      <c r="CG884" s="6"/>
      <c r="CH884" s="6"/>
      <c r="CI884" s="6"/>
      <c r="CJ884" s="6"/>
      <c r="CK884" s="123"/>
      <c r="CL884" s="6"/>
      <c r="CM884" s="6"/>
      <c r="CN884" s="6"/>
      <c r="CO884" s="138"/>
      <c r="CP884" s="138"/>
      <c r="CQ884" s="123"/>
      <c r="CR884" s="6"/>
      <c r="CS884" s="6"/>
      <c r="CT884" s="139"/>
      <c r="CU884" s="139"/>
      <c r="CV884" s="76"/>
      <c r="CW884" s="123"/>
      <c r="CX884" s="6"/>
      <c r="DI884" s="125"/>
      <c r="DJ884" s="16"/>
      <c r="DM884" s="16"/>
      <c r="DN884" s="16"/>
      <c r="DO884" s="125"/>
      <c r="DP884" s="16"/>
      <c r="DQ884" s="125"/>
      <c r="DZ884" s="125"/>
      <c r="EA884" s="142"/>
      <c r="EB884" s="125"/>
      <c r="EC884" s="16"/>
      <c r="ED884" s="125"/>
      <c r="EE884" s="125"/>
      <c r="EF884" s="16"/>
      <c r="EG884" s="125"/>
      <c r="EQ884" s="125"/>
      <c r="ER884" s="16"/>
      <c r="ES884" s="123"/>
      <c r="ET884" s="19"/>
      <c r="EU884" s="139"/>
      <c r="EV884" s="139"/>
      <c r="EW884" s="123"/>
      <c r="EX884" s="123"/>
      <c r="EY884" s="123"/>
      <c r="EZ884" s="123"/>
      <c r="FA884" s="123"/>
      <c r="FB884" s="123"/>
      <c r="FC884" s="6"/>
      <c r="FD884" s="123"/>
      <c r="FE884" s="6"/>
      <c r="FF884" s="123"/>
      <c r="FG884" s="6"/>
      <c r="FH884" s="6"/>
      <c r="FI884" s="6"/>
      <c r="FJ884" s="6"/>
      <c r="FK884" s="123"/>
      <c r="FL884" s="6"/>
      <c r="FM884" s="6"/>
      <c r="FN884" s="6"/>
      <c r="FO884" s="138"/>
      <c r="FP884" s="138"/>
      <c r="FQ884" s="123"/>
      <c r="FR884" s="6"/>
      <c r="FS884" s="6"/>
      <c r="FT884" s="139"/>
      <c r="FU884" s="139"/>
      <c r="FV884" s="76"/>
      <c r="FW884" s="123"/>
      <c r="FX884" s="6"/>
    </row>
    <row r="885" spans="35:180">
      <c r="AI885" s="125"/>
      <c r="AJ885" s="16"/>
      <c r="AM885" s="16"/>
      <c r="AN885" s="16"/>
      <c r="AO885" s="125"/>
      <c r="AP885" s="16"/>
      <c r="AQ885" s="125"/>
      <c r="AZ885" s="125"/>
      <c r="BA885" s="142"/>
      <c r="BB885" s="125"/>
      <c r="BC885" s="16"/>
      <c r="BD885" s="125"/>
      <c r="BE885" s="125"/>
      <c r="BF885" s="16"/>
      <c r="BG885" s="125"/>
      <c r="BQ885" s="125"/>
      <c r="BR885" s="16"/>
      <c r="BS885" s="123"/>
      <c r="BT885" s="19"/>
      <c r="BU885" s="139"/>
      <c r="BV885" s="139"/>
      <c r="BW885" s="123"/>
      <c r="BX885" s="123"/>
      <c r="BY885" s="123"/>
      <c r="BZ885" s="123"/>
      <c r="CA885" s="123"/>
      <c r="CB885" s="123"/>
      <c r="CC885" s="6"/>
      <c r="CD885" s="123"/>
      <c r="CE885" s="6"/>
      <c r="CF885" s="123"/>
      <c r="CG885" s="6"/>
      <c r="CH885" s="6"/>
      <c r="CI885" s="6"/>
      <c r="CJ885" s="6"/>
      <c r="CK885" s="123"/>
      <c r="CL885" s="6"/>
      <c r="CM885" s="6"/>
      <c r="CN885" s="6"/>
      <c r="CO885" s="138"/>
      <c r="CP885" s="138"/>
      <c r="CQ885" s="123"/>
      <c r="CR885" s="6"/>
      <c r="CS885" s="6"/>
      <c r="CT885" s="139"/>
      <c r="CU885" s="139"/>
      <c r="CV885" s="76"/>
      <c r="CW885" s="123"/>
      <c r="CX885" s="6"/>
      <c r="DI885" s="125"/>
      <c r="DJ885" s="16"/>
      <c r="DM885" s="16"/>
      <c r="DN885" s="16"/>
      <c r="DO885" s="125"/>
      <c r="DP885" s="16"/>
      <c r="DQ885" s="125"/>
      <c r="DZ885" s="125"/>
      <c r="EA885" s="142"/>
      <c r="EB885" s="125"/>
      <c r="EC885" s="16"/>
      <c r="ED885" s="125"/>
      <c r="EE885" s="125"/>
      <c r="EF885" s="16"/>
      <c r="EG885" s="125"/>
      <c r="EQ885" s="125"/>
      <c r="ER885" s="16"/>
      <c r="ES885" s="123"/>
      <c r="ET885" s="19"/>
      <c r="EU885" s="139"/>
      <c r="EV885" s="139"/>
      <c r="EW885" s="123"/>
      <c r="EX885" s="123"/>
      <c r="EY885" s="123"/>
      <c r="EZ885" s="123"/>
      <c r="FA885" s="123"/>
      <c r="FB885" s="123"/>
      <c r="FC885" s="6"/>
      <c r="FD885" s="123"/>
      <c r="FE885" s="6"/>
      <c r="FF885" s="123"/>
      <c r="FG885" s="6"/>
      <c r="FH885" s="6"/>
      <c r="FI885" s="6"/>
      <c r="FJ885" s="6"/>
      <c r="FK885" s="123"/>
      <c r="FL885" s="6"/>
      <c r="FM885" s="6"/>
      <c r="FN885" s="6"/>
      <c r="FO885" s="138"/>
      <c r="FP885" s="138"/>
      <c r="FQ885" s="123"/>
      <c r="FR885" s="6"/>
      <c r="FS885" s="6"/>
      <c r="FT885" s="139"/>
      <c r="FU885" s="139"/>
      <c r="FV885" s="76"/>
      <c r="FW885" s="123"/>
      <c r="FX885" s="6"/>
    </row>
    <row r="886" spans="35:180">
      <c r="AI886" s="125"/>
      <c r="AJ886" s="16"/>
      <c r="AM886" s="16"/>
      <c r="AN886" s="16"/>
      <c r="AO886" s="125"/>
      <c r="AP886" s="16"/>
      <c r="AQ886" s="125"/>
      <c r="AZ886" s="125"/>
      <c r="BA886" s="142"/>
      <c r="BB886" s="125"/>
      <c r="BC886" s="16"/>
      <c r="BD886" s="125"/>
      <c r="BE886" s="125"/>
      <c r="BF886" s="16"/>
      <c r="BG886" s="125"/>
      <c r="BQ886" s="125"/>
      <c r="BR886" s="16"/>
      <c r="BS886" s="123"/>
      <c r="BT886" s="19"/>
      <c r="BU886" s="139"/>
      <c r="BV886" s="139"/>
      <c r="BW886" s="123"/>
      <c r="BX886" s="123"/>
      <c r="BY886" s="123"/>
      <c r="BZ886" s="123"/>
      <c r="CA886" s="123"/>
      <c r="CB886" s="123"/>
      <c r="CC886" s="6"/>
      <c r="CD886" s="123"/>
      <c r="CE886" s="6"/>
      <c r="CF886" s="123"/>
      <c r="CG886" s="6"/>
      <c r="CH886" s="6"/>
      <c r="CI886" s="6"/>
      <c r="CJ886" s="6"/>
      <c r="CK886" s="123"/>
      <c r="CL886" s="6"/>
      <c r="CM886" s="6"/>
      <c r="CN886" s="6"/>
      <c r="CO886" s="138"/>
      <c r="CP886" s="138"/>
      <c r="CQ886" s="123"/>
      <c r="CR886" s="6"/>
      <c r="CS886" s="6"/>
      <c r="CT886" s="139"/>
      <c r="CU886" s="139"/>
      <c r="CV886" s="76"/>
      <c r="CW886" s="123"/>
      <c r="CX886" s="6"/>
      <c r="DI886" s="125"/>
      <c r="DJ886" s="16"/>
      <c r="DM886" s="16"/>
      <c r="DN886" s="16"/>
      <c r="DO886" s="125"/>
      <c r="DP886" s="16"/>
      <c r="DQ886" s="125"/>
      <c r="DZ886" s="125"/>
      <c r="EA886" s="142"/>
      <c r="EB886" s="125"/>
      <c r="EC886" s="16"/>
      <c r="ED886" s="125"/>
      <c r="EE886" s="125"/>
      <c r="EF886" s="16"/>
      <c r="EG886" s="125"/>
      <c r="EQ886" s="125"/>
      <c r="ER886" s="16"/>
      <c r="ES886" s="123"/>
      <c r="ET886" s="19"/>
      <c r="EU886" s="139"/>
      <c r="EV886" s="139"/>
      <c r="EW886" s="123"/>
      <c r="EX886" s="123"/>
      <c r="EY886" s="123"/>
      <c r="EZ886" s="123"/>
      <c r="FA886" s="123"/>
      <c r="FB886" s="123"/>
      <c r="FC886" s="6"/>
      <c r="FD886" s="123"/>
      <c r="FE886" s="6"/>
      <c r="FF886" s="123"/>
      <c r="FG886" s="6"/>
      <c r="FH886" s="6"/>
      <c r="FI886" s="6"/>
      <c r="FJ886" s="6"/>
      <c r="FK886" s="123"/>
      <c r="FL886" s="6"/>
      <c r="FM886" s="6"/>
      <c r="FN886" s="6"/>
      <c r="FO886" s="138"/>
      <c r="FP886" s="138"/>
      <c r="FQ886" s="123"/>
      <c r="FR886" s="6"/>
      <c r="FS886" s="6"/>
      <c r="FT886" s="139"/>
      <c r="FU886" s="139"/>
      <c r="FV886" s="76"/>
      <c r="FW886" s="123"/>
      <c r="FX886" s="6"/>
    </row>
    <row r="887" spans="35:180">
      <c r="AI887" s="125"/>
      <c r="AJ887" s="16"/>
      <c r="AM887" s="16"/>
      <c r="AN887" s="16"/>
      <c r="AO887" s="125"/>
      <c r="AP887" s="16"/>
      <c r="AQ887" s="125"/>
      <c r="AZ887" s="125"/>
      <c r="BA887" s="142"/>
      <c r="BB887" s="125"/>
      <c r="BC887" s="16"/>
      <c r="BD887" s="125"/>
      <c r="BE887" s="125"/>
      <c r="BF887" s="16"/>
      <c r="BG887" s="125"/>
      <c r="BQ887" s="125"/>
      <c r="BR887" s="16"/>
      <c r="BS887" s="123"/>
      <c r="BT887" s="19"/>
      <c r="BU887" s="139"/>
      <c r="BV887" s="139"/>
      <c r="BW887" s="123"/>
      <c r="BX887" s="123"/>
      <c r="BY887" s="123"/>
      <c r="BZ887" s="123"/>
      <c r="CA887" s="123"/>
      <c r="CB887" s="123"/>
      <c r="CC887" s="6"/>
      <c r="CD887" s="123"/>
      <c r="CE887" s="6"/>
      <c r="CF887" s="123"/>
      <c r="CG887" s="6"/>
      <c r="CH887" s="6"/>
      <c r="CI887" s="6"/>
      <c r="CJ887" s="6"/>
      <c r="CK887" s="123"/>
      <c r="CL887" s="6"/>
      <c r="CM887" s="6"/>
      <c r="CN887" s="6"/>
      <c r="CO887" s="138"/>
      <c r="CP887" s="138"/>
      <c r="CQ887" s="123"/>
      <c r="CR887" s="6"/>
      <c r="CS887" s="6"/>
      <c r="CT887" s="139"/>
      <c r="CU887" s="139"/>
      <c r="CV887" s="76"/>
      <c r="CW887" s="123"/>
      <c r="CX887" s="6"/>
      <c r="DI887" s="125"/>
      <c r="DJ887" s="16"/>
      <c r="DM887" s="16"/>
      <c r="DN887" s="16"/>
      <c r="DO887" s="125"/>
      <c r="DP887" s="16"/>
      <c r="DQ887" s="125"/>
      <c r="DZ887" s="125"/>
      <c r="EA887" s="142"/>
      <c r="EB887" s="125"/>
      <c r="EC887" s="16"/>
      <c r="ED887" s="125"/>
      <c r="EE887" s="125"/>
      <c r="EF887" s="16"/>
      <c r="EG887" s="125"/>
      <c r="EQ887" s="125"/>
      <c r="ER887" s="16"/>
      <c r="ES887" s="123"/>
      <c r="ET887" s="19"/>
      <c r="EU887" s="139"/>
      <c r="EV887" s="139"/>
      <c r="EW887" s="123"/>
      <c r="EX887" s="123"/>
      <c r="EY887" s="123"/>
      <c r="EZ887" s="123"/>
      <c r="FA887" s="123"/>
      <c r="FB887" s="123"/>
      <c r="FC887" s="6"/>
      <c r="FD887" s="123"/>
      <c r="FE887" s="6"/>
      <c r="FF887" s="123"/>
      <c r="FG887" s="6"/>
      <c r="FH887" s="6"/>
      <c r="FI887" s="6"/>
      <c r="FJ887" s="6"/>
      <c r="FK887" s="123"/>
      <c r="FL887" s="6"/>
      <c r="FM887" s="6"/>
      <c r="FN887" s="6"/>
      <c r="FO887" s="138"/>
      <c r="FP887" s="138"/>
      <c r="FQ887" s="123"/>
      <c r="FR887" s="6"/>
      <c r="FS887" s="6"/>
      <c r="FT887" s="139"/>
      <c r="FU887" s="139"/>
      <c r="FV887" s="76"/>
      <c r="FW887" s="123"/>
      <c r="FX887" s="6"/>
    </row>
    <row r="888" spans="35:180">
      <c r="AI888" s="125"/>
      <c r="AJ888" s="16"/>
      <c r="AM888" s="16"/>
      <c r="AN888" s="16"/>
      <c r="AO888" s="125"/>
      <c r="AP888" s="16"/>
      <c r="AQ888" s="125"/>
      <c r="AZ888" s="125"/>
      <c r="BA888" s="142"/>
      <c r="BB888" s="125"/>
      <c r="BC888" s="16"/>
      <c r="BD888" s="125"/>
      <c r="BE888" s="125"/>
      <c r="BF888" s="16"/>
      <c r="BG888" s="125"/>
      <c r="BQ888" s="125"/>
      <c r="BR888" s="16"/>
      <c r="BS888" s="123"/>
      <c r="BT888" s="19"/>
      <c r="BU888" s="139"/>
      <c r="BV888" s="139"/>
      <c r="BW888" s="123"/>
      <c r="BX888" s="123"/>
      <c r="BY888" s="123"/>
      <c r="BZ888" s="123"/>
      <c r="CA888" s="123"/>
      <c r="CB888" s="123"/>
      <c r="CC888" s="6"/>
      <c r="CD888" s="123"/>
      <c r="CE888" s="6"/>
      <c r="CF888" s="123"/>
      <c r="CG888" s="6"/>
      <c r="CH888" s="6"/>
      <c r="CI888" s="6"/>
      <c r="CJ888" s="6"/>
      <c r="CK888" s="123"/>
      <c r="CL888" s="6"/>
      <c r="CM888" s="6"/>
      <c r="CN888" s="6"/>
      <c r="CO888" s="138"/>
      <c r="CP888" s="138"/>
      <c r="CQ888" s="123"/>
      <c r="CR888" s="6"/>
      <c r="CS888" s="6"/>
      <c r="CT888" s="139"/>
      <c r="CU888" s="139"/>
      <c r="CV888" s="76"/>
      <c r="CW888" s="123"/>
      <c r="CX888" s="6"/>
      <c r="DI888" s="125"/>
      <c r="DJ888" s="16"/>
      <c r="DM888" s="16"/>
      <c r="DN888" s="16"/>
      <c r="DO888" s="125"/>
      <c r="DP888" s="16"/>
      <c r="DQ888" s="125"/>
      <c r="DZ888" s="125"/>
      <c r="EA888" s="142"/>
      <c r="EB888" s="125"/>
      <c r="EC888" s="16"/>
      <c r="ED888" s="125"/>
      <c r="EE888" s="125"/>
      <c r="EF888" s="16"/>
      <c r="EG888" s="125"/>
      <c r="EQ888" s="125"/>
      <c r="ER888" s="16"/>
      <c r="ES888" s="123"/>
      <c r="ET888" s="19"/>
      <c r="EU888" s="139"/>
      <c r="EV888" s="139"/>
      <c r="EW888" s="123"/>
      <c r="EX888" s="123"/>
      <c r="EY888" s="123"/>
      <c r="EZ888" s="123"/>
      <c r="FA888" s="123"/>
      <c r="FB888" s="123"/>
      <c r="FC888" s="6"/>
      <c r="FD888" s="123"/>
      <c r="FE888" s="6"/>
      <c r="FF888" s="123"/>
      <c r="FG888" s="6"/>
      <c r="FH888" s="6"/>
      <c r="FI888" s="6"/>
      <c r="FJ888" s="6"/>
      <c r="FK888" s="123"/>
      <c r="FL888" s="6"/>
      <c r="FM888" s="6"/>
      <c r="FN888" s="6"/>
      <c r="FO888" s="138"/>
      <c r="FP888" s="138"/>
      <c r="FQ888" s="123"/>
      <c r="FR888" s="6"/>
      <c r="FS888" s="6"/>
      <c r="FT888" s="139"/>
      <c r="FU888" s="139"/>
      <c r="FV888" s="76"/>
      <c r="FW888" s="123"/>
      <c r="FX888" s="6"/>
    </row>
    <row r="889" spans="35:180">
      <c r="AI889" s="125"/>
      <c r="AJ889" s="16"/>
      <c r="AM889" s="16"/>
      <c r="AN889" s="16"/>
      <c r="AO889" s="125"/>
      <c r="AP889" s="16"/>
      <c r="AQ889" s="125"/>
      <c r="AZ889" s="125"/>
      <c r="BA889" s="142"/>
      <c r="BB889" s="125"/>
      <c r="BC889" s="16"/>
      <c r="BD889" s="125"/>
      <c r="BE889" s="125"/>
      <c r="BF889" s="16"/>
      <c r="BG889" s="125"/>
      <c r="BQ889" s="125"/>
      <c r="BR889" s="16"/>
      <c r="BS889" s="123"/>
      <c r="BT889" s="19"/>
      <c r="BU889" s="139"/>
      <c r="BV889" s="139"/>
      <c r="BW889" s="123"/>
      <c r="BX889" s="123"/>
      <c r="BY889" s="123"/>
      <c r="BZ889" s="123"/>
      <c r="CA889" s="123"/>
      <c r="CB889" s="123"/>
      <c r="CC889" s="6"/>
      <c r="CD889" s="123"/>
      <c r="CE889" s="6"/>
      <c r="CF889" s="123"/>
      <c r="CG889" s="6"/>
      <c r="CH889" s="6"/>
      <c r="CI889" s="6"/>
      <c r="CJ889" s="6"/>
      <c r="CK889" s="123"/>
      <c r="CL889" s="6"/>
      <c r="CM889" s="6"/>
      <c r="CN889" s="6"/>
      <c r="CO889" s="138"/>
      <c r="CP889" s="138"/>
      <c r="CQ889" s="123"/>
      <c r="CR889" s="6"/>
      <c r="CS889" s="6"/>
      <c r="CT889" s="139"/>
      <c r="CU889" s="139"/>
      <c r="CV889" s="76"/>
      <c r="CW889" s="123"/>
      <c r="CX889" s="6"/>
      <c r="DI889" s="125"/>
      <c r="DJ889" s="16"/>
      <c r="DM889" s="16"/>
      <c r="DN889" s="16"/>
      <c r="DO889" s="125"/>
      <c r="DP889" s="16"/>
      <c r="DQ889" s="125"/>
      <c r="DZ889" s="125"/>
      <c r="EA889" s="142"/>
      <c r="EB889" s="125"/>
      <c r="EC889" s="16"/>
      <c r="ED889" s="125"/>
      <c r="EE889" s="125"/>
      <c r="EF889" s="16"/>
      <c r="EG889" s="125"/>
      <c r="EQ889" s="125"/>
      <c r="ER889" s="16"/>
      <c r="ES889" s="123"/>
      <c r="ET889" s="19"/>
      <c r="EU889" s="139"/>
      <c r="EV889" s="139"/>
      <c r="EW889" s="123"/>
      <c r="EX889" s="123"/>
      <c r="EY889" s="123"/>
      <c r="EZ889" s="123"/>
      <c r="FA889" s="123"/>
      <c r="FB889" s="123"/>
      <c r="FC889" s="6"/>
      <c r="FD889" s="123"/>
      <c r="FE889" s="6"/>
      <c r="FF889" s="123"/>
      <c r="FG889" s="6"/>
      <c r="FH889" s="6"/>
      <c r="FI889" s="6"/>
      <c r="FJ889" s="6"/>
      <c r="FK889" s="123"/>
      <c r="FL889" s="6"/>
      <c r="FM889" s="6"/>
      <c r="FN889" s="6"/>
      <c r="FO889" s="138"/>
      <c r="FP889" s="138"/>
      <c r="FQ889" s="123"/>
      <c r="FR889" s="6"/>
      <c r="FS889" s="6"/>
      <c r="FT889" s="139"/>
      <c r="FU889" s="139"/>
      <c r="FV889" s="76"/>
      <c r="FW889" s="123"/>
      <c r="FX889" s="6"/>
    </row>
    <row r="890" spans="35:180">
      <c r="AI890" s="125"/>
      <c r="AJ890" s="16"/>
      <c r="AM890" s="16"/>
      <c r="AN890" s="16"/>
      <c r="AO890" s="125"/>
      <c r="AP890" s="16"/>
      <c r="AQ890" s="125"/>
      <c r="AZ890" s="125"/>
      <c r="BA890" s="142"/>
      <c r="BB890" s="125"/>
      <c r="BC890" s="16"/>
      <c r="BD890" s="125"/>
      <c r="BE890" s="125"/>
      <c r="BF890" s="16"/>
      <c r="BG890" s="125"/>
      <c r="BQ890" s="125"/>
      <c r="BR890" s="16"/>
      <c r="BS890" s="123"/>
      <c r="BT890" s="19"/>
      <c r="BU890" s="139"/>
      <c r="BV890" s="139"/>
      <c r="BW890" s="123"/>
      <c r="BX890" s="123"/>
      <c r="BY890" s="123"/>
      <c r="BZ890" s="123"/>
      <c r="CA890" s="123"/>
      <c r="CB890" s="123"/>
      <c r="CC890" s="6"/>
      <c r="CD890" s="123"/>
      <c r="CE890" s="6"/>
      <c r="CF890" s="123"/>
      <c r="CG890" s="6"/>
      <c r="CH890" s="6"/>
      <c r="CI890" s="6"/>
      <c r="CJ890" s="6"/>
      <c r="CK890" s="123"/>
      <c r="CL890" s="6"/>
      <c r="CM890" s="6"/>
      <c r="CN890" s="6"/>
      <c r="CO890" s="138"/>
      <c r="CP890" s="138"/>
      <c r="CQ890" s="123"/>
      <c r="CR890" s="6"/>
      <c r="CS890" s="6"/>
      <c r="CT890" s="139"/>
      <c r="CU890" s="139"/>
      <c r="CV890" s="76"/>
      <c r="CW890" s="123"/>
      <c r="CX890" s="6"/>
      <c r="DI890" s="125"/>
      <c r="DJ890" s="16"/>
      <c r="DM890" s="16"/>
      <c r="DN890" s="16"/>
      <c r="DO890" s="125"/>
      <c r="DP890" s="16"/>
      <c r="DQ890" s="125"/>
      <c r="DZ890" s="125"/>
      <c r="EA890" s="142"/>
      <c r="EB890" s="125"/>
      <c r="EC890" s="16"/>
      <c r="ED890" s="125"/>
      <c r="EE890" s="125"/>
      <c r="EF890" s="16"/>
      <c r="EG890" s="125"/>
      <c r="EQ890" s="125"/>
      <c r="ER890" s="16"/>
      <c r="ES890" s="123"/>
      <c r="ET890" s="19"/>
      <c r="EU890" s="139"/>
      <c r="EV890" s="139"/>
      <c r="EW890" s="123"/>
      <c r="EX890" s="123"/>
      <c r="EY890" s="123"/>
      <c r="EZ890" s="123"/>
      <c r="FA890" s="123"/>
      <c r="FB890" s="123"/>
      <c r="FC890" s="6"/>
      <c r="FD890" s="123"/>
      <c r="FE890" s="6"/>
      <c r="FF890" s="123"/>
      <c r="FG890" s="6"/>
      <c r="FH890" s="6"/>
      <c r="FI890" s="6"/>
      <c r="FJ890" s="6"/>
      <c r="FK890" s="123"/>
      <c r="FL890" s="6"/>
      <c r="FM890" s="6"/>
      <c r="FN890" s="6"/>
      <c r="FO890" s="138"/>
      <c r="FP890" s="138"/>
      <c r="FQ890" s="123"/>
      <c r="FR890" s="6"/>
      <c r="FS890" s="6"/>
      <c r="FT890" s="139"/>
      <c r="FU890" s="139"/>
      <c r="FV890" s="76"/>
      <c r="FW890" s="123"/>
      <c r="FX890" s="6"/>
    </row>
    <row r="891" spans="35:180">
      <c r="AI891" s="125"/>
      <c r="AJ891" s="16"/>
      <c r="AM891" s="16"/>
      <c r="AN891" s="16"/>
      <c r="AO891" s="125"/>
      <c r="AP891" s="16"/>
      <c r="AQ891" s="125"/>
      <c r="AZ891" s="125"/>
      <c r="BA891" s="142"/>
      <c r="BB891" s="125"/>
      <c r="BC891" s="16"/>
      <c r="BD891" s="125"/>
      <c r="BE891" s="125"/>
      <c r="BF891" s="16"/>
      <c r="BG891" s="125"/>
      <c r="BQ891" s="125"/>
      <c r="BR891" s="16"/>
      <c r="BS891" s="123"/>
      <c r="BT891" s="19"/>
      <c r="BU891" s="139"/>
      <c r="BV891" s="139"/>
      <c r="BW891" s="123"/>
      <c r="BX891" s="123"/>
      <c r="BY891" s="123"/>
      <c r="BZ891" s="123"/>
      <c r="CA891" s="123"/>
      <c r="CB891" s="123"/>
      <c r="CC891" s="6"/>
      <c r="CD891" s="123"/>
      <c r="CE891" s="6"/>
      <c r="CF891" s="123"/>
      <c r="CG891" s="6"/>
      <c r="CH891" s="6"/>
      <c r="CI891" s="6"/>
      <c r="CJ891" s="6"/>
      <c r="CK891" s="123"/>
      <c r="CL891" s="6"/>
      <c r="CM891" s="6"/>
      <c r="CN891" s="6"/>
      <c r="CO891" s="138"/>
      <c r="CP891" s="138"/>
      <c r="CQ891" s="123"/>
      <c r="CR891" s="6"/>
      <c r="CS891" s="6"/>
      <c r="CT891" s="139"/>
      <c r="CU891" s="139"/>
      <c r="CV891" s="76"/>
      <c r="CW891" s="123"/>
      <c r="CX891" s="6"/>
      <c r="DI891" s="125"/>
      <c r="DJ891" s="16"/>
      <c r="DM891" s="16"/>
      <c r="DN891" s="16"/>
      <c r="DO891" s="125"/>
      <c r="DP891" s="16"/>
      <c r="DQ891" s="125"/>
      <c r="DZ891" s="125"/>
      <c r="EA891" s="142"/>
      <c r="EB891" s="125"/>
      <c r="EC891" s="16"/>
      <c r="ED891" s="125"/>
      <c r="EE891" s="125"/>
      <c r="EF891" s="16"/>
      <c r="EG891" s="125"/>
      <c r="EQ891" s="125"/>
      <c r="ER891" s="16"/>
      <c r="ES891" s="123"/>
      <c r="ET891" s="19"/>
      <c r="EU891" s="139"/>
      <c r="EV891" s="139"/>
      <c r="EW891" s="123"/>
      <c r="EX891" s="123"/>
      <c r="EY891" s="123"/>
      <c r="EZ891" s="123"/>
      <c r="FA891" s="123"/>
      <c r="FB891" s="123"/>
      <c r="FC891" s="6"/>
      <c r="FD891" s="123"/>
      <c r="FE891" s="6"/>
      <c r="FF891" s="123"/>
      <c r="FG891" s="6"/>
      <c r="FH891" s="6"/>
      <c r="FI891" s="6"/>
      <c r="FJ891" s="6"/>
      <c r="FK891" s="123"/>
      <c r="FL891" s="6"/>
      <c r="FM891" s="6"/>
      <c r="FN891" s="6"/>
      <c r="FO891" s="138"/>
      <c r="FP891" s="138"/>
      <c r="FQ891" s="123"/>
      <c r="FR891" s="6"/>
      <c r="FS891" s="6"/>
      <c r="FT891" s="139"/>
      <c r="FU891" s="139"/>
      <c r="FV891" s="76"/>
      <c r="FW891" s="123"/>
      <c r="FX891" s="6"/>
    </row>
    <row r="892" spans="35:180">
      <c r="AI892" s="125"/>
      <c r="AJ892" s="16"/>
      <c r="AM892" s="16"/>
      <c r="AN892" s="16"/>
      <c r="AO892" s="125"/>
      <c r="AP892" s="16"/>
      <c r="AQ892" s="125"/>
      <c r="AZ892" s="125"/>
      <c r="BA892" s="142"/>
      <c r="BB892" s="125"/>
      <c r="BC892" s="16"/>
      <c r="BD892" s="125"/>
      <c r="BE892" s="125"/>
      <c r="BF892" s="16"/>
      <c r="BG892" s="125"/>
      <c r="BQ892" s="125"/>
      <c r="BR892" s="16"/>
      <c r="BS892" s="123"/>
      <c r="BT892" s="19"/>
      <c r="BU892" s="139"/>
      <c r="BV892" s="139"/>
      <c r="BW892" s="123"/>
      <c r="BX892" s="123"/>
      <c r="BY892" s="123"/>
      <c r="BZ892" s="123"/>
      <c r="CA892" s="123"/>
      <c r="CB892" s="123"/>
      <c r="CC892" s="6"/>
      <c r="CD892" s="123"/>
      <c r="CE892" s="6"/>
      <c r="CF892" s="123"/>
      <c r="CG892" s="6"/>
      <c r="CH892" s="6"/>
      <c r="CI892" s="6"/>
      <c r="CJ892" s="6"/>
      <c r="CK892" s="123"/>
      <c r="CL892" s="6"/>
      <c r="CM892" s="6"/>
      <c r="CN892" s="6"/>
      <c r="CO892" s="138"/>
      <c r="CP892" s="138"/>
      <c r="CQ892" s="123"/>
      <c r="CR892" s="6"/>
      <c r="CS892" s="6"/>
      <c r="CT892" s="139"/>
      <c r="CU892" s="139"/>
      <c r="CV892" s="76"/>
      <c r="CW892" s="123"/>
      <c r="CX892" s="6"/>
      <c r="DI892" s="125"/>
      <c r="DJ892" s="16"/>
      <c r="DM892" s="16"/>
      <c r="DN892" s="16"/>
      <c r="DO892" s="125"/>
      <c r="DP892" s="16"/>
      <c r="DQ892" s="125"/>
      <c r="DZ892" s="125"/>
      <c r="EA892" s="142"/>
      <c r="EB892" s="125"/>
      <c r="EC892" s="16"/>
      <c r="ED892" s="125"/>
      <c r="EE892" s="125"/>
      <c r="EF892" s="16"/>
      <c r="EG892" s="125"/>
      <c r="EQ892" s="125"/>
      <c r="ER892" s="16"/>
      <c r="ES892" s="123"/>
      <c r="ET892" s="19"/>
      <c r="EU892" s="139"/>
      <c r="EV892" s="139"/>
      <c r="EW892" s="123"/>
      <c r="EX892" s="123"/>
      <c r="EY892" s="123"/>
      <c r="EZ892" s="123"/>
      <c r="FA892" s="123"/>
      <c r="FB892" s="123"/>
      <c r="FC892" s="6"/>
      <c r="FD892" s="123"/>
      <c r="FE892" s="6"/>
      <c r="FF892" s="123"/>
      <c r="FG892" s="6"/>
      <c r="FH892" s="6"/>
      <c r="FI892" s="6"/>
      <c r="FJ892" s="6"/>
      <c r="FK892" s="123"/>
      <c r="FL892" s="6"/>
      <c r="FM892" s="6"/>
      <c r="FN892" s="6"/>
      <c r="FO892" s="138"/>
      <c r="FP892" s="138"/>
      <c r="FQ892" s="123"/>
      <c r="FR892" s="6"/>
      <c r="FS892" s="6"/>
      <c r="FT892" s="139"/>
      <c r="FU892" s="139"/>
      <c r="FV892" s="76"/>
      <c r="FW892" s="123"/>
      <c r="FX892" s="6"/>
    </row>
    <row r="893" spans="35:180">
      <c r="AI893" s="125"/>
      <c r="AJ893" s="16"/>
      <c r="AM893" s="16"/>
      <c r="AN893" s="16"/>
      <c r="AO893" s="125"/>
      <c r="AP893" s="16"/>
      <c r="AQ893" s="125"/>
      <c r="AZ893" s="125"/>
      <c r="BA893" s="142"/>
      <c r="BB893" s="125"/>
      <c r="BC893" s="16"/>
      <c r="BD893" s="125"/>
      <c r="BE893" s="125"/>
      <c r="BF893" s="16"/>
      <c r="BG893" s="125"/>
      <c r="BQ893" s="125"/>
      <c r="BR893" s="16"/>
      <c r="BS893" s="123"/>
      <c r="BT893" s="19"/>
      <c r="BU893" s="139"/>
      <c r="BV893" s="139"/>
      <c r="BW893" s="123"/>
      <c r="BX893" s="123"/>
      <c r="BY893" s="123"/>
      <c r="BZ893" s="123"/>
      <c r="CA893" s="123"/>
      <c r="CB893" s="123"/>
      <c r="CC893" s="6"/>
      <c r="CD893" s="123"/>
      <c r="CE893" s="6"/>
      <c r="CF893" s="123"/>
      <c r="CG893" s="6"/>
      <c r="CH893" s="6"/>
      <c r="CI893" s="6"/>
      <c r="CJ893" s="6"/>
      <c r="CK893" s="123"/>
      <c r="CL893" s="6"/>
      <c r="CM893" s="6"/>
      <c r="CN893" s="6"/>
      <c r="CO893" s="138"/>
      <c r="CP893" s="138"/>
      <c r="CQ893" s="123"/>
      <c r="CR893" s="6"/>
      <c r="CS893" s="6"/>
      <c r="CT893" s="139"/>
      <c r="CU893" s="139"/>
      <c r="CV893" s="76"/>
      <c r="CW893" s="123"/>
      <c r="CX893" s="6"/>
      <c r="DI893" s="125"/>
      <c r="DJ893" s="16"/>
      <c r="DM893" s="16"/>
      <c r="DN893" s="16"/>
      <c r="DO893" s="125"/>
      <c r="DP893" s="16"/>
      <c r="DQ893" s="125"/>
      <c r="DZ893" s="125"/>
      <c r="EA893" s="142"/>
      <c r="EB893" s="125"/>
      <c r="EC893" s="16"/>
      <c r="ED893" s="125"/>
      <c r="EE893" s="125"/>
      <c r="EF893" s="16"/>
      <c r="EG893" s="125"/>
      <c r="EQ893" s="125"/>
      <c r="ER893" s="16"/>
      <c r="ES893" s="123"/>
      <c r="ET893" s="19"/>
      <c r="EU893" s="139"/>
      <c r="EV893" s="139"/>
      <c r="EW893" s="123"/>
      <c r="EX893" s="123"/>
      <c r="EY893" s="123"/>
      <c r="EZ893" s="123"/>
      <c r="FA893" s="123"/>
      <c r="FB893" s="123"/>
      <c r="FC893" s="6"/>
      <c r="FD893" s="123"/>
      <c r="FE893" s="6"/>
      <c r="FF893" s="123"/>
      <c r="FG893" s="6"/>
      <c r="FH893" s="6"/>
      <c r="FI893" s="6"/>
      <c r="FJ893" s="6"/>
      <c r="FK893" s="123"/>
      <c r="FL893" s="6"/>
      <c r="FM893" s="6"/>
      <c r="FN893" s="6"/>
      <c r="FO893" s="138"/>
      <c r="FP893" s="138"/>
      <c r="FQ893" s="123"/>
      <c r="FR893" s="6"/>
      <c r="FS893" s="6"/>
      <c r="FT893" s="139"/>
      <c r="FU893" s="139"/>
      <c r="FV893" s="76"/>
      <c r="FW893" s="123"/>
      <c r="FX893" s="6"/>
    </row>
    <row r="894" spans="35:180">
      <c r="AI894" s="125"/>
      <c r="AJ894" s="16"/>
      <c r="AM894" s="16"/>
      <c r="AN894" s="16"/>
      <c r="AO894" s="125"/>
      <c r="AP894" s="16"/>
      <c r="AQ894" s="125"/>
      <c r="AZ894" s="125"/>
      <c r="BA894" s="142"/>
      <c r="BB894" s="125"/>
      <c r="BC894" s="16"/>
      <c r="BD894" s="125"/>
      <c r="BE894" s="125"/>
      <c r="BF894" s="16"/>
      <c r="BG894" s="125"/>
      <c r="BQ894" s="125"/>
      <c r="BR894" s="16"/>
      <c r="BS894" s="123"/>
      <c r="BT894" s="19"/>
      <c r="BU894" s="139"/>
      <c r="BV894" s="139"/>
      <c r="BW894" s="123"/>
      <c r="BX894" s="123"/>
      <c r="BY894" s="123"/>
      <c r="BZ894" s="123"/>
      <c r="CA894" s="123"/>
      <c r="CB894" s="123"/>
      <c r="CC894" s="6"/>
      <c r="CD894" s="123"/>
      <c r="CE894" s="6"/>
      <c r="CF894" s="123"/>
      <c r="CG894" s="6"/>
      <c r="CH894" s="6"/>
      <c r="CI894" s="6"/>
      <c r="CJ894" s="6"/>
      <c r="CK894" s="123"/>
      <c r="CL894" s="6"/>
      <c r="CM894" s="6"/>
      <c r="CN894" s="6"/>
      <c r="CO894" s="138"/>
      <c r="CP894" s="138"/>
      <c r="CQ894" s="123"/>
      <c r="CR894" s="6"/>
      <c r="CS894" s="6"/>
      <c r="CT894" s="139"/>
      <c r="CU894" s="139"/>
      <c r="CV894" s="76"/>
      <c r="CW894" s="123"/>
      <c r="CX894" s="6"/>
      <c r="DI894" s="125"/>
      <c r="DJ894" s="16"/>
      <c r="DM894" s="16"/>
      <c r="DN894" s="16"/>
      <c r="DO894" s="125"/>
      <c r="DP894" s="16"/>
      <c r="DQ894" s="125"/>
      <c r="DZ894" s="125"/>
      <c r="EA894" s="142"/>
      <c r="EB894" s="125"/>
      <c r="EC894" s="16"/>
      <c r="ED894" s="125"/>
      <c r="EE894" s="125"/>
      <c r="EF894" s="16"/>
      <c r="EG894" s="125"/>
      <c r="EQ894" s="125"/>
      <c r="ER894" s="16"/>
      <c r="ES894" s="123"/>
      <c r="ET894" s="19"/>
      <c r="EU894" s="139"/>
      <c r="EV894" s="139"/>
      <c r="EW894" s="123"/>
      <c r="EX894" s="123"/>
      <c r="EY894" s="123"/>
      <c r="EZ894" s="123"/>
      <c r="FA894" s="123"/>
      <c r="FB894" s="123"/>
      <c r="FC894" s="6"/>
      <c r="FD894" s="123"/>
      <c r="FE894" s="6"/>
      <c r="FF894" s="123"/>
      <c r="FG894" s="6"/>
      <c r="FH894" s="6"/>
      <c r="FI894" s="6"/>
      <c r="FJ894" s="6"/>
      <c r="FK894" s="123"/>
      <c r="FL894" s="6"/>
      <c r="FM894" s="6"/>
      <c r="FN894" s="6"/>
      <c r="FO894" s="138"/>
      <c r="FP894" s="138"/>
      <c r="FQ894" s="123"/>
      <c r="FR894" s="6"/>
      <c r="FS894" s="6"/>
      <c r="FT894" s="139"/>
      <c r="FU894" s="139"/>
      <c r="FV894" s="76"/>
      <c r="FW894" s="123"/>
      <c r="FX894" s="6"/>
    </row>
    <row r="895" spans="35:180">
      <c r="AI895" s="125"/>
      <c r="AJ895" s="16"/>
      <c r="AM895" s="16"/>
      <c r="AN895" s="16"/>
      <c r="AO895" s="125"/>
      <c r="AP895" s="16"/>
      <c r="AQ895" s="125"/>
      <c r="AZ895" s="125"/>
      <c r="BA895" s="142"/>
      <c r="BB895" s="125"/>
      <c r="BC895" s="16"/>
      <c r="BD895" s="125"/>
      <c r="BE895" s="125"/>
      <c r="BF895" s="16"/>
      <c r="BG895" s="125"/>
      <c r="BQ895" s="125"/>
      <c r="BR895" s="16"/>
      <c r="BS895" s="123"/>
      <c r="BT895" s="19"/>
      <c r="BU895" s="139"/>
      <c r="BV895" s="139"/>
      <c r="BW895" s="123"/>
      <c r="BX895" s="123"/>
      <c r="BY895" s="123"/>
      <c r="BZ895" s="123"/>
      <c r="CA895" s="123"/>
      <c r="CB895" s="123"/>
      <c r="CC895" s="6"/>
      <c r="CD895" s="123"/>
      <c r="CE895" s="6"/>
      <c r="CF895" s="123"/>
      <c r="CG895" s="6"/>
      <c r="CH895" s="6"/>
      <c r="CI895" s="6"/>
      <c r="CJ895" s="6"/>
      <c r="CK895" s="123"/>
      <c r="CL895" s="6"/>
      <c r="CM895" s="6"/>
      <c r="CN895" s="6"/>
      <c r="CO895" s="138"/>
      <c r="CP895" s="138"/>
      <c r="CQ895" s="123"/>
      <c r="CR895" s="6"/>
      <c r="CS895" s="6"/>
      <c r="CT895" s="139"/>
      <c r="CU895" s="139"/>
      <c r="CV895" s="76"/>
      <c r="CW895" s="123"/>
      <c r="CX895" s="6"/>
      <c r="DI895" s="125"/>
      <c r="DJ895" s="16"/>
      <c r="DM895" s="16"/>
      <c r="DN895" s="16"/>
      <c r="DO895" s="125"/>
      <c r="DP895" s="16"/>
      <c r="DQ895" s="125"/>
      <c r="DZ895" s="125"/>
      <c r="EA895" s="142"/>
      <c r="EB895" s="125"/>
      <c r="EC895" s="16"/>
      <c r="ED895" s="125"/>
      <c r="EE895" s="125"/>
      <c r="EF895" s="16"/>
      <c r="EG895" s="125"/>
      <c r="EQ895" s="125"/>
      <c r="ER895" s="16"/>
      <c r="ES895" s="123"/>
      <c r="ET895" s="19"/>
      <c r="EU895" s="139"/>
      <c r="EV895" s="139"/>
      <c r="EW895" s="123"/>
      <c r="EX895" s="123"/>
      <c r="EY895" s="123"/>
      <c r="EZ895" s="123"/>
      <c r="FA895" s="123"/>
      <c r="FB895" s="123"/>
      <c r="FC895" s="6"/>
      <c r="FD895" s="123"/>
      <c r="FE895" s="6"/>
      <c r="FF895" s="123"/>
      <c r="FG895" s="6"/>
      <c r="FH895" s="6"/>
      <c r="FI895" s="6"/>
      <c r="FJ895" s="6"/>
      <c r="FK895" s="123"/>
      <c r="FL895" s="6"/>
      <c r="FM895" s="6"/>
      <c r="FN895" s="6"/>
      <c r="FO895" s="138"/>
      <c r="FP895" s="138"/>
      <c r="FQ895" s="123"/>
      <c r="FR895" s="6"/>
      <c r="FS895" s="6"/>
      <c r="FT895" s="139"/>
      <c r="FU895" s="139"/>
      <c r="FV895" s="76"/>
      <c r="FW895" s="123"/>
      <c r="FX895" s="6"/>
    </row>
    <row r="896" spans="35:180">
      <c r="AI896" s="125"/>
      <c r="AJ896" s="16"/>
      <c r="AM896" s="16"/>
      <c r="AN896" s="16"/>
      <c r="AO896" s="125"/>
      <c r="AP896" s="16"/>
      <c r="AQ896" s="125"/>
      <c r="AZ896" s="125"/>
      <c r="BA896" s="142"/>
      <c r="BB896" s="125"/>
      <c r="BC896" s="16"/>
      <c r="BD896" s="125"/>
      <c r="BE896" s="125"/>
      <c r="BF896" s="16"/>
      <c r="BG896" s="125"/>
      <c r="BQ896" s="125"/>
      <c r="BR896" s="16"/>
      <c r="BS896" s="123"/>
      <c r="BT896" s="19"/>
      <c r="BU896" s="139"/>
      <c r="BV896" s="139"/>
      <c r="BW896" s="123"/>
      <c r="BX896" s="123"/>
      <c r="BY896" s="123"/>
      <c r="BZ896" s="123"/>
      <c r="CA896" s="123"/>
      <c r="CB896" s="123"/>
      <c r="CC896" s="6"/>
      <c r="CD896" s="123"/>
      <c r="CE896" s="6"/>
      <c r="CF896" s="123"/>
      <c r="CG896" s="6"/>
      <c r="CH896" s="6"/>
      <c r="CI896" s="6"/>
      <c r="CJ896" s="6"/>
      <c r="CK896" s="123"/>
      <c r="CL896" s="6"/>
      <c r="CM896" s="6"/>
      <c r="CN896" s="6"/>
      <c r="CO896" s="138"/>
      <c r="CP896" s="138"/>
      <c r="CQ896" s="123"/>
      <c r="CR896" s="6"/>
      <c r="CS896" s="6"/>
      <c r="CT896" s="139"/>
      <c r="CU896" s="139"/>
      <c r="CV896" s="76"/>
      <c r="CW896" s="123"/>
      <c r="CX896" s="6"/>
      <c r="DI896" s="125"/>
      <c r="DJ896" s="16"/>
      <c r="DM896" s="16"/>
      <c r="DN896" s="16"/>
      <c r="DO896" s="125"/>
      <c r="DP896" s="16"/>
      <c r="DQ896" s="125"/>
      <c r="DZ896" s="125"/>
      <c r="EA896" s="142"/>
      <c r="EB896" s="125"/>
      <c r="EC896" s="16"/>
      <c r="ED896" s="125"/>
      <c r="EE896" s="125"/>
      <c r="EF896" s="16"/>
      <c r="EG896" s="125"/>
      <c r="EQ896" s="125"/>
      <c r="ER896" s="16"/>
      <c r="ES896" s="123"/>
      <c r="ET896" s="19"/>
      <c r="EU896" s="139"/>
      <c r="EV896" s="139"/>
      <c r="EW896" s="123"/>
      <c r="EX896" s="123"/>
      <c r="EY896" s="123"/>
      <c r="EZ896" s="123"/>
      <c r="FA896" s="123"/>
      <c r="FB896" s="123"/>
      <c r="FC896" s="6"/>
      <c r="FD896" s="123"/>
      <c r="FE896" s="6"/>
      <c r="FF896" s="123"/>
      <c r="FG896" s="6"/>
      <c r="FH896" s="6"/>
      <c r="FI896" s="6"/>
      <c r="FJ896" s="6"/>
      <c r="FK896" s="123"/>
      <c r="FL896" s="6"/>
      <c r="FM896" s="6"/>
      <c r="FN896" s="6"/>
      <c r="FO896" s="138"/>
      <c r="FP896" s="138"/>
      <c r="FQ896" s="123"/>
      <c r="FR896" s="6"/>
      <c r="FS896" s="6"/>
      <c r="FT896" s="139"/>
      <c r="FU896" s="139"/>
      <c r="FV896" s="76"/>
      <c r="FW896" s="123"/>
      <c r="FX896" s="6"/>
    </row>
    <row r="897" spans="35:180">
      <c r="AI897" s="125"/>
      <c r="AJ897" s="16"/>
      <c r="AM897" s="16"/>
      <c r="AN897" s="16"/>
      <c r="AO897" s="125"/>
      <c r="AP897" s="16"/>
      <c r="AQ897" s="125"/>
      <c r="AZ897" s="125"/>
      <c r="BA897" s="142"/>
      <c r="BB897" s="125"/>
      <c r="BC897" s="16"/>
      <c r="BD897" s="125"/>
      <c r="BE897" s="125"/>
      <c r="BF897" s="16"/>
      <c r="BG897" s="125"/>
      <c r="BQ897" s="125"/>
      <c r="BR897" s="16"/>
      <c r="BS897" s="123"/>
      <c r="BT897" s="19"/>
      <c r="BU897" s="139"/>
      <c r="BV897" s="139"/>
      <c r="BW897" s="123"/>
      <c r="BX897" s="123"/>
      <c r="BY897" s="123"/>
      <c r="BZ897" s="123"/>
      <c r="CA897" s="123"/>
      <c r="CB897" s="123"/>
      <c r="CC897" s="6"/>
      <c r="CD897" s="123"/>
      <c r="CE897" s="6"/>
      <c r="CF897" s="123"/>
      <c r="CG897" s="6"/>
      <c r="CH897" s="6"/>
      <c r="CI897" s="6"/>
      <c r="CJ897" s="6"/>
      <c r="CK897" s="123"/>
      <c r="CL897" s="6"/>
      <c r="CM897" s="6"/>
      <c r="CN897" s="6"/>
      <c r="CO897" s="138"/>
      <c r="CP897" s="138"/>
      <c r="CQ897" s="123"/>
      <c r="CR897" s="6"/>
      <c r="CS897" s="6"/>
      <c r="CT897" s="139"/>
      <c r="CU897" s="139"/>
      <c r="CV897" s="76"/>
      <c r="CW897" s="123"/>
      <c r="CX897" s="6"/>
      <c r="DI897" s="125"/>
      <c r="DJ897" s="16"/>
      <c r="DM897" s="16"/>
      <c r="DN897" s="16"/>
      <c r="DO897" s="125"/>
      <c r="DP897" s="16"/>
      <c r="DQ897" s="125"/>
      <c r="DZ897" s="125"/>
      <c r="EA897" s="142"/>
      <c r="EB897" s="125"/>
      <c r="EC897" s="16"/>
      <c r="ED897" s="125"/>
      <c r="EE897" s="125"/>
      <c r="EF897" s="16"/>
      <c r="EG897" s="125"/>
      <c r="EQ897" s="125"/>
      <c r="ER897" s="16"/>
      <c r="ES897" s="123"/>
      <c r="ET897" s="19"/>
      <c r="EU897" s="139"/>
      <c r="EV897" s="139"/>
      <c r="EW897" s="123"/>
      <c r="EX897" s="123"/>
      <c r="EY897" s="123"/>
      <c r="EZ897" s="123"/>
      <c r="FA897" s="123"/>
      <c r="FB897" s="123"/>
      <c r="FC897" s="6"/>
      <c r="FD897" s="123"/>
      <c r="FE897" s="6"/>
      <c r="FF897" s="123"/>
      <c r="FG897" s="6"/>
      <c r="FH897" s="6"/>
      <c r="FI897" s="6"/>
      <c r="FJ897" s="6"/>
      <c r="FK897" s="123"/>
      <c r="FL897" s="6"/>
      <c r="FM897" s="6"/>
      <c r="FN897" s="6"/>
      <c r="FO897" s="138"/>
      <c r="FP897" s="138"/>
      <c r="FQ897" s="123"/>
      <c r="FR897" s="6"/>
      <c r="FS897" s="6"/>
      <c r="FT897" s="139"/>
      <c r="FU897" s="139"/>
      <c r="FV897" s="76"/>
      <c r="FW897" s="123"/>
      <c r="FX897" s="6"/>
    </row>
    <row r="898" spans="35:180">
      <c r="AI898" s="125"/>
      <c r="AJ898" s="16"/>
      <c r="AM898" s="16"/>
      <c r="AN898" s="16"/>
      <c r="AO898" s="125"/>
      <c r="AP898" s="16"/>
      <c r="AQ898" s="125"/>
      <c r="AZ898" s="125"/>
      <c r="BA898" s="142"/>
      <c r="BB898" s="125"/>
      <c r="BC898" s="16"/>
      <c r="BD898" s="125"/>
      <c r="BE898" s="125"/>
      <c r="BF898" s="16"/>
      <c r="BG898" s="125"/>
      <c r="BQ898" s="125"/>
      <c r="BR898" s="16"/>
      <c r="BS898" s="123"/>
      <c r="BT898" s="19"/>
      <c r="BU898" s="139"/>
      <c r="BV898" s="139"/>
      <c r="BW898" s="123"/>
      <c r="BX898" s="123"/>
      <c r="BY898" s="123"/>
      <c r="BZ898" s="123"/>
      <c r="CA898" s="123"/>
      <c r="CB898" s="123"/>
      <c r="CC898" s="6"/>
      <c r="CD898" s="123"/>
      <c r="CE898" s="6"/>
      <c r="CF898" s="123"/>
      <c r="CG898" s="6"/>
      <c r="CH898" s="6"/>
      <c r="CI898" s="6"/>
      <c r="CJ898" s="6"/>
      <c r="CK898" s="123"/>
      <c r="CL898" s="6"/>
      <c r="CM898" s="6"/>
      <c r="CN898" s="6"/>
      <c r="CO898" s="138"/>
      <c r="CP898" s="138"/>
      <c r="CQ898" s="123"/>
      <c r="CR898" s="6"/>
      <c r="CS898" s="6"/>
      <c r="CT898" s="139"/>
      <c r="CU898" s="139"/>
      <c r="CV898" s="76"/>
      <c r="CW898" s="123"/>
      <c r="CX898" s="6"/>
      <c r="DI898" s="125"/>
      <c r="DJ898" s="16"/>
      <c r="DM898" s="16"/>
      <c r="DN898" s="16"/>
      <c r="DO898" s="125"/>
      <c r="DP898" s="16"/>
      <c r="DQ898" s="125"/>
      <c r="DZ898" s="125"/>
      <c r="EA898" s="142"/>
      <c r="EB898" s="125"/>
      <c r="EC898" s="16"/>
      <c r="ED898" s="125"/>
      <c r="EE898" s="125"/>
      <c r="EF898" s="16"/>
      <c r="EG898" s="125"/>
      <c r="EQ898" s="125"/>
      <c r="ER898" s="16"/>
      <c r="ES898" s="123"/>
      <c r="ET898" s="19"/>
      <c r="EU898" s="139"/>
      <c r="EV898" s="139"/>
      <c r="EW898" s="123"/>
      <c r="EX898" s="123"/>
      <c r="EY898" s="123"/>
      <c r="EZ898" s="123"/>
      <c r="FA898" s="123"/>
      <c r="FB898" s="123"/>
      <c r="FC898" s="6"/>
      <c r="FD898" s="123"/>
      <c r="FE898" s="6"/>
      <c r="FF898" s="123"/>
      <c r="FG898" s="6"/>
      <c r="FH898" s="6"/>
      <c r="FI898" s="6"/>
      <c r="FJ898" s="6"/>
      <c r="FK898" s="123"/>
      <c r="FL898" s="6"/>
      <c r="FM898" s="6"/>
      <c r="FN898" s="6"/>
      <c r="FO898" s="138"/>
      <c r="FP898" s="138"/>
      <c r="FQ898" s="123"/>
      <c r="FR898" s="6"/>
      <c r="FS898" s="6"/>
      <c r="FT898" s="139"/>
      <c r="FU898" s="139"/>
      <c r="FV898" s="76"/>
      <c r="FW898" s="123"/>
      <c r="FX898" s="6"/>
    </row>
    <row r="899" spans="35:180">
      <c r="AI899" s="125"/>
      <c r="AJ899" s="16"/>
      <c r="AM899" s="16"/>
      <c r="AN899" s="16"/>
      <c r="AO899" s="125"/>
      <c r="AP899" s="16"/>
      <c r="AQ899" s="125"/>
      <c r="AZ899" s="125"/>
      <c r="BA899" s="142"/>
      <c r="BB899" s="125"/>
      <c r="BC899" s="16"/>
      <c r="BD899" s="125"/>
      <c r="BE899" s="125"/>
      <c r="BF899" s="16"/>
      <c r="BG899" s="125"/>
      <c r="BQ899" s="125"/>
      <c r="BR899" s="16"/>
      <c r="BS899" s="123"/>
      <c r="BT899" s="19"/>
      <c r="BU899" s="139"/>
      <c r="BV899" s="139"/>
      <c r="BW899" s="123"/>
      <c r="BX899" s="123"/>
      <c r="BY899" s="123"/>
      <c r="BZ899" s="123"/>
      <c r="CA899" s="123"/>
      <c r="CB899" s="123"/>
      <c r="CC899" s="6"/>
      <c r="CD899" s="123"/>
      <c r="CE899" s="6"/>
      <c r="CF899" s="123"/>
      <c r="CG899" s="6"/>
      <c r="CH899" s="6"/>
      <c r="CI899" s="6"/>
      <c r="CJ899" s="6"/>
      <c r="CK899" s="123"/>
      <c r="CL899" s="6"/>
      <c r="CM899" s="6"/>
      <c r="CN899" s="6"/>
      <c r="CO899" s="138"/>
      <c r="CP899" s="138"/>
      <c r="CQ899" s="123"/>
      <c r="CR899" s="6"/>
      <c r="CS899" s="6"/>
      <c r="CT899" s="139"/>
      <c r="CU899" s="139"/>
      <c r="CV899" s="76"/>
      <c r="CW899" s="123"/>
      <c r="CX899" s="6"/>
      <c r="DI899" s="125"/>
      <c r="DJ899" s="16"/>
      <c r="DM899" s="16"/>
      <c r="DN899" s="16"/>
      <c r="DO899" s="125"/>
      <c r="DP899" s="16"/>
      <c r="DQ899" s="125"/>
      <c r="DZ899" s="125"/>
      <c r="EA899" s="142"/>
      <c r="EB899" s="125"/>
      <c r="EC899" s="16"/>
      <c r="ED899" s="125"/>
      <c r="EE899" s="125"/>
      <c r="EF899" s="16"/>
      <c r="EG899" s="125"/>
      <c r="EQ899" s="125"/>
      <c r="ER899" s="16"/>
      <c r="ES899" s="123"/>
      <c r="ET899" s="19"/>
      <c r="EU899" s="139"/>
      <c r="EV899" s="139"/>
      <c r="EW899" s="123"/>
      <c r="EX899" s="123"/>
      <c r="EY899" s="123"/>
      <c r="EZ899" s="123"/>
      <c r="FA899" s="123"/>
      <c r="FB899" s="123"/>
      <c r="FC899" s="6"/>
      <c r="FD899" s="123"/>
      <c r="FE899" s="6"/>
      <c r="FF899" s="123"/>
      <c r="FG899" s="6"/>
      <c r="FH899" s="6"/>
      <c r="FI899" s="6"/>
      <c r="FJ899" s="6"/>
      <c r="FK899" s="123"/>
      <c r="FL899" s="6"/>
      <c r="FM899" s="6"/>
      <c r="FN899" s="6"/>
      <c r="FO899" s="138"/>
      <c r="FP899" s="138"/>
      <c r="FQ899" s="123"/>
      <c r="FR899" s="6"/>
      <c r="FS899" s="6"/>
      <c r="FT899" s="139"/>
      <c r="FU899" s="139"/>
      <c r="FV899" s="76"/>
      <c r="FW899" s="123"/>
      <c r="FX899" s="6"/>
    </row>
    <row r="900" spans="35:180">
      <c r="AI900" s="125"/>
      <c r="AJ900" s="16"/>
      <c r="AM900" s="16"/>
      <c r="AN900" s="16"/>
      <c r="AO900" s="125"/>
      <c r="AP900" s="16"/>
      <c r="AQ900" s="125"/>
      <c r="AZ900" s="125"/>
      <c r="BA900" s="142"/>
      <c r="BB900" s="125"/>
      <c r="BC900" s="16"/>
      <c r="BD900" s="125"/>
      <c r="BE900" s="125"/>
      <c r="BF900" s="16"/>
      <c r="BG900" s="125"/>
      <c r="BQ900" s="125"/>
      <c r="BR900" s="16"/>
      <c r="BS900" s="123"/>
      <c r="BT900" s="19"/>
      <c r="BU900" s="139"/>
      <c r="BV900" s="139"/>
      <c r="BW900" s="123"/>
      <c r="BX900" s="123"/>
      <c r="BY900" s="123"/>
      <c r="BZ900" s="123"/>
      <c r="CA900" s="123"/>
      <c r="CB900" s="123"/>
      <c r="CC900" s="6"/>
      <c r="CD900" s="123"/>
      <c r="CE900" s="6"/>
      <c r="CF900" s="123"/>
      <c r="CG900" s="6"/>
      <c r="CH900" s="6"/>
      <c r="CI900" s="6"/>
      <c r="CJ900" s="6"/>
      <c r="CK900" s="123"/>
      <c r="CL900" s="6"/>
      <c r="CM900" s="6"/>
      <c r="CN900" s="6"/>
      <c r="CO900" s="138"/>
      <c r="CP900" s="138"/>
      <c r="CQ900" s="123"/>
      <c r="CR900" s="6"/>
      <c r="CS900" s="6"/>
      <c r="CT900" s="139"/>
      <c r="CU900" s="139"/>
      <c r="CV900" s="76"/>
      <c r="CW900" s="123"/>
      <c r="CX900" s="6"/>
      <c r="DI900" s="125"/>
      <c r="DJ900" s="16"/>
      <c r="DM900" s="16"/>
      <c r="DN900" s="16"/>
      <c r="DO900" s="125"/>
      <c r="DP900" s="16"/>
      <c r="DQ900" s="125"/>
      <c r="DZ900" s="125"/>
      <c r="EA900" s="142"/>
      <c r="EB900" s="125"/>
      <c r="EC900" s="16"/>
      <c r="ED900" s="125"/>
      <c r="EE900" s="125"/>
      <c r="EF900" s="16"/>
      <c r="EG900" s="125"/>
      <c r="EQ900" s="125"/>
      <c r="ER900" s="16"/>
      <c r="ES900" s="123"/>
      <c r="ET900" s="19"/>
      <c r="EU900" s="139"/>
      <c r="EV900" s="139"/>
      <c r="EW900" s="123"/>
      <c r="EX900" s="123"/>
      <c r="EY900" s="123"/>
      <c r="EZ900" s="123"/>
      <c r="FA900" s="123"/>
      <c r="FB900" s="123"/>
      <c r="FC900" s="6"/>
      <c r="FD900" s="123"/>
      <c r="FE900" s="6"/>
      <c r="FF900" s="123"/>
      <c r="FG900" s="6"/>
      <c r="FH900" s="6"/>
      <c r="FI900" s="6"/>
      <c r="FJ900" s="6"/>
      <c r="FK900" s="123"/>
      <c r="FL900" s="6"/>
      <c r="FM900" s="6"/>
      <c r="FN900" s="6"/>
      <c r="FO900" s="138"/>
      <c r="FP900" s="138"/>
      <c r="FQ900" s="123"/>
      <c r="FR900" s="6"/>
      <c r="FS900" s="6"/>
      <c r="FT900" s="139"/>
      <c r="FU900" s="139"/>
      <c r="FV900" s="76"/>
      <c r="FW900" s="123"/>
      <c r="FX900" s="6"/>
    </row>
    <row r="901" spans="35:180">
      <c r="AI901" s="125"/>
      <c r="AJ901" s="16"/>
      <c r="AM901" s="16"/>
      <c r="AN901" s="16"/>
      <c r="AO901" s="125"/>
      <c r="AP901" s="16"/>
      <c r="AQ901" s="125"/>
      <c r="AZ901" s="125"/>
      <c r="BA901" s="142"/>
      <c r="BB901" s="125"/>
      <c r="BC901" s="16"/>
      <c r="BD901" s="125"/>
      <c r="BE901" s="125"/>
      <c r="BF901" s="16"/>
      <c r="BG901" s="125"/>
      <c r="BQ901" s="125"/>
      <c r="BR901" s="16"/>
      <c r="BS901" s="123"/>
      <c r="BT901" s="19"/>
      <c r="BU901" s="139"/>
      <c r="BV901" s="139"/>
      <c r="BW901" s="123"/>
      <c r="BX901" s="123"/>
      <c r="BY901" s="123"/>
      <c r="BZ901" s="123"/>
      <c r="CA901" s="123"/>
      <c r="CB901" s="123"/>
      <c r="CC901" s="6"/>
      <c r="CD901" s="123"/>
      <c r="CE901" s="6"/>
      <c r="CF901" s="123"/>
      <c r="CG901" s="6"/>
      <c r="CH901" s="6"/>
      <c r="CI901" s="6"/>
      <c r="CJ901" s="6"/>
      <c r="CK901" s="123"/>
      <c r="CL901" s="6"/>
      <c r="CM901" s="6"/>
      <c r="CN901" s="6"/>
      <c r="CO901" s="138"/>
      <c r="CP901" s="138"/>
      <c r="CQ901" s="123"/>
      <c r="CR901" s="6"/>
      <c r="CS901" s="6"/>
      <c r="CT901" s="139"/>
      <c r="CU901" s="139"/>
      <c r="CV901" s="76"/>
      <c r="CW901" s="123"/>
      <c r="CX901" s="6"/>
      <c r="DI901" s="125"/>
      <c r="DJ901" s="16"/>
      <c r="DM901" s="16"/>
      <c r="DN901" s="16"/>
      <c r="DO901" s="125"/>
      <c r="DP901" s="16"/>
      <c r="DQ901" s="125"/>
      <c r="DZ901" s="125"/>
      <c r="EA901" s="142"/>
      <c r="EB901" s="125"/>
      <c r="EC901" s="16"/>
      <c r="ED901" s="125"/>
      <c r="EE901" s="125"/>
      <c r="EF901" s="16"/>
      <c r="EG901" s="125"/>
      <c r="EQ901" s="125"/>
      <c r="ER901" s="16"/>
      <c r="ES901" s="123"/>
      <c r="ET901" s="19"/>
      <c r="EU901" s="139"/>
      <c r="EV901" s="139"/>
      <c r="EW901" s="123"/>
      <c r="EX901" s="123"/>
      <c r="EY901" s="123"/>
      <c r="EZ901" s="123"/>
      <c r="FA901" s="123"/>
      <c r="FB901" s="123"/>
      <c r="FC901" s="6"/>
      <c r="FD901" s="123"/>
      <c r="FE901" s="6"/>
      <c r="FF901" s="123"/>
      <c r="FG901" s="6"/>
      <c r="FH901" s="6"/>
      <c r="FI901" s="6"/>
      <c r="FJ901" s="6"/>
      <c r="FK901" s="123"/>
      <c r="FL901" s="6"/>
      <c r="FM901" s="6"/>
      <c r="FN901" s="6"/>
      <c r="FO901" s="138"/>
      <c r="FP901" s="138"/>
      <c r="FQ901" s="123"/>
      <c r="FR901" s="6"/>
      <c r="FS901" s="6"/>
      <c r="FT901" s="139"/>
      <c r="FU901" s="139"/>
      <c r="FV901" s="76"/>
      <c r="FW901" s="123"/>
      <c r="FX901" s="6"/>
    </row>
    <row r="902" spans="35:180">
      <c r="AI902" s="125"/>
      <c r="AJ902" s="16"/>
      <c r="AM902" s="16"/>
      <c r="AN902" s="16"/>
      <c r="AO902" s="125"/>
      <c r="AP902" s="16"/>
      <c r="AQ902" s="125"/>
      <c r="AZ902" s="125"/>
      <c r="BA902" s="142"/>
      <c r="BB902" s="125"/>
      <c r="BC902" s="16"/>
      <c r="BD902" s="125"/>
      <c r="BE902" s="125"/>
      <c r="BF902" s="16"/>
      <c r="BG902" s="125"/>
      <c r="BQ902" s="125"/>
      <c r="BR902" s="16"/>
      <c r="BS902" s="123"/>
      <c r="BT902" s="19"/>
      <c r="BU902" s="139"/>
      <c r="BV902" s="139"/>
      <c r="BW902" s="123"/>
      <c r="BX902" s="123"/>
      <c r="BY902" s="123"/>
      <c r="BZ902" s="123"/>
      <c r="CA902" s="123"/>
      <c r="CB902" s="123"/>
      <c r="CC902" s="6"/>
      <c r="CD902" s="123"/>
      <c r="CE902" s="6"/>
      <c r="CF902" s="123"/>
      <c r="CG902" s="6"/>
      <c r="CH902" s="6"/>
      <c r="CI902" s="6"/>
      <c r="CJ902" s="6"/>
      <c r="CK902" s="123"/>
      <c r="CL902" s="6"/>
      <c r="CM902" s="6"/>
      <c r="CN902" s="6"/>
      <c r="CO902" s="138"/>
      <c r="CP902" s="138"/>
      <c r="CQ902" s="123"/>
      <c r="CR902" s="6"/>
      <c r="CS902" s="6"/>
      <c r="CT902" s="139"/>
      <c r="CU902" s="139"/>
      <c r="CV902" s="76"/>
      <c r="CW902" s="123"/>
      <c r="CX902" s="6"/>
      <c r="DI902" s="125"/>
      <c r="DJ902" s="16"/>
      <c r="DM902" s="16"/>
      <c r="DN902" s="16"/>
      <c r="DO902" s="125"/>
      <c r="DP902" s="16"/>
      <c r="DQ902" s="125"/>
      <c r="DZ902" s="125"/>
      <c r="EA902" s="142"/>
      <c r="EB902" s="125"/>
      <c r="EC902" s="16"/>
      <c r="ED902" s="125"/>
      <c r="EE902" s="125"/>
      <c r="EF902" s="16"/>
      <c r="EG902" s="125"/>
      <c r="EQ902" s="125"/>
      <c r="ER902" s="16"/>
      <c r="ES902" s="123"/>
      <c r="ET902" s="19"/>
      <c r="EU902" s="139"/>
      <c r="EV902" s="139"/>
      <c r="EW902" s="123"/>
      <c r="EX902" s="123"/>
      <c r="EY902" s="123"/>
      <c r="EZ902" s="123"/>
      <c r="FA902" s="123"/>
      <c r="FB902" s="123"/>
      <c r="FC902" s="6"/>
      <c r="FD902" s="123"/>
      <c r="FE902" s="6"/>
      <c r="FF902" s="123"/>
      <c r="FG902" s="6"/>
      <c r="FH902" s="6"/>
      <c r="FI902" s="6"/>
      <c r="FJ902" s="6"/>
      <c r="FK902" s="123"/>
      <c r="FL902" s="6"/>
      <c r="FM902" s="6"/>
      <c r="FN902" s="6"/>
      <c r="FO902" s="138"/>
      <c r="FP902" s="138"/>
      <c r="FQ902" s="123"/>
      <c r="FR902" s="6"/>
      <c r="FS902" s="6"/>
      <c r="FT902" s="139"/>
      <c r="FU902" s="139"/>
      <c r="FV902" s="76"/>
      <c r="FW902" s="123"/>
      <c r="FX902" s="6"/>
    </row>
    <row r="903" spans="35:180">
      <c r="AI903" s="125"/>
      <c r="AJ903" s="16"/>
      <c r="AM903" s="16"/>
      <c r="AN903" s="16"/>
      <c r="AO903" s="125"/>
      <c r="AP903" s="16"/>
      <c r="AQ903" s="125"/>
      <c r="AZ903" s="125"/>
      <c r="BA903" s="142"/>
      <c r="BB903" s="125"/>
      <c r="BC903" s="16"/>
      <c r="BD903" s="125"/>
      <c r="BE903" s="125"/>
      <c r="BF903" s="16"/>
      <c r="BG903" s="125"/>
      <c r="BQ903" s="125"/>
      <c r="BR903" s="16"/>
      <c r="BS903" s="123"/>
      <c r="BT903" s="19"/>
      <c r="BU903" s="139"/>
      <c r="BV903" s="139"/>
      <c r="BW903" s="123"/>
      <c r="BX903" s="123"/>
      <c r="BY903" s="123"/>
      <c r="BZ903" s="123"/>
      <c r="CA903" s="123"/>
      <c r="CB903" s="123"/>
      <c r="CC903" s="6"/>
      <c r="CD903" s="123"/>
      <c r="CE903" s="6"/>
      <c r="CF903" s="123"/>
      <c r="CG903" s="6"/>
      <c r="CH903" s="6"/>
      <c r="CI903" s="6"/>
      <c r="CJ903" s="6"/>
      <c r="CK903" s="123"/>
      <c r="CL903" s="6"/>
      <c r="CM903" s="6"/>
      <c r="CN903" s="6"/>
      <c r="CO903" s="138"/>
      <c r="CP903" s="138"/>
      <c r="CQ903" s="123"/>
      <c r="CR903" s="6"/>
      <c r="CS903" s="6"/>
      <c r="CT903" s="139"/>
      <c r="CU903" s="139"/>
      <c r="CV903" s="76"/>
      <c r="CW903" s="123"/>
      <c r="CX903" s="6"/>
      <c r="DI903" s="125"/>
      <c r="DJ903" s="16"/>
      <c r="DM903" s="16"/>
      <c r="DN903" s="16"/>
      <c r="DO903" s="125"/>
      <c r="DP903" s="16"/>
      <c r="DQ903" s="125"/>
      <c r="DZ903" s="125"/>
      <c r="EA903" s="142"/>
      <c r="EB903" s="125"/>
      <c r="EC903" s="16"/>
      <c r="ED903" s="125"/>
      <c r="EE903" s="125"/>
      <c r="EF903" s="16"/>
      <c r="EG903" s="125"/>
      <c r="EQ903" s="125"/>
      <c r="ER903" s="16"/>
      <c r="ES903" s="123"/>
      <c r="ET903" s="19"/>
      <c r="EU903" s="139"/>
      <c r="EV903" s="139"/>
      <c r="EW903" s="123"/>
      <c r="EX903" s="123"/>
      <c r="EY903" s="123"/>
      <c r="EZ903" s="123"/>
      <c r="FA903" s="123"/>
      <c r="FB903" s="123"/>
      <c r="FC903" s="6"/>
      <c r="FD903" s="123"/>
      <c r="FE903" s="6"/>
      <c r="FF903" s="123"/>
      <c r="FG903" s="6"/>
      <c r="FH903" s="6"/>
      <c r="FI903" s="6"/>
      <c r="FJ903" s="6"/>
      <c r="FK903" s="123"/>
      <c r="FL903" s="6"/>
      <c r="FM903" s="6"/>
      <c r="FN903" s="6"/>
      <c r="FO903" s="138"/>
      <c r="FP903" s="138"/>
      <c r="FQ903" s="123"/>
      <c r="FR903" s="6"/>
      <c r="FS903" s="6"/>
      <c r="FT903" s="139"/>
      <c r="FU903" s="139"/>
      <c r="FV903" s="76"/>
      <c r="FW903" s="123"/>
      <c r="FX903" s="6"/>
    </row>
    <row r="904" spans="35:180">
      <c r="AI904" s="125"/>
      <c r="AJ904" s="16"/>
      <c r="AM904" s="16"/>
      <c r="AN904" s="16"/>
      <c r="AO904" s="125"/>
      <c r="AP904" s="16"/>
      <c r="AQ904" s="125"/>
      <c r="AZ904" s="125"/>
      <c r="BA904" s="142"/>
      <c r="BB904" s="125"/>
      <c r="BC904" s="16"/>
      <c r="BD904" s="125"/>
      <c r="BE904" s="125"/>
      <c r="BF904" s="16"/>
      <c r="BG904" s="125"/>
      <c r="BQ904" s="125"/>
      <c r="BR904" s="16"/>
      <c r="BS904" s="123"/>
      <c r="BT904" s="19"/>
      <c r="BU904" s="139"/>
      <c r="BV904" s="139"/>
      <c r="BW904" s="123"/>
      <c r="BX904" s="123"/>
      <c r="BY904" s="123"/>
      <c r="BZ904" s="123"/>
      <c r="CA904" s="123"/>
      <c r="CB904" s="123"/>
      <c r="CC904" s="6"/>
      <c r="CD904" s="123"/>
      <c r="CE904" s="6"/>
      <c r="CF904" s="123"/>
      <c r="CG904" s="6"/>
      <c r="CH904" s="6"/>
      <c r="CI904" s="6"/>
      <c r="CJ904" s="6"/>
      <c r="CK904" s="123"/>
      <c r="CL904" s="6"/>
      <c r="CM904" s="6"/>
      <c r="CN904" s="6"/>
      <c r="CO904" s="138"/>
      <c r="CP904" s="138"/>
      <c r="CQ904" s="123"/>
      <c r="CR904" s="6"/>
      <c r="CS904" s="6"/>
      <c r="CT904" s="139"/>
      <c r="CU904" s="139"/>
      <c r="CV904" s="76"/>
      <c r="CW904" s="123"/>
      <c r="CX904" s="6"/>
      <c r="DI904" s="125"/>
      <c r="DJ904" s="16"/>
      <c r="DM904" s="16"/>
      <c r="DN904" s="16"/>
      <c r="DO904" s="125"/>
      <c r="DP904" s="16"/>
      <c r="DQ904" s="125"/>
      <c r="DZ904" s="125"/>
      <c r="EA904" s="142"/>
      <c r="EB904" s="125"/>
      <c r="EC904" s="16"/>
      <c r="ED904" s="125"/>
      <c r="EE904" s="125"/>
      <c r="EF904" s="16"/>
      <c r="EG904" s="125"/>
      <c r="EQ904" s="125"/>
      <c r="ER904" s="16"/>
      <c r="ES904" s="123"/>
      <c r="ET904" s="19"/>
      <c r="EU904" s="139"/>
      <c r="EV904" s="139"/>
      <c r="EW904" s="123"/>
      <c r="EX904" s="123"/>
      <c r="EY904" s="123"/>
      <c r="EZ904" s="123"/>
      <c r="FA904" s="123"/>
      <c r="FB904" s="123"/>
      <c r="FC904" s="6"/>
      <c r="FD904" s="123"/>
      <c r="FE904" s="6"/>
      <c r="FF904" s="123"/>
      <c r="FG904" s="6"/>
      <c r="FH904" s="6"/>
      <c r="FI904" s="6"/>
      <c r="FJ904" s="6"/>
      <c r="FK904" s="123"/>
      <c r="FL904" s="6"/>
      <c r="FM904" s="6"/>
      <c r="FN904" s="6"/>
      <c r="FO904" s="138"/>
      <c r="FP904" s="138"/>
      <c r="FQ904" s="123"/>
      <c r="FR904" s="6"/>
      <c r="FS904" s="6"/>
      <c r="FT904" s="139"/>
      <c r="FU904" s="139"/>
      <c r="FV904" s="76"/>
      <c r="FW904" s="123"/>
      <c r="FX904" s="6"/>
    </row>
    <row r="905" spans="35:180">
      <c r="AI905" s="125"/>
      <c r="AJ905" s="16"/>
      <c r="AM905" s="16"/>
      <c r="AN905" s="16"/>
      <c r="AO905" s="125"/>
      <c r="AP905" s="16"/>
      <c r="AQ905" s="125"/>
      <c r="AZ905" s="125"/>
      <c r="BA905" s="142"/>
      <c r="BB905" s="125"/>
      <c r="BC905" s="16"/>
      <c r="BD905" s="125"/>
      <c r="BE905" s="125"/>
      <c r="BF905" s="16"/>
      <c r="BG905" s="125"/>
      <c r="BQ905" s="125"/>
      <c r="BR905" s="16"/>
      <c r="BS905" s="123"/>
      <c r="BT905" s="19"/>
      <c r="BU905" s="139"/>
      <c r="BV905" s="139"/>
      <c r="BW905" s="123"/>
      <c r="BX905" s="123"/>
      <c r="BY905" s="123"/>
      <c r="BZ905" s="123"/>
      <c r="CA905" s="123"/>
      <c r="CB905" s="123"/>
      <c r="CC905" s="6"/>
      <c r="CD905" s="123"/>
      <c r="CE905" s="6"/>
      <c r="CF905" s="123"/>
      <c r="CG905" s="6"/>
      <c r="CH905" s="6"/>
      <c r="CI905" s="6"/>
      <c r="CJ905" s="6"/>
      <c r="CK905" s="123"/>
      <c r="CL905" s="6"/>
      <c r="CM905" s="6"/>
      <c r="CN905" s="6"/>
      <c r="CO905" s="138"/>
      <c r="CP905" s="138"/>
      <c r="CQ905" s="123"/>
      <c r="CR905" s="6"/>
      <c r="CS905" s="6"/>
      <c r="CT905" s="139"/>
      <c r="CU905" s="139"/>
      <c r="CV905" s="76"/>
      <c r="CW905" s="123"/>
      <c r="CX905" s="6"/>
      <c r="DI905" s="125"/>
      <c r="DJ905" s="16"/>
      <c r="DM905" s="16"/>
      <c r="DN905" s="16"/>
      <c r="DO905" s="125"/>
      <c r="DP905" s="16"/>
      <c r="DQ905" s="125"/>
      <c r="DZ905" s="125"/>
      <c r="EA905" s="142"/>
      <c r="EB905" s="125"/>
      <c r="EC905" s="16"/>
      <c r="ED905" s="125"/>
      <c r="EE905" s="125"/>
      <c r="EF905" s="16"/>
      <c r="EG905" s="125"/>
      <c r="EQ905" s="125"/>
      <c r="ER905" s="16"/>
      <c r="ES905" s="123"/>
      <c r="ET905" s="19"/>
      <c r="EU905" s="139"/>
      <c r="EV905" s="139"/>
      <c r="EW905" s="123"/>
      <c r="EX905" s="123"/>
      <c r="EY905" s="123"/>
      <c r="EZ905" s="123"/>
      <c r="FA905" s="123"/>
      <c r="FB905" s="123"/>
      <c r="FC905" s="6"/>
      <c r="FD905" s="123"/>
      <c r="FE905" s="6"/>
      <c r="FF905" s="123"/>
      <c r="FG905" s="6"/>
      <c r="FH905" s="6"/>
      <c r="FI905" s="6"/>
      <c r="FJ905" s="6"/>
      <c r="FK905" s="123"/>
      <c r="FL905" s="6"/>
      <c r="FM905" s="6"/>
      <c r="FN905" s="6"/>
      <c r="FO905" s="138"/>
      <c r="FP905" s="138"/>
      <c r="FQ905" s="123"/>
      <c r="FR905" s="6"/>
      <c r="FS905" s="6"/>
      <c r="FT905" s="139"/>
      <c r="FU905" s="139"/>
      <c r="FV905" s="76"/>
      <c r="FW905" s="123"/>
      <c r="FX905" s="6"/>
    </row>
    <row r="906" spans="35:180">
      <c r="AI906" s="125"/>
      <c r="AJ906" s="16"/>
      <c r="AM906" s="16"/>
      <c r="AN906" s="16"/>
      <c r="AO906" s="125"/>
      <c r="AP906" s="16"/>
      <c r="AQ906" s="125"/>
      <c r="AZ906" s="125"/>
      <c r="BA906" s="142"/>
      <c r="BB906" s="125"/>
      <c r="BC906" s="16"/>
      <c r="BD906" s="125"/>
      <c r="BE906" s="125"/>
      <c r="BF906" s="16"/>
      <c r="BG906" s="125"/>
      <c r="BQ906" s="125"/>
      <c r="BR906" s="16"/>
      <c r="BS906" s="123"/>
      <c r="BT906" s="19"/>
      <c r="BU906" s="139"/>
      <c r="BV906" s="139"/>
      <c r="BW906" s="123"/>
      <c r="BX906" s="123"/>
      <c r="BY906" s="123"/>
      <c r="BZ906" s="123"/>
      <c r="CA906" s="123"/>
      <c r="CB906" s="123"/>
      <c r="CC906" s="6"/>
      <c r="CD906" s="123"/>
      <c r="CE906" s="6"/>
      <c r="CF906" s="123"/>
      <c r="CG906" s="6"/>
      <c r="CH906" s="6"/>
      <c r="CI906" s="6"/>
      <c r="CJ906" s="6"/>
      <c r="CK906" s="123"/>
      <c r="CL906" s="6"/>
      <c r="CM906" s="6"/>
      <c r="CN906" s="6"/>
      <c r="CO906" s="138"/>
      <c r="CP906" s="138"/>
      <c r="CQ906" s="123"/>
      <c r="CR906" s="6"/>
      <c r="CS906" s="6"/>
      <c r="CT906" s="139"/>
      <c r="CU906" s="139"/>
      <c r="CV906" s="76"/>
      <c r="CW906" s="123"/>
      <c r="CX906" s="6"/>
      <c r="DI906" s="125"/>
      <c r="DJ906" s="16"/>
      <c r="DM906" s="16"/>
      <c r="DN906" s="16"/>
      <c r="DO906" s="125"/>
      <c r="DP906" s="16"/>
      <c r="DQ906" s="125"/>
      <c r="DZ906" s="125"/>
      <c r="EA906" s="142"/>
      <c r="EB906" s="125"/>
      <c r="EC906" s="16"/>
      <c r="ED906" s="125"/>
      <c r="EE906" s="125"/>
      <c r="EF906" s="16"/>
      <c r="EG906" s="125"/>
      <c r="EQ906" s="125"/>
      <c r="ER906" s="16"/>
      <c r="ES906" s="123"/>
      <c r="ET906" s="19"/>
      <c r="EU906" s="139"/>
      <c r="EV906" s="139"/>
      <c r="EW906" s="123"/>
      <c r="EX906" s="123"/>
      <c r="EY906" s="123"/>
      <c r="EZ906" s="123"/>
      <c r="FA906" s="123"/>
      <c r="FB906" s="123"/>
      <c r="FC906" s="6"/>
      <c r="FD906" s="123"/>
      <c r="FE906" s="6"/>
      <c r="FF906" s="123"/>
      <c r="FG906" s="6"/>
      <c r="FH906" s="6"/>
      <c r="FI906" s="6"/>
      <c r="FJ906" s="6"/>
      <c r="FK906" s="123"/>
      <c r="FL906" s="6"/>
      <c r="FM906" s="6"/>
      <c r="FN906" s="6"/>
      <c r="FO906" s="138"/>
      <c r="FP906" s="138"/>
      <c r="FQ906" s="123"/>
      <c r="FR906" s="6"/>
      <c r="FS906" s="6"/>
      <c r="FT906" s="139"/>
      <c r="FU906" s="139"/>
      <c r="FV906" s="76"/>
      <c r="FW906" s="123"/>
      <c r="FX906" s="6"/>
    </row>
    <row r="907" spans="35:180">
      <c r="AI907" s="125"/>
      <c r="AJ907" s="16"/>
      <c r="AM907" s="16"/>
      <c r="AN907" s="16"/>
      <c r="AO907" s="125"/>
      <c r="AP907" s="16"/>
      <c r="AQ907" s="125"/>
      <c r="AZ907" s="125"/>
      <c r="BA907" s="142"/>
      <c r="BB907" s="125"/>
      <c r="BC907" s="16"/>
      <c r="BD907" s="125"/>
      <c r="BE907" s="125"/>
      <c r="BF907" s="16"/>
      <c r="BG907" s="125"/>
      <c r="BQ907" s="125"/>
      <c r="BR907" s="16"/>
      <c r="BS907" s="123"/>
      <c r="BT907" s="19"/>
      <c r="BU907" s="139"/>
      <c r="BV907" s="139"/>
      <c r="BW907" s="123"/>
      <c r="BX907" s="123"/>
      <c r="BY907" s="123"/>
      <c r="BZ907" s="123"/>
      <c r="CA907" s="123"/>
      <c r="CB907" s="123"/>
      <c r="CC907" s="6"/>
      <c r="CD907" s="123"/>
      <c r="CE907" s="6"/>
      <c r="CF907" s="123"/>
      <c r="CG907" s="6"/>
      <c r="CH907" s="6"/>
      <c r="CI907" s="6"/>
      <c r="CJ907" s="6"/>
      <c r="CK907" s="123"/>
      <c r="CL907" s="6"/>
      <c r="CM907" s="6"/>
      <c r="CN907" s="6"/>
      <c r="CO907" s="138"/>
      <c r="CP907" s="138"/>
      <c r="CQ907" s="123"/>
      <c r="CR907" s="6"/>
      <c r="CS907" s="6"/>
      <c r="CT907" s="139"/>
      <c r="CU907" s="139"/>
      <c r="CV907" s="76"/>
      <c r="CW907" s="123"/>
      <c r="CX907" s="6"/>
      <c r="DI907" s="125"/>
      <c r="DJ907" s="16"/>
      <c r="DM907" s="16"/>
      <c r="DN907" s="16"/>
      <c r="DO907" s="125"/>
      <c r="DP907" s="16"/>
      <c r="DQ907" s="125"/>
      <c r="DZ907" s="125"/>
      <c r="EA907" s="142"/>
      <c r="EB907" s="125"/>
      <c r="EC907" s="16"/>
      <c r="ED907" s="125"/>
      <c r="EE907" s="125"/>
      <c r="EF907" s="16"/>
      <c r="EG907" s="125"/>
      <c r="EQ907" s="125"/>
      <c r="ER907" s="16"/>
      <c r="ES907" s="123"/>
      <c r="ET907" s="19"/>
      <c r="EU907" s="139"/>
      <c r="EV907" s="139"/>
      <c r="EW907" s="123"/>
      <c r="EX907" s="123"/>
      <c r="EY907" s="123"/>
      <c r="EZ907" s="123"/>
      <c r="FA907" s="123"/>
      <c r="FB907" s="123"/>
      <c r="FC907" s="6"/>
      <c r="FD907" s="123"/>
      <c r="FE907" s="6"/>
      <c r="FF907" s="123"/>
      <c r="FG907" s="6"/>
      <c r="FH907" s="6"/>
      <c r="FI907" s="6"/>
      <c r="FJ907" s="6"/>
      <c r="FK907" s="123"/>
      <c r="FL907" s="6"/>
      <c r="FM907" s="6"/>
      <c r="FN907" s="6"/>
      <c r="FO907" s="138"/>
      <c r="FP907" s="138"/>
      <c r="FQ907" s="123"/>
      <c r="FR907" s="6"/>
      <c r="FS907" s="6"/>
      <c r="FT907" s="139"/>
      <c r="FU907" s="139"/>
      <c r="FV907" s="76"/>
      <c r="FW907" s="123"/>
      <c r="FX907" s="6"/>
    </row>
    <row r="908" spans="35:180">
      <c r="AI908" s="125"/>
      <c r="AJ908" s="16"/>
      <c r="AM908" s="16"/>
      <c r="AN908" s="16"/>
      <c r="AO908" s="125"/>
      <c r="AP908" s="16"/>
      <c r="AQ908" s="125"/>
      <c r="AZ908" s="125"/>
      <c r="BA908" s="142"/>
      <c r="BB908" s="125"/>
      <c r="BC908" s="16"/>
      <c r="BD908" s="125"/>
      <c r="BE908" s="125"/>
      <c r="BF908" s="16"/>
      <c r="BG908" s="125"/>
      <c r="BQ908" s="125"/>
      <c r="BR908" s="16"/>
      <c r="BS908" s="123"/>
      <c r="BT908" s="19"/>
      <c r="BU908" s="139"/>
      <c r="BV908" s="139"/>
      <c r="BW908" s="123"/>
      <c r="BX908" s="123"/>
      <c r="BY908" s="123"/>
      <c r="BZ908" s="123"/>
      <c r="CA908" s="123"/>
      <c r="CB908" s="123"/>
      <c r="CC908" s="6"/>
      <c r="CD908" s="123"/>
      <c r="CE908" s="6"/>
      <c r="CF908" s="123"/>
      <c r="CG908" s="6"/>
      <c r="CH908" s="6"/>
      <c r="CI908" s="6"/>
      <c r="CJ908" s="6"/>
      <c r="CK908" s="123"/>
      <c r="CL908" s="6"/>
      <c r="CM908" s="6"/>
      <c r="CN908" s="6"/>
      <c r="CO908" s="138"/>
      <c r="CP908" s="138"/>
      <c r="CQ908" s="123"/>
      <c r="CR908" s="6"/>
      <c r="CS908" s="6"/>
      <c r="CT908" s="139"/>
      <c r="CU908" s="139"/>
      <c r="CV908" s="76"/>
      <c r="CW908" s="123"/>
      <c r="CX908" s="6"/>
      <c r="DI908" s="125"/>
      <c r="DJ908" s="16"/>
      <c r="DM908" s="16"/>
      <c r="DN908" s="16"/>
      <c r="DO908" s="125"/>
      <c r="DP908" s="16"/>
      <c r="DQ908" s="125"/>
      <c r="DZ908" s="125"/>
      <c r="EA908" s="142"/>
      <c r="EB908" s="125"/>
      <c r="EC908" s="16"/>
      <c r="ED908" s="125"/>
      <c r="EE908" s="125"/>
      <c r="EF908" s="16"/>
      <c r="EG908" s="125"/>
      <c r="EQ908" s="125"/>
      <c r="ER908" s="16"/>
      <c r="ES908" s="123"/>
      <c r="ET908" s="19"/>
      <c r="EU908" s="139"/>
      <c r="EV908" s="139"/>
      <c r="EW908" s="123"/>
      <c r="EX908" s="123"/>
      <c r="EY908" s="123"/>
      <c r="EZ908" s="123"/>
      <c r="FA908" s="123"/>
      <c r="FB908" s="123"/>
      <c r="FC908" s="6"/>
      <c r="FD908" s="123"/>
      <c r="FE908" s="6"/>
      <c r="FF908" s="123"/>
      <c r="FG908" s="6"/>
      <c r="FH908" s="6"/>
      <c r="FI908" s="6"/>
      <c r="FJ908" s="6"/>
      <c r="FK908" s="123"/>
      <c r="FL908" s="6"/>
      <c r="FM908" s="6"/>
      <c r="FN908" s="6"/>
      <c r="FO908" s="138"/>
      <c r="FP908" s="138"/>
      <c r="FQ908" s="123"/>
      <c r="FR908" s="6"/>
      <c r="FS908" s="6"/>
      <c r="FT908" s="139"/>
      <c r="FU908" s="139"/>
      <c r="FV908" s="76"/>
      <c r="FW908" s="123"/>
      <c r="FX908" s="6"/>
    </row>
    <row r="909" spans="35:180">
      <c r="AI909" s="125"/>
      <c r="AJ909" s="16"/>
      <c r="AM909" s="16"/>
      <c r="AN909" s="16"/>
      <c r="AO909" s="125"/>
      <c r="AP909" s="16"/>
      <c r="AQ909" s="125"/>
      <c r="AZ909" s="125"/>
      <c r="BA909" s="142"/>
      <c r="BB909" s="125"/>
      <c r="BC909" s="16"/>
      <c r="BD909" s="125"/>
      <c r="BE909" s="125"/>
      <c r="BF909" s="16"/>
      <c r="BG909" s="125"/>
      <c r="BQ909" s="125"/>
      <c r="BR909" s="16"/>
      <c r="BS909" s="123"/>
      <c r="BT909" s="19"/>
      <c r="BU909" s="139"/>
      <c r="BV909" s="139"/>
      <c r="BW909" s="123"/>
      <c r="BX909" s="123"/>
      <c r="BY909" s="123"/>
      <c r="BZ909" s="123"/>
      <c r="CA909" s="123"/>
      <c r="CB909" s="123"/>
      <c r="CC909" s="6"/>
      <c r="CD909" s="123"/>
      <c r="CE909" s="6"/>
      <c r="CF909" s="123"/>
      <c r="CG909" s="6"/>
      <c r="CH909" s="6"/>
      <c r="CI909" s="6"/>
      <c r="CJ909" s="6"/>
      <c r="CK909" s="123"/>
      <c r="CL909" s="6"/>
      <c r="CM909" s="6"/>
      <c r="CN909" s="6"/>
      <c r="CO909" s="138"/>
      <c r="CP909" s="138"/>
      <c r="CQ909" s="123"/>
      <c r="CR909" s="6"/>
      <c r="CS909" s="6"/>
      <c r="CT909" s="139"/>
      <c r="CU909" s="139"/>
      <c r="CV909" s="76"/>
      <c r="CW909" s="123"/>
      <c r="CX909" s="6"/>
      <c r="DI909" s="125"/>
      <c r="DJ909" s="16"/>
      <c r="DM909" s="16"/>
      <c r="DN909" s="16"/>
      <c r="DO909" s="125"/>
      <c r="DP909" s="16"/>
      <c r="DQ909" s="125"/>
      <c r="DZ909" s="125"/>
      <c r="EA909" s="142"/>
      <c r="EB909" s="125"/>
      <c r="EC909" s="16"/>
      <c r="ED909" s="125"/>
      <c r="EE909" s="125"/>
      <c r="EF909" s="16"/>
      <c r="EG909" s="125"/>
      <c r="EQ909" s="125"/>
      <c r="ER909" s="16"/>
      <c r="ES909" s="123"/>
      <c r="ET909" s="19"/>
      <c r="EU909" s="139"/>
      <c r="EV909" s="139"/>
      <c r="EW909" s="123"/>
      <c r="EX909" s="123"/>
      <c r="EY909" s="123"/>
      <c r="EZ909" s="123"/>
      <c r="FA909" s="123"/>
      <c r="FB909" s="123"/>
      <c r="FC909" s="6"/>
      <c r="FD909" s="123"/>
      <c r="FE909" s="6"/>
      <c r="FF909" s="123"/>
      <c r="FG909" s="6"/>
      <c r="FH909" s="6"/>
      <c r="FI909" s="6"/>
      <c r="FJ909" s="6"/>
      <c r="FK909" s="123"/>
      <c r="FL909" s="6"/>
      <c r="FM909" s="6"/>
      <c r="FN909" s="6"/>
      <c r="FO909" s="138"/>
      <c r="FP909" s="138"/>
      <c r="FQ909" s="123"/>
      <c r="FR909" s="6"/>
      <c r="FS909" s="6"/>
      <c r="FT909" s="139"/>
      <c r="FU909" s="139"/>
      <c r="FV909" s="76"/>
      <c r="FW909" s="123"/>
      <c r="FX909" s="6"/>
    </row>
    <row r="910" spans="35:180">
      <c r="AI910" s="125"/>
      <c r="AJ910" s="16"/>
      <c r="AM910" s="16"/>
      <c r="AN910" s="16"/>
      <c r="AO910" s="125"/>
      <c r="AP910" s="16"/>
      <c r="AQ910" s="125"/>
      <c r="AZ910" s="125"/>
      <c r="BA910" s="142"/>
      <c r="BB910" s="125"/>
      <c r="BC910" s="16"/>
      <c r="BD910" s="125"/>
      <c r="BE910" s="125"/>
      <c r="BF910" s="16"/>
      <c r="BG910" s="125"/>
      <c r="BQ910" s="125"/>
      <c r="BR910" s="16"/>
      <c r="BS910" s="123"/>
      <c r="BT910" s="19"/>
      <c r="BU910" s="139"/>
      <c r="BV910" s="139"/>
      <c r="BW910" s="123"/>
      <c r="BX910" s="123"/>
      <c r="BY910" s="123"/>
      <c r="BZ910" s="123"/>
      <c r="CA910" s="123"/>
      <c r="CB910" s="123"/>
      <c r="CC910" s="6"/>
      <c r="CD910" s="123"/>
      <c r="CE910" s="6"/>
      <c r="CF910" s="123"/>
      <c r="CG910" s="6"/>
      <c r="CH910" s="6"/>
      <c r="CI910" s="6"/>
      <c r="CJ910" s="6"/>
      <c r="CK910" s="123"/>
      <c r="CL910" s="6"/>
      <c r="CM910" s="6"/>
      <c r="CN910" s="6"/>
      <c r="CO910" s="138"/>
      <c r="CP910" s="138"/>
      <c r="CQ910" s="123"/>
      <c r="CR910" s="6"/>
      <c r="CS910" s="6"/>
      <c r="CT910" s="139"/>
      <c r="CU910" s="139"/>
      <c r="CV910" s="76"/>
      <c r="CW910" s="123"/>
      <c r="CX910" s="6"/>
      <c r="DI910" s="125"/>
      <c r="DJ910" s="16"/>
      <c r="DM910" s="16"/>
      <c r="DN910" s="16"/>
      <c r="DO910" s="125"/>
      <c r="DP910" s="16"/>
      <c r="DQ910" s="125"/>
      <c r="DZ910" s="125"/>
      <c r="EA910" s="142"/>
      <c r="EB910" s="125"/>
      <c r="EC910" s="16"/>
      <c r="ED910" s="125"/>
      <c r="EE910" s="125"/>
      <c r="EF910" s="16"/>
      <c r="EG910" s="125"/>
      <c r="EQ910" s="125"/>
      <c r="ER910" s="16"/>
      <c r="ES910" s="123"/>
      <c r="ET910" s="19"/>
      <c r="EU910" s="139"/>
      <c r="EV910" s="139"/>
      <c r="EW910" s="123"/>
      <c r="EX910" s="123"/>
      <c r="EY910" s="123"/>
      <c r="EZ910" s="123"/>
      <c r="FA910" s="123"/>
      <c r="FB910" s="123"/>
      <c r="FC910" s="6"/>
      <c r="FD910" s="123"/>
      <c r="FE910" s="6"/>
      <c r="FF910" s="123"/>
      <c r="FG910" s="6"/>
      <c r="FH910" s="6"/>
      <c r="FI910" s="6"/>
      <c r="FJ910" s="6"/>
      <c r="FK910" s="123"/>
      <c r="FL910" s="6"/>
      <c r="FM910" s="6"/>
      <c r="FN910" s="6"/>
      <c r="FO910" s="138"/>
      <c r="FP910" s="138"/>
      <c r="FQ910" s="123"/>
      <c r="FR910" s="6"/>
      <c r="FS910" s="6"/>
      <c r="FT910" s="139"/>
      <c r="FU910" s="139"/>
      <c r="FV910" s="76"/>
      <c r="FW910" s="123"/>
      <c r="FX910" s="6"/>
    </row>
    <row r="911" spans="35:180">
      <c r="AI911" s="125"/>
      <c r="AJ911" s="16"/>
      <c r="AM911" s="16"/>
      <c r="AN911" s="16"/>
      <c r="AO911" s="125"/>
      <c r="AP911" s="16"/>
      <c r="AQ911" s="125"/>
      <c r="AZ911" s="125"/>
      <c r="BA911" s="142"/>
      <c r="BB911" s="125"/>
      <c r="BC911" s="16"/>
      <c r="BD911" s="125"/>
      <c r="BE911" s="125"/>
      <c r="BF911" s="16"/>
      <c r="BG911" s="125"/>
      <c r="BQ911" s="125"/>
      <c r="BR911" s="16"/>
      <c r="BS911" s="123"/>
      <c r="BT911" s="19"/>
      <c r="BU911" s="139"/>
      <c r="BV911" s="139"/>
      <c r="BW911" s="123"/>
      <c r="BX911" s="123"/>
      <c r="BY911" s="123"/>
      <c r="BZ911" s="123"/>
      <c r="CA911" s="123"/>
      <c r="CB911" s="123"/>
      <c r="CC911" s="6"/>
      <c r="CD911" s="123"/>
      <c r="CE911" s="6"/>
      <c r="CF911" s="123"/>
      <c r="CG911" s="6"/>
      <c r="CH911" s="6"/>
      <c r="CI911" s="6"/>
      <c r="CJ911" s="6"/>
      <c r="CK911" s="123"/>
      <c r="CL911" s="6"/>
      <c r="CM911" s="6"/>
      <c r="CN911" s="6"/>
      <c r="CO911" s="138"/>
      <c r="CP911" s="138"/>
      <c r="CQ911" s="123"/>
      <c r="CR911" s="6"/>
      <c r="CS911" s="6"/>
      <c r="CT911" s="139"/>
      <c r="CU911" s="139"/>
      <c r="CV911" s="76"/>
      <c r="CW911" s="123"/>
      <c r="CX911" s="6"/>
      <c r="DI911" s="125"/>
      <c r="DJ911" s="16"/>
      <c r="DM911" s="16"/>
      <c r="DN911" s="16"/>
      <c r="DO911" s="125"/>
      <c r="DP911" s="16"/>
      <c r="DQ911" s="125"/>
      <c r="DZ911" s="125"/>
      <c r="EA911" s="142"/>
      <c r="EB911" s="125"/>
      <c r="EC911" s="16"/>
      <c r="ED911" s="125"/>
      <c r="EE911" s="125"/>
      <c r="EF911" s="16"/>
      <c r="EG911" s="125"/>
      <c r="EQ911" s="125"/>
      <c r="ER911" s="16"/>
      <c r="ES911" s="123"/>
      <c r="ET911" s="19"/>
      <c r="EU911" s="139"/>
      <c r="EV911" s="139"/>
      <c r="EW911" s="123"/>
      <c r="EX911" s="123"/>
      <c r="EY911" s="123"/>
      <c r="EZ911" s="123"/>
      <c r="FA911" s="123"/>
      <c r="FB911" s="123"/>
      <c r="FC911" s="6"/>
      <c r="FD911" s="123"/>
      <c r="FE911" s="6"/>
      <c r="FF911" s="123"/>
      <c r="FG911" s="6"/>
      <c r="FH911" s="6"/>
      <c r="FI911" s="6"/>
      <c r="FJ911" s="6"/>
      <c r="FK911" s="123"/>
      <c r="FL911" s="6"/>
      <c r="FM911" s="6"/>
      <c r="FN911" s="6"/>
      <c r="FO911" s="138"/>
      <c r="FP911" s="138"/>
      <c r="FQ911" s="123"/>
      <c r="FR911" s="6"/>
      <c r="FS911" s="6"/>
      <c r="FT911" s="139"/>
      <c r="FU911" s="139"/>
      <c r="FV911" s="76"/>
      <c r="FW911" s="123"/>
      <c r="FX911" s="6"/>
    </row>
    <row r="912" spans="35:180">
      <c r="AI912" s="125"/>
      <c r="AJ912" s="16"/>
      <c r="AM912" s="16"/>
      <c r="AN912" s="16"/>
      <c r="AO912" s="125"/>
      <c r="AP912" s="16"/>
      <c r="AQ912" s="125"/>
      <c r="AZ912" s="125"/>
      <c r="BA912" s="142"/>
      <c r="BB912" s="125"/>
      <c r="BC912" s="16"/>
      <c r="BD912" s="125"/>
      <c r="BE912" s="125"/>
      <c r="BF912" s="16"/>
      <c r="BG912" s="125"/>
      <c r="BQ912" s="125"/>
      <c r="BR912" s="16"/>
      <c r="BS912" s="123"/>
      <c r="BT912" s="19"/>
      <c r="BU912" s="139"/>
      <c r="BV912" s="139"/>
      <c r="BW912" s="123"/>
      <c r="BX912" s="123"/>
      <c r="BY912" s="123"/>
      <c r="BZ912" s="123"/>
      <c r="CA912" s="123"/>
      <c r="CB912" s="123"/>
      <c r="CC912" s="6"/>
      <c r="CD912" s="123"/>
      <c r="CE912" s="6"/>
      <c r="CF912" s="123"/>
      <c r="CG912" s="6"/>
      <c r="CH912" s="6"/>
      <c r="CI912" s="6"/>
      <c r="CJ912" s="6"/>
      <c r="CK912" s="123"/>
      <c r="CL912" s="6"/>
      <c r="CM912" s="6"/>
      <c r="CN912" s="6"/>
      <c r="CO912" s="138"/>
      <c r="CP912" s="138"/>
      <c r="CQ912" s="123"/>
      <c r="CR912" s="6"/>
      <c r="CS912" s="6"/>
      <c r="CT912" s="139"/>
      <c r="CU912" s="139"/>
      <c r="CV912" s="76"/>
      <c r="CW912" s="123"/>
      <c r="CX912" s="6"/>
      <c r="DI912" s="125"/>
      <c r="DJ912" s="16"/>
      <c r="DM912" s="16"/>
      <c r="DN912" s="16"/>
      <c r="DO912" s="125"/>
      <c r="DP912" s="16"/>
      <c r="DQ912" s="125"/>
      <c r="DZ912" s="125"/>
      <c r="EA912" s="142"/>
      <c r="EB912" s="125"/>
      <c r="EC912" s="16"/>
      <c r="ED912" s="125"/>
      <c r="EE912" s="125"/>
      <c r="EF912" s="16"/>
      <c r="EG912" s="125"/>
      <c r="EQ912" s="125"/>
      <c r="ER912" s="16"/>
      <c r="ES912" s="123"/>
      <c r="ET912" s="19"/>
      <c r="EU912" s="139"/>
      <c r="EV912" s="139"/>
      <c r="EW912" s="123"/>
      <c r="EX912" s="123"/>
      <c r="EY912" s="123"/>
      <c r="EZ912" s="123"/>
      <c r="FA912" s="123"/>
      <c r="FB912" s="123"/>
      <c r="FC912" s="6"/>
      <c r="FD912" s="123"/>
      <c r="FE912" s="6"/>
      <c r="FF912" s="123"/>
      <c r="FG912" s="6"/>
      <c r="FH912" s="6"/>
      <c r="FI912" s="6"/>
      <c r="FJ912" s="6"/>
      <c r="FK912" s="123"/>
      <c r="FL912" s="6"/>
      <c r="FM912" s="6"/>
      <c r="FN912" s="6"/>
      <c r="FO912" s="138"/>
      <c r="FP912" s="138"/>
      <c r="FQ912" s="123"/>
      <c r="FR912" s="6"/>
      <c r="FS912" s="6"/>
      <c r="FT912" s="139"/>
      <c r="FU912" s="139"/>
      <c r="FV912" s="76"/>
      <c r="FW912" s="123"/>
      <c r="FX912" s="6"/>
    </row>
    <row r="913" spans="35:180">
      <c r="AI913" s="125"/>
      <c r="AJ913" s="16"/>
      <c r="AM913" s="16"/>
      <c r="AN913" s="16"/>
      <c r="AO913" s="125"/>
      <c r="AP913" s="16"/>
      <c r="AQ913" s="125"/>
      <c r="AZ913" s="125"/>
      <c r="BA913" s="142"/>
      <c r="BB913" s="125"/>
      <c r="BC913" s="16"/>
      <c r="BD913" s="125"/>
      <c r="BE913" s="125"/>
      <c r="BF913" s="16"/>
      <c r="BG913" s="125"/>
      <c r="BQ913" s="125"/>
      <c r="BR913" s="16"/>
      <c r="BS913" s="123"/>
      <c r="BT913" s="19"/>
      <c r="BU913" s="139"/>
      <c r="BV913" s="139"/>
      <c r="BW913" s="123"/>
      <c r="BX913" s="123"/>
      <c r="BY913" s="123"/>
      <c r="BZ913" s="123"/>
      <c r="CA913" s="123"/>
      <c r="CB913" s="123"/>
      <c r="CC913" s="6"/>
      <c r="CD913" s="123"/>
      <c r="CE913" s="6"/>
      <c r="CF913" s="123"/>
      <c r="CG913" s="6"/>
      <c r="CH913" s="6"/>
      <c r="CI913" s="6"/>
      <c r="CJ913" s="6"/>
      <c r="CK913" s="123"/>
      <c r="CL913" s="6"/>
      <c r="CM913" s="6"/>
      <c r="CN913" s="6"/>
      <c r="CO913" s="138"/>
      <c r="CP913" s="138"/>
      <c r="CQ913" s="123"/>
      <c r="CR913" s="6"/>
      <c r="CS913" s="6"/>
      <c r="CT913" s="139"/>
      <c r="CU913" s="139"/>
      <c r="CV913" s="76"/>
      <c r="CW913" s="123"/>
      <c r="CX913" s="6"/>
      <c r="DI913" s="125"/>
      <c r="DJ913" s="16"/>
      <c r="DM913" s="16"/>
      <c r="DN913" s="16"/>
      <c r="DO913" s="125"/>
      <c r="DP913" s="16"/>
      <c r="DQ913" s="125"/>
      <c r="DZ913" s="125"/>
      <c r="EA913" s="142"/>
      <c r="EB913" s="125"/>
      <c r="EC913" s="16"/>
      <c r="ED913" s="125"/>
      <c r="EE913" s="125"/>
      <c r="EF913" s="16"/>
      <c r="EG913" s="125"/>
      <c r="EQ913" s="125"/>
      <c r="ER913" s="16"/>
      <c r="ES913" s="123"/>
      <c r="ET913" s="19"/>
      <c r="EU913" s="139"/>
      <c r="EV913" s="139"/>
      <c r="EW913" s="123"/>
      <c r="EX913" s="123"/>
      <c r="EY913" s="123"/>
      <c r="EZ913" s="123"/>
      <c r="FA913" s="123"/>
      <c r="FB913" s="123"/>
      <c r="FC913" s="6"/>
      <c r="FD913" s="123"/>
      <c r="FE913" s="6"/>
      <c r="FF913" s="123"/>
      <c r="FG913" s="6"/>
      <c r="FH913" s="6"/>
      <c r="FI913" s="6"/>
      <c r="FJ913" s="6"/>
      <c r="FK913" s="123"/>
      <c r="FL913" s="6"/>
      <c r="FM913" s="6"/>
      <c r="FN913" s="6"/>
      <c r="FO913" s="138"/>
      <c r="FP913" s="138"/>
      <c r="FQ913" s="123"/>
      <c r="FR913" s="6"/>
      <c r="FS913" s="6"/>
      <c r="FT913" s="139"/>
      <c r="FU913" s="139"/>
      <c r="FV913" s="76"/>
      <c r="FW913" s="123"/>
      <c r="FX913" s="6"/>
    </row>
    <row r="914" spans="35:180">
      <c r="AI914" s="125"/>
      <c r="AJ914" s="16"/>
      <c r="AM914" s="16"/>
      <c r="AN914" s="16"/>
      <c r="AO914" s="125"/>
      <c r="AP914" s="16"/>
      <c r="AQ914" s="125"/>
      <c r="AZ914" s="125"/>
      <c r="BA914" s="142"/>
      <c r="BB914" s="125"/>
      <c r="BC914" s="16"/>
      <c r="BD914" s="125"/>
      <c r="BE914" s="125"/>
      <c r="BF914" s="16"/>
      <c r="BG914" s="125"/>
      <c r="BQ914" s="125"/>
      <c r="BR914" s="16"/>
      <c r="BS914" s="123"/>
      <c r="BT914" s="19"/>
      <c r="BU914" s="139"/>
      <c r="BV914" s="139"/>
      <c r="BW914" s="123"/>
      <c r="BX914" s="123"/>
      <c r="BY914" s="123"/>
      <c r="BZ914" s="123"/>
      <c r="CA914" s="123"/>
      <c r="CB914" s="123"/>
      <c r="CC914" s="6"/>
      <c r="CD914" s="123"/>
      <c r="CE914" s="6"/>
      <c r="CF914" s="123"/>
      <c r="CG914" s="6"/>
      <c r="CH914" s="6"/>
      <c r="CI914" s="6"/>
      <c r="CJ914" s="6"/>
      <c r="CK914" s="123"/>
      <c r="CL914" s="6"/>
      <c r="CM914" s="6"/>
      <c r="CN914" s="6"/>
      <c r="CO914" s="138"/>
      <c r="CP914" s="138"/>
      <c r="CQ914" s="123"/>
      <c r="CR914" s="6"/>
      <c r="CS914" s="6"/>
      <c r="CT914" s="139"/>
      <c r="CU914" s="139"/>
      <c r="CV914" s="76"/>
      <c r="CW914" s="123"/>
      <c r="CX914" s="6"/>
      <c r="DI914" s="125"/>
      <c r="DJ914" s="16"/>
      <c r="DM914" s="16"/>
      <c r="DN914" s="16"/>
      <c r="DO914" s="125"/>
      <c r="DP914" s="16"/>
      <c r="DQ914" s="125"/>
      <c r="DZ914" s="125"/>
      <c r="EA914" s="142"/>
      <c r="EB914" s="125"/>
      <c r="EC914" s="16"/>
      <c r="ED914" s="125"/>
      <c r="EE914" s="125"/>
      <c r="EF914" s="16"/>
      <c r="EG914" s="125"/>
      <c r="EQ914" s="125"/>
      <c r="ER914" s="16"/>
      <c r="ES914" s="123"/>
      <c r="ET914" s="19"/>
      <c r="EU914" s="139"/>
      <c r="EV914" s="139"/>
      <c r="EW914" s="123"/>
      <c r="EX914" s="123"/>
      <c r="EY914" s="123"/>
      <c r="EZ914" s="123"/>
      <c r="FA914" s="123"/>
      <c r="FB914" s="123"/>
      <c r="FC914" s="6"/>
      <c r="FD914" s="123"/>
      <c r="FE914" s="6"/>
      <c r="FF914" s="123"/>
      <c r="FG914" s="6"/>
      <c r="FH914" s="6"/>
      <c r="FI914" s="6"/>
      <c r="FJ914" s="6"/>
      <c r="FK914" s="123"/>
      <c r="FL914" s="6"/>
      <c r="FM914" s="6"/>
      <c r="FN914" s="6"/>
      <c r="FO914" s="138"/>
      <c r="FP914" s="138"/>
      <c r="FQ914" s="123"/>
      <c r="FR914" s="6"/>
      <c r="FS914" s="6"/>
      <c r="FT914" s="139"/>
      <c r="FU914" s="139"/>
      <c r="FV914" s="76"/>
      <c r="FW914" s="123"/>
      <c r="FX914" s="6"/>
    </row>
    <row r="915" spans="35:180">
      <c r="AI915" s="125"/>
      <c r="AJ915" s="16"/>
      <c r="AM915" s="16"/>
      <c r="AN915" s="16"/>
      <c r="AO915" s="125"/>
      <c r="AP915" s="16"/>
      <c r="AQ915" s="125"/>
      <c r="AZ915" s="125"/>
      <c r="BA915" s="142"/>
      <c r="BB915" s="125"/>
      <c r="BC915" s="16"/>
      <c r="BD915" s="125"/>
      <c r="BE915" s="125"/>
      <c r="BF915" s="16"/>
      <c r="BG915" s="125"/>
      <c r="BQ915" s="125"/>
      <c r="BR915" s="16"/>
      <c r="BS915" s="123"/>
      <c r="BT915" s="19"/>
      <c r="BU915" s="139"/>
      <c r="BV915" s="139"/>
      <c r="BW915" s="123"/>
      <c r="BX915" s="123"/>
      <c r="BY915" s="123"/>
      <c r="BZ915" s="123"/>
      <c r="CA915" s="123"/>
      <c r="CB915" s="123"/>
      <c r="CC915" s="6"/>
      <c r="CD915" s="123"/>
      <c r="CE915" s="6"/>
      <c r="CF915" s="123"/>
      <c r="CG915" s="6"/>
      <c r="CH915" s="6"/>
      <c r="CI915" s="6"/>
      <c r="CJ915" s="6"/>
      <c r="CK915" s="123"/>
      <c r="CL915" s="6"/>
      <c r="CM915" s="6"/>
      <c r="CN915" s="6"/>
      <c r="CO915" s="138"/>
      <c r="CP915" s="138"/>
      <c r="CQ915" s="123"/>
      <c r="CR915" s="6"/>
      <c r="CS915" s="6"/>
      <c r="CT915" s="139"/>
      <c r="CU915" s="139"/>
      <c r="CV915" s="76"/>
      <c r="CW915" s="123"/>
      <c r="CX915" s="6"/>
      <c r="DI915" s="125"/>
      <c r="DJ915" s="16"/>
      <c r="DM915" s="16"/>
      <c r="DN915" s="16"/>
      <c r="DO915" s="125"/>
      <c r="DP915" s="16"/>
      <c r="DQ915" s="125"/>
      <c r="DZ915" s="125"/>
      <c r="EA915" s="142"/>
      <c r="EB915" s="125"/>
      <c r="EC915" s="16"/>
      <c r="ED915" s="125"/>
      <c r="EE915" s="125"/>
      <c r="EF915" s="16"/>
      <c r="EG915" s="125"/>
      <c r="EQ915" s="125"/>
      <c r="ER915" s="16"/>
      <c r="ES915" s="123"/>
      <c r="ET915" s="19"/>
      <c r="EU915" s="139"/>
      <c r="EV915" s="139"/>
      <c r="EW915" s="123"/>
      <c r="EX915" s="123"/>
      <c r="EY915" s="123"/>
      <c r="EZ915" s="123"/>
      <c r="FA915" s="123"/>
      <c r="FB915" s="123"/>
      <c r="FC915" s="6"/>
      <c r="FD915" s="123"/>
      <c r="FE915" s="6"/>
      <c r="FF915" s="123"/>
      <c r="FG915" s="6"/>
      <c r="FH915" s="6"/>
      <c r="FI915" s="6"/>
      <c r="FJ915" s="6"/>
      <c r="FK915" s="123"/>
      <c r="FL915" s="6"/>
      <c r="FM915" s="6"/>
      <c r="FN915" s="6"/>
      <c r="FO915" s="138"/>
      <c r="FP915" s="138"/>
      <c r="FQ915" s="123"/>
      <c r="FR915" s="6"/>
      <c r="FS915" s="6"/>
      <c r="FT915" s="139"/>
      <c r="FU915" s="139"/>
      <c r="FV915" s="76"/>
      <c r="FW915" s="123"/>
      <c r="FX915" s="6"/>
    </row>
    <row r="916" spans="35:180">
      <c r="AI916" s="125"/>
      <c r="AJ916" s="16"/>
      <c r="AM916" s="16"/>
      <c r="AN916" s="16"/>
      <c r="AO916" s="125"/>
      <c r="AP916" s="16"/>
      <c r="AQ916" s="125"/>
      <c r="AZ916" s="125"/>
      <c r="BA916" s="142"/>
      <c r="BB916" s="125"/>
      <c r="BC916" s="16"/>
      <c r="BD916" s="125"/>
      <c r="BE916" s="125"/>
      <c r="BF916" s="16"/>
      <c r="BG916" s="125"/>
      <c r="BQ916" s="125"/>
      <c r="BR916" s="16"/>
      <c r="BS916" s="123"/>
      <c r="BT916" s="19"/>
      <c r="BU916" s="139"/>
      <c r="BV916" s="139"/>
      <c r="BW916" s="123"/>
      <c r="BX916" s="123"/>
      <c r="BY916" s="123"/>
      <c r="BZ916" s="123"/>
      <c r="CA916" s="123"/>
      <c r="CB916" s="123"/>
      <c r="CC916" s="6"/>
      <c r="CD916" s="123"/>
      <c r="CE916" s="6"/>
      <c r="CF916" s="123"/>
      <c r="CG916" s="6"/>
      <c r="CH916" s="6"/>
      <c r="CI916" s="6"/>
      <c r="CJ916" s="6"/>
      <c r="CK916" s="123"/>
      <c r="CL916" s="6"/>
      <c r="CM916" s="6"/>
      <c r="CN916" s="6"/>
      <c r="CO916" s="138"/>
      <c r="CP916" s="138"/>
      <c r="CQ916" s="123"/>
      <c r="CR916" s="6"/>
      <c r="CS916" s="6"/>
      <c r="CT916" s="139"/>
      <c r="CU916" s="139"/>
      <c r="CV916" s="76"/>
      <c r="CW916" s="123"/>
      <c r="CX916" s="6"/>
      <c r="DI916" s="125"/>
      <c r="DJ916" s="16"/>
      <c r="DM916" s="16"/>
      <c r="DN916" s="16"/>
      <c r="DO916" s="125"/>
      <c r="DP916" s="16"/>
      <c r="DQ916" s="125"/>
      <c r="DZ916" s="125"/>
      <c r="EA916" s="142"/>
      <c r="EB916" s="125"/>
      <c r="EC916" s="16"/>
      <c r="ED916" s="125"/>
      <c r="EE916" s="125"/>
      <c r="EF916" s="16"/>
      <c r="EG916" s="125"/>
      <c r="EQ916" s="125"/>
      <c r="ER916" s="16"/>
      <c r="ES916" s="123"/>
      <c r="ET916" s="19"/>
      <c r="EU916" s="139"/>
      <c r="EV916" s="139"/>
      <c r="EW916" s="123"/>
      <c r="EX916" s="123"/>
      <c r="EY916" s="123"/>
      <c r="EZ916" s="123"/>
      <c r="FA916" s="123"/>
      <c r="FB916" s="123"/>
      <c r="FC916" s="6"/>
      <c r="FD916" s="123"/>
      <c r="FE916" s="6"/>
      <c r="FF916" s="123"/>
      <c r="FG916" s="6"/>
      <c r="FH916" s="6"/>
      <c r="FI916" s="6"/>
      <c r="FJ916" s="6"/>
      <c r="FK916" s="123"/>
      <c r="FL916" s="6"/>
      <c r="FM916" s="6"/>
      <c r="FN916" s="6"/>
      <c r="FO916" s="138"/>
      <c r="FP916" s="138"/>
      <c r="FQ916" s="123"/>
      <c r="FR916" s="6"/>
      <c r="FS916" s="6"/>
      <c r="FT916" s="139"/>
      <c r="FU916" s="139"/>
      <c r="FV916" s="76"/>
      <c r="FW916" s="123"/>
      <c r="FX916" s="6"/>
    </row>
    <row r="917" spans="35:180">
      <c r="AI917" s="125"/>
      <c r="AJ917" s="16"/>
      <c r="AM917" s="16"/>
      <c r="AN917" s="16"/>
      <c r="AO917" s="125"/>
      <c r="AP917" s="16"/>
      <c r="AQ917" s="125"/>
      <c r="AZ917" s="125"/>
      <c r="BA917" s="142"/>
      <c r="BB917" s="125"/>
      <c r="BC917" s="16"/>
      <c r="BD917" s="125"/>
      <c r="BE917" s="125"/>
      <c r="BF917" s="16"/>
      <c r="BG917" s="125"/>
      <c r="BQ917" s="125"/>
      <c r="BR917" s="16"/>
      <c r="BS917" s="123"/>
      <c r="BT917" s="19"/>
      <c r="BU917" s="139"/>
      <c r="BV917" s="139"/>
      <c r="BW917" s="123"/>
      <c r="BX917" s="123"/>
      <c r="BY917" s="123"/>
      <c r="BZ917" s="123"/>
      <c r="CA917" s="123"/>
      <c r="CB917" s="123"/>
      <c r="CC917" s="6"/>
      <c r="CD917" s="123"/>
      <c r="CE917" s="6"/>
      <c r="CF917" s="123"/>
      <c r="CG917" s="6"/>
      <c r="CH917" s="6"/>
      <c r="CI917" s="6"/>
      <c r="CJ917" s="6"/>
      <c r="CK917" s="123"/>
      <c r="CL917" s="6"/>
      <c r="CM917" s="6"/>
      <c r="CN917" s="6"/>
      <c r="CO917" s="138"/>
      <c r="CP917" s="138"/>
      <c r="CQ917" s="123"/>
      <c r="CR917" s="6"/>
      <c r="CS917" s="6"/>
      <c r="CT917" s="139"/>
      <c r="CU917" s="139"/>
      <c r="CV917" s="76"/>
      <c r="CW917" s="123"/>
      <c r="CX917" s="6"/>
      <c r="DI917" s="125"/>
      <c r="DJ917" s="16"/>
      <c r="DM917" s="16"/>
      <c r="DN917" s="16"/>
      <c r="DO917" s="125"/>
      <c r="DP917" s="16"/>
      <c r="DQ917" s="125"/>
      <c r="DZ917" s="125"/>
      <c r="EA917" s="142"/>
      <c r="EB917" s="125"/>
      <c r="EC917" s="16"/>
      <c r="ED917" s="125"/>
      <c r="EE917" s="125"/>
      <c r="EF917" s="16"/>
      <c r="EG917" s="125"/>
      <c r="EQ917" s="125"/>
      <c r="ER917" s="16"/>
      <c r="ES917" s="123"/>
      <c r="ET917" s="19"/>
      <c r="EU917" s="139"/>
      <c r="EV917" s="139"/>
      <c r="EW917" s="123"/>
      <c r="EX917" s="123"/>
      <c r="EY917" s="123"/>
      <c r="EZ917" s="123"/>
      <c r="FA917" s="123"/>
      <c r="FB917" s="123"/>
      <c r="FC917" s="6"/>
      <c r="FD917" s="123"/>
      <c r="FE917" s="6"/>
      <c r="FF917" s="123"/>
      <c r="FG917" s="6"/>
      <c r="FH917" s="6"/>
      <c r="FI917" s="6"/>
      <c r="FJ917" s="6"/>
      <c r="FK917" s="123"/>
      <c r="FL917" s="6"/>
      <c r="FM917" s="6"/>
      <c r="FN917" s="6"/>
      <c r="FO917" s="138"/>
      <c r="FP917" s="138"/>
      <c r="FQ917" s="123"/>
      <c r="FR917" s="6"/>
      <c r="FS917" s="6"/>
      <c r="FT917" s="139"/>
      <c r="FU917" s="139"/>
      <c r="FV917" s="76"/>
      <c r="FW917" s="123"/>
      <c r="FX917" s="6"/>
    </row>
    <row r="918" spans="35:180">
      <c r="AI918" s="125"/>
      <c r="AJ918" s="16"/>
      <c r="AM918" s="16"/>
      <c r="AN918" s="16"/>
      <c r="AO918" s="125"/>
      <c r="AP918" s="16"/>
      <c r="AQ918" s="125"/>
      <c r="AZ918" s="125"/>
      <c r="BA918" s="142"/>
      <c r="BB918" s="125"/>
      <c r="BC918" s="16"/>
      <c r="BD918" s="125"/>
      <c r="BE918" s="125"/>
      <c r="BF918" s="16"/>
      <c r="BG918" s="125"/>
      <c r="BQ918" s="125"/>
      <c r="BR918" s="16"/>
      <c r="BS918" s="123"/>
      <c r="BT918" s="19"/>
      <c r="BU918" s="139"/>
      <c r="BV918" s="139"/>
      <c r="BW918" s="123"/>
      <c r="BX918" s="123"/>
      <c r="BY918" s="123"/>
      <c r="BZ918" s="123"/>
      <c r="CA918" s="123"/>
      <c r="CB918" s="123"/>
      <c r="CC918" s="6"/>
      <c r="CD918" s="123"/>
      <c r="CE918" s="6"/>
      <c r="CF918" s="123"/>
      <c r="CG918" s="6"/>
      <c r="CH918" s="6"/>
      <c r="CI918" s="6"/>
      <c r="CJ918" s="6"/>
      <c r="CK918" s="123"/>
      <c r="CL918" s="6"/>
      <c r="CM918" s="6"/>
      <c r="CN918" s="6"/>
      <c r="CO918" s="138"/>
      <c r="CP918" s="138"/>
      <c r="CQ918" s="123"/>
      <c r="CR918" s="6"/>
      <c r="CS918" s="6"/>
      <c r="CT918" s="139"/>
      <c r="CU918" s="139"/>
      <c r="CV918" s="76"/>
      <c r="CW918" s="123"/>
      <c r="CX918" s="6"/>
      <c r="DI918" s="125"/>
      <c r="DJ918" s="16"/>
      <c r="DM918" s="16"/>
      <c r="DN918" s="16"/>
      <c r="DO918" s="125"/>
      <c r="DP918" s="16"/>
      <c r="DQ918" s="125"/>
      <c r="DZ918" s="125"/>
      <c r="EA918" s="142"/>
      <c r="EB918" s="125"/>
      <c r="EC918" s="16"/>
      <c r="ED918" s="125"/>
      <c r="EE918" s="125"/>
      <c r="EF918" s="16"/>
      <c r="EG918" s="125"/>
      <c r="EQ918" s="125"/>
      <c r="ER918" s="16"/>
      <c r="ES918" s="123"/>
      <c r="ET918" s="19"/>
      <c r="EU918" s="139"/>
      <c r="EV918" s="139"/>
      <c r="EW918" s="123"/>
      <c r="EX918" s="123"/>
      <c r="EY918" s="123"/>
      <c r="EZ918" s="123"/>
      <c r="FA918" s="123"/>
      <c r="FB918" s="123"/>
      <c r="FC918" s="6"/>
      <c r="FD918" s="123"/>
      <c r="FE918" s="6"/>
      <c r="FF918" s="123"/>
      <c r="FG918" s="6"/>
      <c r="FH918" s="6"/>
      <c r="FI918" s="6"/>
      <c r="FJ918" s="6"/>
      <c r="FK918" s="123"/>
      <c r="FL918" s="6"/>
      <c r="FM918" s="6"/>
      <c r="FN918" s="6"/>
      <c r="FO918" s="138"/>
      <c r="FP918" s="138"/>
      <c r="FQ918" s="123"/>
      <c r="FR918" s="6"/>
      <c r="FS918" s="6"/>
      <c r="FT918" s="139"/>
      <c r="FU918" s="139"/>
      <c r="FV918" s="76"/>
      <c r="FW918" s="123"/>
      <c r="FX918" s="6"/>
    </row>
    <row r="919" spans="35:180">
      <c r="AI919" s="125"/>
      <c r="AJ919" s="16"/>
      <c r="AM919" s="16"/>
      <c r="AN919" s="16"/>
      <c r="AO919" s="125"/>
      <c r="AP919" s="16"/>
      <c r="AQ919" s="125"/>
      <c r="AZ919" s="125"/>
      <c r="BA919" s="142"/>
      <c r="BB919" s="125"/>
      <c r="BC919" s="16"/>
      <c r="BD919" s="125"/>
      <c r="BE919" s="125"/>
      <c r="BF919" s="16"/>
      <c r="BG919" s="125"/>
      <c r="BQ919" s="125"/>
      <c r="BR919" s="16"/>
      <c r="BS919" s="123"/>
      <c r="BT919" s="19"/>
      <c r="BU919" s="139"/>
      <c r="BV919" s="139"/>
      <c r="BW919" s="123"/>
      <c r="BX919" s="123"/>
      <c r="BY919" s="123"/>
      <c r="BZ919" s="123"/>
      <c r="CA919" s="123"/>
      <c r="CB919" s="123"/>
      <c r="CC919" s="6"/>
      <c r="CD919" s="123"/>
      <c r="CE919" s="6"/>
      <c r="CF919" s="123"/>
      <c r="CG919" s="6"/>
      <c r="CH919" s="6"/>
      <c r="CI919" s="6"/>
      <c r="CJ919" s="6"/>
      <c r="CK919" s="123"/>
      <c r="CL919" s="6"/>
      <c r="CM919" s="6"/>
      <c r="CN919" s="6"/>
      <c r="CO919" s="138"/>
      <c r="CP919" s="138"/>
      <c r="CQ919" s="123"/>
      <c r="CR919" s="6"/>
      <c r="CS919" s="6"/>
      <c r="CT919" s="139"/>
      <c r="CU919" s="139"/>
      <c r="CV919" s="76"/>
      <c r="CW919" s="123"/>
      <c r="CX919" s="6"/>
      <c r="DI919" s="125"/>
      <c r="DJ919" s="16"/>
      <c r="DM919" s="16"/>
      <c r="DN919" s="16"/>
      <c r="DO919" s="125"/>
      <c r="DP919" s="16"/>
      <c r="DQ919" s="125"/>
      <c r="DZ919" s="125"/>
      <c r="EA919" s="142"/>
      <c r="EB919" s="125"/>
      <c r="EC919" s="16"/>
      <c r="ED919" s="125"/>
      <c r="EE919" s="125"/>
      <c r="EF919" s="16"/>
      <c r="EG919" s="125"/>
      <c r="EQ919" s="125"/>
      <c r="ER919" s="16"/>
      <c r="ES919" s="123"/>
      <c r="ET919" s="19"/>
      <c r="EU919" s="139"/>
      <c r="EV919" s="139"/>
      <c r="EW919" s="123"/>
      <c r="EX919" s="123"/>
      <c r="EY919" s="123"/>
      <c r="EZ919" s="123"/>
      <c r="FA919" s="123"/>
      <c r="FB919" s="123"/>
      <c r="FC919" s="6"/>
      <c r="FD919" s="123"/>
      <c r="FE919" s="6"/>
      <c r="FF919" s="123"/>
      <c r="FG919" s="6"/>
      <c r="FH919" s="6"/>
      <c r="FI919" s="6"/>
      <c r="FJ919" s="6"/>
      <c r="FK919" s="123"/>
      <c r="FL919" s="6"/>
      <c r="FM919" s="6"/>
      <c r="FN919" s="6"/>
      <c r="FO919" s="138"/>
      <c r="FP919" s="138"/>
      <c r="FQ919" s="123"/>
      <c r="FR919" s="6"/>
      <c r="FS919" s="6"/>
      <c r="FT919" s="139"/>
      <c r="FU919" s="139"/>
      <c r="FV919" s="76"/>
      <c r="FW919" s="123"/>
      <c r="FX919" s="6"/>
    </row>
    <row r="920" spans="35:180">
      <c r="AI920" s="125"/>
      <c r="AJ920" s="16"/>
      <c r="AM920" s="16"/>
      <c r="AN920" s="16"/>
      <c r="AO920" s="125"/>
      <c r="AP920" s="16"/>
      <c r="AQ920" s="125"/>
      <c r="AZ920" s="125"/>
      <c r="BA920" s="142"/>
      <c r="BB920" s="125"/>
      <c r="BC920" s="16"/>
      <c r="BD920" s="125"/>
      <c r="BE920" s="125"/>
      <c r="BF920" s="16"/>
      <c r="BG920" s="125"/>
      <c r="BQ920" s="125"/>
      <c r="BR920" s="16"/>
      <c r="BS920" s="123"/>
      <c r="BT920" s="19"/>
      <c r="BU920" s="139"/>
      <c r="BV920" s="139"/>
      <c r="BW920" s="123"/>
      <c r="BX920" s="123"/>
      <c r="BY920" s="123"/>
      <c r="BZ920" s="123"/>
      <c r="CA920" s="123"/>
      <c r="CB920" s="123"/>
      <c r="CC920" s="6"/>
      <c r="CD920" s="123"/>
      <c r="CE920" s="6"/>
      <c r="CF920" s="123"/>
      <c r="CG920" s="6"/>
      <c r="CH920" s="6"/>
      <c r="CI920" s="6"/>
      <c r="CJ920" s="6"/>
      <c r="CK920" s="123"/>
      <c r="CL920" s="6"/>
      <c r="CM920" s="6"/>
      <c r="CN920" s="6"/>
      <c r="CO920" s="138"/>
      <c r="CP920" s="138"/>
      <c r="CQ920" s="123"/>
      <c r="CR920" s="6"/>
      <c r="CS920" s="6"/>
      <c r="CT920" s="139"/>
      <c r="CU920" s="139"/>
      <c r="CV920" s="76"/>
      <c r="CW920" s="123"/>
      <c r="CX920" s="6"/>
      <c r="DI920" s="125"/>
      <c r="DJ920" s="16"/>
      <c r="DM920" s="16"/>
      <c r="DN920" s="16"/>
      <c r="DO920" s="125"/>
      <c r="DP920" s="16"/>
      <c r="DQ920" s="125"/>
      <c r="DZ920" s="125"/>
      <c r="EA920" s="142"/>
      <c r="EB920" s="125"/>
      <c r="EC920" s="16"/>
      <c r="ED920" s="125"/>
      <c r="EE920" s="125"/>
      <c r="EF920" s="16"/>
      <c r="EG920" s="125"/>
      <c r="EQ920" s="125"/>
      <c r="ER920" s="16"/>
      <c r="ES920" s="123"/>
      <c r="ET920" s="19"/>
      <c r="EU920" s="139"/>
      <c r="EV920" s="139"/>
      <c r="EW920" s="123"/>
      <c r="EX920" s="123"/>
      <c r="EY920" s="123"/>
      <c r="EZ920" s="123"/>
      <c r="FA920" s="123"/>
      <c r="FB920" s="123"/>
      <c r="FC920" s="6"/>
      <c r="FD920" s="123"/>
      <c r="FE920" s="6"/>
      <c r="FF920" s="123"/>
      <c r="FG920" s="6"/>
      <c r="FH920" s="6"/>
      <c r="FI920" s="6"/>
      <c r="FJ920" s="6"/>
      <c r="FK920" s="123"/>
      <c r="FL920" s="6"/>
      <c r="FM920" s="6"/>
      <c r="FN920" s="6"/>
      <c r="FO920" s="138"/>
      <c r="FP920" s="138"/>
      <c r="FQ920" s="123"/>
      <c r="FR920" s="6"/>
      <c r="FS920" s="6"/>
      <c r="FT920" s="139"/>
      <c r="FU920" s="139"/>
      <c r="FV920" s="76"/>
      <c r="FW920" s="123"/>
      <c r="FX920" s="6"/>
    </row>
    <row r="921" spans="35:180">
      <c r="AI921" s="125"/>
      <c r="AJ921" s="16"/>
      <c r="AM921" s="16"/>
      <c r="AN921" s="16"/>
      <c r="AO921" s="125"/>
      <c r="AP921" s="16"/>
      <c r="AQ921" s="125"/>
      <c r="AZ921" s="125"/>
      <c r="BA921" s="142"/>
      <c r="BB921" s="125"/>
      <c r="BC921" s="16"/>
      <c r="BD921" s="125"/>
      <c r="BE921" s="125"/>
      <c r="BF921" s="16"/>
      <c r="BG921" s="125"/>
      <c r="BQ921" s="125"/>
      <c r="BR921" s="16"/>
      <c r="BS921" s="123"/>
      <c r="BT921" s="19"/>
      <c r="BU921" s="139"/>
      <c r="BV921" s="139"/>
      <c r="BW921" s="123"/>
      <c r="BX921" s="123"/>
      <c r="BY921" s="123"/>
      <c r="BZ921" s="123"/>
      <c r="CA921" s="123"/>
      <c r="CB921" s="123"/>
      <c r="CC921" s="6"/>
      <c r="CD921" s="123"/>
      <c r="CE921" s="6"/>
      <c r="CF921" s="123"/>
      <c r="CG921" s="6"/>
      <c r="CH921" s="6"/>
      <c r="CI921" s="6"/>
      <c r="CJ921" s="6"/>
      <c r="CK921" s="123"/>
      <c r="CL921" s="6"/>
      <c r="CM921" s="6"/>
      <c r="CN921" s="6"/>
      <c r="CO921" s="138"/>
      <c r="CP921" s="138"/>
      <c r="CQ921" s="123"/>
      <c r="CR921" s="6"/>
      <c r="CS921" s="6"/>
      <c r="CT921" s="139"/>
      <c r="CU921" s="139"/>
      <c r="CV921" s="76"/>
      <c r="CW921" s="123"/>
      <c r="CX921" s="6"/>
      <c r="DI921" s="125"/>
      <c r="DJ921" s="16"/>
      <c r="DM921" s="16"/>
      <c r="DN921" s="16"/>
      <c r="DO921" s="125"/>
      <c r="DP921" s="16"/>
      <c r="DQ921" s="125"/>
      <c r="DZ921" s="125"/>
      <c r="EA921" s="142"/>
      <c r="EB921" s="125"/>
      <c r="EC921" s="16"/>
      <c r="ED921" s="125"/>
      <c r="EE921" s="125"/>
      <c r="EF921" s="16"/>
      <c r="EG921" s="125"/>
      <c r="EQ921" s="125"/>
      <c r="ER921" s="16"/>
      <c r="ES921" s="123"/>
      <c r="ET921" s="19"/>
      <c r="EU921" s="139"/>
      <c r="EV921" s="139"/>
      <c r="EW921" s="123"/>
      <c r="EX921" s="123"/>
      <c r="EY921" s="123"/>
      <c r="EZ921" s="123"/>
      <c r="FA921" s="123"/>
      <c r="FB921" s="123"/>
      <c r="FC921" s="6"/>
      <c r="FD921" s="123"/>
      <c r="FE921" s="6"/>
      <c r="FF921" s="123"/>
      <c r="FG921" s="6"/>
      <c r="FH921" s="6"/>
      <c r="FI921" s="6"/>
      <c r="FJ921" s="6"/>
      <c r="FK921" s="123"/>
      <c r="FL921" s="6"/>
      <c r="FM921" s="6"/>
      <c r="FN921" s="6"/>
      <c r="FO921" s="138"/>
      <c r="FP921" s="138"/>
      <c r="FQ921" s="123"/>
      <c r="FR921" s="6"/>
      <c r="FS921" s="6"/>
      <c r="FT921" s="139"/>
      <c r="FU921" s="139"/>
      <c r="FV921" s="76"/>
      <c r="FW921" s="123"/>
      <c r="FX921" s="6"/>
    </row>
    <row r="922" spans="35:180">
      <c r="AI922" s="125"/>
      <c r="AJ922" s="16"/>
      <c r="AM922" s="16"/>
      <c r="AN922" s="16"/>
      <c r="AO922" s="125"/>
      <c r="AP922" s="16"/>
      <c r="AQ922" s="125"/>
      <c r="AZ922" s="125"/>
      <c r="BA922" s="142"/>
      <c r="BB922" s="125"/>
      <c r="BC922" s="16"/>
      <c r="BD922" s="125"/>
      <c r="BE922" s="125"/>
      <c r="BF922" s="16"/>
      <c r="BG922" s="125"/>
      <c r="BQ922" s="125"/>
      <c r="BR922" s="16"/>
      <c r="BS922" s="123"/>
      <c r="BT922" s="19"/>
      <c r="BU922" s="139"/>
      <c r="BV922" s="139"/>
      <c r="BW922" s="123"/>
      <c r="BX922" s="123"/>
      <c r="BY922" s="123"/>
      <c r="BZ922" s="123"/>
      <c r="CA922" s="123"/>
      <c r="CB922" s="123"/>
      <c r="CC922" s="6"/>
      <c r="CD922" s="123"/>
      <c r="CE922" s="6"/>
      <c r="CF922" s="123"/>
      <c r="CG922" s="6"/>
      <c r="CH922" s="6"/>
      <c r="CI922" s="6"/>
      <c r="CJ922" s="6"/>
      <c r="CK922" s="123"/>
      <c r="CL922" s="6"/>
      <c r="CM922" s="6"/>
      <c r="CN922" s="6"/>
      <c r="CO922" s="138"/>
      <c r="CP922" s="138"/>
      <c r="CQ922" s="123"/>
      <c r="CR922" s="6"/>
      <c r="CS922" s="6"/>
      <c r="CT922" s="139"/>
      <c r="CU922" s="139"/>
      <c r="CV922" s="76"/>
      <c r="CW922" s="123"/>
      <c r="CX922" s="6"/>
      <c r="DI922" s="125"/>
      <c r="DJ922" s="16"/>
      <c r="DM922" s="16"/>
      <c r="DN922" s="16"/>
      <c r="DO922" s="125"/>
      <c r="DP922" s="16"/>
      <c r="DQ922" s="125"/>
      <c r="DZ922" s="125"/>
      <c r="EA922" s="142"/>
      <c r="EB922" s="125"/>
      <c r="EC922" s="16"/>
      <c r="ED922" s="125"/>
      <c r="EE922" s="125"/>
      <c r="EF922" s="16"/>
      <c r="EG922" s="125"/>
      <c r="EQ922" s="125"/>
      <c r="ER922" s="16"/>
      <c r="ES922" s="123"/>
      <c r="ET922" s="19"/>
      <c r="EU922" s="139"/>
      <c r="EV922" s="139"/>
      <c r="EW922" s="123"/>
      <c r="EX922" s="123"/>
      <c r="EY922" s="123"/>
      <c r="EZ922" s="123"/>
      <c r="FA922" s="123"/>
      <c r="FB922" s="123"/>
      <c r="FC922" s="6"/>
      <c r="FD922" s="123"/>
      <c r="FE922" s="6"/>
      <c r="FF922" s="123"/>
      <c r="FG922" s="6"/>
      <c r="FH922" s="6"/>
      <c r="FI922" s="6"/>
      <c r="FJ922" s="6"/>
      <c r="FK922" s="123"/>
      <c r="FL922" s="6"/>
      <c r="FM922" s="6"/>
      <c r="FN922" s="6"/>
      <c r="FO922" s="138"/>
      <c r="FP922" s="138"/>
      <c r="FQ922" s="123"/>
      <c r="FR922" s="6"/>
      <c r="FS922" s="6"/>
      <c r="FT922" s="139"/>
      <c r="FU922" s="139"/>
      <c r="FV922" s="76"/>
      <c r="FW922" s="123"/>
      <c r="FX922" s="6"/>
    </row>
    <row r="923" spans="35:180">
      <c r="AI923" s="125"/>
      <c r="AJ923" s="16"/>
      <c r="AM923" s="16"/>
      <c r="AN923" s="16"/>
      <c r="AO923" s="125"/>
      <c r="AP923" s="16"/>
      <c r="AQ923" s="125"/>
      <c r="AZ923" s="125"/>
      <c r="BA923" s="142"/>
      <c r="BB923" s="125"/>
      <c r="BC923" s="16"/>
      <c r="BD923" s="125"/>
      <c r="BE923" s="125"/>
      <c r="BF923" s="16"/>
      <c r="BG923" s="125"/>
      <c r="BQ923" s="125"/>
      <c r="BR923" s="16"/>
      <c r="BS923" s="123"/>
      <c r="BT923" s="19"/>
      <c r="BU923" s="139"/>
      <c r="BV923" s="139"/>
      <c r="BW923" s="123"/>
      <c r="BX923" s="123"/>
      <c r="BY923" s="123"/>
      <c r="BZ923" s="123"/>
      <c r="CA923" s="123"/>
      <c r="CB923" s="123"/>
      <c r="CC923" s="6"/>
      <c r="CD923" s="123"/>
      <c r="CE923" s="6"/>
      <c r="CF923" s="123"/>
      <c r="CG923" s="6"/>
      <c r="CH923" s="6"/>
      <c r="CI923" s="6"/>
      <c r="CJ923" s="6"/>
      <c r="CK923" s="123"/>
      <c r="CL923" s="6"/>
      <c r="CM923" s="6"/>
      <c r="CN923" s="6"/>
      <c r="CO923" s="138"/>
      <c r="CP923" s="138"/>
      <c r="CQ923" s="123"/>
      <c r="CR923" s="6"/>
      <c r="CS923" s="6"/>
      <c r="CT923" s="139"/>
      <c r="CU923" s="139"/>
      <c r="CV923" s="76"/>
      <c r="CW923" s="123"/>
      <c r="CX923" s="6"/>
      <c r="DI923" s="125"/>
      <c r="DJ923" s="16"/>
      <c r="DM923" s="16"/>
      <c r="DN923" s="16"/>
      <c r="DO923" s="125"/>
      <c r="DP923" s="16"/>
      <c r="DQ923" s="125"/>
      <c r="DZ923" s="125"/>
      <c r="EA923" s="142"/>
      <c r="EB923" s="125"/>
      <c r="EC923" s="16"/>
      <c r="ED923" s="125"/>
      <c r="EE923" s="125"/>
      <c r="EF923" s="16"/>
      <c r="EG923" s="125"/>
      <c r="EQ923" s="125"/>
      <c r="ER923" s="16"/>
      <c r="ES923" s="123"/>
      <c r="ET923" s="19"/>
      <c r="EU923" s="139"/>
      <c r="EV923" s="139"/>
      <c r="EW923" s="123"/>
      <c r="EX923" s="123"/>
      <c r="EY923" s="123"/>
      <c r="EZ923" s="123"/>
      <c r="FA923" s="123"/>
      <c r="FB923" s="123"/>
      <c r="FC923" s="6"/>
      <c r="FD923" s="123"/>
      <c r="FE923" s="6"/>
      <c r="FF923" s="123"/>
      <c r="FG923" s="6"/>
      <c r="FH923" s="6"/>
      <c r="FI923" s="6"/>
      <c r="FJ923" s="6"/>
      <c r="FK923" s="123"/>
      <c r="FL923" s="6"/>
      <c r="FM923" s="6"/>
      <c r="FN923" s="6"/>
      <c r="FO923" s="138"/>
      <c r="FP923" s="138"/>
      <c r="FQ923" s="123"/>
      <c r="FR923" s="6"/>
      <c r="FS923" s="6"/>
      <c r="FT923" s="139"/>
      <c r="FU923" s="139"/>
      <c r="FV923" s="76"/>
      <c r="FW923" s="123"/>
      <c r="FX923" s="6"/>
    </row>
    <row r="924" spans="35:180">
      <c r="AI924" s="125"/>
      <c r="AJ924" s="16"/>
      <c r="AM924" s="16"/>
      <c r="AN924" s="16"/>
      <c r="AO924" s="125"/>
      <c r="AP924" s="16"/>
      <c r="AQ924" s="125"/>
      <c r="AZ924" s="125"/>
      <c r="BA924" s="142"/>
      <c r="BB924" s="125"/>
      <c r="BC924" s="16"/>
      <c r="BD924" s="125"/>
      <c r="BE924" s="125"/>
      <c r="BF924" s="16"/>
      <c r="BG924" s="125"/>
      <c r="BQ924" s="125"/>
      <c r="BR924" s="16"/>
      <c r="BS924" s="123"/>
      <c r="BT924" s="19"/>
      <c r="BU924" s="139"/>
      <c r="BV924" s="139"/>
      <c r="BW924" s="123"/>
      <c r="BX924" s="123"/>
      <c r="BY924" s="123"/>
      <c r="BZ924" s="123"/>
      <c r="CA924" s="123"/>
      <c r="CB924" s="123"/>
      <c r="CC924" s="6"/>
      <c r="CD924" s="123"/>
      <c r="CE924" s="6"/>
      <c r="CF924" s="123"/>
      <c r="CG924" s="6"/>
      <c r="CH924" s="6"/>
      <c r="CI924" s="6"/>
      <c r="CJ924" s="6"/>
      <c r="CK924" s="123"/>
      <c r="CL924" s="6"/>
      <c r="CM924" s="6"/>
      <c r="CN924" s="6"/>
      <c r="CO924" s="138"/>
      <c r="CP924" s="138"/>
      <c r="CQ924" s="123"/>
      <c r="CR924" s="6"/>
      <c r="CS924" s="6"/>
      <c r="CT924" s="139"/>
      <c r="CU924" s="139"/>
      <c r="CV924" s="76"/>
      <c r="CW924" s="123"/>
      <c r="CX924" s="6"/>
      <c r="DI924" s="125"/>
      <c r="DJ924" s="16"/>
      <c r="DM924" s="16"/>
      <c r="DN924" s="16"/>
      <c r="DO924" s="125"/>
      <c r="DP924" s="16"/>
      <c r="DQ924" s="125"/>
      <c r="DZ924" s="125"/>
      <c r="EA924" s="142"/>
      <c r="EB924" s="125"/>
      <c r="EC924" s="16"/>
      <c r="ED924" s="125"/>
      <c r="EE924" s="125"/>
      <c r="EF924" s="16"/>
      <c r="EG924" s="125"/>
      <c r="EQ924" s="125"/>
      <c r="ER924" s="16"/>
      <c r="ES924" s="123"/>
      <c r="ET924" s="19"/>
      <c r="EU924" s="139"/>
      <c r="EV924" s="139"/>
      <c r="EW924" s="123"/>
      <c r="EX924" s="123"/>
      <c r="EY924" s="123"/>
      <c r="EZ924" s="123"/>
      <c r="FA924" s="123"/>
      <c r="FB924" s="123"/>
      <c r="FC924" s="6"/>
      <c r="FD924" s="123"/>
      <c r="FE924" s="6"/>
      <c r="FF924" s="123"/>
      <c r="FG924" s="6"/>
      <c r="FH924" s="6"/>
      <c r="FI924" s="6"/>
      <c r="FJ924" s="6"/>
      <c r="FK924" s="123"/>
      <c r="FL924" s="6"/>
      <c r="FM924" s="6"/>
      <c r="FN924" s="6"/>
      <c r="FO924" s="138"/>
      <c r="FP924" s="138"/>
      <c r="FQ924" s="123"/>
      <c r="FR924" s="6"/>
      <c r="FS924" s="6"/>
      <c r="FT924" s="139"/>
      <c r="FU924" s="139"/>
      <c r="FV924" s="76"/>
      <c r="FW924" s="123"/>
      <c r="FX924" s="6"/>
    </row>
    <row r="925" spans="35:180">
      <c r="AI925" s="125"/>
      <c r="AJ925" s="16"/>
      <c r="AM925" s="16"/>
      <c r="AN925" s="16"/>
      <c r="AO925" s="125"/>
      <c r="AP925" s="16"/>
      <c r="AQ925" s="125"/>
      <c r="AZ925" s="125"/>
      <c r="BA925" s="142"/>
      <c r="BB925" s="125"/>
      <c r="BC925" s="16"/>
      <c r="BD925" s="125"/>
      <c r="BE925" s="125"/>
      <c r="BF925" s="16"/>
      <c r="BG925" s="125"/>
      <c r="BQ925" s="125"/>
      <c r="BR925" s="16"/>
      <c r="BS925" s="123"/>
      <c r="BT925" s="19"/>
      <c r="BU925" s="139"/>
      <c r="BV925" s="139"/>
      <c r="BW925" s="123"/>
      <c r="BX925" s="123"/>
      <c r="BY925" s="123"/>
      <c r="BZ925" s="123"/>
      <c r="CA925" s="123"/>
      <c r="CB925" s="123"/>
      <c r="CC925" s="6"/>
      <c r="CD925" s="123"/>
      <c r="CE925" s="6"/>
      <c r="CF925" s="123"/>
      <c r="CG925" s="6"/>
      <c r="CH925" s="6"/>
      <c r="CI925" s="6"/>
      <c r="CJ925" s="6"/>
      <c r="CK925" s="123"/>
      <c r="CL925" s="6"/>
      <c r="CM925" s="6"/>
      <c r="CN925" s="6"/>
      <c r="CO925" s="138"/>
      <c r="CP925" s="138"/>
      <c r="CQ925" s="123"/>
      <c r="CR925" s="6"/>
      <c r="CS925" s="6"/>
      <c r="CT925" s="139"/>
      <c r="CU925" s="139"/>
      <c r="CV925" s="76"/>
      <c r="CW925" s="123"/>
      <c r="CX925" s="6"/>
      <c r="DI925" s="125"/>
      <c r="DJ925" s="16"/>
      <c r="DM925" s="16"/>
      <c r="DN925" s="16"/>
      <c r="DO925" s="125"/>
      <c r="DP925" s="16"/>
      <c r="DQ925" s="125"/>
      <c r="DZ925" s="125"/>
      <c r="EA925" s="142"/>
      <c r="EB925" s="125"/>
      <c r="EC925" s="16"/>
      <c r="ED925" s="125"/>
      <c r="EE925" s="125"/>
      <c r="EF925" s="16"/>
      <c r="EG925" s="125"/>
      <c r="EQ925" s="125"/>
      <c r="ER925" s="16"/>
      <c r="ES925" s="123"/>
      <c r="ET925" s="19"/>
      <c r="EU925" s="139"/>
      <c r="EV925" s="139"/>
      <c r="EW925" s="123"/>
      <c r="EX925" s="123"/>
      <c r="EY925" s="123"/>
      <c r="EZ925" s="123"/>
      <c r="FA925" s="123"/>
      <c r="FB925" s="123"/>
      <c r="FC925" s="6"/>
      <c r="FD925" s="123"/>
      <c r="FE925" s="6"/>
      <c r="FF925" s="123"/>
      <c r="FG925" s="6"/>
      <c r="FH925" s="6"/>
      <c r="FI925" s="6"/>
      <c r="FJ925" s="6"/>
      <c r="FK925" s="123"/>
      <c r="FL925" s="6"/>
      <c r="FM925" s="6"/>
      <c r="FN925" s="6"/>
      <c r="FO925" s="138"/>
      <c r="FP925" s="138"/>
      <c r="FQ925" s="123"/>
      <c r="FR925" s="6"/>
      <c r="FS925" s="6"/>
      <c r="FT925" s="139"/>
      <c r="FU925" s="139"/>
      <c r="FV925" s="76"/>
      <c r="FW925" s="123"/>
      <c r="FX925" s="6"/>
    </row>
    <row r="926" spans="35:180">
      <c r="AI926" s="125"/>
      <c r="AJ926" s="16"/>
      <c r="AM926" s="16"/>
      <c r="AN926" s="16"/>
      <c r="AO926" s="125"/>
      <c r="AP926" s="16"/>
      <c r="AQ926" s="125"/>
      <c r="AZ926" s="125"/>
      <c r="BA926" s="142"/>
      <c r="BB926" s="125"/>
      <c r="BC926" s="16"/>
      <c r="BD926" s="125"/>
      <c r="BE926" s="125"/>
      <c r="BF926" s="16"/>
      <c r="BG926" s="125"/>
      <c r="BQ926" s="125"/>
      <c r="BR926" s="16"/>
      <c r="BS926" s="123"/>
      <c r="BT926" s="19"/>
      <c r="BU926" s="139"/>
      <c r="BV926" s="139"/>
      <c r="BW926" s="123"/>
      <c r="BX926" s="123"/>
      <c r="BY926" s="123"/>
      <c r="BZ926" s="123"/>
      <c r="CA926" s="123"/>
      <c r="CB926" s="123"/>
      <c r="CC926" s="6"/>
      <c r="CD926" s="123"/>
      <c r="CE926" s="6"/>
      <c r="CF926" s="123"/>
      <c r="CG926" s="6"/>
      <c r="CH926" s="6"/>
      <c r="CI926" s="6"/>
      <c r="CJ926" s="6"/>
      <c r="CK926" s="123"/>
      <c r="CL926" s="6"/>
      <c r="CM926" s="6"/>
      <c r="CN926" s="6"/>
      <c r="CO926" s="138"/>
      <c r="CP926" s="138"/>
      <c r="CQ926" s="123"/>
      <c r="CR926" s="6"/>
      <c r="CS926" s="6"/>
      <c r="CT926" s="139"/>
      <c r="CU926" s="139"/>
      <c r="CV926" s="76"/>
      <c r="CW926" s="123"/>
      <c r="CX926" s="6"/>
      <c r="DI926" s="125"/>
      <c r="DJ926" s="16"/>
      <c r="DM926" s="16"/>
      <c r="DN926" s="16"/>
      <c r="DO926" s="125"/>
      <c r="DP926" s="16"/>
      <c r="DQ926" s="125"/>
      <c r="DZ926" s="125"/>
      <c r="EA926" s="142"/>
      <c r="EB926" s="125"/>
      <c r="EC926" s="16"/>
      <c r="ED926" s="125"/>
      <c r="EE926" s="125"/>
      <c r="EF926" s="16"/>
      <c r="EG926" s="125"/>
      <c r="EQ926" s="125"/>
      <c r="ER926" s="16"/>
      <c r="ES926" s="123"/>
      <c r="ET926" s="19"/>
      <c r="EU926" s="139"/>
      <c r="EV926" s="139"/>
      <c r="EW926" s="123"/>
      <c r="EX926" s="123"/>
      <c r="EY926" s="123"/>
      <c r="EZ926" s="123"/>
      <c r="FA926" s="123"/>
      <c r="FB926" s="123"/>
      <c r="FC926" s="6"/>
      <c r="FD926" s="123"/>
      <c r="FE926" s="6"/>
      <c r="FF926" s="123"/>
      <c r="FG926" s="6"/>
      <c r="FH926" s="6"/>
      <c r="FI926" s="6"/>
      <c r="FJ926" s="6"/>
      <c r="FK926" s="123"/>
      <c r="FL926" s="6"/>
      <c r="FM926" s="6"/>
      <c r="FN926" s="6"/>
      <c r="FO926" s="138"/>
      <c r="FP926" s="138"/>
      <c r="FQ926" s="123"/>
      <c r="FR926" s="6"/>
      <c r="FS926" s="6"/>
      <c r="FT926" s="139"/>
      <c r="FU926" s="139"/>
      <c r="FV926" s="76"/>
      <c r="FW926" s="123"/>
      <c r="FX926" s="6"/>
    </row>
    <row r="927" spans="35:180">
      <c r="AI927" s="125"/>
      <c r="AJ927" s="16"/>
      <c r="AM927" s="16"/>
      <c r="AN927" s="16"/>
      <c r="AO927" s="125"/>
      <c r="AP927" s="16"/>
      <c r="AQ927" s="125"/>
      <c r="AZ927" s="125"/>
      <c r="BA927" s="142"/>
      <c r="BB927" s="125"/>
      <c r="BC927" s="16"/>
      <c r="BD927" s="125"/>
      <c r="BE927" s="125"/>
      <c r="BF927" s="16"/>
      <c r="BG927" s="125"/>
      <c r="BQ927" s="125"/>
      <c r="BR927" s="16"/>
      <c r="BS927" s="123"/>
      <c r="BT927" s="19"/>
      <c r="BU927" s="139"/>
      <c r="BV927" s="139"/>
      <c r="BW927" s="123"/>
      <c r="BX927" s="123"/>
      <c r="BY927" s="123"/>
      <c r="BZ927" s="123"/>
      <c r="CA927" s="123"/>
      <c r="CB927" s="123"/>
      <c r="CC927" s="6"/>
      <c r="CD927" s="123"/>
      <c r="CE927" s="6"/>
      <c r="CF927" s="123"/>
      <c r="CG927" s="6"/>
      <c r="CH927" s="6"/>
      <c r="CI927" s="6"/>
      <c r="CJ927" s="6"/>
      <c r="CK927" s="123"/>
      <c r="CL927" s="6"/>
      <c r="CM927" s="6"/>
      <c r="CN927" s="6"/>
      <c r="CO927" s="138"/>
      <c r="CP927" s="138"/>
      <c r="CQ927" s="123"/>
      <c r="CR927" s="6"/>
      <c r="CS927" s="6"/>
      <c r="CT927" s="139"/>
      <c r="CU927" s="139"/>
      <c r="CV927" s="76"/>
      <c r="CW927" s="123"/>
      <c r="CX927" s="6"/>
      <c r="DI927" s="125"/>
      <c r="DJ927" s="16"/>
      <c r="DM927" s="16"/>
      <c r="DN927" s="16"/>
      <c r="DO927" s="125"/>
      <c r="DP927" s="16"/>
      <c r="DQ927" s="125"/>
      <c r="DZ927" s="125"/>
      <c r="EA927" s="142"/>
      <c r="EB927" s="125"/>
      <c r="EC927" s="16"/>
      <c r="ED927" s="125"/>
      <c r="EE927" s="125"/>
      <c r="EF927" s="16"/>
      <c r="EG927" s="125"/>
      <c r="EQ927" s="125"/>
      <c r="ER927" s="16"/>
      <c r="ES927" s="123"/>
      <c r="ET927" s="19"/>
      <c r="EU927" s="139"/>
      <c r="EV927" s="139"/>
      <c r="EW927" s="123"/>
      <c r="EX927" s="123"/>
      <c r="EY927" s="123"/>
      <c r="EZ927" s="123"/>
      <c r="FA927" s="123"/>
      <c r="FB927" s="123"/>
      <c r="FC927" s="6"/>
      <c r="FD927" s="123"/>
      <c r="FE927" s="6"/>
      <c r="FF927" s="123"/>
      <c r="FG927" s="6"/>
      <c r="FH927" s="6"/>
      <c r="FI927" s="6"/>
      <c r="FJ927" s="6"/>
      <c r="FK927" s="123"/>
      <c r="FL927" s="6"/>
      <c r="FM927" s="6"/>
      <c r="FN927" s="6"/>
      <c r="FO927" s="138"/>
      <c r="FP927" s="138"/>
      <c r="FQ927" s="123"/>
      <c r="FR927" s="6"/>
      <c r="FS927" s="6"/>
      <c r="FT927" s="139"/>
      <c r="FU927" s="139"/>
      <c r="FV927" s="76"/>
      <c r="FW927" s="123"/>
      <c r="FX927" s="6"/>
    </row>
    <row r="928" spans="35:180">
      <c r="AI928" s="125"/>
      <c r="AJ928" s="16"/>
      <c r="AM928" s="16"/>
      <c r="AN928" s="16"/>
      <c r="AO928" s="125"/>
      <c r="AP928" s="16"/>
      <c r="AQ928" s="125"/>
      <c r="AZ928" s="125"/>
      <c r="BA928" s="142"/>
      <c r="BB928" s="125"/>
      <c r="BC928" s="16"/>
      <c r="BD928" s="125"/>
      <c r="BE928" s="125"/>
      <c r="BF928" s="16"/>
      <c r="BG928" s="125"/>
      <c r="BQ928" s="125"/>
      <c r="BR928" s="16"/>
      <c r="BS928" s="123"/>
      <c r="BT928" s="19"/>
      <c r="BU928" s="139"/>
      <c r="BV928" s="139"/>
      <c r="BW928" s="123"/>
      <c r="BX928" s="123"/>
      <c r="BY928" s="123"/>
      <c r="BZ928" s="123"/>
      <c r="CA928" s="123"/>
      <c r="CB928" s="123"/>
      <c r="CC928" s="6"/>
      <c r="CD928" s="123"/>
      <c r="CE928" s="6"/>
      <c r="CF928" s="123"/>
      <c r="CG928" s="6"/>
      <c r="CH928" s="6"/>
      <c r="CI928" s="6"/>
      <c r="CJ928" s="6"/>
      <c r="CK928" s="123"/>
      <c r="CL928" s="6"/>
      <c r="CM928" s="6"/>
      <c r="CN928" s="6"/>
      <c r="CO928" s="138"/>
      <c r="CP928" s="138"/>
      <c r="CQ928" s="123"/>
      <c r="CR928" s="6"/>
      <c r="CS928" s="6"/>
      <c r="CT928" s="139"/>
      <c r="CU928" s="139"/>
      <c r="CV928" s="76"/>
      <c r="CW928" s="123"/>
      <c r="CX928" s="6"/>
      <c r="DI928" s="125"/>
      <c r="DJ928" s="16"/>
      <c r="DM928" s="16"/>
      <c r="DN928" s="16"/>
      <c r="DO928" s="125"/>
      <c r="DP928" s="16"/>
      <c r="DQ928" s="125"/>
      <c r="DZ928" s="125"/>
      <c r="EA928" s="142"/>
      <c r="EB928" s="125"/>
      <c r="EC928" s="16"/>
      <c r="ED928" s="125"/>
      <c r="EE928" s="125"/>
      <c r="EF928" s="16"/>
      <c r="EG928" s="125"/>
      <c r="EQ928" s="125"/>
      <c r="ER928" s="16"/>
      <c r="ES928" s="123"/>
      <c r="ET928" s="19"/>
      <c r="EU928" s="139"/>
      <c r="EV928" s="139"/>
      <c r="EW928" s="123"/>
      <c r="EX928" s="123"/>
      <c r="EY928" s="123"/>
      <c r="EZ928" s="123"/>
      <c r="FA928" s="123"/>
      <c r="FB928" s="123"/>
      <c r="FC928" s="6"/>
      <c r="FD928" s="123"/>
      <c r="FE928" s="6"/>
      <c r="FF928" s="123"/>
      <c r="FG928" s="6"/>
      <c r="FH928" s="6"/>
      <c r="FI928" s="6"/>
      <c r="FJ928" s="6"/>
      <c r="FK928" s="123"/>
      <c r="FL928" s="6"/>
      <c r="FM928" s="6"/>
      <c r="FN928" s="6"/>
      <c r="FO928" s="138"/>
      <c r="FP928" s="138"/>
      <c r="FQ928" s="123"/>
      <c r="FR928" s="6"/>
      <c r="FS928" s="6"/>
      <c r="FT928" s="139"/>
      <c r="FU928" s="139"/>
      <c r="FV928" s="76"/>
      <c r="FW928" s="123"/>
      <c r="FX928" s="6"/>
    </row>
    <row r="929" spans="35:180">
      <c r="AI929" s="125"/>
      <c r="AJ929" s="16"/>
      <c r="AM929" s="16"/>
      <c r="AN929" s="16"/>
      <c r="AO929" s="125"/>
      <c r="AP929" s="16"/>
      <c r="AQ929" s="125"/>
      <c r="AZ929" s="125"/>
      <c r="BA929" s="142"/>
      <c r="BB929" s="125"/>
      <c r="BC929" s="16"/>
      <c r="BD929" s="125"/>
      <c r="BE929" s="125"/>
      <c r="BF929" s="16"/>
      <c r="BG929" s="125"/>
      <c r="BQ929" s="125"/>
      <c r="BR929" s="16"/>
      <c r="BS929" s="123"/>
      <c r="BT929" s="19"/>
      <c r="BU929" s="139"/>
      <c r="BV929" s="139"/>
      <c r="BW929" s="123"/>
      <c r="BX929" s="123"/>
      <c r="BY929" s="123"/>
      <c r="BZ929" s="123"/>
      <c r="CA929" s="123"/>
      <c r="CB929" s="123"/>
      <c r="CC929" s="6"/>
      <c r="CD929" s="123"/>
      <c r="CE929" s="6"/>
      <c r="CF929" s="123"/>
      <c r="CG929" s="6"/>
      <c r="CH929" s="6"/>
      <c r="CI929" s="6"/>
      <c r="CJ929" s="6"/>
      <c r="CK929" s="123"/>
      <c r="CL929" s="6"/>
      <c r="CM929" s="6"/>
      <c r="CN929" s="6"/>
      <c r="CO929" s="138"/>
      <c r="CP929" s="138"/>
      <c r="CQ929" s="123"/>
      <c r="CR929" s="6"/>
      <c r="CS929" s="6"/>
      <c r="CT929" s="139"/>
      <c r="CU929" s="139"/>
      <c r="CV929" s="76"/>
      <c r="CW929" s="123"/>
      <c r="CX929" s="6"/>
      <c r="DI929" s="125"/>
      <c r="DJ929" s="16"/>
      <c r="DM929" s="16"/>
      <c r="DN929" s="16"/>
      <c r="DO929" s="125"/>
      <c r="DP929" s="16"/>
      <c r="DQ929" s="125"/>
      <c r="DZ929" s="125"/>
      <c r="EA929" s="142"/>
      <c r="EB929" s="125"/>
      <c r="EC929" s="16"/>
      <c r="ED929" s="125"/>
      <c r="EE929" s="125"/>
      <c r="EF929" s="16"/>
      <c r="EG929" s="125"/>
      <c r="EQ929" s="125"/>
      <c r="ER929" s="16"/>
      <c r="ES929" s="123"/>
      <c r="ET929" s="19"/>
      <c r="EU929" s="139"/>
      <c r="EV929" s="139"/>
      <c r="EW929" s="123"/>
      <c r="EX929" s="123"/>
      <c r="EY929" s="123"/>
      <c r="EZ929" s="123"/>
      <c r="FA929" s="123"/>
      <c r="FB929" s="123"/>
      <c r="FC929" s="6"/>
      <c r="FD929" s="123"/>
      <c r="FE929" s="6"/>
      <c r="FF929" s="123"/>
      <c r="FG929" s="6"/>
      <c r="FH929" s="6"/>
      <c r="FI929" s="6"/>
      <c r="FJ929" s="6"/>
      <c r="FK929" s="123"/>
      <c r="FL929" s="6"/>
      <c r="FM929" s="6"/>
      <c r="FN929" s="6"/>
      <c r="FO929" s="138"/>
      <c r="FP929" s="138"/>
      <c r="FQ929" s="123"/>
      <c r="FR929" s="6"/>
      <c r="FS929" s="6"/>
      <c r="FT929" s="139"/>
      <c r="FU929" s="139"/>
      <c r="FV929" s="76"/>
      <c r="FW929" s="123"/>
      <c r="FX929" s="6"/>
    </row>
    <row r="930" spans="35:180">
      <c r="AI930" s="125"/>
      <c r="AJ930" s="16"/>
      <c r="AM930" s="16"/>
      <c r="AN930" s="16"/>
      <c r="AO930" s="125"/>
      <c r="AP930" s="16"/>
      <c r="AQ930" s="125"/>
      <c r="AZ930" s="125"/>
      <c r="BA930" s="142"/>
      <c r="BB930" s="125"/>
      <c r="BC930" s="16"/>
      <c r="BD930" s="125"/>
      <c r="BE930" s="125"/>
      <c r="BF930" s="16"/>
      <c r="BG930" s="125"/>
      <c r="BQ930" s="125"/>
      <c r="BR930" s="16"/>
      <c r="BS930" s="123"/>
      <c r="BT930" s="19"/>
      <c r="BU930" s="139"/>
      <c r="BV930" s="139"/>
      <c r="BW930" s="123"/>
      <c r="BX930" s="123"/>
      <c r="BY930" s="123"/>
      <c r="BZ930" s="123"/>
      <c r="CA930" s="123"/>
      <c r="CB930" s="123"/>
      <c r="CC930" s="6"/>
      <c r="CD930" s="123"/>
      <c r="CE930" s="6"/>
      <c r="CF930" s="123"/>
      <c r="CG930" s="6"/>
      <c r="CH930" s="6"/>
      <c r="CI930" s="6"/>
      <c r="CJ930" s="6"/>
      <c r="CK930" s="123"/>
      <c r="CL930" s="6"/>
      <c r="CM930" s="6"/>
      <c r="CN930" s="6"/>
      <c r="CO930" s="138"/>
      <c r="CP930" s="138"/>
      <c r="CQ930" s="123"/>
      <c r="CR930" s="6"/>
      <c r="CS930" s="6"/>
      <c r="CT930" s="139"/>
      <c r="CU930" s="139"/>
      <c r="CV930" s="76"/>
      <c r="CW930" s="123"/>
      <c r="CX930" s="6"/>
      <c r="DI930" s="125"/>
      <c r="DJ930" s="16"/>
      <c r="DM930" s="16"/>
      <c r="DN930" s="16"/>
      <c r="DO930" s="125"/>
      <c r="DP930" s="16"/>
      <c r="DQ930" s="125"/>
      <c r="DZ930" s="125"/>
      <c r="EA930" s="142"/>
      <c r="EB930" s="125"/>
      <c r="EC930" s="16"/>
      <c r="ED930" s="125"/>
      <c r="EE930" s="125"/>
      <c r="EF930" s="16"/>
      <c r="EG930" s="125"/>
      <c r="EQ930" s="125"/>
      <c r="ER930" s="16"/>
      <c r="ES930" s="123"/>
      <c r="ET930" s="19"/>
      <c r="EU930" s="139"/>
      <c r="EV930" s="139"/>
      <c r="EW930" s="123"/>
      <c r="EX930" s="123"/>
      <c r="EY930" s="123"/>
      <c r="EZ930" s="123"/>
      <c r="FA930" s="123"/>
      <c r="FB930" s="123"/>
      <c r="FC930" s="6"/>
      <c r="FD930" s="123"/>
      <c r="FE930" s="6"/>
      <c r="FF930" s="123"/>
      <c r="FG930" s="6"/>
      <c r="FH930" s="6"/>
      <c r="FI930" s="6"/>
      <c r="FJ930" s="6"/>
      <c r="FK930" s="123"/>
      <c r="FL930" s="6"/>
      <c r="FM930" s="6"/>
      <c r="FN930" s="6"/>
      <c r="FO930" s="138"/>
      <c r="FP930" s="138"/>
      <c r="FQ930" s="123"/>
      <c r="FR930" s="6"/>
      <c r="FS930" s="6"/>
      <c r="FT930" s="139"/>
      <c r="FU930" s="139"/>
      <c r="FV930" s="76"/>
      <c r="FW930" s="123"/>
      <c r="FX930" s="6"/>
    </row>
    <row r="931" spans="35:180">
      <c r="AI931" s="125"/>
      <c r="AJ931" s="16"/>
      <c r="AM931" s="16"/>
      <c r="AN931" s="16"/>
      <c r="AO931" s="125"/>
      <c r="AP931" s="16"/>
      <c r="AQ931" s="125"/>
      <c r="AZ931" s="125"/>
      <c r="BA931" s="142"/>
      <c r="BB931" s="125"/>
      <c r="BC931" s="16"/>
      <c r="BD931" s="125"/>
      <c r="BE931" s="125"/>
      <c r="BF931" s="16"/>
      <c r="BG931" s="125"/>
      <c r="BQ931" s="125"/>
      <c r="BR931" s="16"/>
      <c r="BS931" s="123"/>
      <c r="BT931" s="19"/>
      <c r="BU931" s="139"/>
      <c r="BV931" s="139"/>
      <c r="BW931" s="123"/>
      <c r="BX931" s="123"/>
      <c r="BY931" s="123"/>
      <c r="BZ931" s="123"/>
      <c r="CA931" s="123"/>
      <c r="CB931" s="123"/>
      <c r="CC931" s="6"/>
      <c r="CD931" s="123"/>
      <c r="CE931" s="6"/>
      <c r="CF931" s="123"/>
      <c r="CG931" s="6"/>
      <c r="CH931" s="6"/>
      <c r="CI931" s="6"/>
      <c r="CJ931" s="6"/>
      <c r="CK931" s="123"/>
      <c r="CL931" s="6"/>
      <c r="CM931" s="6"/>
      <c r="CN931" s="6"/>
      <c r="CO931" s="138"/>
      <c r="CP931" s="138"/>
      <c r="CQ931" s="123"/>
      <c r="CR931" s="6"/>
      <c r="CS931" s="6"/>
      <c r="CT931" s="139"/>
      <c r="CU931" s="139"/>
      <c r="CV931" s="76"/>
      <c r="CW931" s="123"/>
      <c r="CX931" s="6"/>
      <c r="DI931" s="125"/>
      <c r="DJ931" s="16"/>
      <c r="DM931" s="16"/>
      <c r="DN931" s="16"/>
      <c r="DO931" s="125"/>
      <c r="DP931" s="16"/>
      <c r="DQ931" s="125"/>
      <c r="DZ931" s="125"/>
      <c r="EA931" s="142"/>
      <c r="EB931" s="125"/>
      <c r="EC931" s="16"/>
      <c r="ED931" s="125"/>
      <c r="EE931" s="125"/>
      <c r="EF931" s="16"/>
      <c r="EG931" s="125"/>
      <c r="EQ931" s="125"/>
      <c r="ER931" s="16"/>
      <c r="ES931" s="123"/>
      <c r="ET931" s="19"/>
      <c r="EU931" s="139"/>
      <c r="EV931" s="139"/>
      <c r="EW931" s="123"/>
      <c r="EX931" s="123"/>
      <c r="EY931" s="123"/>
      <c r="EZ931" s="123"/>
      <c r="FA931" s="123"/>
      <c r="FB931" s="123"/>
      <c r="FC931" s="6"/>
      <c r="FD931" s="123"/>
      <c r="FE931" s="6"/>
      <c r="FF931" s="123"/>
      <c r="FG931" s="6"/>
      <c r="FH931" s="6"/>
      <c r="FI931" s="6"/>
      <c r="FJ931" s="6"/>
      <c r="FK931" s="123"/>
      <c r="FL931" s="6"/>
      <c r="FM931" s="6"/>
      <c r="FN931" s="6"/>
      <c r="FO931" s="138"/>
      <c r="FP931" s="138"/>
      <c r="FQ931" s="123"/>
      <c r="FR931" s="6"/>
      <c r="FS931" s="6"/>
      <c r="FT931" s="139"/>
      <c r="FU931" s="139"/>
      <c r="FV931" s="76"/>
      <c r="FW931" s="123"/>
      <c r="FX931" s="6"/>
    </row>
    <row r="932" spans="35:180">
      <c r="AI932" s="125"/>
      <c r="AJ932" s="16"/>
      <c r="AM932" s="16"/>
      <c r="AN932" s="16"/>
      <c r="AO932" s="125"/>
      <c r="AP932" s="16"/>
      <c r="AQ932" s="125"/>
      <c r="AZ932" s="125"/>
      <c r="BA932" s="142"/>
      <c r="BB932" s="125"/>
      <c r="BC932" s="16"/>
      <c r="BD932" s="125"/>
      <c r="BE932" s="125"/>
      <c r="BF932" s="16"/>
      <c r="BG932" s="125"/>
      <c r="BQ932" s="125"/>
      <c r="BR932" s="16"/>
      <c r="BS932" s="123"/>
      <c r="BT932" s="19"/>
      <c r="BU932" s="139"/>
      <c r="BV932" s="139"/>
      <c r="BW932" s="123"/>
      <c r="BX932" s="123"/>
      <c r="BY932" s="123"/>
      <c r="BZ932" s="123"/>
      <c r="CA932" s="123"/>
      <c r="CB932" s="123"/>
      <c r="CC932" s="6"/>
      <c r="CD932" s="123"/>
      <c r="CE932" s="6"/>
      <c r="CF932" s="123"/>
      <c r="CG932" s="6"/>
      <c r="CH932" s="6"/>
      <c r="CI932" s="6"/>
      <c r="CJ932" s="6"/>
      <c r="CK932" s="123"/>
      <c r="CL932" s="6"/>
      <c r="CM932" s="6"/>
      <c r="CN932" s="6"/>
      <c r="CO932" s="138"/>
      <c r="CP932" s="138"/>
      <c r="CQ932" s="123"/>
      <c r="CR932" s="6"/>
      <c r="CS932" s="6"/>
      <c r="CT932" s="139"/>
      <c r="CU932" s="139"/>
      <c r="CV932" s="76"/>
      <c r="CW932" s="123"/>
      <c r="CX932" s="6"/>
      <c r="DI932" s="125"/>
      <c r="DJ932" s="16"/>
      <c r="DM932" s="16"/>
      <c r="DN932" s="16"/>
      <c r="DO932" s="125"/>
      <c r="DP932" s="16"/>
      <c r="DQ932" s="125"/>
      <c r="DZ932" s="125"/>
      <c r="EA932" s="142"/>
      <c r="EB932" s="125"/>
      <c r="EC932" s="16"/>
      <c r="ED932" s="125"/>
      <c r="EE932" s="125"/>
      <c r="EF932" s="16"/>
      <c r="EG932" s="125"/>
      <c r="EQ932" s="125"/>
      <c r="ER932" s="16"/>
      <c r="ES932" s="123"/>
      <c r="ET932" s="19"/>
      <c r="EU932" s="139"/>
      <c r="EV932" s="139"/>
      <c r="EW932" s="123"/>
      <c r="EX932" s="123"/>
      <c r="EY932" s="123"/>
      <c r="EZ932" s="123"/>
      <c r="FA932" s="123"/>
      <c r="FB932" s="123"/>
      <c r="FC932" s="6"/>
      <c r="FD932" s="123"/>
      <c r="FE932" s="6"/>
      <c r="FF932" s="123"/>
      <c r="FG932" s="6"/>
      <c r="FH932" s="6"/>
      <c r="FI932" s="6"/>
      <c r="FJ932" s="6"/>
      <c r="FK932" s="123"/>
      <c r="FL932" s="6"/>
      <c r="FM932" s="6"/>
      <c r="FN932" s="6"/>
      <c r="FO932" s="138"/>
      <c r="FP932" s="138"/>
      <c r="FQ932" s="123"/>
      <c r="FR932" s="6"/>
      <c r="FS932" s="6"/>
      <c r="FT932" s="139"/>
      <c r="FU932" s="139"/>
      <c r="FV932" s="76"/>
      <c r="FW932" s="123"/>
      <c r="FX932" s="6"/>
    </row>
    <row r="933" spans="35:180">
      <c r="AI933" s="125"/>
      <c r="AJ933" s="16"/>
      <c r="AM933" s="16"/>
      <c r="AN933" s="16"/>
      <c r="AO933" s="125"/>
      <c r="AP933" s="16"/>
      <c r="AQ933" s="125"/>
      <c r="AZ933" s="125"/>
      <c r="BA933" s="142"/>
      <c r="BB933" s="125"/>
      <c r="BC933" s="16"/>
      <c r="BD933" s="125"/>
      <c r="BE933" s="125"/>
      <c r="BF933" s="16"/>
      <c r="BG933" s="125"/>
      <c r="BQ933" s="125"/>
      <c r="BR933" s="16"/>
      <c r="BS933" s="123"/>
      <c r="BT933" s="19"/>
      <c r="BU933" s="139"/>
      <c r="BV933" s="139"/>
      <c r="BW933" s="123"/>
      <c r="BX933" s="123"/>
      <c r="BY933" s="123"/>
      <c r="BZ933" s="123"/>
      <c r="CA933" s="123"/>
      <c r="CB933" s="123"/>
      <c r="CC933" s="6"/>
      <c r="CD933" s="123"/>
      <c r="CE933" s="6"/>
      <c r="CF933" s="123"/>
      <c r="CG933" s="6"/>
      <c r="CH933" s="6"/>
      <c r="CI933" s="6"/>
      <c r="CJ933" s="6"/>
      <c r="CK933" s="123"/>
      <c r="CL933" s="6"/>
      <c r="CM933" s="6"/>
      <c r="CN933" s="6"/>
      <c r="CO933" s="138"/>
      <c r="CP933" s="138"/>
      <c r="CQ933" s="123"/>
      <c r="CR933" s="6"/>
      <c r="CS933" s="6"/>
      <c r="CT933" s="139"/>
      <c r="CU933" s="139"/>
      <c r="CV933" s="76"/>
      <c r="CW933" s="123"/>
      <c r="CX933" s="6"/>
      <c r="DI933" s="125"/>
      <c r="DJ933" s="16"/>
      <c r="DM933" s="16"/>
      <c r="DN933" s="16"/>
      <c r="DO933" s="125"/>
      <c r="DP933" s="16"/>
      <c r="DQ933" s="125"/>
      <c r="DZ933" s="125"/>
      <c r="EA933" s="142"/>
      <c r="EB933" s="125"/>
      <c r="EC933" s="16"/>
      <c r="ED933" s="125"/>
      <c r="EE933" s="125"/>
      <c r="EF933" s="16"/>
      <c r="EG933" s="125"/>
      <c r="EQ933" s="125"/>
      <c r="ER933" s="16"/>
      <c r="ES933" s="123"/>
      <c r="ET933" s="19"/>
      <c r="EU933" s="139"/>
      <c r="EV933" s="139"/>
      <c r="EW933" s="123"/>
      <c r="EX933" s="123"/>
      <c r="EY933" s="123"/>
      <c r="EZ933" s="123"/>
      <c r="FA933" s="123"/>
      <c r="FB933" s="123"/>
      <c r="FC933" s="6"/>
      <c r="FD933" s="123"/>
      <c r="FE933" s="6"/>
      <c r="FF933" s="123"/>
      <c r="FG933" s="6"/>
      <c r="FH933" s="6"/>
      <c r="FI933" s="6"/>
      <c r="FJ933" s="6"/>
      <c r="FK933" s="123"/>
      <c r="FL933" s="6"/>
      <c r="FM933" s="6"/>
      <c r="FN933" s="6"/>
      <c r="FO933" s="138"/>
      <c r="FP933" s="138"/>
      <c r="FQ933" s="123"/>
      <c r="FR933" s="6"/>
      <c r="FS933" s="6"/>
      <c r="FT933" s="139"/>
      <c r="FU933" s="139"/>
      <c r="FV933" s="76"/>
      <c r="FW933" s="123"/>
      <c r="FX933" s="6"/>
    </row>
    <row r="934" spans="35:180">
      <c r="AI934" s="125"/>
      <c r="AJ934" s="16"/>
      <c r="AM934" s="16"/>
      <c r="AN934" s="16"/>
      <c r="AO934" s="125"/>
      <c r="AP934" s="16"/>
      <c r="AQ934" s="125"/>
      <c r="AZ934" s="125"/>
      <c r="BA934" s="142"/>
      <c r="BB934" s="125"/>
      <c r="BC934" s="16"/>
      <c r="BD934" s="125"/>
      <c r="BE934" s="125"/>
      <c r="BF934" s="16"/>
      <c r="BG934" s="125"/>
      <c r="BQ934" s="125"/>
      <c r="BR934" s="16"/>
      <c r="BS934" s="123"/>
      <c r="BT934" s="19"/>
      <c r="BU934" s="139"/>
      <c r="BV934" s="139"/>
      <c r="BW934" s="123"/>
      <c r="BX934" s="123"/>
      <c r="BY934" s="123"/>
      <c r="BZ934" s="123"/>
      <c r="CA934" s="123"/>
      <c r="CB934" s="123"/>
      <c r="CC934" s="6"/>
      <c r="CD934" s="123"/>
      <c r="CE934" s="6"/>
      <c r="CF934" s="123"/>
      <c r="CG934" s="6"/>
      <c r="CH934" s="6"/>
      <c r="CI934" s="6"/>
      <c r="CJ934" s="6"/>
      <c r="CK934" s="123"/>
      <c r="CL934" s="6"/>
      <c r="CM934" s="6"/>
      <c r="CN934" s="6"/>
      <c r="CO934" s="138"/>
      <c r="CP934" s="138"/>
      <c r="CQ934" s="123"/>
      <c r="CR934" s="6"/>
      <c r="CS934" s="6"/>
      <c r="CT934" s="139"/>
      <c r="CU934" s="139"/>
      <c r="CV934" s="76"/>
      <c r="CW934" s="123"/>
      <c r="CX934" s="6"/>
      <c r="DI934" s="125"/>
      <c r="DJ934" s="16"/>
      <c r="DM934" s="16"/>
      <c r="DN934" s="16"/>
      <c r="DO934" s="125"/>
      <c r="DP934" s="16"/>
      <c r="DQ934" s="125"/>
      <c r="DZ934" s="125"/>
      <c r="EA934" s="142"/>
      <c r="EB934" s="125"/>
      <c r="EC934" s="16"/>
      <c r="ED934" s="125"/>
      <c r="EE934" s="125"/>
      <c r="EF934" s="16"/>
      <c r="EG934" s="125"/>
      <c r="EQ934" s="125"/>
      <c r="ER934" s="16"/>
      <c r="ES934" s="123"/>
      <c r="ET934" s="19"/>
      <c r="EU934" s="139"/>
      <c r="EV934" s="139"/>
      <c r="EW934" s="123"/>
      <c r="EX934" s="123"/>
      <c r="EY934" s="123"/>
      <c r="EZ934" s="123"/>
      <c r="FA934" s="123"/>
      <c r="FB934" s="123"/>
      <c r="FC934" s="6"/>
      <c r="FD934" s="123"/>
      <c r="FE934" s="6"/>
      <c r="FF934" s="123"/>
      <c r="FG934" s="6"/>
      <c r="FH934" s="6"/>
      <c r="FI934" s="6"/>
      <c r="FJ934" s="6"/>
      <c r="FK934" s="123"/>
      <c r="FL934" s="6"/>
      <c r="FM934" s="6"/>
      <c r="FN934" s="6"/>
      <c r="FO934" s="138"/>
      <c r="FP934" s="138"/>
      <c r="FQ934" s="123"/>
      <c r="FR934" s="6"/>
      <c r="FS934" s="6"/>
      <c r="FT934" s="139"/>
      <c r="FU934" s="139"/>
      <c r="FV934" s="76"/>
      <c r="FW934" s="123"/>
      <c r="FX934" s="6"/>
    </row>
    <row r="935" spans="35:180">
      <c r="AI935" s="125"/>
      <c r="AJ935" s="16"/>
      <c r="AM935" s="16"/>
      <c r="AN935" s="16"/>
      <c r="AO935" s="125"/>
      <c r="AP935" s="16"/>
      <c r="AQ935" s="125"/>
      <c r="AZ935" s="125"/>
      <c r="BA935" s="142"/>
      <c r="BB935" s="125"/>
      <c r="BC935" s="16"/>
      <c r="BD935" s="125"/>
      <c r="BE935" s="125"/>
      <c r="BF935" s="16"/>
      <c r="BG935" s="125"/>
      <c r="BQ935" s="125"/>
      <c r="BR935" s="16"/>
      <c r="BS935" s="123"/>
      <c r="BT935" s="19"/>
      <c r="BU935" s="139"/>
      <c r="BV935" s="139"/>
      <c r="BW935" s="123"/>
      <c r="BX935" s="123"/>
      <c r="BY935" s="123"/>
      <c r="BZ935" s="123"/>
      <c r="CA935" s="123"/>
      <c r="CB935" s="123"/>
      <c r="CC935" s="6"/>
      <c r="CD935" s="123"/>
      <c r="CE935" s="6"/>
      <c r="CF935" s="123"/>
      <c r="CG935" s="6"/>
      <c r="CH935" s="6"/>
      <c r="CI935" s="6"/>
      <c r="CJ935" s="6"/>
      <c r="CK935" s="123"/>
      <c r="CL935" s="6"/>
      <c r="CM935" s="6"/>
      <c r="CN935" s="6"/>
      <c r="CO935" s="138"/>
      <c r="CP935" s="138"/>
      <c r="CQ935" s="123"/>
      <c r="CR935" s="6"/>
      <c r="CS935" s="6"/>
      <c r="CT935" s="139"/>
      <c r="CU935" s="139"/>
      <c r="CV935" s="76"/>
      <c r="CW935" s="123"/>
      <c r="CX935" s="6"/>
      <c r="DI935" s="125"/>
      <c r="DJ935" s="16"/>
      <c r="DM935" s="16"/>
      <c r="DN935" s="16"/>
      <c r="DO935" s="125"/>
      <c r="DP935" s="16"/>
      <c r="DQ935" s="125"/>
      <c r="DZ935" s="125"/>
      <c r="EA935" s="142"/>
      <c r="EB935" s="125"/>
      <c r="EC935" s="16"/>
      <c r="ED935" s="125"/>
      <c r="EE935" s="125"/>
      <c r="EF935" s="16"/>
      <c r="EG935" s="125"/>
      <c r="EQ935" s="125"/>
      <c r="ER935" s="16"/>
      <c r="ES935" s="123"/>
      <c r="ET935" s="19"/>
      <c r="EU935" s="139"/>
      <c r="EV935" s="139"/>
      <c r="EW935" s="123"/>
      <c r="EX935" s="123"/>
      <c r="EY935" s="123"/>
      <c r="EZ935" s="123"/>
      <c r="FA935" s="123"/>
      <c r="FB935" s="123"/>
      <c r="FC935" s="6"/>
      <c r="FD935" s="123"/>
      <c r="FE935" s="6"/>
      <c r="FF935" s="123"/>
      <c r="FG935" s="6"/>
      <c r="FH935" s="6"/>
      <c r="FI935" s="6"/>
      <c r="FJ935" s="6"/>
      <c r="FK935" s="123"/>
      <c r="FL935" s="6"/>
      <c r="FM935" s="6"/>
      <c r="FN935" s="6"/>
      <c r="FO935" s="138"/>
      <c r="FP935" s="138"/>
      <c r="FQ935" s="123"/>
      <c r="FR935" s="6"/>
      <c r="FS935" s="6"/>
      <c r="FT935" s="139"/>
      <c r="FU935" s="139"/>
      <c r="FV935" s="76"/>
      <c r="FW935" s="123"/>
      <c r="FX935" s="6"/>
    </row>
    <row r="936" spans="35:180">
      <c r="AI936" s="125"/>
      <c r="AJ936" s="16"/>
      <c r="AM936" s="16"/>
      <c r="AN936" s="16"/>
      <c r="AO936" s="125"/>
      <c r="AP936" s="16"/>
      <c r="AQ936" s="125"/>
      <c r="AZ936" s="125"/>
      <c r="BA936" s="142"/>
      <c r="BB936" s="125"/>
      <c r="BC936" s="16"/>
      <c r="BD936" s="125"/>
      <c r="BE936" s="125"/>
      <c r="BF936" s="16"/>
      <c r="BG936" s="125"/>
      <c r="BQ936" s="125"/>
      <c r="BR936" s="16"/>
      <c r="BS936" s="123"/>
      <c r="BT936" s="19"/>
      <c r="BU936" s="139"/>
      <c r="BV936" s="139"/>
      <c r="BW936" s="123"/>
      <c r="BX936" s="123"/>
      <c r="BY936" s="123"/>
      <c r="BZ936" s="123"/>
      <c r="CA936" s="123"/>
      <c r="CB936" s="123"/>
      <c r="CC936" s="6"/>
      <c r="CD936" s="123"/>
      <c r="CE936" s="6"/>
      <c r="CF936" s="123"/>
      <c r="CG936" s="6"/>
      <c r="CH936" s="6"/>
      <c r="CI936" s="6"/>
      <c r="CJ936" s="6"/>
      <c r="CK936" s="123"/>
      <c r="CL936" s="6"/>
      <c r="CM936" s="6"/>
      <c r="CN936" s="6"/>
      <c r="CO936" s="138"/>
      <c r="CP936" s="138"/>
      <c r="CQ936" s="123"/>
      <c r="CR936" s="6"/>
      <c r="CS936" s="6"/>
      <c r="CT936" s="139"/>
      <c r="CU936" s="139"/>
      <c r="CV936" s="76"/>
      <c r="CW936" s="123"/>
      <c r="CX936" s="6"/>
      <c r="DI936" s="125"/>
      <c r="DJ936" s="16"/>
      <c r="DM936" s="16"/>
      <c r="DN936" s="16"/>
      <c r="DO936" s="125"/>
      <c r="DP936" s="16"/>
      <c r="DQ936" s="125"/>
      <c r="DZ936" s="125"/>
      <c r="EA936" s="142"/>
      <c r="EB936" s="125"/>
      <c r="EC936" s="16"/>
      <c r="ED936" s="125"/>
      <c r="EE936" s="125"/>
      <c r="EF936" s="16"/>
      <c r="EG936" s="125"/>
      <c r="EQ936" s="125"/>
      <c r="ER936" s="16"/>
      <c r="ES936" s="123"/>
      <c r="ET936" s="19"/>
      <c r="EU936" s="139"/>
      <c r="EV936" s="139"/>
      <c r="EW936" s="123"/>
      <c r="EX936" s="123"/>
      <c r="EY936" s="123"/>
      <c r="EZ936" s="123"/>
      <c r="FA936" s="123"/>
      <c r="FB936" s="123"/>
      <c r="FC936" s="6"/>
      <c r="FD936" s="123"/>
      <c r="FE936" s="6"/>
      <c r="FF936" s="123"/>
      <c r="FG936" s="6"/>
      <c r="FH936" s="6"/>
      <c r="FI936" s="6"/>
      <c r="FJ936" s="6"/>
      <c r="FK936" s="123"/>
      <c r="FL936" s="6"/>
      <c r="FM936" s="6"/>
      <c r="FN936" s="6"/>
      <c r="FO936" s="138"/>
      <c r="FP936" s="138"/>
      <c r="FQ936" s="123"/>
      <c r="FR936" s="6"/>
      <c r="FS936" s="6"/>
      <c r="FT936" s="139"/>
      <c r="FU936" s="139"/>
      <c r="FV936" s="76"/>
      <c r="FW936" s="123"/>
      <c r="FX936" s="6"/>
    </row>
    <row r="937" spans="35:180">
      <c r="AI937" s="125"/>
      <c r="AJ937" s="16"/>
      <c r="AM937" s="16"/>
      <c r="AN937" s="16"/>
      <c r="AO937" s="125"/>
      <c r="AP937" s="16"/>
      <c r="AQ937" s="125"/>
      <c r="AZ937" s="125"/>
      <c r="BA937" s="142"/>
      <c r="BB937" s="125"/>
      <c r="BC937" s="16"/>
      <c r="BD937" s="125"/>
      <c r="BE937" s="125"/>
      <c r="BF937" s="16"/>
      <c r="BG937" s="125"/>
      <c r="BQ937" s="125"/>
      <c r="BR937" s="16"/>
      <c r="BS937" s="123"/>
      <c r="BT937" s="19"/>
      <c r="BU937" s="139"/>
      <c r="BV937" s="139"/>
      <c r="BW937" s="123"/>
      <c r="BX937" s="123"/>
      <c r="BY937" s="123"/>
      <c r="BZ937" s="123"/>
      <c r="CA937" s="123"/>
      <c r="CB937" s="123"/>
      <c r="CC937" s="6"/>
      <c r="CD937" s="123"/>
      <c r="CE937" s="6"/>
      <c r="CF937" s="123"/>
      <c r="CG937" s="6"/>
      <c r="CH937" s="6"/>
      <c r="CI937" s="6"/>
      <c r="CJ937" s="6"/>
      <c r="CK937" s="123"/>
      <c r="CL937" s="6"/>
      <c r="CM937" s="6"/>
      <c r="CN937" s="6"/>
      <c r="CO937" s="138"/>
      <c r="CP937" s="138"/>
      <c r="CQ937" s="123"/>
      <c r="CR937" s="6"/>
      <c r="CS937" s="6"/>
      <c r="CT937" s="139"/>
      <c r="CU937" s="139"/>
      <c r="CV937" s="76"/>
      <c r="CW937" s="123"/>
      <c r="CX937" s="6"/>
      <c r="DI937" s="125"/>
      <c r="DJ937" s="16"/>
      <c r="DM937" s="16"/>
      <c r="DN937" s="16"/>
      <c r="DO937" s="125"/>
      <c r="DP937" s="16"/>
      <c r="DQ937" s="125"/>
      <c r="DZ937" s="125"/>
      <c r="EA937" s="142"/>
      <c r="EB937" s="125"/>
      <c r="EC937" s="16"/>
      <c r="ED937" s="125"/>
      <c r="EE937" s="125"/>
      <c r="EF937" s="16"/>
      <c r="EG937" s="125"/>
      <c r="EQ937" s="125"/>
      <c r="ER937" s="16"/>
      <c r="ES937" s="123"/>
      <c r="ET937" s="19"/>
      <c r="EU937" s="139"/>
      <c r="EV937" s="139"/>
      <c r="EW937" s="123"/>
      <c r="EX937" s="123"/>
      <c r="EY937" s="123"/>
      <c r="EZ937" s="123"/>
      <c r="FA937" s="123"/>
      <c r="FB937" s="123"/>
      <c r="FC937" s="6"/>
      <c r="FD937" s="123"/>
      <c r="FE937" s="6"/>
      <c r="FF937" s="123"/>
      <c r="FG937" s="6"/>
      <c r="FH937" s="6"/>
      <c r="FI937" s="6"/>
      <c r="FJ937" s="6"/>
      <c r="FK937" s="123"/>
      <c r="FL937" s="6"/>
      <c r="FM937" s="6"/>
      <c r="FN937" s="6"/>
      <c r="FO937" s="138"/>
      <c r="FP937" s="138"/>
      <c r="FQ937" s="123"/>
      <c r="FR937" s="6"/>
      <c r="FS937" s="6"/>
      <c r="FT937" s="139"/>
      <c r="FU937" s="139"/>
      <c r="FV937" s="76"/>
      <c r="FW937" s="123"/>
      <c r="FX937" s="6"/>
    </row>
    <row r="938" spans="35:180">
      <c r="AI938" s="125"/>
      <c r="AJ938" s="16"/>
      <c r="AM938" s="16"/>
      <c r="AN938" s="16"/>
      <c r="AO938" s="125"/>
      <c r="AP938" s="16"/>
      <c r="AQ938" s="125"/>
      <c r="AZ938" s="125"/>
      <c r="BA938" s="142"/>
      <c r="BB938" s="125"/>
      <c r="BC938" s="16"/>
      <c r="BD938" s="125"/>
      <c r="BE938" s="125"/>
      <c r="BF938" s="16"/>
      <c r="BG938" s="125"/>
      <c r="BQ938" s="125"/>
      <c r="BR938" s="16"/>
      <c r="BS938" s="123"/>
      <c r="BT938" s="19"/>
      <c r="BU938" s="139"/>
      <c r="BV938" s="139"/>
      <c r="BW938" s="123"/>
      <c r="BX938" s="123"/>
      <c r="BY938" s="123"/>
      <c r="BZ938" s="123"/>
      <c r="CA938" s="123"/>
      <c r="CB938" s="123"/>
      <c r="CC938" s="6"/>
      <c r="CD938" s="123"/>
      <c r="CE938" s="6"/>
      <c r="CF938" s="123"/>
      <c r="CG938" s="6"/>
      <c r="CH938" s="6"/>
      <c r="CI938" s="6"/>
      <c r="CJ938" s="6"/>
      <c r="CK938" s="123"/>
      <c r="CL938" s="6"/>
      <c r="CM938" s="6"/>
      <c r="CN938" s="6"/>
      <c r="CO938" s="138"/>
      <c r="CP938" s="138"/>
      <c r="CQ938" s="123"/>
      <c r="CR938" s="6"/>
      <c r="CS938" s="6"/>
      <c r="CT938" s="139"/>
      <c r="CU938" s="139"/>
      <c r="CV938" s="76"/>
      <c r="CW938" s="123"/>
      <c r="CX938" s="6"/>
      <c r="DI938" s="125"/>
      <c r="DJ938" s="16"/>
      <c r="DM938" s="16"/>
      <c r="DN938" s="16"/>
      <c r="DO938" s="125"/>
      <c r="DP938" s="16"/>
      <c r="DQ938" s="125"/>
      <c r="DZ938" s="125"/>
      <c r="EA938" s="142"/>
      <c r="EB938" s="125"/>
      <c r="EC938" s="16"/>
      <c r="ED938" s="125"/>
      <c r="EE938" s="125"/>
      <c r="EF938" s="16"/>
      <c r="EG938" s="125"/>
      <c r="EQ938" s="125"/>
      <c r="ER938" s="16"/>
      <c r="ES938" s="123"/>
      <c r="ET938" s="19"/>
      <c r="EU938" s="139"/>
      <c r="EV938" s="139"/>
      <c r="EW938" s="123"/>
      <c r="EX938" s="123"/>
      <c r="EY938" s="123"/>
      <c r="EZ938" s="123"/>
      <c r="FA938" s="123"/>
      <c r="FB938" s="123"/>
      <c r="FC938" s="6"/>
      <c r="FD938" s="123"/>
      <c r="FE938" s="6"/>
      <c r="FF938" s="123"/>
      <c r="FG938" s="6"/>
      <c r="FH938" s="6"/>
      <c r="FI938" s="6"/>
      <c r="FJ938" s="6"/>
      <c r="FK938" s="123"/>
      <c r="FL938" s="6"/>
      <c r="FM938" s="6"/>
      <c r="FN938" s="6"/>
      <c r="FO938" s="138"/>
      <c r="FP938" s="138"/>
      <c r="FQ938" s="123"/>
      <c r="FR938" s="6"/>
      <c r="FS938" s="6"/>
      <c r="FT938" s="139"/>
      <c r="FU938" s="139"/>
      <c r="FV938" s="76"/>
      <c r="FW938" s="123"/>
      <c r="FX938" s="6"/>
    </row>
    <row r="939" spans="35:180">
      <c r="AI939" s="125"/>
      <c r="AJ939" s="16"/>
      <c r="AM939" s="16"/>
      <c r="AN939" s="16"/>
      <c r="AO939" s="125"/>
      <c r="AP939" s="16"/>
      <c r="AQ939" s="125"/>
      <c r="AZ939" s="125"/>
      <c r="BA939" s="142"/>
      <c r="BB939" s="125"/>
      <c r="BC939" s="16"/>
      <c r="BD939" s="125"/>
      <c r="BE939" s="125"/>
      <c r="BF939" s="16"/>
      <c r="BG939" s="125"/>
      <c r="BQ939" s="125"/>
      <c r="BR939" s="16"/>
      <c r="BS939" s="123"/>
      <c r="BT939" s="19"/>
      <c r="BU939" s="139"/>
      <c r="BV939" s="139"/>
      <c r="BW939" s="123"/>
      <c r="BX939" s="123"/>
      <c r="BY939" s="123"/>
      <c r="BZ939" s="123"/>
      <c r="CA939" s="123"/>
      <c r="CB939" s="123"/>
      <c r="CC939" s="6"/>
      <c r="CD939" s="123"/>
      <c r="CE939" s="6"/>
      <c r="CF939" s="123"/>
      <c r="CG939" s="6"/>
      <c r="CH939" s="6"/>
      <c r="CI939" s="6"/>
      <c r="CJ939" s="6"/>
      <c r="CK939" s="123"/>
      <c r="CL939" s="6"/>
      <c r="CM939" s="6"/>
      <c r="CN939" s="6"/>
      <c r="CO939" s="138"/>
      <c r="CP939" s="138"/>
      <c r="CQ939" s="123"/>
      <c r="CR939" s="6"/>
      <c r="CS939" s="6"/>
      <c r="CT939" s="139"/>
      <c r="CU939" s="139"/>
      <c r="CV939" s="76"/>
      <c r="CW939" s="123"/>
      <c r="CX939" s="6"/>
      <c r="DI939" s="125"/>
      <c r="DJ939" s="16"/>
      <c r="DM939" s="16"/>
      <c r="DN939" s="16"/>
      <c r="DO939" s="125"/>
      <c r="DP939" s="16"/>
      <c r="DQ939" s="125"/>
      <c r="DZ939" s="125"/>
      <c r="EA939" s="142"/>
      <c r="EB939" s="125"/>
      <c r="EC939" s="16"/>
      <c r="ED939" s="125"/>
      <c r="EE939" s="125"/>
      <c r="EF939" s="16"/>
      <c r="EG939" s="125"/>
      <c r="EQ939" s="125"/>
      <c r="ER939" s="16"/>
      <c r="ES939" s="123"/>
      <c r="ET939" s="19"/>
      <c r="EU939" s="139"/>
      <c r="EV939" s="139"/>
      <c r="EW939" s="123"/>
      <c r="EX939" s="123"/>
      <c r="EY939" s="123"/>
      <c r="EZ939" s="123"/>
      <c r="FA939" s="123"/>
      <c r="FB939" s="123"/>
      <c r="FC939" s="6"/>
      <c r="FD939" s="123"/>
      <c r="FE939" s="6"/>
      <c r="FF939" s="123"/>
      <c r="FG939" s="6"/>
      <c r="FH939" s="6"/>
      <c r="FI939" s="6"/>
      <c r="FJ939" s="6"/>
      <c r="FK939" s="123"/>
      <c r="FL939" s="6"/>
      <c r="FM939" s="6"/>
      <c r="FN939" s="6"/>
      <c r="FO939" s="138"/>
      <c r="FP939" s="138"/>
      <c r="FQ939" s="123"/>
      <c r="FR939" s="6"/>
      <c r="FS939" s="6"/>
      <c r="FT939" s="139"/>
      <c r="FU939" s="139"/>
      <c r="FV939" s="76"/>
      <c r="FW939" s="123"/>
      <c r="FX939" s="6"/>
    </row>
    <row r="940" spans="35:180">
      <c r="AI940" s="125"/>
      <c r="AJ940" s="16"/>
      <c r="AM940" s="16"/>
      <c r="AN940" s="16"/>
      <c r="AO940" s="125"/>
      <c r="AP940" s="16"/>
      <c r="AQ940" s="125"/>
      <c r="AZ940" s="125"/>
      <c r="BA940" s="142"/>
      <c r="BB940" s="125"/>
      <c r="BC940" s="16"/>
      <c r="BD940" s="125"/>
      <c r="BE940" s="125"/>
      <c r="BF940" s="16"/>
      <c r="BG940" s="125"/>
      <c r="BQ940" s="125"/>
      <c r="BR940" s="16"/>
      <c r="BS940" s="123"/>
      <c r="BT940" s="19"/>
      <c r="BU940" s="139"/>
      <c r="BV940" s="139"/>
      <c r="BW940" s="123"/>
      <c r="BX940" s="123"/>
      <c r="BY940" s="123"/>
      <c r="BZ940" s="123"/>
      <c r="CA940" s="123"/>
      <c r="CB940" s="123"/>
      <c r="CC940" s="6"/>
      <c r="CD940" s="123"/>
      <c r="CE940" s="6"/>
      <c r="CF940" s="123"/>
      <c r="CG940" s="6"/>
      <c r="CH940" s="6"/>
      <c r="CI940" s="6"/>
      <c r="CJ940" s="6"/>
      <c r="CK940" s="123"/>
      <c r="CL940" s="6"/>
      <c r="CM940" s="6"/>
      <c r="CN940" s="6"/>
      <c r="CO940" s="138"/>
      <c r="CP940" s="138"/>
      <c r="CQ940" s="123"/>
      <c r="CR940" s="6"/>
      <c r="CS940" s="6"/>
      <c r="CT940" s="139"/>
      <c r="CU940" s="139"/>
      <c r="CV940" s="76"/>
      <c r="CW940" s="123"/>
      <c r="CX940" s="6"/>
      <c r="DI940" s="125"/>
      <c r="DJ940" s="16"/>
      <c r="DM940" s="16"/>
      <c r="DN940" s="16"/>
      <c r="DO940" s="125"/>
      <c r="DP940" s="16"/>
      <c r="DQ940" s="125"/>
      <c r="DZ940" s="125"/>
      <c r="EA940" s="142"/>
      <c r="EB940" s="125"/>
      <c r="EC940" s="16"/>
      <c r="ED940" s="125"/>
      <c r="EE940" s="125"/>
      <c r="EF940" s="16"/>
      <c r="EG940" s="125"/>
      <c r="EQ940" s="125"/>
      <c r="ER940" s="16"/>
      <c r="ES940" s="123"/>
      <c r="ET940" s="19"/>
      <c r="EU940" s="139"/>
      <c r="EV940" s="139"/>
      <c r="EW940" s="123"/>
      <c r="EX940" s="123"/>
      <c r="EY940" s="123"/>
      <c r="EZ940" s="123"/>
      <c r="FA940" s="123"/>
      <c r="FB940" s="123"/>
      <c r="FC940" s="6"/>
      <c r="FD940" s="123"/>
      <c r="FE940" s="6"/>
      <c r="FF940" s="123"/>
      <c r="FG940" s="6"/>
      <c r="FH940" s="6"/>
      <c r="FI940" s="6"/>
      <c r="FJ940" s="6"/>
      <c r="FK940" s="123"/>
      <c r="FL940" s="6"/>
      <c r="FM940" s="6"/>
      <c r="FN940" s="6"/>
      <c r="FO940" s="138"/>
      <c r="FP940" s="138"/>
      <c r="FQ940" s="123"/>
      <c r="FR940" s="6"/>
      <c r="FS940" s="6"/>
      <c r="FT940" s="139"/>
      <c r="FU940" s="139"/>
      <c r="FV940" s="76"/>
      <c r="FW940" s="123"/>
      <c r="FX940" s="6"/>
    </row>
    <row r="941" spans="35:180">
      <c r="AI941" s="125"/>
      <c r="AJ941" s="16"/>
      <c r="AM941" s="16"/>
      <c r="AN941" s="16"/>
      <c r="AO941" s="125"/>
      <c r="AP941" s="16"/>
      <c r="AQ941" s="125"/>
      <c r="AZ941" s="125"/>
      <c r="BA941" s="142"/>
      <c r="BB941" s="125"/>
      <c r="BC941" s="16"/>
      <c r="BD941" s="125"/>
      <c r="BE941" s="125"/>
      <c r="BF941" s="16"/>
      <c r="BG941" s="125"/>
      <c r="BQ941" s="125"/>
      <c r="BR941" s="16"/>
      <c r="BS941" s="123"/>
      <c r="BT941" s="19"/>
      <c r="BU941" s="139"/>
      <c r="BV941" s="139"/>
      <c r="BW941" s="123"/>
      <c r="BX941" s="123"/>
      <c r="BY941" s="123"/>
      <c r="BZ941" s="123"/>
      <c r="CA941" s="123"/>
      <c r="CB941" s="123"/>
      <c r="CC941" s="6"/>
      <c r="CD941" s="123"/>
      <c r="CE941" s="6"/>
      <c r="CF941" s="123"/>
      <c r="CG941" s="6"/>
      <c r="CH941" s="6"/>
      <c r="CI941" s="6"/>
      <c r="CJ941" s="6"/>
      <c r="CK941" s="123"/>
      <c r="CL941" s="6"/>
      <c r="CM941" s="6"/>
      <c r="CN941" s="6"/>
      <c r="CO941" s="138"/>
      <c r="CP941" s="138"/>
      <c r="CQ941" s="123"/>
      <c r="CR941" s="6"/>
      <c r="CS941" s="6"/>
      <c r="CT941" s="139"/>
      <c r="CU941" s="139"/>
      <c r="CV941" s="76"/>
      <c r="CW941" s="123"/>
      <c r="CX941" s="6"/>
      <c r="DI941" s="125"/>
      <c r="DJ941" s="16"/>
      <c r="DM941" s="16"/>
      <c r="DN941" s="16"/>
      <c r="DO941" s="125"/>
      <c r="DP941" s="16"/>
      <c r="DQ941" s="125"/>
      <c r="DZ941" s="125"/>
      <c r="EA941" s="142"/>
      <c r="EB941" s="125"/>
      <c r="EC941" s="16"/>
      <c r="ED941" s="125"/>
      <c r="EE941" s="125"/>
      <c r="EF941" s="16"/>
      <c r="EG941" s="125"/>
      <c r="EQ941" s="125"/>
      <c r="ER941" s="16"/>
      <c r="ES941" s="123"/>
      <c r="ET941" s="19"/>
      <c r="EU941" s="139"/>
      <c r="EV941" s="139"/>
      <c r="EW941" s="123"/>
      <c r="EX941" s="123"/>
      <c r="EY941" s="123"/>
      <c r="EZ941" s="123"/>
      <c r="FA941" s="123"/>
      <c r="FB941" s="123"/>
      <c r="FC941" s="6"/>
      <c r="FD941" s="123"/>
      <c r="FE941" s="6"/>
      <c r="FF941" s="123"/>
      <c r="FG941" s="6"/>
      <c r="FH941" s="6"/>
      <c r="FI941" s="6"/>
      <c r="FJ941" s="6"/>
      <c r="FK941" s="123"/>
      <c r="FL941" s="6"/>
      <c r="FM941" s="6"/>
      <c r="FN941" s="6"/>
      <c r="FO941" s="138"/>
      <c r="FP941" s="138"/>
      <c r="FQ941" s="123"/>
      <c r="FR941" s="6"/>
      <c r="FS941" s="6"/>
      <c r="FT941" s="139"/>
      <c r="FU941" s="139"/>
      <c r="FV941" s="76"/>
      <c r="FW941" s="123"/>
      <c r="FX941" s="6"/>
    </row>
    <row r="942" spans="35:180">
      <c r="AI942" s="125"/>
      <c r="AJ942" s="16"/>
      <c r="AM942" s="16"/>
      <c r="AN942" s="16"/>
      <c r="AO942" s="125"/>
      <c r="AP942" s="16"/>
      <c r="AQ942" s="125"/>
      <c r="AZ942" s="125"/>
      <c r="BA942" s="142"/>
      <c r="BB942" s="125"/>
      <c r="BC942" s="16"/>
      <c r="BD942" s="125"/>
      <c r="BE942" s="125"/>
      <c r="BF942" s="16"/>
      <c r="BG942" s="125"/>
      <c r="BQ942" s="125"/>
      <c r="BR942" s="16"/>
      <c r="BS942" s="123"/>
      <c r="BT942" s="19"/>
      <c r="BU942" s="139"/>
      <c r="BV942" s="139"/>
      <c r="BW942" s="123"/>
      <c r="BX942" s="123"/>
      <c r="BY942" s="123"/>
      <c r="BZ942" s="123"/>
      <c r="CA942" s="123"/>
      <c r="CB942" s="123"/>
      <c r="CC942" s="6"/>
      <c r="CD942" s="123"/>
      <c r="CE942" s="6"/>
      <c r="CF942" s="123"/>
      <c r="CG942" s="6"/>
      <c r="CH942" s="6"/>
      <c r="CI942" s="6"/>
      <c r="CJ942" s="6"/>
      <c r="CK942" s="123"/>
      <c r="CL942" s="6"/>
      <c r="CM942" s="6"/>
      <c r="CN942" s="6"/>
      <c r="CO942" s="138"/>
      <c r="CP942" s="138"/>
      <c r="CQ942" s="123"/>
      <c r="CR942" s="6"/>
      <c r="CS942" s="6"/>
      <c r="CT942" s="139"/>
      <c r="CU942" s="139"/>
      <c r="CV942" s="76"/>
      <c r="CW942" s="123"/>
      <c r="CX942" s="6"/>
      <c r="DI942" s="125"/>
      <c r="DJ942" s="16"/>
      <c r="DM942" s="16"/>
      <c r="DN942" s="16"/>
      <c r="DO942" s="125"/>
      <c r="DP942" s="16"/>
      <c r="DQ942" s="125"/>
      <c r="DZ942" s="125"/>
      <c r="EA942" s="142"/>
      <c r="EB942" s="125"/>
      <c r="EC942" s="16"/>
      <c r="ED942" s="125"/>
      <c r="EE942" s="125"/>
      <c r="EF942" s="16"/>
      <c r="EG942" s="125"/>
      <c r="EQ942" s="125"/>
      <c r="ER942" s="16"/>
      <c r="ES942" s="123"/>
      <c r="ET942" s="19"/>
      <c r="EU942" s="139"/>
      <c r="EV942" s="139"/>
      <c r="EW942" s="123"/>
      <c r="EX942" s="123"/>
      <c r="EY942" s="123"/>
      <c r="EZ942" s="123"/>
      <c r="FA942" s="123"/>
      <c r="FB942" s="123"/>
      <c r="FC942" s="6"/>
      <c r="FD942" s="123"/>
      <c r="FE942" s="6"/>
      <c r="FF942" s="123"/>
      <c r="FG942" s="6"/>
      <c r="FH942" s="6"/>
      <c r="FI942" s="6"/>
      <c r="FJ942" s="6"/>
      <c r="FK942" s="123"/>
      <c r="FL942" s="6"/>
      <c r="FM942" s="6"/>
      <c r="FN942" s="6"/>
      <c r="FO942" s="138"/>
      <c r="FP942" s="138"/>
      <c r="FQ942" s="123"/>
      <c r="FR942" s="6"/>
      <c r="FS942" s="6"/>
      <c r="FT942" s="139"/>
      <c r="FU942" s="139"/>
      <c r="FV942" s="76"/>
      <c r="FW942" s="123"/>
      <c r="FX942" s="6"/>
    </row>
    <row r="943" spans="35:180">
      <c r="AI943" s="125"/>
      <c r="AJ943" s="16"/>
      <c r="AM943" s="16"/>
      <c r="AN943" s="16"/>
      <c r="AO943" s="125"/>
      <c r="AP943" s="16"/>
      <c r="AQ943" s="125"/>
      <c r="AZ943" s="125"/>
      <c r="BA943" s="142"/>
      <c r="BB943" s="125"/>
      <c r="BC943" s="16"/>
      <c r="BD943" s="125"/>
      <c r="BE943" s="125"/>
      <c r="BF943" s="16"/>
      <c r="BG943" s="125"/>
      <c r="BQ943" s="125"/>
      <c r="BR943" s="16"/>
      <c r="BS943" s="123"/>
      <c r="BT943" s="19"/>
      <c r="BU943" s="139"/>
      <c r="BV943" s="139"/>
      <c r="BW943" s="123"/>
      <c r="BX943" s="123"/>
      <c r="BY943" s="123"/>
      <c r="BZ943" s="123"/>
      <c r="CA943" s="123"/>
      <c r="CB943" s="123"/>
      <c r="CC943" s="6"/>
      <c r="CD943" s="123"/>
      <c r="CE943" s="6"/>
      <c r="CF943" s="123"/>
      <c r="CG943" s="6"/>
      <c r="CH943" s="6"/>
      <c r="CI943" s="6"/>
      <c r="CJ943" s="6"/>
      <c r="CK943" s="123"/>
      <c r="CL943" s="6"/>
      <c r="CM943" s="6"/>
      <c r="CN943" s="6"/>
      <c r="CO943" s="138"/>
      <c r="CP943" s="138"/>
      <c r="CQ943" s="123"/>
      <c r="CR943" s="6"/>
      <c r="CS943" s="6"/>
      <c r="CT943" s="139"/>
      <c r="CU943" s="139"/>
      <c r="CV943" s="76"/>
      <c r="CW943" s="123"/>
      <c r="CX943" s="6"/>
      <c r="DI943" s="125"/>
      <c r="DJ943" s="16"/>
      <c r="DM943" s="16"/>
      <c r="DN943" s="16"/>
      <c r="DO943" s="125"/>
      <c r="DP943" s="16"/>
      <c r="DQ943" s="125"/>
      <c r="DZ943" s="125"/>
      <c r="EA943" s="142"/>
      <c r="EB943" s="125"/>
      <c r="EC943" s="16"/>
      <c r="ED943" s="125"/>
      <c r="EE943" s="125"/>
      <c r="EF943" s="16"/>
      <c r="EG943" s="125"/>
      <c r="EQ943" s="125"/>
      <c r="ER943" s="16"/>
      <c r="ES943" s="123"/>
      <c r="ET943" s="19"/>
      <c r="EU943" s="139"/>
      <c r="EV943" s="139"/>
      <c r="EW943" s="123"/>
      <c r="EX943" s="123"/>
      <c r="EY943" s="123"/>
      <c r="EZ943" s="123"/>
      <c r="FA943" s="123"/>
      <c r="FB943" s="123"/>
      <c r="FC943" s="6"/>
      <c r="FD943" s="123"/>
      <c r="FE943" s="6"/>
      <c r="FF943" s="123"/>
      <c r="FG943" s="6"/>
      <c r="FH943" s="6"/>
      <c r="FI943" s="6"/>
      <c r="FJ943" s="6"/>
      <c r="FK943" s="123"/>
      <c r="FL943" s="6"/>
      <c r="FM943" s="6"/>
      <c r="FN943" s="6"/>
      <c r="FO943" s="138"/>
      <c r="FP943" s="138"/>
      <c r="FQ943" s="123"/>
      <c r="FR943" s="6"/>
      <c r="FS943" s="6"/>
      <c r="FT943" s="139"/>
      <c r="FU943" s="139"/>
      <c r="FV943" s="76"/>
      <c r="FW943" s="123"/>
      <c r="FX943" s="6"/>
    </row>
    <row r="944" spans="35:180">
      <c r="AI944" s="125"/>
      <c r="AJ944" s="16"/>
      <c r="AM944" s="16"/>
      <c r="AN944" s="16"/>
      <c r="AO944" s="125"/>
      <c r="AP944" s="16"/>
      <c r="AQ944" s="125"/>
      <c r="AZ944" s="125"/>
      <c r="BA944" s="142"/>
      <c r="BB944" s="125"/>
      <c r="BC944" s="16"/>
      <c r="BD944" s="125"/>
      <c r="BE944" s="125"/>
      <c r="BF944" s="16"/>
      <c r="BG944" s="125"/>
      <c r="BQ944" s="125"/>
      <c r="BR944" s="16"/>
      <c r="BS944" s="123"/>
      <c r="BT944" s="19"/>
      <c r="BU944" s="139"/>
      <c r="BV944" s="139"/>
      <c r="BW944" s="123"/>
      <c r="BX944" s="123"/>
      <c r="BY944" s="123"/>
      <c r="BZ944" s="123"/>
      <c r="CA944" s="123"/>
      <c r="CB944" s="123"/>
      <c r="CC944" s="6"/>
      <c r="CD944" s="123"/>
      <c r="CE944" s="6"/>
      <c r="CF944" s="123"/>
      <c r="CG944" s="6"/>
      <c r="CH944" s="6"/>
      <c r="CI944" s="6"/>
      <c r="CJ944" s="6"/>
      <c r="CK944" s="123"/>
      <c r="CL944" s="6"/>
      <c r="CM944" s="6"/>
      <c r="CN944" s="6"/>
      <c r="CO944" s="138"/>
      <c r="CP944" s="138"/>
      <c r="CQ944" s="123"/>
      <c r="CR944" s="6"/>
      <c r="CS944" s="6"/>
      <c r="CT944" s="139"/>
      <c r="CU944" s="139"/>
      <c r="CV944" s="76"/>
      <c r="CW944" s="123"/>
      <c r="CX944" s="6"/>
      <c r="DI944" s="125"/>
      <c r="DJ944" s="16"/>
      <c r="DM944" s="16"/>
      <c r="DN944" s="16"/>
      <c r="DO944" s="125"/>
      <c r="DP944" s="16"/>
      <c r="DQ944" s="125"/>
      <c r="DZ944" s="125"/>
      <c r="EA944" s="142"/>
      <c r="EB944" s="125"/>
      <c r="EC944" s="16"/>
      <c r="ED944" s="125"/>
      <c r="EE944" s="125"/>
      <c r="EF944" s="16"/>
      <c r="EG944" s="125"/>
      <c r="EQ944" s="125"/>
      <c r="ER944" s="16"/>
      <c r="ES944" s="123"/>
      <c r="ET944" s="19"/>
      <c r="EU944" s="139"/>
      <c r="EV944" s="139"/>
      <c r="EW944" s="123"/>
      <c r="EX944" s="123"/>
      <c r="EY944" s="123"/>
      <c r="EZ944" s="123"/>
      <c r="FA944" s="123"/>
      <c r="FB944" s="123"/>
      <c r="FC944" s="6"/>
      <c r="FD944" s="123"/>
      <c r="FE944" s="6"/>
      <c r="FF944" s="123"/>
      <c r="FG944" s="6"/>
      <c r="FH944" s="6"/>
      <c r="FI944" s="6"/>
      <c r="FJ944" s="6"/>
      <c r="FK944" s="123"/>
      <c r="FL944" s="6"/>
      <c r="FM944" s="6"/>
      <c r="FN944" s="6"/>
      <c r="FO944" s="138"/>
      <c r="FP944" s="138"/>
      <c r="FQ944" s="123"/>
      <c r="FR944" s="6"/>
      <c r="FS944" s="6"/>
      <c r="FT944" s="139"/>
      <c r="FU944" s="139"/>
      <c r="FV944" s="76"/>
      <c r="FW944" s="123"/>
      <c r="FX944" s="6"/>
    </row>
    <row r="945" spans="35:180">
      <c r="AI945" s="125"/>
      <c r="AJ945" s="16"/>
      <c r="AM945" s="16"/>
      <c r="AN945" s="16"/>
      <c r="AO945" s="125"/>
      <c r="AP945" s="16"/>
      <c r="AQ945" s="125"/>
      <c r="AZ945" s="125"/>
      <c r="BA945" s="142"/>
      <c r="BB945" s="125"/>
      <c r="BC945" s="16"/>
      <c r="BD945" s="125"/>
      <c r="BE945" s="125"/>
      <c r="BF945" s="16"/>
      <c r="BG945" s="125"/>
      <c r="BQ945" s="125"/>
      <c r="BR945" s="16"/>
      <c r="BS945" s="123"/>
      <c r="BT945" s="19"/>
      <c r="BU945" s="139"/>
      <c r="BV945" s="139"/>
      <c r="BW945" s="123"/>
      <c r="BX945" s="123"/>
      <c r="BY945" s="123"/>
      <c r="BZ945" s="123"/>
      <c r="CA945" s="123"/>
      <c r="CB945" s="123"/>
      <c r="CC945" s="6"/>
      <c r="CD945" s="123"/>
      <c r="CE945" s="6"/>
      <c r="CF945" s="123"/>
      <c r="CG945" s="6"/>
      <c r="CH945" s="6"/>
      <c r="CI945" s="6"/>
      <c r="CJ945" s="6"/>
      <c r="CK945" s="123"/>
      <c r="CL945" s="6"/>
      <c r="CM945" s="6"/>
      <c r="CN945" s="6"/>
      <c r="CO945" s="138"/>
      <c r="CP945" s="138"/>
      <c r="CQ945" s="123"/>
      <c r="CR945" s="6"/>
      <c r="CS945" s="6"/>
      <c r="CT945" s="139"/>
      <c r="CU945" s="139"/>
      <c r="CV945" s="76"/>
      <c r="CW945" s="123"/>
      <c r="CX945" s="6"/>
      <c r="DI945" s="125"/>
      <c r="DJ945" s="16"/>
      <c r="DM945" s="16"/>
      <c r="DN945" s="16"/>
      <c r="DO945" s="125"/>
      <c r="DP945" s="16"/>
      <c r="DQ945" s="125"/>
      <c r="DZ945" s="125"/>
      <c r="EA945" s="142"/>
      <c r="EB945" s="125"/>
      <c r="EC945" s="16"/>
      <c r="ED945" s="125"/>
      <c r="EE945" s="125"/>
      <c r="EF945" s="16"/>
      <c r="EG945" s="125"/>
      <c r="EQ945" s="125"/>
      <c r="ER945" s="16"/>
      <c r="ES945" s="123"/>
      <c r="ET945" s="19"/>
      <c r="EU945" s="139"/>
      <c r="EV945" s="139"/>
      <c r="EW945" s="123"/>
      <c r="EX945" s="123"/>
      <c r="EY945" s="123"/>
      <c r="EZ945" s="123"/>
      <c r="FA945" s="123"/>
      <c r="FB945" s="123"/>
      <c r="FC945" s="6"/>
      <c r="FD945" s="123"/>
      <c r="FE945" s="6"/>
      <c r="FF945" s="123"/>
      <c r="FG945" s="6"/>
      <c r="FH945" s="6"/>
      <c r="FI945" s="6"/>
      <c r="FJ945" s="6"/>
      <c r="FK945" s="123"/>
      <c r="FL945" s="6"/>
      <c r="FM945" s="6"/>
      <c r="FN945" s="6"/>
      <c r="FO945" s="138"/>
      <c r="FP945" s="138"/>
      <c r="FQ945" s="123"/>
      <c r="FR945" s="6"/>
      <c r="FS945" s="6"/>
      <c r="FT945" s="139"/>
      <c r="FU945" s="139"/>
      <c r="FV945" s="76"/>
      <c r="FW945" s="123"/>
      <c r="FX945" s="6"/>
    </row>
    <row r="946" spans="35:180">
      <c r="AI946" s="125"/>
      <c r="AJ946" s="16"/>
      <c r="AM946" s="16"/>
      <c r="AN946" s="16"/>
      <c r="AO946" s="125"/>
      <c r="AP946" s="16"/>
      <c r="AQ946" s="125"/>
      <c r="AZ946" s="125"/>
      <c r="BA946" s="142"/>
      <c r="BB946" s="125"/>
      <c r="BC946" s="16"/>
      <c r="BD946" s="125"/>
      <c r="BE946" s="125"/>
      <c r="BF946" s="16"/>
      <c r="BG946" s="125"/>
      <c r="BQ946" s="125"/>
      <c r="BR946" s="16"/>
      <c r="BS946" s="123"/>
      <c r="BT946" s="19"/>
      <c r="BU946" s="139"/>
      <c r="BV946" s="139"/>
      <c r="BW946" s="123"/>
      <c r="BX946" s="123"/>
      <c r="BY946" s="123"/>
      <c r="BZ946" s="123"/>
      <c r="CA946" s="123"/>
      <c r="CB946" s="123"/>
      <c r="CC946" s="6"/>
      <c r="CD946" s="123"/>
      <c r="CE946" s="6"/>
      <c r="CF946" s="123"/>
      <c r="CG946" s="6"/>
      <c r="CH946" s="6"/>
      <c r="CI946" s="6"/>
      <c r="CJ946" s="6"/>
      <c r="CK946" s="123"/>
      <c r="CL946" s="6"/>
      <c r="CM946" s="6"/>
      <c r="CN946" s="6"/>
      <c r="CO946" s="138"/>
      <c r="CP946" s="138"/>
      <c r="CQ946" s="123"/>
      <c r="CR946" s="6"/>
      <c r="CS946" s="6"/>
      <c r="CT946" s="139"/>
      <c r="CU946" s="139"/>
      <c r="CV946" s="76"/>
      <c r="CW946" s="123"/>
      <c r="CX946" s="6"/>
      <c r="DI946" s="125"/>
      <c r="DJ946" s="16"/>
      <c r="DM946" s="16"/>
      <c r="DN946" s="16"/>
      <c r="DO946" s="125"/>
      <c r="DP946" s="16"/>
      <c r="DQ946" s="125"/>
      <c r="DZ946" s="125"/>
      <c r="EA946" s="142"/>
      <c r="EB946" s="125"/>
      <c r="EC946" s="16"/>
      <c r="ED946" s="125"/>
      <c r="EE946" s="125"/>
      <c r="EF946" s="16"/>
      <c r="EG946" s="125"/>
      <c r="EQ946" s="125"/>
      <c r="ER946" s="16"/>
      <c r="ES946" s="123"/>
      <c r="ET946" s="19"/>
      <c r="EU946" s="139"/>
      <c r="EV946" s="139"/>
      <c r="EW946" s="123"/>
      <c r="EX946" s="123"/>
      <c r="EY946" s="123"/>
      <c r="EZ946" s="123"/>
      <c r="FA946" s="123"/>
      <c r="FB946" s="123"/>
      <c r="FC946" s="6"/>
      <c r="FD946" s="123"/>
      <c r="FE946" s="6"/>
      <c r="FF946" s="123"/>
      <c r="FG946" s="6"/>
      <c r="FH946" s="6"/>
      <c r="FI946" s="6"/>
      <c r="FJ946" s="6"/>
      <c r="FK946" s="123"/>
      <c r="FL946" s="6"/>
      <c r="FM946" s="6"/>
      <c r="FN946" s="6"/>
      <c r="FO946" s="138"/>
      <c r="FP946" s="138"/>
      <c r="FQ946" s="123"/>
      <c r="FR946" s="6"/>
      <c r="FS946" s="6"/>
      <c r="FT946" s="139"/>
      <c r="FU946" s="139"/>
      <c r="FV946" s="76"/>
      <c r="FW946" s="123"/>
      <c r="FX946" s="6"/>
    </row>
    <row r="947" spans="35:180">
      <c r="AI947" s="125"/>
      <c r="AJ947" s="16"/>
      <c r="AM947" s="16"/>
      <c r="AN947" s="16"/>
      <c r="AO947" s="125"/>
      <c r="AP947" s="16"/>
      <c r="AQ947" s="125"/>
      <c r="AZ947" s="125"/>
      <c r="BA947" s="142"/>
      <c r="BB947" s="125"/>
      <c r="BC947" s="16"/>
      <c r="BD947" s="125"/>
      <c r="BE947" s="125"/>
      <c r="BF947" s="16"/>
      <c r="BG947" s="125"/>
      <c r="BQ947" s="125"/>
      <c r="BR947" s="16"/>
      <c r="BS947" s="123"/>
      <c r="BT947" s="19"/>
      <c r="BU947" s="139"/>
      <c r="BV947" s="139"/>
      <c r="BW947" s="123"/>
      <c r="BX947" s="123"/>
      <c r="BY947" s="123"/>
      <c r="BZ947" s="123"/>
      <c r="CA947" s="123"/>
      <c r="CB947" s="123"/>
      <c r="CC947" s="6"/>
      <c r="CD947" s="123"/>
      <c r="CE947" s="6"/>
      <c r="CF947" s="123"/>
      <c r="CG947" s="6"/>
      <c r="CH947" s="6"/>
      <c r="CI947" s="6"/>
      <c r="CJ947" s="6"/>
      <c r="CK947" s="123"/>
      <c r="CL947" s="6"/>
      <c r="CM947" s="6"/>
      <c r="CN947" s="6"/>
      <c r="CO947" s="138"/>
      <c r="CP947" s="138"/>
      <c r="CQ947" s="123"/>
      <c r="CR947" s="6"/>
      <c r="CS947" s="6"/>
      <c r="CT947" s="139"/>
      <c r="CU947" s="139"/>
      <c r="CV947" s="76"/>
      <c r="CW947" s="123"/>
      <c r="CX947" s="6"/>
      <c r="DI947" s="125"/>
      <c r="DJ947" s="16"/>
      <c r="DM947" s="16"/>
      <c r="DN947" s="16"/>
      <c r="DO947" s="125"/>
      <c r="DP947" s="16"/>
      <c r="DQ947" s="125"/>
      <c r="DZ947" s="125"/>
      <c r="EA947" s="142"/>
      <c r="EB947" s="125"/>
      <c r="EC947" s="16"/>
      <c r="ED947" s="125"/>
      <c r="EE947" s="125"/>
      <c r="EF947" s="16"/>
      <c r="EG947" s="125"/>
      <c r="EQ947" s="125"/>
      <c r="ER947" s="16"/>
      <c r="ES947" s="123"/>
      <c r="ET947" s="19"/>
      <c r="EU947" s="139"/>
      <c r="EV947" s="139"/>
      <c r="EW947" s="123"/>
      <c r="EX947" s="123"/>
      <c r="EY947" s="123"/>
      <c r="EZ947" s="123"/>
      <c r="FA947" s="123"/>
      <c r="FB947" s="123"/>
      <c r="FC947" s="6"/>
      <c r="FD947" s="123"/>
      <c r="FE947" s="6"/>
      <c r="FF947" s="123"/>
      <c r="FG947" s="6"/>
      <c r="FH947" s="6"/>
      <c r="FI947" s="6"/>
      <c r="FJ947" s="6"/>
      <c r="FK947" s="123"/>
      <c r="FL947" s="6"/>
      <c r="FM947" s="6"/>
      <c r="FN947" s="6"/>
      <c r="FO947" s="138"/>
      <c r="FP947" s="138"/>
      <c r="FQ947" s="123"/>
      <c r="FR947" s="6"/>
      <c r="FS947" s="6"/>
      <c r="FT947" s="139"/>
      <c r="FU947" s="139"/>
      <c r="FV947" s="76"/>
      <c r="FW947" s="123"/>
      <c r="FX947" s="6"/>
    </row>
    <row r="948" spans="35:180">
      <c r="AI948" s="125"/>
      <c r="AJ948" s="16"/>
      <c r="AM948" s="16"/>
      <c r="AN948" s="16"/>
      <c r="AO948" s="125"/>
      <c r="AP948" s="16"/>
      <c r="AQ948" s="125"/>
      <c r="AZ948" s="125"/>
      <c r="BA948" s="142"/>
      <c r="BB948" s="125"/>
      <c r="BC948" s="16"/>
      <c r="BD948" s="125"/>
      <c r="BE948" s="125"/>
      <c r="BF948" s="16"/>
      <c r="BG948" s="125"/>
      <c r="BQ948" s="125"/>
      <c r="BR948" s="16"/>
      <c r="BS948" s="123"/>
      <c r="BT948" s="19"/>
      <c r="BU948" s="139"/>
      <c r="BV948" s="139"/>
      <c r="BW948" s="123"/>
      <c r="BX948" s="123"/>
      <c r="BY948" s="123"/>
      <c r="BZ948" s="123"/>
      <c r="CA948" s="123"/>
      <c r="CB948" s="123"/>
      <c r="CC948" s="6"/>
      <c r="CD948" s="123"/>
      <c r="CE948" s="6"/>
      <c r="CF948" s="123"/>
      <c r="CG948" s="6"/>
      <c r="CH948" s="6"/>
      <c r="CI948" s="6"/>
      <c r="CJ948" s="6"/>
      <c r="CK948" s="123"/>
      <c r="CL948" s="6"/>
      <c r="CM948" s="6"/>
      <c r="CN948" s="6"/>
      <c r="CO948" s="138"/>
      <c r="CP948" s="138"/>
      <c r="CQ948" s="123"/>
      <c r="CR948" s="6"/>
      <c r="CS948" s="6"/>
      <c r="CT948" s="139"/>
      <c r="CU948" s="139"/>
      <c r="CV948" s="76"/>
      <c r="CW948" s="123"/>
      <c r="CX948" s="6"/>
      <c r="DI948" s="125"/>
      <c r="DJ948" s="16"/>
      <c r="DM948" s="16"/>
      <c r="DN948" s="16"/>
      <c r="DO948" s="125"/>
      <c r="DP948" s="16"/>
      <c r="DQ948" s="125"/>
      <c r="DZ948" s="125"/>
      <c r="EA948" s="142"/>
      <c r="EB948" s="125"/>
      <c r="EC948" s="16"/>
      <c r="ED948" s="125"/>
      <c r="EE948" s="125"/>
      <c r="EF948" s="16"/>
      <c r="EG948" s="125"/>
      <c r="EQ948" s="125"/>
      <c r="ER948" s="16"/>
      <c r="ES948" s="123"/>
      <c r="ET948" s="19"/>
      <c r="EU948" s="139"/>
      <c r="EV948" s="139"/>
      <c r="EW948" s="123"/>
      <c r="EX948" s="123"/>
      <c r="EY948" s="123"/>
      <c r="EZ948" s="123"/>
      <c r="FA948" s="123"/>
      <c r="FB948" s="123"/>
      <c r="FC948" s="6"/>
      <c r="FD948" s="123"/>
      <c r="FE948" s="6"/>
      <c r="FF948" s="123"/>
      <c r="FG948" s="6"/>
      <c r="FH948" s="6"/>
      <c r="FI948" s="6"/>
      <c r="FJ948" s="6"/>
      <c r="FK948" s="123"/>
      <c r="FL948" s="6"/>
      <c r="FM948" s="6"/>
      <c r="FN948" s="6"/>
      <c r="FO948" s="138"/>
      <c r="FP948" s="138"/>
      <c r="FQ948" s="123"/>
      <c r="FR948" s="6"/>
      <c r="FS948" s="6"/>
      <c r="FT948" s="139"/>
      <c r="FU948" s="139"/>
      <c r="FV948" s="76"/>
      <c r="FW948" s="123"/>
      <c r="FX948" s="6"/>
    </row>
    <row r="949" spans="35:180">
      <c r="AI949" s="125"/>
      <c r="AJ949" s="16"/>
      <c r="AM949" s="16"/>
      <c r="AN949" s="16"/>
      <c r="AO949" s="125"/>
      <c r="AP949" s="16"/>
      <c r="AQ949" s="125"/>
      <c r="AZ949" s="125"/>
      <c r="BA949" s="142"/>
      <c r="BB949" s="125"/>
      <c r="BC949" s="16"/>
      <c r="BD949" s="125"/>
      <c r="BE949" s="125"/>
      <c r="BF949" s="16"/>
      <c r="BG949" s="125"/>
      <c r="BQ949" s="125"/>
      <c r="BR949" s="16"/>
      <c r="BS949" s="123"/>
      <c r="BT949" s="19"/>
      <c r="BU949" s="139"/>
      <c r="BV949" s="139"/>
      <c r="BW949" s="123"/>
      <c r="BX949" s="123"/>
      <c r="BY949" s="123"/>
      <c r="BZ949" s="123"/>
      <c r="CA949" s="123"/>
      <c r="CB949" s="123"/>
      <c r="CC949" s="6"/>
      <c r="CD949" s="123"/>
      <c r="CE949" s="6"/>
      <c r="CF949" s="123"/>
      <c r="CG949" s="6"/>
      <c r="CH949" s="6"/>
      <c r="CI949" s="6"/>
      <c r="CJ949" s="6"/>
      <c r="CK949" s="123"/>
      <c r="CL949" s="6"/>
      <c r="CM949" s="6"/>
      <c r="CN949" s="6"/>
      <c r="CO949" s="138"/>
      <c r="CP949" s="138"/>
      <c r="CQ949" s="123"/>
      <c r="CR949" s="6"/>
      <c r="CS949" s="6"/>
      <c r="CT949" s="139"/>
      <c r="CU949" s="139"/>
      <c r="CV949" s="76"/>
      <c r="CW949" s="123"/>
      <c r="CX949" s="6"/>
      <c r="DI949" s="125"/>
      <c r="DJ949" s="16"/>
      <c r="DM949" s="16"/>
      <c r="DN949" s="16"/>
      <c r="DO949" s="125"/>
      <c r="DP949" s="16"/>
      <c r="DQ949" s="125"/>
      <c r="DZ949" s="125"/>
      <c r="EA949" s="142"/>
      <c r="EB949" s="125"/>
      <c r="EC949" s="16"/>
      <c r="ED949" s="125"/>
      <c r="EE949" s="125"/>
      <c r="EF949" s="16"/>
      <c r="EG949" s="125"/>
      <c r="EQ949" s="125"/>
      <c r="ER949" s="16"/>
      <c r="ES949" s="123"/>
      <c r="ET949" s="19"/>
      <c r="EU949" s="139"/>
      <c r="EV949" s="139"/>
      <c r="EW949" s="123"/>
      <c r="EX949" s="123"/>
      <c r="EY949" s="123"/>
      <c r="EZ949" s="123"/>
      <c r="FA949" s="123"/>
      <c r="FB949" s="123"/>
      <c r="FC949" s="6"/>
      <c r="FD949" s="123"/>
      <c r="FE949" s="6"/>
      <c r="FF949" s="123"/>
      <c r="FG949" s="6"/>
      <c r="FH949" s="6"/>
      <c r="FI949" s="6"/>
      <c r="FJ949" s="6"/>
      <c r="FK949" s="123"/>
      <c r="FL949" s="6"/>
      <c r="FM949" s="6"/>
      <c r="FN949" s="6"/>
      <c r="FO949" s="138"/>
      <c r="FP949" s="138"/>
      <c r="FQ949" s="123"/>
      <c r="FR949" s="6"/>
      <c r="FS949" s="6"/>
      <c r="FT949" s="139"/>
      <c r="FU949" s="139"/>
      <c r="FV949" s="76"/>
      <c r="FW949" s="123"/>
      <c r="FX949" s="6"/>
    </row>
    <row r="950" spans="35:180">
      <c r="AI950" s="125"/>
      <c r="AJ950" s="16"/>
      <c r="AM950" s="16"/>
      <c r="AN950" s="16"/>
      <c r="AO950" s="125"/>
      <c r="AP950" s="16"/>
      <c r="AQ950" s="125"/>
      <c r="AZ950" s="125"/>
      <c r="BA950" s="142"/>
      <c r="BB950" s="125"/>
      <c r="BC950" s="16"/>
      <c r="BD950" s="125"/>
      <c r="BE950" s="125"/>
      <c r="BF950" s="16"/>
      <c r="BG950" s="125"/>
      <c r="BQ950" s="125"/>
      <c r="BR950" s="16"/>
      <c r="BS950" s="123"/>
      <c r="BT950" s="19"/>
      <c r="BU950" s="139"/>
      <c r="BV950" s="139"/>
      <c r="BW950" s="123"/>
      <c r="BX950" s="123"/>
      <c r="BY950" s="123"/>
      <c r="BZ950" s="123"/>
      <c r="CA950" s="123"/>
      <c r="CB950" s="123"/>
      <c r="CC950" s="6"/>
      <c r="CD950" s="123"/>
      <c r="CE950" s="6"/>
      <c r="CF950" s="123"/>
      <c r="CG950" s="6"/>
      <c r="CH950" s="6"/>
      <c r="CI950" s="6"/>
      <c r="CJ950" s="6"/>
      <c r="CK950" s="123"/>
      <c r="CL950" s="6"/>
      <c r="CM950" s="6"/>
      <c r="CN950" s="6"/>
      <c r="CO950" s="138"/>
      <c r="CP950" s="138"/>
      <c r="CQ950" s="123"/>
      <c r="CR950" s="6"/>
      <c r="CS950" s="6"/>
      <c r="CT950" s="139"/>
      <c r="CU950" s="139"/>
      <c r="CV950" s="76"/>
      <c r="CW950" s="123"/>
      <c r="CX950" s="6"/>
      <c r="DI950" s="125"/>
      <c r="DJ950" s="16"/>
      <c r="DM950" s="16"/>
      <c r="DN950" s="16"/>
      <c r="DO950" s="125"/>
      <c r="DP950" s="16"/>
      <c r="DQ950" s="125"/>
      <c r="DZ950" s="125"/>
      <c r="EA950" s="142"/>
      <c r="EB950" s="125"/>
      <c r="EC950" s="16"/>
      <c r="ED950" s="125"/>
      <c r="EE950" s="125"/>
      <c r="EF950" s="16"/>
      <c r="EG950" s="125"/>
      <c r="EQ950" s="125"/>
      <c r="ER950" s="16"/>
      <c r="ES950" s="123"/>
      <c r="ET950" s="19"/>
      <c r="EU950" s="139"/>
      <c r="EV950" s="139"/>
      <c r="EW950" s="123"/>
      <c r="EX950" s="123"/>
      <c r="EY950" s="123"/>
      <c r="EZ950" s="123"/>
      <c r="FA950" s="123"/>
      <c r="FB950" s="123"/>
      <c r="FC950" s="6"/>
      <c r="FD950" s="123"/>
      <c r="FE950" s="6"/>
      <c r="FF950" s="123"/>
      <c r="FG950" s="6"/>
      <c r="FH950" s="6"/>
      <c r="FI950" s="6"/>
      <c r="FJ950" s="6"/>
      <c r="FK950" s="123"/>
      <c r="FL950" s="6"/>
      <c r="FM950" s="6"/>
      <c r="FN950" s="6"/>
      <c r="FO950" s="138"/>
      <c r="FP950" s="138"/>
      <c r="FQ950" s="123"/>
      <c r="FR950" s="6"/>
      <c r="FS950" s="6"/>
      <c r="FT950" s="139"/>
      <c r="FU950" s="139"/>
      <c r="FV950" s="76"/>
      <c r="FW950" s="123"/>
      <c r="FX950" s="6"/>
    </row>
    <row r="951" spans="35:180">
      <c r="AI951" s="125"/>
      <c r="AJ951" s="16"/>
      <c r="AM951" s="16"/>
      <c r="AN951" s="16"/>
      <c r="AO951" s="125"/>
      <c r="AP951" s="16"/>
      <c r="AQ951" s="125"/>
      <c r="AZ951" s="125"/>
      <c r="BA951" s="142"/>
      <c r="BB951" s="125"/>
      <c r="BC951" s="16"/>
      <c r="BD951" s="125"/>
      <c r="BE951" s="125"/>
      <c r="BF951" s="16"/>
      <c r="BG951" s="125"/>
      <c r="BQ951" s="125"/>
      <c r="BR951" s="16"/>
      <c r="BS951" s="123"/>
      <c r="BT951" s="19"/>
      <c r="BU951" s="139"/>
      <c r="BV951" s="139"/>
      <c r="BW951" s="123"/>
      <c r="BX951" s="123"/>
      <c r="BY951" s="123"/>
      <c r="BZ951" s="123"/>
      <c r="CA951" s="123"/>
      <c r="CB951" s="123"/>
      <c r="CC951" s="6"/>
      <c r="CD951" s="123"/>
      <c r="CE951" s="6"/>
      <c r="CF951" s="123"/>
      <c r="CG951" s="6"/>
      <c r="CH951" s="6"/>
      <c r="CI951" s="6"/>
      <c r="CJ951" s="6"/>
      <c r="CK951" s="123"/>
      <c r="CL951" s="6"/>
      <c r="CM951" s="6"/>
      <c r="CN951" s="6"/>
      <c r="CO951" s="138"/>
      <c r="CP951" s="138"/>
      <c r="CQ951" s="123"/>
      <c r="CR951" s="6"/>
      <c r="CS951" s="6"/>
      <c r="CT951" s="139"/>
      <c r="CU951" s="139"/>
      <c r="CV951" s="76"/>
      <c r="CW951" s="123"/>
      <c r="CX951" s="6"/>
      <c r="DI951" s="125"/>
      <c r="DJ951" s="16"/>
      <c r="DM951" s="16"/>
      <c r="DN951" s="16"/>
      <c r="DO951" s="125"/>
      <c r="DP951" s="16"/>
      <c r="DQ951" s="125"/>
      <c r="DZ951" s="125"/>
      <c r="EA951" s="142"/>
      <c r="EB951" s="125"/>
      <c r="EC951" s="16"/>
      <c r="ED951" s="125"/>
      <c r="EE951" s="125"/>
      <c r="EF951" s="16"/>
      <c r="EG951" s="125"/>
      <c r="EQ951" s="125"/>
      <c r="ER951" s="16"/>
      <c r="ES951" s="123"/>
      <c r="ET951" s="19"/>
      <c r="EU951" s="139"/>
      <c r="EV951" s="139"/>
      <c r="EW951" s="123"/>
      <c r="EX951" s="123"/>
      <c r="EY951" s="123"/>
      <c r="EZ951" s="123"/>
      <c r="FA951" s="123"/>
      <c r="FB951" s="123"/>
      <c r="FC951" s="6"/>
      <c r="FD951" s="123"/>
      <c r="FE951" s="6"/>
      <c r="FF951" s="123"/>
      <c r="FG951" s="6"/>
      <c r="FH951" s="6"/>
      <c r="FI951" s="6"/>
      <c r="FJ951" s="6"/>
      <c r="FK951" s="123"/>
      <c r="FL951" s="6"/>
      <c r="FM951" s="6"/>
      <c r="FN951" s="6"/>
      <c r="FO951" s="138"/>
      <c r="FP951" s="138"/>
      <c r="FQ951" s="123"/>
      <c r="FR951" s="6"/>
      <c r="FS951" s="6"/>
      <c r="FT951" s="139"/>
      <c r="FU951" s="139"/>
      <c r="FV951" s="76"/>
      <c r="FW951" s="123"/>
      <c r="FX951" s="6"/>
    </row>
    <row r="952" spans="35:180">
      <c r="AI952" s="125"/>
      <c r="AJ952" s="16"/>
      <c r="AM952" s="16"/>
      <c r="AN952" s="16"/>
      <c r="AO952" s="125"/>
      <c r="AP952" s="16"/>
      <c r="AQ952" s="125"/>
      <c r="AZ952" s="125"/>
      <c r="BA952" s="142"/>
      <c r="BB952" s="125"/>
      <c r="BC952" s="16"/>
      <c r="BD952" s="125"/>
      <c r="BE952" s="125"/>
      <c r="BF952" s="16"/>
      <c r="BG952" s="125"/>
      <c r="BQ952" s="125"/>
      <c r="BR952" s="16"/>
      <c r="BS952" s="123"/>
      <c r="BT952" s="19"/>
      <c r="BU952" s="139"/>
      <c r="BV952" s="139"/>
      <c r="BW952" s="123"/>
      <c r="BX952" s="123"/>
      <c r="BY952" s="123"/>
      <c r="BZ952" s="123"/>
      <c r="CA952" s="123"/>
      <c r="CB952" s="123"/>
      <c r="CC952" s="6"/>
      <c r="CD952" s="123"/>
      <c r="CE952" s="6"/>
      <c r="CF952" s="123"/>
      <c r="CG952" s="6"/>
      <c r="CH952" s="6"/>
      <c r="CI952" s="6"/>
      <c r="CJ952" s="6"/>
      <c r="CK952" s="123"/>
      <c r="CL952" s="6"/>
      <c r="CM952" s="6"/>
      <c r="CN952" s="6"/>
      <c r="CO952" s="138"/>
      <c r="CP952" s="138"/>
      <c r="CQ952" s="123"/>
      <c r="CR952" s="6"/>
      <c r="CS952" s="6"/>
      <c r="CT952" s="139"/>
      <c r="CU952" s="139"/>
      <c r="CV952" s="76"/>
      <c r="CW952" s="123"/>
      <c r="CX952" s="6"/>
      <c r="DI952" s="125"/>
      <c r="DJ952" s="16"/>
      <c r="DM952" s="16"/>
      <c r="DN952" s="16"/>
      <c r="DO952" s="125"/>
      <c r="DP952" s="16"/>
      <c r="DQ952" s="125"/>
      <c r="DZ952" s="125"/>
      <c r="EA952" s="142"/>
      <c r="EB952" s="125"/>
      <c r="EC952" s="16"/>
      <c r="ED952" s="125"/>
      <c r="EE952" s="125"/>
      <c r="EF952" s="16"/>
      <c r="EG952" s="125"/>
      <c r="EQ952" s="125"/>
      <c r="ER952" s="16"/>
      <c r="ES952" s="123"/>
      <c r="ET952" s="19"/>
      <c r="EU952" s="139"/>
      <c r="EV952" s="139"/>
      <c r="EW952" s="123"/>
      <c r="EX952" s="123"/>
      <c r="EY952" s="123"/>
      <c r="EZ952" s="123"/>
      <c r="FA952" s="123"/>
      <c r="FB952" s="123"/>
      <c r="FC952" s="6"/>
      <c r="FD952" s="123"/>
      <c r="FE952" s="6"/>
      <c r="FF952" s="123"/>
      <c r="FG952" s="6"/>
      <c r="FH952" s="6"/>
      <c r="FI952" s="6"/>
      <c r="FJ952" s="6"/>
      <c r="FK952" s="123"/>
      <c r="FL952" s="6"/>
      <c r="FM952" s="6"/>
      <c r="FN952" s="6"/>
      <c r="FO952" s="138"/>
      <c r="FP952" s="138"/>
      <c r="FQ952" s="123"/>
      <c r="FR952" s="6"/>
      <c r="FS952" s="6"/>
      <c r="FT952" s="139"/>
      <c r="FU952" s="139"/>
      <c r="FV952" s="76"/>
      <c r="FW952" s="123"/>
      <c r="FX952" s="6"/>
    </row>
    <row r="953" spans="35:180">
      <c r="AI953" s="125"/>
      <c r="AJ953" s="16"/>
      <c r="AM953" s="16"/>
      <c r="AN953" s="16"/>
      <c r="AO953" s="125"/>
      <c r="AP953" s="16"/>
      <c r="AQ953" s="125"/>
      <c r="AZ953" s="125"/>
      <c r="BA953" s="142"/>
      <c r="BB953" s="125"/>
      <c r="BC953" s="16"/>
      <c r="BD953" s="125"/>
      <c r="BE953" s="125"/>
      <c r="BF953" s="16"/>
      <c r="BG953" s="125"/>
      <c r="BQ953" s="125"/>
      <c r="BR953" s="16"/>
      <c r="BS953" s="123"/>
      <c r="BT953" s="19"/>
      <c r="BU953" s="139"/>
      <c r="BV953" s="139"/>
      <c r="BW953" s="123"/>
      <c r="BX953" s="123"/>
      <c r="BY953" s="123"/>
      <c r="BZ953" s="123"/>
      <c r="CA953" s="123"/>
      <c r="CB953" s="123"/>
      <c r="CC953" s="6"/>
      <c r="CD953" s="123"/>
      <c r="CE953" s="6"/>
      <c r="CF953" s="123"/>
      <c r="CG953" s="6"/>
      <c r="CH953" s="6"/>
      <c r="CI953" s="6"/>
      <c r="CJ953" s="6"/>
      <c r="CK953" s="123"/>
      <c r="CL953" s="6"/>
      <c r="CM953" s="6"/>
      <c r="CN953" s="6"/>
      <c r="CO953" s="138"/>
      <c r="CP953" s="138"/>
      <c r="CQ953" s="123"/>
      <c r="CR953" s="6"/>
      <c r="CS953" s="6"/>
      <c r="CT953" s="139"/>
      <c r="CU953" s="139"/>
      <c r="CV953" s="76"/>
      <c r="CW953" s="123"/>
      <c r="CX953" s="6"/>
      <c r="DI953" s="125"/>
      <c r="DJ953" s="16"/>
      <c r="DM953" s="16"/>
      <c r="DN953" s="16"/>
      <c r="DO953" s="125"/>
      <c r="DP953" s="16"/>
      <c r="DQ953" s="125"/>
      <c r="DZ953" s="125"/>
      <c r="EA953" s="142"/>
      <c r="EB953" s="125"/>
      <c r="EC953" s="16"/>
      <c r="ED953" s="125"/>
      <c r="EE953" s="125"/>
      <c r="EF953" s="16"/>
      <c r="EG953" s="125"/>
      <c r="EQ953" s="125"/>
      <c r="ER953" s="16"/>
      <c r="ES953" s="123"/>
      <c r="ET953" s="19"/>
      <c r="EU953" s="139"/>
      <c r="EV953" s="139"/>
      <c r="EW953" s="123"/>
      <c r="EX953" s="123"/>
      <c r="EY953" s="123"/>
      <c r="EZ953" s="123"/>
      <c r="FA953" s="123"/>
      <c r="FB953" s="123"/>
      <c r="FC953" s="6"/>
      <c r="FD953" s="123"/>
      <c r="FE953" s="6"/>
      <c r="FF953" s="123"/>
      <c r="FG953" s="6"/>
      <c r="FH953" s="6"/>
      <c r="FI953" s="6"/>
      <c r="FJ953" s="6"/>
      <c r="FK953" s="123"/>
      <c r="FL953" s="6"/>
      <c r="FM953" s="6"/>
      <c r="FN953" s="6"/>
      <c r="FO953" s="138"/>
      <c r="FP953" s="138"/>
      <c r="FQ953" s="123"/>
      <c r="FR953" s="6"/>
      <c r="FS953" s="6"/>
      <c r="FT953" s="139"/>
      <c r="FU953" s="139"/>
      <c r="FV953" s="76"/>
      <c r="FW953" s="123"/>
      <c r="FX953" s="6"/>
    </row>
    <row r="954" spans="35:180">
      <c r="AI954" s="125"/>
      <c r="AJ954" s="16"/>
      <c r="AM954" s="16"/>
      <c r="AN954" s="16"/>
      <c r="AO954" s="125"/>
      <c r="AP954" s="16"/>
      <c r="AQ954" s="125"/>
      <c r="AZ954" s="125"/>
      <c r="BA954" s="142"/>
      <c r="BB954" s="125"/>
      <c r="BC954" s="16"/>
      <c r="BD954" s="125"/>
      <c r="BE954" s="125"/>
      <c r="BF954" s="16"/>
      <c r="BG954" s="125"/>
      <c r="BQ954" s="125"/>
      <c r="BR954" s="16"/>
      <c r="BS954" s="123"/>
      <c r="BT954" s="19"/>
      <c r="BU954" s="139"/>
      <c r="BV954" s="139"/>
      <c r="BW954" s="123"/>
      <c r="BX954" s="123"/>
      <c r="BY954" s="123"/>
      <c r="BZ954" s="123"/>
      <c r="CA954" s="123"/>
      <c r="CB954" s="123"/>
      <c r="CC954" s="6"/>
      <c r="CD954" s="123"/>
      <c r="CE954" s="6"/>
      <c r="CF954" s="123"/>
      <c r="CG954" s="6"/>
      <c r="CH954" s="6"/>
      <c r="CI954" s="6"/>
      <c r="CJ954" s="6"/>
      <c r="CK954" s="123"/>
      <c r="CL954" s="6"/>
      <c r="CM954" s="6"/>
      <c r="CN954" s="6"/>
      <c r="CO954" s="138"/>
      <c r="CP954" s="138"/>
      <c r="CQ954" s="123"/>
      <c r="CR954" s="6"/>
      <c r="CS954" s="6"/>
      <c r="CT954" s="139"/>
      <c r="CU954" s="139"/>
      <c r="CV954" s="76"/>
      <c r="CW954" s="123"/>
      <c r="CX954" s="6"/>
      <c r="DI954" s="125"/>
      <c r="DJ954" s="16"/>
      <c r="DM954" s="16"/>
      <c r="DN954" s="16"/>
      <c r="DO954" s="125"/>
      <c r="DP954" s="16"/>
      <c r="DQ954" s="125"/>
      <c r="DZ954" s="125"/>
      <c r="EA954" s="142"/>
      <c r="EB954" s="125"/>
      <c r="EC954" s="16"/>
      <c r="ED954" s="125"/>
      <c r="EE954" s="125"/>
      <c r="EF954" s="16"/>
      <c r="EG954" s="125"/>
      <c r="EQ954" s="125"/>
      <c r="ER954" s="16"/>
      <c r="ES954" s="123"/>
      <c r="ET954" s="19"/>
      <c r="EU954" s="139"/>
      <c r="EV954" s="139"/>
      <c r="EW954" s="123"/>
      <c r="EX954" s="123"/>
      <c r="EY954" s="123"/>
      <c r="EZ954" s="123"/>
      <c r="FA954" s="123"/>
      <c r="FB954" s="123"/>
      <c r="FC954" s="6"/>
      <c r="FD954" s="123"/>
      <c r="FE954" s="6"/>
      <c r="FF954" s="123"/>
      <c r="FG954" s="6"/>
      <c r="FH954" s="6"/>
      <c r="FI954" s="6"/>
      <c r="FJ954" s="6"/>
      <c r="FK954" s="123"/>
      <c r="FL954" s="6"/>
      <c r="FM954" s="6"/>
      <c r="FN954" s="6"/>
      <c r="FO954" s="138"/>
      <c r="FP954" s="138"/>
      <c r="FQ954" s="123"/>
      <c r="FR954" s="6"/>
      <c r="FS954" s="6"/>
      <c r="FT954" s="139"/>
      <c r="FU954" s="139"/>
      <c r="FV954" s="76"/>
      <c r="FW954" s="123"/>
      <c r="FX954" s="6"/>
    </row>
    <row r="955" spans="35:180">
      <c r="AI955" s="125"/>
      <c r="AJ955" s="16"/>
      <c r="AM955" s="16"/>
      <c r="AN955" s="16"/>
      <c r="AO955" s="125"/>
      <c r="AP955" s="16"/>
      <c r="AQ955" s="125"/>
      <c r="AZ955" s="125"/>
      <c r="BA955" s="142"/>
      <c r="BB955" s="125"/>
      <c r="BC955" s="16"/>
      <c r="BD955" s="125"/>
      <c r="BE955" s="125"/>
      <c r="BF955" s="16"/>
      <c r="BG955" s="125"/>
      <c r="BQ955" s="125"/>
      <c r="BR955" s="16"/>
      <c r="BS955" s="123"/>
      <c r="BT955" s="19"/>
      <c r="BU955" s="139"/>
      <c r="BV955" s="139"/>
      <c r="BW955" s="123"/>
      <c r="BX955" s="123"/>
      <c r="BY955" s="123"/>
      <c r="BZ955" s="123"/>
      <c r="CA955" s="123"/>
      <c r="CB955" s="123"/>
      <c r="CC955" s="6"/>
      <c r="CD955" s="123"/>
      <c r="CE955" s="6"/>
      <c r="CF955" s="123"/>
      <c r="CG955" s="6"/>
      <c r="CH955" s="6"/>
      <c r="CI955" s="6"/>
      <c r="CJ955" s="6"/>
      <c r="CK955" s="123"/>
      <c r="CL955" s="6"/>
      <c r="CM955" s="6"/>
      <c r="CN955" s="6"/>
      <c r="CO955" s="138"/>
      <c r="CP955" s="138"/>
      <c r="CQ955" s="123"/>
      <c r="CR955" s="6"/>
      <c r="CS955" s="6"/>
      <c r="CT955" s="139"/>
      <c r="CU955" s="139"/>
      <c r="CV955" s="76"/>
      <c r="CW955" s="123"/>
      <c r="CX955" s="6"/>
      <c r="DI955" s="125"/>
      <c r="DJ955" s="16"/>
      <c r="DM955" s="16"/>
      <c r="DN955" s="16"/>
      <c r="DO955" s="125"/>
      <c r="DP955" s="16"/>
      <c r="DQ955" s="125"/>
      <c r="DZ955" s="125"/>
      <c r="EA955" s="142"/>
      <c r="EB955" s="125"/>
      <c r="EC955" s="16"/>
      <c r="ED955" s="125"/>
      <c r="EE955" s="125"/>
      <c r="EF955" s="16"/>
      <c r="EG955" s="125"/>
      <c r="EQ955" s="125"/>
      <c r="ER955" s="16"/>
      <c r="ES955" s="123"/>
      <c r="ET955" s="19"/>
      <c r="EU955" s="139"/>
      <c r="EV955" s="139"/>
      <c r="EW955" s="123"/>
      <c r="EX955" s="123"/>
      <c r="EY955" s="123"/>
      <c r="EZ955" s="123"/>
      <c r="FA955" s="123"/>
      <c r="FB955" s="123"/>
      <c r="FC955" s="6"/>
      <c r="FD955" s="123"/>
      <c r="FE955" s="6"/>
      <c r="FF955" s="123"/>
      <c r="FG955" s="6"/>
      <c r="FH955" s="6"/>
      <c r="FI955" s="6"/>
      <c r="FJ955" s="6"/>
      <c r="FK955" s="123"/>
      <c r="FL955" s="6"/>
      <c r="FM955" s="6"/>
      <c r="FN955" s="6"/>
      <c r="FO955" s="138"/>
      <c r="FP955" s="138"/>
      <c r="FQ955" s="123"/>
      <c r="FR955" s="6"/>
      <c r="FS955" s="6"/>
      <c r="FT955" s="139"/>
      <c r="FU955" s="139"/>
      <c r="FV955" s="76"/>
      <c r="FW955" s="123"/>
      <c r="FX955" s="6"/>
    </row>
    <row r="956" spans="35:180">
      <c r="AI956" s="125"/>
      <c r="AJ956" s="16"/>
      <c r="AM956" s="16"/>
      <c r="AN956" s="16"/>
      <c r="AO956" s="125"/>
      <c r="AP956" s="16"/>
      <c r="AQ956" s="125"/>
      <c r="AZ956" s="125"/>
      <c r="BA956" s="142"/>
      <c r="BB956" s="125"/>
      <c r="BC956" s="16"/>
      <c r="BD956" s="125"/>
      <c r="BE956" s="125"/>
      <c r="BF956" s="16"/>
      <c r="BG956" s="125"/>
      <c r="BQ956" s="125"/>
      <c r="BR956" s="16"/>
      <c r="BS956" s="123"/>
      <c r="BT956" s="19"/>
      <c r="BU956" s="139"/>
      <c r="BV956" s="139"/>
      <c r="BW956" s="123"/>
      <c r="BX956" s="123"/>
      <c r="BY956" s="123"/>
      <c r="BZ956" s="123"/>
      <c r="CA956" s="123"/>
      <c r="CB956" s="123"/>
      <c r="CC956" s="6"/>
      <c r="CD956" s="123"/>
      <c r="CE956" s="6"/>
      <c r="CF956" s="123"/>
      <c r="CG956" s="6"/>
      <c r="CH956" s="6"/>
      <c r="CI956" s="6"/>
      <c r="CJ956" s="6"/>
      <c r="CK956" s="123"/>
      <c r="CL956" s="6"/>
      <c r="CM956" s="6"/>
      <c r="CN956" s="6"/>
      <c r="CO956" s="138"/>
      <c r="CP956" s="138"/>
      <c r="CQ956" s="123"/>
      <c r="CR956" s="6"/>
      <c r="CS956" s="6"/>
      <c r="CT956" s="139"/>
      <c r="CU956" s="139"/>
      <c r="CV956" s="76"/>
      <c r="CW956" s="123"/>
      <c r="CX956" s="6"/>
      <c r="DI956" s="125"/>
      <c r="DJ956" s="16"/>
      <c r="DM956" s="16"/>
      <c r="DN956" s="16"/>
      <c r="DO956" s="125"/>
      <c r="DP956" s="16"/>
      <c r="DQ956" s="125"/>
      <c r="DZ956" s="125"/>
      <c r="EA956" s="142"/>
      <c r="EB956" s="125"/>
      <c r="EC956" s="16"/>
      <c r="ED956" s="125"/>
      <c r="EE956" s="125"/>
      <c r="EF956" s="16"/>
      <c r="EG956" s="125"/>
      <c r="EQ956" s="125"/>
      <c r="ER956" s="16"/>
      <c r="ES956" s="123"/>
      <c r="ET956" s="19"/>
      <c r="EU956" s="139"/>
      <c r="EV956" s="139"/>
      <c r="EW956" s="123"/>
      <c r="EX956" s="123"/>
      <c r="EY956" s="123"/>
      <c r="EZ956" s="123"/>
      <c r="FA956" s="123"/>
      <c r="FB956" s="123"/>
      <c r="FC956" s="6"/>
      <c r="FD956" s="123"/>
      <c r="FE956" s="6"/>
      <c r="FF956" s="123"/>
      <c r="FG956" s="6"/>
      <c r="FH956" s="6"/>
      <c r="FI956" s="6"/>
      <c r="FJ956" s="6"/>
      <c r="FK956" s="123"/>
      <c r="FL956" s="6"/>
      <c r="FM956" s="6"/>
      <c r="FN956" s="6"/>
      <c r="FO956" s="138"/>
      <c r="FP956" s="138"/>
      <c r="FQ956" s="123"/>
      <c r="FR956" s="6"/>
      <c r="FS956" s="6"/>
      <c r="FT956" s="139"/>
      <c r="FU956" s="139"/>
      <c r="FV956" s="76"/>
      <c r="FW956" s="123"/>
      <c r="FX956" s="6"/>
    </row>
    <row r="957" spans="35:180">
      <c r="AI957" s="125"/>
      <c r="AJ957" s="16"/>
      <c r="AM957" s="16"/>
      <c r="AN957" s="16"/>
      <c r="AO957" s="125"/>
      <c r="AP957" s="16"/>
      <c r="AQ957" s="125"/>
      <c r="AZ957" s="125"/>
      <c r="BA957" s="142"/>
      <c r="BB957" s="125"/>
      <c r="BC957" s="16"/>
      <c r="BD957" s="125"/>
      <c r="BE957" s="125"/>
      <c r="BF957" s="16"/>
      <c r="BG957" s="125"/>
      <c r="BQ957" s="125"/>
      <c r="BR957" s="16"/>
      <c r="BS957" s="123"/>
      <c r="BT957" s="19"/>
      <c r="BU957" s="139"/>
      <c r="BV957" s="139"/>
      <c r="BW957" s="123"/>
      <c r="BX957" s="123"/>
      <c r="BY957" s="123"/>
      <c r="BZ957" s="123"/>
      <c r="CA957" s="123"/>
      <c r="CB957" s="123"/>
      <c r="CC957" s="6"/>
      <c r="CD957" s="123"/>
      <c r="CE957" s="6"/>
      <c r="CF957" s="123"/>
      <c r="CG957" s="6"/>
      <c r="CH957" s="6"/>
      <c r="CI957" s="6"/>
      <c r="CJ957" s="6"/>
      <c r="CK957" s="123"/>
      <c r="CL957" s="6"/>
      <c r="CM957" s="6"/>
      <c r="CN957" s="6"/>
      <c r="CO957" s="138"/>
      <c r="CP957" s="138"/>
      <c r="CQ957" s="123"/>
      <c r="CR957" s="6"/>
      <c r="CS957" s="6"/>
      <c r="CT957" s="139"/>
      <c r="CU957" s="139"/>
      <c r="CV957" s="76"/>
      <c r="CW957" s="123"/>
      <c r="CX957" s="6"/>
      <c r="DI957" s="125"/>
      <c r="DJ957" s="16"/>
      <c r="DM957" s="16"/>
      <c r="DN957" s="16"/>
      <c r="DO957" s="125"/>
      <c r="DP957" s="16"/>
      <c r="DQ957" s="125"/>
      <c r="DZ957" s="125"/>
      <c r="EA957" s="142"/>
      <c r="EB957" s="125"/>
      <c r="EC957" s="16"/>
      <c r="ED957" s="125"/>
      <c r="EE957" s="125"/>
      <c r="EF957" s="16"/>
      <c r="EG957" s="125"/>
      <c r="EQ957" s="125"/>
      <c r="ER957" s="16"/>
      <c r="ES957" s="123"/>
      <c r="ET957" s="19"/>
      <c r="EU957" s="139"/>
      <c r="EV957" s="139"/>
      <c r="EW957" s="123"/>
      <c r="EX957" s="123"/>
      <c r="EY957" s="123"/>
      <c r="EZ957" s="123"/>
      <c r="FA957" s="123"/>
      <c r="FB957" s="123"/>
      <c r="FC957" s="6"/>
      <c r="FD957" s="123"/>
      <c r="FE957" s="6"/>
      <c r="FF957" s="123"/>
      <c r="FG957" s="6"/>
      <c r="FH957" s="6"/>
      <c r="FI957" s="6"/>
      <c r="FJ957" s="6"/>
      <c r="FK957" s="123"/>
      <c r="FL957" s="6"/>
      <c r="FM957" s="6"/>
      <c r="FN957" s="6"/>
      <c r="FO957" s="138"/>
      <c r="FP957" s="138"/>
      <c r="FQ957" s="123"/>
      <c r="FR957" s="6"/>
      <c r="FS957" s="6"/>
      <c r="FT957" s="139"/>
      <c r="FU957" s="139"/>
      <c r="FV957" s="76"/>
      <c r="FW957" s="123"/>
      <c r="FX957" s="6"/>
    </row>
    <row r="958" spans="35:180">
      <c r="AI958" s="125"/>
      <c r="AJ958" s="16"/>
      <c r="AM958" s="16"/>
      <c r="AN958" s="16"/>
      <c r="AO958" s="125"/>
      <c r="AP958" s="16"/>
      <c r="AQ958" s="125"/>
      <c r="AZ958" s="125"/>
      <c r="BA958" s="142"/>
      <c r="BB958" s="125"/>
      <c r="BC958" s="16"/>
      <c r="BD958" s="125"/>
      <c r="BE958" s="125"/>
      <c r="BF958" s="16"/>
      <c r="BG958" s="125"/>
      <c r="BQ958" s="125"/>
      <c r="BR958" s="16"/>
      <c r="BS958" s="123"/>
      <c r="BT958" s="19"/>
      <c r="BU958" s="139"/>
      <c r="BV958" s="139"/>
      <c r="BW958" s="123"/>
      <c r="BX958" s="123"/>
      <c r="BY958" s="123"/>
      <c r="BZ958" s="123"/>
      <c r="CA958" s="123"/>
      <c r="CB958" s="123"/>
      <c r="CC958" s="6"/>
      <c r="CD958" s="123"/>
      <c r="CE958" s="6"/>
      <c r="CF958" s="123"/>
      <c r="CG958" s="6"/>
      <c r="CH958" s="6"/>
      <c r="CI958" s="6"/>
      <c r="CJ958" s="6"/>
      <c r="CK958" s="123"/>
      <c r="CL958" s="6"/>
      <c r="CM958" s="6"/>
      <c r="CN958" s="6"/>
      <c r="CO958" s="138"/>
      <c r="CP958" s="138"/>
      <c r="CQ958" s="123"/>
      <c r="CR958" s="6"/>
      <c r="CS958" s="6"/>
      <c r="CT958" s="139"/>
      <c r="CU958" s="139"/>
      <c r="CV958" s="76"/>
      <c r="CW958" s="123"/>
      <c r="CX958" s="6"/>
      <c r="DI958" s="125"/>
      <c r="DJ958" s="16"/>
      <c r="DM958" s="16"/>
      <c r="DN958" s="16"/>
      <c r="DO958" s="125"/>
      <c r="DP958" s="16"/>
      <c r="DQ958" s="125"/>
      <c r="DZ958" s="125"/>
      <c r="EA958" s="142"/>
      <c r="EB958" s="125"/>
      <c r="EC958" s="16"/>
      <c r="ED958" s="125"/>
      <c r="EE958" s="125"/>
      <c r="EF958" s="16"/>
      <c r="EG958" s="125"/>
      <c r="EQ958" s="125"/>
      <c r="ER958" s="16"/>
      <c r="ES958" s="123"/>
      <c r="ET958" s="19"/>
      <c r="EU958" s="139"/>
      <c r="EV958" s="139"/>
      <c r="EW958" s="123"/>
      <c r="EX958" s="123"/>
      <c r="EY958" s="123"/>
      <c r="EZ958" s="123"/>
      <c r="FA958" s="123"/>
      <c r="FB958" s="123"/>
      <c r="FC958" s="6"/>
      <c r="FD958" s="123"/>
      <c r="FE958" s="6"/>
      <c r="FF958" s="123"/>
      <c r="FG958" s="6"/>
      <c r="FH958" s="6"/>
      <c r="FI958" s="6"/>
      <c r="FJ958" s="6"/>
      <c r="FK958" s="123"/>
      <c r="FL958" s="6"/>
      <c r="FM958" s="6"/>
      <c r="FN958" s="6"/>
      <c r="FO958" s="138"/>
      <c r="FP958" s="138"/>
      <c r="FQ958" s="123"/>
      <c r="FR958" s="6"/>
      <c r="FS958" s="6"/>
      <c r="FT958" s="139"/>
      <c r="FU958" s="139"/>
      <c r="FV958" s="76"/>
      <c r="FW958" s="123"/>
      <c r="FX958" s="6"/>
    </row>
    <row r="959" spans="35:180">
      <c r="AI959" s="125"/>
      <c r="AJ959" s="16"/>
      <c r="AM959" s="16"/>
      <c r="AN959" s="16"/>
      <c r="AO959" s="125"/>
      <c r="AP959" s="16"/>
      <c r="AQ959" s="125"/>
      <c r="AZ959" s="125"/>
      <c r="BA959" s="142"/>
      <c r="BB959" s="125"/>
      <c r="BC959" s="16"/>
      <c r="BD959" s="125"/>
      <c r="BE959" s="125"/>
      <c r="BF959" s="16"/>
      <c r="BG959" s="125"/>
      <c r="BQ959" s="125"/>
      <c r="BR959" s="16"/>
      <c r="BS959" s="123"/>
      <c r="BT959" s="19"/>
      <c r="BU959" s="139"/>
      <c r="BV959" s="139"/>
      <c r="BW959" s="123"/>
      <c r="BX959" s="123"/>
      <c r="BY959" s="123"/>
      <c r="BZ959" s="123"/>
      <c r="CA959" s="123"/>
      <c r="CB959" s="123"/>
      <c r="CC959" s="6"/>
      <c r="CD959" s="123"/>
      <c r="CE959" s="6"/>
      <c r="CF959" s="123"/>
      <c r="CG959" s="6"/>
      <c r="CH959" s="6"/>
      <c r="CI959" s="6"/>
      <c r="CJ959" s="6"/>
      <c r="CK959" s="123"/>
      <c r="CL959" s="6"/>
      <c r="CM959" s="6"/>
      <c r="CN959" s="6"/>
      <c r="CO959" s="138"/>
      <c r="CP959" s="138"/>
      <c r="CQ959" s="123"/>
      <c r="CR959" s="6"/>
      <c r="CS959" s="6"/>
      <c r="CT959" s="139"/>
      <c r="CU959" s="139"/>
      <c r="CV959" s="76"/>
      <c r="CW959" s="123"/>
      <c r="CX959" s="6"/>
      <c r="DI959" s="125"/>
      <c r="DJ959" s="16"/>
      <c r="DM959" s="16"/>
      <c r="DN959" s="16"/>
      <c r="DO959" s="125"/>
      <c r="DP959" s="16"/>
      <c r="DQ959" s="125"/>
      <c r="DZ959" s="125"/>
      <c r="EA959" s="142"/>
      <c r="EB959" s="125"/>
      <c r="EC959" s="16"/>
      <c r="ED959" s="125"/>
      <c r="EE959" s="125"/>
      <c r="EF959" s="16"/>
      <c r="EG959" s="125"/>
      <c r="EQ959" s="125"/>
      <c r="ER959" s="16"/>
      <c r="ES959" s="123"/>
      <c r="ET959" s="19"/>
      <c r="EU959" s="139"/>
      <c r="EV959" s="139"/>
      <c r="EW959" s="123"/>
      <c r="EX959" s="123"/>
      <c r="EY959" s="123"/>
      <c r="EZ959" s="123"/>
      <c r="FA959" s="123"/>
      <c r="FB959" s="123"/>
      <c r="FC959" s="6"/>
      <c r="FD959" s="123"/>
      <c r="FE959" s="6"/>
      <c r="FF959" s="123"/>
      <c r="FG959" s="6"/>
      <c r="FH959" s="6"/>
      <c r="FI959" s="6"/>
      <c r="FJ959" s="6"/>
      <c r="FK959" s="123"/>
      <c r="FL959" s="6"/>
      <c r="FM959" s="6"/>
      <c r="FN959" s="6"/>
      <c r="FO959" s="138"/>
      <c r="FP959" s="138"/>
      <c r="FQ959" s="123"/>
      <c r="FR959" s="6"/>
      <c r="FS959" s="6"/>
      <c r="FT959" s="139"/>
      <c r="FU959" s="139"/>
      <c r="FV959" s="76"/>
      <c r="FW959" s="123"/>
      <c r="FX959" s="6"/>
    </row>
    <row r="960" spans="35:180">
      <c r="AI960" s="125"/>
      <c r="AJ960" s="16"/>
      <c r="AM960" s="16"/>
      <c r="AN960" s="16"/>
      <c r="AO960" s="125"/>
      <c r="AP960" s="16"/>
      <c r="AQ960" s="125"/>
      <c r="AZ960" s="125"/>
      <c r="BA960" s="142"/>
      <c r="BB960" s="125"/>
      <c r="BC960" s="16"/>
      <c r="BD960" s="125"/>
      <c r="BE960" s="125"/>
      <c r="BF960" s="16"/>
      <c r="BG960" s="125"/>
      <c r="BQ960" s="125"/>
      <c r="BR960" s="16"/>
      <c r="BS960" s="123"/>
      <c r="BT960" s="19"/>
      <c r="BU960" s="139"/>
      <c r="BV960" s="139"/>
      <c r="BW960" s="123"/>
      <c r="BX960" s="123"/>
      <c r="BY960" s="123"/>
      <c r="BZ960" s="123"/>
      <c r="CA960" s="123"/>
      <c r="CB960" s="123"/>
      <c r="CC960" s="6"/>
      <c r="CD960" s="123"/>
      <c r="CE960" s="6"/>
      <c r="CF960" s="123"/>
      <c r="CG960" s="6"/>
      <c r="CH960" s="6"/>
      <c r="CI960" s="6"/>
      <c r="CJ960" s="6"/>
      <c r="CK960" s="123"/>
      <c r="CL960" s="6"/>
      <c r="CM960" s="6"/>
      <c r="CN960" s="6"/>
      <c r="CO960" s="138"/>
      <c r="CP960" s="138"/>
      <c r="CQ960" s="123"/>
      <c r="CR960" s="6"/>
      <c r="CS960" s="6"/>
      <c r="CT960" s="139"/>
      <c r="CU960" s="139"/>
      <c r="CV960" s="76"/>
      <c r="CW960" s="123"/>
      <c r="CX960" s="6"/>
      <c r="DI960" s="125"/>
      <c r="DJ960" s="16"/>
      <c r="DM960" s="16"/>
      <c r="DN960" s="16"/>
      <c r="DO960" s="125"/>
      <c r="DP960" s="16"/>
      <c r="DQ960" s="125"/>
      <c r="DZ960" s="125"/>
      <c r="EA960" s="142"/>
      <c r="EB960" s="125"/>
      <c r="EC960" s="16"/>
      <c r="ED960" s="125"/>
      <c r="EE960" s="125"/>
      <c r="EF960" s="16"/>
      <c r="EG960" s="125"/>
      <c r="EQ960" s="125"/>
      <c r="ER960" s="16"/>
      <c r="ES960" s="123"/>
      <c r="ET960" s="19"/>
      <c r="EU960" s="139"/>
      <c r="EV960" s="139"/>
      <c r="EW960" s="123"/>
      <c r="EX960" s="123"/>
      <c r="EY960" s="123"/>
      <c r="EZ960" s="123"/>
      <c r="FA960" s="123"/>
      <c r="FB960" s="123"/>
      <c r="FC960" s="6"/>
      <c r="FD960" s="123"/>
      <c r="FE960" s="6"/>
      <c r="FF960" s="123"/>
      <c r="FG960" s="6"/>
      <c r="FH960" s="6"/>
      <c r="FI960" s="6"/>
      <c r="FJ960" s="6"/>
      <c r="FK960" s="123"/>
      <c r="FL960" s="6"/>
      <c r="FM960" s="6"/>
      <c r="FN960" s="6"/>
      <c r="FO960" s="138"/>
      <c r="FP960" s="138"/>
      <c r="FQ960" s="123"/>
      <c r="FR960" s="6"/>
      <c r="FS960" s="6"/>
      <c r="FT960" s="139"/>
      <c r="FU960" s="139"/>
      <c r="FV960" s="76"/>
      <c r="FW960" s="123"/>
      <c r="FX960" s="6"/>
    </row>
    <row r="961" spans="35:180">
      <c r="AI961" s="125"/>
      <c r="AJ961" s="16"/>
      <c r="AM961" s="16"/>
      <c r="AN961" s="16"/>
      <c r="AO961" s="125"/>
      <c r="AP961" s="16"/>
      <c r="AQ961" s="125"/>
      <c r="AZ961" s="125"/>
      <c r="BA961" s="142"/>
      <c r="BB961" s="125"/>
      <c r="BC961" s="16"/>
      <c r="BD961" s="125"/>
      <c r="BE961" s="125"/>
      <c r="BF961" s="16"/>
      <c r="BG961" s="125"/>
      <c r="BQ961" s="125"/>
      <c r="BR961" s="16"/>
      <c r="BS961" s="123"/>
      <c r="BT961" s="19"/>
      <c r="BU961" s="139"/>
      <c r="BV961" s="139"/>
      <c r="BW961" s="123"/>
      <c r="BX961" s="123"/>
      <c r="BY961" s="123"/>
      <c r="BZ961" s="123"/>
      <c r="CA961" s="123"/>
      <c r="CB961" s="123"/>
      <c r="CC961" s="6"/>
      <c r="CD961" s="123"/>
      <c r="CE961" s="6"/>
      <c r="CF961" s="123"/>
      <c r="CG961" s="6"/>
      <c r="CH961" s="6"/>
      <c r="CI961" s="6"/>
      <c r="CJ961" s="6"/>
      <c r="CK961" s="123"/>
      <c r="CL961" s="6"/>
      <c r="CM961" s="6"/>
      <c r="CN961" s="6"/>
      <c r="CO961" s="138"/>
      <c r="CP961" s="138"/>
      <c r="CQ961" s="123"/>
      <c r="CR961" s="6"/>
      <c r="CS961" s="6"/>
      <c r="CT961" s="139"/>
      <c r="CU961" s="139"/>
      <c r="CV961" s="76"/>
      <c r="CW961" s="123"/>
      <c r="CX961" s="6"/>
      <c r="DI961" s="125"/>
      <c r="DJ961" s="16"/>
      <c r="DM961" s="16"/>
      <c r="DN961" s="16"/>
      <c r="DO961" s="125"/>
      <c r="DP961" s="16"/>
      <c r="DQ961" s="125"/>
      <c r="DZ961" s="125"/>
      <c r="EA961" s="142"/>
      <c r="EB961" s="125"/>
      <c r="EC961" s="16"/>
      <c r="ED961" s="125"/>
      <c r="EE961" s="125"/>
      <c r="EF961" s="16"/>
      <c r="EG961" s="125"/>
      <c r="EQ961" s="125"/>
      <c r="ER961" s="16"/>
      <c r="ES961" s="123"/>
      <c r="ET961" s="19"/>
      <c r="EU961" s="139"/>
      <c r="EV961" s="139"/>
      <c r="EW961" s="123"/>
      <c r="EX961" s="123"/>
      <c r="EY961" s="123"/>
      <c r="EZ961" s="123"/>
      <c r="FA961" s="123"/>
      <c r="FB961" s="123"/>
      <c r="FC961" s="6"/>
      <c r="FD961" s="123"/>
      <c r="FE961" s="6"/>
      <c r="FF961" s="123"/>
      <c r="FG961" s="6"/>
      <c r="FH961" s="6"/>
      <c r="FI961" s="6"/>
      <c r="FJ961" s="6"/>
      <c r="FK961" s="123"/>
      <c r="FL961" s="6"/>
      <c r="FM961" s="6"/>
      <c r="FN961" s="6"/>
      <c r="FO961" s="138"/>
      <c r="FP961" s="138"/>
      <c r="FQ961" s="123"/>
      <c r="FR961" s="6"/>
      <c r="FS961" s="6"/>
      <c r="FT961" s="139"/>
      <c r="FU961" s="139"/>
      <c r="FV961" s="76"/>
      <c r="FW961" s="123"/>
      <c r="FX961" s="6"/>
    </row>
    <row r="962" spans="35:180">
      <c r="AI962" s="125"/>
      <c r="AJ962" s="16"/>
      <c r="AM962" s="16"/>
      <c r="AN962" s="16"/>
      <c r="AO962" s="125"/>
      <c r="AP962" s="16"/>
      <c r="AQ962" s="125"/>
      <c r="AZ962" s="125"/>
      <c r="BA962" s="142"/>
      <c r="BB962" s="125"/>
      <c r="BC962" s="16"/>
      <c r="BD962" s="125"/>
      <c r="BE962" s="125"/>
      <c r="BF962" s="16"/>
      <c r="BG962" s="125"/>
      <c r="BQ962" s="125"/>
      <c r="BR962" s="16"/>
      <c r="BS962" s="123"/>
      <c r="BT962" s="19"/>
      <c r="BU962" s="139"/>
      <c r="BV962" s="139"/>
      <c r="BW962" s="123"/>
      <c r="BX962" s="123"/>
      <c r="BY962" s="123"/>
      <c r="BZ962" s="123"/>
      <c r="CA962" s="123"/>
      <c r="CB962" s="123"/>
      <c r="CC962" s="6"/>
      <c r="CD962" s="123"/>
      <c r="CE962" s="6"/>
      <c r="CF962" s="123"/>
      <c r="CG962" s="6"/>
      <c r="CH962" s="6"/>
      <c r="CI962" s="6"/>
      <c r="CJ962" s="6"/>
      <c r="CK962" s="123"/>
      <c r="CL962" s="6"/>
      <c r="CM962" s="6"/>
      <c r="CN962" s="6"/>
      <c r="CO962" s="138"/>
      <c r="CP962" s="138"/>
      <c r="CQ962" s="123"/>
      <c r="CR962" s="6"/>
      <c r="CS962" s="6"/>
      <c r="CT962" s="139"/>
      <c r="CU962" s="139"/>
      <c r="CV962" s="76"/>
      <c r="CW962" s="123"/>
      <c r="CX962" s="6"/>
      <c r="DI962" s="125"/>
      <c r="DJ962" s="16"/>
      <c r="DM962" s="16"/>
      <c r="DN962" s="16"/>
      <c r="DO962" s="125"/>
      <c r="DP962" s="16"/>
      <c r="DQ962" s="125"/>
      <c r="DZ962" s="125"/>
      <c r="EA962" s="142"/>
      <c r="EB962" s="125"/>
      <c r="EC962" s="16"/>
      <c r="ED962" s="125"/>
      <c r="EE962" s="125"/>
      <c r="EF962" s="16"/>
      <c r="EG962" s="125"/>
      <c r="EQ962" s="125"/>
      <c r="ER962" s="16"/>
      <c r="ES962" s="123"/>
      <c r="ET962" s="19"/>
      <c r="EU962" s="139"/>
      <c r="EV962" s="139"/>
      <c r="EW962" s="123"/>
      <c r="EX962" s="123"/>
      <c r="EY962" s="123"/>
      <c r="EZ962" s="123"/>
      <c r="FA962" s="123"/>
      <c r="FB962" s="123"/>
      <c r="FC962" s="6"/>
      <c r="FD962" s="123"/>
      <c r="FE962" s="6"/>
      <c r="FF962" s="123"/>
      <c r="FG962" s="6"/>
      <c r="FH962" s="6"/>
      <c r="FI962" s="6"/>
      <c r="FJ962" s="6"/>
      <c r="FK962" s="123"/>
      <c r="FL962" s="6"/>
      <c r="FM962" s="6"/>
      <c r="FN962" s="6"/>
      <c r="FO962" s="138"/>
      <c r="FP962" s="138"/>
      <c r="FQ962" s="123"/>
      <c r="FR962" s="6"/>
      <c r="FS962" s="6"/>
      <c r="FT962" s="139"/>
      <c r="FU962" s="139"/>
      <c r="FV962" s="76"/>
      <c r="FW962" s="123"/>
      <c r="FX962" s="6"/>
    </row>
    <row r="963" spans="35:180">
      <c r="AI963" s="125"/>
      <c r="AJ963" s="16"/>
      <c r="AM963" s="16"/>
      <c r="AN963" s="16"/>
      <c r="AO963" s="125"/>
      <c r="AP963" s="16"/>
      <c r="AQ963" s="125"/>
      <c r="AZ963" s="125"/>
      <c r="BA963" s="142"/>
      <c r="BB963" s="125"/>
      <c r="BC963" s="16"/>
      <c r="BD963" s="125"/>
      <c r="BE963" s="125"/>
      <c r="BF963" s="16"/>
      <c r="BG963" s="125"/>
      <c r="BQ963" s="125"/>
      <c r="BR963" s="16"/>
      <c r="BS963" s="123"/>
      <c r="BT963" s="19"/>
      <c r="BU963" s="139"/>
      <c r="BV963" s="139"/>
      <c r="BW963" s="123"/>
      <c r="BX963" s="123"/>
      <c r="BY963" s="123"/>
      <c r="BZ963" s="123"/>
      <c r="CA963" s="123"/>
      <c r="CB963" s="123"/>
      <c r="CC963" s="6"/>
      <c r="CD963" s="123"/>
      <c r="CE963" s="6"/>
      <c r="CF963" s="123"/>
      <c r="CG963" s="6"/>
      <c r="CH963" s="6"/>
      <c r="CI963" s="6"/>
      <c r="CJ963" s="6"/>
      <c r="CK963" s="123"/>
      <c r="CL963" s="6"/>
      <c r="CM963" s="6"/>
      <c r="CN963" s="6"/>
      <c r="CO963" s="138"/>
      <c r="CP963" s="138"/>
      <c r="CQ963" s="123"/>
      <c r="CR963" s="6"/>
      <c r="CS963" s="6"/>
      <c r="CT963" s="139"/>
      <c r="CU963" s="139"/>
      <c r="CV963" s="76"/>
      <c r="CW963" s="123"/>
      <c r="CX963" s="6"/>
      <c r="DI963" s="125"/>
      <c r="DJ963" s="16"/>
      <c r="DM963" s="16"/>
      <c r="DN963" s="16"/>
      <c r="DO963" s="125"/>
      <c r="DP963" s="16"/>
      <c r="DQ963" s="125"/>
      <c r="DZ963" s="125"/>
      <c r="EA963" s="142"/>
      <c r="EB963" s="125"/>
      <c r="EC963" s="16"/>
      <c r="ED963" s="125"/>
      <c r="EE963" s="125"/>
      <c r="EF963" s="16"/>
      <c r="EG963" s="125"/>
      <c r="EQ963" s="125"/>
      <c r="ER963" s="16"/>
      <c r="ES963" s="123"/>
      <c r="ET963" s="19"/>
      <c r="EU963" s="139"/>
      <c r="EV963" s="139"/>
      <c r="EW963" s="123"/>
      <c r="EX963" s="123"/>
      <c r="EY963" s="123"/>
      <c r="EZ963" s="123"/>
      <c r="FA963" s="123"/>
      <c r="FB963" s="123"/>
      <c r="FC963" s="6"/>
      <c r="FD963" s="123"/>
      <c r="FE963" s="6"/>
      <c r="FF963" s="123"/>
      <c r="FG963" s="6"/>
      <c r="FH963" s="6"/>
      <c r="FI963" s="6"/>
      <c r="FJ963" s="6"/>
      <c r="FK963" s="123"/>
      <c r="FL963" s="6"/>
      <c r="FM963" s="6"/>
      <c r="FN963" s="6"/>
      <c r="FO963" s="138"/>
      <c r="FP963" s="138"/>
      <c r="FQ963" s="123"/>
      <c r="FR963" s="6"/>
      <c r="FS963" s="6"/>
      <c r="FT963" s="139"/>
      <c r="FU963" s="139"/>
      <c r="FV963" s="76"/>
      <c r="FW963" s="123"/>
      <c r="FX963" s="6"/>
    </row>
    <row r="964" spans="35:180">
      <c r="AI964" s="125"/>
      <c r="AJ964" s="16"/>
      <c r="AM964" s="16"/>
      <c r="AN964" s="16"/>
      <c r="AO964" s="125"/>
      <c r="AP964" s="16"/>
      <c r="AQ964" s="125"/>
      <c r="AZ964" s="125"/>
      <c r="BA964" s="142"/>
      <c r="BB964" s="125"/>
      <c r="BC964" s="16"/>
      <c r="BD964" s="125"/>
      <c r="BE964" s="125"/>
      <c r="BF964" s="16"/>
      <c r="BG964" s="125"/>
      <c r="BQ964" s="125"/>
      <c r="BR964" s="16"/>
      <c r="BS964" s="123"/>
      <c r="BT964" s="19"/>
      <c r="BU964" s="139"/>
      <c r="BV964" s="139"/>
      <c r="BW964" s="123"/>
      <c r="BX964" s="123"/>
      <c r="BY964" s="123"/>
      <c r="BZ964" s="123"/>
      <c r="CA964" s="123"/>
      <c r="CB964" s="123"/>
      <c r="CC964" s="6"/>
      <c r="CD964" s="123"/>
      <c r="CE964" s="6"/>
      <c r="CF964" s="123"/>
      <c r="CG964" s="6"/>
      <c r="CH964" s="6"/>
      <c r="CI964" s="6"/>
      <c r="CJ964" s="6"/>
      <c r="CK964" s="123"/>
      <c r="CL964" s="6"/>
      <c r="CM964" s="6"/>
      <c r="CN964" s="6"/>
      <c r="CO964" s="138"/>
      <c r="CP964" s="138"/>
      <c r="CQ964" s="123"/>
      <c r="CR964" s="6"/>
      <c r="CS964" s="6"/>
      <c r="CT964" s="139"/>
      <c r="CU964" s="139"/>
      <c r="CV964" s="76"/>
      <c r="CW964" s="123"/>
      <c r="CX964" s="6"/>
      <c r="DI964" s="125"/>
      <c r="DJ964" s="16"/>
      <c r="DM964" s="16"/>
      <c r="DN964" s="16"/>
      <c r="DO964" s="125"/>
      <c r="DP964" s="16"/>
      <c r="DQ964" s="125"/>
      <c r="DZ964" s="125"/>
      <c r="EA964" s="142"/>
      <c r="EB964" s="125"/>
      <c r="EC964" s="16"/>
      <c r="ED964" s="125"/>
      <c r="EE964" s="125"/>
      <c r="EF964" s="16"/>
      <c r="EG964" s="125"/>
      <c r="EQ964" s="125"/>
      <c r="ER964" s="16"/>
      <c r="ES964" s="123"/>
      <c r="ET964" s="19"/>
      <c r="EU964" s="139"/>
      <c r="EV964" s="139"/>
      <c r="EW964" s="123"/>
      <c r="EX964" s="123"/>
      <c r="EY964" s="123"/>
      <c r="EZ964" s="123"/>
      <c r="FA964" s="123"/>
      <c r="FB964" s="123"/>
      <c r="FC964" s="6"/>
      <c r="FD964" s="123"/>
      <c r="FE964" s="6"/>
      <c r="FF964" s="123"/>
      <c r="FG964" s="6"/>
      <c r="FH964" s="6"/>
      <c r="FI964" s="6"/>
      <c r="FJ964" s="6"/>
      <c r="FK964" s="123"/>
      <c r="FL964" s="6"/>
      <c r="FM964" s="6"/>
      <c r="FN964" s="6"/>
      <c r="FO964" s="138"/>
      <c r="FP964" s="138"/>
      <c r="FQ964" s="123"/>
      <c r="FR964" s="6"/>
      <c r="FS964" s="6"/>
      <c r="FT964" s="139"/>
      <c r="FU964" s="139"/>
      <c r="FV964" s="76"/>
      <c r="FW964" s="123"/>
      <c r="FX964" s="6"/>
    </row>
    <row r="965" spans="35:180">
      <c r="AI965" s="125"/>
      <c r="AJ965" s="16"/>
      <c r="AM965" s="16"/>
      <c r="AN965" s="16"/>
      <c r="AO965" s="125"/>
      <c r="AP965" s="16"/>
      <c r="AQ965" s="125"/>
      <c r="AZ965" s="125"/>
      <c r="BA965" s="142"/>
      <c r="BB965" s="125"/>
      <c r="BC965" s="16"/>
      <c r="BD965" s="125"/>
      <c r="BE965" s="125"/>
      <c r="BF965" s="16"/>
      <c r="BG965" s="125"/>
      <c r="BQ965" s="125"/>
      <c r="BR965" s="16"/>
      <c r="BS965" s="123"/>
      <c r="BT965" s="19"/>
      <c r="BU965" s="139"/>
      <c r="BV965" s="139"/>
      <c r="BW965" s="123"/>
      <c r="BX965" s="123"/>
      <c r="BY965" s="123"/>
      <c r="BZ965" s="123"/>
      <c r="CA965" s="123"/>
      <c r="CB965" s="123"/>
      <c r="CC965" s="6"/>
      <c r="CD965" s="123"/>
      <c r="CE965" s="6"/>
      <c r="CF965" s="123"/>
      <c r="CG965" s="6"/>
      <c r="CH965" s="6"/>
      <c r="CI965" s="6"/>
      <c r="CJ965" s="6"/>
      <c r="CK965" s="123"/>
      <c r="CL965" s="6"/>
      <c r="CM965" s="6"/>
      <c r="CN965" s="6"/>
      <c r="CO965" s="138"/>
      <c r="CP965" s="138"/>
      <c r="CQ965" s="123"/>
      <c r="CR965" s="6"/>
      <c r="CS965" s="6"/>
      <c r="CT965" s="139"/>
      <c r="CU965" s="139"/>
      <c r="CV965" s="76"/>
      <c r="CW965" s="123"/>
      <c r="CX965" s="6"/>
      <c r="DI965" s="125"/>
      <c r="DJ965" s="16"/>
      <c r="DM965" s="16"/>
      <c r="DN965" s="16"/>
      <c r="DO965" s="125"/>
      <c r="DP965" s="16"/>
      <c r="DQ965" s="125"/>
      <c r="DZ965" s="125"/>
      <c r="EA965" s="142"/>
      <c r="EB965" s="125"/>
      <c r="EC965" s="16"/>
      <c r="ED965" s="125"/>
      <c r="EE965" s="125"/>
      <c r="EF965" s="16"/>
      <c r="EG965" s="125"/>
      <c r="EQ965" s="125"/>
      <c r="ER965" s="16"/>
      <c r="ES965" s="123"/>
      <c r="ET965" s="19"/>
      <c r="EU965" s="139"/>
      <c r="EV965" s="139"/>
      <c r="EW965" s="123"/>
      <c r="EX965" s="123"/>
      <c r="EY965" s="123"/>
      <c r="EZ965" s="123"/>
      <c r="FA965" s="123"/>
      <c r="FB965" s="123"/>
      <c r="FC965" s="6"/>
      <c r="FD965" s="123"/>
      <c r="FE965" s="6"/>
      <c r="FF965" s="123"/>
      <c r="FG965" s="6"/>
      <c r="FH965" s="6"/>
      <c r="FI965" s="6"/>
      <c r="FJ965" s="6"/>
      <c r="FK965" s="123"/>
      <c r="FL965" s="6"/>
      <c r="FM965" s="6"/>
      <c r="FN965" s="6"/>
      <c r="FO965" s="138"/>
      <c r="FP965" s="138"/>
      <c r="FQ965" s="123"/>
      <c r="FR965" s="6"/>
      <c r="FS965" s="6"/>
      <c r="FT965" s="139"/>
      <c r="FU965" s="139"/>
      <c r="FV965" s="76"/>
      <c r="FW965" s="123"/>
      <c r="FX965" s="6"/>
    </row>
    <row r="966" spans="35:180">
      <c r="AI966" s="125"/>
      <c r="AJ966" s="16"/>
      <c r="AM966" s="16"/>
      <c r="AN966" s="16"/>
      <c r="AO966" s="125"/>
      <c r="AP966" s="16"/>
      <c r="AQ966" s="125"/>
      <c r="AZ966" s="125"/>
      <c r="BA966" s="142"/>
      <c r="BB966" s="125"/>
      <c r="BC966" s="16"/>
      <c r="BD966" s="125"/>
      <c r="BE966" s="125"/>
      <c r="BF966" s="16"/>
      <c r="BG966" s="125"/>
      <c r="BQ966" s="125"/>
      <c r="BR966" s="16"/>
      <c r="BS966" s="123"/>
      <c r="BT966" s="19"/>
      <c r="BU966" s="139"/>
      <c r="BV966" s="139"/>
      <c r="BW966" s="123"/>
      <c r="BX966" s="123"/>
      <c r="BY966" s="123"/>
      <c r="BZ966" s="123"/>
      <c r="CA966" s="123"/>
      <c r="CB966" s="123"/>
      <c r="CC966" s="6"/>
      <c r="CD966" s="123"/>
      <c r="CE966" s="6"/>
      <c r="CF966" s="123"/>
      <c r="CG966" s="6"/>
      <c r="CH966" s="6"/>
      <c r="CI966" s="6"/>
      <c r="CJ966" s="6"/>
      <c r="CK966" s="123"/>
      <c r="CL966" s="6"/>
      <c r="CM966" s="6"/>
      <c r="CN966" s="6"/>
      <c r="CO966" s="138"/>
      <c r="CP966" s="138"/>
      <c r="CQ966" s="123"/>
      <c r="CR966" s="6"/>
      <c r="CS966" s="6"/>
      <c r="CT966" s="139"/>
      <c r="CU966" s="139"/>
      <c r="CV966" s="76"/>
      <c r="CW966" s="123"/>
      <c r="CX966" s="6"/>
      <c r="DI966" s="125"/>
      <c r="DJ966" s="16"/>
      <c r="DM966" s="16"/>
      <c r="DN966" s="16"/>
      <c r="DO966" s="125"/>
      <c r="DP966" s="16"/>
      <c r="DQ966" s="125"/>
      <c r="DZ966" s="125"/>
      <c r="EA966" s="142"/>
      <c r="EB966" s="125"/>
      <c r="EC966" s="16"/>
      <c r="ED966" s="125"/>
      <c r="EE966" s="125"/>
      <c r="EF966" s="16"/>
      <c r="EG966" s="125"/>
      <c r="EQ966" s="125"/>
      <c r="ER966" s="16"/>
      <c r="ES966" s="123"/>
      <c r="ET966" s="19"/>
      <c r="EU966" s="139"/>
      <c r="EV966" s="139"/>
      <c r="EW966" s="123"/>
      <c r="EX966" s="123"/>
      <c r="EY966" s="123"/>
      <c r="EZ966" s="123"/>
      <c r="FA966" s="123"/>
      <c r="FB966" s="123"/>
      <c r="FC966" s="6"/>
      <c r="FD966" s="123"/>
      <c r="FE966" s="6"/>
      <c r="FF966" s="123"/>
      <c r="FG966" s="6"/>
      <c r="FH966" s="6"/>
      <c r="FI966" s="6"/>
      <c r="FJ966" s="6"/>
      <c r="FK966" s="123"/>
      <c r="FL966" s="6"/>
      <c r="FM966" s="6"/>
      <c r="FN966" s="6"/>
      <c r="FO966" s="138"/>
      <c r="FP966" s="138"/>
      <c r="FQ966" s="123"/>
      <c r="FR966" s="6"/>
      <c r="FS966" s="6"/>
      <c r="FT966" s="139"/>
      <c r="FU966" s="139"/>
      <c r="FV966" s="76"/>
      <c r="FW966" s="123"/>
      <c r="FX966" s="6"/>
    </row>
    <row r="967" spans="35:180">
      <c r="AI967" s="125"/>
      <c r="AJ967" s="16"/>
      <c r="AM967" s="16"/>
      <c r="AN967" s="16"/>
      <c r="AO967" s="125"/>
      <c r="AP967" s="16"/>
      <c r="AQ967" s="125"/>
      <c r="AZ967" s="125"/>
      <c r="BA967" s="142"/>
      <c r="BB967" s="125"/>
      <c r="BC967" s="16"/>
      <c r="BD967" s="125"/>
      <c r="BE967" s="125"/>
      <c r="BF967" s="16"/>
      <c r="BG967" s="125"/>
      <c r="BQ967" s="125"/>
      <c r="BR967" s="16"/>
      <c r="BS967" s="123"/>
      <c r="BT967" s="19"/>
      <c r="BU967" s="139"/>
      <c r="BV967" s="139"/>
      <c r="BW967" s="123"/>
      <c r="BX967" s="123"/>
      <c r="BY967" s="123"/>
      <c r="BZ967" s="123"/>
      <c r="CA967" s="123"/>
      <c r="CB967" s="123"/>
      <c r="CC967" s="6"/>
      <c r="CD967" s="123"/>
      <c r="CE967" s="6"/>
      <c r="CF967" s="123"/>
      <c r="CG967" s="6"/>
      <c r="CH967" s="6"/>
      <c r="CI967" s="6"/>
      <c r="CJ967" s="6"/>
      <c r="CK967" s="123"/>
      <c r="CL967" s="6"/>
      <c r="CM967" s="6"/>
      <c r="CN967" s="6"/>
      <c r="CO967" s="138"/>
      <c r="CP967" s="138"/>
      <c r="CQ967" s="123"/>
      <c r="CR967" s="6"/>
      <c r="CS967" s="6"/>
      <c r="CT967" s="139"/>
      <c r="CU967" s="139"/>
      <c r="CV967" s="76"/>
      <c r="CW967" s="123"/>
      <c r="CX967" s="6"/>
      <c r="DI967" s="125"/>
      <c r="DJ967" s="16"/>
      <c r="DM967" s="16"/>
      <c r="DN967" s="16"/>
      <c r="DO967" s="125"/>
      <c r="DP967" s="16"/>
      <c r="DQ967" s="125"/>
      <c r="DZ967" s="125"/>
      <c r="EA967" s="142"/>
      <c r="EB967" s="125"/>
      <c r="EC967" s="16"/>
      <c r="ED967" s="125"/>
      <c r="EE967" s="125"/>
      <c r="EF967" s="16"/>
      <c r="EG967" s="125"/>
      <c r="EQ967" s="125"/>
      <c r="ER967" s="16"/>
      <c r="ES967" s="123"/>
      <c r="ET967" s="19"/>
      <c r="EU967" s="139"/>
      <c r="EV967" s="139"/>
      <c r="EW967" s="123"/>
      <c r="EX967" s="123"/>
      <c r="EY967" s="123"/>
      <c r="EZ967" s="123"/>
      <c r="FA967" s="123"/>
      <c r="FB967" s="123"/>
      <c r="FC967" s="6"/>
      <c r="FD967" s="123"/>
      <c r="FE967" s="6"/>
      <c r="FF967" s="123"/>
      <c r="FG967" s="6"/>
      <c r="FH967" s="6"/>
      <c r="FI967" s="6"/>
      <c r="FJ967" s="6"/>
      <c r="FK967" s="123"/>
      <c r="FL967" s="6"/>
      <c r="FM967" s="6"/>
      <c r="FN967" s="6"/>
      <c r="FO967" s="138"/>
      <c r="FP967" s="138"/>
      <c r="FQ967" s="123"/>
      <c r="FR967" s="6"/>
      <c r="FS967" s="6"/>
      <c r="FT967" s="139"/>
      <c r="FU967" s="139"/>
      <c r="FV967" s="76"/>
      <c r="FW967" s="123"/>
      <c r="FX967" s="6"/>
    </row>
    <row r="968" spans="35:180">
      <c r="AI968" s="125"/>
      <c r="AJ968" s="16"/>
      <c r="AM968" s="16"/>
      <c r="AN968" s="16"/>
      <c r="AO968" s="125"/>
      <c r="AP968" s="16"/>
      <c r="AQ968" s="125"/>
      <c r="AZ968" s="125"/>
      <c r="BA968" s="142"/>
      <c r="BB968" s="125"/>
      <c r="BC968" s="16"/>
      <c r="BD968" s="125"/>
      <c r="BE968" s="125"/>
      <c r="BF968" s="16"/>
      <c r="BG968" s="125"/>
      <c r="BQ968" s="125"/>
      <c r="BR968" s="16"/>
      <c r="BS968" s="123"/>
      <c r="BT968" s="19"/>
      <c r="BU968" s="139"/>
      <c r="BV968" s="139"/>
      <c r="BW968" s="123"/>
      <c r="BX968" s="123"/>
      <c r="BY968" s="123"/>
      <c r="BZ968" s="123"/>
      <c r="CA968" s="123"/>
      <c r="CB968" s="123"/>
      <c r="CC968" s="6"/>
      <c r="CD968" s="123"/>
      <c r="CE968" s="6"/>
      <c r="CF968" s="123"/>
      <c r="CG968" s="6"/>
      <c r="CH968" s="6"/>
      <c r="CI968" s="6"/>
      <c r="CJ968" s="6"/>
      <c r="CK968" s="123"/>
      <c r="CL968" s="6"/>
      <c r="CM968" s="6"/>
      <c r="CN968" s="6"/>
      <c r="CO968" s="138"/>
      <c r="CP968" s="138"/>
      <c r="CQ968" s="123"/>
      <c r="CR968" s="6"/>
      <c r="CS968" s="6"/>
      <c r="CT968" s="139"/>
      <c r="CU968" s="139"/>
      <c r="CV968" s="76"/>
      <c r="CW968" s="123"/>
      <c r="CX968" s="6"/>
      <c r="DI968" s="125"/>
      <c r="DJ968" s="16"/>
      <c r="DM968" s="16"/>
      <c r="DN968" s="16"/>
      <c r="DO968" s="125"/>
      <c r="DP968" s="16"/>
      <c r="DQ968" s="125"/>
      <c r="DZ968" s="125"/>
      <c r="EA968" s="142"/>
      <c r="EB968" s="125"/>
      <c r="EC968" s="16"/>
      <c r="ED968" s="125"/>
      <c r="EE968" s="125"/>
      <c r="EF968" s="16"/>
      <c r="EG968" s="125"/>
      <c r="EQ968" s="125"/>
      <c r="ER968" s="16"/>
      <c r="ES968" s="123"/>
      <c r="ET968" s="19"/>
      <c r="EU968" s="139"/>
      <c r="EV968" s="139"/>
      <c r="EW968" s="123"/>
      <c r="EX968" s="123"/>
      <c r="EY968" s="123"/>
      <c r="EZ968" s="123"/>
      <c r="FA968" s="123"/>
      <c r="FB968" s="123"/>
      <c r="FC968" s="6"/>
      <c r="FD968" s="123"/>
      <c r="FE968" s="6"/>
      <c r="FF968" s="123"/>
      <c r="FG968" s="6"/>
      <c r="FH968" s="6"/>
      <c r="FI968" s="6"/>
      <c r="FJ968" s="6"/>
      <c r="FK968" s="123"/>
      <c r="FL968" s="6"/>
      <c r="FM968" s="6"/>
      <c r="FN968" s="6"/>
      <c r="FO968" s="138"/>
      <c r="FP968" s="138"/>
      <c r="FQ968" s="123"/>
      <c r="FR968" s="6"/>
      <c r="FS968" s="6"/>
      <c r="FT968" s="139"/>
      <c r="FU968" s="139"/>
      <c r="FV968" s="76"/>
      <c r="FW968" s="123"/>
      <c r="FX968" s="6"/>
    </row>
    <row r="969" spans="35:180">
      <c r="AI969" s="125"/>
      <c r="AJ969" s="16"/>
      <c r="AM969" s="16"/>
      <c r="AN969" s="16"/>
      <c r="AO969" s="125"/>
      <c r="AP969" s="16"/>
      <c r="AQ969" s="125"/>
      <c r="AZ969" s="125"/>
      <c r="BA969" s="142"/>
      <c r="BB969" s="125"/>
      <c r="BC969" s="16"/>
      <c r="BD969" s="125"/>
      <c r="BE969" s="125"/>
      <c r="BF969" s="16"/>
      <c r="BG969" s="125"/>
      <c r="BQ969" s="125"/>
      <c r="BR969" s="16"/>
      <c r="BS969" s="123"/>
      <c r="BT969" s="19"/>
      <c r="BU969" s="139"/>
      <c r="BV969" s="139"/>
      <c r="BW969" s="123"/>
      <c r="BX969" s="123"/>
      <c r="BY969" s="123"/>
      <c r="BZ969" s="123"/>
      <c r="CA969" s="123"/>
      <c r="CB969" s="123"/>
      <c r="CC969" s="6"/>
      <c r="CD969" s="123"/>
      <c r="CE969" s="6"/>
      <c r="CF969" s="123"/>
      <c r="CG969" s="6"/>
      <c r="CH969" s="6"/>
      <c r="CI969" s="6"/>
      <c r="CJ969" s="6"/>
      <c r="CK969" s="123"/>
      <c r="CL969" s="6"/>
      <c r="CM969" s="6"/>
      <c r="CN969" s="6"/>
      <c r="CO969" s="138"/>
      <c r="CP969" s="138"/>
      <c r="CQ969" s="123"/>
      <c r="CR969" s="6"/>
      <c r="CS969" s="6"/>
      <c r="CT969" s="139"/>
      <c r="CU969" s="139"/>
      <c r="CV969" s="76"/>
      <c r="CW969" s="123"/>
      <c r="CX969" s="6"/>
      <c r="DI969" s="125"/>
      <c r="DJ969" s="16"/>
      <c r="DM969" s="16"/>
      <c r="DN969" s="16"/>
      <c r="DO969" s="125"/>
      <c r="DP969" s="16"/>
      <c r="DQ969" s="125"/>
      <c r="DZ969" s="125"/>
      <c r="EA969" s="142"/>
      <c r="EB969" s="125"/>
      <c r="EC969" s="16"/>
      <c r="ED969" s="125"/>
      <c r="EE969" s="125"/>
      <c r="EF969" s="16"/>
      <c r="EG969" s="125"/>
      <c r="EQ969" s="125"/>
      <c r="ER969" s="16"/>
      <c r="ES969" s="123"/>
      <c r="ET969" s="19"/>
      <c r="EU969" s="139"/>
      <c r="EV969" s="139"/>
      <c r="EW969" s="123"/>
      <c r="EX969" s="123"/>
      <c r="EY969" s="123"/>
      <c r="EZ969" s="123"/>
      <c r="FA969" s="123"/>
      <c r="FB969" s="123"/>
      <c r="FC969" s="6"/>
      <c r="FD969" s="123"/>
      <c r="FE969" s="6"/>
      <c r="FF969" s="123"/>
      <c r="FG969" s="6"/>
      <c r="FH969" s="6"/>
      <c r="FI969" s="6"/>
      <c r="FJ969" s="6"/>
      <c r="FK969" s="123"/>
      <c r="FL969" s="6"/>
      <c r="FM969" s="6"/>
      <c r="FN969" s="6"/>
      <c r="FO969" s="138"/>
      <c r="FP969" s="138"/>
      <c r="FQ969" s="123"/>
      <c r="FR969" s="6"/>
      <c r="FS969" s="6"/>
      <c r="FT969" s="139"/>
      <c r="FU969" s="139"/>
      <c r="FV969" s="76"/>
      <c r="FW969" s="123"/>
      <c r="FX969" s="6"/>
    </row>
    <row r="970" spans="35:180">
      <c r="AI970" s="125"/>
      <c r="AJ970" s="16"/>
      <c r="AM970" s="16"/>
      <c r="AN970" s="16"/>
      <c r="AO970" s="125"/>
      <c r="AP970" s="16"/>
      <c r="AQ970" s="125"/>
      <c r="AZ970" s="125"/>
      <c r="BA970" s="142"/>
      <c r="BB970" s="125"/>
      <c r="BC970" s="16"/>
      <c r="BD970" s="125"/>
      <c r="BE970" s="125"/>
      <c r="BF970" s="16"/>
      <c r="BG970" s="125"/>
      <c r="BQ970" s="125"/>
      <c r="BR970" s="16"/>
      <c r="BS970" s="123"/>
      <c r="BT970" s="19"/>
      <c r="BU970" s="139"/>
      <c r="BV970" s="139"/>
      <c r="BW970" s="123"/>
      <c r="BX970" s="123"/>
      <c r="BY970" s="123"/>
      <c r="BZ970" s="123"/>
      <c r="CA970" s="123"/>
      <c r="CB970" s="123"/>
      <c r="CC970" s="6"/>
      <c r="CD970" s="123"/>
      <c r="CE970" s="6"/>
      <c r="CF970" s="123"/>
      <c r="CG970" s="6"/>
      <c r="CH970" s="6"/>
      <c r="CI970" s="6"/>
      <c r="CJ970" s="6"/>
      <c r="CK970" s="123"/>
      <c r="CL970" s="6"/>
      <c r="CM970" s="6"/>
      <c r="CN970" s="6"/>
      <c r="CO970" s="138"/>
      <c r="CP970" s="138"/>
      <c r="CQ970" s="123"/>
      <c r="CR970" s="6"/>
      <c r="CS970" s="6"/>
      <c r="CT970" s="139"/>
      <c r="CU970" s="139"/>
      <c r="CV970" s="76"/>
      <c r="CW970" s="123"/>
      <c r="CX970" s="6"/>
      <c r="DI970" s="125"/>
      <c r="DJ970" s="16"/>
      <c r="DM970" s="16"/>
      <c r="DN970" s="16"/>
      <c r="DO970" s="125"/>
      <c r="DP970" s="16"/>
      <c r="DQ970" s="125"/>
      <c r="DZ970" s="125"/>
      <c r="EA970" s="142"/>
      <c r="EB970" s="125"/>
      <c r="EC970" s="16"/>
      <c r="ED970" s="125"/>
      <c r="EE970" s="125"/>
      <c r="EF970" s="16"/>
      <c r="EG970" s="125"/>
      <c r="EQ970" s="125"/>
      <c r="ER970" s="16"/>
      <c r="ES970" s="123"/>
      <c r="ET970" s="19"/>
      <c r="EU970" s="139"/>
      <c r="EV970" s="139"/>
      <c r="EW970" s="123"/>
      <c r="EX970" s="123"/>
      <c r="EY970" s="123"/>
      <c r="EZ970" s="123"/>
      <c r="FA970" s="123"/>
      <c r="FB970" s="123"/>
      <c r="FC970" s="6"/>
      <c r="FD970" s="123"/>
      <c r="FE970" s="6"/>
      <c r="FF970" s="123"/>
      <c r="FG970" s="6"/>
      <c r="FH970" s="6"/>
      <c r="FI970" s="6"/>
      <c r="FJ970" s="6"/>
      <c r="FK970" s="123"/>
      <c r="FL970" s="6"/>
      <c r="FM970" s="6"/>
      <c r="FN970" s="6"/>
      <c r="FO970" s="138"/>
      <c r="FP970" s="138"/>
      <c r="FQ970" s="123"/>
      <c r="FR970" s="6"/>
      <c r="FS970" s="6"/>
      <c r="FT970" s="139"/>
      <c r="FU970" s="139"/>
      <c r="FV970" s="76"/>
      <c r="FW970" s="123"/>
      <c r="FX970" s="6"/>
    </row>
    <row r="971" spans="35:180">
      <c r="AI971" s="125"/>
      <c r="AJ971" s="16"/>
      <c r="AM971" s="16"/>
      <c r="AN971" s="16"/>
      <c r="AO971" s="125"/>
      <c r="AP971" s="16"/>
      <c r="AQ971" s="125"/>
      <c r="AZ971" s="125"/>
      <c r="BA971" s="142"/>
      <c r="BB971" s="125"/>
      <c r="BC971" s="16"/>
      <c r="BD971" s="125"/>
      <c r="BE971" s="125"/>
      <c r="BF971" s="16"/>
      <c r="BG971" s="125"/>
      <c r="BQ971" s="125"/>
      <c r="BR971" s="16"/>
      <c r="BS971" s="123"/>
      <c r="BT971" s="19"/>
      <c r="BU971" s="139"/>
      <c r="BV971" s="139"/>
      <c r="BW971" s="123"/>
      <c r="BX971" s="123"/>
      <c r="BY971" s="123"/>
      <c r="BZ971" s="123"/>
      <c r="CA971" s="123"/>
      <c r="CB971" s="123"/>
      <c r="CC971" s="6"/>
      <c r="CD971" s="123"/>
      <c r="CE971" s="6"/>
      <c r="CF971" s="123"/>
      <c r="CG971" s="6"/>
      <c r="CH971" s="6"/>
      <c r="CI971" s="6"/>
      <c r="CJ971" s="6"/>
      <c r="CK971" s="123"/>
      <c r="CL971" s="6"/>
      <c r="CM971" s="6"/>
      <c r="CN971" s="6"/>
      <c r="CO971" s="138"/>
      <c r="CP971" s="138"/>
      <c r="CQ971" s="123"/>
      <c r="CR971" s="6"/>
      <c r="CS971" s="6"/>
      <c r="CT971" s="139"/>
      <c r="CU971" s="139"/>
      <c r="CV971" s="76"/>
      <c r="CW971" s="123"/>
      <c r="CX971" s="6"/>
      <c r="DI971" s="125"/>
      <c r="DJ971" s="16"/>
      <c r="DM971" s="16"/>
      <c r="DN971" s="16"/>
      <c r="DO971" s="125"/>
      <c r="DP971" s="16"/>
      <c r="DQ971" s="125"/>
      <c r="DZ971" s="125"/>
      <c r="EA971" s="142"/>
      <c r="EB971" s="125"/>
      <c r="EC971" s="16"/>
      <c r="ED971" s="125"/>
      <c r="EE971" s="125"/>
      <c r="EF971" s="16"/>
      <c r="EG971" s="125"/>
      <c r="EQ971" s="125"/>
      <c r="ER971" s="16"/>
      <c r="ES971" s="123"/>
      <c r="ET971" s="19"/>
      <c r="EU971" s="139"/>
      <c r="EV971" s="139"/>
      <c r="EW971" s="123"/>
      <c r="EX971" s="123"/>
      <c r="EY971" s="123"/>
      <c r="EZ971" s="123"/>
      <c r="FA971" s="123"/>
      <c r="FB971" s="123"/>
      <c r="FC971" s="6"/>
      <c r="FD971" s="123"/>
      <c r="FE971" s="6"/>
      <c r="FF971" s="123"/>
      <c r="FG971" s="6"/>
      <c r="FH971" s="6"/>
      <c r="FI971" s="6"/>
      <c r="FJ971" s="6"/>
      <c r="FK971" s="123"/>
      <c r="FL971" s="6"/>
      <c r="FM971" s="6"/>
      <c r="FN971" s="6"/>
      <c r="FO971" s="138"/>
      <c r="FP971" s="138"/>
      <c r="FQ971" s="123"/>
      <c r="FR971" s="6"/>
      <c r="FS971" s="6"/>
      <c r="FT971" s="139"/>
      <c r="FU971" s="139"/>
      <c r="FV971" s="76"/>
      <c r="FW971" s="123"/>
      <c r="FX971" s="6"/>
    </row>
    <row r="972" spans="35:180">
      <c r="AI972" s="125"/>
      <c r="AJ972" s="16"/>
      <c r="AM972" s="16"/>
      <c r="AN972" s="16"/>
      <c r="AO972" s="125"/>
      <c r="AP972" s="16"/>
      <c r="AQ972" s="125"/>
      <c r="AZ972" s="125"/>
      <c r="BA972" s="142"/>
      <c r="BB972" s="125"/>
      <c r="BC972" s="16"/>
      <c r="BD972" s="125"/>
      <c r="BE972" s="125"/>
      <c r="BF972" s="16"/>
      <c r="BG972" s="125"/>
      <c r="BQ972" s="125"/>
      <c r="BR972" s="16"/>
      <c r="BS972" s="123"/>
      <c r="BT972" s="19"/>
      <c r="BU972" s="139"/>
      <c r="BV972" s="139"/>
      <c r="BW972" s="123"/>
      <c r="BX972" s="123"/>
      <c r="BY972" s="123"/>
      <c r="BZ972" s="123"/>
      <c r="CA972" s="123"/>
      <c r="CB972" s="123"/>
      <c r="CC972" s="6"/>
      <c r="CD972" s="123"/>
      <c r="CE972" s="6"/>
      <c r="CF972" s="123"/>
      <c r="CG972" s="6"/>
      <c r="CH972" s="6"/>
      <c r="CI972" s="6"/>
      <c r="CJ972" s="6"/>
      <c r="CK972" s="123"/>
      <c r="CL972" s="6"/>
      <c r="CM972" s="6"/>
      <c r="CN972" s="6"/>
      <c r="CO972" s="138"/>
      <c r="CP972" s="138"/>
      <c r="CQ972" s="123"/>
      <c r="CR972" s="6"/>
      <c r="CS972" s="6"/>
      <c r="CT972" s="139"/>
      <c r="CU972" s="139"/>
      <c r="CV972" s="76"/>
      <c r="CW972" s="123"/>
      <c r="CX972" s="6"/>
      <c r="DI972" s="125"/>
      <c r="DJ972" s="16"/>
      <c r="DM972" s="16"/>
      <c r="DN972" s="16"/>
      <c r="DO972" s="125"/>
      <c r="DP972" s="16"/>
      <c r="DQ972" s="125"/>
      <c r="DZ972" s="125"/>
      <c r="EA972" s="142"/>
      <c r="EB972" s="125"/>
      <c r="EC972" s="16"/>
      <c r="ED972" s="125"/>
      <c r="EE972" s="125"/>
      <c r="EF972" s="16"/>
      <c r="EG972" s="125"/>
      <c r="EQ972" s="125"/>
      <c r="ER972" s="16"/>
      <c r="ES972" s="123"/>
      <c r="ET972" s="19"/>
      <c r="EU972" s="139"/>
      <c r="EV972" s="139"/>
      <c r="EW972" s="123"/>
      <c r="EX972" s="123"/>
      <c r="EY972" s="123"/>
      <c r="EZ972" s="123"/>
      <c r="FA972" s="123"/>
      <c r="FB972" s="123"/>
      <c r="FC972" s="6"/>
      <c r="FD972" s="123"/>
      <c r="FE972" s="6"/>
      <c r="FF972" s="123"/>
      <c r="FG972" s="6"/>
      <c r="FH972" s="6"/>
      <c r="FI972" s="6"/>
      <c r="FJ972" s="6"/>
      <c r="FK972" s="123"/>
      <c r="FL972" s="6"/>
      <c r="FM972" s="6"/>
      <c r="FN972" s="6"/>
      <c r="FO972" s="138"/>
      <c r="FP972" s="138"/>
      <c r="FQ972" s="123"/>
      <c r="FR972" s="6"/>
      <c r="FS972" s="6"/>
      <c r="FT972" s="139"/>
      <c r="FU972" s="139"/>
      <c r="FV972" s="76"/>
      <c r="FW972" s="123"/>
      <c r="FX972" s="6"/>
    </row>
    <row r="973" spans="35:180">
      <c r="AI973" s="125"/>
      <c r="AJ973" s="16"/>
      <c r="AM973" s="16"/>
      <c r="AN973" s="16"/>
      <c r="AO973" s="125"/>
      <c r="AP973" s="16"/>
      <c r="AQ973" s="125"/>
      <c r="AZ973" s="125"/>
      <c r="BA973" s="142"/>
      <c r="BB973" s="125"/>
      <c r="BC973" s="16"/>
      <c r="BD973" s="125"/>
      <c r="BE973" s="125"/>
      <c r="BF973" s="16"/>
      <c r="BG973" s="125"/>
      <c r="BQ973" s="125"/>
      <c r="BR973" s="16"/>
      <c r="BS973" s="123"/>
      <c r="BT973" s="19"/>
      <c r="BU973" s="139"/>
      <c r="BV973" s="139"/>
      <c r="BW973" s="123"/>
      <c r="BX973" s="123"/>
      <c r="BY973" s="123"/>
      <c r="BZ973" s="123"/>
      <c r="CA973" s="123"/>
      <c r="CB973" s="123"/>
      <c r="CC973" s="6"/>
      <c r="CD973" s="123"/>
      <c r="CE973" s="6"/>
      <c r="CF973" s="123"/>
      <c r="CG973" s="6"/>
      <c r="CH973" s="6"/>
      <c r="CI973" s="6"/>
      <c r="CJ973" s="6"/>
      <c r="CK973" s="123"/>
      <c r="CL973" s="6"/>
      <c r="CM973" s="6"/>
      <c r="CN973" s="6"/>
      <c r="CO973" s="138"/>
      <c r="CP973" s="138"/>
      <c r="CQ973" s="123"/>
      <c r="CR973" s="6"/>
      <c r="CS973" s="6"/>
      <c r="CT973" s="139"/>
      <c r="CU973" s="139"/>
      <c r="CV973" s="76"/>
      <c r="CW973" s="123"/>
      <c r="CX973" s="6"/>
      <c r="DI973" s="125"/>
      <c r="DJ973" s="16"/>
      <c r="DM973" s="16"/>
      <c r="DN973" s="16"/>
      <c r="DO973" s="125"/>
      <c r="DP973" s="16"/>
      <c r="DQ973" s="125"/>
      <c r="DZ973" s="125"/>
      <c r="EA973" s="142"/>
      <c r="EB973" s="125"/>
      <c r="EC973" s="16"/>
      <c r="ED973" s="125"/>
      <c r="EE973" s="125"/>
      <c r="EF973" s="16"/>
      <c r="EG973" s="125"/>
      <c r="EQ973" s="125"/>
      <c r="ER973" s="16"/>
      <c r="ES973" s="123"/>
      <c r="ET973" s="19"/>
      <c r="EU973" s="139"/>
      <c r="EV973" s="139"/>
      <c r="EW973" s="123"/>
      <c r="EX973" s="123"/>
      <c r="EY973" s="123"/>
      <c r="EZ973" s="123"/>
      <c r="FA973" s="123"/>
      <c r="FB973" s="123"/>
      <c r="FC973" s="6"/>
      <c r="FD973" s="123"/>
      <c r="FE973" s="6"/>
      <c r="FF973" s="123"/>
      <c r="FG973" s="6"/>
      <c r="FH973" s="6"/>
      <c r="FI973" s="6"/>
      <c r="FJ973" s="6"/>
      <c r="FK973" s="123"/>
      <c r="FL973" s="6"/>
      <c r="FM973" s="6"/>
      <c r="FN973" s="6"/>
      <c r="FO973" s="138"/>
      <c r="FP973" s="138"/>
      <c r="FQ973" s="123"/>
      <c r="FR973" s="6"/>
      <c r="FS973" s="6"/>
      <c r="FT973" s="139"/>
      <c r="FU973" s="139"/>
      <c r="FV973" s="76"/>
      <c r="FW973" s="123"/>
      <c r="FX973" s="6"/>
    </row>
    <row r="974" spans="35:180">
      <c r="AI974" s="125"/>
      <c r="AJ974" s="16"/>
      <c r="AM974" s="16"/>
      <c r="AN974" s="16"/>
      <c r="AO974" s="125"/>
      <c r="AP974" s="16"/>
      <c r="AQ974" s="125"/>
      <c r="AZ974" s="125"/>
      <c r="BA974" s="142"/>
      <c r="BB974" s="125"/>
      <c r="BC974" s="16"/>
      <c r="BD974" s="125"/>
      <c r="BE974" s="125"/>
      <c r="BF974" s="16"/>
      <c r="BG974" s="125"/>
      <c r="BQ974" s="125"/>
      <c r="BR974" s="16"/>
      <c r="BS974" s="123"/>
      <c r="BT974" s="19"/>
      <c r="BU974" s="139"/>
      <c r="BV974" s="139"/>
      <c r="BW974" s="123"/>
      <c r="BX974" s="123"/>
      <c r="BY974" s="123"/>
      <c r="BZ974" s="123"/>
      <c r="CA974" s="123"/>
      <c r="CB974" s="123"/>
      <c r="CC974" s="6"/>
      <c r="CD974" s="123"/>
      <c r="CE974" s="6"/>
      <c r="CF974" s="123"/>
      <c r="CG974" s="6"/>
      <c r="CH974" s="6"/>
      <c r="CI974" s="6"/>
      <c r="CJ974" s="6"/>
      <c r="CK974" s="123"/>
      <c r="CL974" s="6"/>
      <c r="CM974" s="6"/>
      <c r="CN974" s="6"/>
      <c r="CO974" s="138"/>
      <c r="CP974" s="138"/>
      <c r="CQ974" s="123"/>
      <c r="CR974" s="6"/>
      <c r="CS974" s="6"/>
      <c r="CT974" s="139"/>
      <c r="CU974" s="139"/>
      <c r="CV974" s="76"/>
      <c r="CW974" s="123"/>
      <c r="CX974" s="6"/>
      <c r="DI974" s="125"/>
      <c r="DJ974" s="16"/>
      <c r="DM974" s="16"/>
      <c r="DN974" s="16"/>
      <c r="DO974" s="125"/>
      <c r="DP974" s="16"/>
      <c r="DQ974" s="125"/>
      <c r="DZ974" s="125"/>
      <c r="EA974" s="142"/>
      <c r="EB974" s="125"/>
      <c r="EC974" s="16"/>
      <c r="ED974" s="125"/>
      <c r="EE974" s="125"/>
      <c r="EF974" s="16"/>
      <c r="EG974" s="125"/>
      <c r="EQ974" s="125"/>
      <c r="ER974" s="16"/>
      <c r="ES974" s="123"/>
      <c r="ET974" s="19"/>
      <c r="EU974" s="139"/>
      <c r="EV974" s="139"/>
      <c r="EW974" s="123"/>
      <c r="EX974" s="123"/>
      <c r="EY974" s="123"/>
      <c r="EZ974" s="123"/>
      <c r="FA974" s="123"/>
      <c r="FB974" s="123"/>
      <c r="FC974" s="6"/>
      <c r="FD974" s="123"/>
      <c r="FE974" s="6"/>
      <c r="FF974" s="123"/>
      <c r="FG974" s="6"/>
      <c r="FH974" s="6"/>
      <c r="FI974" s="6"/>
      <c r="FJ974" s="6"/>
      <c r="FK974" s="123"/>
      <c r="FL974" s="6"/>
      <c r="FM974" s="6"/>
      <c r="FN974" s="6"/>
      <c r="FO974" s="138"/>
      <c r="FP974" s="138"/>
      <c r="FQ974" s="123"/>
      <c r="FR974" s="6"/>
      <c r="FS974" s="6"/>
      <c r="FT974" s="139"/>
      <c r="FU974" s="139"/>
      <c r="FV974" s="76"/>
      <c r="FW974" s="123"/>
      <c r="FX974" s="6"/>
    </row>
    <row r="975" spans="35:180">
      <c r="AI975" s="125"/>
      <c r="AJ975" s="16"/>
      <c r="AM975" s="16"/>
      <c r="AN975" s="16"/>
      <c r="AO975" s="125"/>
      <c r="AP975" s="16"/>
      <c r="AQ975" s="125"/>
      <c r="AZ975" s="125"/>
      <c r="BA975" s="142"/>
      <c r="BB975" s="125"/>
      <c r="BC975" s="16"/>
      <c r="BD975" s="125"/>
      <c r="BE975" s="125"/>
      <c r="BF975" s="16"/>
      <c r="BG975" s="125"/>
      <c r="BQ975" s="125"/>
      <c r="BR975" s="16"/>
      <c r="BS975" s="123"/>
      <c r="BT975" s="19"/>
      <c r="BU975" s="139"/>
      <c r="BV975" s="139"/>
      <c r="BW975" s="123"/>
      <c r="BX975" s="123"/>
      <c r="BY975" s="123"/>
      <c r="BZ975" s="123"/>
      <c r="CA975" s="123"/>
      <c r="CB975" s="123"/>
      <c r="CC975" s="6"/>
      <c r="CD975" s="123"/>
      <c r="CE975" s="6"/>
      <c r="CF975" s="123"/>
      <c r="CG975" s="6"/>
      <c r="CH975" s="6"/>
      <c r="CI975" s="6"/>
      <c r="CJ975" s="6"/>
      <c r="CK975" s="123"/>
      <c r="CL975" s="6"/>
      <c r="CM975" s="6"/>
      <c r="CN975" s="6"/>
      <c r="CO975" s="138"/>
      <c r="CP975" s="138"/>
      <c r="CQ975" s="123"/>
      <c r="CR975" s="6"/>
      <c r="CS975" s="6"/>
      <c r="CT975" s="139"/>
      <c r="CU975" s="139"/>
      <c r="CV975" s="76"/>
      <c r="CW975" s="123"/>
      <c r="CX975" s="6"/>
      <c r="DI975" s="125"/>
      <c r="DJ975" s="16"/>
      <c r="DM975" s="16"/>
      <c r="DN975" s="16"/>
      <c r="DO975" s="125"/>
      <c r="DP975" s="16"/>
      <c r="DQ975" s="125"/>
      <c r="DZ975" s="125"/>
      <c r="EA975" s="142"/>
      <c r="EB975" s="125"/>
      <c r="EC975" s="16"/>
      <c r="ED975" s="125"/>
      <c r="EE975" s="125"/>
      <c r="EF975" s="16"/>
      <c r="EG975" s="125"/>
      <c r="EQ975" s="125"/>
      <c r="ER975" s="16"/>
      <c r="ES975" s="123"/>
      <c r="ET975" s="19"/>
      <c r="EU975" s="139"/>
      <c r="EV975" s="139"/>
      <c r="EW975" s="123"/>
      <c r="EX975" s="123"/>
      <c r="EY975" s="123"/>
      <c r="EZ975" s="123"/>
      <c r="FA975" s="123"/>
      <c r="FB975" s="123"/>
      <c r="FC975" s="6"/>
      <c r="FD975" s="123"/>
      <c r="FE975" s="6"/>
      <c r="FF975" s="123"/>
      <c r="FG975" s="6"/>
      <c r="FH975" s="6"/>
      <c r="FI975" s="6"/>
      <c r="FJ975" s="6"/>
      <c r="FK975" s="123"/>
      <c r="FL975" s="6"/>
      <c r="FM975" s="6"/>
      <c r="FN975" s="6"/>
      <c r="FO975" s="138"/>
      <c r="FP975" s="138"/>
      <c r="FQ975" s="123"/>
      <c r="FR975" s="6"/>
      <c r="FS975" s="6"/>
      <c r="FT975" s="139"/>
      <c r="FU975" s="139"/>
      <c r="FV975" s="76"/>
      <c r="FW975" s="123"/>
      <c r="FX975" s="6"/>
    </row>
    <row r="976" spans="35:180">
      <c r="AI976" s="125"/>
      <c r="AJ976" s="16"/>
      <c r="AM976" s="16"/>
      <c r="AN976" s="16"/>
      <c r="AO976" s="125"/>
      <c r="AP976" s="16"/>
      <c r="AQ976" s="125"/>
      <c r="AZ976" s="125"/>
      <c r="BA976" s="142"/>
      <c r="BB976" s="125"/>
      <c r="BC976" s="16"/>
      <c r="BD976" s="125"/>
      <c r="BE976" s="125"/>
      <c r="BF976" s="16"/>
      <c r="BG976" s="125"/>
      <c r="BQ976" s="125"/>
      <c r="BR976" s="16"/>
      <c r="BS976" s="123"/>
      <c r="BT976" s="19"/>
      <c r="BU976" s="139"/>
      <c r="BV976" s="139"/>
      <c r="BW976" s="123"/>
      <c r="BX976" s="123"/>
      <c r="BY976" s="123"/>
      <c r="BZ976" s="123"/>
      <c r="CA976" s="123"/>
      <c r="CB976" s="123"/>
      <c r="CC976" s="6"/>
      <c r="CD976" s="123"/>
      <c r="CE976" s="6"/>
      <c r="CF976" s="123"/>
      <c r="CG976" s="6"/>
      <c r="CH976" s="6"/>
      <c r="CI976" s="6"/>
      <c r="CJ976" s="6"/>
      <c r="CK976" s="123"/>
      <c r="CL976" s="6"/>
      <c r="CM976" s="6"/>
      <c r="CN976" s="6"/>
      <c r="CO976" s="138"/>
      <c r="CP976" s="138"/>
      <c r="CQ976" s="123"/>
      <c r="CR976" s="6"/>
      <c r="CS976" s="6"/>
      <c r="CT976" s="139"/>
      <c r="CU976" s="139"/>
      <c r="CV976" s="76"/>
      <c r="CW976" s="123"/>
      <c r="CX976" s="6"/>
      <c r="DI976" s="125"/>
      <c r="DJ976" s="16"/>
      <c r="DM976" s="16"/>
      <c r="DN976" s="16"/>
      <c r="DO976" s="125"/>
      <c r="DP976" s="16"/>
      <c r="DQ976" s="125"/>
      <c r="DZ976" s="125"/>
      <c r="EA976" s="142"/>
      <c r="EB976" s="125"/>
      <c r="EC976" s="16"/>
      <c r="ED976" s="125"/>
      <c r="EE976" s="125"/>
      <c r="EF976" s="16"/>
      <c r="EG976" s="125"/>
      <c r="EQ976" s="125"/>
      <c r="ER976" s="16"/>
      <c r="ES976" s="123"/>
      <c r="ET976" s="19"/>
      <c r="EU976" s="139"/>
      <c r="EV976" s="139"/>
      <c r="EW976" s="123"/>
      <c r="EX976" s="123"/>
      <c r="EY976" s="123"/>
      <c r="EZ976" s="123"/>
      <c r="FA976" s="123"/>
      <c r="FB976" s="123"/>
      <c r="FC976" s="6"/>
      <c r="FD976" s="123"/>
      <c r="FE976" s="6"/>
      <c r="FF976" s="123"/>
      <c r="FG976" s="6"/>
      <c r="FH976" s="6"/>
      <c r="FI976" s="6"/>
      <c r="FJ976" s="6"/>
      <c r="FK976" s="123"/>
      <c r="FL976" s="6"/>
      <c r="FM976" s="6"/>
      <c r="FN976" s="6"/>
      <c r="FO976" s="138"/>
      <c r="FP976" s="138"/>
      <c r="FQ976" s="123"/>
      <c r="FR976" s="6"/>
      <c r="FS976" s="6"/>
      <c r="FT976" s="139"/>
      <c r="FU976" s="139"/>
      <c r="FV976" s="76"/>
      <c r="FW976" s="123"/>
      <c r="FX976" s="6"/>
    </row>
    <row r="977" spans="35:180">
      <c r="AI977" s="125"/>
      <c r="AJ977" s="16"/>
      <c r="AM977" s="16"/>
      <c r="AN977" s="16"/>
      <c r="AO977" s="125"/>
      <c r="AP977" s="16"/>
      <c r="AQ977" s="125"/>
      <c r="AZ977" s="125"/>
      <c r="BA977" s="142"/>
      <c r="BB977" s="125"/>
      <c r="BC977" s="16"/>
      <c r="BD977" s="125"/>
      <c r="BE977" s="125"/>
      <c r="BF977" s="16"/>
      <c r="BG977" s="125"/>
      <c r="BQ977" s="125"/>
      <c r="BR977" s="16"/>
      <c r="BS977" s="123"/>
      <c r="BT977" s="19"/>
      <c r="BU977" s="139"/>
      <c r="BV977" s="139"/>
      <c r="BW977" s="123"/>
      <c r="BX977" s="123"/>
      <c r="BY977" s="123"/>
      <c r="BZ977" s="123"/>
      <c r="CA977" s="123"/>
      <c r="CB977" s="123"/>
      <c r="CC977" s="6"/>
      <c r="CD977" s="123"/>
      <c r="CE977" s="6"/>
      <c r="CF977" s="123"/>
      <c r="CG977" s="6"/>
      <c r="CH977" s="6"/>
      <c r="CI977" s="6"/>
      <c r="CJ977" s="6"/>
      <c r="CK977" s="123"/>
      <c r="CL977" s="6"/>
      <c r="CM977" s="6"/>
      <c r="CN977" s="6"/>
      <c r="CO977" s="138"/>
      <c r="CP977" s="138"/>
      <c r="CQ977" s="123"/>
      <c r="CR977" s="6"/>
      <c r="CS977" s="6"/>
      <c r="CT977" s="139"/>
      <c r="CU977" s="139"/>
      <c r="CV977" s="76"/>
      <c r="CW977" s="123"/>
      <c r="CX977" s="6"/>
      <c r="DI977" s="125"/>
      <c r="DJ977" s="16"/>
      <c r="DM977" s="16"/>
      <c r="DN977" s="16"/>
      <c r="DO977" s="125"/>
      <c r="DP977" s="16"/>
      <c r="DQ977" s="125"/>
      <c r="DZ977" s="125"/>
      <c r="EA977" s="142"/>
      <c r="EB977" s="125"/>
      <c r="EC977" s="16"/>
      <c r="ED977" s="125"/>
      <c r="EE977" s="125"/>
      <c r="EF977" s="16"/>
      <c r="EG977" s="125"/>
      <c r="EQ977" s="125"/>
      <c r="ER977" s="16"/>
      <c r="ES977" s="123"/>
      <c r="ET977" s="19"/>
      <c r="EU977" s="139"/>
      <c r="EV977" s="139"/>
      <c r="EW977" s="123"/>
      <c r="EX977" s="123"/>
      <c r="EY977" s="123"/>
      <c r="EZ977" s="123"/>
      <c r="FA977" s="123"/>
      <c r="FB977" s="123"/>
      <c r="FC977" s="6"/>
      <c r="FD977" s="123"/>
      <c r="FE977" s="6"/>
      <c r="FF977" s="123"/>
      <c r="FG977" s="6"/>
      <c r="FH977" s="6"/>
      <c r="FI977" s="6"/>
      <c r="FJ977" s="6"/>
      <c r="FK977" s="123"/>
      <c r="FL977" s="6"/>
      <c r="FM977" s="6"/>
      <c r="FN977" s="6"/>
      <c r="FO977" s="138"/>
      <c r="FP977" s="138"/>
      <c r="FQ977" s="123"/>
      <c r="FR977" s="6"/>
      <c r="FS977" s="6"/>
      <c r="FT977" s="139"/>
      <c r="FU977" s="139"/>
      <c r="FV977" s="76"/>
      <c r="FW977" s="123"/>
      <c r="FX977" s="6"/>
    </row>
    <row r="978" spans="35:180">
      <c r="AI978" s="125"/>
      <c r="AJ978" s="16"/>
      <c r="AM978" s="16"/>
      <c r="AN978" s="16"/>
      <c r="AO978" s="125"/>
      <c r="AP978" s="16"/>
      <c r="AQ978" s="125"/>
      <c r="AZ978" s="125"/>
      <c r="BA978" s="142"/>
      <c r="BB978" s="125"/>
      <c r="BC978" s="16"/>
      <c r="BD978" s="125"/>
      <c r="BE978" s="125"/>
      <c r="BF978" s="16"/>
      <c r="BG978" s="125"/>
      <c r="BQ978" s="125"/>
      <c r="BR978" s="16"/>
      <c r="BS978" s="123"/>
      <c r="BT978" s="19"/>
      <c r="BU978" s="139"/>
      <c r="BV978" s="139"/>
      <c r="BW978" s="123"/>
      <c r="BX978" s="123"/>
      <c r="BY978" s="123"/>
      <c r="BZ978" s="123"/>
      <c r="CA978" s="123"/>
      <c r="CB978" s="123"/>
      <c r="CC978" s="6"/>
      <c r="CD978" s="123"/>
      <c r="CE978" s="6"/>
      <c r="CF978" s="123"/>
      <c r="CG978" s="6"/>
      <c r="CH978" s="6"/>
      <c r="CI978" s="6"/>
      <c r="CJ978" s="6"/>
      <c r="CK978" s="123"/>
      <c r="CL978" s="6"/>
      <c r="CM978" s="6"/>
      <c r="CN978" s="6"/>
      <c r="CO978" s="138"/>
      <c r="CP978" s="138"/>
      <c r="CQ978" s="123"/>
      <c r="CR978" s="6"/>
      <c r="CS978" s="6"/>
      <c r="CT978" s="139"/>
      <c r="CU978" s="139"/>
      <c r="CV978" s="76"/>
      <c r="CW978" s="123"/>
      <c r="CX978" s="6"/>
      <c r="DI978" s="125"/>
      <c r="DJ978" s="16"/>
      <c r="DM978" s="16"/>
      <c r="DN978" s="16"/>
      <c r="DO978" s="125"/>
      <c r="DP978" s="16"/>
      <c r="DQ978" s="125"/>
      <c r="DZ978" s="125"/>
      <c r="EA978" s="142"/>
      <c r="EB978" s="125"/>
      <c r="EC978" s="16"/>
      <c r="ED978" s="125"/>
      <c r="EE978" s="125"/>
      <c r="EF978" s="16"/>
      <c r="EG978" s="125"/>
      <c r="EQ978" s="125"/>
      <c r="ER978" s="16"/>
      <c r="ES978" s="123"/>
      <c r="ET978" s="19"/>
      <c r="EU978" s="139"/>
      <c r="EV978" s="139"/>
      <c r="EW978" s="123"/>
      <c r="EX978" s="123"/>
      <c r="EY978" s="123"/>
      <c r="EZ978" s="123"/>
      <c r="FA978" s="123"/>
      <c r="FB978" s="123"/>
      <c r="FC978" s="6"/>
      <c r="FD978" s="123"/>
      <c r="FE978" s="6"/>
      <c r="FF978" s="123"/>
      <c r="FG978" s="6"/>
      <c r="FH978" s="6"/>
      <c r="FI978" s="6"/>
      <c r="FJ978" s="6"/>
      <c r="FK978" s="123"/>
      <c r="FL978" s="6"/>
      <c r="FM978" s="6"/>
      <c r="FN978" s="6"/>
      <c r="FO978" s="138"/>
      <c r="FP978" s="138"/>
      <c r="FQ978" s="123"/>
      <c r="FR978" s="6"/>
      <c r="FS978" s="6"/>
      <c r="FT978" s="139"/>
      <c r="FU978" s="139"/>
      <c r="FV978" s="76"/>
      <c r="FW978" s="123"/>
      <c r="FX978" s="6"/>
    </row>
    <row r="979" spans="35:180">
      <c r="AI979" s="125"/>
      <c r="AJ979" s="16"/>
      <c r="AM979" s="16"/>
      <c r="AN979" s="16"/>
      <c r="AO979" s="125"/>
      <c r="AP979" s="16"/>
      <c r="AQ979" s="125"/>
      <c r="AZ979" s="125"/>
      <c r="BA979" s="142"/>
      <c r="BB979" s="125"/>
      <c r="BC979" s="16"/>
      <c r="BD979" s="125"/>
      <c r="BE979" s="125"/>
      <c r="BF979" s="16"/>
      <c r="BG979" s="125"/>
      <c r="BQ979" s="125"/>
      <c r="BR979" s="16"/>
      <c r="BS979" s="123"/>
      <c r="BT979" s="19"/>
      <c r="BU979" s="139"/>
      <c r="BV979" s="139"/>
      <c r="BW979" s="123"/>
      <c r="BX979" s="123"/>
      <c r="BY979" s="123"/>
      <c r="BZ979" s="123"/>
      <c r="CA979" s="123"/>
      <c r="CB979" s="123"/>
      <c r="CC979" s="6"/>
      <c r="CD979" s="123"/>
      <c r="CE979" s="6"/>
      <c r="CF979" s="123"/>
      <c r="CG979" s="6"/>
      <c r="CH979" s="6"/>
      <c r="CI979" s="6"/>
      <c r="CJ979" s="6"/>
      <c r="CK979" s="123"/>
      <c r="CL979" s="6"/>
      <c r="CM979" s="6"/>
      <c r="CN979" s="6"/>
      <c r="CO979" s="138"/>
      <c r="CP979" s="138"/>
      <c r="CQ979" s="123"/>
      <c r="CR979" s="6"/>
      <c r="CS979" s="6"/>
      <c r="CT979" s="139"/>
      <c r="CU979" s="139"/>
      <c r="CV979" s="76"/>
      <c r="CW979" s="123"/>
      <c r="CX979" s="6"/>
      <c r="DI979" s="125"/>
      <c r="DJ979" s="16"/>
      <c r="DM979" s="16"/>
      <c r="DN979" s="16"/>
      <c r="DO979" s="125"/>
      <c r="DP979" s="16"/>
      <c r="DQ979" s="125"/>
      <c r="DZ979" s="125"/>
      <c r="EA979" s="142"/>
      <c r="EB979" s="125"/>
      <c r="EC979" s="16"/>
      <c r="ED979" s="125"/>
      <c r="EE979" s="125"/>
      <c r="EF979" s="16"/>
      <c r="EG979" s="125"/>
      <c r="EQ979" s="125"/>
      <c r="ER979" s="16"/>
      <c r="ES979" s="123"/>
      <c r="ET979" s="19"/>
      <c r="EU979" s="139"/>
      <c r="EV979" s="139"/>
      <c r="EW979" s="123"/>
      <c r="EX979" s="123"/>
      <c r="EY979" s="123"/>
      <c r="EZ979" s="123"/>
      <c r="FA979" s="123"/>
      <c r="FB979" s="123"/>
      <c r="FC979" s="6"/>
      <c r="FD979" s="123"/>
      <c r="FE979" s="6"/>
      <c r="FF979" s="123"/>
      <c r="FG979" s="6"/>
      <c r="FH979" s="6"/>
      <c r="FI979" s="6"/>
      <c r="FJ979" s="6"/>
      <c r="FK979" s="123"/>
      <c r="FL979" s="6"/>
      <c r="FM979" s="6"/>
      <c r="FN979" s="6"/>
      <c r="FO979" s="138"/>
      <c r="FP979" s="138"/>
      <c r="FQ979" s="123"/>
      <c r="FR979" s="6"/>
      <c r="FS979" s="6"/>
      <c r="FT979" s="139"/>
      <c r="FU979" s="139"/>
      <c r="FV979" s="76"/>
      <c r="FW979" s="123"/>
      <c r="FX979" s="6"/>
    </row>
    <row r="980" spans="35:180">
      <c r="AI980" s="125"/>
      <c r="AJ980" s="16"/>
      <c r="AM980" s="16"/>
      <c r="AN980" s="16"/>
      <c r="AO980" s="125"/>
      <c r="AP980" s="16"/>
      <c r="AQ980" s="125"/>
      <c r="AZ980" s="125"/>
      <c r="BA980" s="142"/>
      <c r="BB980" s="125"/>
      <c r="BC980" s="16"/>
      <c r="BD980" s="125"/>
      <c r="BE980" s="125"/>
      <c r="BF980" s="16"/>
      <c r="BG980" s="125"/>
      <c r="BQ980" s="125"/>
      <c r="BR980" s="16"/>
      <c r="BS980" s="123"/>
      <c r="BT980" s="19"/>
      <c r="BU980" s="139"/>
      <c r="BV980" s="139"/>
      <c r="BW980" s="123"/>
      <c r="BX980" s="123"/>
      <c r="BY980" s="123"/>
      <c r="BZ980" s="123"/>
      <c r="CA980" s="123"/>
      <c r="CB980" s="123"/>
      <c r="CC980" s="6"/>
      <c r="CD980" s="123"/>
      <c r="CE980" s="6"/>
      <c r="CF980" s="123"/>
      <c r="CG980" s="6"/>
      <c r="CH980" s="6"/>
      <c r="CI980" s="6"/>
      <c r="CJ980" s="6"/>
      <c r="CK980" s="123"/>
      <c r="CL980" s="6"/>
      <c r="CM980" s="6"/>
      <c r="CN980" s="6"/>
      <c r="CO980" s="138"/>
      <c r="CP980" s="138"/>
      <c r="CQ980" s="123"/>
      <c r="CR980" s="6"/>
      <c r="CS980" s="6"/>
      <c r="CT980" s="139"/>
      <c r="CU980" s="139"/>
      <c r="CV980" s="76"/>
      <c r="CW980" s="123"/>
      <c r="CX980" s="6"/>
      <c r="DI980" s="125"/>
      <c r="DJ980" s="16"/>
      <c r="DM980" s="16"/>
      <c r="DN980" s="16"/>
      <c r="DO980" s="125"/>
      <c r="DP980" s="16"/>
      <c r="DQ980" s="125"/>
      <c r="DZ980" s="125"/>
      <c r="EA980" s="142"/>
      <c r="EB980" s="125"/>
      <c r="EC980" s="16"/>
      <c r="ED980" s="125"/>
      <c r="EE980" s="125"/>
      <c r="EF980" s="16"/>
      <c r="EG980" s="125"/>
      <c r="EQ980" s="125"/>
      <c r="ER980" s="16"/>
      <c r="ES980" s="123"/>
      <c r="ET980" s="19"/>
      <c r="EU980" s="139"/>
      <c r="EV980" s="139"/>
      <c r="EW980" s="123"/>
      <c r="EX980" s="123"/>
      <c r="EY980" s="123"/>
      <c r="EZ980" s="123"/>
      <c r="FA980" s="123"/>
      <c r="FB980" s="123"/>
      <c r="FC980" s="6"/>
      <c r="FD980" s="123"/>
      <c r="FE980" s="6"/>
      <c r="FF980" s="123"/>
      <c r="FG980" s="6"/>
      <c r="FH980" s="6"/>
      <c r="FI980" s="6"/>
      <c r="FJ980" s="6"/>
      <c r="FK980" s="123"/>
      <c r="FL980" s="6"/>
      <c r="FM980" s="6"/>
      <c r="FN980" s="6"/>
      <c r="FO980" s="138"/>
      <c r="FP980" s="138"/>
      <c r="FQ980" s="123"/>
      <c r="FR980" s="6"/>
      <c r="FS980" s="6"/>
      <c r="FT980" s="139"/>
      <c r="FU980" s="139"/>
      <c r="FV980" s="76"/>
      <c r="FW980" s="123"/>
      <c r="FX980" s="6"/>
    </row>
    <row r="981" spans="35:180">
      <c r="AI981" s="125"/>
      <c r="AJ981" s="16"/>
      <c r="AM981" s="16"/>
      <c r="AN981" s="16"/>
      <c r="AO981" s="125"/>
      <c r="AP981" s="16"/>
      <c r="AQ981" s="125"/>
      <c r="AZ981" s="125"/>
      <c r="BA981" s="142"/>
      <c r="BB981" s="125"/>
      <c r="BC981" s="16"/>
      <c r="BD981" s="125"/>
      <c r="BE981" s="125"/>
      <c r="BF981" s="16"/>
      <c r="BG981" s="125"/>
      <c r="BQ981" s="125"/>
      <c r="BR981" s="16"/>
      <c r="BS981" s="123"/>
      <c r="BT981" s="19"/>
      <c r="BU981" s="139"/>
      <c r="BV981" s="139"/>
      <c r="BW981" s="123"/>
      <c r="BX981" s="123"/>
      <c r="BY981" s="123"/>
      <c r="BZ981" s="123"/>
      <c r="CA981" s="123"/>
      <c r="CB981" s="123"/>
      <c r="CC981" s="6"/>
      <c r="CD981" s="123"/>
      <c r="CE981" s="6"/>
      <c r="CF981" s="123"/>
      <c r="CG981" s="6"/>
      <c r="CH981" s="6"/>
      <c r="CI981" s="6"/>
      <c r="CJ981" s="6"/>
      <c r="CK981" s="123"/>
      <c r="CL981" s="6"/>
      <c r="CM981" s="6"/>
      <c r="CN981" s="6"/>
      <c r="CO981" s="138"/>
      <c r="CP981" s="138"/>
      <c r="CQ981" s="123"/>
      <c r="CR981" s="6"/>
      <c r="CS981" s="6"/>
      <c r="CT981" s="139"/>
      <c r="CU981" s="139"/>
      <c r="CV981" s="76"/>
      <c r="CW981" s="123"/>
      <c r="CX981" s="6"/>
      <c r="DI981" s="125"/>
      <c r="DJ981" s="16"/>
      <c r="DM981" s="16"/>
      <c r="DN981" s="16"/>
      <c r="DO981" s="125"/>
      <c r="DP981" s="16"/>
      <c r="DQ981" s="125"/>
      <c r="DZ981" s="125"/>
      <c r="EA981" s="142"/>
      <c r="EB981" s="125"/>
      <c r="EC981" s="16"/>
      <c r="ED981" s="125"/>
      <c r="EE981" s="125"/>
      <c r="EF981" s="16"/>
      <c r="EG981" s="125"/>
      <c r="EQ981" s="125"/>
      <c r="ER981" s="16"/>
      <c r="ES981" s="123"/>
      <c r="ET981" s="19"/>
      <c r="EU981" s="139"/>
      <c r="EV981" s="139"/>
      <c r="EW981" s="123"/>
      <c r="EX981" s="123"/>
      <c r="EY981" s="123"/>
      <c r="EZ981" s="123"/>
      <c r="FA981" s="123"/>
      <c r="FB981" s="123"/>
      <c r="FC981" s="6"/>
      <c r="FD981" s="123"/>
      <c r="FE981" s="6"/>
      <c r="FF981" s="123"/>
      <c r="FG981" s="6"/>
      <c r="FH981" s="6"/>
      <c r="FI981" s="6"/>
      <c r="FJ981" s="6"/>
      <c r="FK981" s="123"/>
      <c r="FL981" s="6"/>
      <c r="FM981" s="6"/>
      <c r="FN981" s="6"/>
      <c r="FO981" s="138"/>
      <c r="FP981" s="138"/>
      <c r="FQ981" s="123"/>
      <c r="FR981" s="6"/>
      <c r="FS981" s="6"/>
      <c r="FT981" s="139"/>
      <c r="FU981" s="139"/>
      <c r="FV981" s="76"/>
      <c r="FW981" s="123"/>
      <c r="FX981" s="6"/>
    </row>
    <row r="982" spans="35:180">
      <c r="AI982" s="125"/>
      <c r="AJ982" s="16"/>
      <c r="AM982" s="16"/>
      <c r="AN982" s="16"/>
      <c r="AO982" s="125"/>
      <c r="AP982" s="16"/>
      <c r="AQ982" s="125"/>
      <c r="AZ982" s="125"/>
      <c r="BA982" s="142"/>
      <c r="BB982" s="125"/>
      <c r="BC982" s="16"/>
      <c r="BD982" s="125"/>
      <c r="BE982" s="125"/>
      <c r="BF982" s="16"/>
      <c r="BG982" s="125"/>
      <c r="BQ982" s="125"/>
      <c r="BR982" s="16"/>
      <c r="BS982" s="123"/>
      <c r="BT982" s="19"/>
      <c r="BU982" s="139"/>
      <c r="BV982" s="139"/>
      <c r="BW982" s="123"/>
      <c r="BX982" s="123"/>
      <c r="BY982" s="123"/>
      <c r="BZ982" s="123"/>
      <c r="CA982" s="123"/>
      <c r="CB982" s="123"/>
      <c r="CC982" s="6"/>
      <c r="CD982" s="123"/>
      <c r="CE982" s="6"/>
      <c r="CF982" s="123"/>
      <c r="CG982" s="6"/>
      <c r="CH982" s="6"/>
      <c r="CI982" s="6"/>
      <c r="CJ982" s="6"/>
      <c r="CK982" s="123"/>
      <c r="CL982" s="6"/>
      <c r="CM982" s="6"/>
      <c r="CN982" s="6"/>
      <c r="CO982" s="138"/>
      <c r="CP982" s="138"/>
      <c r="CQ982" s="123"/>
      <c r="CR982" s="6"/>
      <c r="CS982" s="6"/>
      <c r="CT982" s="139"/>
      <c r="CU982" s="139"/>
      <c r="CV982" s="76"/>
      <c r="CW982" s="123"/>
      <c r="CX982" s="6"/>
      <c r="DI982" s="125"/>
      <c r="DJ982" s="16"/>
      <c r="DM982" s="16"/>
      <c r="DN982" s="16"/>
      <c r="DO982" s="125"/>
      <c r="DP982" s="16"/>
      <c r="DQ982" s="125"/>
      <c r="DZ982" s="125"/>
      <c r="EA982" s="142"/>
      <c r="EB982" s="125"/>
      <c r="EC982" s="16"/>
      <c r="ED982" s="125"/>
      <c r="EE982" s="125"/>
      <c r="EF982" s="16"/>
      <c r="EG982" s="125"/>
      <c r="EQ982" s="125"/>
      <c r="ER982" s="16"/>
      <c r="ES982" s="123"/>
      <c r="ET982" s="19"/>
      <c r="EU982" s="139"/>
      <c r="EV982" s="139"/>
      <c r="EW982" s="123"/>
      <c r="EX982" s="123"/>
      <c r="EY982" s="123"/>
      <c r="EZ982" s="123"/>
      <c r="FA982" s="123"/>
      <c r="FB982" s="123"/>
      <c r="FC982" s="6"/>
      <c r="FD982" s="123"/>
      <c r="FE982" s="6"/>
      <c r="FF982" s="123"/>
      <c r="FG982" s="6"/>
      <c r="FH982" s="6"/>
      <c r="FI982" s="6"/>
      <c r="FJ982" s="6"/>
      <c r="FK982" s="123"/>
      <c r="FL982" s="6"/>
      <c r="FM982" s="6"/>
      <c r="FN982" s="6"/>
      <c r="FO982" s="138"/>
      <c r="FP982" s="138"/>
      <c r="FQ982" s="123"/>
      <c r="FR982" s="6"/>
      <c r="FS982" s="6"/>
      <c r="FT982" s="139"/>
      <c r="FU982" s="139"/>
      <c r="FV982" s="76"/>
      <c r="FW982" s="123"/>
      <c r="FX982" s="6"/>
    </row>
    <row r="983" spans="35:180">
      <c r="AI983" s="125"/>
      <c r="AJ983" s="16"/>
      <c r="AM983" s="16"/>
      <c r="AN983" s="16"/>
      <c r="AO983" s="125"/>
      <c r="AP983" s="16"/>
      <c r="AQ983" s="125"/>
      <c r="AZ983" s="125"/>
      <c r="BA983" s="142"/>
      <c r="BB983" s="125"/>
      <c r="BC983" s="16"/>
      <c r="BD983" s="125"/>
      <c r="BE983" s="125"/>
      <c r="BF983" s="16"/>
      <c r="BG983" s="125"/>
      <c r="BQ983" s="125"/>
      <c r="BR983" s="16"/>
      <c r="BS983" s="123"/>
      <c r="BT983" s="19"/>
      <c r="BU983" s="139"/>
      <c r="BV983" s="139"/>
      <c r="BW983" s="123"/>
      <c r="BX983" s="123"/>
      <c r="BY983" s="123"/>
      <c r="BZ983" s="123"/>
      <c r="CA983" s="123"/>
      <c r="CB983" s="123"/>
      <c r="CC983" s="6"/>
      <c r="CD983" s="123"/>
      <c r="CE983" s="6"/>
      <c r="CF983" s="123"/>
      <c r="CG983" s="6"/>
      <c r="CH983" s="6"/>
      <c r="CI983" s="6"/>
      <c r="CJ983" s="6"/>
      <c r="CK983" s="123"/>
      <c r="CL983" s="6"/>
      <c r="CM983" s="6"/>
      <c r="CN983" s="6"/>
      <c r="CO983" s="138"/>
      <c r="CP983" s="138"/>
      <c r="CQ983" s="123"/>
      <c r="CR983" s="6"/>
      <c r="CS983" s="6"/>
      <c r="CT983" s="139"/>
      <c r="CU983" s="139"/>
      <c r="CV983" s="76"/>
      <c r="CW983" s="123"/>
      <c r="CX983" s="6"/>
      <c r="DI983" s="125"/>
      <c r="DJ983" s="16"/>
      <c r="DM983" s="16"/>
      <c r="DN983" s="16"/>
      <c r="DO983" s="125"/>
      <c r="DP983" s="16"/>
      <c r="DQ983" s="125"/>
      <c r="DZ983" s="125"/>
      <c r="EA983" s="142"/>
      <c r="EB983" s="125"/>
      <c r="EC983" s="16"/>
      <c r="ED983" s="125"/>
      <c r="EE983" s="125"/>
      <c r="EF983" s="16"/>
      <c r="EG983" s="125"/>
      <c r="EQ983" s="125"/>
      <c r="ER983" s="16"/>
      <c r="ES983" s="123"/>
      <c r="ET983" s="19"/>
      <c r="EU983" s="139"/>
      <c r="EV983" s="139"/>
      <c r="EW983" s="123"/>
      <c r="EX983" s="123"/>
      <c r="EY983" s="123"/>
      <c r="EZ983" s="123"/>
      <c r="FA983" s="123"/>
      <c r="FB983" s="123"/>
      <c r="FC983" s="6"/>
      <c r="FD983" s="123"/>
      <c r="FE983" s="6"/>
      <c r="FF983" s="123"/>
      <c r="FG983" s="6"/>
      <c r="FH983" s="6"/>
      <c r="FI983" s="6"/>
      <c r="FJ983" s="6"/>
      <c r="FK983" s="123"/>
      <c r="FL983" s="6"/>
      <c r="FM983" s="6"/>
      <c r="FN983" s="6"/>
      <c r="FO983" s="138"/>
      <c r="FP983" s="138"/>
      <c r="FQ983" s="123"/>
      <c r="FR983" s="6"/>
      <c r="FS983" s="6"/>
      <c r="FT983" s="139"/>
      <c r="FU983" s="139"/>
      <c r="FV983" s="76"/>
      <c r="FW983" s="123"/>
      <c r="FX983" s="6"/>
    </row>
    <row r="984" spans="35:180">
      <c r="AI984" s="125"/>
      <c r="AJ984" s="16"/>
      <c r="AM984" s="16"/>
      <c r="AN984" s="16"/>
      <c r="AO984" s="125"/>
      <c r="AP984" s="16"/>
      <c r="AQ984" s="125"/>
      <c r="AZ984" s="125"/>
      <c r="BA984" s="142"/>
      <c r="BB984" s="125"/>
      <c r="BC984" s="16"/>
      <c r="BD984" s="125"/>
      <c r="BE984" s="125"/>
      <c r="BF984" s="16"/>
      <c r="BG984" s="125"/>
      <c r="BQ984" s="125"/>
      <c r="BR984" s="16"/>
      <c r="BS984" s="123"/>
      <c r="BT984" s="19"/>
      <c r="BU984" s="139"/>
      <c r="BV984" s="139"/>
      <c r="BW984" s="123"/>
      <c r="BX984" s="123"/>
      <c r="BY984" s="123"/>
      <c r="BZ984" s="123"/>
      <c r="CA984" s="123"/>
      <c r="CB984" s="123"/>
      <c r="CC984" s="6"/>
      <c r="CD984" s="123"/>
      <c r="CE984" s="6"/>
      <c r="CF984" s="123"/>
      <c r="CG984" s="6"/>
      <c r="CH984" s="6"/>
      <c r="CI984" s="6"/>
      <c r="CJ984" s="6"/>
      <c r="CK984" s="123"/>
      <c r="CL984" s="6"/>
      <c r="CM984" s="6"/>
      <c r="CN984" s="6"/>
      <c r="CO984" s="138"/>
      <c r="CP984" s="138"/>
      <c r="CQ984" s="123"/>
      <c r="CR984" s="6"/>
      <c r="CS984" s="6"/>
      <c r="CT984" s="139"/>
      <c r="CU984" s="139"/>
      <c r="CV984" s="76"/>
      <c r="CW984" s="123"/>
      <c r="CX984" s="6"/>
      <c r="DI984" s="125"/>
      <c r="DJ984" s="16"/>
      <c r="DM984" s="16"/>
      <c r="DN984" s="16"/>
      <c r="DO984" s="125"/>
      <c r="DP984" s="16"/>
      <c r="DQ984" s="125"/>
      <c r="DZ984" s="125"/>
      <c r="EA984" s="142"/>
      <c r="EB984" s="125"/>
      <c r="EC984" s="16"/>
      <c r="ED984" s="125"/>
      <c r="EE984" s="125"/>
      <c r="EF984" s="16"/>
      <c r="EG984" s="125"/>
      <c r="EQ984" s="125"/>
      <c r="ER984" s="16"/>
      <c r="ES984" s="123"/>
      <c r="ET984" s="19"/>
      <c r="EU984" s="139"/>
      <c r="EV984" s="139"/>
      <c r="EW984" s="123"/>
      <c r="EX984" s="123"/>
      <c r="EY984" s="123"/>
      <c r="EZ984" s="123"/>
      <c r="FA984" s="123"/>
      <c r="FB984" s="123"/>
      <c r="FC984" s="6"/>
      <c r="FD984" s="123"/>
      <c r="FE984" s="6"/>
      <c r="FF984" s="123"/>
      <c r="FG984" s="6"/>
      <c r="FH984" s="6"/>
      <c r="FI984" s="6"/>
      <c r="FJ984" s="6"/>
      <c r="FK984" s="123"/>
      <c r="FL984" s="6"/>
      <c r="FM984" s="6"/>
      <c r="FN984" s="6"/>
      <c r="FO984" s="138"/>
      <c r="FP984" s="138"/>
      <c r="FQ984" s="123"/>
      <c r="FR984" s="6"/>
      <c r="FS984" s="6"/>
      <c r="FT984" s="139"/>
      <c r="FU984" s="139"/>
      <c r="FV984" s="76"/>
      <c r="FW984" s="123"/>
      <c r="FX984" s="6"/>
    </row>
    <row r="985" spans="35:180">
      <c r="AI985" s="125"/>
      <c r="AJ985" s="16"/>
      <c r="AM985" s="16"/>
      <c r="AN985" s="16"/>
      <c r="AO985" s="125"/>
      <c r="AP985" s="16"/>
      <c r="AQ985" s="125"/>
      <c r="AZ985" s="125"/>
      <c r="BA985" s="142"/>
      <c r="BB985" s="125"/>
      <c r="BC985" s="16"/>
      <c r="BD985" s="125"/>
      <c r="BE985" s="125"/>
      <c r="BF985" s="16"/>
      <c r="BG985" s="125"/>
      <c r="BQ985" s="125"/>
      <c r="BR985" s="16"/>
      <c r="BS985" s="123"/>
      <c r="BT985" s="19"/>
      <c r="BU985" s="139"/>
      <c r="BV985" s="139"/>
      <c r="BW985" s="123"/>
      <c r="BX985" s="123"/>
      <c r="BY985" s="123"/>
      <c r="BZ985" s="123"/>
      <c r="CA985" s="123"/>
      <c r="CB985" s="123"/>
      <c r="CC985" s="6"/>
      <c r="CD985" s="123"/>
      <c r="CE985" s="6"/>
      <c r="CF985" s="123"/>
      <c r="CG985" s="6"/>
      <c r="CH985" s="6"/>
      <c r="CI985" s="6"/>
      <c r="CJ985" s="6"/>
      <c r="CK985" s="123"/>
      <c r="CL985" s="6"/>
      <c r="CM985" s="6"/>
      <c r="CN985" s="6"/>
      <c r="CO985" s="138"/>
      <c r="CP985" s="138"/>
      <c r="CQ985" s="123"/>
      <c r="CR985" s="6"/>
      <c r="CS985" s="6"/>
      <c r="CT985" s="139"/>
      <c r="CU985" s="139"/>
      <c r="CV985" s="76"/>
      <c r="CW985" s="123"/>
      <c r="CX985" s="6"/>
      <c r="DI985" s="125"/>
      <c r="DJ985" s="16"/>
      <c r="DM985" s="16"/>
      <c r="DN985" s="16"/>
      <c r="DO985" s="125"/>
      <c r="DP985" s="16"/>
      <c r="DQ985" s="125"/>
      <c r="DZ985" s="125"/>
      <c r="EA985" s="142"/>
      <c r="EB985" s="125"/>
      <c r="EC985" s="16"/>
      <c r="ED985" s="125"/>
      <c r="EE985" s="125"/>
      <c r="EF985" s="16"/>
      <c r="EG985" s="125"/>
      <c r="EQ985" s="125"/>
      <c r="ER985" s="16"/>
      <c r="ES985" s="123"/>
      <c r="ET985" s="19"/>
      <c r="EU985" s="139"/>
      <c r="EV985" s="139"/>
      <c r="EW985" s="123"/>
      <c r="EX985" s="123"/>
      <c r="EY985" s="123"/>
      <c r="EZ985" s="123"/>
      <c r="FA985" s="123"/>
      <c r="FB985" s="123"/>
      <c r="FC985" s="6"/>
      <c r="FD985" s="123"/>
      <c r="FE985" s="6"/>
      <c r="FF985" s="123"/>
      <c r="FG985" s="6"/>
      <c r="FH985" s="6"/>
      <c r="FI985" s="6"/>
      <c r="FJ985" s="6"/>
      <c r="FK985" s="123"/>
      <c r="FL985" s="6"/>
      <c r="FM985" s="6"/>
      <c r="FN985" s="6"/>
      <c r="FO985" s="138"/>
      <c r="FP985" s="138"/>
      <c r="FQ985" s="123"/>
      <c r="FR985" s="6"/>
      <c r="FS985" s="6"/>
      <c r="FT985" s="139"/>
      <c r="FU985" s="139"/>
      <c r="FV985" s="76"/>
      <c r="FW985" s="123"/>
      <c r="FX985" s="6"/>
    </row>
    <row r="986" spans="35:180">
      <c r="AI986" s="125"/>
      <c r="AJ986" s="16"/>
      <c r="AM986" s="16"/>
      <c r="AN986" s="16"/>
      <c r="AO986" s="125"/>
      <c r="AP986" s="16"/>
      <c r="AQ986" s="125"/>
      <c r="AZ986" s="125"/>
      <c r="BA986" s="142"/>
      <c r="BB986" s="125"/>
      <c r="BC986" s="16"/>
      <c r="BD986" s="125"/>
      <c r="BE986" s="125"/>
      <c r="BF986" s="16"/>
      <c r="BG986" s="125"/>
      <c r="BQ986" s="125"/>
      <c r="BR986" s="16"/>
      <c r="BS986" s="123"/>
      <c r="BT986" s="19"/>
      <c r="BU986" s="139"/>
      <c r="BV986" s="139"/>
      <c r="BW986" s="123"/>
      <c r="BX986" s="123"/>
      <c r="BY986" s="123"/>
      <c r="BZ986" s="123"/>
      <c r="CA986" s="123"/>
      <c r="CB986" s="123"/>
      <c r="CC986" s="6"/>
      <c r="CD986" s="123"/>
      <c r="CE986" s="6"/>
      <c r="CF986" s="123"/>
      <c r="CG986" s="6"/>
      <c r="CH986" s="6"/>
      <c r="CI986" s="6"/>
      <c r="CJ986" s="6"/>
      <c r="CK986" s="123"/>
      <c r="CL986" s="6"/>
      <c r="CM986" s="6"/>
      <c r="CN986" s="6"/>
      <c r="CO986" s="138"/>
      <c r="CP986" s="138"/>
      <c r="CQ986" s="123"/>
      <c r="CR986" s="6"/>
      <c r="CS986" s="6"/>
      <c r="CT986" s="139"/>
      <c r="CU986" s="139"/>
      <c r="CV986" s="76"/>
      <c r="CW986" s="123"/>
      <c r="CX986" s="6"/>
      <c r="DI986" s="125"/>
      <c r="DJ986" s="16"/>
      <c r="DM986" s="16"/>
      <c r="DN986" s="16"/>
      <c r="DO986" s="125"/>
      <c r="DP986" s="16"/>
      <c r="DQ986" s="125"/>
      <c r="DZ986" s="125"/>
      <c r="EA986" s="142"/>
      <c r="EB986" s="125"/>
      <c r="EC986" s="16"/>
      <c r="ED986" s="125"/>
      <c r="EE986" s="125"/>
      <c r="EF986" s="16"/>
      <c r="EG986" s="125"/>
      <c r="EQ986" s="125"/>
      <c r="ER986" s="16"/>
      <c r="ES986" s="123"/>
      <c r="ET986" s="19"/>
      <c r="EU986" s="139"/>
      <c r="EV986" s="139"/>
      <c r="EW986" s="123"/>
      <c r="EX986" s="123"/>
      <c r="EY986" s="123"/>
      <c r="EZ986" s="123"/>
      <c r="FA986" s="123"/>
      <c r="FB986" s="123"/>
      <c r="FC986" s="6"/>
      <c r="FD986" s="123"/>
      <c r="FE986" s="6"/>
      <c r="FF986" s="123"/>
      <c r="FG986" s="6"/>
      <c r="FH986" s="6"/>
      <c r="FI986" s="6"/>
      <c r="FJ986" s="6"/>
      <c r="FK986" s="123"/>
      <c r="FL986" s="6"/>
      <c r="FM986" s="6"/>
      <c r="FN986" s="6"/>
      <c r="FO986" s="138"/>
      <c r="FP986" s="138"/>
      <c r="FQ986" s="123"/>
      <c r="FR986" s="6"/>
      <c r="FS986" s="6"/>
      <c r="FT986" s="139"/>
      <c r="FU986" s="139"/>
      <c r="FV986" s="76"/>
      <c r="FW986" s="123"/>
      <c r="FX986" s="6"/>
    </row>
    <row r="987" spans="35:180">
      <c r="AI987" s="125"/>
      <c r="AJ987" s="16"/>
      <c r="AM987" s="16"/>
      <c r="AN987" s="16"/>
      <c r="AO987" s="125"/>
      <c r="AP987" s="16"/>
      <c r="AQ987" s="125"/>
      <c r="AZ987" s="125"/>
      <c r="BA987" s="142"/>
      <c r="BB987" s="125"/>
      <c r="BC987" s="16"/>
      <c r="BD987" s="125"/>
      <c r="BE987" s="125"/>
      <c r="BF987" s="16"/>
      <c r="BG987" s="125"/>
      <c r="BQ987" s="125"/>
      <c r="BR987" s="16"/>
      <c r="BS987" s="123"/>
      <c r="BT987" s="19"/>
      <c r="BU987" s="139"/>
      <c r="BV987" s="139"/>
      <c r="BW987" s="123"/>
      <c r="BX987" s="123"/>
      <c r="BY987" s="123"/>
      <c r="BZ987" s="123"/>
      <c r="CA987" s="123"/>
      <c r="CB987" s="123"/>
      <c r="CC987" s="6"/>
      <c r="CD987" s="123"/>
      <c r="CE987" s="6"/>
      <c r="CF987" s="123"/>
      <c r="CG987" s="6"/>
      <c r="CH987" s="6"/>
      <c r="CI987" s="6"/>
      <c r="CJ987" s="6"/>
      <c r="CK987" s="123"/>
      <c r="CL987" s="6"/>
      <c r="CM987" s="6"/>
      <c r="CN987" s="6"/>
      <c r="CO987" s="138"/>
      <c r="CP987" s="138"/>
      <c r="CQ987" s="123"/>
      <c r="CR987" s="6"/>
      <c r="CS987" s="6"/>
      <c r="CT987" s="139"/>
      <c r="CU987" s="139"/>
      <c r="CV987" s="76"/>
      <c r="CW987" s="123"/>
      <c r="CX987" s="6"/>
      <c r="DI987" s="125"/>
      <c r="DJ987" s="16"/>
      <c r="DM987" s="16"/>
      <c r="DN987" s="16"/>
      <c r="DO987" s="125"/>
      <c r="DP987" s="16"/>
      <c r="DQ987" s="125"/>
      <c r="DZ987" s="125"/>
      <c r="EA987" s="142"/>
      <c r="EB987" s="125"/>
      <c r="EC987" s="16"/>
      <c r="ED987" s="125"/>
      <c r="EE987" s="125"/>
      <c r="EF987" s="16"/>
      <c r="EG987" s="125"/>
      <c r="EQ987" s="125"/>
      <c r="ER987" s="16"/>
      <c r="ES987" s="123"/>
      <c r="ET987" s="19"/>
      <c r="EU987" s="139"/>
      <c r="EV987" s="139"/>
      <c r="EW987" s="123"/>
      <c r="EX987" s="123"/>
      <c r="EY987" s="123"/>
      <c r="EZ987" s="123"/>
      <c r="FA987" s="123"/>
      <c r="FB987" s="123"/>
      <c r="FC987" s="6"/>
      <c r="FD987" s="123"/>
      <c r="FE987" s="6"/>
      <c r="FF987" s="123"/>
      <c r="FG987" s="6"/>
      <c r="FH987" s="6"/>
      <c r="FI987" s="6"/>
      <c r="FJ987" s="6"/>
      <c r="FK987" s="123"/>
      <c r="FL987" s="6"/>
      <c r="FM987" s="6"/>
      <c r="FN987" s="6"/>
      <c r="FO987" s="138"/>
      <c r="FP987" s="138"/>
      <c r="FQ987" s="123"/>
      <c r="FR987" s="6"/>
      <c r="FS987" s="6"/>
      <c r="FT987" s="139"/>
      <c r="FU987" s="139"/>
      <c r="FV987" s="76"/>
      <c r="FW987" s="123"/>
      <c r="FX987" s="6"/>
    </row>
    <row r="988" spans="35:180">
      <c r="AI988" s="125"/>
      <c r="AJ988" s="16"/>
      <c r="AM988" s="16"/>
      <c r="AN988" s="16"/>
      <c r="AO988" s="125"/>
      <c r="AP988" s="16"/>
      <c r="AQ988" s="125"/>
      <c r="AZ988" s="125"/>
      <c r="BA988" s="142"/>
      <c r="BB988" s="125"/>
      <c r="BC988" s="16"/>
      <c r="BD988" s="125"/>
      <c r="BE988" s="125"/>
      <c r="BF988" s="16"/>
      <c r="BG988" s="125"/>
      <c r="BQ988" s="125"/>
      <c r="BR988" s="16"/>
      <c r="BS988" s="123"/>
      <c r="BT988" s="19"/>
      <c r="BU988" s="139"/>
      <c r="BV988" s="139"/>
      <c r="BW988" s="123"/>
      <c r="BX988" s="123"/>
      <c r="BY988" s="123"/>
      <c r="BZ988" s="123"/>
      <c r="CA988" s="123"/>
      <c r="CB988" s="123"/>
      <c r="CC988" s="6"/>
      <c r="CD988" s="123"/>
      <c r="CE988" s="6"/>
      <c r="CF988" s="123"/>
      <c r="CG988" s="6"/>
      <c r="CH988" s="6"/>
      <c r="CI988" s="6"/>
      <c r="CJ988" s="6"/>
      <c r="CK988" s="123"/>
      <c r="CL988" s="6"/>
      <c r="CM988" s="6"/>
      <c r="CN988" s="6"/>
      <c r="CO988" s="138"/>
      <c r="CP988" s="138"/>
      <c r="CQ988" s="123"/>
      <c r="CR988" s="6"/>
      <c r="CS988" s="6"/>
      <c r="CT988" s="139"/>
      <c r="CU988" s="139"/>
      <c r="CV988" s="76"/>
      <c r="CW988" s="123"/>
      <c r="CX988" s="6"/>
      <c r="DI988" s="125"/>
      <c r="DJ988" s="16"/>
      <c r="DM988" s="16"/>
      <c r="DN988" s="16"/>
      <c r="DO988" s="125"/>
      <c r="DP988" s="16"/>
      <c r="DQ988" s="125"/>
      <c r="DZ988" s="125"/>
      <c r="EA988" s="142"/>
      <c r="EB988" s="125"/>
      <c r="EC988" s="16"/>
      <c r="ED988" s="125"/>
      <c r="EE988" s="125"/>
      <c r="EF988" s="16"/>
      <c r="EG988" s="125"/>
      <c r="EQ988" s="125"/>
      <c r="ER988" s="16"/>
      <c r="ES988" s="123"/>
      <c r="ET988" s="19"/>
      <c r="EU988" s="139"/>
      <c r="EV988" s="139"/>
      <c r="EW988" s="123"/>
      <c r="EX988" s="123"/>
      <c r="EY988" s="123"/>
      <c r="EZ988" s="123"/>
      <c r="FA988" s="123"/>
      <c r="FB988" s="123"/>
      <c r="FC988" s="6"/>
      <c r="FD988" s="123"/>
      <c r="FE988" s="6"/>
      <c r="FF988" s="123"/>
      <c r="FG988" s="6"/>
      <c r="FH988" s="6"/>
      <c r="FI988" s="6"/>
      <c r="FJ988" s="6"/>
      <c r="FK988" s="123"/>
      <c r="FL988" s="6"/>
      <c r="FM988" s="6"/>
      <c r="FN988" s="6"/>
      <c r="FO988" s="138"/>
      <c r="FP988" s="138"/>
      <c r="FQ988" s="123"/>
      <c r="FR988" s="6"/>
      <c r="FS988" s="6"/>
      <c r="FT988" s="139"/>
      <c r="FU988" s="139"/>
      <c r="FV988" s="76"/>
      <c r="FW988" s="123"/>
      <c r="FX988" s="6"/>
    </row>
    <row r="989" spans="35:180">
      <c r="AI989" s="125"/>
      <c r="AJ989" s="16"/>
      <c r="AM989" s="16"/>
      <c r="AN989" s="16"/>
      <c r="AO989" s="125"/>
      <c r="AP989" s="16"/>
      <c r="AQ989" s="125"/>
      <c r="AZ989" s="125"/>
      <c r="BA989" s="142"/>
      <c r="BB989" s="125"/>
      <c r="BC989" s="16"/>
      <c r="BD989" s="125"/>
      <c r="BE989" s="125"/>
      <c r="BF989" s="16"/>
      <c r="BG989" s="125"/>
      <c r="BQ989" s="125"/>
      <c r="BR989" s="16"/>
      <c r="BS989" s="123"/>
      <c r="BT989" s="19"/>
      <c r="BU989" s="139"/>
      <c r="BV989" s="139"/>
      <c r="BW989" s="123"/>
      <c r="BX989" s="123"/>
      <c r="BY989" s="123"/>
      <c r="BZ989" s="123"/>
      <c r="CA989" s="123"/>
      <c r="CB989" s="123"/>
      <c r="CC989" s="6"/>
      <c r="CD989" s="123"/>
      <c r="CE989" s="6"/>
      <c r="CF989" s="123"/>
      <c r="CG989" s="6"/>
      <c r="CH989" s="6"/>
      <c r="CI989" s="6"/>
      <c r="CJ989" s="6"/>
      <c r="CK989" s="123"/>
      <c r="CL989" s="6"/>
      <c r="CM989" s="6"/>
      <c r="CN989" s="6"/>
      <c r="CO989" s="138"/>
      <c r="CP989" s="138"/>
      <c r="CQ989" s="123"/>
      <c r="CR989" s="6"/>
      <c r="CS989" s="6"/>
      <c r="CT989" s="139"/>
      <c r="CU989" s="139"/>
      <c r="CV989" s="76"/>
      <c r="CW989" s="123"/>
      <c r="CX989" s="6"/>
      <c r="DI989" s="125"/>
      <c r="DJ989" s="16"/>
      <c r="DM989" s="16"/>
      <c r="DN989" s="16"/>
      <c r="DO989" s="125"/>
      <c r="DP989" s="16"/>
      <c r="DQ989" s="125"/>
      <c r="DZ989" s="125"/>
      <c r="EA989" s="142"/>
      <c r="EB989" s="125"/>
      <c r="EC989" s="16"/>
      <c r="ED989" s="125"/>
      <c r="EE989" s="125"/>
      <c r="EF989" s="16"/>
      <c r="EG989" s="125"/>
      <c r="EQ989" s="125"/>
      <c r="ER989" s="16"/>
      <c r="ES989" s="123"/>
      <c r="ET989" s="19"/>
      <c r="EU989" s="139"/>
      <c r="EV989" s="139"/>
      <c r="EW989" s="123"/>
      <c r="EX989" s="123"/>
      <c r="EY989" s="123"/>
      <c r="EZ989" s="123"/>
      <c r="FA989" s="123"/>
      <c r="FB989" s="123"/>
      <c r="FC989" s="6"/>
      <c r="FD989" s="123"/>
      <c r="FE989" s="6"/>
      <c r="FF989" s="123"/>
      <c r="FG989" s="6"/>
      <c r="FH989" s="6"/>
      <c r="FI989" s="6"/>
      <c r="FJ989" s="6"/>
      <c r="FK989" s="123"/>
      <c r="FL989" s="6"/>
      <c r="FM989" s="6"/>
      <c r="FN989" s="6"/>
      <c r="FO989" s="138"/>
      <c r="FP989" s="138"/>
      <c r="FQ989" s="123"/>
      <c r="FR989" s="6"/>
      <c r="FS989" s="6"/>
      <c r="FT989" s="139"/>
      <c r="FU989" s="139"/>
      <c r="FV989" s="76"/>
      <c r="FW989" s="123"/>
      <c r="FX989" s="6"/>
    </row>
    <row r="990" spans="35:180">
      <c r="AI990" s="125"/>
      <c r="AJ990" s="16"/>
      <c r="AM990" s="16"/>
      <c r="AN990" s="16"/>
      <c r="AO990" s="125"/>
      <c r="AP990" s="16"/>
      <c r="AQ990" s="125"/>
      <c r="AZ990" s="125"/>
      <c r="BA990" s="142"/>
      <c r="BB990" s="125"/>
      <c r="BC990" s="16"/>
      <c r="BD990" s="125"/>
      <c r="BE990" s="125"/>
      <c r="BF990" s="16"/>
      <c r="BG990" s="125"/>
      <c r="BQ990" s="125"/>
      <c r="BR990" s="16"/>
      <c r="BS990" s="123"/>
      <c r="BT990" s="19"/>
      <c r="BU990" s="139"/>
      <c r="BV990" s="139"/>
      <c r="BW990" s="123"/>
      <c r="BX990" s="123"/>
      <c r="BY990" s="123"/>
      <c r="BZ990" s="123"/>
      <c r="CA990" s="123"/>
      <c r="CB990" s="123"/>
      <c r="CC990" s="6"/>
      <c r="CD990" s="123"/>
      <c r="CE990" s="6"/>
      <c r="CF990" s="123"/>
      <c r="CG990" s="6"/>
      <c r="CH990" s="6"/>
      <c r="CI990" s="6"/>
      <c r="CJ990" s="6"/>
      <c r="CK990" s="123"/>
      <c r="CL990" s="6"/>
      <c r="CM990" s="6"/>
      <c r="CN990" s="6"/>
      <c r="CO990" s="138"/>
      <c r="CP990" s="138"/>
      <c r="CQ990" s="123"/>
      <c r="CR990" s="6"/>
      <c r="CS990" s="6"/>
      <c r="CT990" s="139"/>
      <c r="CU990" s="139"/>
      <c r="CV990" s="76"/>
      <c r="CW990" s="123"/>
      <c r="CX990" s="6"/>
      <c r="DI990" s="125"/>
      <c r="DJ990" s="16"/>
      <c r="DM990" s="16"/>
      <c r="DN990" s="16"/>
      <c r="DO990" s="125"/>
      <c r="DP990" s="16"/>
      <c r="DQ990" s="125"/>
      <c r="DZ990" s="125"/>
      <c r="EA990" s="142"/>
      <c r="EB990" s="125"/>
      <c r="EC990" s="16"/>
      <c r="ED990" s="125"/>
      <c r="EE990" s="125"/>
      <c r="EF990" s="16"/>
      <c r="EG990" s="125"/>
      <c r="EQ990" s="125"/>
      <c r="ER990" s="16"/>
      <c r="ES990" s="123"/>
      <c r="ET990" s="19"/>
      <c r="EU990" s="139"/>
      <c r="EV990" s="139"/>
      <c r="EW990" s="123"/>
      <c r="EX990" s="123"/>
      <c r="EY990" s="123"/>
      <c r="EZ990" s="123"/>
      <c r="FA990" s="123"/>
      <c r="FB990" s="123"/>
      <c r="FC990" s="6"/>
      <c r="FD990" s="123"/>
      <c r="FE990" s="6"/>
      <c r="FF990" s="123"/>
      <c r="FG990" s="6"/>
      <c r="FH990" s="6"/>
      <c r="FI990" s="6"/>
      <c r="FJ990" s="6"/>
      <c r="FK990" s="123"/>
      <c r="FL990" s="6"/>
      <c r="FM990" s="6"/>
      <c r="FN990" s="6"/>
      <c r="FO990" s="138"/>
      <c r="FP990" s="138"/>
      <c r="FQ990" s="123"/>
      <c r="FR990" s="6"/>
      <c r="FS990" s="6"/>
      <c r="FT990" s="139"/>
      <c r="FU990" s="139"/>
      <c r="FV990" s="76"/>
      <c r="FW990" s="123"/>
      <c r="FX990" s="6"/>
    </row>
    <row r="991" spans="35:180">
      <c r="AI991" s="125"/>
      <c r="AJ991" s="16"/>
      <c r="AM991" s="16"/>
      <c r="AN991" s="16"/>
      <c r="AO991" s="125"/>
      <c r="AP991" s="16"/>
      <c r="AQ991" s="125"/>
      <c r="AZ991" s="125"/>
      <c r="BA991" s="142"/>
      <c r="BB991" s="125"/>
      <c r="BC991" s="16"/>
      <c r="BD991" s="125"/>
      <c r="BE991" s="125"/>
      <c r="BF991" s="16"/>
      <c r="BG991" s="125"/>
      <c r="BQ991" s="125"/>
      <c r="BR991" s="16"/>
      <c r="BS991" s="123"/>
      <c r="BT991" s="19"/>
      <c r="BU991" s="139"/>
      <c r="BV991" s="139"/>
      <c r="BW991" s="123"/>
      <c r="BX991" s="123"/>
      <c r="BY991" s="123"/>
      <c r="BZ991" s="123"/>
      <c r="CA991" s="123"/>
      <c r="CB991" s="123"/>
      <c r="CC991" s="6"/>
      <c r="CD991" s="123"/>
      <c r="CE991" s="6"/>
      <c r="CF991" s="123"/>
      <c r="CG991" s="6"/>
      <c r="CH991" s="6"/>
      <c r="CI991" s="6"/>
      <c r="CJ991" s="6"/>
      <c r="CK991" s="123"/>
      <c r="CL991" s="6"/>
      <c r="CM991" s="6"/>
      <c r="CN991" s="6"/>
      <c r="CO991" s="138"/>
      <c r="CP991" s="138"/>
      <c r="CQ991" s="123"/>
      <c r="CR991" s="6"/>
      <c r="CS991" s="6"/>
      <c r="CT991" s="139"/>
      <c r="CU991" s="139"/>
      <c r="CV991" s="76"/>
      <c r="CW991" s="123"/>
      <c r="CX991" s="6"/>
      <c r="DI991" s="125"/>
      <c r="DJ991" s="16"/>
      <c r="DM991" s="16"/>
      <c r="DN991" s="16"/>
      <c r="DO991" s="125"/>
      <c r="DP991" s="16"/>
      <c r="DQ991" s="125"/>
      <c r="DZ991" s="125"/>
      <c r="EA991" s="142"/>
      <c r="EB991" s="125"/>
      <c r="EC991" s="16"/>
      <c r="ED991" s="125"/>
      <c r="EE991" s="125"/>
      <c r="EF991" s="16"/>
      <c r="EG991" s="125"/>
      <c r="EQ991" s="125"/>
      <c r="ER991" s="16"/>
      <c r="ES991" s="123"/>
      <c r="ET991" s="19"/>
      <c r="EU991" s="139"/>
      <c r="EV991" s="139"/>
      <c r="EW991" s="123"/>
      <c r="EX991" s="123"/>
      <c r="EY991" s="123"/>
      <c r="EZ991" s="123"/>
      <c r="FA991" s="123"/>
      <c r="FB991" s="123"/>
      <c r="FC991" s="6"/>
      <c r="FD991" s="123"/>
      <c r="FE991" s="6"/>
      <c r="FF991" s="123"/>
      <c r="FG991" s="6"/>
      <c r="FH991" s="6"/>
      <c r="FI991" s="6"/>
      <c r="FJ991" s="6"/>
      <c r="FK991" s="123"/>
      <c r="FL991" s="6"/>
      <c r="FM991" s="6"/>
      <c r="FN991" s="6"/>
      <c r="FO991" s="138"/>
      <c r="FP991" s="138"/>
      <c r="FQ991" s="123"/>
      <c r="FR991" s="6"/>
      <c r="FS991" s="6"/>
      <c r="FT991" s="139"/>
      <c r="FU991" s="139"/>
      <c r="FV991" s="76"/>
      <c r="FW991" s="123"/>
      <c r="FX991" s="6"/>
    </row>
    <row r="992" spans="35:180">
      <c r="AI992" s="125"/>
      <c r="AJ992" s="16"/>
      <c r="AM992" s="16"/>
      <c r="AN992" s="16"/>
      <c r="AO992" s="125"/>
      <c r="AP992" s="16"/>
      <c r="AQ992" s="125"/>
      <c r="AZ992" s="125"/>
      <c r="BA992" s="142"/>
      <c r="BB992" s="125"/>
      <c r="BC992" s="16"/>
      <c r="BD992" s="125"/>
      <c r="BE992" s="125"/>
      <c r="BF992" s="16"/>
      <c r="BG992" s="125"/>
      <c r="BQ992" s="125"/>
      <c r="BR992" s="16"/>
      <c r="BS992" s="123"/>
      <c r="BT992" s="19"/>
      <c r="BU992" s="139"/>
      <c r="BV992" s="139"/>
      <c r="BW992" s="123"/>
      <c r="BX992" s="123"/>
      <c r="BY992" s="123"/>
      <c r="BZ992" s="123"/>
      <c r="CA992" s="123"/>
      <c r="CB992" s="123"/>
      <c r="CC992" s="6"/>
      <c r="CD992" s="123"/>
      <c r="CE992" s="6"/>
      <c r="CF992" s="123"/>
      <c r="CG992" s="6"/>
      <c r="CH992" s="6"/>
      <c r="CI992" s="6"/>
      <c r="CJ992" s="6"/>
      <c r="CK992" s="123"/>
      <c r="CL992" s="6"/>
      <c r="CM992" s="6"/>
      <c r="CN992" s="6"/>
      <c r="CO992" s="138"/>
      <c r="CP992" s="138"/>
      <c r="CQ992" s="123"/>
      <c r="CR992" s="6"/>
      <c r="CS992" s="6"/>
      <c r="CT992" s="139"/>
      <c r="CU992" s="139"/>
      <c r="CV992" s="76"/>
      <c r="CW992" s="123"/>
      <c r="CX992" s="6"/>
      <c r="DI992" s="125"/>
      <c r="DJ992" s="16"/>
      <c r="DM992" s="16"/>
      <c r="DN992" s="16"/>
      <c r="DO992" s="125"/>
      <c r="DP992" s="16"/>
      <c r="DQ992" s="125"/>
      <c r="DZ992" s="125"/>
      <c r="EA992" s="142"/>
      <c r="EB992" s="125"/>
      <c r="EC992" s="16"/>
      <c r="ED992" s="125"/>
      <c r="EE992" s="125"/>
      <c r="EF992" s="16"/>
      <c r="EG992" s="125"/>
      <c r="EQ992" s="125"/>
      <c r="ER992" s="16"/>
      <c r="ES992" s="123"/>
      <c r="ET992" s="19"/>
      <c r="EU992" s="139"/>
      <c r="EV992" s="139"/>
      <c r="EW992" s="123"/>
      <c r="EX992" s="123"/>
      <c r="EY992" s="123"/>
      <c r="EZ992" s="123"/>
      <c r="FA992" s="123"/>
      <c r="FB992" s="123"/>
      <c r="FC992" s="6"/>
      <c r="FD992" s="123"/>
      <c r="FE992" s="6"/>
      <c r="FF992" s="123"/>
      <c r="FG992" s="6"/>
      <c r="FH992" s="6"/>
      <c r="FI992" s="6"/>
      <c r="FJ992" s="6"/>
      <c r="FK992" s="123"/>
      <c r="FL992" s="6"/>
      <c r="FM992" s="6"/>
      <c r="FN992" s="6"/>
      <c r="FO992" s="138"/>
      <c r="FP992" s="138"/>
      <c r="FQ992" s="123"/>
      <c r="FR992" s="6"/>
      <c r="FS992" s="6"/>
      <c r="FT992" s="139"/>
      <c r="FU992" s="139"/>
      <c r="FV992" s="76"/>
      <c r="FW992" s="123"/>
      <c r="FX992" s="6"/>
    </row>
    <row r="993" spans="35:180">
      <c r="AI993" s="125"/>
      <c r="AJ993" s="16"/>
      <c r="AM993" s="16"/>
      <c r="AN993" s="16"/>
      <c r="AO993" s="125"/>
      <c r="AP993" s="16"/>
      <c r="AQ993" s="125"/>
      <c r="AZ993" s="125"/>
      <c r="BA993" s="142"/>
      <c r="BB993" s="125"/>
      <c r="BC993" s="16"/>
      <c r="BD993" s="125"/>
      <c r="BE993" s="125"/>
      <c r="BF993" s="16"/>
      <c r="BG993" s="125"/>
      <c r="BQ993" s="125"/>
      <c r="BR993" s="16"/>
      <c r="BS993" s="123"/>
      <c r="BT993" s="19"/>
      <c r="BU993" s="139"/>
      <c r="BV993" s="139"/>
      <c r="BW993" s="123"/>
      <c r="BX993" s="123"/>
      <c r="BY993" s="123"/>
      <c r="BZ993" s="123"/>
      <c r="CA993" s="123"/>
      <c r="CB993" s="123"/>
      <c r="CC993" s="6"/>
      <c r="CD993" s="123"/>
      <c r="CE993" s="6"/>
      <c r="CF993" s="123"/>
      <c r="CG993" s="6"/>
      <c r="CH993" s="6"/>
      <c r="CI993" s="6"/>
      <c r="CJ993" s="6"/>
      <c r="CK993" s="123"/>
      <c r="CL993" s="6"/>
      <c r="CM993" s="6"/>
      <c r="CN993" s="6"/>
      <c r="CO993" s="138"/>
      <c r="CP993" s="138"/>
      <c r="CQ993" s="123"/>
      <c r="CR993" s="6"/>
      <c r="CS993" s="6"/>
      <c r="CT993" s="139"/>
      <c r="CU993" s="139"/>
      <c r="CV993" s="76"/>
      <c r="CW993" s="123"/>
      <c r="CX993" s="6"/>
      <c r="DI993" s="125"/>
      <c r="DJ993" s="16"/>
      <c r="DM993" s="16"/>
      <c r="DN993" s="16"/>
      <c r="DO993" s="125"/>
      <c r="DP993" s="16"/>
      <c r="DQ993" s="125"/>
      <c r="DZ993" s="125"/>
      <c r="EA993" s="142"/>
      <c r="EB993" s="125"/>
      <c r="EC993" s="16"/>
      <c r="ED993" s="125"/>
      <c r="EE993" s="125"/>
      <c r="EF993" s="16"/>
      <c r="EG993" s="125"/>
      <c r="EQ993" s="125"/>
      <c r="ER993" s="16"/>
      <c r="ES993" s="123"/>
      <c r="ET993" s="19"/>
      <c r="EU993" s="139"/>
      <c r="EV993" s="139"/>
      <c r="EW993" s="123"/>
      <c r="EX993" s="123"/>
      <c r="EY993" s="123"/>
      <c r="EZ993" s="123"/>
      <c r="FA993" s="123"/>
      <c r="FB993" s="123"/>
      <c r="FC993" s="6"/>
      <c r="FD993" s="123"/>
      <c r="FE993" s="6"/>
      <c r="FF993" s="123"/>
      <c r="FG993" s="6"/>
      <c r="FH993" s="6"/>
      <c r="FI993" s="6"/>
      <c r="FJ993" s="6"/>
      <c r="FK993" s="123"/>
      <c r="FL993" s="6"/>
      <c r="FM993" s="6"/>
      <c r="FN993" s="6"/>
      <c r="FO993" s="138"/>
      <c r="FP993" s="138"/>
      <c r="FQ993" s="123"/>
      <c r="FR993" s="6"/>
      <c r="FS993" s="6"/>
      <c r="FT993" s="139"/>
      <c r="FU993" s="139"/>
      <c r="FV993" s="76"/>
      <c r="FW993" s="123"/>
      <c r="FX993" s="6"/>
    </row>
    <row r="994" spans="35:180">
      <c r="AI994" s="125"/>
      <c r="AJ994" s="16"/>
      <c r="AM994" s="16"/>
      <c r="AN994" s="16"/>
      <c r="AO994" s="125"/>
      <c r="AP994" s="16"/>
      <c r="AQ994" s="125"/>
      <c r="AZ994" s="125"/>
      <c r="BA994" s="142"/>
      <c r="BB994" s="125"/>
      <c r="BC994" s="16"/>
      <c r="BD994" s="125"/>
      <c r="BE994" s="125"/>
      <c r="BF994" s="16"/>
      <c r="BG994" s="125"/>
      <c r="BQ994" s="125"/>
      <c r="BR994" s="16"/>
      <c r="BS994" s="123"/>
      <c r="BT994" s="19"/>
      <c r="BU994" s="139"/>
      <c r="BV994" s="139"/>
      <c r="BW994" s="123"/>
      <c r="BX994" s="123"/>
      <c r="BY994" s="123"/>
      <c r="BZ994" s="123"/>
      <c r="CA994" s="123"/>
      <c r="CB994" s="123"/>
      <c r="CC994" s="6"/>
      <c r="CD994" s="123"/>
      <c r="CE994" s="6"/>
      <c r="CF994" s="123"/>
      <c r="CG994" s="6"/>
      <c r="CH994" s="6"/>
      <c r="CI994" s="6"/>
      <c r="CJ994" s="6"/>
      <c r="CK994" s="123"/>
      <c r="CL994" s="6"/>
      <c r="CM994" s="6"/>
      <c r="CN994" s="6"/>
      <c r="CO994" s="138"/>
      <c r="CP994" s="138"/>
      <c r="CQ994" s="123"/>
      <c r="CR994" s="6"/>
      <c r="CS994" s="6"/>
      <c r="CT994" s="139"/>
      <c r="CU994" s="139"/>
      <c r="CV994" s="76"/>
      <c r="CW994" s="123"/>
      <c r="CX994" s="6"/>
      <c r="DI994" s="125"/>
      <c r="DJ994" s="16"/>
      <c r="DM994" s="16"/>
      <c r="DN994" s="16"/>
      <c r="DO994" s="125"/>
      <c r="DP994" s="16"/>
      <c r="DQ994" s="125"/>
      <c r="DZ994" s="125"/>
      <c r="EA994" s="142"/>
      <c r="EB994" s="125"/>
      <c r="EC994" s="16"/>
      <c r="ED994" s="125"/>
      <c r="EE994" s="125"/>
      <c r="EF994" s="16"/>
      <c r="EG994" s="125"/>
      <c r="EQ994" s="125"/>
      <c r="ER994" s="16"/>
      <c r="ES994" s="123"/>
      <c r="ET994" s="19"/>
      <c r="EU994" s="139"/>
      <c r="EV994" s="139"/>
      <c r="EW994" s="123"/>
      <c r="EX994" s="123"/>
      <c r="EY994" s="123"/>
      <c r="EZ994" s="123"/>
      <c r="FA994" s="123"/>
      <c r="FB994" s="123"/>
      <c r="FC994" s="6"/>
      <c r="FD994" s="123"/>
      <c r="FE994" s="6"/>
      <c r="FF994" s="123"/>
      <c r="FG994" s="6"/>
      <c r="FH994" s="6"/>
      <c r="FI994" s="6"/>
      <c r="FJ994" s="6"/>
      <c r="FK994" s="123"/>
      <c r="FL994" s="6"/>
      <c r="FM994" s="6"/>
      <c r="FN994" s="6"/>
      <c r="FO994" s="138"/>
      <c r="FP994" s="138"/>
      <c r="FQ994" s="123"/>
      <c r="FR994" s="6"/>
      <c r="FS994" s="6"/>
      <c r="FT994" s="139"/>
      <c r="FU994" s="139"/>
      <c r="FV994" s="76"/>
      <c r="FW994" s="123"/>
      <c r="FX994" s="6"/>
    </row>
    <row r="995" spans="35:180">
      <c r="AI995" s="125"/>
      <c r="AJ995" s="16"/>
      <c r="AM995" s="16"/>
      <c r="AN995" s="16"/>
      <c r="AO995" s="125"/>
      <c r="AP995" s="16"/>
      <c r="AQ995" s="125"/>
      <c r="AZ995" s="125"/>
      <c r="BA995" s="142"/>
      <c r="BB995" s="125"/>
      <c r="BC995" s="16"/>
      <c r="BD995" s="125"/>
      <c r="BE995" s="125"/>
      <c r="BF995" s="16"/>
      <c r="BG995" s="125"/>
      <c r="BQ995" s="125"/>
      <c r="BR995" s="16"/>
      <c r="BS995" s="123"/>
      <c r="BT995" s="19"/>
      <c r="BU995" s="139"/>
      <c r="BV995" s="139"/>
      <c r="BW995" s="123"/>
      <c r="BX995" s="123"/>
      <c r="BY995" s="123"/>
      <c r="BZ995" s="123"/>
      <c r="CA995" s="123"/>
      <c r="CB995" s="123"/>
      <c r="CC995" s="6"/>
      <c r="CD995" s="123"/>
      <c r="CE995" s="6"/>
      <c r="CF995" s="123"/>
      <c r="CG995" s="6"/>
      <c r="CH995" s="6"/>
      <c r="CI995" s="6"/>
      <c r="CJ995" s="6"/>
      <c r="CK995" s="123"/>
      <c r="CL995" s="6"/>
      <c r="CM995" s="6"/>
      <c r="CN995" s="6"/>
      <c r="CO995" s="138"/>
      <c r="CP995" s="138"/>
      <c r="CQ995" s="123"/>
      <c r="CR995" s="6"/>
      <c r="CS995" s="6"/>
      <c r="CT995" s="139"/>
      <c r="CU995" s="139"/>
      <c r="CV995" s="76"/>
      <c r="CW995" s="123"/>
      <c r="CX995" s="6"/>
      <c r="DI995" s="125"/>
      <c r="DJ995" s="16"/>
      <c r="DM995" s="16"/>
      <c r="DN995" s="16"/>
      <c r="DO995" s="125"/>
      <c r="DP995" s="16"/>
      <c r="DQ995" s="125"/>
      <c r="DZ995" s="125"/>
      <c r="EA995" s="142"/>
      <c r="EB995" s="125"/>
      <c r="EC995" s="16"/>
      <c r="ED995" s="125"/>
      <c r="EE995" s="125"/>
      <c r="EF995" s="16"/>
      <c r="EG995" s="125"/>
      <c r="EQ995" s="125"/>
      <c r="ER995" s="16"/>
      <c r="ES995" s="123"/>
      <c r="ET995" s="19"/>
      <c r="EU995" s="139"/>
      <c r="EV995" s="139"/>
      <c r="EW995" s="123"/>
      <c r="EX995" s="123"/>
      <c r="EY995" s="123"/>
      <c r="EZ995" s="123"/>
      <c r="FA995" s="123"/>
      <c r="FB995" s="123"/>
      <c r="FC995" s="6"/>
      <c r="FD995" s="123"/>
      <c r="FE995" s="6"/>
      <c r="FF995" s="123"/>
      <c r="FG995" s="6"/>
      <c r="FH995" s="6"/>
      <c r="FI995" s="6"/>
      <c r="FJ995" s="6"/>
      <c r="FK995" s="123"/>
      <c r="FL995" s="6"/>
      <c r="FM995" s="6"/>
      <c r="FN995" s="6"/>
      <c r="FO995" s="138"/>
      <c r="FP995" s="138"/>
      <c r="FQ995" s="123"/>
      <c r="FR995" s="6"/>
      <c r="FS995" s="6"/>
      <c r="FT995" s="139"/>
      <c r="FU995" s="139"/>
      <c r="FV995" s="76"/>
      <c r="FW995" s="123"/>
      <c r="FX995" s="6"/>
    </row>
    <row r="996" spans="35:180">
      <c r="AI996" s="125"/>
      <c r="AJ996" s="16"/>
      <c r="AM996" s="16"/>
      <c r="AN996" s="16"/>
      <c r="AO996" s="125"/>
      <c r="AP996" s="16"/>
      <c r="AQ996" s="125"/>
      <c r="AZ996" s="125"/>
      <c r="BA996" s="142"/>
      <c r="BB996" s="125"/>
      <c r="BC996" s="16"/>
      <c r="BD996" s="125"/>
      <c r="BE996" s="125"/>
      <c r="BF996" s="16"/>
      <c r="BG996" s="125"/>
      <c r="BQ996" s="125"/>
      <c r="BR996" s="16"/>
      <c r="BS996" s="123"/>
      <c r="BT996" s="19"/>
      <c r="BU996" s="139"/>
      <c r="BV996" s="139"/>
      <c r="BW996" s="123"/>
      <c r="BX996" s="123"/>
      <c r="BY996" s="123"/>
      <c r="BZ996" s="123"/>
      <c r="CA996" s="123"/>
      <c r="CB996" s="123"/>
      <c r="CC996" s="6"/>
      <c r="CD996" s="123"/>
      <c r="CE996" s="6"/>
      <c r="CF996" s="123"/>
      <c r="CG996" s="6"/>
      <c r="CH996" s="6"/>
      <c r="CI996" s="6"/>
      <c r="CJ996" s="6"/>
      <c r="CK996" s="123"/>
      <c r="CL996" s="6"/>
      <c r="CM996" s="6"/>
      <c r="CN996" s="6"/>
      <c r="CO996" s="138"/>
      <c r="CP996" s="138"/>
      <c r="CQ996" s="123"/>
      <c r="CR996" s="6"/>
      <c r="CS996" s="6"/>
      <c r="CT996" s="139"/>
      <c r="CU996" s="139"/>
      <c r="CV996" s="76"/>
      <c r="CW996" s="123"/>
      <c r="CX996" s="6"/>
      <c r="DI996" s="125"/>
      <c r="DJ996" s="16"/>
      <c r="DM996" s="16"/>
      <c r="DN996" s="16"/>
      <c r="DO996" s="125"/>
      <c r="DP996" s="16"/>
      <c r="DQ996" s="125"/>
      <c r="DZ996" s="125"/>
      <c r="EA996" s="142"/>
      <c r="EB996" s="125"/>
      <c r="EC996" s="16"/>
      <c r="ED996" s="125"/>
      <c r="EE996" s="125"/>
      <c r="EF996" s="16"/>
      <c r="EG996" s="125"/>
      <c r="EQ996" s="125"/>
      <c r="ER996" s="16"/>
      <c r="ES996" s="123"/>
      <c r="ET996" s="19"/>
      <c r="EU996" s="139"/>
      <c r="EV996" s="139"/>
      <c r="EW996" s="123"/>
      <c r="EX996" s="123"/>
      <c r="EY996" s="123"/>
      <c r="EZ996" s="123"/>
      <c r="FA996" s="123"/>
      <c r="FB996" s="123"/>
      <c r="FC996" s="6"/>
      <c r="FD996" s="123"/>
      <c r="FE996" s="6"/>
      <c r="FF996" s="123"/>
      <c r="FG996" s="6"/>
      <c r="FH996" s="6"/>
      <c r="FI996" s="6"/>
      <c r="FJ996" s="6"/>
      <c r="FK996" s="123"/>
      <c r="FL996" s="6"/>
      <c r="FM996" s="6"/>
      <c r="FN996" s="6"/>
      <c r="FO996" s="138"/>
      <c r="FP996" s="138"/>
      <c r="FQ996" s="123"/>
      <c r="FR996" s="6"/>
      <c r="FS996" s="6"/>
      <c r="FT996" s="139"/>
      <c r="FU996" s="139"/>
      <c r="FV996" s="76"/>
      <c r="FW996" s="123"/>
      <c r="FX996" s="6"/>
    </row>
    <row r="997" spans="35:180">
      <c r="AI997" s="125"/>
      <c r="AJ997" s="16"/>
      <c r="AM997" s="16"/>
      <c r="AN997" s="16"/>
      <c r="AO997" s="125"/>
      <c r="AP997" s="16"/>
      <c r="AQ997" s="125"/>
      <c r="AZ997" s="125"/>
      <c r="BA997" s="142"/>
      <c r="BB997" s="125"/>
      <c r="BC997" s="16"/>
      <c r="BD997" s="125"/>
      <c r="BE997" s="125"/>
      <c r="BF997" s="16"/>
      <c r="BG997" s="125"/>
      <c r="BQ997" s="125"/>
      <c r="BR997" s="16"/>
      <c r="BS997" s="123"/>
      <c r="BT997" s="19"/>
      <c r="BU997" s="139"/>
      <c r="BV997" s="139"/>
      <c r="BW997" s="123"/>
      <c r="BX997" s="123"/>
      <c r="BY997" s="123"/>
      <c r="BZ997" s="123"/>
      <c r="CA997" s="123"/>
      <c r="CB997" s="123"/>
      <c r="CC997" s="6"/>
      <c r="CD997" s="123"/>
      <c r="CE997" s="6"/>
      <c r="CF997" s="123"/>
      <c r="CG997" s="6"/>
      <c r="CH997" s="6"/>
      <c r="CI997" s="6"/>
      <c r="CJ997" s="6"/>
      <c r="CK997" s="123"/>
      <c r="CL997" s="6"/>
      <c r="CM997" s="6"/>
      <c r="CN997" s="6"/>
      <c r="CO997" s="138"/>
      <c r="CP997" s="138"/>
      <c r="CQ997" s="123"/>
      <c r="CR997" s="6"/>
      <c r="CS997" s="6"/>
      <c r="CT997" s="139"/>
      <c r="CU997" s="139"/>
      <c r="CV997" s="76"/>
      <c r="CW997" s="123"/>
      <c r="CX997" s="6"/>
      <c r="DI997" s="125"/>
      <c r="DJ997" s="16"/>
      <c r="DM997" s="16"/>
      <c r="DN997" s="16"/>
      <c r="DO997" s="125"/>
      <c r="DP997" s="16"/>
      <c r="DQ997" s="125"/>
      <c r="DZ997" s="125"/>
      <c r="EA997" s="142"/>
      <c r="EB997" s="125"/>
      <c r="EC997" s="16"/>
      <c r="ED997" s="125"/>
      <c r="EE997" s="125"/>
      <c r="EF997" s="16"/>
      <c r="EG997" s="125"/>
      <c r="EQ997" s="125"/>
      <c r="ER997" s="16"/>
      <c r="ES997" s="123"/>
      <c r="ET997" s="19"/>
      <c r="EU997" s="139"/>
      <c r="EV997" s="139"/>
      <c r="EW997" s="123"/>
      <c r="EX997" s="123"/>
      <c r="EY997" s="123"/>
      <c r="EZ997" s="123"/>
      <c r="FA997" s="123"/>
      <c r="FB997" s="123"/>
      <c r="FC997" s="6"/>
      <c r="FD997" s="123"/>
      <c r="FE997" s="6"/>
      <c r="FF997" s="123"/>
      <c r="FG997" s="6"/>
      <c r="FH997" s="6"/>
      <c r="FI997" s="6"/>
      <c r="FJ997" s="6"/>
      <c r="FK997" s="123"/>
      <c r="FL997" s="6"/>
      <c r="FM997" s="6"/>
      <c r="FN997" s="6"/>
      <c r="FO997" s="138"/>
      <c r="FP997" s="138"/>
      <c r="FQ997" s="123"/>
      <c r="FR997" s="6"/>
      <c r="FS997" s="6"/>
      <c r="FT997" s="139"/>
      <c r="FU997" s="139"/>
      <c r="FV997" s="76"/>
      <c r="FW997" s="123"/>
      <c r="FX997" s="6"/>
    </row>
    <row r="998" spans="35:180">
      <c r="AI998" s="125"/>
      <c r="AJ998" s="16"/>
      <c r="AM998" s="16"/>
      <c r="AN998" s="16"/>
      <c r="AO998" s="125"/>
      <c r="AP998" s="16"/>
      <c r="AQ998" s="125"/>
      <c r="AZ998" s="125"/>
      <c r="BA998" s="142"/>
      <c r="BB998" s="125"/>
      <c r="BC998" s="16"/>
      <c r="BD998" s="125"/>
      <c r="BE998" s="125"/>
      <c r="BF998" s="16"/>
      <c r="BG998" s="125"/>
      <c r="BQ998" s="125"/>
      <c r="BR998" s="16"/>
      <c r="BS998" s="123"/>
      <c r="BT998" s="19"/>
      <c r="BU998" s="139"/>
      <c r="BV998" s="139"/>
      <c r="BW998" s="123"/>
      <c r="BX998" s="123"/>
      <c r="BY998" s="123"/>
      <c r="BZ998" s="123"/>
      <c r="CA998" s="123"/>
      <c r="CB998" s="123"/>
      <c r="CC998" s="6"/>
      <c r="CD998" s="123"/>
      <c r="CE998" s="6"/>
      <c r="CF998" s="123"/>
      <c r="CG998" s="6"/>
      <c r="CH998" s="6"/>
      <c r="CI998" s="6"/>
      <c r="CJ998" s="6"/>
      <c r="CK998" s="123"/>
      <c r="CL998" s="6"/>
      <c r="CM998" s="6"/>
      <c r="CN998" s="6"/>
      <c r="CO998" s="138"/>
      <c r="CP998" s="138"/>
      <c r="CQ998" s="123"/>
      <c r="CR998" s="6"/>
      <c r="CS998" s="6"/>
      <c r="CT998" s="139"/>
      <c r="CU998" s="139"/>
      <c r="CV998" s="76"/>
      <c r="CW998" s="123"/>
      <c r="CX998" s="6"/>
      <c r="DI998" s="125"/>
      <c r="DJ998" s="16"/>
      <c r="DM998" s="16"/>
      <c r="DN998" s="16"/>
      <c r="DO998" s="125"/>
      <c r="DP998" s="16"/>
      <c r="DQ998" s="125"/>
      <c r="DZ998" s="125"/>
      <c r="EA998" s="142"/>
      <c r="EB998" s="125"/>
      <c r="EC998" s="16"/>
      <c r="ED998" s="125"/>
      <c r="EE998" s="125"/>
      <c r="EF998" s="16"/>
      <c r="EG998" s="125"/>
      <c r="EQ998" s="125"/>
      <c r="ER998" s="16"/>
      <c r="ES998" s="123"/>
      <c r="ET998" s="19"/>
      <c r="EU998" s="139"/>
      <c r="EV998" s="139"/>
      <c r="EW998" s="123"/>
      <c r="EX998" s="123"/>
      <c r="EY998" s="123"/>
      <c r="EZ998" s="123"/>
      <c r="FA998" s="123"/>
      <c r="FB998" s="123"/>
      <c r="FC998" s="6"/>
      <c r="FD998" s="123"/>
      <c r="FE998" s="6"/>
      <c r="FF998" s="123"/>
      <c r="FG998" s="6"/>
      <c r="FH998" s="6"/>
      <c r="FI998" s="6"/>
      <c r="FJ998" s="6"/>
      <c r="FK998" s="123"/>
      <c r="FL998" s="6"/>
      <c r="FM998" s="6"/>
      <c r="FN998" s="6"/>
      <c r="FO998" s="138"/>
      <c r="FP998" s="138"/>
      <c r="FQ998" s="123"/>
      <c r="FR998" s="6"/>
      <c r="FS998" s="6"/>
      <c r="FT998" s="139"/>
      <c r="FU998" s="139"/>
      <c r="FV998" s="76"/>
      <c r="FW998" s="123"/>
      <c r="FX998" s="6"/>
    </row>
    <row r="999" spans="35:180">
      <c r="AI999" s="125"/>
      <c r="AJ999" s="16"/>
      <c r="AM999" s="16"/>
      <c r="AN999" s="16"/>
      <c r="AO999" s="125"/>
      <c r="AP999" s="16"/>
      <c r="AQ999" s="125"/>
      <c r="AZ999" s="125"/>
      <c r="BA999" s="142"/>
      <c r="BB999" s="125"/>
      <c r="BC999" s="16"/>
      <c r="BD999" s="125"/>
      <c r="BE999" s="125"/>
      <c r="BF999" s="16"/>
      <c r="BG999" s="125"/>
      <c r="BQ999" s="125"/>
      <c r="BR999" s="16"/>
      <c r="BS999" s="123"/>
      <c r="BT999" s="19"/>
      <c r="BU999" s="139"/>
      <c r="BV999" s="139"/>
      <c r="BW999" s="123"/>
      <c r="BX999" s="123"/>
      <c r="BY999" s="123"/>
      <c r="BZ999" s="123"/>
      <c r="CA999" s="123"/>
      <c r="CB999" s="123"/>
      <c r="CC999" s="6"/>
      <c r="CD999" s="123"/>
      <c r="CE999" s="6"/>
      <c r="CF999" s="123"/>
      <c r="CG999" s="6"/>
      <c r="CH999" s="6"/>
      <c r="CI999" s="6"/>
      <c r="CJ999" s="6"/>
      <c r="CK999" s="123"/>
      <c r="CL999" s="6"/>
      <c r="CM999" s="6"/>
      <c r="CN999" s="6"/>
      <c r="CO999" s="138"/>
      <c r="CP999" s="138"/>
      <c r="CQ999" s="123"/>
      <c r="CR999" s="6"/>
      <c r="CS999" s="6"/>
      <c r="CT999" s="139"/>
      <c r="CU999" s="139"/>
      <c r="CV999" s="76"/>
      <c r="CW999" s="123"/>
      <c r="CX999" s="6"/>
      <c r="DI999" s="125"/>
      <c r="DJ999" s="16"/>
      <c r="DM999" s="16"/>
      <c r="DN999" s="16"/>
      <c r="DO999" s="125"/>
      <c r="DP999" s="16"/>
      <c r="DQ999" s="125"/>
      <c r="DZ999" s="125"/>
      <c r="EA999" s="142"/>
      <c r="EB999" s="125"/>
      <c r="EC999" s="16"/>
      <c r="ED999" s="125"/>
      <c r="EE999" s="125"/>
      <c r="EF999" s="16"/>
      <c r="EG999" s="125"/>
      <c r="EQ999" s="125"/>
      <c r="ER999" s="16"/>
      <c r="ES999" s="123"/>
      <c r="ET999" s="19"/>
      <c r="EU999" s="139"/>
      <c r="EV999" s="139"/>
      <c r="EW999" s="123"/>
      <c r="EX999" s="123"/>
      <c r="EY999" s="123"/>
      <c r="EZ999" s="123"/>
      <c r="FA999" s="123"/>
      <c r="FB999" s="123"/>
      <c r="FC999" s="6"/>
      <c r="FD999" s="123"/>
      <c r="FE999" s="6"/>
      <c r="FF999" s="123"/>
      <c r="FG999" s="6"/>
      <c r="FH999" s="6"/>
      <c r="FI999" s="6"/>
      <c r="FJ999" s="6"/>
      <c r="FK999" s="123"/>
      <c r="FL999" s="6"/>
      <c r="FM999" s="6"/>
      <c r="FN999" s="6"/>
      <c r="FO999" s="138"/>
      <c r="FP999" s="138"/>
      <c r="FQ999" s="123"/>
      <c r="FR999" s="6"/>
      <c r="FS999" s="6"/>
      <c r="FT999" s="139"/>
      <c r="FU999" s="139"/>
      <c r="FV999" s="76"/>
      <c r="FW999" s="123"/>
      <c r="FX999" s="6"/>
    </row>
    <row r="1000" spans="35:180">
      <c r="AI1000" s="125"/>
      <c r="AJ1000" s="16"/>
      <c r="AM1000" s="16"/>
      <c r="AN1000" s="16"/>
      <c r="AO1000" s="125"/>
      <c r="AP1000" s="16"/>
      <c r="AQ1000" s="125"/>
      <c r="AZ1000" s="125"/>
      <c r="BA1000" s="142"/>
      <c r="BB1000" s="125"/>
      <c r="BC1000" s="16"/>
      <c r="BD1000" s="125"/>
      <c r="BE1000" s="125"/>
      <c r="BF1000" s="16"/>
      <c r="BG1000" s="125"/>
      <c r="BQ1000" s="125"/>
      <c r="BR1000" s="16"/>
      <c r="BS1000" s="123"/>
      <c r="BT1000" s="19"/>
      <c r="BU1000" s="139"/>
      <c r="BV1000" s="139"/>
      <c r="BW1000" s="123"/>
      <c r="BX1000" s="123"/>
      <c r="BY1000" s="123"/>
      <c r="BZ1000" s="123"/>
      <c r="CA1000" s="123"/>
      <c r="CB1000" s="123"/>
      <c r="CC1000" s="6"/>
      <c r="CD1000" s="123"/>
      <c r="CE1000" s="6"/>
      <c r="CF1000" s="123"/>
      <c r="CG1000" s="6"/>
      <c r="CH1000" s="6"/>
      <c r="CI1000" s="6"/>
      <c r="CJ1000" s="6"/>
      <c r="CK1000" s="123"/>
      <c r="CL1000" s="6"/>
      <c r="CM1000" s="6"/>
      <c r="CN1000" s="6"/>
      <c r="CO1000" s="138"/>
      <c r="CP1000" s="138"/>
      <c r="CQ1000" s="123"/>
      <c r="CR1000" s="6"/>
      <c r="CS1000" s="6"/>
      <c r="CT1000" s="139"/>
      <c r="CU1000" s="139"/>
      <c r="CV1000" s="76"/>
      <c r="CW1000" s="123"/>
      <c r="CX1000" s="6"/>
      <c r="DI1000" s="125"/>
      <c r="DJ1000" s="16"/>
      <c r="DM1000" s="16"/>
      <c r="DN1000" s="16"/>
      <c r="DO1000" s="125"/>
      <c r="DP1000" s="16"/>
      <c r="DQ1000" s="125"/>
      <c r="DZ1000" s="125"/>
      <c r="EA1000" s="142"/>
      <c r="EB1000" s="125"/>
      <c r="EC1000" s="16"/>
      <c r="ED1000" s="125"/>
      <c r="EE1000" s="125"/>
      <c r="EF1000" s="16"/>
      <c r="EG1000" s="125"/>
      <c r="EQ1000" s="125"/>
      <c r="ER1000" s="16"/>
      <c r="ES1000" s="123"/>
      <c r="ET1000" s="19"/>
      <c r="EU1000" s="139"/>
      <c r="EV1000" s="139"/>
      <c r="EW1000" s="123"/>
      <c r="EX1000" s="123"/>
      <c r="EY1000" s="123"/>
      <c r="EZ1000" s="123"/>
      <c r="FA1000" s="123"/>
      <c r="FB1000" s="123"/>
      <c r="FC1000" s="6"/>
      <c r="FD1000" s="123"/>
      <c r="FE1000" s="6"/>
      <c r="FF1000" s="123"/>
      <c r="FG1000" s="6"/>
      <c r="FH1000" s="6"/>
      <c r="FI1000" s="6"/>
      <c r="FJ1000" s="6"/>
      <c r="FK1000" s="123"/>
      <c r="FL1000" s="6"/>
      <c r="FM1000" s="6"/>
      <c r="FN1000" s="6"/>
      <c r="FO1000" s="138"/>
      <c r="FP1000" s="138"/>
      <c r="FQ1000" s="123"/>
      <c r="FR1000" s="6"/>
      <c r="FS1000" s="6"/>
      <c r="FT1000" s="139"/>
      <c r="FU1000" s="139"/>
      <c r="FV1000" s="76"/>
      <c r="FW1000" s="123"/>
      <c r="FX1000" s="6"/>
    </row>
    <row r="1001" spans="35:180">
      <c r="AI1001" s="125"/>
      <c r="AJ1001" s="16"/>
      <c r="AM1001" s="16"/>
      <c r="AN1001" s="16"/>
      <c r="AO1001" s="125"/>
      <c r="AP1001" s="16"/>
      <c r="AQ1001" s="125"/>
      <c r="AZ1001" s="125"/>
      <c r="BA1001" s="142"/>
      <c r="BB1001" s="125"/>
      <c r="BC1001" s="16"/>
      <c r="BD1001" s="125"/>
      <c r="BE1001" s="125"/>
      <c r="BF1001" s="16"/>
      <c r="BG1001" s="125"/>
      <c r="BQ1001" s="125"/>
      <c r="BR1001" s="16"/>
      <c r="BS1001" s="123"/>
      <c r="BT1001" s="19"/>
      <c r="BU1001" s="139"/>
      <c r="BV1001" s="139"/>
      <c r="BW1001" s="123"/>
      <c r="BX1001" s="123"/>
      <c r="BY1001" s="123"/>
      <c r="BZ1001" s="123"/>
      <c r="CA1001" s="123"/>
      <c r="CB1001" s="123"/>
      <c r="CC1001" s="6"/>
      <c r="CD1001" s="123"/>
      <c r="CE1001" s="6"/>
      <c r="CF1001" s="123"/>
      <c r="CG1001" s="6"/>
      <c r="CH1001" s="6"/>
      <c r="CI1001" s="6"/>
      <c r="CJ1001" s="6"/>
      <c r="CK1001" s="123"/>
      <c r="CL1001" s="6"/>
      <c r="CM1001" s="6"/>
      <c r="CN1001" s="6"/>
      <c r="CO1001" s="138"/>
      <c r="CP1001" s="138"/>
      <c r="CQ1001" s="123"/>
      <c r="CR1001" s="6"/>
      <c r="CS1001" s="6"/>
      <c r="CT1001" s="139"/>
      <c r="CU1001" s="139"/>
      <c r="CV1001" s="76"/>
      <c r="CW1001" s="123"/>
      <c r="CX1001" s="6"/>
      <c r="DI1001" s="125"/>
      <c r="DJ1001" s="16"/>
      <c r="DM1001" s="16"/>
      <c r="DN1001" s="16"/>
      <c r="DO1001" s="125"/>
      <c r="DP1001" s="16"/>
      <c r="DQ1001" s="125"/>
      <c r="DZ1001" s="125"/>
      <c r="EA1001" s="142"/>
      <c r="EB1001" s="125"/>
      <c r="EC1001" s="16"/>
      <c r="ED1001" s="125"/>
      <c r="EE1001" s="125"/>
      <c r="EF1001" s="16"/>
      <c r="EG1001" s="125"/>
      <c r="EQ1001" s="125"/>
      <c r="ER1001" s="16"/>
      <c r="ES1001" s="123"/>
      <c r="ET1001" s="19"/>
      <c r="EU1001" s="139"/>
      <c r="EV1001" s="139"/>
      <c r="EW1001" s="123"/>
      <c r="EX1001" s="123"/>
      <c r="EY1001" s="123"/>
      <c r="EZ1001" s="123"/>
      <c r="FA1001" s="123"/>
      <c r="FB1001" s="123"/>
      <c r="FC1001" s="6"/>
      <c r="FD1001" s="123"/>
      <c r="FE1001" s="6"/>
      <c r="FF1001" s="123"/>
      <c r="FG1001" s="6"/>
      <c r="FH1001" s="6"/>
      <c r="FI1001" s="6"/>
      <c r="FJ1001" s="6"/>
      <c r="FK1001" s="123"/>
      <c r="FL1001" s="6"/>
      <c r="FM1001" s="6"/>
      <c r="FN1001" s="6"/>
      <c r="FO1001" s="138"/>
      <c r="FP1001" s="138"/>
      <c r="FQ1001" s="123"/>
      <c r="FR1001" s="6"/>
      <c r="FS1001" s="6"/>
      <c r="FT1001" s="139"/>
      <c r="FU1001" s="139"/>
      <c r="FV1001" s="76"/>
      <c r="FW1001" s="123"/>
      <c r="FX1001" s="6"/>
    </row>
    <row r="1002" spans="35:180">
      <c r="AI1002" s="125"/>
      <c r="AJ1002" s="16"/>
      <c r="AM1002" s="16"/>
      <c r="AN1002" s="16"/>
      <c r="AO1002" s="125"/>
      <c r="AP1002" s="16"/>
      <c r="AQ1002" s="125"/>
      <c r="AZ1002" s="125"/>
      <c r="BA1002" s="142"/>
      <c r="BB1002" s="125"/>
      <c r="BC1002" s="16"/>
      <c r="BD1002" s="125"/>
      <c r="BE1002" s="125"/>
      <c r="BF1002" s="16"/>
      <c r="BG1002" s="125"/>
      <c r="BQ1002" s="125"/>
      <c r="BR1002" s="16"/>
      <c r="BS1002" s="123"/>
      <c r="BT1002" s="19"/>
      <c r="BU1002" s="139"/>
      <c r="BV1002" s="139"/>
      <c r="BW1002" s="123"/>
      <c r="BX1002" s="123"/>
      <c r="BY1002" s="123"/>
      <c r="BZ1002" s="123"/>
      <c r="CA1002" s="123"/>
      <c r="CB1002" s="123"/>
      <c r="CC1002" s="6"/>
      <c r="CD1002" s="123"/>
      <c r="CE1002" s="6"/>
      <c r="CF1002" s="123"/>
      <c r="CG1002" s="6"/>
      <c r="CH1002" s="6"/>
      <c r="CI1002" s="6"/>
      <c r="CJ1002" s="6"/>
      <c r="CK1002" s="123"/>
      <c r="CL1002" s="6"/>
      <c r="CM1002" s="6"/>
      <c r="CN1002" s="6"/>
      <c r="CO1002" s="138"/>
      <c r="CP1002" s="138"/>
      <c r="CQ1002" s="123"/>
      <c r="CR1002" s="6"/>
      <c r="CS1002" s="6"/>
      <c r="CT1002" s="139"/>
      <c r="CU1002" s="139"/>
      <c r="CV1002" s="76"/>
      <c r="CW1002" s="123"/>
      <c r="CX1002" s="6"/>
      <c r="DI1002" s="125"/>
      <c r="DJ1002" s="16"/>
      <c r="DM1002" s="16"/>
      <c r="DN1002" s="16"/>
      <c r="DO1002" s="125"/>
      <c r="DP1002" s="16"/>
      <c r="DQ1002" s="125"/>
      <c r="DZ1002" s="125"/>
      <c r="EA1002" s="142"/>
      <c r="EB1002" s="125"/>
      <c r="EC1002" s="16"/>
      <c r="ED1002" s="125"/>
      <c r="EE1002" s="125"/>
      <c r="EF1002" s="16"/>
      <c r="EG1002" s="125"/>
      <c r="EQ1002" s="125"/>
      <c r="ER1002" s="16"/>
      <c r="ES1002" s="123"/>
      <c r="ET1002" s="19"/>
      <c r="EU1002" s="139"/>
      <c r="EV1002" s="139"/>
      <c r="EW1002" s="123"/>
      <c r="EX1002" s="123"/>
      <c r="EY1002" s="123"/>
      <c r="EZ1002" s="123"/>
      <c r="FA1002" s="123"/>
      <c r="FB1002" s="123"/>
      <c r="FC1002" s="6"/>
      <c r="FD1002" s="123"/>
      <c r="FE1002" s="6"/>
      <c r="FF1002" s="123"/>
      <c r="FG1002" s="6"/>
      <c r="FH1002" s="6"/>
      <c r="FI1002" s="6"/>
      <c r="FJ1002" s="6"/>
      <c r="FK1002" s="123"/>
      <c r="FL1002" s="6"/>
      <c r="FM1002" s="6"/>
      <c r="FN1002" s="6"/>
      <c r="FO1002" s="138"/>
      <c r="FP1002" s="138"/>
      <c r="FQ1002" s="123"/>
      <c r="FR1002" s="6"/>
      <c r="FS1002" s="6"/>
      <c r="FT1002" s="139"/>
      <c r="FU1002" s="139"/>
      <c r="FV1002" s="76"/>
      <c r="FW1002" s="123"/>
      <c r="FX1002" s="6"/>
    </row>
    <row r="1003" spans="35:180">
      <c r="AI1003" s="125"/>
      <c r="AJ1003" s="16"/>
      <c r="AM1003" s="16"/>
      <c r="AN1003" s="16"/>
      <c r="AO1003" s="125"/>
      <c r="AP1003" s="16"/>
      <c r="AQ1003" s="125"/>
      <c r="AZ1003" s="125"/>
      <c r="BA1003" s="142"/>
      <c r="BB1003" s="125"/>
      <c r="BC1003" s="16"/>
      <c r="BD1003" s="125"/>
      <c r="BE1003" s="125"/>
      <c r="BF1003" s="16"/>
      <c r="BG1003" s="125"/>
      <c r="BQ1003" s="125"/>
      <c r="BR1003" s="16"/>
      <c r="BS1003" s="123"/>
      <c r="BT1003" s="19"/>
      <c r="BU1003" s="139"/>
      <c r="BV1003" s="139"/>
      <c r="BW1003" s="123"/>
      <c r="BX1003" s="123"/>
      <c r="BY1003" s="123"/>
      <c r="BZ1003" s="123"/>
      <c r="CA1003" s="123"/>
      <c r="CB1003" s="123"/>
      <c r="CC1003" s="6"/>
      <c r="CD1003" s="123"/>
      <c r="CE1003" s="6"/>
      <c r="CF1003" s="123"/>
      <c r="CG1003" s="6"/>
      <c r="CH1003" s="6"/>
      <c r="CI1003" s="6"/>
      <c r="CJ1003" s="6"/>
      <c r="CK1003" s="123"/>
      <c r="CL1003" s="6"/>
      <c r="CM1003" s="6"/>
      <c r="CN1003" s="6"/>
      <c r="CO1003" s="138"/>
      <c r="CP1003" s="138"/>
      <c r="CQ1003" s="123"/>
      <c r="CR1003" s="6"/>
      <c r="CS1003" s="6"/>
      <c r="CT1003" s="139"/>
      <c r="CU1003" s="139"/>
      <c r="CV1003" s="76"/>
      <c r="CW1003" s="123"/>
      <c r="CX1003" s="6"/>
      <c r="DI1003" s="125"/>
      <c r="DJ1003" s="16"/>
      <c r="DM1003" s="16"/>
      <c r="DN1003" s="16"/>
      <c r="DO1003" s="125"/>
      <c r="DP1003" s="16"/>
      <c r="DQ1003" s="125"/>
      <c r="DZ1003" s="125"/>
      <c r="EA1003" s="142"/>
      <c r="EB1003" s="125"/>
      <c r="EC1003" s="16"/>
      <c r="ED1003" s="125"/>
      <c r="EE1003" s="125"/>
      <c r="EF1003" s="16"/>
      <c r="EG1003" s="125"/>
      <c r="EQ1003" s="125"/>
      <c r="ER1003" s="16"/>
      <c r="ES1003" s="123"/>
      <c r="ET1003" s="19"/>
      <c r="EU1003" s="139"/>
      <c r="EV1003" s="139"/>
      <c r="EW1003" s="123"/>
      <c r="EX1003" s="123"/>
      <c r="EY1003" s="123"/>
      <c r="EZ1003" s="123"/>
      <c r="FA1003" s="123"/>
      <c r="FB1003" s="123"/>
      <c r="FC1003" s="6"/>
      <c r="FD1003" s="123"/>
      <c r="FE1003" s="6"/>
      <c r="FF1003" s="123"/>
      <c r="FG1003" s="6"/>
      <c r="FH1003" s="6"/>
      <c r="FI1003" s="6"/>
      <c r="FJ1003" s="6"/>
      <c r="FK1003" s="123"/>
      <c r="FL1003" s="6"/>
      <c r="FM1003" s="6"/>
      <c r="FN1003" s="6"/>
      <c r="FO1003" s="138"/>
      <c r="FP1003" s="138"/>
      <c r="FQ1003" s="123"/>
      <c r="FR1003" s="6"/>
      <c r="FS1003" s="6"/>
      <c r="FT1003" s="139"/>
      <c r="FU1003" s="139"/>
      <c r="FV1003" s="76"/>
      <c r="FW1003" s="123"/>
      <c r="FX1003" s="6"/>
    </row>
    <row r="1004" spans="35:180">
      <c r="AI1004" s="125"/>
      <c r="AJ1004" s="16"/>
      <c r="AM1004" s="16"/>
      <c r="AN1004" s="16"/>
      <c r="AO1004" s="125"/>
      <c r="AP1004" s="16"/>
      <c r="AQ1004" s="125"/>
      <c r="AZ1004" s="125"/>
      <c r="BA1004" s="142"/>
      <c r="BB1004" s="125"/>
      <c r="BC1004" s="16"/>
      <c r="BD1004" s="125"/>
      <c r="BE1004" s="125"/>
      <c r="BF1004" s="16"/>
      <c r="BG1004" s="125"/>
      <c r="BQ1004" s="125"/>
      <c r="BR1004" s="16"/>
      <c r="BS1004" s="123"/>
      <c r="BT1004" s="19"/>
      <c r="BU1004" s="139"/>
      <c r="BV1004" s="139"/>
      <c r="BW1004" s="123"/>
      <c r="BX1004" s="123"/>
      <c r="BY1004" s="123"/>
      <c r="BZ1004" s="123"/>
      <c r="CA1004" s="123"/>
      <c r="CB1004" s="123"/>
      <c r="CC1004" s="6"/>
      <c r="CD1004" s="123"/>
      <c r="CE1004" s="6"/>
      <c r="CF1004" s="123"/>
      <c r="CG1004" s="6"/>
      <c r="CH1004" s="6"/>
      <c r="CI1004" s="6"/>
      <c r="CJ1004" s="6"/>
      <c r="CK1004" s="123"/>
      <c r="CL1004" s="6"/>
      <c r="CM1004" s="6"/>
      <c r="CN1004" s="6"/>
      <c r="CO1004" s="138"/>
      <c r="CP1004" s="138"/>
      <c r="CQ1004" s="123"/>
      <c r="CR1004" s="6"/>
      <c r="CS1004" s="6"/>
      <c r="CT1004" s="139"/>
      <c r="CU1004" s="139"/>
      <c r="CV1004" s="76"/>
      <c r="CW1004" s="123"/>
      <c r="CX1004" s="6"/>
      <c r="DI1004" s="125"/>
      <c r="DJ1004" s="16"/>
      <c r="DM1004" s="16"/>
      <c r="DN1004" s="16"/>
      <c r="DO1004" s="125"/>
      <c r="DP1004" s="16"/>
      <c r="DQ1004" s="125"/>
      <c r="DZ1004" s="125"/>
      <c r="EA1004" s="142"/>
      <c r="EB1004" s="125"/>
      <c r="EC1004" s="16"/>
      <c r="ED1004" s="125"/>
      <c r="EE1004" s="125"/>
      <c r="EF1004" s="16"/>
      <c r="EG1004" s="125"/>
      <c r="EQ1004" s="125"/>
      <c r="ER1004" s="16"/>
      <c r="ES1004" s="123"/>
      <c r="ET1004" s="19"/>
      <c r="EU1004" s="139"/>
      <c r="EV1004" s="139"/>
      <c r="EW1004" s="123"/>
      <c r="EX1004" s="123"/>
      <c r="EY1004" s="123"/>
      <c r="EZ1004" s="123"/>
      <c r="FA1004" s="123"/>
      <c r="FB1004" s="123"/>
      <c r="FC1004" s="6"/>
      <c r="FD1004" s="123"/>
      <c r="FE1004" s="6"/>
      <c r="FF1004" s="123"/>
      <c r="FG1004" s="6"/>
      <c r="FH1004" s="6"/>
      <c r="FI1004" s="6"/>
      <c r="FJ1004" s="6"/>
      <c r="FK1004" s="123"/>
      <c r="FL1004" s="6"/>
      <c r="FM1004" s="6"/>
      <c r="FN1004" s="6"/>
      <c r="FO1004" s="138"/>
      <c r="FP1004" s="138"/>
      <c r="FQ1004" s="123"/>
      <c r="FR1004" s="6"/>
      <c r="FS1004" s="6"/>
      <c r="FT1004" s="139"/>
      <c r="FU1004" s="139"/>
      <c r="FV1004" s="76"/>
      <c r="FW1004" s="123"/>
      <c r="FX1004" s="6"/>
    </row>
    <row r="1005" spans="35:180">
      <c r="AI1005" s="125"/>
      <c r="AJ1005" s="16"/>
      <c r="AM1005" s="16"/>
      <c r="AN1005" s="16"/>
      <c r="AO1005" s="125"/>
      <c r="AP1005" s="16"/>
      <c r="AQ1005" s="125"/>
      <c r="AZ1005" s="125"/>
      <c r="BA1005" s="142"/>
      <c r="BB1005" s="125"/>
      <c r="BC1005" s="16"/>
      <c r="BD1005" s="125"/>
      <c r="BE1005" s="125"/>
      <c r="BF1005" s="16"/>
      <c r="BG1005" s="125"/>
      <c r="BQ1005" s="125"/>
      <c r="BR1005" s="16"/>
      <c r="BS1005" s="123"/>
      <c r="BT1005" s="19"/>
      <c r="BU1005" s="139"/>
      <c r="BV1005" s="139"/>
      <c r="BW1005" s="123"/>
      <c r="BX1005" s="123"/>
      <c r="BY1005" s="123"/>
      <c r="BZ1005" s="123"/>
      <c r="CA1005" s="123"/>
      <c r="CB1005" s="123"/>
      <c r="CC1005" s="6"/>
      <c r="CD1005" s="123"/>
      <c r="CE1005" s="6"/>
      <c r="CF1005" s="123"/>
      <c r="CG1005" s="6"/>
      <c r="CH1005" s="6"/>
      <c r="CI1005" s="6"/>
      <c r="CJ1005" s="6"/>
      <c r="CK1005" s="123"/>
      <c r="CL1005" s="6"/>
      <c r="CM1005" s="6"/>
      <c r="CN1005" s="6"/>
      <c r="CO1005" s="138"/>
      <c r="CP1005" s="138"/>
      <c r="CQ1005" s="123"/>
      <c r="CR1005" s="6"/>
      <c r="CS1005" s="6"/>
      <c r="CT1005" s="139"/>
      <c r="CU1005" s="139"/>
      <c r="CV1005" s="76"/>
      <c r="CW1005" s="123"/>
      <c r="CX1005" s="6"/>
      <c r="DI1005" s="125"/>
      <c r="DJ1005" s="16"/>
      <c r="DM1005" s="16"/>
      <c r="DN1005" s="16"/>
      <c r="DO1005" s="125"/>
      <c r="DP1005" s="16"/>
      <c r="DQ1005" s="125"/>
      <c r="DZ1005" s="125"/>
      <c r="EA1005" s="142"/>
      <c r="EB1005" s="125"/>
      <c r="EC1005" s="16"/>
      <c r="ED1005" s="125"/>
      <c r="EE1005" s="125"/>
      <c r="EF1005" s="16"/>
      <c r="EG1005" s="125"/>
      <c r="EQ1005" s="125"/>
      <c r="ER1005" s="16"/>
      <c r="ES1005" s="123"/>
      <c r="ET1005" s="19"/>
      <c r="EU1005" s="139"/>
      <c r="EV1005" s="139"/>
      <c r="EW1005" s="123"/>
      <c r="EX1005" s="123"/>
      <c r="EY1005" s="123"/>
      <c r="EZ1005" s="123"/>
      <c r="FA1005" s="123"/>
      <c r="FB1005" s="123"/>
      <c r="FC1005" s="6"/>
      <c r="FD1005" s="123"/>
      <c r="FE1005" s="6"/>
      <c r="FF1005" s="123"/>
      <c r="FG1005" s="6"/>
      <c r="FH1005" s="6"/>
      <c r="FI1005" s="6"/>
      <c r="FJ1005" s="6"/>
      <c r="FK1005" s="123"/>
      <c r="FL1005" s="6"/>
      <c r="FM1005" s="6"/>
      <c r="FN1005" s="6"/>
      <c r="FO1005" s="138"/>
      <c r="FP1005" s="138"/>
      <c r="FQ1005" s="123"/>
      <c r="FR1005" s="6"/>
      <c r="FS1005" s="6"/>
      <c r="FT1005" s="139"/>
      <c r="FU1005" s="139"/>
      <c r="FV1005" s="76"/>
      <c r="FW1005" s="123"/>
      <c r="FX1005" s="6"/>
    </row>
    <row r="1006" spans="35:180">
      <c r="AI1006" s="125"/>
      <c r="AJ1006" s="16"/>
      <c r="AM1006" s="16"/>
      <c r="AN1006" s="16"/>
      <c r="AO1006" s="125"/>
      <c r="AP1006" s="16"/>
      <c r="AQ1006" s="125"/>
      <c r="AZ1006" s="125"/>
      <c r="BA1006" s="142"/>
      <c r="BB1006" s="125"/>
      <c r="BC1006" s="16"/>
      <c r="BD1006" s="125"/>
      <c r="BE1006" s="125"/>
      <c r="BF1006" s="16"/>
      <c r="BG1006" s="125"/>
      <c r="BQ1006" s="125"/>
      <c r="BR1006" s="16"/>
      <c r="BS1006" s="123"/>
      <c r="BT1006" s="19"/>
      <c r="BU1006" s="139"/>
      <c r="BV1006" s="139"/>
      <c r="BW1006" s="123"/>
      <c r="BX1006" s="123"/>
      <c r="BY1006" s="123"/>
      <c r="BZ1006" s="123"/>
      <c r="CA1006" s="123"/>
      <c r="CB1006" s="123"/>
      <c r="CC1006" s="6"/>
      <c r="CD1006" s="123"/>
      <c r="CE1006" s="6"/>
      <c r="CF1006" s="123"/>
      <c r="CG1006" s="6"/>
      <c r="CH1006" s="6"/>
      <c r="CI1006" s="6"/>
      <c r="CJ1006" s="6"/>
      <c r="CK1006" s="123"/>
      <c r="CL1006" s="6"/>
      <c r="CM1006" s="6"/>
      <c r="CN1006" s="6"/>
      <c r="CO1006" s="138"/>
      <c r="CP1006" s="138"/>
      <c r="CQ1006" s="123"/>
      <c r="CR1006" s="6"/>
      <c r="CS1006" s="6"/>
      <c r="CT1006" s="139"/>
      <c r="CU1006" s="139"/>
      <c r="CV1006" s="76"/>
      <c r="CW1006" s="123"/>
      <c r="CX1006" s="6"/>
      <c r="DI1006" s="125"/>
      <c r="DJ1006" s="16"/>
      <c r="DM1006" s="16"/>
      <c r="DN1006" s="16"/>
      <c r="DO1006" s="125"/>
      <c r="DP1006" s="16"/>
      <c r="DQ1006" s="125"/>
      <c r="DZ1006" s="125"/>
      <c r="EA1006" s="142"/>
      <c r="EB1006" s="125"/>
      <c r="EC1006" s="16"/>
      <c r="ED1006" s="125"/>
      <c r="EE1006" s="125"/>
      <c r="EF1006" s="16"/>
      <c r="EG1006" s="125"/>
      <c r="EQ1006" s="125"/>
      <c r="ER1006" s="16"/>
      <c r="ES1006" s="123"/>
      <c r="ET1006" s="19"/>
      <c r="EU1006" s="139"/>
      <c r="EV1006" s="139"/>
      <c r="EW1006" s="123"/>
      <c r="EX1006" s="123"/>
      <c r="EY1006" s="123"/>
      <c r="EZ1006" s="123"/>
      <c r="FA1006" s="123"/>
      <c r="FB1006" s="123"/>
      <c r="FC1006" s="6"/>
      <c r="FD1006" s="123"/>
      <c r="FE1006" s="6"/>
      <c r="FF1006" s="123"/>
      <c r="FG1006" s="6"/>
      <c r="FH1006" s="6"/>
      <c r="FI1006" s="6"/>
      <c r="FJ1006" s="6"/>
      <c r="FK1006" s="123"/>
      <c r="FL1006" s="6"/>
      <c r="FM1006" s="6"/>
      <c r="FN1006" s="6"/>
      <c r="FO1006" s="138"/>
      <c r="FP1006" s="138"/>
      <c r="FQ1006" s="123"/>
      <c r="FR1006" s="6"/>
      <c r="FS1006" s="6"/>
      <c r="FT1006" s="139"/>
      <c r="FU1006" s="139"/>
      <c r="FV1006" s="76"/>
      <c r="FW1006" s="123"/>
      <c r="FX1006" s="6"/>
    </row>
    <row r="1007" spans="35:180">
      <c r="AI1007" s="125"/>
      <c r="AJ1007" s="16"/>
      <c r="AM1007" s="16"/>
      <c r="AN1007" s="16"/>
      <c r="AO1007" s="125"/>
      <c r="AP1007" s="16"/>
      <c r="AQ1007" s="125"/>
      <c r="AZ1007" s="125"/>
      <c r="BA1007" s="142"/>
      <c r="BB1007" s="125"/>
      <c r="BC1007" s="16"/>
      <c r="BD1007" s="125"/>
      <c r="BE1007" s="125"/>
      <c r="BF1007" s="16"/>
      <c r="BG1007" s="125"/>
      <c r="BQ1007" s="125"/>
      <c r="BR1007" s="16"/>
      <c r="BS1007" s="123"/>
      <c r="BT1007" s="19"/>
      <c r="BU1007" s="139"/>
      <c r="BV1007" s="139"/>
      <c r="BW1007" s="123"/>
      <c r="BX1007" s="123"/>
      <c r="BY1007" s="123"/>
      <c r="BZ1007" s="123"/>
      <c r="CA1007" s="123"/>
      <c r="CB1007" s="123"/>
      <c r="CC1007" s="6"/>
      <c r="CD1007" s="123"/>
      <c r="CE1007" s="6"/>
      <c r="CF1007" s="123"/>
      <c r="CG1007" s="6"/>
      <c r="CH1007" s="6"/>
      <c r="CI1007" s="6"/>
      <c r="CJ1007" s="6"/>
      <c r="CK1007" s="123"/>
      <c r="CL1007" s="6"/>
      <c r="CM1007" s="6"/>
      <c r="CN1007" s="6"/>
      <c r="CO1007" s="138"/>
      <c r="CP1007" s="138"/>
      <c r="CQ1007" s="123"/>
      <c r="CR1007" s="6"/>
      <c r="CS1007" s="6"/>
      <c r="CT1007" s="139"/>
      <c r="CU1007" s="139"/>
      <c r="CV1007" s="76"/>
      <c r="CW1007" s="123"/>
      <c r="CX1007" s="6"/>
      <c r="DI1007" s="125"/>
      <c r="DJ1007" s="16"/>
      <c r="DM1007" s="16"/>
      <c r="DN1007" s="16"/>
      <c r="DO1007" s="125"/>
      <c r="DP1007" s="16"/>
      <c r="DQ1007" s="125"/>
      <c r="DZ1007" s="125"/>
      <c r="EA1007" s="142"/>
      <c r="EB1007" s="125"/>
      <c r="EC1007" s="16"/>
      <c r="ED1007" s="125"/>
      <c r="EE1007" s="125"/>
      <c r="EF1007" s="16"/>
      <c r="EG1007" s="125"/>
      <c r="EQ1007" s="125"/>
      <c r="ER1007" s="16"/>
      <c r="ES1007" s="123"/>
      <c r="ET1007" s="19"/>
      <c r="EU1007" s="139"/>
      <c r="EV1007" s="139"/>
      <c r="EW1007" s="123"/>
      <c r="EX1007" s="123"/>
      <c r="EY1007" s="123"/>
      <c r="EZ1007" s="123"/>
      <c r="FA1007" s="123"/>
      <c r="FB1007" s="123"/>
      <c r="FC1007" s="6"/>
      <c r="FD1007" s="123"/>
      <c r="FE1007" s="6"/>
      <c r="FF1007" s="123"/>
      <c r="FG1007" s="6"/>
      <c r="FH1007" s="6"/>
      <c r="FI1007" s="6"/>
      <c r="FJ1007" s="6"/>
      <c r="FK1007" s="123"/>
      <c r="FL1007" s="6"/>
      <c r="FM1007" s="6"/>
      <c r="FN1007" s="6"/>
      <c r="FO1007" s="138"/>
      <c r="FP1007" s="138"/>
      <c r="FQ1007" s="123"/>
      <c r="FR1007" s="6"/>
      <c r="FS1007" s="6"/>
      <c r="FT1007" s="139"/>
      <c r="FU1007" s="139"/>
      <c r="FV1007" s="76"/>
      <c r="FW1007" s="123"/>
      <c r="FX1007" s="6"/>
    </row>
    <row r="1008" spans="35:180">
      <c r="AI1008" s="125"/>
      <c r="AJ1008" s="16"/>
      <c r="AM1008" s="16"/>
      <c r="AN1008" s="16"/>
      <c r="AO1008" s="125"/>
      <c r="AP1008" s="16"/>
      <c r="AQ1008" s="125"/>
      <c r="AZ1008" s="125"/>
      <c r="BA1008" s="142"/>
      <c r="BB1008" s="125"/>
      <c r="BC1008" s="16"/>
      <c r="BD1008" s="125"/>
      <c r="BE1008" s="125"/>
      <c r="BF1008" s="16"/>
      <c r="BG1008" s="125"/>
      <c r="BQ1008" s="125"/>
      <c r="BR1008" s="16"/>
      <c r="BS1008" s="123"/>
      <c r="BT1008" s="19"/>
      <c r="BU1008" s="139"/>
      <c r="BV1008" s="139"/>
      <c r="BW1008" s="123"/>
      <c r="BX1008" s="123"/>
      <c r="BY1008" s="123"/>
      <c r="BZ1008" s="123"/>
      <c r="CA1008" s="123"/>
      <c r="CB1008" s="123"/>
      <c r="CC1008" s="6"/>
      <c r="CD1008" s="123"/>
      <c r="CE1008" s="6"/>
      <c r="CF1008" s="123"/>
      <c r="CG1008" s="6"/>
      <c r="CH1008" s="6"/>
      <c r="CI1008" s="6"/>
      <c r="CJ1008" s="6"/>
      <c r="CK1008" s="123"/>
      <c r="CL1008" s="6"/>
      <c r="CM1008" s="6"/>
      <c r="CN1008" s="6"/>
      <c r="CO1008" s="138"/>
      <c r="CP1008" s="138"/>
      <c r="CQ1008" s="123"/>
      <c r="CR1008" s="6"/>
      <c r="CS1008" s="6"/>
      <c r="CT1008" s="139"/>
      <c r="CU1008" s="139"/>
      <c r="CV1008" s="76"/>
      <c r="CW1008" s="123"/>
      <c r="CX1008" s="6"/>
      <c r="DI1008" s="125"/>
      <c r="DJ1008" s="16"/>
      <c r="DM1008" s="16"/>
      <c r="DN1008" s="16"/>
      <c r="DO1008" s="125"/>
      <c r="DP1008" s="16"/>
      <c r="DQ1008" s="125"/>
      <c r="DZ1008" s="125"/>
      <c r="EA1008" s="142"/>
      <c r="EB1008" s="125"/>
      <c r="EC1008" s="16"/>
      <c r="ED1008" s="125"/>
      <c r="EE1008" s="125"/>
      <c r="EF1008" s="16"/>
      <c r="EG1008" s="125"/>
      <c r="EQ1008" s="125"/>
      <c r="ER1008" s="16"/>
      <c r="ES1008" s="123"/>
      <c r="ET1008" s="19"/>
      <c r="EU1008" s="139"/>
      <c r="EV1008" s="139"/>
      <c r="EW1008" s="123"/>
      <c r="EX1008" s="123"/>
      <c r="EY1008" s="123"/>
      <c r="EZ1008" s="123"/>
      <c r="FA1008" s="123"/>
      <c r="FB1008" s="123"/>
      <c r="FC1008" s="6"/>
      <c r="FD1008" s="123"/>
      <c r="FE1008" s="6"/>
      <c r="FF1008" s="123"/>
      <c r="FG1008" s="6"/>
      <c r="FH1008" s="6"/>
      <c r="FI1008" s="6"/>
      <c r="FJ1008" s="6"/>
      <c r="FK1008" s="123"/>
      <c r="FL1008" s="6"/>
      <c r="FM1008" s="6"/>
      <c r="FN1008" s="6"/>
      <c r="FO1008" s="138"/>
      <c r="FP1008" s="138"/>
      <c r="FQ1008" s="123"/>
      <c r="FR1008" s="6"/>
      <c r="FS1008" s="6"/>
      <c r="FT1008" s="139"/>
      <c r="FU1008" s="139"/>
      <c r="FV1008" s="76"/>
      <c r="FW1008" s="123"/>
      <c r="FX1008" s="6"/>
    </row>
    <row r="1009" spans="35:180">
      <c r="AI1009" s="125"/>
      <c r="AJ1009" s="16"/>
      <c r="AM1009" s="16"/>
      <c r="AN1009" s="16"/>
      <c r="AO1009" s="125"/>
      <c r="AP1009" s="16"/>
      <c r="AQ1009" s="125"/>
      <c r="AZ1009" s="125"/>
      <c r="BA1009" s="142"/>
      <c r="BB1009" s="125"/>
      <c r="BC1009" s="16"/>
      <c r="BD1009" s="125"/>
      <c r="BE1009" s="125"/>
      <c r="BF1009" s="16"/>
      <c r="BG1009" s="125"/>
      <c r="BQ1009" s="125"/>
      <c r="BR1009" s="16"/>
      <c r="BS1009" s="123"/>
      <c r="BT1009" s="19"/>
      <c r="BU1009" s="139"/>
      <c r="BV1009" s="139"/>
      <c r="BW1009" s="123"/>
      <c r="BX1009" s="123"/>
      <c r="BY1009" s="123"/>
      <c r="BZ1009" s="123"/>
      <c r="CA1009" s="123"/>
      <c r="CB1009" s="123"/>
      <c r="CC1009" s="6"/>
      <c r="CD1009" s="123"/>
      <c r="CE1009" s="6"/>
      <c r="CF1009" s="123"/>
      <c r="CG1009" s="6"/>
      <c r="CH1009" s="6"/>
      <c r="CI1009" s="6"/>
      <c r="CJ1009" s="6"/>
      <c r="CK1009" s="123"/>
      <c r="CL1009" s="6"/>
      <c r="CM1009" s="6"/>
      <c r="CN1009" s="6"/>
      <c r="CO1009" s="138"/>
      <c r="CP1009" s="138"/>
      <c r="CQ1009" s="123"/>
      <c r="CR1009" s="6"/>
      <c r="CS1009" s="6"/>
      <c r="CT1009" s="139"/>
      <c r="CU1009" s="139"/>
      <c r="CV1009" s="76"/>
      <c r="CW1009" s="123"/>
      <c r="CX1009" s="6"/>
      <c r="DI1009" s="125"/>
      <c r="DJ1009" s="16"/>
      <c r="DM1009" s="16"/>
      <c r="DN1009" s="16"/>
      <c r="DO1009" s="125"/>
      <c r="DP1009" s="16"/>
      <c r="DQ1009" s="125"/>
      <c r="DZ1009" s="125"/>
      <c r="EA1009" s="142"/>
      <c r="EB1009" s="125"/>
      <c r="EC1009" s="16"/>
      <c r="ED1009" s="125"/>
      <c r="EE1009" s="125"/>
      <c r="EF1009" s="16"/>
      <c r="EG1009" s="125"/>
      <c r="EQ1009" s="125"/>
      <c r="ER1009" s="16"/>
      <c r="ES1009" s="123"/>
      <c r="ET1009" s="19"/>
      <c r="EU1009" s="139"/>
      <c r="EV1009" s="139"/>
      <c r="EW1009" s="123"/>
      <c r="EX1009" s="123"/>
      <c r="EY1009" s="123"/>
      <c r="EZ1009" s="123"/>
      <c r="FA1009" s="123"/>
      <c r="FB1009" s="123"/>
      <c r="FC1009" s="6"/>
      <c r="FD1009" s="123"/>
      <c r="FE1009" s="6"/>
      <c r="FF1009" s="123"/>
      <c r="FG1009" s="6"/>
      <c r="FH1009" s="6"/>
      <c r="FI1009" s="6"/>
      <c r="FJ1009" s="6"/>
      <c r="FK1009" s="123"/>
      <c r="FL1009" s="6"/>
      <c r="FM1009" s="6"/>
      <c r="FN1009" s="6"/>
      <c r="FO1009" s="138"/>
      <c r="FP1009" s="138"/>
      <c r="FQ1009" s="123"/>
      <c r="FR1009" s="6"/>
      <c r="FS1009" s="6"/>
      <c r="FT1009" s="139"/>
      <c r="FU1009" s="139"/>
      <c r="FV1009" s="76"/>
      <c r="FW1009" s="123"/>
      <c r="FX1009" s="6"/>
    </row>
    <row r="1010" spans="35:180">
      <c r="AI1010" s="125"/>
      <c r="AJ1010" s="16"/>
      <c r="AM1010" s="16"/>
      <c r="AN1010" s="16"/>
      <c r="AO1010" s="125"/>
      <c r="AP1010" s="16"/>
      <c r="AQ1010" s="125"/>
      <c r="AZ1010" s="125"/>
      <c r="BA1010" s="142"/>
      <c r="BB1010" s="125"/>
      <c r="BC1010" s="16"/>
      <c r="BD1010" s="125"/>
      <c r="BE1010" s="125"/>
      <c r="BF1010" s="16"/>
      <c r="BG1010" s="125"/>
      <c r="BQ1010" s="125"/>
      <c r="BR1010" s="16"/>
      <c r="BS1010" s="123"/>
      <c r="BT1010" s="19"/>
      <c r="BU1010" s="139"/>
      <c r="BV1010" s="139"/>
      <c r="BW1010" s="123"/>
      <c r="BX1010" s="123"/>
      <c r="BY1010" s="123"/>
      <c r="BZ1010" s="123"/>
      <c r="CA1010" s="123"/>
      <c r="CB1010" s="123"/>
      <c r="CC1010" s="6"/>
      <c r="CD1010" s="123"/>
      <c r="CE1010" s="6"/>
      <c r="CF1010" s="123"/>
      <c r="CG1010" s="6"/>
      <c r="CH1010" s="6"/>
      <c r="CI1010" s="6"/>
      <c r="CJ1010" s="6"/>
      <c r="CK1010" s="123"/>
      <c r="CL1010" s="6"/>
      <c r="CM1010" s="6"/>
      <c r="CN1010" s="6"/>
      <c r="CO1010" s="138"/>
      <c r="CP1010" s="138"/>
      <c r="CQ1010" s="123"/>
      <c r="CR1010" s="6"/>
      <c r="CS1010" s="6"/>
      <c r="CT1010" s="139"/>
      <c r="CU1010" s="139"/>
      <c r="CV1010" s="76"/>
      <c r="CW1010" s="123"/>
      <c r="CX1010" s="6"/>
      <c r="DI1010" s="125"/>
      <c r="DJ1010" s="16"/>
      <c r="DM1010" s="16"/>
      <c r="DN1010" s="16"/>
      <c r="DO1010" s="125"/>
      <c r="DP1010" s="16"/>
      <c r="DQ1010" s="125"/>
      <c r="DZ1010" s="125"/>
      <c r="EA1010" s="142"/>
      <c r="EB1010" s="125"/>
      <c r="EC1010" s="16"/>
      <c r="ED1010" s="125"/>
      <c r="EE1010" s="125"/>
      <c r="EF1010" s="16"/>
      <c r="EG1010" s="125"/>
      <c r="EQ1010" s="125"/>
      <c r="ER1010" s="16"/>
      <c r="ES1010" s="123"/>
      <c r="ET1010" s="19"/>
      <c r="EU1010" s="139"/>
      <c r="EV1010" s="139"/>
      <c r="EW1010" s="123"/>
      <c r="EX1010" s="123"/>
      <c r="EY1010" s="123"/>
      <c r="EZ1010" s="123"/>
      <c r="FA1010" s="123"/>
      <c r="FB1010" s="123"/>
      <c r="FC1010" s="6"/>
      <c r="FD1010" s="123"/>
      <c r="FE1010" s="6"/>
      <c r="FF1010" s="123"/>
      <c r="FG1010" s="6"/>
      <c r="FH1010" s="6"/>
      <c r="FI1010" s="6"/>
      <c r="FJ1010" s="6"/>
      <c r="FK1010" s="123"/>
      <c r="FL1010" s="6"/>
      <c r="FM1010" s="6"/>
      <c r="FN1010" s="6"/>
      <c r="FO1010" s="138"/>
      <c r="FP1010" s="138"/>
      <c r="FQ1010" s="123"/>
      <c r="FR1010" s="6"/>
      <c r="FS1010" s="6"/>
      <c r="FT1010" s="139"/>
      <c r="FU1010" s="139"/>
      <c r="FV1010" s="76"/>
      <c r="FW1010" s="123"/>
      <c r="FX1010" s="6"/>
    </row>
    <row r="1011" spans="35:180">
      <c r="AI1011" s="125"/>
      <c r="AJ1011" s="16"/>
      <c r="AM1011" s="16"/>
      <c r="AN1011" s="16"/>
      <c r="AO1011" s="125"/>
      <c r="AP1011" s="16"/>
      <c r="AQ1011" s="125"/>
      <c r="AZ1011" s="125"/>
      <c r="BA1011" s="142"/>
      <c r="BB1011" s="125"/>
      <c r="BC1011" s="16"/>
      <c r="BD1011" s="125"/>
      <c r="BE1011" s="125"/>
      <c r="BF1011" s="16"/>
      <c r="BG1011" s="125"/>
      <c r="BQ1011" s="125"/>
      <c r="BR1011" s="16"/>
      <c r="BS1011" s="123"/>
      <c r="BT1011" s="19"/>
      <c r="BU1011" s="139"/>
      <c r="BV1011" s="139"/>
      <c r="BW1011" s="123"/>
      <c r="BX1011" s="123"/>
      <c r="BY1011" s="123"/>
      <c r="BZ1011" s="123"/>
      <c r="CA1011" s="123"/>
      <c r="CB1011" s="123"/>
      <c r="CC1011" s="6"/>
      <c r="CD1011" s="123"/>
      <c r="CE1011" s="6"/>
      <c r="CF1011" s="123"/>
      <c r="CG1011" s="6"/>
      <c r="CH1011" s="6"/>
      <c r="CI1011" s="6"/>
      <c r="CJ1011" s="6"/>
      <c r="CK1011" s="123"/>
      <c r="CL1011" s="6"/>
      <c r="CM1011" s="6"/>
      <c r="CN1011" s="6"/>
      <c r="CO1011" s="138"/>
      <c r="CP1011" s="138"/>
      <c r="CQ1011" s="123"/>
      <c r="CR1011" s="6"/>
      <c r="CS1011" s="6"/>
      <c r="CT1011" s="139"/>
      <c r="CU1011" s="139"/>
      <c r="CV1011" s="76"/>
      <c r="CW1011" s="123"/>
      <c r="CX1011" s="6"/>
      <c r="DI1011" s="125"/>
      <c r="DJ1011" s="16"/>
      <c r="DM1011" s="16"/>
      <c r="DN1011" s="16"/>
      <c r="DO1011" s="125"/>
      <c r="DP1011" s="16"/>
      <c r="DQ1011" s="125"/>
      <c r="DZ1011" s="125"/>
      <c r="EA1011" s="142"/>
      <c r="EB1011" s="125"/>
      <c r="EC1011" s="16"/>
      <c r="ED1011" s="125"/>
      <c r="EE1011" s="125"/>
      <c r="EF1011" s="16"/>
      <c r="EG1011" s="125"/>
      <c r="EQ1011" s="125"/>
      <c r="ER1011" s="16"/>
      <c r="ES1011" s="123"/>
      <c r="ET1011" s="19"/>
      <c r="EU1011" s="139"/>
      <c r="EV1011" s="139"/>
      <c r="EW1011" s="123"/>
      <c r="EX1011" s="123"/>
      <c r="EY1011" s="123"/>
      <c r="EZ1011" s="123"/>
      <c r="FA1011" s="123"/>
      <c r="FB1011" s="123"/>
      <c r="FC1011" s="6"/>
      <c r="FD1011" s="123"/>
      <c r="FE1011" s="6"/>
      <c r="FF1011" s="123"/>
      <c r="FG1011" s="6"/>
      <c r="FH1011" s="6"/>
      <c r="FI1011" s="6"/>
      <c r="FJ1011" s="6"/>
      <c r="FK1011" s="123"/>
      <c r="FL1011" s="6"/>
      <c r="FM1011" s="6"/>
      <c r="FN1011" s="6"/>
      <c r="FO1011" s="138"/>
      <c r="FP1011" s="138"/>
      <c r="FQ1011" s="123"/>
      <c r="FR1011" s="6"/>
      <c r="FS1011" s="6"/>
      <c r="FT1011" s="139"/>
      <c r="FU1011" s="139"/>
      <c r="FV1011" s="76"/>
      <c r="FW1011" s="123"/>
      <c r="FX1011" s="6"/>
    </row>
    <row r="1012" spans="35:180">
      <c r="AI1012" s="125"/>
      <c r="AJ1012" s="16"/>
      <c r="AM1012" s="16"/>
      <c r="AN1012" s="16"/>
      <c r="AO1012" s="125"/>
      <c r="AP1012" s="16"/>
      <c r="AQ1012" s="125"/>
      <c r="AZ1012" s="125"/>
      <c r="BA1012" s="142"/>
      <c r="BB1012" s="125"/>
      <c r="BC1012" s="16"/>
      <c r="BD1012" s="125"/>
      <c r="BE1012" s="125"/>
      <c r="BF1012" s="16"/>
      <c r="BG1012" s="125"/>
      <c r="BQ1012" s="125"/>
      <c r="BR1012" s="16"/>
      <c r="BS1012" s="123"/>
      <c r="BT1012" s="19"/>
      <c r="BU1012" s="139"/>
      <c r="BV1012" s="139"/>
      <c r="BW1012" s="123"/>
      <c r="BX1012" s="123"/>
      <c r="BY1012" s="123"/>
      <c r="BZ1012" s="123"/>
      <c r="CA1012" s="123"/>
      <c r="CB1012" s="123"/>
      <c r="CC1012" s="6"/>
      <c r="CD1012" s="123"/>
      <c r="CE1012" s="6"/>
      <c r="CF1012" s="123"/>
      <c r="CG1012" s="6"/>
      <c r="CH1012" s="6"/>
      <c r="CI1012" s="6"/>
      <c r="CJ1012" s="6"/>
      <c r="CK1012" s="123"/>
      <c r="CL1012" s="6"/>
      <c r="CM1012" s="6"/>
      <c r="CN1012" s="6"/>
      <c r="CO1012" s="138"/>
      <c r="CP1012" s="138"/>
      <c r="CQ1012" s="123"/>
      <c r="CR1012" s="6"/>
      <c r="CS1012" s="6"/>
      <c r="CT1012" s="139"/>
      <c r="CU1012" s="139"/>
      <c r="CV1012" s="76"/>
      <c r="CW1012" s="123"/>
      <c r="CX1012" s="6"/>
      <c r="DI1012" s="125"/>
      <c r="DJ1012" s="16"/>
      <c r="DM1012" s="16"/>
      <c r="DN1012" s="16"/>
      <c r="DO1012" s="125"/>
      <c r="DP1012" s="16"/>
      <c r="DQ1012" s="125"/>
      <c r="DZ1012" s="125"/>
      <c r="EA1012" s="142"/>
      <c r="EB1012" s="125"/>
      <c r="EC1012" s="16"/>
      <c r="ED1012" s="125"/>
      <c r="EE1012" s="125"/>
      <c r="EF1012" s="16"/>
      <c r="EG1012" s="125"/>
      <c r="EQ1012" s="125"/>
      <c r="ER1012" s="16"/>
      <c r="ES1012" s="123"/>
      <c r="ET1012" s="19"/>
      <c r="EU1012" s="139"/>
      <c r="EV1012" s="139"/>
      <c r="EW1012" s="123"/>
      <c r="EX1012" s="123"/>
      <c r="EY1012" s="123"/>
      <c r="EZ1012" s="123"/>
      <c r="FA1012" s="123"/>
      <c r="FB1012" s="123"/>
      <c r="FC1012" s="6"/>
      <c r="FD1012" s="123"/>
      <c r="FE1012" s="6"/>
      <c r="FF1012" s="123"/>
      <c r="FG1012" s="6"/>
      <c r="FH1012" s="6"/>
      <c r="FI1012" s="6"/>
      <c r="FJ1012" s="6"/>
      <c r="FK1012" s="123"/>
      <c r="FL1012" s="6"/>
      <c r="FM1012" s="6"/>
      <c r="FN1012" s="6"/>
      <c r="FO1012" s="138"/>
      <c r="FP1012" s="138"/>
      <c r="FQ1012" s="123"/>
      <c r="FR1012" s="6"/>
      <c r="FS1012" s="6"/>
      <c r="FT1012" s="139"/>
      <c r="FU1012" s="139"/>
      <c r="FV1012" s="76"/>
      <c r="FW1012" s="123"/>
      <c r="FX1012" s="6"/>
    </row>
    <row r="1013" spans="35:180">
      <c r="AI1013" s="125"/>
      <c r="AJ1013" s="16"/>
      <c r="AM1013" s="16"/>
      <c r="AN1013" s="16"/>
      <c r="AO1013" s="125"/>
      <c r="AP1013" s="16"/>
      <c r="AQ1013" s="125"/>
      <c r="AZ1013" s="125"/>
      <c r="BA1013" s="142"/>
      <c r="BB1013" s="125"/>
      <c r="BC1013" s="16"/>
      <c r="BD1013" s="125"/>
      <c r="BE1013" s="125"/>
      <c r="BF1013" s="16"/>
      <c r="BG1013" s="125"/>
      <c r="BQ1013" s="125"/>
      <c r="BR1013" s="16"/>
      <c r="BS1013" s="123"/>
      <c r="BT1013" s="19"/>
      <c r="BU1013" s="139"/>
      <c r="BV1013" s="139"/>
      <c r="BW1013" s="123"/>
      <c r="BX1013" s="123"/>
      <c r="BY1013" s="123"/>
      <c r="BZ1013" s="123"/>
      <c r="CA1013" s="123"/>
      <c r="CB1013" s="123"/>
      <c r="CC1013" s="6"/>
      <c r="CD1013" s="123"/>
      <c r="CE1013" s="6"/>
      <c r="CF1013" s="123"/>
      <c r="CG1013" s="6"/>
      <c r="CH1013" s="6"/>
      <c r="CI1013" s="6"/>
      <c r="CJ1013" s="6"/>
      <c r="CK1013" s="123"/>
      <c r="CL1013" s="6"/>
      <c r="CM1013" s="6"/>
      <c r="CN1013" s="6"/>
      <c r="CO1013" s="138"/>
      <c r="CP1013" s="138"/>
      <c r="CQ1013" s="123"/>
      <c r="CR1013" s="6"/>
      <c r="CS1013" s="6"/>
      <c r="CT1013" s="139"/>
      <c r="CU1013" s="139"/>
      <c r="CV1013" s="76"/>
      <c r="CW1013" s="123"/>
      <c r="CX1013" s="6"/>
      <c r="DI1013" s="125"/>
      <c r="DJ1013" s="16"/>
      <c r="DM1013" s="16"/>
      <c r="DN1013" s="16"/>
      <c r="DO1013" s="125"/>
      <c r="DP1013" s="16"/>
      <c r="DQ1013" s="125"/>
      <c r="DZ1013" s="125"/>
      <c r="EA1013" s="142"/>
      <c r="EB1013" s="125"/>
      <c r="EC1013" s="16"/>
      <c r="ED1013" s="125"/>
      <c r="EE1013" s="125"/>
      <c r="EF1013" s="16"/>
      <c r="EG1013" s="125"/>
      <c r="EQ1013" s="125"/>
      <c r="ER1013" s="16"/>
      <c r="ES1013" s="123"/>
      <c r="ET1013" s="19"/>
      <c r="EU1013" s="139"/>
      <c r="EV1013" s="139"/>
      <c r="EW1013" s="123"/>
      <c r="EX1013" s="123"/>
      <c r="EY1013" s="123"/>
      <c r="EZ1013" s="123"/>
      <c r="FA1013" s="123"/>
      <c r="FB1013" s="123"/>
      <c r="FC1013" s="6"/>
      <c r="FD1013" s="123"/>
      <c r="FE1013" s="6"/>
      <c r="FF1013" s="123"/>
      <c r="FG1013" s="6"/>
      <c r="FH1013" s="6"/>
      <c r="FI1013" s="6"/>
      <c r="FJ1013" s="6"/>
      <c r="FK1013" s="123"/>
      <c r="FL1013" s="6"/>
      <c r="FM1013" s="6"/>
      <c r="FN1013" s="6"/>
      <c r="FO1013" s="138"/>
      <c r="FP1013" s="138"/>
      <c r="FQ1013" s="123"/>
      <c r="FR1013" s="6"/>
      <c r="FS1013" s="6"/>
      <c r="FT1013" s="139"/>
      <c r="FU1013" s="139"/>
      <c r="FV1013" s="76"/>
      <c r="FW1013" s="123"/>
      <c r="FX1013" s="6"/>
    </row>
    <row r="1014" spans="35:180">
      <c r="AI1014" s="125"/>
      <c r="AJ1014" s="16"/>
      <c r="AM1014" s="16"/>
      <c r="AN1014" s="16"/>
      <c r="AO1014" s="125"/>
      <c r="AP1014" s="16"/>
      <c r="AQ1014" s="125"/>
      <c r="AZ1014" s="125"/>
      <c r="BA1014" s="142"/>
      <c r="BB1014" s="125"/>
      <c r="BC1014" s="16"/>
      <c r="BD1014" s="125"/>
      <c r="BE1014" s="125"/>
      <c r="BF1014" s="16"/>
      <c r="BG1014" s="125"/>
      <c r="BQ1014" s="125"/>
      <c r="BR1014" s="16"/>
      <c r="BS1014" s="123"/>
      <c r="BT1014" s="19"/>
      <c r="BU1014" s="139"/>
      <c r="BV1014" s="139"/>
      <c r="BW1014" s="123"/>
      <c r="BX1014" s="123"/>
      <c r="BY1014" s="123"/>
      <c r="BZ1014" s="123"/>
      <c r="CA1014" s="123"/>
      <c r="CB1014" s="123"/>
      <c r="CC1014" s="6"/>
      <c r="CD1014" s="123"/>
      <c r="CE1014" s="6"/>
      <c r="CF1014" s="123"/>
      <c r="CG1014" s="6"/>
      <c r="CH1014" s="6"/>
      <c r="CI1014" s="6"/>
      <c r="CJ1014" s="6"/>
      <c r="CK1014" s="123"/>
      <c r="CL1014" s="6"/>
      <c r="CM1014" s="6"/>
      <c r="CN1014" s="6"/>
      <c r="CO1014" s="138"/>
      <c r="CP1014" s="138"/>
      <c r="CQ1014" s="123"/>
      <c r="CR1014" s="6"/>
      <c r="CS1014" s="6"/>
      <c r="CT1014" s="139"/>
      <c r="CU1014" s="139"/>
      <c r="CV1014" s="76"/>
      <c r="CW1014" s="123"/>
      <c r="CX1014" s="6"/>
      <c r="DI1014" s="125"/>
      <c r="DJ1014" s="16"/>
      <c r="DM1014" s="16"/>
      <c r="DN1014" s="16"/>
      <c r="DO1014" s="125"/>
      <c r="DP1014" s="16"/>
      <c r="DQ1014" s="125"/>
      <c r="DZ1014" s="125"/>
      <c r="EA1014" s="142"/>
      <c r="EB1014" s="125"/>
      <c r="EC1014" s="16"/>
      <c r="ED1014" s="125"/>
      <c r="EE1014" s="125"/>
      <c r="EF1014" s="16"/>
      <c r="EG1014" s="125"/>
      <c r="EQ1014" s="125"/>
      <c r="ER1014" s="16"/>
      <c r="ES1014" s="123"/>
      <c r="ET1014" s="19"/>
      <c r="EU1014" s="139"/>
      <c r="EV1014" s="139"/>
      <c r="EW1014" s="123"/>
      <c r="EX1014" s="123"/>
      <c r="EY1014" s="123"/>
      <c r="EZ1014" s="123"/>
      <c r="FA1014" s="123"/>
      <c r="FB1014" s="123"/>
      <c r="FC1014" s="6"/>
      <c r="FD1014" s="123"/>
      <c r="FE1014" s="6"/>
      <c r="FF1014" s="123"/>
      <c r="FG1014" s="6"/>
      <c r="FH1014" s="6"/>
      <c r="FI1014" s="6"/>
      <c r="FJ1014" s="6"/>
      <c r="FK1014" s="123"/>
      <c r="FL1014" s="6"/>
      <c r="FM1014" s="6"/>
      <c r="FN1014" s="6"/>
      <c r="FO1014" s="138"/>
      <c r="FP1014" s="138"/>
      <c r="FQ1014" s="123"/>
      <c r="FR1014" s="6"/>
      <c r="FS1014" s="6"/>
      <c r="FT1014" s="139"/>
      <c r="FU1014" s="139"/>
      <c r="FV1014" s="76"/>
      <c r="FW1014" s="123"/>
      <c r="FX1014" s="6"/>
    </row>
    <row r="1015" spans="35:180">
      <c r="AI1015" s="125"/>
      <c r="AJ1015" s="16"/>
      <c r="AM1015" s="16"/>
      <c r="AN1015" s="16"/>
      <c r="AO1015" s="125"/>
      <c r="AP1015" s="16"/>
      <c r="AQ1015" s="125"/>
      <c r="AZ1015" s="125"/>
      <c r="BA1015" s="142"/>
      <c r="BB1015" s="125"/>
      <c r="BC1015" s="16"/>
      <c r="BD1015" s="125"/>
      <c r="BE1015" s="125"/>
      <c r="BF1015" s="16"/>
      <c r="BG1015" s="125"/>
      <c r="BQ1015" s="125"/>
      <c r="BR1015" s="16"/>
      <c r="BS1015" s="123"/>
      <c r="BT1015" s="19"/>
      <c r="BU1015" s="139"/>
      <c r="BV1015" s="139"/>
      <c r="BW1015" s="123"/>
      <c r="BX1015" s="123"/>
      <c r="BY1015" s="123"/>
      <c r="BZ1015" s="123"/>
      <c r="CA1015" s="123"/>
      <c r="CB1015" s="123"/>
      <c r="CC1015" s="6"/>
      <c r="CD1015" s="123"/>
      <c r="CE1015" s="6"/>
      <c r="CF1015" s="123"/>
      <c r="CG1015" s="6"/>
      <c r="CH1015" s="6"/>
      <c r="CI1015" s="6"/>
      <c r="CJ1015" s="6"/>
      <c r="CK1015" s="123"/>
      <c r="CL1015" s="6"/>
      <c r="CM1015" s="6"/>
      <c r="CN1015" s="6"/>
      <c r="CO1015" s="138"/>
      <c r="CP1015" s="138"/>
      <c r="CQ1015" s="123"/>
      <c r="CR1015" s="6"/>
      <c r="CS1015" s="6"/>
      <c r="CT1015" s="139"/>
      <c r="CU1015" s="139"/>
      <c r="CV1015" s="76"/>
      <c r="CW1015" s="123"/>
      <c r="CX1015" s="6"/>
      <c r="DI1015" s="125"/>
      <c r="DJ1015" s="16"/>
      <c r="DM1015" s="16"/>
      <c r="DN1015" s="16"/>
      <c r="DO1015" s="125"/>
      <c r="DP1015" s="16"/>
      <c r="DQ1015" s="125"/>
      <c r="DZ1015" s="125"/>
      <c r="EA1015" s="142"/>
      <c r="EB1015" s="125"/>
      <c r="EC1015" s="16"/>
      <c r="ED1015" s="125"/>
      <c r="EE1015" s="125"/>
      <c r="EF1015" s="16"/>
      <c r="EG1015" s="125"/>
      <c r="EQ1015" s="125"/>
      <c r="ER1015" s="16"/>
      <c r="ES1015" s="123"/>
      <c r="ET1015" s="19"/>
      <c r="EU1015" s="139"/>
      <c r="EV1015" s="139"/>
      <c r="EW1015" s="123"/>
      <c r="EX1015" s="123"/>
      <c r="EY1015" s="123"/>
      <c r="EZ1015" s="123"/>
      <c r="FA1015" s="123"/>
      <c r="FB1015" s="123"/>
      <c r="FC1015" s="6"/>
      <c r="FD1015" s="123"/>
      <c r="FE1015" s="6"/>
      <c r="FF1015" s="123"/>
      <c r="FG1015" s="6"/>
      <c r="FH1015" s="6"/>
      <c r="FI1015" s="6"/>
      <c r="FJ1015" s="6"/>
      <c r="FK1015" s="123"/>
      <c r="FL1015" s="6"/>
      <c r="FM1015" s="6"/>
      <c r="FN1015" s="6"/>
      <c r="FO1015" s="138"/>
      <c r="FP1015" s="138"/>
      <c r="FQ1015" s="123"/>
      <c r="FR1015" s="6"/>
      <c r="FS1015" s="6"/>
      <c r="FT1015" s="139"/>
      <c r="FU1015" s="139"/>
      <c r="FV1015" s="76"/>
      <c r="FW1015" s="123"/>
      <c r="FX1015" s="6"/>
    </row>
    <row r="1016" spans="35:180">
      <c r="AI1016" s="125"/>
      <c r="AJ1016" s="16"/>
      <c r="AM1016" s="16"/>
      <c r="AN1016" s="16"/>
      <c r="AO1016" s="125"/>
      <c r="AP1016" s="16"/>
      <c r="AQ1016" s="125"/>
      <c r="AZ1016" s="125"/>
      <c r="BA1016" s="142"/>
      <c r="BB1016" s="125"/>
      <c r="BC1016" s="16"/>
      <c r="BD1016" s="125"/>
      <c r="BE1016" s="125"/>
      <c r="BF1016" s="16"/>
      <c r="BG1016" s="125"/>
      <c r="BQ1016" s="125"/>
      <c r="BR1016" s="16"/>
      <c r="BS1016" s="123"/>
      <c r="BT1016" s="19"/>
      <c r="BU1016" s="139"/>
      <c r="BV1016" s="139"/>
      <c r="BW1016" s="123"/>
      <c r="BX1016" s="123"/>
      <c r="BY1016" s="123"/>
      <c r="BZ1016" s="123"/>
      <c r="CA1016" s="123"/>
      <c r="CB1016" s="123"/>
      <c r="CC1016" s="6"/>
      <c r="CD1016" s="123"/>
      <c r="CE1016" s="6"/>
      <c r="CF1016" s="123"/>
      <c r="CG1016" s="6"/>
      <c r="CH1016" s="6"/>
      <c r="CI1016" s="6"/>
      <c r="CJ1016" s="6"/>
      <c r="CK1016" s="123"/>
      <c r="CL1016" s="6"/>
      <c r="CM1016" s="6"/>
      <c r="CN1016" s="6"/>
      <c r="CO1016" s="138"/>
      <c r="CP1016" s="138"/>
      <c r="CQ1016" s="123"/>
      <c r="CR1016" s="6"/>
      <c r="CS1016" s="6"/>
      <c r="CT1016" s="139"/>
      <c r="CU1016" s="139"/>
      <c r="CV1016" s="76"/>
      <c r="CW1016" s="123"/>
      <c r="CX1016" s="6"/>
      <c r="DI1016" s="125"/>
      <c r="DJ1016" s="16"/>
      <c r="DM1016" s="16"/>
      <c r="DN1016" s="16"/>
      <c r="DO1016" s="125"/>
      <c r="DP1016" s="16"/>
      <c r="DQ1016" s="125"/>
      <c r="DZ1016" s="125"/>
      <c r="EA1016" s="142"/>
      <c r="EB1016" s="125"/>
      <c r="EC1016" s="16"/>
      <c r="ED1016" s="125"/>
      <c r="EE1016" s="125"/>
      <c r="EF1016" s="16"/>
      <c r="EG1016" s="125"/>
      <c r="EQ1016" s="125"/>
      <c r="ER1016" s="16"/>
      <c r="ES1016" s="123"/>
      <c r="ET1016" s="19"/>
      <c r="EU1016" s="139"/>
      <c r="EV1016" s="139"/>
      <c r="EW1016" s="123"/>
      <c r="EX1016" s="123"/>
      <c r="EY1016" s="123"/>
      <c r="EZ1016" s="123"/>
      <c r="FA1016" s="123"/>
      <c r="FB1016" s="123"/>
      <c r="FC1016" s="6"/>
      <c r="FD1016" s="123"/>
      <c r="FE1016" s="6"/>
      <c r="FF1016" s="123"/>
      <c r="FG1016" s="6"/>
      <c r="FH1016" s="6"/>
      <c r="FI1016" s="6"/>
      <c r="FJ1016" s="6"/>
      <c r="FK1016" s="123"/>
      <c r="FL1016" s="6"/>
      <c r="FM1016" s="6"/>
      <c r="FN1016" s="6"/>
      <c r="FO1016" s="138"/>
      <c r="FP1016" s="138"/>
      <c r="FQ1016" s="123"/>
      <c r="FR1016" s="6"/>
      <c r="FS1016" s="6"/>
      <c r="FT1016" s="139"/>
      <c r="FU1016" s="139"/>
      <c r="FV1016" s="76"/>
      <c r="FW1016" s="123"/>
      <c r="FX1016" s="6"/>
    </row>
    <row r="1017" spans="35:180">
      <c r="AI1017" s="125"/>
      <c r="AJ1017" s="16"/>
      <c r="AM1017" s="16"/>
      <c r="AN1017" s="16"/>
      <c r="AO1017" s="125"/>
      <c r="AP1017" s="16"/>
      <c r="AQ1017" s="125"/>
      <c r="AZ1017" s="125"/>
      <c r="BA1017" s="142"/>
      <c r="BB1017" s="125"/>
      <c r="BC1017" s="16"/>
      <c r="BD1017" s="125"/>
      <c r="BE1017" s="125"/>
      <c r="BF1017" s="16"/>
      <c r="BG1017" s="125"/>
      <c r="BQ1017" s="125"/>
      <c r="BR1017" s="16"/>
      <c r="BS1017" s="123"/>
      <c r="BT1017" s="19"/>
      <c r="BU1017" s="139"/>
      <c r="BV1017" s="139"/>
      <c r="BW1017" s="123"/>
      <c r="BX1017" s="123"/>
      <c r="BY1017" s="123"/>
      <c r="BZ1017" s="123"/>
      <c r="CA1017" s="123"/>
      <c r="CB1017" s="123"/>
      <c r="CC1017" s="6"/>
      <c r="CD1017" s="123"/>
      <c r="CE1017" s="6"/>
      <c r="CF1017" s="123"/>
      <c r="CG1017" s="6"/>
      <c r="CH1017" s="6"/>
      <c r="CI1017" s="6"/>
      <c r="CJ1017" s="6"/>
      <c r="CK1017" s="123"/>
      <c r="CL1017" s="6"/>
      <c r="CM1017" s="6"/>
      <c r="CN1017" s="6"/>
      <c r="CO1017" s="138"/>
      <c r="CP1017" s="138"/>
      <c r="CQ1017" s="123"/>
      <c r="CR1017" s="6"/>
      <c r="CS1017" s="6"/>
      <c r="CT1017" s="139"/>
      <c r="CU1017" s="139"/>
      <c r="CV1017" s="76"/>
      <c r="CW1017" s="123"/>
      <c r="CX1017" s="6"/>
      <c r="DI1017" s="125"/>
      <c r="DJ1017" s="16"/>
      <c r="DM1017" s="16"/>
      <c r="DN1017" s="16"/>
      <c r="DO1017" s="125"/>
      <c r="DP1017" s="16"/>
      <c r="DQ1017" s="125"/>
      <c r="DZ1017" s="125"/>
      <c r="EA1017" s="142"/>
      <c r="EB1017" s="125"/>
      <c r="EC1017" s="16"/>
      <c r="ED1017" s="125"/>
      <c r="EE1017" s="125"/>
      <c r="EF1017" s="16"/>
      <c r="EG1017" s="125"/>
      <c r="EQ1017" s="125"/>
      <c r="ER1017" s="16"/>
      <c r="ES1017" s="123"/>
      <c r="ET1017" s="19"/>
      <c r="EU1017" s="139"/>
      <c r="EV1017" s="139"/>
      <c r="EW1017" s="123"/>
      <c r="EX1017" s="123"/>
      <c r="EY1017" s="123"/>
      <c r="EZ1017" s="123"/>
      <c r="FA1017" s="123"/>
      <c r="FB1017" s="123"/>
      <c r="FC1017" s="6"/>
      <c r="FD1017" s="123"/>
      <c r="FE1017" s="6"/>
      <c r="FF1017" s="123"/>
      <c r="FG1017" s="6"/>
      <c r="FH1017" s="6"/>
      <c r="FI1017" s="6"/>
      <c r="FJ1017" s="6"/>
      <c r="FK1017" s="123"/>
      <c r="FL1017" s="6"/>
      <c r="FM1017" s="6"/>
      <c r="FN1017" s="6"/>
      <c r="FO1017" s="138"/>
      <c r="FP1017" s="138"/>
      <c r="FQ1017" s="123"/>
      <c r="FR1017" s="6"/>
      <c r="FS1017" s="6"/>
      <c r="FT1017" s="139"/>
      <c r="FU1017" s="139"/>
      <c r="FV1017" s="76"/>
      <c r="FW1017" s="123"/>
      <c r="FX1017" s="6"/>
    </row>
    <row r="1018" spans="35:180">
      <c r="AI1018" s="125"/>
      <c r="AJ1018" s="16"/>
      <c r="AM1018" s="16"/>
      <c r="AN1018" s="16"/>
      <c r="AO1018" s="125"/>
      <c r="AP1018" s="16"/>
      <c r="AQ1018" s="125"/>
      <c r="AZ1018" s="125"/>
      <c r="BA1018" s="142"/>
      <c r="BB1018" s="125"/>
      <c r="BC1018" s="16"/>
      <c r="BD1018" s="125"/>
      <c r="BE1018" s="125"/>
      <c r="BF1018" s="16"/>
      <c r="BG1018" s="125"/>
      <c r="BQ1018" s="125"/>
      <c r="BR1018" s="16"/>
      <c r="BS1018" s="123"/>
      <c r="BT1018" s="19"/>
      <c r="BU1018" s="139"/>
      <c r="BV1018" s="139"/>
      <c r="BW1018" s="123"/>
      <c r="BX1018" s="123"/>
      <c r="BY1018" s="123"/>
      <c r="BZ1018" s="123"/>
      <c r="CA1018" s="123"/>
      <c r="CB1018" s="123"/>
      <c r="CC1018" s="6"/>
      <c r="CD1018" s="123"/>
      <c r="CE1018" s="6"/>
      <c r="CF1018" s="123"/>
      <c r="CG1018" s="6"/>
      <c r="CH1018" s="6"/>
      <c r="CI1018" s="6"/>
      <c r="CJ1018" s="6"/>
      <c r="CK1018" s="123"/>
      <c r="CL1018" s="6"/>
      <c r="CM1018" s="6"/>
      <c r="CN1018" s="6"/>
      <c r="CO1018" s="138"/>
      <c r="CP1018" s="138"/>
      <c r="CQ1018" s="123"/>
      <c r="CR1018" s="6"/>
      <c r="CS1018" s="6"/>
      <c r="CT1018" s="139"/>
      <c r="CU1018" s="139"/>
      <c r="CV1018" s="76"/>
      <c r="CW1018" s="123"/>
      <c r="CX1018" s="6"/>
      <c r="DI1018" s="125"/>
      <c r="DJ1018" s="16"/>
      <c r="DM1018" s="16"/>
      <c r="DN1018" s="16"/>
      <c r="DO1018" s="125"/>
      <c r="DP1018" s="16"/>
      <c r="DQ1018" s="125"/>
      <c r="DZ1018" s="125"/>
      <c r="EA1018" s="142"/>
      <c r="EB1018" s="125"/>
      <c r="EC1018" s="16"/>
      <c r="ED1018" s="125"/>
      <c r="EE1018" s="125"/>
      <c r="EF1018" s="16"/>
      <c r="EG1018" s="125"/>
      <c r="EQ1018" s="125"/>
      <c r="ER1018" s="16"/>
      <c r="ES1018" s="123"/>
      <c r="ET1018" s="19"/>
      <c r="EU1018" s="139"/>
      <c r="EV1018" s="139"/>
      <c r="EW1018" s="123"/>
      <c r="EX1018" s="123"/>
      <c r="EY1018" s="123"/>
      <c r="EZ1018" s="123"/>
      <c r="FA1018" s="123"/>
      <c r="FB1018" s="123"/>
      <c r="FC1018" s="6"/>
      <c r="FD1018" s="123"/>
      <c r="FE1018" s="6"/>
      <c r="FF1018" s="123"/>
      <c r="FG1018" s="6"/>
      <c r="FH1018" s="6"/>
      <c r="FI1018" s="6"/>
      <c r="FJ1018" s="6"/>
      <c r="FK1018" s="123"/>
      <c r="FL1018" s="6"/>
      <c r="FM1018" s="6"/>
      <c r="FN1018" s="6"/>
      <c r="FO1018" s="138"/>
      <c r="FP1018" s="138"/>
      <c r="FQ1018" s="123"/>
      <c r="FR1018" s="6"/>
      <c r="FS1018" s="6"/>
      <c r="FT1018" s="139"/>
      <c r="FU1018" s="139"/>
      <c r="FV1018" s="76"/>
      <c r="FW1018" s="123"/>
      <c r="FX1018" s="6"/>
    </row>
    <row r="1019" spans="35:180">
      <c r="AI1019" s="125"/>
      <c r="AJ1019" s="16"/>
      <c r="AM1019" s="16"/>
      <c r="AN1019" s="16"/>
      <c r="AO1019" s="125"/>
      <c r="AP1019" s="16"/>
      <c r="AQ1019" s="125"/>
      <c r="AZ1019" s="125"/>
      <c r="BA1019" s="142"/>
      <c r="BB1019" s="125"/>
      <c r="BC1019" s="16"/>
      <c r="BD1019" s="125"/>
      <c r="BE1019" s="125"/>
      <c r="BF1019" s="16"/>
      <c r="BG1019" s="125"/>
      <c r="BQ1019" s="125"/>
      <c r="BR1019" s="16"/>
      <c r="BS1019" s="123"/>
      <c r="BT1019" s="19"/>
      <c r="BU1019" s="139"/>
      <c r="BV1019" s="139"/>
      <c r="BW1019" s="123"/>
      <c r="BX1019" s="123"/>
      <c r="BY1019" s="123"/>
      <c r="BZ1019" s="123"/>
      <c r="CA1019" s="123"/>
      <c r="CB1019" s="123"/>
      <c r="CC1019" s="6"/>
      <c r="CD1019" s="123"/>
      <c r="CE1019" s="6"/>
      <c r="CF1019" s="123"/>
      <c r="CG1019" s="6"/>
      <c r="CH1019" s="6"/>
      <c r="CI1019" s="6"/>
      <c r="CJ1019" s="6"/>
      <c r="CK1019" s="123"/>
      <c r="CL1019" s="6"/>
      <c r="CM1019" s="6"/>
      <c r="CN1019" s="6"/>
      <c r="CO1019" s="138"/>
      <c r="CP1019" s="138"/>
      <c r="CQ1019" s="123"/>
      <c r="CR1019" s="6"/>
      <c r="CS1019" s="6"/>
      <c r="CT1019" s="139"/>
      <c r="CU1019" s="139"/>
      <c r="CV1019" s="76"/>
      <c r="CW1019" s="123"/>
      <c r="CX1019" s="6"/>
      <c r="DI1019" s="125"/>
      <c r="DJ1019" s="16"/>
      <c r="DM1019" s="16"/>
      <c r="DN1019" s="16"/>
      <c r="DO1019" s="125"/>
      <c r="DP1019" s="16"/>
      <c r="DQ1019" s="125"/>
      <c r="DZ1019" s="125"/>
      <c r="EA1019" s="142"/>
      <c r="EB1019" s="125"/>
      <c r="EC1019" s="16"/>
      <c r="ED1019" s="125"/>
      <c r="EE1019" s="125"/>
      <c r="EF1019" s="16"/>
      <c r="EG1019" s="125"/>
      <c r="EQ1019" s="125"/>
      <c r="ER1019" s="16"/>
      <c r="ES1019" s="123"/>
      <c r="ET1019" s="19"/>
      <c r="EU1019" s="139"/>
      <c r="EV1019" s="139"/>
      <c r="EW1019" s="123"/>
      <c r="EX1019" s="123"/>
      <c r="EY1019" s="123"/>
      <c r="EZ1019" s="123"/>
      <c r="FA1019" s="123"/>
      <c r="FB1019" s="123"/>
      <c r="FC1019" s="6"/>
      <c r="FD1019" s="123"/>
      <c r="FE1019" s="6"/>
      <c r="FF1019" s="123"/>
      <c r="FG1019" s="6"/>
      <c r="FH1019" s="6"/>
      <c r="FI1019" s="6"/>
      <c r="FJ1019" s="6"/>
      <c r="FK1019" s="123"/>
      <c r="FL1019" s="6"/>
      <c r="FM1019" s="6"/>
      <c r="FN1019" s="6"/>
      <c r="FO1019" s="138"/>
      <c r="FP1019" s="138"/>
      <c r="FQ1019" s="123"/>
      <c r="FR1019" s="6"/>
      <c r="FS1019" s="6"/>
      <c r="FT1019" s="139"/>
      <c r="FU1019" s="139"/>
      <c r="FV1019" s="76"/>
      <c r="FW1019" s="123"/>
      <c r="FX1019" s="6"/>
    </row>
    <row r="1020" spans="35:180">
      <c r="AI1020" s="125"/>
      <c r="AJ1020" s="16"/>
      <c r="AM1020" s="16"/>
      <c r="AN1020" s="16"/>
      <c r="AO1020" s="125"/>
      <c r="AP1020" s="16"/>
      <c r="AQ1020" s="125"/>
      <c r="AZ1020" s="125"/>
      <c r="BA1020" s="142"/>
      <c r="BB1020" s="125"/>
      <c r="BC1020" s="16"/>
      <c r="BD1020" s="125"/>
      <c r="BE1020" s="125"/>
      <c r="BF1020" s="16"/>
      <c r="BG1020" s="125"/>
      <c r="BQ1020" s="125"/>
      <c r="BR1020" s="16"/>
      <c r="BS1020" s="123"/>
      <c r="BT1020" s="19"/>
      <c r="BU1020" s="139"/>
      <c r="BV1020" s="139"/>
      <c r="BW1020" s="123"/>
      <c r="BX1020" s="123"/>
      <c r="BY1020" s="123"/>
      <c r="BZ1020" s="123"/>
      <c r="CA1020" s="123"/>
      <c r="CB1020" s="123"/>
      <c r="CC1020" s="6"/>
      <c r="CD1020" s="123"/>
      <c r="CE1020" s="6"/>
      <c r="CF1020" s="123"/>
      <c r="CG1020" s="6"/>
      <c r="CH1020" s="6"/>
      <c r="CI1020" s="6"/>
      <c r="CJ1020" s="6"/>
      <c r="CK1020" s="123"/>
      <c r="CL1020" s="6"/>
      <c r="CM1020" s="6"/>
      <c r="CN1020" s="6"/>
      <c r="CO1020" s="138"/>
      <c r="CP1020" s="138"/>
      <c r="CQ1020" s="123"/>
      <c r="CR1020" s="6"/>
      <c r="CS1020" s="6"/>
      <c r="CT1020" s="139"/>
      <c r="CU1020" s="139"/>
      <c r="CV1020" s="76"/>
      <c r="CW1020" s="123"/>
      <c r="CX1020" s="6"/>
      <c r="DI1020" s="125"/>
      <c r="DJ1020" s="16"/>
      <c r="DM1020" s="16"/>
      <c r="DN1020" s="16"/>
      <c r="DO1020" s="125"/>
      <c r="DP1020" s="16"/>
      <c r="DQ1020" s="125"/>
      <c r="DZ1020" s="125"/>
      <c r="EA1020" s="142"/>
      <c r="EB1020" s="125"/>
      <c r="EC1020" s="16"/>
      <c r="ED1020" s="125"/>
      <c r="EE1020" s="125"/>
      <c r="EF1020" s="16"/>
      <c r="EG1020" s="125"/>
      <c r="EQ1020" s="125"/>
      <c r="ER1020" s="16"/>
      <c r="ES1020" s="123"/>
      <c r="ET1020" s="19"/>
      <c r="EU1020" s="139"/>
      <c r="EV1020" s="139"/>
      <c r="EW1020" s="123"/>
      <c r="EX1020" s="123"/>
      <c r="EY1020" s="123"/>
      <c r="EZ1020" s="123"/>
      <c r="FA1020" s="123"/>
      <c r="FB1020" s="123"/>
      <c r="FC1020" s="6"/>
      <c r="FD1020" s="123"/>
      <c r="FE1020" s="6"/>
      <c r="FF1020" s="123"/>
      <c r="FG1020" s="6"/>
      <c r="FH1020" s="6"/>
      <c r="FI1020" s="6"/>
      <c r="FJ1020" s="6"/>
      <c r="FK1020" s="123"/>
      <c r="FL1020" s="6"/>
      <c r="FM1020" s="6"/>
      <c r="FN1020" s="6"/>
      <c r="FO1020" s="138"/>
      <c r="FP1020" s="138"/>
      <c r="FQ1020" s="123"/>
      <c r="FR1020" s="6"/>
      <c r="FS1020" s="6"/>
      <c r="FT1020" s="139"/>
      <c r="FU1020" s="139"/>
      <c r="FV1020" s="76"/>
      <c r="FW1020" s="123"/>
      <c r="FX1020" s="6"/>
    </row>
    <row r="1021" spans="35:180">
      <c r="AI1021" s="125"/>
      <c r="AJ1021" s="16"/>
      <c r="AM1021" s="16"/>
      <c r="AN1021" s="16"/>
      <c r="AO1021" s="125"/>
      <c r="AP1021" s="16"/>
      <c r="AQ1021" s="125"/>
      <c r="AZ1021" s="125"/>
      <c r="BA1021" s="142"/>
      <c r="BB1021" s="125"/>
      <c r="BC1021" s="16"/>
      <c r="BD1021" s="125"/>
      <c r="BE1021" s="125"/>
      <c r="BF1021" s="16"/>
      <c r="BG1021" s="125"/>
      <c r="BQ1021" s="125"/>
      <c r="BR1021" s="16"/>
      <c r="BS1021" s="123"/>
      <c r="BT1021" s="19"/>
      <c r="BU1021" s="139"/>
      <c r="BV1021" s="139"/>
      <c r="BW1021" s="123"/>
      <c r="BX1021" s="123"/>
      <c r="BY1021" s="123"/>
      <c r="BZ1021" s="123"/>
      <c r="CA1021" s="123"/>
      <c r="CB1021" s="123"/>
      <c r="CC1021" s="6"/>
      <c r="CD1021" s="123"/>
      <c r="CE1021" s="6"/>
      <c r="CF1021" s="123"/>
      <c r="CG1021" s="6"/>
      <c r="CH1021" s="6"/>
      <c r="CI1021" s="6"/>
      <c r="CJ1021" s="6"/>
      <c r="CK1021" s="123"/>
      <c r="CL1021" s="6"/>
      <c r="CM1021" s="6"/>
      <c r="CN1021" s="6"/>
      <c r="CO1021" s="138"/>
      <c r="CP1021" s="138"/>
      <c r="CQ1021" s="123"/>
      <c r="CR1021" s="6"/>
      <c r="CS1021" s="6"/>
      <c r="CT1021" s="139"/>
      <c r="CU1021" s="139"/>
      <c r="CV1021" s="76"/>
      <c r="CW1021" s="123"/>
      <c r="CX1021" s="6"/>
      <c r="DI1021" s="125"/>
      <c r="DJ1021" s="16"/>
      <c r="DM1021" s="16"/>
      <c r="DN1021" s="16"/>
      <c r="DO1021" s="125"/>
      <c r="DP1021" s="16"/>
      <c r="DQ1021" s="125"/>
      <c r="DZ1021" s="125"/>
      <c r="EA1021" s="142"/>
      <c r="EB1021" s="125"/>
      <c r="EC1021" s="16"/>
      <c r="ED1021" s="125"/>
      <c r="EE1021" s="125"/>
      <c r="EF1021" s="16"/>
      <c r="EG1021" s="125"/>
      <c r="EQ1021" s="125"/>
      <c r="ER1021" s="16"/>
      <c r="ES1021" s="123"/>
      <c r="ET1021" s="19"/>
      <c r="EU1021" s="139"/>
      <c r="EV1021" s="139"/>
      <c r="EW1021" s="123"/>
      <c r="EX1021" s="123"/>
      <c r="EY1021" s="123"/>
      <c r="EZ1021" s="123"/>
      <c r="FA1021" s="123"/>
      <c r="FB1021" s="123"/>
      <c r="FC1021" s="6"/>
      <c r="FD1021" s="123"/>
      <c r="FE1021" s="6"/>
      <c r="FF1021" s="123"/>
      <c r="FG1021" s="6"/>
      <c r="FH1021" s="6"/>
      <c r="FI1021" s="6"/>
      <c r="FJ1021" s="6"/>
      <c r="FK1021" s="123"/>
      <c r="FL1021" s="6"/>
      <c r="FM1021" s="6"/>
      <c r="FN1021" s="6"/>
      <c r="FO1021" s="138"/>
      <c r="FP1021" s="138"/>
      <c r="FQ1021" s="123"/>
      <c r="FR1021" s="6"/>
      <c r="FS1021" s="6"/>
      <c r="FT1021" s="139"/>
      <c r="FU1021" s="139"/>
      <c r="FV1021" s="76"/>
      <c r="FW1021" s="123"/>
      <c r="FX1021" s="6"/>
    </row>
    <row r="1022" spans="35:180">
      <c r="AI1022" s="125"/>
      <c r="AJ1022" s="16"/>
      <c r="AM1022" s="16"/>
      <c r="AN1022" s="16"/>
      <c r="AO1022" s="125"/>
      <c r="AP1022" s="16"/>
      <c r="AQ1022" s="125"/>
      <c r="AZ1022" s="125"/>
      <c r="BA1022" s="142"/>
      <c r="BB1022" s="125"/>
      <c r="BC1022" s="16"/>
      <c r="BD1022" s="125"/>
      <c r="BE1022" s="125"/>
      <c r="BF1022" s="16"/>
      <c r="BG1022" s="125"/>
      <c r="BQ1022" s="125"/>
      <c r="BR1022" s="16"/>
      <c r="BS1022" s="123"/>
      <c r="BT1022" s="19"/>
      <c r="BU1022" s="139"/>
      <c r="BV1022" s="139"/>
      <c r="BW1022" s="123"/>
      <c r="BX1022" s="123"/>
      <c r="BY1022" s="123"/>
      <c r="BZ1022" s="123"/>
      <c r="CA1022" s="123"/>
      <c r="CB1022" s="123"/>
      <c r="CC1022" s="6"/>
      <c r="CD1022" s="123"/>
      <c r="CE1022" s="6"/>
      <c r="CF1022" s="123"/>
      <c r="CG1022" s="6"/>
      <c r="CH1022" s="6"/>
      <c r="CI1022" s="6"/>
      <c r="CJ1022" s="6"/>
      <c r="CK1022" s="123"/>
      <c r="CL1022" s="6"/>
      <c r="CM1022" s="6"/>
      <c r="CN1022" s="6"/>
      <c r="CO1022" s="138"/>
      <c r="CP1022" s="138"/>
      <c r="CQ1022" s="123"/>
      <c r="CR1022" s="6"/>
      <c r="CS1022" s="6"/>
      <c r="CT1022" s="139"/>
      <c r="CU1022" s="139"/>
      <c r="CV1022" s="76"/>
      <c r="CW1022" s="123"/>
      <c r="CX1022" s="6"/>
      <c r="DI1022" s="125"/>
      <c r="DJ1022" s="16"/>
      <c r="DM1022" s="16"/>
      <c r="DN1022" s="16"/>
      <c r="DO1022" s="125"/>
      <c r="DP1022" s="16"/>
      <c r="DQ1022" s="125"/>
      <c r="DZ1022" s="125"/>
      <c r="EA1022" s="142"/>
      <c r="EB1022" s="125"/>
      <c r="EC1022" s="16"/>
      <c r="ED1022" s="125"/>
      <c r="EE1022" s="125"/>
      <c r="EF1022" s="16"/>
      <c r="EG1022" s="125"/>
      <c r="EQ1022" s="125"/>
      <c r="ER1022" s="16"/>
      <c r="ES1022" s="123"/>
      <c r="ET1022" s="19"/>
      <c r="EU1022" s="139"/>
      <c r="EV1022" s="139"/>
      <c r="EW1022" s="123"/>
      <c r="EX1022" s="123"/>
      <c r="EY1022" s="123"/>
      <c r="EZ1022" s="123"/>
      <c r="FA1022" s="123"/>
      <c r="FB1022" s="123"/>
      <c r="FC1022" s="6"/>
      <c r="FD1022" s="123"/>
      <c r="FE1022" s="6"/>
      <c r="FF1022" s="123"/>
      <c r="FG1022" s="6"/>
      <c r="FH1022" s="6"/>
      <c r="FI1022" s="6"/>
      <c r="FJ1022" s="6"/>
      <c r="FK1022" s="123"/>
      <c r="FL1022" s="6"/>
      <c r="FM1022" s="6"/>
      <c r="FN1022" s="6"/>
      <c r="FO1022" s="138"/>
      <c r="FP1022" s="138"/>
      <c r="FQ1022" s="123"/>
      <c r="FR1022" s="6"/>
      <c r="FS1022" s="6"/>
      <c r="FT1022" s="139"/>
      <c r="FU1022" s="139"/>
      <c r="FV1022" s="76"/>
      <c r="FW1022" s="123"/>
      <c r="FX1022" s="6"/>
    </row>
    <row r="1023" spans="35:180">
      <c r="AI1023" s="125"/>
      <c r="AJ1023" s="16"/>
      <c r="AM1023" s="16"/>
      <c r="AN1023" s="16"/>
      <c r="AO1023" s="125"/>
      <c r="AP1023" s="16"/>
      <c r="AQ1023" s="125"/>
      <c r="AZ1023" s="125"/>
      <c r="BA1023" s="142"/>
      <c r="BB1023" s="125"/>
      <c r="BC1023" s="16"/>
      <c r="BD1023" s="125"/>
      <c r="BE1023" s="125"/>
      <c r="BF1023" s="16"/>
      <c r="BG1023" s="125"/>
      <c r="BQ1023" s="125"/>
      <c r="BR1023" s="16"/>
      <c r="BS1023" s="123"/>
      <c r="BT1023" s="19"/>
      <c r="BU1023" s="139"/>
      <c r="BV1023" s="139"/>
      <c r="BW1023" s="123"/>
      <c r="BX1023" s="123"/>
      <c r="BY1023" s="123"/>
      <c r="BZ1023" s="123"/>
      <c r="CA1023" s="123"/>
      <c r="CB1023" s="123"/>
      <c r="CC1023" s="6"/>
      <c r="CD1023" s="123"/>
      <c r="CE1023" s="6"/>
      <c r="CF1023" s="123"/>
      <c r="CG1023" s="6"/>
      <c r="CH1023" s="6"/>
      <c r="CI1023" s="6"/>
      <c r="CJ1023" s="6"/>
      <c r="CK1023" s="123"/>
      <c r="CL1023" s="6"/>
      <c r="CM1023" s="6"/>
      <c r="CN1023" s="6"/>
      <c r="CO1023" s="138"/>
      <c r="CP1023" s="138"/>
      <c r="CQ1023" s="123"/>
      <c r="CR1023" s="6"/>
      <c r="CS1023" s="6"/>
      <c r="CT1023" s="139"/>
      <c r="CU1023" s="139"/>
      <c r="CV1023" s="76"/>
      <c r="CW1023" s="123"/>
      <c r="CX1023" s="6"/>
      <c r="DI1023" s="125"/>
      <c r="DJ1023" s="16"/>
      <c r="DM1023" s="16"/>
      <c r="DN1023" s="16"/>
      <c r="DO1023" s="125"/>
      <c r="DP1023" s="16"/>
      <c r="DQ1023" s="125"/>
      <c r="DZ1023" s="125"/>
      <c r="EA1023" s="142"/>
      <c r="EB1023" s="125"/>
      <c r="EC1023" s="16"/>
      <c r="ED1023" s="125"/>
      <c r="EE1023" s="125"/>
      <c r="EF1023" s="16"/>
      <c r="EG1023" s="125"/>
      <c r="EQ1023" s="125"/>
      <c r="ER1023" s="16"/>
      <c r="ES1023" s="123"/>
      <c r="ET1023" s="19"/>
      <c r="EU1023" s="139"/>
      <c r="EV1023" s="139"/>
      <c r="EW1023" s="123"/>
      <c r="EX1023" s="123"/>
      <c r="EY1023" s="123"/>
      <c r="EZ1023" s="123"/>
      <c r="FA1023" s="123"/>
      <c r="FB1023" s="123"/>
      <c r="FC1023" s="6"/>
      <c r="FD1023" s="123"/>
      <c r="FE1023" s="6"/>
      <c r="FF1023" s="123"/>
      <c r="FG1023" s="6"/>
      <c r="FH1023" s="6"/>
      <c r="FI1023" s="6"/>
      <c r="FJ1023" s="6"/>
      <c r="FK1023" s="123"/>
      <c r="FL1023" s="6"/>
      <c r="FM1023" s="6"/>
      <c r="FN1023" s="6"/>
      <c r="FO1023" s="138"/>
      <c r="FP1023" s="138"/>
      <c r="FQ1023" s="123"/>
      <c r="FR1023" s="6"/>
      <c r="FS1023" s="6"/>
      <c r="FT1023" s="139"/>
      <c r="FU1023" s="139"/>
      <c r="FV1023" s="76"/>
      <c r="FW1023" s="123"/>
      <c r="FX1023" s="6"/>
    </row>
    <row r="1024" spans="35:180">
      <c r="AI1024" s="125"/>
      <c r="AJ1024" s="16"/>
      <c r="AM1024" s="16"/>
      <c r="AN1024" s="16"/>
      <c r="AO1024" s="125"/>
      <c r="AP1024" s="16"/>
      <c r="AQ1024" s="125"/>
      <c r="AZ1024" s="125"/>
      <c r="BA1024" s="142"/>
      <c r="BB1024" s="125"/>
      <c r="BC1024" s="16"/>
      <c r="BD1024" s="125"/>
      <c r="BE1024" s="125"/>
      <c r="BF1024" s="16"/>
      <c r="BG1024" s="125"/>
      <c r="BQ1024" s="125"/>
      <c r="BR1024" s="16"/>
      <c r="BS1024" s="123"/>
      <c r="BT1024" s="19"/>
      <c r="BU1024" s="139"/>
      <c r="BV1024" s="139"/>
      <c r="BW1024" s="123"/>
      <c r="BX1024" s="123"/>
      <c r="BY1024" s="123"/>
      <c r="BZ1024" s="123"/>
      <c r="CA1024" s="123"/>
      <c r="CB1024" s="123"/>
      <c r="CC1024" s="6"/>
      <c r="CD1024" s="123"/>
      <c r="CE1024" s="6"/>
      <c r="CF1024" s="123"/>
      <c r="CG1024" s="6"/>
      <c r="CH1024" s="6"/>
      <c r="CI1024" s="6"/>
      <c r="CJ1024" s="6"/>
      <c r="CK1024" s="123"/>
      <c r="CL1024" s="6"/>
      <c r="CM1024" s="6"/>
      <c r="CN1024" s="6"/>
      <c r="CO1024" s="138"/>
      <c r="CP1024" s="138"/>
      <c r="CQ1024" s="123"/>
      <c r="CR1024" s="6"/>
      <c r="CS1024" s="6"/>
      <c r="CT1024" s="139"/>
      <c r="CU1024" s="139"/>
      <c r="CV1024" s="76"/>
      <c r="CW1024" s="123"/>
      <c r="CX1024" s="6"/>
      <c r="DI1024" s="125"/>
      <c r="DJ1024" s="16"/>
      <c r="DM1024" s="16"/>
      <c r="DN1024" s="16"/>
      <c r="DO1024" s="125"/>
      <c r="DP1024" s="16"/>
      <c r="DQ1024" s="125"/>
      <c r="DZ1024" s="125"/>
      <c r="EA1024" s="142"/>
      <c r="EB1024" s="125"/>
      <c r="EC1024" s="16"/>
      <c r="ED1024" s="125"/>
      <c r="EE1024" s="125"/>
      <c r="EF1024" s="16"/>
      <c r="EG1024" s="125"/>
      <c r="EQ1024" s="125"/>
      <c r="ER1024" s="16"/>
      <c r="ES1024" s="123"/>
      <c r="ET1024" s="19"/>
      <c r="EU1024" s="139"/>
      <c r="EV1024" s="139"/>
      <c r="EW1024" s="123"/>
      <c r="EX1024" s="123"/>
      <c r="EY1024" s="123"/>
      <c r="EZ1024" s="123"/>
      <c r="FA1024" s="123"/>
      <c r="FB1024" s="123"/>
      <c r="FC1024" s="6"/>
      <c r="FD1024" s="123"/>
      <c r="FE1024" s="6"/>
      <c r="FF1024" s="123"/>
      <c r="FG1024" s="6"/>
      <c r="FH1024" s="6"/>
      <c r="FI1024" s="6"/>
      <c r="FJ1024" s="6"/>
      <c r="FK1024" s="123"/>
      <c r="FL1024" s="6"/>
      <c r="FM1024" s="6"/>
      <c r="FN1024" s="6"/>
      <c r="FO1024" s="138"/>
      <c r="FP1024" s="138"/>
      <c r="FQ1024" s="123"/>
      <c r="FR1024" s="6"/>
      <c r="FS1024" s="6"/>
      <c r="FT1024" s="139"/>
      <c r="FU1024" s="139"/>
      <c r="FV1024" s="76"/>
      <c r="FW1024" s="123"/>
      <c r="FX1024" s="6"/>
    </row>
    <row r="1025" spans="35:180">
      <c r="AI1025" s="125"/>
      <c r="AJ1025" s="16"/>
      <c r="AM1025" s="16"/>
      <c r="AN1025" s="16"/>
      <c r="AO1025" s="125"/>
      <c r="AP1025" s="16"/>
      <c r="AQ1025" s="125"/>
      <c r="AZ1025" s="125"/>
      <c r="BA1025" s="142"/>
      <c r="BB1025" s="125"/>
      <c r="BC1025" s="16"/>
      <c r="BD1025" s="125"/>
      <c r="BE1025" s="125"/>
      <c r="BF1025" s="16"/>
      <c r="BG1025" s="125"/>
      <c r="BQ1025" s="125"/>
      <c r="BR1025" s="16"/>
      <c r="BS1025" s="123"/>
      <c r="BT1025" s="19"/>
      <c r="BU1025" s="139"/>
      <c r="BV1025" s="139"/>
      <c r="BW1025" s="123"/>
      <c r="BX1025" s="123"/>
      <c r="BY1025" s="123"/>
      <c r="BZ1025" s="123"/>
      <c r="CA1025" s="123"/>
      <c r="CB1025" s="123"/>
      <c r="CC1025" s="6"/>
      <c r="CD1025" s="123"/>
      <c r="CE1025" s="6"/>
      <c r="CF1025" s="123"/>
      <c r="CG1025" s="6"/>
      <c r="CH1025" s="6"/>
      <c r="CI1025" s="6"/>
      <c r="CJ1025" s="6"/>
      <c r="CK1025" s="123"/>
      <c r="CL1025" s="6"/>
      <c r="CM1025" s="6"/>
      <c r="CN1025" s="6"/>
      <c r="CO1025" s="138"/>
      <c r="CP1025" s="138"/>
      <c r="CQ1025" s="123"/>
      <c r="CR1025" s="6"/>
      <c r="CS1025" s="6"/>
      <c r="CT1025" s="139"/>
      <c r="CU1025" s="139"/>
      <c r="CV1025" s="76"/>
      <c r="CW1025" s="123"/>
      <c r="CX1025" s="6"/>
      <c r="DI1025" s="125"/>
      <c r="DJ1025" s="16"/>
      <c r="DM1025" s="16"/>
      <c r="DN1025" s="16"/>
      <c r="DO1025" s="125"/>
      <c r="DP1025" s="16"/>
      <c r="DQ1025" s="125"/>
      <c r="DZ1025" s="125"/>
      <c r="EA1025" s="142"/>
      <c r="EB1025" s="125"/>
      <c r="EC1025" s="16"/>
      <c r="ED1025" s="125"/>
      <c r="EE1025" s="125"/>
      <c r="EF1025" s="16"/>
      <c r="EG1025" s="125"/>
      <c r="EQ1025" s="125"/>
      <c r="ER1025" s="16"/>
      <c r="ES1025" s="123"/>
      <c r="ET1025" s="19"/>
      <c r="EU1025" s="139"/>
      <c r="EV1025" s="139"/>
      <c r="EW1025" s="123"/>
      <c r="EX1025" s="123"/>
      <c r="EY1025" s="123"/>
      <c r="EZ1025" s="123"/>
      <c r="FA1025" s="123"/>
      <c r="FB1025" s="123"/>
      <c r="FC1025" s="6"/>
      <c r="FD1025" s="123"/>
      <c r="FE1025" s="6"/>
      <c r="FF1025" s="123"/>
      <c r="FG1025" s="6"/>
      <c r="FH1025" s="6"/>
      <c r="FI1025" s="6"/>
      <c r="FJ1025" s="6"/>
      <c r="FK1025" s="123"/>
      <c r="FL1025" s="6"/>
      <c r="FM1025" s="6"/>
      <c r="FN1025" s="6"/>
      <c r="FO1025" s="138"/>
      <c r="FP1025" s="138"/>
      <c r="FQ1025" s="123"/>
      <c r="FR1025" s="6"/>
      <c r="FS1025" s="6"/>
      <c r="FT1025" s="139"/>
      <c r="FU1025" s="139"/>
      <c r="FV1025" s="76"/>
      <c r="FW1025" s="123"/>
      <c r="FX1025" s="6"/>
    </row>
    <row r="1026" spans="35:180">
      <c r="AI1026" s="125"/>
      <c r="AJ1026" s="16"/>
      <c r="AM1026" s="16"/>
      <c r="AN1026" s="16"/>
      <c r="AO1026" s="125"/>
      <c r="AP1026" s="16"/>
      <c r="AQ1026" s="125"/>
      <c r="AZ1026" s="125"/>
      <c r="BA1026" s="142"/>
      <c r="BB1026" s="125"/>
      <c r="BC1026" s="16"/>
      <c r="BD1026" s="125"/>
      <c r="BE1026" s="125"/>
      <c r="BF1026" s="16"/>
      <c r="BG1026" s="125"/>
      <c r="BQ1026" s="125"/>
      <c r="BR1026" s="16"/>
      <c r="BS1026" s="123"/>
      <c r="BT1026" s="19"/>
      <c r="BU1026" s="139"/>
      <c r="BV1026" s="139"/>
      <c r="BW1026" s="123"/>
      <c r="BX1026" s="123"/>
      <c r="BY1026" s="123"/>
      <c r="BZ1026" s="123"/>
      <c r="CA1026" s="123"/>
      <c r="CB1026" s="123"/>
      <c r="CC1026" s="6"/>
      <c r="CD1026" s="123"/>
      <c r="CE1026" s="6"/>
      <c r="CF1026" s="123"/>
      <c r="CG1026" s="6"/>
      <c r="CH1026" s="6"/>
      <c r="CI1026" s="6"/>
      <c r="CJ1026" s="6"/>
      <c r="CK1026" s="123"/>
      <c r="CL1026" s="6"/>
      <c r="CM1026" s="6"/>
      <c r="CN1026" s="6"/>
      <c r="CO1026" s="138"/>
      <c r="CP1026" s="138"/>
      <c r="CQ1026" s="123"/>
      <c r="CR1026" s="6"/>
      <c r="CS1026" s="6"/>
      <c r="CT1026" s="139"/>
      <c r="CU1026" s="139"/>
      <c r="CV1026" s="76"/>
      <c r="CW1026" s="123"/>
      <c r="CX1026" s="6"/>
      <c r="DI1026" s="125"/>
      <c r="DJ1026" s="16"/>
      <c r="DM1026" s="16"/>
      <c r="DN1026" s="16"/>
      <c r="DO1026" s="125"/>
      <c r="DP1026" s="16"/>
      <c r="DQ1026" s="125"/>
      <c r="DZ1026" s="125"/>
      <c r="EA1026" s="142"/>
      <c r="EB1026" s="125"/>
      <c r="EC1026" s="16"/>
      <c r="ED1026" s="125"/>
      <c r="EE1026" s="125"/>
      <c r="EF1026" s="16"/>
      <c r="EG1026" s="125"/>
      <c r="EQ1026" s="125"/>
      <c r="ER1026" s="16"/>
      <c r="ES1026" s="123"/>
      <c r="ET1026" s="19"/>
      <c r="EU1026" s="139"/>
      <c r="EV1026" s="139"/>
      <c r="EW1026" s="123"/>
      <c r="EX1026" s="123"/>
      <c r="EY1026" s="123"/>
      <c r="EZ1026" s="123"/>
      <c r="FA1026" s="123"/>
      <c r="FB1026" s="123"/>
      <c r="FC1026" s="6"/>
      <c r="FD1026" s="123"/>
      <c r="FE1026" s="6"/>
      <c r="FF1026" s="123"/>
      <c r="FG1026" s="6"/>
      <c r="FH1026" s="6"/>
      <c r="FI1026" s="6"/>
      <c r="FJ1026" s="6"/>
      <c r="FK1026" s="123"/>
      <c r="FL1026" s="6"/>
      <c r="FM1026" s="6"/>
      <c r="FN1026" s="6"/>
      <c r="FO1026" s="138"/>
      <c r="FP1026" s="138"/>
      <c r="FQ1026" s="123"/>
      <c r="FR1026" s="6"/>
      <c r="FS1026" s="6"/>
      <c r="FT1026" s="139"/>
      <c r="FU1026" s="139"/>
      <c r="FV1026" s="76"/>
      <c r="FW1026" s="123"/>
      <c r="FX1026" s="6"/>
    </row>
    <row r="1027" spans="35:180">
      <c r="AI1027" s="125"/>
      <c r="AJ1027" s="16"/>
      <c r="AM1027" s="16"/>
      <c r="AN1027" s="16"/>
      <c r="AO1027" s="125"/>
      <c r="AP1027" s="16"/>
      <c r="AQ1027" s="125"/>
      <c r="AZ1027" s="125"/>
      <c r="BA1027" s="142"/>
      <c r="BB1027" s="125"/>
      <c r="BC1027" s="16"/>
      <c r="BD1027" s="125"/>
      <c r="BE1027" s="125"/>
      <c r="BF1027" s="16"/>
      <c r="BG1027" s="125"/>
      <c r="BQ1027" s="125"/>
      <c r="BR1027" s="16"/>
      <c r="BS1027" s="123"/>
      <c r="BT1027" s="19"/>
      <c r="BU1027" s="139"/>
      <c r="BV1027" s="139"/>
      <c r="BW1027" s="123"/>
      <c r="BX1027" s="123"/>
      <c r="BY1027" s="123"/>
      <c r="BZ1027" s="123"/>
      <c r="CA1027" s="123"/>
      <c r="CB1027" s="123"/>
      <c r="CC1027" s="6"/>
      <c r="CD1027" s="123"/>
      <c r="CE1027" s="6"/>
      <c r="CF1027" s="123"/>
      <c r="CG1027" s="6"/>
      <c r="CH1027" s="6"/>
      <c r="CI1027" s="6"/>
      <c r="CJ1027" s="6"/>
      <c r="CK1027" s="123"/>
      <c r="CL1027" s="6"/>
      <c r="CM1027" s="6"/>
      <c r="CN1027" s="6"/>
      <c r="CO1027" s="138"/>
      <c r="CP1027" s="138"/>
      <c r="CQ1027" s="123"/>
      <c r="CR1027" s="6"/>
      <c r="CS1027" s="6"/>
      <c r="CT1027" s="139"/>
      <c r="CU1027" s="139"/>
      <c r="CV1027" s="76"/>
      <c r="CW1027" s="123"/>
      <c r="CX1027" s="6"/>
      <c r="DI1027" s="125"/>
      <c r="DJ1027" s="16"/>
      <c r="DM1027" s="16"/>
      <c r="DN1027" s="16"/>
      <c r="DO1027" s="125"/>
      <c r="DP1027" s="16"/>
      <c r="DQ1027" s="125"/>
      <c r="DZ1027" s="125"/>
      <c r="EA1027" s="142"/>
      <c r="EB1027" s="125"/>
      <c r="EC1027" s="16"/>
      <c r="ED1027" s="125"/>
      <c r="EE1027" s="125"/>
      <c r="EF1027" s="16"/>
      <c r="EG1027" s="125"/>
      <c r="EQ1027" s="125"/>
      <c r="ER1027" s="16"/>
      <c r="ES1027" s="123"/>
      <c r="ET1027" s="19"/>
      <c r="EU1027" s="139"/>
      <c r="EV1027" s="139"/>
      <c r="EW1027" s="123"/>
      <c r="EX1027" s="123"/>
      <c r="EY1027" s="123"/>
      <c r="EZ1027" s="123"/>
      <c r="FA1027" s="123"/>
      <c r="FB1027" s="123"/>
      <c r="FC1027" s="6"/>
      <c r="FD1027" s="123"/>
      <c r="FE1027" s="6"/>
      <c r="FF1027" s="123"/>
      <c r="FG1027" s="6"/>
      <c r="FH1027" s="6"/>
      <c r="FI1027" s="6"/>
      <c r="FJ1027" s="6"/>
      <c r="FK1027" s="123"/>
      <c r="FL1027" s="6"/>
      <c r="FM1027" s="6"/>
      <c r="FN1027" s="6"/>
      <c r="FO1027" s="138"/>
      <c r="FP1027" s="138"/>
      <c r="FQ1027" s="123"/>
      <c r="FR1027" s="6"/>
      <c r="FS1027" s="6"/>
      <c r="FT1027" s="139"/>
      <c r="FU1027" s="139"/>
      <c r="FV1027" s="76"/>
      <c r="FW1027" s="123"/>
      <c r="FX1027" s="6"/>
    </row>
    <row r="1028" spans="35:180">
      <c r="AI1028" s="125"/>
      <c r="AJ1028" s="16"/>
      <c r="AM1028" s="16"/>
      <c r="AN1028" s="16"/>
      <c r="AO1028" s="125"/>
      <c r="AP1028" s="16"/>
      <c r="AQ1028" s="125"/>
      <c r="AZ1028" s="125"/>
      <c r="BA1028" s="142"/>
      <c r="BB1028" s="125"/>
      <c r="BC1028" s="16"/>
      <c r="BD1028" s="125"/>
      <c r="BE1028" s="125"/>
      <c r="BF1028" s="16"/>
      <c r="BG1028" s="125"/>
      <c r="BQ1028" s="125"/>
      <c r="BR1028" s="16"/>
      <c r="BS1028" s="123"/>
      <c r="BT1028" s="19"/>
      <c r="BU1028" s="139"/>
      <c r="BV1028" s="139"/>
      <c r="BW1028" s="123"/>
      <c r="BX1028" s="123"/>
      <c r="BY1028" s="123"/>
      <c r="BZ1028" s="123"/>
      <c r="CA1028" s="123"/>
      <c r="CB1028" s="123"/>
      <c r="CC1028" s="6"/>
      <c r="CD1028" s="123"/>
      <c r="CE1028" s="6"/>
      <c r="CF1028" s="123"/>
      <c r="CG1028" s="6"/>
      <c r="CH1028" s="6"/>
      <c r="CI1028" s="6"/>
      <c r="CJ1028" s="6"/>
      <c r="CK1028" s="123"/>
      <c r="CL1028" s="6"/>
      <c r="CM1028" s="6"/>
      <c r="CN1028" s="6"/>
      <c r="CO1028" s="138"/>
      <c r="CP1028" s="138"/>
      <c r="CQ1028" s="123"/>
      <c r="CR1028" s="6"/>
      <c r="CS1028" s="6"/>
      <c r="CT1028" s="139"/>
      <c r="CU1028" s="139"/>
      <c r="CV1028" s="76"/>
      <c r="CW1028" s="123"/>
      <c r="CX1028" s="6"/>
      <c r="DI1028" s="125"/>
      <c r="DJ1028" s="16"/>
      <c r="DM1028" s="16"/>
      <c r="DN1028" s="16"/>
      <c r="DO1028" s="125"/>
      <c r="DP1028" s="16"/>
      <c r="DQ1028" s="125"/>
      <c r="DZ1028" s="125"/>
      <c r="EA1028" s="142"/>
      <c r="EB1028" s="125"/>
      <c r="EC1028" s="16"/>
      <c r="ED1028" s="125"/>
      <c r="EE1028" s="125"/>
      <c r="EF1028" s="16"/>
      <c r="EG1028" s="125"/>
      <c r="EQ1028" s="125"/>
      <c r="ER1028" s="16"/>
      <c r="ES1028" s="123"/>
      <c r="ET1028" s="19"/>
      <c r="EU1028" s="139"/>
      <c r="EV1028" s="139"/>
      <c r="EW1028" s="123"/>
      <c r="EX1028" s="123"/>
      <c r="EY1028" s="123"/>
      <c r="EZ1028" s="123"/>
      <c r="FA1028" s="123"/>
      <c r="FB1028" s="123"/>
      <c r="FC1028" s="6"/>
      <c r="FD1028" s="123"/>
      <c r="FE1028" s="6"/>
      <c r="FF1028" s="123"/>
      <c r="FG1028" s="6"/>
      <c r="FH1028" s="6"/>
      <c r="FI1028" s="6"/>
      <c r="FJ1028" s="6"/>
      <c r="FK1028" s="123"/>
      <c r="FL1028" s="6"/>
      <c r="FM1028" s="6"/>
      <c r="FN1028" s="6"/>
      <c r="FO1028" s="138"/>
      <c r="FP1028" s="138"/>
      <c r="FQ1028" s="123"/>
      <c r="FR1028" s="6"/>
      <c r="FS1028" s="6"/>
      <c r="FT1028" s="139"/>
      <c r="FU1028" s="139"/>
      <c r="FV1028" s="76"/>
      <c r="FW1028" s="123"/>
      <c r="FX1028" s="6"/>
    </row>
    <row r="1029" spans="35:180">
      <c r="AI1029" s="125"/>
      <c r="AJ1029" s="16"/>
      <c r="AM1029" s="16"/>
      <c r="AN1029" s="16"/>
      <c r="AO1029" s="125"/>
      <c r="AP1029" s="16"/>
      <c r="AQ1029" s="125"/>
      <c r="AZ1029" s="125"/>
      <c r="BA1029" s="142"/>
      <c r="BB1029" s="125"/>
      <c r="BC1029" s="16"/>
      <c r="BD1029" s="125"/>
      <c r="BE1029" s="125"/>
      <c r="BF1029" s="16"/>
      <c r="BG1029" s="125"/>
      <c r="BQ1029" s="125"/>
      <c r="BR1029" s="16"/>
      <c r="BS1029" s="123"/>
      <c r="BT1029" s="19"/>
      <c r="BU1029" s="139"/>
      <c r="BV1029" s="139"/>
      <c r="BW1029" s="123"/>
      <c r="BX1029" s="123"/>
      <c r="BY1029" s="123"/>
      <c r="BZ1029" s="123"/>
      <c r="CA1029" s="123"/>
      <c r="CB1029" s="123"/>
      <c r="CC1029" s="6"/>
      <c r="CD1029" s="123"/>
      <c r="CE1029" s="6"/>
      <c r="CF1029" s="123"/>
      <c r="CG1029" s="6"/>
      <c r="CH1029" s="6"/>
      <c r="CI1029" s="6"/>
      <c r="CJ1029" s="6"/>
      <c r="CK1029" s="123"/>
      <c r="CL1029" s="6"/>
      <c r="CM1029" s="6"/>
      <c r="CN1029" s="6"/>
      <c r="CO1029" s="138"/>
      <c r="CP1029" s="138"/>
      <c r="CQ1029" s="123"/>
      <c r="CR1029" s="6"/>
      <c r="CS1029" s="6"/>
      <c r="CT1029" s="139"/>
      <c r="CU1029" s="139"/>
      <c r="CV1029" s="76"/>
      <c r="CW1029" s="123"/>
      <c r="CX1029" s="6"/>
      <c r="DI1029" s="125"/>
      <c r="DJ1029" s="16"/>
      <c r="DM1029" s="16"/>
      <c r="DN1029" s="16"/>
      <c r="DO1029" s="125"/>
      <c r="DP1029" s="16"/>
      <c r="DQ1029" s="125"/>
      <c r="DZ1029" s="125"/>
      <c r="EA1029" s="142"/>
      <c r="EB1029" s="125"/>
      <c r="EC1029" s="16"/>
      <c r="ED1029" s="125"/>
      <c r="EE1029" s="125"/>
      <c r="EF1029" s="16"/>
      <c r="EG1029" s="125"/>
      <c r="EQ1029" s="125"/>
      <c r="ER1029" s="16"/>
      <c r="ES1029" s="123"/>
      <c r="ET1029" s="19"/>
      <c r="EU1029" s="139"/>
      <c r="EV1029" s="139"/>
      <c r="EW1029" s="123"/>
      <c r="EX1029" s="123"/>
      <c r="EY1029" s="123"/>
      <c r="EZ1029" s="123"/>
      <c r="FA1029" s="123"/>
      <c r="FB1029" s="123"/>
      <c r="FC1029" s="6"/>
      <c r="FD1029" s="123"/>
      <c r="FE1029" s="6"/>
      <c r="FF1029" s="123"/>
      <c r="FG1029" s="6"/>
      <c r="FH1029" s="6"/>
      <c r="FI1029" s="6"/>
      <c r="FJ1029" s="6"/>
      <c r="FK1029" s="123"/>
      <c r="FL1029" s="6"/>
      <c r="FM1029" s="6"/>
      <c r="FN1029" s="6"/>
      <c r="FO1029" s="138"/>
      <c r="FP1029" s="138"/>
      <c r="FQ1029" s="123"/>
      <c r="FR1029" s="6"/>
      <c r="FS1029" s="6"/>
      <c r="FT1029" s="139"/>
      <c r="FU1029" s="139"/>
      <c r="FV1029" s="76"/>
      <c r="FW1029" s="123"/>
      <c r="FX1029" s="6"/>
    </row>
    <row r="1030" spans="35:180">
      <c r="AI1030" s="125"/>
      <c r="AJ1030" s="16"/>
      <c r="AM1030" s="16"/>
      <c r="AN1030" s="16"/>
      <c r="AO1030" s="125"/>
      <c r="AP1030" s="16"/>
      <c r="AQ1030" s="125"/>
      <c r="AZ1030" s="125"/>
      <c r="BA1030" s="142"/>
      <c r="BB1030" s="125"/>
      <c r="BC1030" s="16"/>
      <c r="BD1030" s="125"/>
      <c r="BE1030" s="125"/>
      <c r="BF1030" s="16"/>
      <c r="BG1030" s="125"/>
      <c r="BQ1030" s="125"/>
      <c r="BR1030" s="16"/>
      <c r="BS1030" s="123"/>
      <c r="BT1030" s="19"/>
      <c r="BU1030" s="139"/>
      <c r="BV1030" s="139"/>
      <c r="BW1030" s="123"/>
      <c r="BX1030" s="123"/>
      <c r="BY1030" s="123"/>
      <c r="BZ1030" s="123"/>
      <c r="CA1030" s="123"/>
      <c r="CB1030" s="123"/>
      <c r="CC1030" s="6"/>
      <c r="CD1030" s="123"/>
      <c r="CE1030" s="6"/>
      <c r="CF1030" s="123"/>
      <c r="CG1030" s="6"/>
      <c r="CH1030" s="6"/>
      <c r="CI1030" s="6"/>
      <c r="CJ1030" s="6"/>
      <c r="CK1030" s="123"/>
      <c r="CL1030" s="6"/>
      <c r="CM1030" s="6"/>
      <c r="CN1030" s="6"/>
      <c r="CO1030" s="138"/>
      <c r="CP1030" s="138"/>
      <c r="CQ1030" s="123"/>
      <c r="CR1030" s="6"/>
      <c r="CS1030" s="6"/>
      <c r="CT1030" s="139"/>
      <c r="CU1030" s="139"/>
      <c r="CV1030" s="76"/>
      <c r="CW1030" s="123"/>
      <c r="CX1030" s="6"/>
      <c r="DI1030" s="125"/>
      <c r="DJ1030" s="16"/>
      <c r="DM1030" s="16"/>
      <c r="DN1030" s="16"/>
      <c r="DO1030" s="125"/>
      <c r="DP1030" s="16"/>
      <c r="DQ1030" s="125"/>
      <c r="DZ1030" s="125"/>
      <c r="EA1030" s="142"/>
      <c r="EB1030" s="125"/>
      <c r="EC1030" s="16"/>
      <c r="ED1030" s="125"/>
      <c r="EE1030" s="125"/>
      <c r="EF1030" s="16"/>
      <c r="EG1030" s="125"/>
      <c r="EQ1030" s="125"/>
      <c r="ER1030" s="16"/>
      <c r="ES1030" s="123"/>
      <c r="ET1030" s="19"/>
      <c r="EU1030" s="139"/>
      <c r="EV1030" s="139"/>
      <c r="EW1030" s="123"/>
      <c r="EX1030" s="123"/>
      <c r="EY1030" s="123"/>
      <c r="EZ1030" s="123"/>
      <c r="FA1030" s="123"/>
      <c r="FB1030" s="123"/>
      <c r="FC1030" s="6"/>
      <c r="FD1030" s="123"/>
      <c r="FE1030" s="6"/>
      <c r="FF1030" s="123"/>
      <c r="FG1030" s="6"/>
      <c r="FH1030" s="6"/>
      <c r="FI1030" s="6"/>
      <c r="FJ1030" s="6"/>
      <c r="FK1030" s="123"/>
      <c r="FL1030" s="6"/>
      <c r="FM1030" s="6"/>
      <c r="FN1030" s="6"/>
      <c r="FO1030" s="138"/>
      <c r="FP1030" s="138"/>
      <c r="FQ1030" s="123"/>
      <c r="FR1030" s="6"/>
      <c r="FS1030" s="6"/>
      <c r="FT1030" s="139"/>
      <c r="FU1030" s="139"/>
      <c r="FV1030" s="76"/>
      <c r="FW1030" s="123"/>
      <c r="FX1030" s="6"/>
    </row>
    <row r="1031" spans="35:180">
      <c r="AI1031" s="125"/>
      <c r="AJ1031" s="16"/>
      <c r="AM1031" s="16"/>
      <c r="AN1031" s="16"/>
      <c r="AO1031" s="125"/>
      <c r="AP1031" s="16"/>
      <c r="AQ1031" s="125"/>
      <c r="AZ1031" s="125"/>
      <c r="BA1031" s="142"/>
      <c r="BB1031" s="125"/>
      <c r="BC1031" s="16"/>
      <c r="BD1031" s="125"/>
      <c r="BE1031" s="125"/>
      <c r="BF1031" s="16"/>
      <c r="BG1031" s="125"/>
      <c r="BQ1031" s="125"/>
      <c r="BR1031" s="16"/>
      <c r="BS1031" s="123"/>
      <c r="BT1031" s="19"/>
      <c r="BU1031" s="139"/>
      <c r="BV1031" s="139"/>
      <c r="BW1031" s="123"/>
      <c r="BX1031" s="123"/>
      <c r="BY1031" s="123"/>
      <c r="BZ1031" s="123"/>
      <c r="CA1031" s="123"/>
      <c r="CB1031" s="123"/>
      <c r="CC1031" s="6"/>
      <c r="CD1031" s="123"/>
      <c r="CE1031" s="6"/>
      <c r="CF1031" s="123"/>
      <c r="CG1031" s="6"/>
      <c r="CH1031" s="6"/>
      <c r="CI1031" s="6"/>
      <c r="CJ1031" s="6"/>
      <c r="CK1031" s="123"/>
      <c r="CL1031" s="6"/>
      <c r="CM1031" s="6"/>
      <c r="CN1031" s="6"/>
      <c r="CO1031" s="138"/>
      <c r="CP1031" s="138"/>
      <c r="CQ1031" s="123"/>
      <c r="CR1031" s="6"/>
      <c r="CS1031" s="6"/>
      <c r="CT1031" s="139"/>
      <c r="CU1031" s="139"/>
      <c r="CV1031" s="76"/>
      <c r="CW1031" s="123"/>
      <c r="CX1031" s="6"/>
      <c r="DI1031" s="125"/>
      <c r="DJ1031" s="16"/>
      <c r="DM1031" s="16"/>
      <c r="DN1031" s="16"/>
      <c r="DO1031" s="125"/>
      <c r="DP1031" s="16"/>
      <c r="DQ1031" s="125"/>
      <c r="DZ1031" s="125"/>
      <c r="EA1031" s="142"/>
      <c r="EB1031" s="125"/>
      <c r="EC1031" s="16"/>
      <c r="ED1031" s="125"/>
      <c r="EE1031" s="125"/>
      <c r="EF1031" s="16"/>
      <c r="EG1031" s="125"/>
      <c r="EQ1031" s="125"/>
      <c r="ER1031" s="16"/>
      <c r="ES1031" s="123"/>
      <c r="ET1031" s="19"/>
      <c r="EU1031" s="139"/>
      <c r="EV1031" s="139"/>
      <c r="EW1031" s="123"/>
      <c r="EX1031" s="123"/>
      <c r="EY1031" s="123"/>
      <c r="EZ1031" s="123"/>
      <c r="FA1031" s="123"/>
      <c r="FB1031" s="123"/>
      <c r="FC1031" s="6"/>
      <c r="FD1031" s="123"/>
      <c r="FE1031" s="6"/>
      <c r="FF1031" s="123"/>
      <c r="FG1031" s="6"/>
      <c r="FH1031" s="6"/>
      <c r="FI1031" s="6"/>
      <c r="FJ1031" s="6"/>
      <c r="FK1031" s="123"/>
      <c r="FL1031" s="6"/>
      <c r="FM1031" s="6"/>
      <c r="FN1031" s="6"/>
      <c r="FO1031" s="138"/>
      <c r="FP1031" s="138"/>
      <c r="FQ1031" s="123"/>
      <c r="FR1031" s="6"/>
      <c r="FS1031" s="6"/>
      <c r="FT1031" s="139"/>
      <c r="FU1031" s="139"/>
      <c r="FV1031" s="76"/>
      <c r="FW1031" s="123"/>
      <c r="FX1031" s="6"/>
    </row>
    <row r="1032" spans="35:180">
      <c r="AI1032" s="125"/>
      <c r="AJ1032" s="16"/>
      <c r="AM1032" s="16"/>
      <c r="AN1032" s="16"/>
      <c r="AO1032" s="125"/>
      <c r="AP1032" s="16"/>
      <c r="AQ1032" s="125"/>
      <c r="AZ1032" s="125"/>
      <c r="BA1032" s="142"/>
      <c r="BB1032" s="125"/>
      <c r="BC1032" s="16"/>
      <c r="BD1032" s="125"/>
      <c r="BE1032" s="125"/>
      <c r="BF1032" s="16"/>
      <c r="BG1032" s="125"/>
      <c r="BQ1032" s="125"/>
      <c r="BR1032" s="16"/>
      <c r="BS1032" s="123"/>
      <c r="BT1032" s="19"/>
      <c r="BU1032" s="139"/>
      <c r="BV1032" s="139"/>
      <c r="BW1032" s="123"/>
      <c r="BX1032" s="123"/>
      <c r="BY1032" s="123"/>
      <c r="BZ1032" s="123"/>
      <c r="CA1032" s="123"/>
      <c r="CB1032" s="123"/>
      <c r="CC1032" s="6"/>
      <c r="CD1032" s="123"/>
      <c r="CE1032" s="6"/>
      <c r="CF1032" s="123"/>
      <c r="CG1032" s="6"/>
      <c r="CH1032" s="6"/>
      <c r="CI1032" s="6"/>
      <c r="CJ1032" s="6"/>
      <c r="CK1032" s="123"/>
      <c r="CL1032" s="6"/>
      <c r="CM1032" s="6"/>
      <c r="CN1032" s="6"/>
      <c r="CO1032" s="138"/>
      <c r="CP1032" s="138"/>
      <c r="CQ1032" s="123"/>
      <c r="CR1032" s="6"/>
      <c r="CS1032" s="6"/>
      <c r="CT1032" s="139"/>
      <c r="CU1032" s="139"/>
      <c r="CV1032" s="76"/>
      <c r="CW1032" s="123"/>
      <c r="CX1032" s="6"/>
      <c r="DI1032" s="125"/>
      <c r="DJ1032" s="16"/>
      <c r="DM1032" s="16"/>
      <c r="DN1032" s="16"/>
      <c r="DO1032" s="125"/>
      <c r="DP1032" s="16"/>
      <c r="DQ1032" s="125"/>
      <c r="DZ1032" s="125"/>
      <c r="EA1032" s="142"/>
      <c r="EB1032" s="125"/>
      <c r="EC1032" s="16"/>
      <c r="ED1032" s="125"/>
      <c r="EE1032" s="125"/>
      <c r="EF1032" s="16"/>
      <c r="EG1032" s="125"/>
      <c r="EQ1032" s="125"/>
      <c r="ER1032" s="16"/>
      <c r="ES1032" s="123"/>
      <c r="ET1032" s="19"/>
      <c r="EU1032" s="139"/>
      <c r="EV1032" s="139"/>
      <c r="EW1032" s="123"/>
      <c r="EX1032" s="123"/>
      <c r="EY1032" s="123"/>
      <c r="EZ1032" s="123"/>
      <c r="FA1032" s="123"/>
      <c r="FB1032" s="123"/>
      <c r="FC1032" s="6"/>
      <c r="FD1032" s="123"/>
      <c r="FE1032" s="6"/>
      <c r="FF1032" s="123"/>
      <c r="FG1032" s="6"/>
      <c r="FH1032" s="6"/>
      <c r="FI1032" s="6"/>
      <c r="FJ1032" s="6"/>
      <c r="FK1032" s="123"/>
      <c r="FL1032" s="6"/>
      <c r="FM1032" s="6"/>
      <c r="FN1032" s="6"/>
      <c r="FO1032" s="138"/>
      <c r="FP1032" s="138"/>
      <c r="FQ1032" s="123"/>
      <c r="FR1032" s="6"/>
      <c r="FS1032" s="6"/>
      <c r="FT1032" s="139"/>
      <c r="FU1032" s="139"/>
      <c r="FV1032" s="76"/>
      <c r="FW1032" s="123"/>
      <c r="FX1032" s="6"/>
    </row>
    <row r="1033" spans="35:180">
      <c r="AI1033" s="125"/>
      <c r="AJ1033" s="16"/>
      <c r="AM1033" s="16"/>
      <c r="AN1033" s="16"/>
      <c r="AO1033" s="125"/>
      <c r="AP1033" s="16"/>
      <c r="AQ1033" s="125"/>
      <c r="AZ1033" s="125"/>
      <c r="BA1033" s="142"/>
      <c r="BB1033" s="125"/>
      <c r="BC1033" s="16"/>
      <c r="BD1033" s="125"/>
      <c r="BE1033" s="125"/>
      <c r="BF1033" s="16"/>
      <c r="BG1033" s="125"/>
      <c r="BQ1033" s="125"/>
      <c r="BR1033" s="16"/>
      <c r="BS1033" s="123"/>
      <c r="BT1033" s="19"/>
      <c r="BU1033" s="139"/>
      <c r="BV1033" s="139"/>
      <c r="BW1033" s="123"/>
      <c r="BX1033" s="123"/>
      <c r="BY1033" s="123"/>
      <c r="BZ1033" s="123"/>
      <c r="CA1033" s="123"/>
      <c r="CB1033" s="123"/>
      <c r="CC1033" s="6"/>
      <c r="CD1033" s="123"/>
      <c r="CE1033" s="6"/>
      <c r="CF1033" s="123"/>
      <c r="CG1033" s="6"/>
      <c r="CH1033" s="6"/>
      <c r="CI1033" s="6"/>
      <c r="CJ1033" s="6"/>
      <c r="CK1033" s="123"/>
      <c r="CL1033" s="6"/>
      <c r="CM1033" s="6"/>
      <c r="CN1033" s="6"/>
      <c r="CO1033" s="138"/>
      <c r="CP1033" s="138"/>
      <c r="CQ1033" s="123"/>
      <c r="CR1033" s="6"/>
      <c r="CS1033" s="6"/>
      <c r="CT1033" s="139"/>
      <c r="CU1033" s="139"/>
      <c r="CV1033" s="76"/>
      <c r="CW1033" s="123"/>
      <c r="CX1033" s="6"/>
      <c r="DI1033" s="125"/>
      <c r="DJ1033" s="16"/>
      <c r="DM1033" s="16"/>
      <c r="DN1033" s="16"/>
      <c r="DO1033" s="125"/>
      <c r="DP1033" s="16"/>
      <c r="DQ1033" s="125"/>
      <c r="DZ1033" s="125"/>
      <c r="EA1033" s="142"/>
      <c r="EB1033" s="125"/>
      <c r="EC1033" s="16"/>
      <c r="ED1033" s="125"/>
      <c r="EE1033" s="125"/>
      <c r="EF1033" s="16"/>
      <c r="EG1033" s="125"/>
      <c r="EQ1033" s="125"/>
      <c r="ER1033" s="16"/>
      <c r="ES1033" s="123"/>
      <c r="ET1033" s="19"/>
      <c r="EU1033" s="139"/>
      <c r="EV1033" s="139"/>
      <c r="EW1033" s="123"/>
      <c r="EX1033" s="123"/>
      <c r="EY1033" s="123"/>
      <c r="EZ1033" s="123"/>
      <c r="FA1033" s="123"/>
      <c r="FB1033" s="123"/>
      <c r="FC1033" s="6"/>
      <c r="FD1033" s="123"/>
      <c r="FE1033" s="6"/>
      <c r="FF1033" s="123"/>
      <c r="FG1033" s="6"/>
      <c r="FH1033" s="6"/>
      <c r="FI1033" s="6"/>
      <c r="FJ1033" s="6"/>
      <c r="FK1033" s="123"/>
      <c r="FL1033" s="6"/>
      <c r="FM1033" s="6"/>
      <c r="FN1033" s="6"/>
      <c r="FO1033" s="138"/>
      <c r="FP1033" s="138"/>
      <c r="FQ1033" s="123"/>
      <c r="FR1033" s="6"/>
      <c r="FS1033" s="6"/>
      <c r="FT1033" s="139"/>
      <c r="FU1033" s="139"/>
      <c r="FV1033" s="76"/>
      <c r="FW1033" s="123"/>
      <c r="FX1033" s="6"/>
    </row>
    <row r="1034" spans="35:180">
      <c r="AI1034" s="125"/>
      <c r="AJ1034" s="16"/>
      <c r="AM1034" s="16"/>
      <c r="AN1034" s="16"/>
      <c r="AO1034" s="125"/>
      <c r="AP1034" s="16"/>
      <c r="AQ1034" s="125"/>
      <c r="AZ1034" s="125"/>
      <c r="BA1034" s="142"/>
      <c r="BB1034" s="125"/>
      <c r="BC1034" s="16"/>
      <c r="BD1034" s="125"/>
      <c r="BE1034" s="125"/>
      <c r="BF1034" s="16"/>
      <c r="BG1034" s="125"/>
      <c r="BQ1034" s="125"/>
      <c r="BR1034" s="16"/>
      <c r="BS1034" s="123"/>
      <c r="BT1034" s="19"/>
      <c r="BU1034" s="139"/>
      <c r="BV1034" s="139"/>
      <c r="BW1034" s="123"/>
      <c r="BX1034" s="123"/>
      <c r="BY1034" s="123"/>
      <c r="BZ1034" s="123"/>
      <c r="CA1034" s="123"/>
      <c r="CB1034" s="123"/>
      <c r="CC1034" s="6"/>
      <c r="CD1034" s="123"/>
      <c r="CE1034" s="6"/>
      <c r="CF1034" s="123"/>
      <c r="CG1034" s="6"/>
      <c r="CH1034" s="6"/>
      <c r="CI1034" s="6"/>
      <c r="CJ1034" s="6"/>
      <c r="CK1034" s="123"/>
      <c r="CL1034" s="6"/>
      <c r="CM1034" s="6"/>
      <c r="CN1034" s="6"/>
      <c r="CO1034" s="138"/>
      <c r="CP1034" s="138"/>
      <c r="CQ1034" s="123"/>
      <c r="CR1034" s="6"/>
      <c r="CS1034" s="6"/>
      <c r="CT1034" s="139"/>
      <c r="CU1034" s="139"/>
      <c r="CV1034" s="76"/>
      <c r="CW1034" s="123"/>
      <c r="CX1034" s="6"/>
      <c r="DI1034" s="125"/>
      <c r="DJ1034" s="16"/>
      <c r="DM1034" s="16"/>
      <c r="DN1034" s="16"/>
      <c r="DO1034" s="125"/>
      <c r="DP1034" s="16"/>
      <c r="DQ1034" s="125"/>
      <c r="DZ1034" s="125"/>
      <c r="EA1034" s="142"/>
      <c r="EB1034" s="125"/>
      <c r="EC1034" s="16"/>
      <c r="ED1034" s="125"/>
      <c r="EE1034" s="125"/>
      <c r="EF1034" s="16"/>
      <c r="EG1034" s="125"/>
      <c r="EQ1034" s="125"/>
      <c r="ER1034" s="16"/>
      <c r="ES1034" s="123"/>
      <c r="ET1034" s="19"/>
      <c r="EU1034" s="139"/>
      <c r="EV1034" s="139"/>
      <c r="EW1034" s="123"/>
      <c r="EX1034" s="123"/>
      <c r="EY1034" s="123"/>
      <c r="EZ1034" s="123"/>
      <c r="FA1034" s="123"/>
      <c r="FB1034" s="123"/>
      <c r="FC1034" s="6"/>
      <c r="FD1034" s="123"/>
      <c r="FE1034" s="6"/>
      <c r="FF1034" s="123"/>
      <c r="FG1034" s="6"/>
      <c r="FH1034" s="6"/>
      <c r="FI1034" s="6"/>
      <c r="FJ1034" s="6"/>
      <c r="FK1034" s="123"/>
      <c r="FL1034" s="6"/>
      <c r="FM1034" s="6"/>
      <c r="FN1034" s="6"/>
      <c r="FO1034" s="138"/>
      <c r="FP1034" s="138"/>
      <c r="FQ1034" s="123"/>
      <c r="FR1034" s="6"/>
      <c r="FS1034" s="6"/>
      <c r="FT1034" s="139"/>
      <c r="FU1034" s="139"/>
      <c r="FV1034" s="76"/>
      <c r="FW1034" s="123"/>
      <c r="FX1034" s="6"/>
    </row>
    <row r="1035" spans="35:180">
      <c r="AI1035" s="125"/>
      <c r="AJ1035" s="16"/>
      <c r="AM1035" s="16"/>
      <c r="AN1035" s="16"/>
      <c r="AO1035" s="125"/>
      <c r="AP1035" s="16"/>
      <c r="AQ1035" s="125"/>
      <c r="AZ1035" s="125"/>
      <c r="BA1035" s="142"/>
      <c r="BB1035" s="125"/>
      <c r="BC1035" s="16"/>
      <c r="BD1035" s="125"/>
      <c r="BE1035" s="125"/>
      <c r="BF1035" s="16"/>
      <c r="BG1035" s="125"/>
      <c r="BQ1035" s="125"/>
      <c r="BR1035" s="16"/>
      <c r="BS1035" s="123"/>
      <c r="BT1035" s="19"/>
      <c r="BU1035" s="139"/>
      <c r="BV1035" s="139"/>
      <c r="BW1035" s="123"/>
      <c r="BX1035" s="123"/>
      <c r="BY1035" s="123"/>
      <c r="BZ1035" s="123"/>
      <c r="CA1035" s="123"/>
      <c r="CB1035" s="123"/>
      <c r="CC1035" s="6"/>
      <c r="CD1035" s="123"/>
      <c r="CE1035" s="6"/>
      <c r="CF1035" s="123"/>
      <c r="CG1035" s="6"/>
      <c r="CH1035" s="6"/>
      <c r="CI1035" s="6"/>
      <c r="CJ1035" s="6"/>
      <c r="CK1035" s="123"/>
      <c r="CL1035" s="6"/>
      <c r="CM1035" s="6"/>
      <c r="CN1035" s="6"/>
      <c r="CO1035" s="138"/>
      <c r="CP1035" s="138"/>
      <c r="CQ1035" s="123"/>
      <c r="CR1035" s="6"/>
      <c r="CS1035" s="6"/>
      <c r="CT1035" s="139"/>
      <c r="CU1035" s="139"/>
      <c r="CV1035" s="76"/>
      <c r="CW1035" s="123"/>
      <c r="CX1035" s="6"/>
      <c r="DI1035" s="125"/>
      <c r="DJ1035" s="16"/>
      <c r="DM1035" s="16"/>
      <c r="DN1035" s="16"/>
      <c r="DO1035" s="125"/>
      <c r="DP1035" s="16"/>
      <c r="DQ1035" s="125"/>
      <c r="DZ1035" s="125"/>
      <c r="EA1035" s="142"/>
      <c r="EB1035" s="125"/>
      <c r="EC1035" s="16"/>
      <c r="ED1035" s="125"/>
      <c r="EE1035" s="125"/>
      <c r="EF1035" s="16"/>
      <c r="EG1035" s="125"/>
      <c r="EQ1035" s="125"/>
      <c r="ER1035" s="16"/>
      <c r="ES1035" s="123"/>
      <c r="ET1035" s="19"/>
      <c r="EU1035" s="139"/>
      <c r="EV1035" s="139"/>
      <c r="EW1035" s="123"/>
      <c r="EX1035" s="123"/>
      <c r="EY1035" s="123"/>
      <c r="EZ1035" s="123"/>
      <c r="FA1035" s="123"/>
      <c r="FB1035" s="123"/>
      <c r="FC1035" s="6"/>
      <c r="FD1035" s="123"/>
      <c r="FE1035" s="6"/>
      <c r="FF1035" s="123"/>
      <c r="FG1035" s="6"/>
      <c r="FH1035" s="6"/>
      <c r="FI1035" s="6"/>
      <c r="FJ1035" s="6"/>
      <c r="FK1035" s="123"/>
      <c r="FL1035" s="6"/>
      <c r="FM1035" s="6"/>
      <c r="FN1035" s="6"/>
      <c r="FO1035" s="138"/>
      <c r="FP1035" s="138"/>
      <c r="FQ1035" s="123"/>
      <c r="FR1035" s="6"/>
      <c r="FS1035" s="6"/>
      <c r="FT1035" s="139"/>
      <c r="FU1035" s="139"/>
      <c r="FV1035" s="76"/>
      <c r="FW1035" s="123"/>
      <c r="FX1035" s="6"/>
    </row>
    <row r="1036" spans="35:180">
      <c r="AI1036" s="125"/>
      <c r="AJ1036" s="16"/>
      <c r="AM1036" s="16"/>
      <c r="AN1036" s="16"/>
      <c r="AO1036" s="125"/>
      <c r="AP1036" s="16"/>
      <c r="AQ1036" s="125"/>
      <c r="AZ1036" s="125"/>
      <c r="BA1036" s="142"/>
      <c r="BB1036" s="125"/>
      <c r="BC1036" s="16"/>
      <c r="BD1036" s="125"/>
      <c r="BE1036" s="125"/>
      <c r="BF1036" s="16"/>
      <c r="BG1036" s="125"/>
      <c r="BQ1036" s="125"/>
      <c r="BR1036" s="16"/>
      <c r="BS1036" s="123"/>
      <c r="BT1036" s="19"/>
      <c r="BU1036" s="139"/>
      <c r="BV1036" s="139"/>
      <c r="BW1036" s="123"/>
      <c r="BX1036" s="123"/>
      <c r="BY1036" s="123"/>
      <c r="BZ1036" s="123"/>
      <c r="CA1036" s="123"/>
      <c r="CB1036" s="123"/>
      <c r="CC1036" s="6"/>
      <c r="CD1036" s="123"/>
      <c r="CE1036" s="6"/>
      <c r="CF1036" s="123"/>
      <c r="CG1036" s="6"/>
      <c r="CH1036" s="6"/>
      <c r="CI1036" s="6"/>
      <c r="CJ1036" s="6"/>
      <c r="CK1036" s="123"/>
      <c r="CL1036" s="6"/>
      <c r="CM1036" s="6"/>
      <c r="CN1036" s="6"/>
      <c r="CO1036" s="138"/>
      <c r="CP1036" s="138"/>
      <c r="CQ1036" s="123"/>
      <c r="CR1036" s="6"/>
      <c r="CS1036" s="6"/>
      <c r="CT1036" s="139"/>
      <c r="CU1036" s="139"/>
      <c r="CV1036" s="76"/>
      <c r="CW1036" s="123"/>
      <c r="CX1036" s="6"/>
      <c r="DI1036" s="125"/>
      <c r="DJ1036" s="16"/>
      <c r="DM1036" s="16"/>
      <c r="DN1036" s="16"/>
      <c r="DO1036" s="125"/>
      <c r="DP1036" s="16"/>
      <c r="DQ1036" s="125"/>
      <c r="DZ1036" s="125"/>
      <c r="EA1036" s="142"/>
      <c r="EB1036" s="125"/>
      <c r="EC1036" s="16"/>
      <c r="ED1036" s="125"/>
      <c r="EE1036" s="125"/>
      <c r="EF1036" s="16"/>
      <c r="EG1036" s="125"/>
      <c r="EQ1036" s="125"/>
      <c r="ER1036" s="16"/>
      <c r="ES1036" s="123"/>
      <c r="ET1036" s="19"/>
      <c r="EU1036" s="139"/>
      <c r="EV1036" s="139"/>
      <c r="EW1036" s="123"/>
      <c r="EX1036" s="123"/>
      <c r="EY1036" s="123"/>
      <c r="EZ1036" s="123"/>
      <c r="FA1036" s="123"/>
      <c r="FB1036" s="123"/>
      <c r="FC1036" s="6"/>
      <c r="FD1036" s="123"/>
      <c r="FE1036" s="6"/>
      <c r="FF1036" s="123"/>
      <c r="FG1036" s="6"/>
      <c r="FH1036" s="6"/>
      <c r="FI1036" s="6"/>
      <c r="FJ1036" s="6"/>
      <c r="FK1036" s="123"/>
      <c r="FL1036" s="6"/>
      <c r="FM1036" s="6"/>
      <c r="FN1036" s="6"/>
      <c r="FO1036" s="138"/>
      <c r="FP1036" s="138"/>
      <c r="FQ1036" s="123"/>
      <c r="FR1036" s="6"/>
      <c r="FS1036" s="6"/>
      <c r="FT1036" s="139"/>
      <c r="FU1036" s="139"/>
      <c r="FV1036" s="76"/>
      <c r="FW1036" s="123"/>
      <c r="FX1036" s="6"/>
    </row>
    <row r="1037" spans="35:180">
      <c r="AI1037" s="125"/>
      <c r="AJ1037" s="16"/>
      <c r="AM1037" s="16"/>
      <c r="AN1037" s="16"/>
      <c r="AO1037" s="125"/>
      <c r="AP1037" s="16"/>
      <c r="AQ1037" s="125"/>
      <c r="AZ1037" s="125"/>
      <c r="BA1037" s="142"/>
      <c r="BB1037" s="125"/>
      <c r="BC1037" s="16"/>
      <c r="BD1037" s="125"/>
      <c r="BE1037" s="125"/>
      <c r="BF1037" s="16"/>
      <c r="BG1037" s="125"/>
      <c r="BQ1037" s="125"/>
      <c r="BR1037" s="16"/>
      <c r="BS1037" s="123"/>
      <c r="BT1037" s="19"/>
      <c r="BU1037" s="139"/>
      <c r="BV1037" s="139"/>
      <c r="BW1037" s="123"/>
      <c r="BX1037" s="123"/>
      <c r="BY1037" s="123"/>
      <c r="BZ1037" s="123"/>
      <c r="CA1037" s="123"/>
      <c r="CB1037" s="123"/>
      <c r="CC1037" s="6"/>
      <c r="CD1037" s="123"/>
      <c r="CE1037" s="6"/>
      <c r="CF1037" s="123"/>
      <c r="CG1037" s="6"/>
      <c r="CH1037" s="6"/>
      <c r="CI1037" s="6"/>
      <c r="CJ1037" s="6"/>
      <c r="CK1037" s="123"/>
      <c r="CL1037" s="6"/>
      <c r="CM1037" s="6"/>
      <c r="CN1037" s="6"/>
      <c r="CO1037" s="138"/>
      <c r="CP1037" s="138"/>
      <c r="CQ1037" s="123"/>
      <c r="CR1037" s="6"/>
      <c r="CS1037" s="6"/>
      <c r="CT1037" s="139"/>
      <c r="CU1037" s="139"/>
      <c r="CV1037" s="76"/>
      <c r="CW1037" s="123"/>
      <c r="CX1037" s="6"/>
      <c r="DI1037" s="125"/>
      <c r="DJ1037" s="16"/>
      <c r="DM1037" s="16"/>
      <c r="DN1037" s="16"/>
      <c r="DO1037" s="125"/>
      <c r="DP1037" s="16"/>
      <c r="DQ1037" s="125"/>
      <c r="DZ1037" s="125"/>
      <c r="EA1037" s="142"/>
      <c r="EB1037" s="125"/>
      <c r="EC1037" s="16"/>
      <c r="ED1037" s="125"/>
      <c r="EE1037" s="125"/>
      <c r="EF1037" s="16"/>
      <c r="EG1037" s="125"/>
      <c r="EQ1037" s="125"/>
      <c r="ER1037" s="16"/>
      <c r="ES1037" s="123"/>
      <c r="ET1037" s="19"/>
      <c r="EU1037" s="139"/>
      <c r="EV1037" s="139"/>
      <c r="EW1037" s="123"/>
      <c r="EX1037" s="123"/>
      <c r="EY1037" s="123"/>
      <c r="EZ1037" s="123"/>
      <c r="FA1037" s="123"/>
      <c r="FB1037" s="123"/>
      <c r="FC1037" s="6"/>
      <c r="FD1037" s="123"/>
      <c r="FE1037" s="6"/>
      <c r="FF1037" s="123"/>
      <c r="FG1037" s="6"/>
      <c r="FH1037" s="6"/>
      <c r="FI1037" s="6"/>
      <c r="FJ1037" s="6"/>
      <c r="FK1037" s="123"/>
      <c r="FL1037" s="6"/>
      <c r="FM1037" s="6"/>
      <c r="FN1037" s="6"/>
      <c r="FO1037" s="138"/>
      <c r="FP1037" s="138"/>
      <c r="FQ1037" s="123"/>
      <c r="FR1037" s="6"/>
      <c r="FS1037" s="6"/>
      <c r="FT1037" s="139"/>
      <c r="FU1037" s="139"/>
      <c r="FV1037" s="76"/>
      <c r="FW1037" s="123"/>
      <c r="FX1037" s="6"/>
    </row>
    <row r="1038" spans="35:180">
      <c r="AI1038" s="125"/>
      <c r="AJ1038" s="16"/>
      <c r="AM1038" s="16"/>
      <c r="AN1038" s="16"/>
      <c r="AO1038" s="125"/>
      <c r="AP1038" s="16"/>
      <c r="AQ1038" s="125"/>
      <c r="AZ1038" s="125"/>
      <c r="BA1038" s="142"/>
      <c r="BB1038" s="125"/>
      <c r="BC1038" s="16"/>
      <c r="BD1038" s="125"/>
      <c r="BE1038" s="125"/>
      <c r="BF1038" s="16"/>
      <c r="BG1038" s="125"/>
      <c r="BQ1038" s="125"/>
      <c r="BR1038" s="16"/>
      <c r="BS1038" s="123"/>
      <c r="BT1038" s="19"/>
      <c r="BU1038" s="139"/>
      <c r="BV1038" s="139"/>
      <c r="BW1038" s="123"/>
      <c r="BX1038" s="123"/>
      <c r="BY1038" s="123"/>
      <c r="BZ1038" s="123"/>
      <c r="CA1038" s="123"/>
      <c r="CB1038" s="123"/>
      <c r="CC1038" s="6"/>
      <c r="CD1038" s="123"/>
      <c r="CE1038" s="6"/>
      <c r="CF1038" s="123"/>
      <c r="CG1038" s="6"/>
      <c r="CH1038" s="6"/>
      <c r="CI1038" s="6"/>
      <c r="CJ1038" s="6"/>
      <c r="CK1038" s="123"/>
      <c r="CL1038" s="6"/>
      <c r="CM1038" s="6"/>
      <c r="CN1038" s="6"/>
      <c r="CO1038" s="138"/>
      <c r="CP1038" s="138"/>
      <c r="CQ1038" s="123"/>
      <c r="CR1038" s="6"/>
      <c r="CS1038" s="6"/>
      <c r="CT1038" s="139"/>
      <c r="CU1038" s="139"/>
      <c r="CV1038" s="76"/>
      <c r="CW1038" s="123"/>
      <c r="CX1038" s="6"/>
      <c r="DI1038" s="125"/>
      <c r="DJ1038" s="16"/>
      <c r="DM1038" s="16"/>
      <c r="DN1038" s="16"/>
      <c r="DO1038" s="125"/>
      <c r="DP1038" s="16"/>
      <c r="DQ1038" s="125"/>
      <c r="DZ1038" s="125"/>
      <c r="EA1038" s="142"/>
      <c r="EB1038" s="125"/>
      <c r="EC1038" s="16"/>
      <c r="ED1038" s="125"/>
      <c r="EE1038" s="125"/>
      <c r="EF1038" s="16"/>
      <c r="EG1038" s="125"/>
      <c r="EQ1038" s="125"/>
      <c r="ER1038" s="16"/>
      <c r="ES1038" s="123"/>
      <c r="ET1038" s="19"/>
      <c r="EU1038" s="139"/>
      <c r="EV1038" s="139"/>
      <c r="EW1038" s="123"/>
      <c r="EX1038" s="123"/>
      <c r="EY1038" s="123"/>
      <c r="EZ1038" s="123"/>
      <c r="FA1038" s="123"/>
      <c r="FB1038" s="123"/>
      <c r="FC1038" s="6"/>
      <c r="FD1038" s="123"/>
      <c r="FE1038" s="6"/>
      <c r="FF1038" s="123"/>
      <c r="FG1038" s="6"/>
      <c r="FH1038" s="6"/>
      <c r="FI1038" s="6"/>
      <c r="FJ1038" s="6"/>
      <c r="FK1038" s="123"/>
      <c r="FL1038" s="6"/>
      <c r="FM1038" s="6"/>
      <c r="FN1038" s="6"/>
      <c r="FO1038" s="138"/>
      <c r="FP1038" s="138"/>
      <c r="FQ1038" s="123"/>
      <c r="FR1038" s="6"/>
      <c r="FS1038" s="6"/>
      <c r="FT1038" s="139"/>
      <c r="FU1038" s="139"/>
      <c r="FV1038" s="76"/>
      <c r="FW1038" s="123"/>
      <c r="FX1038" s="6"/>
    </row>
    <row r="1039" spans="35:180">
      <c r="AI1039" s="125"/>
      <c r="AJ1039" s="16"/>
      <c r="AM1039" s="16"/>
      <c r="AN1039" s="16"/>
      <c r="AO1039" s="125"/>
      <c r="AP1039" s="16"/>
      <c r="AQ1039" s="125"/>
      <c r="AZ1039" s="125"/>
      <c r="BA1039" s="142"/>
      <c r="BB1039" s="125"/>
      <c r="BC1039" s="16"/>
      <c r="BD1039" s="125"/>
      <c r="BE1039" s="125"/>
      <c r="BF1039" s="16"/>
      <c r="BG1039" s="125"/>
      <c r="BQ1039" s="125"/>
      <c r="BR1039" s="16"/>
      <c r="BS1039" s="123"/>
      <c r="BT1039" s="19"/>
      <c r="BU1039" s="139"/>
      <c r="BV1039" s="139"/>
      <c r="BW1039" s="123"/>
      <c r="BX1039" s="123"/>
      <c r="BY1039" s="123"/>
      <c r="BZ1039" s="123"/>
      <c r="CA1039" s="123"/>
      <c r="CB1039" s="123"/>
      <c r="CC1039" s="6"/>
      <c r="CD1039" s="123"/>
      <c r="CE1039" s="6"/>
      <c r="CF1039" s="123"/>
      <c r="CG1039" s="6"/>
      <c r="CH1039" s="6"/>
      <c r="CI1039" s="6"/>
      <c r="CJ1039" s="6"/>
      <c r="CK1039" s="123"/>
      <c r="CL1039" s="6"/>
      <c r="CM1039" s="6"/>
      <c r="CN1039" s="6"/>
      <c r="CO1039" s="138"/>
      <c r="CP1039" s="138"/>
      <c r="CQ1039" s="123"/>
      <c r="CR1039" s="6"/>
      <c r="CS1039" s="6"/>
      <c r="CT1039" s="139"/>
      <c r="CU1039" s="139"/>
      <c r="CV1039" s="76"/>
      <c r="CW1039" s="123"/>
      <c r="CX1039" s="6"/>
      <c r="DI1039" s="125"/>
      <c r="DJ1039" s="16"/>
      <c r="DM1039" s="16"/>
      <c r="DN1039" s="16"/>
      <c r="DO1039" s="125"/>
      <c r="DP1039" s="16"/>
      <c r="DQ1039" s="125"/>
      <c r="DZ1039" s="125"/>
      <c r="EA1039" s="142"/>
      <c r="EB1039" s="125"/>
      <c r="EC1039" s="16"/>
      <c r="ED1039" s="125"/>
      <c r="EE1039" s="125"/>
      <c r="EF1039" s="16"/>
      <c r="EG1039" s="125"/>
      <c r="EQ1039" s="125"/>
      <c r="ER1039" s="16"/>
      <c r="ES1039" s="123"/>
      <c r="ET1039" s="19"/>
      <c r="EU1039" s="139"/>
      <c r="EV1039" s="139"/>
      <c r="EW1039" s="123"/>
      <c r="EX1039" s="123"/>
      <c r="EY1039" s="123"/>
      <c r="EZ1039" s="123"/>
      <c r="FA1039" s="123"/>
      <c r="FB1039" s="123"/>
      <c r="FC1039" s="6"/>
      <c r="FD1039" s="123"/>
      <c r="FE1039" s="6"/>
      <c r="FF1039" s="123"/>
      <c r="FG1039" s="6"/>
      <c r="FH1039" s="6"/>
      <c r="FI1039" s="6"/>
      <c r="FJ1039" s="6"/>
      <c r="FK1039" s="123"/>
      <c r="FL1039" s="6"/>
      <c r="FM1039" s="6"/>
      <c r="FN1039" s="6"/>
      <c r="FO1039" s="138"/>
      <c r="FP1039" s="138"/>
      <c r="FQ1039" s="123"/>
      <c r="FR1039" s="6"/>
      <c r="FS1039" s="6"/>
      <c r="FT1039" s="139"/>
      <c r="FU1039" s="139"/>
      <c r="FV1039" s="76"/>
      <c r="FW1039" s="123"/>
      <c r="FX1039" s="6"/>
    </row>
    <row r="1040" spans="35:180">
      <c r="AI1040" s="125"/>
      <c r="AJ1040" s="16"/>
      <c r="AM1040" s="16"/>
      <c r="AN1040" s="16"/>
      <c r="AO1040" s="125"/>
      <c r="AP1040" s="16"/>
      <c r="AQ1040" s="125"/>
      <c r="AZ1040" s="125"/>
      <c r="BA1040" s="142"/>
      <c r="BB1040" s="125"/>
      <c r="BC1040" s="16"/>
      <c r="BD1040" s="125"/>
      <c r="BE1040" s="125"/>
      <c r="BF1040" s="16"/>
      <c r="BG1040" s="125"/>
      <c r="BQ1040" s="125"/>
      <c r="BR1040" s="16"/>
      <c r="BS1040" s="123"/>
      <c r="BT1040" s="19"/>
      <c r="BU1040" s="139"/>
      <c r="BV1040" s="139"/>
      <c r="BW1040" s="123"/>
      <c r="BX1040" s="123"/>
      <c r="BY1040" s="123"/>
      <c r="BZ1040" s="123"/>
      <c r="CA1040" s="123"/>
      <c r="CB1040" s="123"/>
      <c r="CC1040" s="6"/>
      <c r="CD1040" s="123"/>
      <c r="CE1040" s="6"/>
      <c r="CF1040" s="123"/>
      <c r="CG1040" s="6"/>
      <c r="CH1040" s="6"/>
      <c r="CI1040" s="6"/>
      <c r="CJ1040" s="6"/>
      <c r="CK1040" s="123"/>
      <c r="CL1040" s="6"/>
      <c r="CM1040" s="6"/>
      <c r="CN1040" s="6"/>
      <c r="CO1040" s="138"/>
      <c r="CP1040" s="138"/>
      <c r="CQ1040" s="123"/>
      <c r="CR1040" s="6"/>
      <c r="CS1040" s="6"/>
      <c r="CT1040" s="139"/>
      <c r="CU1040" s="139"/>
      <c r="CV1040" s="76"/>
      <c r="CW1040" s="123"/>
      <c r="CX1040" s="6"/>
      <c r="DI1040" s="125"/>
      <c r="DJ1040" s="16"/>
      <c r="DM1040" s="16"/>
      <c r="DN1040" s="16"/>
      <c r="DO1040" s="125"/>
      <c r="DP1040" s="16"/>
      <c r="DQ1040" s="125"/>
      <c r="DZ1040" s="125"/>
      <c r="EA1040" s="142"/>
      <c r="EB1040" s="125"/>
      <c r="EC1040" s="16"/>
      <c r="ED1040" s="125"/>
      <c r="EE1040" s="125"/>
      <c r="EF1040" s="16"/>
      <c r="EG1040" s="125"/>
      <c r="EQ1040" s="125"/>
      <c r="ER1040" s="16"/>
      <c r="ES1040" s="123"/>
      <c r="ET1040" s="19"/>
      <c r="EU1040" s="139"/>
      <c r="EV1040" s="139"/>
      <c r="EW1040" s="123"/>
      <c r="EX1040" s="123"/>
      <c r="EY1040" s="123"/>
      <c r="EZ1040" s="123"/>
      <c r="FA1040" s="123"/>
      <c r="FB1040" s="123"/>
      <c r="FC1040" s="6"/>
      <c r="FD1040" s="123"/>
      <c r="FE1040" s="6"/>
      <c r="FF1040" s="123"/>
      <c r="FG1040" s="6"/>
      <c r="FH1040" s="6"/>
      <c r="FI1040" s="6"/>
      <c r="FJ1040" s="6"/>
      <c r="FK1040" s="123"/>
      <c r="FL1040" s="6"/>
      <c r="FM1040" s="6"/>
      <c r="FN1040" s="6"/>
      <c r="FO1040" s="138"/>
      <c r="FP1040" s="138"/>
      <c r="FQ1040" s="123"/>
      <c r="FR1040" s="6"/>
      <c r="FS1040" s="6"/>
      <c r="FT1040" s="139"/>
      <c r="FU1040" s="139"/>
      <c r="FV1040" s="76"/>
      <c r="FW1040" s="123"/>
      <c r="FX1040" s="6"/>
    </row>
    <row r="1041" spans="35:180">
      <c r="AI1041" s="125"/>
      <c r="AJ1041" s="16"/>
      <c r="AM1041" s="16"/>
      <c r="AN1041" s="16"/>
      <c r="AO1041" s="125"/>
      <c r="AP1041" s="16"/>
      <c r="AQ1041" s="125"/>
      <c r="AZ1041" s="125"/>
      <c r="BA1041" s="142"/>
      <c r="BB1041" s="125"/>
      <c r="BC1041" s="16"/>
      <c r="BD1041" s="125"/>
      <c r="BE1041" s="125"/>
      <c r="BF1041" s="16"/>
      <c r="BG1041" s="125"/>
      <c r="BQ1041" s="125"/>
      <c r="BR1041" s="16"/>
      <c r="BS1041" s="123"/>
      <c r="BT1041" s="19"/>
      <c r="BU1041" s="139"/>
      <c r="BV1041" s="139"/>
      <c r="BW1041" s="123"/>
      <c r="BX1041" s="123"/>
      <c r="BY1041" s="123"/>
      <c r="BZ1041" s="123"/>
      <c r="CA1041" s="123"/>
      <c r="CB1041" s="123"/>
      <c r="CC1041" s="6"/>
      <c r="CD1041" s="123"/>
      <c r="CE1041" s="6"/>
      <c r="CF1041" s="123"/>
      <c r="CG1041" s="6"/>
      <c r="CH1041" s="6"/>
      <c r="CI1041" s="6"/>
      <c r="CJ1041" s="6"/>
      <c r="CK1041" s="123"/>
      <c r="CL1041" s="6"/>
      <c r="CM1041" s="6"/>
      <c r="CN1041" s="6"/>
      <c r="CO1041" s="138"/>
      <c r="CP1041" s="138"/>
      <c r="CQ1041" s="123"/>
      <c r="CR1041" s="6"/>
      <c r="CS1041" s="6"/>
      <c r="CT1041" s="139"/>
      <c r="CU1041" s="139"/>
      <c r="CV1041" s="76"/>
      <c r="CW1041" s="123"/>
      <c r="CX1041" s="6"/>
      <c r="DI1041" s="125"/>
      <c r="DJ1041" s="16"/>
      <c r="DM1041" s="16"/>
      <c r="DN1041" s="16"/>
      <c r="DO1041" s="125"/>
      <c r="DP1041" s="16"/>
      <c r="DQ1041" s="125"/>
      <c r="DZ1041" s="125"/>
      <c r="EA1041" s="142"/>
      <c r="EB1041" s="125"/>
      <c r="EC1041" s="16"/>
      <c r="ED1041" s="125"/>
      <c r="EE1041" s="125"/>
      <c r="EF1041" s="16"/>
      <c r="EG1041" s="125"/>
      <c r="EQ1041" s="125"/>
      <c r="ER1041" s="16"/>
      <c r="ES1041" s="123"/>
      <c r="ET1041" s="19"/>
      <c r="EU1041" s="139"/>
      <c r="EV1041" s="139"/>
      <c r="EW1041" s="123"/>
      <c r="EX1041" s="123"/>
      <c r="EY1041" s="123"/>
      <c r="EZ1041" s="123"/>
      <c r="FA1041" s="123"/>
      <c r="FB1041" s="123"/>
      <c r="FC1041" s="6"/>
      <c r="FD1041" s="123"/>
      <c r="FE1041" s="6"/>
      <c r="FF1041" s="123"/>
      <c r="FG1041" s="6"/>
      <c r="FH1041" s="6"/>
      <c r="FI1041" s="6"/>
      <c r="FJ1041" s="6"/>
      <c r="FK1041" s="123"/>
      <c r="FL1041" s="6"/>
      <c r="FM1041" s="6"/>
      <c r="FN1041" s="6"/>
      <c r="FO1041" s="138"/>
      <c r="FP1041" s="138"/>
      <c r="FQ1041" s="123"/>
      <c r="FR1041" s="6"/>
      <c r="FS1041" s="6"/>
      <c r="FT1041" s="139"/>
      <c r="FU1041" s="139"/>
      <c r="FV1041" s="76"/>
      <c r="FW1041" s="123"/>
      <c r="FX1041" s="6"/>
    </row>
    <row r="1042" spans="35:180">
      <c r="AI1042" s="125"/>
      <c r="AJ1042" s="16"/>
      <c r="AM1042" s="16"/>
      <c r="AN1042" s="16"/>
      <c r="AO1042" s="125"/>
      <c r="AP1042" s="16"/>
      <c r="AQ1042" s="125"/>
      <c r="AZ1042" s="125"/>
      <c r="BA1042" s="142"/>
      <c r="BB1042" s="125"/>
      <c r="BC1042" s="16"/>
      <c r="BD1042" s="125"/>
      <c r="BE1042" s="125"/>
      <c r="BF1042" s="16"/>
      <c r="BG1042" s="125"/>
      <c r="BQ1042" s="125"/>
      <c r="BR1042" s="16"/>
      <c r="BS1042" s="123"/>
      <c r="BT1042" s="19"/>
      <c r="BU1042" s="139"/>
      <c r="BV1042" s="139"/>
      <c r="BW1042" s="123"/>
      <c r="BX1042" s="123"/>
      <c r="BY1042" s="123"/>
      <c r="BZ1042" s="123"/>
      <c r="CA1042" s="123"/>
      <c r="CB1042" s="123"/>
      <c r="CC1042" s="6"/>
      <c r="CD1042" s="123"/>
      <c r="CE1042" s="6"/>
      <c r="CF1042" s="123"/>
      <c r="CG1042" s="6"/>
      <c r="CH1042" s="6"/>
      <c r="CI1042" s="6"/>
      <c r="CJ1042" s="6"/>
      <c r="CK1042" s="123"/>
      <c r="CL1042" s="6"/>
      <c r="CM1042" s="6"/>
      <c r="CN1042" s="6"/>
      <c r="CO1042" s="138"/>
      <c r="CP1042" s="138"/>
      <c r="CQ1042" s="123"/>
      <c r="CR1042" s="6"/>
      <c r="CS1042" s="6"/>
      <c r="CT1042" s="139"/>
      <c r="CU1042" s="139"/>
      <c r="CV1042" s="76"/>
      <c r="CW1042" s="123"/>
      <c r="CX1042" s="6"/>
      <c r="DI1042" s="125"/>
      <c r="DJ1042" s="16"/>
      <c r="DM1042" s="16"/>
      <c r="DN1042" s="16"/>
      <c r="DO1042" s="125"/>
      <c r="DP1042" s="16"/>
      <c r="DQ1042" s="125"/>
      <c r="DZ1042" s="125"/>
      <c r="EA1042" s="142"/>
      <c r="EB1042" s="125"/>
      <c r="EC1042" s="16"/>
      <c r="ED1042" s="125"/>
      <c r="EE1042" s="125"/>
      <c r="EF1042" s="16"/>
      <c r="EG1042" s="125"/>
      <c r="EQ1042" s="125"/>
      <c r="ER1042" s="16"/>
      <c r="ES1042" s="123"/>
      <c r="ET1042" s="19"/>
      <c r="EU1042" s="139"/>
      <c r="EV1042" s="139"/>
      <c r="EW1042" s="123"/>
      <c r="EX1042" s="123"/>
      <c r="EY1042" s="123"/>
      <c r="EZ1042" s="123"/>
      <c r="FA1042" s="123"/>
      <c r="FB1042" s="123"/>
      <c r="FC1042" s="6"/>
      <c r="FD1042" s="123"/>
      <c r="FE1042" s="6"/>
      <c r="FF1042" s="123"/>
      <c r="FG1042" s="6"/>
      <c r="FH1042" s="6"/>
      <c r="FI1042" s="6"/>
      <c r="FJ1042" s="6"/>
      <c r="FK1042" s="123"/>
      <c r="FL1042" s="6"/>
      <c r="FM1042" s="6"/>
      <c r="FN1042" s="6"/>
      <c r="FO1042" s="138"/>
      <c r="FP1042" s="138"/>
      <c r="FQ1042" s="123"/>
      <c r="FR1042" s="6"/>
      <c r="FS1042" s="6"/>
      <c r="FT1042" s="139"/>
      <c r="FU1042" s="139"/>
      <c r="FV1042" s="76"/>
      <c r="FW1042" s="123"/>
      <c r="FX1042" s="6"/>
    </row>
    <row r="1043" spans="35:180">
      <c r="AI1043" s="125"/>
      <c r="AJ1043" s="16"/>
      <c r="AM1043" s="16"/>
      <c r="AN1043" s="16"/>
      <c r="AO1043" s="125"/>
      <c r="AP1043" s="16"/>
      <c r="AQ1043" s="125"/>
      <c r="AZ1043" s="125"/>
      <c r="BA1043" s="142"/>
      <c r="BB1043" s="125"/>
      <c r="BC1043" s="16"/>
      <c r="BD1043" s="125"/>
      <c r="BE1043" s="125"/>
      <c r="BF1043" s="16"/>
      <c r="BG1043" s="125"/>
      <c r="BQ1043" s="125"/>
      <c r="BR1043" s="16"/>
      <c r="BS1043" s="123"/>
      <c r="BT1043" s="19"/>
      <c r="BU1043" s="139"/>
      <c r="BV1043" s="139"/>
      <c r="BW1043" s="123"/>
      <c r="BX1043" s="123"/>
      <c r="BY1043" s="123"/>
      <c r="BZ1043" s="123"/>
      <c r="CA1043" s="123"/>
      <c r="CB1043" s="123"/>
      <c r="CC1043" s="6"/>
      <c r="CD1043" s="123"/>
      <c r="CE1043" s="6"/>
      <c r="CF1043" s="123"/>
      <c r="CG1043" s="6"/>
      <c r="CH1043" s="6"/>
      <c r="CI1043" s="6"/>
      <c r="CJ1043" s="6"/>
      <c r="CK1043" s="123"/>
      <c r="CL1043" s="6"/>
      <c r="CM1043" s="6"/>
      <c r="CN1043" s="6"/>
      <c r="CO1043" s="138"/>
      <c r="CP1043" s="138"/>
      <c r="CQ1043" s="123"/>
      <c r="CR1043" s="6"/>
      <c r="CS1043" s="6"/>
      <c r="CT1043" s="139"/>
      <c r="CU1043" s="139"/>
      <c r="CV1043" s="76"/>
      <c r="CW1043" s="123"/>
      <c r="CX1043" s="6"/>
      <c r="DI1043" s="125"/>
      <c r="DJ1043" s="16"/>
      <c r="DM1043" s="16"/>
      <c r="DN1043" s="16"/>
      <c r="DO1043" s="125"/>
      <c r="DP1043" s="16"/>
      <c r="DQ1043" s="125"/>
      <c r="DZ1043" s="125"/>
      <c r="EA1043" s="142"/>
      <c r="EB1043" s="125"/>
      <c r="EC1043" s="16"/>
      <c r="ED1043" s="125"/>
      <c r="EE1043" s="125"/>
      <c r="EF1043" s="16"/>
      <c r="EG1043" s="125"/>
      <c r="EQ1043" s="125"/>
      <c r="ER1043" s="16"/>
      <c r="ES1043" s="123"/>
      <c r="ET1043" s="19"/>
      <c r="EU1043" s="139"/>
      <c r="EV1043" s="139"/>
      <c r="EW1043" s="123"/>
      <c r="EX1043" s="123"/>
      <c r="EY1043" s="123"/>
      <c r="EZ1043" s="123"/>
      <c r="FA1043" s="123"/>
      <c r="FB1043" s="123"/>
      <c r="FC1043" s="6"/>
      <c r="FD1043" s="123"/>
      <c r="FE1043" s="6"/>
      <c r="FF1043" s="123"/>
      <c r="FG1043" s="6"/>
      <c r="FH1043" s="6"/>
      <c r="FI1043" s="6"/>
      <c r="FJ1043" s="6"/>
      <c r="FK1043" s="123"/>
      <c r="FL1043" s="6"/>
      <c r="FM1043" s="6"/>
      <c r="FN1043" s="6"/>
      <c r="FO1043" s="138"/>
      <c r="FP1043" s="138"/>
      <c r="FQ1043" s="123"/>
      <c r="FR1043" s="6"/>
      <c r="FS1043" s="6"/>
      <c r="FT1043" s="139"/>
      <c r="FU1043" s="139"/>
      <c r="FV1043" s="76"/>
      <c r="FW1043" s="123"/>
      <c r="FX1043" s="6"/>
    </row>
    <row r="1044" spans="35:180">
      <c r="AI1044" s="125"/>
      <c r="AJ1044" s="16"/>
      <c r="AM1044" s="16"/>
      <c r="AN1044" s="16"/>
      <c r="AO1044" s="125"/>
      <c r="AP1044" s="16"/>
      <c r="AQ1044" s="125"/>
      <c r="AZ1044" s="125"/>
      <c r="BA1044" s="142"/>
      <c r="BB1044" s="125"/>
      <c r="BC1044" s="16"/>
      <c r="BD1044" s="125"/>
      <c r="BE1044" s="125"/>
      <c r="BF1044" s="16"/>
      <c r="BG1044" s="125"/>
      <c r="BQ1044" s="125"/>
      <c r="BR1044" s="16"/>
      <c r="BS1044" s="123"/>
      <c r="BT1044" s="19"/>
      <c r="BU1044" s="139"/>
      <c r="BV1044" s="139"/>
      <c r="BW1044" s="123"/>
      <c r="BX1044" s="123"/>
      <c r="BY1044" s="123"/>
      <c r="BZ1044" s="123"/>
      <c r="CA1044" s="123"/>
      <c r="CB1044" s="123"/>
      <c r="CC1044" s="6"/>
      <c r="CD1044" s="123"/>
      <c r="CE1044" s="6"/>
      <c r="CF1044" s="123"/>
      <c r="CG1044" s="6"/>
      <c r="CH1044" s="6"/>
      <c r="CI1044" s="6"/>
      <c r="CJ1044" s="6"/>
      <c r="CK1044" s="123"/>
      <c r="CL1044" s="6"/>
      <c r="CM1044" s="6"/>
      <c r="CN1044" s="6"/>
      <c r="CO1044" s="138"/>
      <c r="CP1044" s="138"/>
      <c r="CQ1044" s="123"/>
      <c r="CR1044" s="6"/>
      <c r="CS1044" s="6"/>
      <c r="CT1044" s="139"/>
      <c r="CU1044" s="139"/>
      <c r="CV1044" s="76"/>
      <c r="CW1044" s="123"/>
      <c r="CX1044" s="6"/>
      <c r="DI1044" s="125"/>
      <c r="DJ1044" s="16"/>
      <c r="DM1044" s="16"/>
      <c r="DN1044" s="16"/>
      <c r="DO1044" s="125"/>
      <c r="DP1044" s="16"/>
      <c r="DQ1044" s="125"/>
      <c r="DZ1044" s="125"/>
      <c r="EA1044" s="142"/>
      <c r="EB1044" s="125"/>
      <c r="EC1044" s="16"/>
      <c r="ED1044" s="125"/>
      <c r="EE1044" s="125"/>
      <c r="EF1044" s="16"/>
      <c r="EG1044" s="125"/>
      <c r="EQ1044" s="125"/>
      <c r="ER1044" s="16"/>
      <c r="ES1044" s="123"/>
      <c r="ET1044" s="19"/>
      <c r="EU1044" s="139"/>
      <c r="EV1044" s="139"/>
      <c r="EW1044" s="123"/>
      <c r="EX1044" s="123"/>
      <c r="EY1044" s="123"/>
      <c r="EZ1044" s="123"/>
      <c r="FA1044" s="123"/>
      <c r="FB1044" s="123"/>
      <c r="FC1044" s="6"/>
      <c r="FD1044" s="123"/>
      <c r="FE1044" s="6"/>
      <c r="FF1044" s="123"/>
      <c r="FG1044" s="6"/>
      <c r="FH1044" s="6"/>
      <c r="FI1044" s="6"/>
      <c r="FJ1044" s="6"/>
      <c r="FK1044" s="123"/>
      <c r="FL1044" s="6"/>
      <c r="FM1044" s="6"/>
      <c r="FN1044" s="6"/>
      <c r="FO1044" s="138"/>
      <c r="FP1044" s="138"/>
      <c r="FQ1044" s="123"/>
      <c r="FR1044" s="6"/>
      <c r="FS1044" s="6"/>
      <c r="FT1044" s="139"/>
      <c r="FU1044" s="139"/>
      <c r="FV1044" s="76"/>
      <c r="FW1044" s="123"/>
      <c r="FX1044" s="6"/>
    </row>
    <row r="1045" spans="35:180">
      <c r="AI1045" s="125"/>
      <c r="AJ1045" s="16"/>
      <c r="AM1045" s="16"/>
      <c r="AN1045" s="16"/>
      <c r="AO1045" s="125"/>
      <c r="AP1045" s="16"/>
      <c r="AQ1045" s="125"/>
      <c r="AZ1045" s="125"/>
      <c r="BA1045" s="142"/>
      <c r="BB1045" s="125"/>
      <c r="BC1045" s="16"/>
      <c r="BD1045" s="125"/>
      <c r="BE1045" s="125"/>
      <c r="BF1045" s="16"/>
      <c r="BG1045" s="125"/>
      <c r="BQ1045" s="125"/>
      <c r="BR1045" s="16"/>
      <c r="BS1045" s="123"/>
      <c r="BT1045" s="19"/>
      <c r="BU1045" s="139"/>
      <c r="BV1045" s="139"/>
      <c r="BW1045" s="123"/>
      <c r="BX1045" s="123"/>
      <c r="BY1045" s="123"/>
      <c r="BZ1045" s="123"/>
      <c r="CA1045" s="123"/>
      <c r="CB1045" s="123"/>
      <c r="CC1045" s="6"/>
      <c r="CD1045" s="123"/>
      <c r="CE1045" s="6"/>
      <c r="CF1045" s="123"/>
      <c r="CG1045" s="6"/>
      <c r="CH1045" s="6"/>
      <c r="CI1045" s="6"/>
      <c r="CJ1045" s="6"/>
      <c r="CK1045" s="123"/>
      <c r="CL1045" s="6"/>
      <c r="CM1045" s="6"/>
      <c r="CN1045" s="6"/>
      <c r="CO1045" s="138"/>
      <c r="CP1045" s="138"/>
      <c r="CQ1045" s="123"/>
      <c r="CR1045" s="6"/>
      <c r="CS1045" s="6"/>
      <c r="CT1045" s="139"/>
      <c r="CU1045" s="139"/>
      <c r="CV1045" s="76"/>
      <c r="CW1045" s="123"/>
      <c r="CX1045" s="6"/>
      <c r="DI1045" s="125"/>
      <c r="DJ1045" s="16"/>
      <c r="DM1045" s="16"/>
      <c r="DN1045" s="16"/>
      <c r="DO1045" s="125"/>
      <c r="DP1045" s="16"/>
      <c r="DQ1045" s="125"/>
      <c r="DZ1045" s="125"/>
      <c r="EA1045" s="142"/>
      <c r="EB1045" s="125"/>
      <c r="EC1045" s="16"/>
      <c r="ED1045" s="125"/>
      <c r="EE1045" s="125"/>
      <c r="EF1045" s="16"/>
      <c r="EG1045" s="125"/>
      <c r="EQ1045" s="125"/>
      <c r="ER1045" s="16"/>
      <c r="ES1045" s="123"/>
      <c r="ET1045" s="19"/>
      <c r="EU1045" s="139"/>
      <c r="EV1045" s="139"/>
      <c r="EW1045" s="123"/>
      <c r="EX1045" s="123"/>
      <c r="EY1045" s="123"/>
      <c r="EZ1045" s="123"/>
      <c r="FA1045" s="123"/>
      <c r="FB1045" s="123"/>
      <c r="FC1045" s="6"/>
      <c r="FD1045" s="123"/>
      <c r="FE1045" s="6"/>
      <c r="FF1045" s="123"/>
      <c r="FG1045" s="6"/>
      <c r="FH1045" s="6"/>
      <c r="FI1045" s="6"/>
      <c r="FJ1045" s="6"/>
      <c r="FK1045" s="123"/>
      <c r="FL1045" s="6"/>
      <c r="FM1045" s="6"/>
      <c r="FN1045" s="6"/>
      <c r="FO1045" s="138"/>
      <c r="FP1045" s="138"/>
      <c r="FQ1045" s="123"/>
      <c r="FR1045" s="6"/>
      <c r="FS1045" s="6"/>
      <c r="FT1045" s="139"/>
      <c r="FU1045" s="139"/>
      <c r="FV1045" s="76"/>
      <c r="FW1045" s="123"/>
      <c r="FX1045" s="6"/>
    </row>
    <row r="1046" spans="35:180">
      <c r="AI1046" s="125"/>
      <c r="AJ1046" s="16"/>
      <c r="AM1046" s="16"/>
      <c r="AN1046" s="16"/>
      <c r="AO1046" s="125"/>
      <c r="AP1046" s="16"/>
      <c r="AQ1046" s="125"/>
      <c r="AZ1046" s="125"/>
      <c r="BA1046" s="142"/>
      <c r="BB1046" s="125"/>
      <c r="BC1046" s="16"/>
      <c r="BD1046" s="125"/>
      <c r="BE1046" s="125"/>
      <c r="BF1046" s="16"/>
      <c r="BG1046" s="125"/>
      <c r="BQ1046" s="125"/>
      <c r="BR1046" s="16"/>
      <c r="BS1046" s="123"/>
      <c r="BT1046" s="19"/>
      <c r="BU1046" s="139"/>
      <c r="BV1046" s="139"/>
      <c r="BW1046" s="123"/>
      <c r="BX1046" s="123"/>
      <c r="BY1046" s="123"/>
      <c r="BZ1046" s="123"/>
      <c r="CA1046" s="123"/>
      <c r="CB1046" s="123"/>
      <c r="CC1046" s="6"/>
      <c r="CD1046" s="123"/>
      <c r="CE1046" s="6"/>
      <c r="CF1046" s="123"/>
      <c r="CG1046" s="6"/>
      <c r="CH1046" s="6"/>
      <c r="CI1046" s="6"/>
      <c r="CJ1046" s="6"/>
      <c r="CK1046" s="123"/>
      <c r="CL1046" s="6"/>
      <c r="CM1046" s="6"/>
      <c r="CN1046" s="6"/>
      <c r="CO1046" s="138"/>
      <c r="CP1046" s="138"/>
      <c r="CQ1046" s="123"/>
      <c r="CR1046" s="6"/>
      <c r="CS1046" s="6"/>
      <c r="CT1046" s="139"/>
      <c r="CU1046" s="139"/>
      <c r="CV1046" s="76"/>
      <c r="CW1046" s="123"/>
      <c r="CX1046" s="6"/>
      <c r="DI1046" s="125"/>
      <c r="DJ1046" s="16"/>
      <c r="DM1046" s="16"/>
      <c r="DN1046" s="16"/>
      <c r="DO1046" s="125"/>
      <c r="DP1046" s="16"/>
      <c r="DQ1046" s="125"/>
      <c r="DZ1046" s="125"/>
      <c r="EA1046" s="142"/>
      <c r="EB1046" s="125"/>
      <c r="EC1046" s="16"/>
      <c r="ED1046" s="125"/>
      <c r="EE1046" s="125"/>
      <c r="EF1046" s="16"/>
      <c r="EG1046" s="125"/>
      <c r="EQ1046" s="125"/>
      <c r="ER1046" s="16"/>
      <c r="ES1046" s="123"/>
      <c r="ET1046" s="19"/>
      <c r="EU1046" s="139"/>
      <c r="EV1046" s="139"/>
      <c r="EW1046" s="123"/>
      <c r="EX1046" s="123"/>
      <c r="EY1046" s="123"/>
      <c r="EZ1046" s="123"/>
      <c r="FA1046" s="123"/>
      <c r="FB1046" s="123"/>
      <c r="FC1046" s="6"/>
      <c r="FD1046" s="123"/>
      <c r="FE1046" s="6"/>
      <c r="FF1046" s="123"/>
      <c r="FG1046" s="6"/>
      <c r="FH1046" s="6"/>
      <c r="FI1046" s="6"/>
      <c r="FJ1046" s="6"/>
      <c r="FK1046" s="123"/>
      <c r="FL1046" s="6"/>
      <c r="FM1046" s="6"/>
      <c r="FN1046" s="6"/>
      <c r="FO1046" s="138"/>
      <c r="FP1046" s="138"/>
      <c r="FQ1046" s="123"/>
      <c r="FR1046" s="6"/>
      <c r="FS1046" s="6"/>
      <c r="FT1046" s="139"/>
      <c r="FU1046" s="139"/>
      <c r="FV1046" s="76"/>
      <c r="FW1046" s="123"/>
      <c r="FX1046" s="6"/>
    </row>
    <row r="1047" spans="35:180">
      <c r="AI1047" s="125"/>
      <c r="AJ1047" s="16"/>
      <c r="AM1047" s="16"/>
      <c r="AN1047" s="16"/>
      <c r="AO1047" s="125"/>
      <c r="AP1047" s="16"/>
      <c r="AQ1047" s="125"/>
      <c r="AZ1047" s="125"/>
      <c r="BA1047" s="142"/>
      <c r="BB1047" s="125"/>
      <c r="BC1047" s="16"/>
      <c r="BD1047" s="125"/>
      <c r="BE1047" s="125"/>
      <c r="BF1047" s="16"/>
      <c r="BG1047" s="125"/>
      <c r="BQ1047" s="125"/>
      <c r="BR1047" s="16"/>
      <c r="BS1047" s="123"/>
      <c r="BT1047" s="19"/>
      <c r="BU1047" s="139"/>
      <c r="BV1047" s="139"/>
      <c r="BW1047" s="123"/>
      <c r="BX1047" s="123"/>
      <c r="BY1047" s="123"/>
      <c r="BZ1047" s="123"/>
      <c r="CA1047" s="123"/>
      <c r="CB1047" s="123"/>
      <c r="CC1047" s="6"/>
      <c r="CD1047" s="123"/>
      <c r="CE1047" s="6"/>
      <c r="CF1047" s="123"/>
      <c r="CG1047" s="6"/>
      <c r="CH1047" s="6"/>
      <c r="CI1047" s="6"/>
      <c r="CJ1047" s="6"/>
      <c r="CK1047" s="123"/>
      <c r="CL1047" s="6"/>
      <c r="CM1047" s="6"/>
      <c r="CN1047" s="6"/>
      <c r="CO1047" s="138"/>
      <c r="CP1047" s="138"/>
      <c r="CQ1047" s="123"/>
      <c r="CR1047" s="6"/>
      <c r="CS1047" s="6"/>
      <c r="CT1047" s="139"/>
      <c r="CU1047" s="139"/>
      <c r="CV1047" s="76"/>
      <c r="CW1047" s="123"/>
      <c r="CX1047" s="6"/>
      <c r="DI1047" s="125"/>
      <c r="DJ1047" s="16"/>
      <c r="DM1047" s="16"/>
      <c r="DN1047" s="16"/>
      <c r="DO1047" s="125"/>
      <c r="DP1047" s="16"/>
      <c r="DQ1047" s="125"/>
      <c r="DZ1047" s="125"/>
      <c r="EA1047" s="142"/>
      <c r="EB1047" s="125"/>
      <c r="EC1047" s="16"/>
      <c r="ED1047" s="125"/>
      <c r="EE1047" s="125"/>
      <c r="EF1047" s="16"/>
      <c r="EG1047" s="125"/>
      <c r="EQ1047" s="125"/>
      <c r="ER1047" s="16"/>
      <c r="ES1047" s="123"/>
      <c r="ET1047" s="19"/>
      <c r="EU1047" s="139"/>
      <c r="EV1047" s="139"/>
      <c r="EW1047" s="123"/>
      <c r="EX1047" s="123"/>
      <c r="EY1047" s="123"/>
      <c r="EZ1047" s="123"/>
      <c r="FA1047" s="123"/>
      <c r="FB1047" s="123"/>
      <c r="FC1047" s="6"/>
      <c r="FD1047" s="123"/>
      <c r="FE1047" s="6"/>
      <c r="FF1047" s="123"/>
      <c r="FG1047" s="6"/>
      <c r="FH1047" s="6"/>
      <c r="FI1047" s="6"/>
      <c r="FJ1047" s="6"/>
      <c r="FK1047" s="123"/>
      <c r="FL1047" s="6"/>
      <c r="FM1047" s="6"/>
      <c r="FN1047" s="6"/>
      <c r="FO1047" s="138"/>
      <c r="FP1047" s="138"/>
      <c r="FQ1047" s="123"/>
      <c r="FR1047" s="6"/>
      <c r="FS1047" s="6"/>
      <c r="FT1047" s="139"/>
      <c r="FU1047" s="139"/>
      <c r="FV1047" s="76"/>
      <c r="FW1047" s="123"/>
      <c r="FX1047" s="6"/>
    </row>
    <row r="1048" spans="35:180">
      <c r="AI1048" s="125"/>
      <c r="AJ1048" s="16"/>
      <c r="AM1048" s="16"/>
      <c r="AN1048" s="16"/>
      <c r="AO1048" s="125"/>
      <c r="AP1048" s="16"/>
      <c r="AQ1048" s="125"/>
      <c r="AZ1048" s="125"/>
      <c r="BA1048" s="142"/>
      <c r="BB1048" s="125"/>
      <c r="BC1048" s="16"/>
      <c r="BD1048" s="125"/>
      <c r="BE1048" s="125"/>
      <c r="BF1048" s="16"/>
      <c r="BG1048" s="125"/>
      <c r="BQ1048" s="125"/>
      <c r="BR1048" s="16"/>
      <c r="BS1048" s="123"/>
      <c r="BT1048" s="19"/>
      <c r="BU1048" s="139"/>
      <c r="BV1048" s="139"/>
      <c r="BW1048" s="123"/>
      <c r="BX1048" s="123"/>
      <c r="BY1048" s="123"/>
      <c r="BZ1048" s="123"/>
      <c r="CA1048" s="123"/>
      <c r="CB1048" s="123"/>
      <c r="CC1048" s="6"/>
      <c r="CD1048" s="123"/>
      <c r="CE1048" s="6"/>
      <c r="CF1048" s="123"/>
      <c r="CG1048" s="6"/>
      <c r="CH1048" s="6"/>
      <c r="CI1048" s="6"/>
      <c r="CJ1048" s="6"/>
      <c r="CK1048" s="123"/>
      <c r="CL1048" s="6"/>
      <c r="CM1048" s="6"/>
      <c r="CN1048" s="6"/>
      <c r="CO1048" s="138"/>
      <c r="CP1048" s="138"/>
      <c r="CQ1048" s="123"/>
      <c r="CR1048" s="6"/>
      <c r="CS1048" s="6"/>
      <c r="CT1048" s="139"/>
      <c r="CU1048" s="139"/>
      <c r="CV1048" s="76"/>
      <c r="CW1048" s="123"/>
      <c r="CX1048" s="6"/>
      <c r="DI1048" s="125"/>
      <c r="DJ1048" s="16"/>
      <c r="DM1048" s="16"/>
      <c r="DN1048" s="16"/>
      <c r="DO1048" s="125"/>
      <c r="DP1048" s="16"/>
      <c r="DQ1048" s="125"/>
      <c r="DZ1048" s="125"/>
      <c r="EA1048" s="142"/>
      <c r="EB1048" s="125"/>
      <c r="EC1048" s="16"/>
      <c r="ED1048" s="125"/>
      <c r="EE1048" s="125"/>
      <c r="EF1048" s="16"/>
      <c r="EG1048" s="125"/>
      <c r="EQ1048" s="125"/>
      <c r="ER1048" s="16"/>
      <c r="ES1048" s="123"/>
      <c r="ET1048" s="19"/>
      <c r="EU1048" s="139"/>
      <c r="EV1048" s="139"/>
      <c r="EW1048" s="123"/>
      <c r="EX1048" s="123"/>
      <c r="EY1048" s="123"/>
      <c r="EZ1048" s="123"/>
      <c r="FA1048" s="123"/>
      <c r="FB1048" s="123"/>
      <c r="FC1048" s="6"/>
      <c r="FD1048" s="123"/>
      <c r="FE1048" s="6"/>
      <c r="FF1048" s="123"/>
      <c r="FG1048" s="6"/>
      <c r="FH1048" s="6"/>
      <c r="FI1048" s="6"/>
      <c r="FJ1048" s="6"/>
      <c r="FK1048" s="123"/>
      <c r="FL1048" s="6"/>
      <c r="FM1048" s="6"/>
      <c r="FN1048" s="6"/>
      <c r="FO1048" s="138"/>
      <c r="FP1048" s="138"/>
      <c r="FQ1048" s="123"/>
      <c r="FR1048" s="6"/>
      <c r="FS1048" s="6"/>
      <c r="FT1048" s="139"/>
      <c r="FU1048" s="139"/>
      <c r="FV1048" s="76"/>
      <c r="FW1048" s="123"/>
      <c r="FX1048" s="6"/>
    </row>
    <row r="1049" spans="35:180">
      <c r="AI1049" s="125"/>
      <c r="AJ1049" s="16"/>
      <c r="AM1049" s="16"/>
      <c r="AN1049" s="16"/>
      <c r="AO1049" s="125"/>
      <c r="AP1049" s="16"/>
      <c r="AQ1049" s="125"/>
      <c r="AZ1049" s="125"/>
      <c r="BA1049" s="142"/>
      <c r="BB1049" s="125"/>
      <c r="BC1049" s="16"/>
      <c r="BD1049" s="125"/>
      <c r="BE1049" s="125"/>
      <c r="BF1049" s="16"/>
      <c r="BG1049" s="125"/>
      <c r="BQ1049" s="125"/>
      <c r="BR1049" s="16"/>
      <c r="BS1049" s="123"/>
      <c r="BT1049" s="19"/>
      <c r="BU1049" s="139"/>
      <c r="BV1049" s="139"/>
      <c r="BW1049" s="123"/>
      <c r="BX1049" s="123"/>
      <c r="BY1049" s="123"/>
      <c r="BZ1049" s="123"/>
      <c r="CA1049" s="123"/>
      <c r="CB1049" s="123"/>
      <c r="CC1049" s="6"/>
      <c r="CD1049" s="123"/>
      <c r="CE1049" s="6"/>
      <c r="CF1049" s="123"/>
      <c r="CG1049" s="6"/>
      <c r="CH1049" s="6"/>
      <c r="CI1049" s="6"/>
      <c r="CJ1049" s="6"/>
      <c r="CK1049" s="123"/>
      <c r="CL1049" s="6"/>
      <c r="CM1049" s="6"/>
      <c r="CN1049" s="6"/>
      <c r="CO1049" s="138"/>
      <c r="CP1049" s="138"/>
      <c r="CQ1049" s="123"/>
      <c r="CR1049" s="6"/>
      <c r="CS1049" s="6"/>
      <c r="CT1049" s="139"/>
      <c r="CU1049" s="139"/>
      <c r="CV1049" s="76"/>
      <c r="CW1049" s="123"/>
      <c r="CX1049" s="6"/>
      <c r="DI1049" s="125"/>
      <c r="DJ1049" s="16"/>
      <c r="DM1049" s="16"/>
      <c r="DN1049" s="16"/>
      <c r="DO1049" s="125"/>
      <c r="DP1049" s="16"/>
      <c r="DQ1049" s="125"/>
      <c r="DZ1049" s="125"/>
      <c r="EA1049" s="142"/>
      <c r="EB1049" s="125"/>
      <c r="EC1049" s="16"/>
      <c r="ED1049" s="125"/>
      <c r="EE1049" s="125"/>
      <c r="EF1049" s="16"/>
      <c r="EG1049" s="125"/>
      <c r="EQ1049" s="125"/>
      <c r="ER1049" s="16"/>
      <c r="ES1049" s="123"/>
      <c r="ET1049" s="19"/>
      <c r="EU1049" s="139"/>
      <c r="EV1049" s="139"/>
      <c r="EW1049" s="123"/>
      <c r="EX1049" s="123"/>
      <c r="EY1049" s="123"/>
      <c r="EZ1049" s="123"/>
      <c r="FA1049" s="123"/>
      <c r="FB1049" s="123"/>
      <c r="FC1049" s="6"/>
      <c r="FD1049" s="123"/>
      <c r="FE1049" s="6"/>
      <c r="FF1049" s="123"/>
      <c r="FG1049" s="6"/>
      <c r="FH1049" s="6"/>
      <c r="FI1049" s="6"/>
      <c r="FJ1049" s="6"/>
      <c r="FK1049" s="123"/>
      <c r="FL1049" s="6"/>
      <c r="FM1049" s="6"/>
      <c r="FN1049" s="6"/>
      <c r="FO1049" s="138"/>
      <c r="FP1049" s="138"/>
      <c r="FQ1049" s="123"/>
      <c r="FR1049" s="6"/>
      <c r="FS1049" s="6"/>
      <c r="FT1049" s="139"/>
      <c r="FU1049" s="139"/>
      <c r="FV1049" s="76"/>
      <c r="FW1049" s="123"/>
      <c r="FX1049" s="6"/>
    </row>
    <row r="1050" spans="35:180">
      <c r="AI1050" s="125"/>
      <c r="AJ1050" s="16"/>
      <c r="AM1050" s="16"/>
      <c r="AN1050" s="16"/>
      <c r="AO1050" s="125"/>
      <c r="AP1050" s="16"/>
      <c r="AQ1050" s="125"/>
      <c r="AZ1050" s="125"/>
      <c r="BA1050" s="142"/>
      <c r="BB1050" s="125"/>
      <c r="BC1050" s="16"/>
      <c r="BD1050" s="125"/>
      <c r="BE1050" s="125"/>
      <c r="BF1050" s="16"/>
      <c r="BG1050" s="125"/>
      <c r="BQ1050" s="125"/>
      <c r="BR1050" s="16"/>
      <c r="BS1050" s="123"/>
      <c r="BT1050" s="19"/>
      <c r="BU1050" s="139"/>
      <c r="BV1050" s="139"/>
      <c r="BW1050" s="123"/>
      <c r="BX1050" s="123"/>
      <c r="BY1050" s="123"/>
      <c r="BZ1050" s="123"/>
      <c r="CA1050" s="123"/>
      <c r="CB1050" s="123"/>
      <c r="CC1050" s="6"/>
      <c r="CD1050" s="123"/>
      <c r="CE1050" s="6"/>
      <c r="CF1050" s="123"/>
      <c r="CG1050" s="6"/>
      <c r="CH1050" s="6"/>
      <c r="CI1050" s="6"/>
      <c r="CJ1050" s="6"/>
      <c r="CK1050" s="123"/>
      <c r="CL1050" s="6"/>
      <c r="CM1050" s="6"/>
      <c r="CN1050" s="6"/>
      <c r="CO1050" s="138"/>
      <c r="CP1050" s="138"/>
      <c r="CQ1050" s="123"/>
      <c r="CR1050" s="6"/>
      <c r="CS1050" s="6"/>
      <c r="CT1050" s="139"/>
      <c r="CU1050" s="139"/>
      <c r="CV1050" s="76"/>
      <c r="CW1050" s="123"/>
      <c r="CX1050" s="6"/>
      <c r="DI1050" s="125"/>
      <c r="DJ1050" s="16"/>
      <c r="DM1050" s="16"/>
      <c r="DN1050" s="16"/>
      <c r="DO1050" s="125"/>
      <c r="DP1050" s="16"/>
      <c r="DQ1050" s="125"/>
      <c r="DZ1050" s="125"/>
      <c r="EA1050" s="142"/>
      <c r="EB1050" s="125"/>
      <c r="EC1050" s="16"/>
      <c r="ED1050" s="125"/>
      <c r="EE1050" s="125"/>
      <c r="EF1050" s="16"/>
      <c r="EG1050" s="125"/>
      <c r="EQ1050" s="125"/>
      <c r="ER1050" s="16"/>
      <c r="ES1050" s="123"/>
      <c r="ET1050" s="19"/>
      <c r="EU1050" s="139"/>
      <c r="EV1050" s="139"/>
      <c r="EW1050" s="123"/>
      <c r="EX1050" s="123"/>
      <c r="EY1050" s="123"/>
      <c r="EZ1050" s="123"/>
      <c r="FA1050" s="123"/>
      <c r="FB1050" s="123"/>
      <c r="FC1050" s="6"/>
      <c r="FD1050" s="123"/>
      <c r="FE1050" s="6"/>
      <c r="FF1050" s="123"/>
      <c r="FG1050" s="6"/>
      <c r="FH1050" s="6"/>
      <c r="FI1050" s="6"/>
      <c r="FJ1050" s="6"/>
      <c r="FK1050" s="123"/>
      <c r="FL1050" s="6"/>
      <c r="FM1050" s="6"/>
      <c r="FN1050" s="6"/>
      <c r="FO1050" s="138"/>
      <c r="FP1050" s="138"/>
      <c r="FQ1050" s="123"/>
      <c r="FR1050" s="6"/>
      <c r="FS1050" s="6"/>
      <c r="FT1050" s="139"/>
      <c r="FU1050" s="139"/>
      <c r="FV1050" s="76"/>
      <c r="FW1050" s="123"/>
      <c r="FX1050" s="6"/>
    </row>
    <row r="1051" spans="35:180">
      <c r="AI1051" s="125"/>
      <c r="AJ1051" s="16"/>
      <c r="AM1051" s="16"/>
      <c r="AN1051" s="16"/>
      <c r="AO1051" s="125"/>
      <c r="AP1051" s="16"/>
      <c r="AQ1051" s="125"/>
      <c r="AZ1051" s="125"/>
      <c r="BA1051" s="142"/>
      <c r="BB1051" s="125"/>
      <c r="BC1051" s="16"/>
      <c r="BD1051" s="125"/>
      <c r="BE1051" s="125"/>
      <c r="BF1051" s="16"/>
      <c r="BG1051" s="125"/>
      <c r="BQ1051" s="125"/>
      <c r="BR1051" s="16"/>
      <c r="BS1051" s="123"/>
      <c r="BT1051" s="19"/>
      <c r="BU1051" s="139"/>
      <c r="BV1051" s="139"/>
      <c r="BW1051" s="123"/>
      <c r="BX1051" s="123"/>
      <c r="BY1051" s="123"/>
      <c r="BZ1051" s="123"/>
      <c r="CA1051" s="123"/>
      <c r="CB1051" s="123"/>
      <c r="CC1051" s="6"/>
      <c r="CD1051" s="123"/>
      <c r="CE1051" s="6"/>
      <c r="CF1051" s="123"/>
      <c r="CG1051" s="6"/>
      <c r="CH1051" s="6"/>
      <c r="CI1051" s="6"/>
      <c r="CJ1051" s="6"/>
      <c r="CK1051" s="123"/>
      <c r="CL1051" s="6"/>
      <c r="CM1051" s="6"/>
      <c r="CN1051" s="6"/>
      <c r="CO1051" s="138"/>
      <c r="CP1051" s="138"/>
      <c r="CQ1051" s="123"/>
      <c r="CR1051" s="6"/>
      <c r="CS1051" s="6"/>
      <c r="CT1051" s="139"/>
      <c r="CU1051" s="139"/>
      <c r="CV1051" s="76"/>
      <c r="CW1051" s="123"/>
      <c r="CX1051" s="6"/>
      <c r="DI1051" s="125"/>
      <c r="DJ1051" s="16"/>
      <c r="DM1051" s="16"/>
      <c r="DN1051" s="16"/>
      <c r="DO1051" s="125"/>
      <c r="DP1051" s="16"/>
      <c r="DQ1051" s="125"/>
      <c r="DZ1051" s="125"/>
      <c r="EA1051" s="142"/>
      <c r="EB1051" s="125"/>
      <c r="EC1051" s="16"/>
      <c r="ED1051" s="125"/>
      <c r="EE1051" s="125"/>
      <c r="EF1051" s="16"/>
      <c r="EG1051" s="125"/>
      <c r="EQ1051" s="125"/>
      <c r="ER1051" s="16"/>
      <c r="ES1051" s="123"/>
      <c r="ET1051" s="19"/>
      <c r="EU1051" s="139"/>
      <c r="EV1051" s="139"/>
      <c r="EW1051" s="123"/>
      <c r="EX1051" s="123"/>
      <c r="EY1051" s="123"/>
      <c r="EZ1051" s="123"/>
      <c r="FA1051" s="123"/>
      <c r="FB1051" s="123"/>
      <c r="FC1051" s="6"/>
      <c r="FD1051" s="123"/>
      <c r="FE1051" s="6"/>
      <c r="FF1051" s="123"/>
      <c r="FG1051" s="6"/>
      <c r="FH1051" s="6"/>
      <c r="FI1051" s="6"/>
      <c r="FJ1051" s="6"/>
      <c r="FK1051" s="123"/>
      <c r="FL1051" s="6"/>
      <c r="FM1051" s="6"/>
      <c r="FN1051" s="6"/>
      <c r="FO1051" s="138"/>
      <c r="FP1051" s="138"/>
      <c r="FQ1051" s="123"/>
      <c r="FR1051" s="6"/>
      <c r="FS1051" s="6"/>
      <c r="FT1051" s="139"/>
      <c r="FU1051" s="139"/>
      <c r="FV1051" s="76"/>
      <c r="FW1051" s="123"/>
      <c r="FX1051" s="6"/>
    </row>
    <row r="1052" spans="35:180">
      <c r="AI1052" s="125"/>
      <c r="AJ1052" s="16"/>
      <c r="AM1052" s="16"/>
      <c r="AN1052" s="16"/>
      <c r="AO1052" s="125"/>
      <c r="AP1052" s="16"/>
      <c r="AQ1052" s="125"/>
      <c r="AZ1052" s="125"/>
      <c r="BA1052" s="142"/>
      <c r="BB1052" s="125"/>
      <c r="BC1052" s="16"/>
      <c r="BD1052" s="125"/>
      <c r="BE1052" s="125"/>
      <c r="BF1052" s="16"/>
      <c r="BG1052" s="125"/>
      <c r="BQ1052" s="125"/>
      <c r="BR1052" s="16"/>
      <c r="BS1052" s="123"/>
      <c r="BT1052" s="19"/>
      <c r="BU1052" s="139"/>
      <c r="BV1052" s="139"/>
      <c r="BW1052" s="123"/>
      <c r="BX1052" s="123"/>
      <c r="BY1052" s="123"/>
      <c r="BZ1052" s="123"/>
      <c r="CA1052" s="123"/>
      <c r="CB1052" s="123"/>
      <c r="CC1052" s="6"/>
      <c r="CD1052" s="123"/>
      <c r="CE1052" s="6"/>
      <c r="CF1052" s="123"/>
      <c r="CG1052" s="6"/>
      <c r="CH1052" s="6"/>
      <c r="CI1052" s="6"/>
      <c r="CJ1052" s="6"/>
      <c r="CK1052" s="123"/>
      <c r="CL1052" s="6"/>
      <c r="CM1052" s="6"/>
      <c r="CN1052" s="6"/>
      <c r="CO1052" s="138"/>
      <c r="CP1052" s="138"/>
      <c r="CQ1052" s="123"/>
      <c r="CR1052" s="6"/>
      <c r="CS1052" s="6"/>
      <c r="CT1052" s="139"/>
      <c r="CU1052" s="139"/>
      <c r="CV1052" s="76"/>
      <c r="CW1052" s="123"/>
      <c r="CX1052" s="6"/>
      <c r="DI1052" s="125"/>
      <c r="DJ1052" s="16"/>
      <c r="DM1052" s="16"/>
      <c r="DN1052" s="16"/>
      <c r="DO1052" s="125"/>
      <c r="DP1052" s="16"/>
      <c r="DQ1052" s="125"/>
      <c r="DZ1052" s="125"/>
      <c r="EA1052" s="142"/>
      <c r="EB1052" s="125"/>
      <c r="EC1052" s="16"/>
      <c r="ED1052" s="125"/>
      <c r="EE1052" s="125"/>
      <c r="EF1052" s="16"/>
      <c r="EG1052" s="125"/>
      <c r="EQ1052" s="125"/>
      <c r="ER1052" s="16"/>
      <c r="ES1052" s="123"/>
      <c r="ET1052" s="19"/>
      <c r="EU1052" s="139"/>
      <c r="EV1052" s="139"/>
      <c r="EW1052" s="123"/>
      <c r="EX1052" s="123"/>
      <c r="EY1052" s="123"/>
      <c r="EZ1052" s="123"/>
      <c r="FA1052" s="123"/>
      <c r="FB1052" s="123"/>
      <c r="FC1052" s="6"/>
      <c r="FD1052" s="123"/>
      <c r="FE1052" s="6"/>
      <c r="FF1052" s="123"/>
      <c r="FG1052" s="6"/>
      <c r="FH1052" s="6"/>
      <c r="FI1052" s="6"/>
      <c r="FJ1052" s="6"/>
      <c r="FK1052" s="123"/>
      <c r="FL1052" s="6"/>
      <c r="FM1052" s="6"/>
      <c r="FN1052" s="6"/>
      <c r="FO1052" s="138"/>
      <c r="FP1052" s="138"/>
      <c r="FQ1052" s="123"/>
      <c r="FR1052" s="6"/>
      <c r="FS1052" s="6"/>
      <c r="FT1052" s="139"/>
      <c r="FU1052" s="139"/>
      <c r="FV1052" s="76"/>
      <c r="FW1052" s="123"/>
      <c r="FX1052" s="6"/>
    </row>
    <row r="1053" spans="35:180">
      <c r="AI1053" s="125"/>
      <c r="AJ1053" s="16"/>
      <c r="AM1053" s="16"/>
      <c r="AN1053" s="16"/>
      <c r="AO1053" s="125"/>
      <c r="AP1053" s="16"/>
      <c r="AQ1053" s="125"/>
      <c r="AZ1053" s="125"/>
      <c r="BA1053" s="142"/>
      <c r="BB1053" s="125"/>
      <c r="BC1053" s="16"/>
      <c r="BD1053" s="125"/>
      <c r="BE1053" s="125"/>
      <c r="BF1053" s="16"/>
      <c r="BG1053" s="125"/>
      <c r="BQ1053" s="125"/>
      <c r="BR1053" s="16"/>
      <c r="BS1053" s="123"/>
      <c r="BT1053" s="19"/>
      <c r="BU1053" s="139"/>
      <c r="BV1053" s="139"/>
      <c r="BW1053" s="123"/>
      <c r="BX1053" s="123"/>
      <c r="BY1053" s="123"/>
      <c r="BZ1053" s="123"/>
      <c r="CA1053" s="123"/>
      <c r="CB1053" s="123"/>
      <c r="CC1053" s="6"/>
      <c r="CD1053" s="123"/>
      <c r="CE1053" s="6"/>
      <c r="CF1053" s="123"/>
      <c r="CG1053" s="6"/>
      <c r="CH1053" s="6"/>
      <c r="CI1053" s="6"/>
      <c r="CJ1053" s="6"/>
      <c r="CK1053" s="123"/>
      <c r="CL1053" s="6"/>
      <c r="CM1053" s="6"/>
      <c r="CN1053" s="6"/>
      <c r="CO1053" s="138"/>
      <c r="CP1053" s="138"/>
      <c r="CQ1053" s="123"/>
      <c r="CR1053" s="6"/>
      <c r="CS1053" s="6"/>
      <c r="CT1053" s="139"/>
      <c r="CU1053" s="139"/>
      <c r="CV1053" s="76"/>
      <c r="CW1053" s="123"/>
      <c r="CX1053" s="6"/>
      <c r="DI1053" s="125"/>
      <c r="DJ1053" s="16"/>
      <c r="DM1053" s="16"/>
      <c r="DN1053" s="16"/>
      <c r="DO1053" s="125"/>
      <c r="DP1053" s="16"/>
      <c r="DQ1053" s="125"/>
      <c r="DZ1053" s="125"/>
      <c r="EA1053" s="142"/>
      <c r="EB1053" s="125"/>
      <c r="EC1053" s="16"/>
      <c r="ED1053" s="125"/>
      <c r="EE1053" s="125"/>
      <c r="EF1053" s="16"/>
      <c r="EG1053" s="125"/>
      <c r="EQ1053" s="125"/>
      <c r="ER1053" s="16"/>
      <c r="ES1053" s="123"/>
      <c r="ET1053" s="19"/>
      <c r="EU1053" s="139"/>
      <c r="EV1053" s="139"/>
      <c r="EW1053" s="123"/>
      <c r="EX1053" s="123"/>
      <c r="EY1053" s="123"/>
      <c r="EZ1053" s="123"/>
      <c r="FA1053" s="123"/>
      <c r="FB1053" s="123"/>
      <c r="FC1053" s="6"/>
      <c r="FD1053" s="123"/>
      <c r="FE1053" s="6"/>
      <c r="FF1053" s="123"/>
      <c r="FG1053" s="6"/>
      <c r="FH1053" s="6"/>
      <c r="FI1053" s="6"/>
      <c r="FJ1053" s="6"/>
      <c r="FK1053" s="123"/>
      <c r="FL1053" s="6"/>
      <c r="FM1053" s="6"/>
      <c r="FN1053" s="6"/>
      <c r="FO1053" s="138"/>
      <c r="FP1053" s="138"/>
      <c r="FQ1053" s="123"/>
      <c r="FR1053" s="6"/>
      <c r="FS1053" s="6"/>
      <c r="FT1053" s="139"/>
      <c r="FU1053" s="139"/>
      <c r="FV1053" s="76"/>
      <c r="FW1053" s="123"/>
      <c r="FX1053" s="6"/>
    </row>
    <row r="1054" spans="35:180">
      <c r="AI1054" s="125"/>
      <c r="AJ1054" s="16"/>
      <c r="AM1054" s="16"/>
      <c r="AN1054" s="16"/>
      <c r="AO1054" s="125"/>
      <c r="AP1054" s="16"/>
      <c r="AQ1054" s="125"/>
      <c r="AZ1054" s="125"/>
      <c r="BA1054" s="142"/>
      <c r="BB1054" s="125"/>
      <c r="BC1054" s="16"/>
      <c r="BD1054" s="125"/>
      <c r="BE1054" s="125"/>
      <c r="BF1054" s="16"/>
      <c r="BG1054" s="125"/>
      <c r="BQ1054" s="125"/>
      <c r="BR1054" s="16"/>
      <c r="BS1054" s="123"/>
      <c r="BT1054" s="19"/>
      <c r="BU1054" s="139"/>
      <c r="BV1054" s="139"/>
      <c r="BW1054" s="123"/>
      <c r="BX1054" s="123"/>
      <c r="BY1054" s="123"/>
      <c r="BZ1054" s="123"/>
      <c r="CA1054" s="123"/>
      <c r="CB1054" s="123"/>
      <c r="CC1054" s="6"/>
      <c r="CD1054" s="123"/>
      <c r="CE1054" s="6"/>
      <c r="CF1054" s="123"/>
      <c r="CG1054" s="6"/>
      <c r="CH1054" s="6"/>
      <c r="CI1054" s="6"/>
      <c r="CJ1054" s="6"/>
      <c r="CK1054" s="123"/>
      <c r="CL1054" s="6"/>
      <c r="CM1054" s="6"/>
      <c r="CN1054" s="6"/>
      <c r="CO1054" s="138"/>
      <c r="CP1054" s="138"/>
      <c r="CQ1054" s="123"/>
      <c r="CR1054" s="6"/>
      <c r="CS1054" s="6"/>
      <c r="CT1054" s="139"/>
      <c r="CU1054" s="139"/>
      <c r="CV1054" s="76"/>
      <c r="CW1054" s="123"/>
      <c r="CX1054" s="6"/>
      <c r="DI1054" s="125"/>
      <c r="DJ1054" s="16"/>
      <c r="DM1054" s="16"/>
      <c r="DN1054" s="16"/>
      <c r="DO1054" s="125"/>
      <c r="DP1054" s="16"/>
      <c r="DQ1054" s="125"/>
      <c r="DZ1054" s="125"/>
      <c r="EA1054" s="142"/>
      <c r="EB1054" s="125"/>
      <c r="EC1054" s="16"/>
      <c r="ED1054" s="125"/>
      <c r="EE1054" s="125"/>
      <c r="EF1054" s="16"/>
      <c r="EG1054" s="125"/>
      <c r="EQ1054" s="125"/>
      <c r="ER1054" s="16"/>
      <c r="ES1054" s="123"/>
      <c r="ET1054" s="19"/>
      <c r="EU1054" s="139"/>
      <c r="EV1054" s="139"/>
      <c r="EW1054" s="123"/>
      <c r="EX1054" s="123"/>
      <c r="EY1054" s="123"/>
      <c r="EZ1054" s="123"/>
      <c r="FA1054" s="123"/>
      <c r="FB1054" s="123"/>
      <c r="FC1054" s="6"/>
      <c r="FD1054" s="123"/>
      <c r="FE1054" s="6"/>
      <c r="FF1054" s="123"/>
      <c r="FG1054" s="6"/>
      <c r="FH1054" s="6"/>
      <c r="FI1054" s="6"/>
      <c r="FJ1054" s="6"/>
      <c r="FK1054" s="123"/>
      <c r="FL1054" s="6"/>
      <c r="FM1054" s="6"/>
      <c r="FN1054" s="6"/>
      <c r="FO1054" s="138"/>
      <c r="FP1054" s="138"/>
      <c r="FQ1054" s="123"/>
      <c r="FR1054" s="6"/>
      <c r="FS1054" s="6"/>
      <c r="FT1054" s="139"/>
      <c r="FU1054" s="139"/>
      <c r="FV1054" s="76"/>
      <c r="FW1054" s="123"/>
      <c r="FX1054" s="6"/>
    </row>
    <row r="1055" spans="35:180">
      <c r="AI1055" s="125"/>
      <c r="AJ1055" s="16"/>
      <c r="AM1055" s="16"/>
      <c r="AN1055" s="16"/>
      <c r="AO1055" s="125"/>
      <c r="AP1055" s="16"/>
      <c r="AQ1055" s="125"/>
      <c r="AZ1055" s="125"/>
      <c r="BA1055" s="142"/>
      <c r="BB1055" s="125"/>
      <c r="BC1055" s="16"/>
      <c r="BD1055" s="125"/>
      <c r="BE1055" s="125"/>
      <c r="BF1055" s="16"/>
      <c r="BG1055" s="125"/>
      <c r="BQ1055" s="125"/>
      <c r="BR1055" s="16"/>
      <c r="BS1055" s="123"/>
      <c r="BT1055" s="19"/>
      <c r="BU1055" s="139"/>
      <c r="BV1055" s="139"/>
      <c r="BW1055" s="123"/>
      <c r="BX1055" s="123"/>
      <c r="BY1055" s="123"/>
      <c r="BZ1055" s="123"/>
      <c r="CA1055" s="123"/>
      <c r="CB1055" s="123"/>
      <c r="CC1055" s="6"/>
      <c r="CD1055" s="123"/>
      <c r="CE1055" s="6"/>
      <c r="CF1055" s="123"/>
      <c r="CG1055" s="6"/>
      <c r="CH1055" s="6"/>
      <c r="CI1055" s="6"/>
      <c r="CJ1055" s="6"/>
      <c r="CK1055" s="123"/>
      <c r="CL1055" s="6"/>
      <c r="CM1055" s="6"/>
      <c r="CN1055" s="6"/>
      <c r="CO1055" s="138"/>
      <c r="CP1055" s="138"/>
      <c r="CQ1055" s="123"/>
      <c r="CR1055" s="6"/>
      <c r="CS1055" s="6"/>
      <c r="CT1055" s="139"/>
      <c r="CU1055" s="139"/>
      <c r="CV1055" s="76"/>
      <c r="CW1055" s="123"/>
      <c r="CX1055" s="6"/>
      <c r="DI1055" s="125"/>
      <c r="DJ1055" s="16"/>
      <c r="DM1055" s="16"/>
      <c r="DN1055" s="16"/>
      <c r="DO1055" s="125"/>
      <c r="DP1055" s="16"/>
      <c r="DQ1055" s="125"/>
      <c r="DZ1055" s="125"/>
      <c r="EA1055" s="142"/>
      <c r="EB1055" s="125"/>
      <c r="EC1055" s="16"/>
      <c r="ED1055" s="125"/>
      <c r="EE1055" s="125"/>
      <c r="EF1055" s="16"/>
      <c r="EG1055" s="125"/>
      <c r="EQ1055" s="125"/>
      <c r="ER1055" s="16"/>
      <c r="ES1055" s="123"/>
      <c r="ET1055" s="19"/>
      <c r="EU1055" s="139"/>
      <c r="EV1055" s="139"/>
      <c r="EW1055" s="123"/>
      <c r="EX1055" s="123"/>
      <c r="EY1055" s="123"/>
      <c r="EZ1055" s="123"/>
      <c r="FA1055" s="123"/>
      <c r="FB1055" s="123"/>
      <c r="FC1055" s="6"/>
      <c r="FD1055" s="123"/>
      <c r="FE1055" s="6"/>
      <c r="FF1055" s="123"/>
      <c r="FG1055" s="6"/>
      <c r="FH1055" s="6"/>
      <c r="FI1055" s="6"/>
      <c r="FJ1055" s="6"/>
      <c r="FK1055" s="123"/>
      <c r="FL1055" s="6"/>
      <c r="FM1055" s="6"/>
      <c r="FN1055" s="6"/>
      <c r="FO1055" s="138"/>
      <c r="FP1055" s="138"/>
      <c r="FQ1055" s="123"/>
      <c r="FR1055" s="6"/>
      <c r="FS1055" s="6"/>
      <c r="FT1055" s="139"/>
      <c r="FU1055" s="139"/>
      <c r="FV1055" s="76"/>
      <c r="FW1055" s="123"/>
      <c r="FX1055" s="6"/>
    </row>
    <row r="1056" spans="35:180">
      <c r="AI1056" s="125"/>
      <c r="AJ1056" s="16"/>
      <c r="AM1056" s="16"/>
      <c r="AN1056" s="16"/>
      <c r="AO1056" s="125"/>
      <c r="AP1056" s="16"/>
      <c r="AQ1056" s="125"/>
      <c r="AZ1056" s="125"/>
      <c r="BA1056" s="142"/>
      <c r="BB1056" s="125"/>
      <c r="BC1056" s="16"/>
      <c r="BD1056" s="125"/>
      <c r="BE1056" s="125"/>
      <c r="BF1056" s="16"/>
      <c r="BG1056" s="125"/>
      <c r="BQ1056" s="125"/>
      <c r="BR1056" s="16"/>
      <c r="BS1056" s="123"/>
      <c r="BT1056" s="19"/>
      <c r="BU1056" s="139"/>
      <c r="BV1056" s="139"/>
      <c r="BW1056" s="123"/>
      <c r="BX1056" s="123"/>
      <c r="BY1056" s="123"/>
      <c r="BZ1056" s="123"/>
      <c r="CA1056" s="123"/>
      <c r="CB1056" s="123"/>
      <c r="CC1056" s="6"/>
      <c r="CD1056" s="123"/>
      <c r="CE1056" s="6"/>
      <c r="CF1056" s="123"/>
      <c r="CG1056" s="6"/>
      <c r="CH1056" s="6"/>
      <c r="CI1056" s="6"/>
      <c r="CJ1056" s="6"/>
      <c r="CK1056" s="123"/>
      <c r="CL1056" s="6"/>
      <c r="CM1056" s="6"/>
      <c r="CN1056" s="6"/>
      <c r="CO1056" s="138"/>
      <c r="CP1056" s="138"/>
      <c r="CQ1056" s="123"/>
      <c r="CR1056" s="6"/>
      <c r="CS1056" s="6"/>
      <c r="CT1056" s="139"/>
      <c r="CU1056" s="139"/>
      <c r="CV1056" s="76"/>
      <c r="CW1056" s="123"/>
      <c r="CX1056" s="6"/>
      <c r="DI1056" s="125"/>
      <c r="DJ1056" s="16"/>
      <c r="DM1056" s="16"/>
      <c r="DN1056" s="16"/>
      <c r="DO1056" s="125"/>
      <c r="DP1056" s="16"/>
      <c r="DQ1056" s="125"/>
      <c r="DZ1056" s="125"/>
      <c r="EA1056" s="142"/>
      <c r="EB1056" s="125"/>
      <c r="EC1056" s="16"/>
      <c r="ED1056" s="125"/>
      <c r="EE1056" s="125"/>
      <c r="EF1056" s="16"/>
      <c r="EG1056" s="125"/>
      <c r="EQ1056" s="125"/>
      <c r="ER1056" s="16"/>
      <c r="ES1056" s="123"/>
      <c r="ET1056" s="19"/>
      <c r="EU1056" s="139"/>
      <c r="EV1056" s="139"/>
      <c r="EW1056" s="123"/>
      <c r="EX1056" s="123"/>
      <c r="EY1056" s="123"/>
      <c r="EZ1056" s="123"/>
      <c r="FA1056" s="123"/>
      <c r="FB1056" s="123"/>
      <c r="FC1056" s="6"/>
      <c r="FD1056" s="123"/>
      <c r="FE1056" s="6"/>
      <c r="FF1056" s="123"/>
      <c r="FG1056" s="6"/>
      <c r="FH1056" s="6"/>
      <c r="FI1056" s="6"/>
      <c r="FJ1056" s="6"/>
      <c r="FK1056" s="123"/>
      <c r="FL1056" s="6"/>
      <c r="FM1056" s="6"/>
      <c r="FN1056" s="6"/>
      <c r="FO1056" s="138"/>
      <c r="FP1056" s="138"/>
      <c r="FQ1056" s="123"/>
      <c r="FR1056" s="6"/>
      <c r="FS1056" s="6"/>
      <c r="FT1056" s="139"/>
      <c r="FU1056" s="139"/>
      <c r="FV1056" s="76"/>
      <c r="FW1056" s="123"/>
      <c r="FX1056" s="6"/>
    </row>
    <row r="1057" spans="35:180">
      <c r="AI1057" s="125"/>
      <c r="AJ1057" s="16"/>
      <c r="AM1057" s="16"/>
      <c r="AN1057" s="16"/>
      <c r="AO1057" s="125"/>
      <c r="AP1057" s="16"/>
      <c r="AQ1057" s="125"/>
      <c r="AZ1057" s="125"/>
      <c r="BA1057" s="142"/>
      <c r="BB1057" s="125"/>
      <c r="BC1057" s="16"/>
      <c r="BD1057" s="125"/>
      <c r="BE1057" s="125"/>
      <c r="BF1057" s="16"/>
      <c r="BG1057" s="125"/>
      <c r="BQ1057" s="125"/>
      <c r="BR1057" s="16"/>
      <c r="BS1057" s="123"/>
      <c r="BT1057" s="19"/>
      <c r="BU1057" s="139"/>
      <c r="BV1057" s="139"/>
      <c r="BW1057" s="123"/>
      <c r="BX1057" s="123"/>
      <c r="BY1057" s="123"/>
      <c r="BZ1057" s="123"/>
      <c r="CA1057" s="123"/>
      <c r="CB1057" s="123"/>
      <c r="CC1057" s="6"/>
      <c r="CD1057" s="123"/>
      <c r="CE1057" s="6"/>
      <c r="CF1057" s="123"/>
      <c r="CG1057" s="6"/>
      <c r="CH1057" s="6"/>
      <c r="CI1057" s="6"/>
      <c r="CJ1057" s="6"/>
      <c r="CK1057" s="123"/>
      <c r="CL1057" s="6"/>
      <c r="CM1057" s="6"/>
      <c r="CN1057" s="6"/>
      <c r="CO1057" s="138"/>
      <c r="CP1057" s="138"/>
      <c r="CQ1057" s="123"/>
      <c r="CR1057" s="6"/>
      <c r="CS1057" s="6"/>
      <c r="CT1057" s="139"/>
      <c r="CU1057" s="139"/>
      <c r="CV1057" s="76"/>
      <c r="CW1057" s="123"/>
      <c r="CX1057" s="6"/>
      <c r="DI1057" s="125"/>
      <c r="DJ1057" s="16"/>
      <c r="DM1057" s="16"/>
      <c r="DN1057" s="16"/>
      <c r="DO1057" s="125"/>
      <c r="DP1057" s="16"/>
      <c r="DQ1057" s="125"/>
      <c r="DZ1057" s="125"/>
      <c r="EA1057" s="142"/>
      <c r="EB1057" s="125"/>
      <c r="EC1057" s="16"/>
      <c r="ED1057" s="125"/>
      <c r="EE1057" s="125"/>
      <c r="EF1057" s="16"/>
      <c r="EG1057" s="125"/>
      <c r="EQ1057" s="125"/>
      <c r="ER1057" s="16"/>
      <c r="ES1057" s="123"/>
      <c r="ET1057" s="19"/>
      <c r="EU1057" s="139"/>
      <c r="EV1057" s="139"/>
      <c r="EW1057" s="123"/>
      <c r="EX1057" s="123"/>
      <c r="EY1057" s="123"/>
      <c r="EZ1057" s="123"/>
      <c r="FA1057" s="123"/>
      <c r="FB1057" s="123"/>
      <c r="FC1057" s="6"/>
      <c r="FD1057" s="123"/>
      <c r="FE1057" s="6"/>
      <c r="FF1057" s="123"/>
      <c r="FG1057" s="6"/>
      <c r="FH1057" s="6"/>
      <c r="FI1057" s="6"/>
      <c r="FJ1057" s="6"/>
      <c r="FK1057" s="123"/>
      <c r="FL1057" s="6"/>
      <c r="FM1057" s="6"/>
      <c r="FN1057" s="6"/>
      <c r="FO1057" s="138"/>
      <c r="FP1057" s="138"/>
      <c r="FQ1057" s="123"/>
      <c r="FR1057" s="6"/>
      <c r="FS1057" s="6"/>
      <c r="FT1057" s="139"/>
      <c r="FU1057" s="139"/>
      <c r="FV1057" s="76"/>
      <c r="FW1057" s="123"/>
      <c r="FX1057" s="6"/>
    </row>
    <row r="1058" spans="35:180">
      <c r="AI1058" s="125"/>
      <c r="AJ1058" s="16"/>
      <c r="AM1058" s="16"/>
      <c r="AN1058" s="16"/>
      <c r="AO1058" s="125"/>
      <c r="AP1058" s="16"/>
      <c r="AQ1058" s="125"/>
      <c r="AZ1058" s="125"/>
      <c r="BA1058" s="142"/>
      <c r="BB1058" s="125"/>
      <c r="BC1058" s="16"/>
      <c r="BD1058" s="125"/>
      <c r="BE1058" s="125"/>
      <c r="BF1058" s="16"/>
      <c r="BG1058" s="125"/>
      <c r="BQ1058" s="125"/>
      <c r="BR1058" s="16"/>
      <c r="BS1058" s="123"/>
      <c r="BT1058" s="19"/>
      <c r="BU1058" s="139"/>
      <c r="BV1058" s="139"/>
      <c r="BW1058" s="123"/>
      <c r="BX1058" s="123"/>
      <c r="BY1058" s="123"/>
      <c r="BZ1058" s="123"/>
      <c r="CA1058" s="123"/>
      <c r="CB1058" s="123"/>
      <c r="CC1058" s="6"/>
      <c r="CD1058" s="123"/>
      <c r="CE1058" s="6"/>
      <c r="CF1058" s="123"/>
      <c r="CG1058" s="6"/>
      <c r="CH1058" s="6"/>
      <c r="CI1058" s="6"/>
      <c r="CJ1058" s="6"/>
      <c r="CK1058" s="123"/>
      <c r="CL1058" s="6"/>
      <c r="CM1058" s="6"/>
      <c r="CN1058" s="6"/>
      <c r="CO1058" s="138"/>
      <c r="CP1058" s="138"/>
      <c r="CQ1058" s="123"/>
      <c r="CR1058" s="6"/>
      <c r="CS1058" s="6"/>
      <c r="CT1058" s="139"/>
      <c r="CU1058" s="139"/>
      <c r="CV1058" s="76"/>
      <c r="CW1058" s="123"/>
      <c r="CX1058" s="6"/>
      <c r="DI1058" s="125"/>
      <c r="DJ1058" s="16"/>
      <c r="DM1058" s="16"/>
      <c r="DN1058" s="16"/>
      <c r="DO1058" s="125"/>
      <c r="DP1058" s="16"/>
      <c r="DQ1058" s="125"/>
      <c r="DZ1058" s="125"/>
      <c r="EA1058" s="142"/>
      <c r="EB1058" s="125"/>
      <c r="EC1058" s="16"/>
      <c r="ED1058" s="125"/>
      <c r="EE1058" s="125"/>
      <c r="EF1058" s="16"/>
      <c r="EG1058" s="125"/>
      <c r="EQ1058" s="125"/>
      <c r="ER1058" s="16"/>
      <c r="ES1058" s="123"/>
      <c r="ET1058" s="19"/>
      <c r="EU1058" s="139"/>
      <c r="EV1058" s="139"/>
      <c r="EW1058" s="123"/>
      <c r="EX1058" s="123"/>
      <c r="EY1058" s="123"/>
      <c r="EZ1058" s="123"/>
      <c r="FA1058" s="123"/>
      <c r="FB1058" s="123"/>
      <c r="FC1058" s="6"/>
      <c r="FD1058" s="123"/>
      <c r="FE1058" s="6"/>
      <c r="FF1058" s="123"/>
      <c r="FG1058" s="6"/>
      <c r="FH1058" s="6"/>
      <c r="FI1058" s="6"/>
      <c r="FJ1058" s="6"/>
      <c r="FK1058" s="123"/>
      <c r="FL1058" s="6"/>
      <c r="FM1058" s="6"/>
      <c r="FN1058" s="6"/>
      <c r="FO1058" s="138"/>
      <c r="FP1058" s="138"/>
      <c r="FQ1058" s="123"/>
      <c r="FR1058" s="6"/>
      <c r="FS1058" s="6"/>
      <c r="FT1058" s="139"/>
      <c r="FU1058" s="139"/>
      <c r="FV1058" s="76"/>
      <c r="FW1058" s="123"/>
      <c r="FX1058" s="6"/>
    </row>
    <row r="1059" spans="35:180">
      <c r="AI1059" s="125"/>
      <c r="AJ1059" s="16"/>
      <c r="AM1059" s="16"/>
      <c r="AN1059" s="16"/>
      <c r="AO1059" s="125"/>
      <c r="AP1059" s="16"/>
      <c r="AQ1059" s="125"/>
      <c r="AZ1059" s="125"/>
      <c r="BA1059" s="142"/>
      <c r="BB1059" s="125"/>
      <c r="BC1059" s="16"/>
      <c r="BD1059" s="125"/>
      <c r="BE1059" s="125"/>
      <c r="BF1059" s="16"/>
      <c r="BG1059" s="125"/>
      <c r="BQ1059" s="125"/>
      <c r="BR1059" s="16"/>
      <c r="BS1059" s="123"/>
      <c r="BT1059" s="19"/>
      <c r="BU1059" s="139"/>
      <c r="BV1059" s="139"/>
      <c r="BW1059" s="123"/>
      <c r="BX1059" s="123"/>
      <c r="BY1059" s="123"/>
      <c r="BZ1059" s="123"/>
      <c r="CA1059" s="123"/>
      <c r="CB1059" s="123"/>
      <c r="CC1059" s="6"/>
      <c r="CD1059" s="123"/>
      <c r="CE1059" s="6"/>
      <c r="CF1059" s="123"/>
      <c r="CG1059" s="6"/>
      <c r="CH1059" s="6"/>
      <c r="CI1059" s="6"/>
      <c r="CJ1059" s="6"/>
      <c r="CK1059" s="123"/>
      <c r="CL1059" s="6"/>
      <c r="CM1059" s="6"/>
      <c r="CN1059" s="6"/>
      <c r="CO1059" s="138"/>
      <c r="CP1059" s="138"/>
      <c r="CQ1059" s="123"/>
      <c r="CR1059" s="6"/>
      <c r="CS1059" s="6"/>
      <c r="CT1059" s="139"/>
      <c r="CU1059" s="139"/>
      <c r="CV1059" s="76"/>
      <c r="CW1059" s="123"/>
      <c r="CX1059" s="6"/>
      <c r="DI1059" s="125"/>
      <c r="DJ1059" s="16"/>
      <c r="DM1059" s="16"/>
      <c r="DN1059" s="16"/>
      <c r="DO1059" s="125"/>
      <c r="DP1059" s="16"/>
      <c r="DQ1059" s="125"/>
      <c r="DZ1059" s="125"/>
      <c r="EA1059" s="142"/>
      <c r="EB1059" s="125"/>
      <c r="EC1059" s="16"/>
      <c r="ED1059" s="125"/>
      <c r="EE1059" s="125"/>
      <c r="EF1059" s="16"/>
      <c r="EG1059" s="125"/>
      <c r="EQ1059" s="125"/>
      <c r="ER1059" s="16"/>
      <c r="ES1059" s="123"/>
      <c r="ET1059" s="19"/>
      <c r="EU1059" s="139"/>
      <c r="EV1059" s="139"/>
      <c r="EW1059" s="123"/>
      <c r="EX1059" s="123"/>
      <c r="EY1059" s="123"/>
      <c r="EZ1059" s="123"/>
      <c r="FA1059" s="123"/>
      <c r="FB1059" s="123"/>
      <c r="FC1059" s="6"/>
      <c r="FD1059" s="123"/>
      <c r="FE1059" s="6"/>
      <c r="FF1059" s="123"/>
      <c r="FG1059" s="6"/>
      <c r="FH1059" s="6"/>
      <c r="FI1059" s="6"/>
      <c r="FJ1059" s="6"/>
      <c r="FK1059" s="123"/>
      <c r="FL1059" s="6"/>
      <c r="FM1059" s="6"/>
      <c r="FN1059" s="6"/>
      <c r="FO1059" s="138"/>
      <c r="FP1059" s="138"/>
      <c r="FQ1059" s="123"/>
      <c r="FR1059" s="6"/>
      <c r="FS1059" s="6"/>
      <c r="FT1059" s="139"/>
      <c r="FU1059" s="139"/>
      <c r="FV1059" s="76"/>
      <c r="FW1059" s="123"/>
      <c r="FX1059" s="6"/>
    </row>
    <row r="1060" spans="35:180">
      <c r="AI1060" s="125"/>
      <c r="AJ1060" s="16"/>
      <c r="AM1060" s="16"/>
      <c r="AN1060" s="16"/>
      <c r="AO1060" s="125"/>
      <c r="AP1060" s="16"/>
      <c r="AQ1060" s="125"/>
      <c r="AZ1060" s="125"/>
      <c r="BA1060" s="142"/>
      <c r="BB1060" s="125"/>
      <c r="BC1060" s="16"/>
      <c r="BD1060" s="125"/>
      <c r="BE1060" s="125"/>
      <c r="BF1060" s="16"/>
      <c r="BG1060" s="125"/>
      <c r="BQ1060" s="125"/>
      <c r="BR1060" s="16"/>
      <c r="BS1060" s="123"/>
      <c r="BT1060" s="19"/>
      <c r="BU1060" s="139"/>
      <c r="BV1060" s="139"/>
      <c r="BW1060" s="123"/>
      <c r="BX1060" s="123"/>
      <c r="BY1060" s="123"/>
      <c r="BZ1060" s="123"/>
      <c r="CA1060" s="123"/>
      <c r="CB1060" s="123"/>
      <c r="CC1060" s="6"/>
      <c r="CD1060" s="123"/>
      <c r="CE1060" s="6"/>
      <c r="CF1060" s="123"/>
      <c r="CG1060" s="6"/>
      <c r="CH1060" s="6"/>
      <c r="CI1060" s="6"/>
      <c r="CJ1060" s="6"/>
      <c r="CK1060" s="123"/>
      <c r="CL1060" s="6"/>
      <c r="CM1060" s="6"/>
      <c r="CN1060" s="6"/>
      <c r="CO1060" s="138"/>
      <c r="CP1060" s="138"/>
      <c r="CQ1060" s="123"/>
      <c r="CR1060" s="6"/>
      <c r="CS1060" s="6"/>
      <c r="CT1060" s="139"/>
      <c r="CU1060" s="139"/>
      <c r="CV1060" s="76"/>
      <c r="CW1060" s="123"/>
      <c r="CX1060" s="6"/>
      <c r="DI1060" s="125"/>
      <c r="DJ1060" s="16"/>
      <c r="DM1060" s="16"/>
      <c r="DN1060" s="16"/>
      <c r="DO1060" s="125"/>
      <c r="DP1060" s="16"/>
      <c r="DQ1060" s="125"/>
      <c r="DZ1060" s="125"/>
      <c r="EA1060" s="142"/>
      <c r="EB1060" s="125"/>
      <c r="EC1060" s="16"/>
      <c r="ED1060" s="125"/>
      <c r="EE1060" s="125"/>
      <c r="EF1060" s="16"/>
      <c r="EG1060" s="125"/>
      <c r="EQ1060" s="125"/>
      <c r="ER1060" s="16"/>
      <c r="ES1060" s="123"/>
      <c r="ET1060" s="19"/>
      <c r="EU1060" s="139"/>
      <c r="EV1060" s="139"/>
      <c r="EW1060" s="123"/>
      <c r="EX1060" s="123"/>
      <c r="EY1060" s="123"/>
      <c r="EZ1060" s="123"/>
      <c r="FA1060" s="123"/>
      <c r="FB1060" s="123"/>
      <c r="FC1060" s="6"/>
      <c r="FD1060" s="123"/>
      <c r="FE1060" s="6"/>
      <c r="FF1060" s="123"/>
      <c r="FG1060" s="6"/>
      <c r="FH1060" s="6"/>
      <c r="FI1060" s="6"/>
      <c r="FJ1060" s="6"/>
      <c r="FK1060" s="123"/>
      <c r="FL1060" s="6"/>
      <c r="FM1060" s="6"/>
      <c r="FN1060" s="6"/>
      <c r="FO1060" s="138"/>
      <c r="FP1060" s="138"/>
      <c r="FQ1060" s="123"/>
      <c r="FR1060" s="6"/>
      <c r="FS1060" s="6"/>
      <c r="FT1060" s="139"/>
      <c r="FU1060" s="139"/>
      <c r="FV1060" s="76"/>
      <c r="FW1060" s="123"/>
      <c r="FX1060" s="6"/>
    </row>
    <row r="1061" spans="35:180">
      <c r="AI1061" s="125"/>
      <c r="AJ1061" s="16"/>
      <c r="AM1061" s="16"/>
      <c r="AN1061" s="16"/>
      <c r="AO1061" s="125"/>
      <c r="AP1061" s="16"/>
      <c r="AQ1061" s="125"/>
      <c r="AZ1061" s="125"/>
      <c r="BA1061" s="142"/>
      <c r="BB1061" s="125"/>
      <c r="BC1061" s="16"/>
      <c r="BD1061" s="125"/>
      <c r="BE1061" s="125"/>
      <c r="BF1061" s="16"/>
      <c r="BG1061" s="125"/>
      <c r="BQ1061" s="125"/>
      <c r="BR1061" s="16"/>
      <c r="BS1061" s="123"/>
      <c r="BT1061" s="19"/>
      <c r="BU1061" s="139"/>
      <c r="BV1061" s="139"/>
      <c r="BW1061" s="123"/>
      <c r="BX1061" s="123"/>
      <c r="BY1061" s="123"/>
      <c r="BZ1061" s="123"/>
      <c r="CA1061" s="123"/>
      <c r="CB1061" s="123"/>
      <c r="CC1061" s="6"/>
      <c r="CD1061" s="123"/>
      <c r="CE1061" s="6"/>
      <c r="CF1061" s="123"/>
      <c r="CG1061" s="6"/>
      <c r="CH1061" s="6"/>
      <c r="CI1061" s="6"/>
      <c r="CJ1061" s="6"/>
      <c r="CK1061" s="123"/>
      <c r="CL1061" s="6"/>
      <c r="CM1061" s="6"/>
      <c r="CN1061" s="6"/>
      <c r="CO1061" s="138"/>
      <c r="CP1061" s="138"/>
      <c r="CQ1061" s="123"/>
      <c r="CR1061" s="6"/>
      <c r="CS1061" s="6"/>
      <c r="CT1061" s="139"/>
      <c r="CU1061" s="139"/>
      <c r="CV1061" s="76"/>
      <c r="CW1061" s="123"/>
      <c r="CX1061" s="6"/>
      <c r="DI1061" s="125"/>
      <c r="DJ1061" s="16"/>
      <c r="DM1061" s="16"/>
      <c r="DN1061" s="16"/>
      <c r="DO1061" s="125"/>
      <c r="DP1061" s="16"/>
      <c r="DQ1061" s="125"/>
      <c r="DZ1061" s="125"/>
      <c r="EA1061" s="142"/>
      <c r="EB1061" s="125"/>
      <c r="EC1061" s="16"/>
      <c r="ED1061" s="125"/>
      <c r="EE1061" s="125"/>
      <c r="EF1061" s="16"/>
      <c r="EG1061" s="125"/>
      <c r="EQ1061" s="125"/>
      <c r="ER1061" s="16"/>
      <c r="ES1061" s="123"/>
      <c r="ET1061" s="19"/>
      <c r="EU1061" s="139"/>
      <c r="EV1061" s="139"/>
      <c r="EW1061" s="123"/>
      <c r="EX1061" s="123"/>
      <c r="EY1061" s="123"/>
      <c r="EZ1061" s="123"/>
      <c r="FA1061" s="123"/>
      <c r="FB1061" s="123"/>
      <c r="FC1061" s="6"/>
      <c r="FD1061" s="123"/>
      <c r="FE1061" s="6"/>
      <c r="FF1061" s="123"/>
      <c r="FG1061" s="6"/>
      <c r="FH1061" s="6"/>
      <c r="FI1061" s="6"/>
      <c r="FJ1061" s="6"/>
      <c r="FK1061" s="123"/>
      <c r="FL1061" s="6"/>
      <c r="FM1061" s="6"/>
      <c r="FN1061" s="6"/>
      <c r="FO1061" s="138"/>
      <c r="FP1061" s="138"/>
      <c r="FQ1061" s="123"/>
      <c r="FR1061" s="6"/>
      <c r="FS1061" s="6"/>
      <c r="FT1061" s="139"/>
      <c r="FU1061" s="139"/>
      <c r="FV1061" s="76"/>
      <c r="FW1061" s="123"/>
      <c r="FX1061" s="6"/>
    </row>
    <row r="1062" spans="35:180">
      <c r="AI1062" s="125"/>
      <c r="AJ1062" s="16"/>
      <c r="AM1062" s="16"/>
      <c r="AN1062" s="16"/>
      <c r="AO1062" s="125"/>
      <c r="AP1062" s="16"/>
      <c r="AQ1062" s="125"/>
      <c r="AZ1062" s="125"/>
      <c r="BA1062" s="142"/>
      <c r="BB1062" s="125"/>
      <c r="BC1062" s="16"/>
      <c r="BD1062" s="125"/>
      <c r="BE1062" s="125"/>
      <c r="BF1062" s="16"/>
      <c r="BG1062" s="125"/>
      <c r="BQ1062" s="125"/>
      <c r="BR1062" s="16"/>
      <c r="BS1062" s="123"/>
      <c r="BT1062" s="19"/>
      <c r="BU1062" s="139"/>
      <c r="BV1062" s="139"/>
      <c r="BW1062" s="123"/>
      <c r="BX1062" s="123"/>
      <c r="BY1062" s="123"/>
      <c r="BZ1062" s="123"/>
      <c r="CA1062" s="123"/>
      <c r="CB1062" s="123"/>
      <c r="CC1062" s="6"/>
      <c r="CD1062" s="123"/>
      <c r="CE1062" s="6"/>
      <c r="CF1062" s="123"/>
      <c r="CG1062" s="6"/>
      <c r="CH1062" s="6"/>
      <c r="CI1062" s="6"/>
      <c r="CJ1062" s="6"/>
      <c r="CK1062" s="123"/>
      <c r="CL1062" s="6"/>
      <c r="CM1062" s="6"/>
      <c r="CN1062" s="6"/>
      <c r="CO1062" s="138"/>
      <c r="CP1062" s="138"/>
      <c r="CQ1062" s="123"/>
      <c r="CR1062" s="6"/>
      <c r="CS1062" s="6"/>
      <c r="CT1062" s="139"/>
      <c r="CU1062" s="139"/>
      <c r="CV1062" s="76"/>
      <c r="CW1062" s="123"/>
      <c r="CX1062" s="6"/>
      <c r="DI1062" s="125"/>
      <c r="DJ1062" s="16"/>
      <c r="DM1062" s="16"/>
      <c r="DN1062" s="16"/>
      <c r="DO1062" s="125"/>
      <c r="DP1062" s="16"/>
      <c r="DQ1062" s="125"/>
      <c r="DZ1062" s="125"/>
      <c r="EA1062" s="142"/>
      <c r="EB1062" s="125"/>
      <c r="EC1062" s="16"/>
      <c r="ED1062" s="125"/>
      <c r="EE1062" s="125"/>
      <c r="EF1062" s="16"/>
      <c r="EG1062" s="125"/>
      <c r="EQ1062" s="125"/>
      <c r="ER1062" s="16"/>
      <c r="ES1062" s="123"/>
      <c r="ET1062" s="19"/>
      <c r="EU1062" s="139"/>
      <c r="EV1062" s="139"/>
      <c r="EW1062" s="123"/>
      <c r="EX1062" s="123"/>
      <c r="EY1062" s="123"/>
      <c r="EZ1062" s="123"/>
      <c r="FA1062" s="123"/>
      <c r="FB1062" s="123"/>
      <c r="FC1062" s="6"/>
      <c r="FD1062" s="123"/>
      <c r="FE1062" s="6"/>
      <c r="FF1062" s="123"/>
      <c r="FG1062" s="6"/>
      <c r="FH1062" s="6"/>
      <c r="FI1062" s="6"/>
      <c r="FJ1062" s="6"/>
      <c r="FK1062" s="123"/>
      <c r="FL1062" s="6"/>
      <c r="FM1062" s="6"/>
      <c r="FN1062" s="6"/>
      <c r="FO1062" s="138"/>
      <c r="FP1062" s="138"/>
      <c r="FQ1062" s="123"/>
      <c r="FR1062" s="6"/>
      <c r="FS1062" s="6"/>
      <c r="FT1062" s="139"/>
      <c r="FU1062" s="139"/>
      <c r="FV1062" s="76"/>
      <c r="FW1062" s="123"/>
      <c r="FX1062" s="6"/>
    </row>
    <row r="1063" spans="35:180">
      <c r="AI1063" s="125"/>
      <c r="AJ1063" s="16"/>
      <c r="AM1063" s="16"/>
      <c r="AN1063" s="16"/>
      <c r="AO1063" s="125"/>
      <c r="AP1063" s="16"/>
      <c r="AQ1063" s="125"/>
      <c r="AZ1063" s="125"/>
      <c r="BA1063" s="142"/>
      <c r="BB1063" s="125"/>
      <c r="BC1063" s="16"/>
      <c r="BD1063" s="125"/>
      <c r="BE1063" s="125"/>
      <c r="BF1063" s="16"/>
      <c r="BG1063" s="125"/>
      <c r="BQ1063" s="125"/>
      <c r="BR1063" s="16"/>
      <c r="BS1063" s="123"/>
      <c r="BT1063" s="19"/>
      <c r="BU1063" s="139"/>
      <c r="BV1063" s="139"/>
      <c r="BW1063" s="123"/>
      <c r="BX1063" s="123"/>
      <c r="BY1063" s="123"/>
      <c r="BZ1063" s="123"/>
      <c r="CA1063" s="123"/>
      <c r="CB1063" s="123"/>
      <c r="CC1063" s="6"/>
      <c r="CD1063" s="123"/>
      <c r="CE1063" s="6"/>
      <c r="CF1063" s="123"/>
      <c r="CG1063" s="6"/>
      <c r="CH1063" s="6"/>
      <c r="CI1063" s="6"/>
      <c r="CJ1063" s="6"/>
      <c r="CK1063" s="123"/>
      <c r="CL1063" s="6"/>
      <c r="CM1063" s="6"/>
      <c r="CN1063" s="6"/>
      <c r="CO1063" s="138"/>
      <c r="CP1063" s="138"/>
      <c r="CQ1063" s="123"/>
      <c r="CR1063" s="6"/>
      <c r="CS1063" s="6"/>
      <c r="CT1063" s="139"/>
      <c r="CU1063" s="139"/>
      <c r="CV1063" s="76"/>
      <c r="CW1063" s="123"/>
      <c r="CX1063" s="6"/>
      <c r="DI1063" s="125"/>
      <c r="DJ1063" s="16"/>
      <c r="DM1063" s="16"/>
      <c r="DN1063" s="16"/>
      <c r="DO1063" s="125"/>
      <c r="DP1063" s="16"/>
      <c r="DQ1063" s="125"/>
      <c r="DZ1063" s="125"/>
      <c r="EA1063" s="142"/>
      <c r="EB1063" s="125"/>
      <c r="EC1063" s="16"/>
      <c r="ED1063" s="125"/>
      <c r="EE1063" s="125"/>
      <c r="EF1063" s="16"/>
      <c r="EG1063" s="125"/>
      <c r="EQ1063" s="125"/>
      <c r="ER1063" s="16"/>
      <c r="ES1063" s="123"/>
      <c r="ET1063" s="19"/>
      <c r="EU1063" s="139"/>
      <c r="EV1063" s="139"/>
      <c r="EW1063" s="123"/>
      <c r="EX1063" s="123"/>
      <c r="EY1063" s="123"/>
      <c r="EZ1063" s="123"/>
      <c r="FA1063" s="123"/>
      <c r="FB1063" s="123"/>
      <c r="FC1063" s="6"/>
      <c r="FD1063" s="123"/>
      <c r="FE1063" s="6"/>
      <c r="FF1063" s="123"/>
      <c r="FG1063" s="6"/>
      <c r="FH1063" s="6"/>
      <c r="FI1063" s="6"/>
      <c r="FJ1063" s="6"/>
      <c r="FK1063" s="123"/>
      <c r="FL1063" s="6"/>
      <c r="FM1063" s="6"/>
      <c r="FN1063" s="6"/>
      <c r="FO1063" s="138"/>
      <c r="FP1063" s="138"/>
      <c r="FQ1063" s="123"/>
      <c r="FR1063" s="6"/>
      <c r="FS1063" s="6"/>
      <c r="FT1063" s="139"/>
      <c r="FU1063" s="139"/>
      <c r="FV1063" s="76"/>
      <c r="FW1063" s="123"/>
      <c r="FX1063" s="6"/>
    </row>
    <row r="1064" spans="35:180">
      <c r="AI1064" s="125"/>
      <c r="AJ1064" s="16"/>
      <c r="AM1064" s="16"/>
      <c r="AN1064" s="16"/>
      <c r="AO1064" s="125"/>
      <c r="AP1064" s="16"/>
      <c r="AQ1064" s="125"/>
      <c r="AZ1064" s="125"/>
      <c r="BA1064" s="142"/>
      <c r="BB1064" s="125"/>
      <c r="BC1064" s="16"/>
      <c r="BD1064" s="125"/>
      <c r="BE1064" s="125"/>
      <c r="BF1064" s="16"/>
      <c r="BG1064" s="125"/>
      <c r="BQ1064" s="125"/>
      <c r="BR1064" s="16"/>
      <c r="BS1064" s="123"/>
      <c r="BT1064" s="19"/>
      <c r="BU1064" s="139"/>
      <c r="BV1064" s="139"/>
      <c r="BW1064" s="123"/>
      <c r="BX1064" s="123"/>
      <c r="BY1064" s="123"/>
      <c r="BZ1064" s="123"/>
      <c r="CA1064" s="123"/>
      <c r="CB1064" s="123"/>
      <c r="CC1064" s="6"/>
      <c r="CD1064" s="123"/>
      <c r="CE1064" s="6"/>
      <c r="CF1064" s="123"/>
      <c r="CG1064" s="6"/>
      <c r="CH1064" s="6"/>
      <c r="CI1064" s="6"/>
      <c r="CJ1064" s="6"/>
      <c r="CK1064" s="123"/>
      <c r="CL1064" s="6"/>
      <c r="CM1064" s="6"/>
      <c r="CN1064" s="6"/>
      <c r="CO1064" s="138"/>
      <c r="CP1064" s="138"/>
      <c r="CQ1064" s="123"/>
      <c r="CR1064" s="6"/>
      <c r="CS1064" s="6"/>
      <c r="CT1064" s="139"/>
      <c r="CU1064" s="139"/>
      <c r="CV1064" s="76"/>
      <c r="CW1064" s="123"/>
      <c r="CX1064" s="6"/>
      <c r="DI1064" s="125"/>
      <c r="DJ1064" s="16"/>
      <c r="DM1064" s="16"/>
      <c r="DN1064" s="16"/>
      <c r="DO1064" s="125"/>
      <c r="DP1064" s="16"/>
      <c r="DQ1064" s="125"/>
      <c r="DZ1064" s="125"/>
      <c r="EA1064" s="142"/>
      <c r="EB1064" s="125"/>
      <c r="EC1064" s="16"/>
      <c r="ED1064" s="125"/>
      <c r="EE1064" s="125"/>
      <c r="EF1064" s="16"/>
      <c r="EG1064" s="125"/>
      <c r="EQ1064" s="125"/>
      <c r="ER1064" s="16"/>
      <c r="ES1064" s="123"/>
      <c r="ET1064" s="19"/>
      <c r="EU1064" s="139"/>
      <c r="EV1064" s="139"/>
      <c r="EW1064" s="123"/>
      <c r="EX1064" s="123"/>
      <c r="EY1064" s="123"/>
      <c r="EZ1064" s="123"/>
      <c r="FA1064" s="123"/>
      <c r="FB1064" s="123"/>
      <c r="FC1064" s="6"/>
      <c r="FD1064" s="123"/>
      <c r="FE1064" s="6"/>
      <c r="FF1064" s="123"/>
      <c r="FG1064" s="6"/>
      <c r="FH1064" s="6"/>
      <c r="FI1064" s="6"/>
      <c r="FJ1064" s="6"/>
      <c r="FK1064" s="123"/>
      <c r="FL1064" s="6"/>
      <c r="FM1064" s="6"/>
      <c r="FN1064" s="6"/>
      <c r="FO1064" s="138"/>
      <c r="FP1064" s="138"/>
      <c r="FQ1064" s="123"/>
      <c r="FR1064" s="6"/>
      <c r="FS1064" s="6"/>
      <c r="FT1064" s="139"/>
      <c r="FU1064" s="139"/>
      <c r="FV1064" s="76"/>
      <c r="FW1064" s="123"/>
      <c r="FX1064" s="6"/>
    </row>
    <row r="1065" spans="35:180">
      <c r="AI1065" s="125"/>
      <c r="AJ1065" s="16"/>
      <c r="AM1065" s="16"/>
      <c r="AN1065" s="16"/>
      <c r="AO1065" s="125"/>
      <c r="AP1065" s="16"/>
      <c r="AQ1065" s="125"/>
      <c r="AZ1065" s="125"/>
      <c r="BA1065" s="142"/>
      <c r="BB1065" s="125"/>
      <c r="BC1065" s="16"/>
      <c r="BD1065" s="125"/>
      <c r="BE1065" s="125"/>
      <c r="BF1065" s="16"/>
      <c r="BG1065" s="125"/>
      <c r="BQ1065" s="125"/>
      <c r="BR1065" s="16"/>
      <c r="BS1065" s="123"/>
      <c r="BT1065" s="19"/>
      <c r="BU1065" s="139"/>
      <c r="BV1065" s="139"/>
      <c r="BW1065" s="123"/>
      <c r="BX1065" s="123"/>
      <c r="BY1065" s="123"/>
      <c r="BZ1065" s="123"/>
      <c r="CA1065" s="123"/>
      <c r="CB1065" s="123"/>
      <c r="CC1065" s="6"/>
      <c r="CD1065" s="123"/>
      <c r="CE1065" s="6"/>
      <c r="CF1065" s="123"/>
      <c r="CG1065" s="6"/>
      <c r="CH1065" s="6"/>
      <c r="CI1065" s="6"/>
      <c r="CJ1065" s="6"/>
      <c r="CK1065" s="123"/>
      <c r="CL1065" s="6"/>
      <c r="CM1065" s="6"/>
      <c r="CN1065" s="6"/>
      <c r="CO1065" s="138"/>
      <c r="CP1065" s="138"/>
      <c r="CQ1065" s="123"/>
      <c r="CR1065" s="6"/>
      <c r="CS1065" s="6"/>
      <c r="CT1065" s="139"/>
      <c r="CU1065" s="139"/>
      <c r="CV1065" s="76"/>
      <c r="CW1065" s="123"/>
      <c r="CX1065" s="6"/>
      <c r="DI1065" s="125"/>
      <c r="DJ1065" s="16"/>
      <c r="DM1065" s="16"/>
      <c r="DN1065" s="16"/>
      <c r="DO1065" s="125"/>
      <c r="DP1065" s="16"/>
      <c r="DQ1065" s="125"/>
      <c r="DZ1065" s="125"/>
      <c r="EA1065" s="142"/>
      <c r="EB1065" s="125"/>
      <c r="EC1065" s="16"/>
      <c r="ED1065" s="125"/>
      <c r="EE1065" s="125"/>
      <c r="EF1065" s="16"/>
      <c r="EG1065" s="125"/>
      <c r="EQ1065" s="125"/>
      <c r="ER1065" s="16"/>
      <c r="ES1065" s="123"/>
      <c r="ET1065" s="19"/>
      <c r="EU1065" s="139"/>
      <c r="EV1065" s="139"/>
      <c r="EW1065" s="123"/>
      <c r="EX1065" s="123"/>
      <c r="EY1065" s="123"/>
      <c r="EZ1065" s="123"/>
      <c r="FA1065" s="123"/>
      <c r="FB1065" s="123"/>
      <c r="FC1065" s="6"/>
      <c r="FD1065" s="123"/>
      <c r="FE1065" s="6"/>
      <c r="FF1065" s="123"/>
      <c r="FG1065" s="6"/>
      <c r="FH1065" s="6"/>
      <c r="FI1065" s="6"/>
      <c r="FJ1065" s="6"/>
      <c r="FK1065" s="123"/>
      <c r="FL1065" s="6"/>
      <c r="FM1065" s="6"/>
      <c r="FN1065" s="6"/>
      <c r="FO1065" s="138"/>
      <c r="FP1065" s="138"/>
      <c r="FQ1065" s="123"/>
      <c r="FR1065" s="6"/>
      <c r="FS1065" s="6"/>
      <c r="FT1065" s="139"/>
      <c r="FU1065" s="139"/>
      <c r="FV1065" s="76"/>
      <c r="FW1065" s="123"/>
      <c r="FX1065" s="6"/>
    </row>
    <row r="1066" spans="35:180">
      <c r="AI1066" s="125"/>
      <c r="AJ1066" s="16"/>
      <c r="AM1066" s="16"/>
      <c r="AN1066" s="16"/>
      <c r="AO1066" s="125"/>
      <c r="AP1066" s="16"/>
      <c r="AQ1066" s="125"/>
      <c r="AZ1066" s="125"/>
      <c r="BA1066" s="142"/>
      <c r="BB1066" s="125"/>
      <c r="BC1066" s="16"/>
      <c r="BD1066" s="125"/>
      <c r="BE1066" s="125"/>
      <c r="BF1066" s="16"/>
      <c r="BG1066" s="125"/>
      <c r="BQ1066" s="125"/>
      <c r="BR1066" s="16"/>
      <c r="BS1066" s="123"/>
      <c r="BT1066" s="19"/>
      <c r="BU1066" s="139"/>
      <c r="BV1066" s="139"/>
      <c r="BW1066" s="123"/>
      <c r="BX1066" s="123"/>
      <c r="BY1066" s="123"/>
      <c r="BZ1066" s="123"/>
      <c r="CA1066" s="123"/>
      <c r="CB1066" s="123"/>
      <c r="CC1066" s="6"/>
      <c r="CD1066" s="123"/>
      <c r="CE1066" s="6"/>
      <c r="CF1066" s="123"/>
      <c r="CG1066" s="6"/>
      <c r="CH1066" s="6"/>
      <c r="CI1066" s="6"/>
      <c r="CJ1066" s="6"/>
      <c r="CK1066" s="123"/>
      <c r="CL1066" s="6"/>
      <c r="CM1066" s="6"/>
      <c r="CN1066" s="6"/>
      <c r="CO1066" s="138"/>
      <c r="CP1066" s="138"/>
      <c r="CQ1066" s="123"/>
      <c r="CR1066" s="6"/>
      <c r="CS1066" s="6"/>
      <c r="CT1066" s="139"/>
      <c r="CU1066" s="139"/>
      <c r="CV1066" s="76"/>
      <c r="CW1066" s="123"/>
      <c r="CX1066" s="6"/>
      <c r="DI1066" s="125"/>
      <c r="DJ1066" s="16"/>
      <c r="DM1066" s="16"/>
      <c r="DN1066" s="16"/>
      <c r="DO1066" s="125"/>
      <c r="DP1066" s="16"/>
      <c r="DQ1066" s="125"/>
      <c r="DZ1066" s="125"/>
      <c r="EA1066" s="142"/>
      <c r="EB1066" s="125"/>
      <c r="EC1066" s="16"/>
      <c r="ED1066" s="125"/>
      <c r="EE1066" s="125"/>
      <c r="EF1066" s="16"/>
      <c r="EG1066" s="125"/>
      <c r="EQ1066" s="125"/>
      <c r="ER1066" s="16"/>
      <c r="ES1066" s="123"/>
      <c r="ET1066" s="19"/>
      <c r="EU1066" s="139"/>
      <c r="EV1066" s="139"/>
      <c r="EW1066" s="123"/>
      <c r="EX1066" s="123"/>
      <c r="EY1066" s="123"/>
      <c r="EZ1066" s="123"/>
      <c r="FA1066" s="123"/>
      <c r="FB1066" s="123"/>
      <c r="FC1066" s="6"/>
      <c r="FD1066" s="123"/>
      <c r="FE1066" s="6"/>
      <c r="FF1066" s="123"/>
      <c r="FG1066" s="6"/>
      <c r="FH1066" s="6"/>
      <c r="FI1066" s="6"/>
      <c r="FJ1066" s="6"/>
      <c r="FK1066" s="123"/>
      <c r="FL1066" s="6"/>
      <c r="FM1066" s="6"/>
      <c r="FN1066" s="6"/>
      <c r="FO1066" s="138"/>
      <c r="FP1066" s="138"/>
      <c r="FQ1066" s="123"/>
      <c r="FR1066" s="6"/>
      <c r="FS1066" s="6"/>
      <c r="FT1066" s="139"/>
      <c r="FU1066" s="139"/>
      <c r="FV1066" s="76"/>
      <c r="FW1066" s="123"/>
      <c r="FX1066" s="6"/>
    </row>
    <row r="1067" spans="35:180">
      <c r="AI1067" s="125"/>
      <c r="AJ1067" s="16"/>
      <c r="AM1067" s="16"/>
      <c r="AN1067" s="16"/>
      <c r="AO1067" s="125"/>
      <c r="AP1067" s="16"/>
      <c r="AQ1067" s="125"/>
      <c r="AZ1067" s="125"/>
      <c r="BA1067" s="142"/>
      <c r="BB1067" s="125"/>
      <c r="BC1067" s="16"/>
      <c r="BD1067" s="125"/>
      <c r="BE1067" s="125"/>
      <c r="BF1067" s="16"/>
      <c r="BG1067" s="125"/>
      <c r="BQ1067" s="125"/>
      <c r="BR1067" s="16"/>
      <c r="BS1067" s="123"/>
      <c r="BT1067" s="19"/>
      <c r="BU1067" s="139"/>
      <c r="BV1067" s="139"/>
      <c r="BW1067" s="123"/>
      <c r="BX1067" s="123"/>
      <c r="BY1067" s="123"/>
      <c r="BZ1067" s="123"/>
      <c r="CA1067" s="123"/>
      <c r="CB1067" s="123"/>
      <c r="CC1067" s="6"/>
      <c r="CD1067" s="123"/>
      <c r="CE1067" s="6"/>
      <c r="CF1067" s="123"/>
      <c r="CG1067" s="6"/>
      <c r="CH1067" s="6"/>
      <c r="CI1067" s="6"/>
      <c r="CJ1067" s="6"/>
      <c r="CK1067" s="123"/>
      <c r="CL1067" s="6"/>
      <c r="CM1067" s="6"/>
      <c r="CN1067" s="6"/>
      <c r="CO1067" s="138"/>
      <c r="CP1067" s="138"/>
      <c r="CQ1067" s="123"/>
      <c r="CR1067" s="6"/>
      <c r="CS1067" s="6"/>
      <c r="CT1067" s="139"/>
      <c r="CU1067" s="139"/>
      <c r="CV1067" s="76"/>
      <c r="CW1067" s="123"/>
      <c r="CX1067" s="6"/>
      <c r="DI1067" s="125"/>
      <c r="DJ1067" s="16"/>
      <c r="DM1067" s="16"/>
      <c r="DN1067" s="16"/>
      <c r="DO1067" s="125"/>
      <c r="DP1067" s="16"/>
      <c r="DQ1067" s="125"/>
      <c r="DZ1067" s="125"/>
      <c r="EA1067" s="142"/>
      <c r="EB1067" s="125"/>
      <c r="EC1067" s="16"/>
      <c r="ED1067" s="125"/>
      <c r="EE1067" s="125"/>
      <c r="EF1067" s="16"/>
      <c r="EG1067" s="125"/>
      <c r="EQ1067" s="125"/>
      <c r="ER1067" s="16"/>
      <c r="ES1067" s="123"/>
      <c r="ET1067" s="19"/>
      <c r="EU1067" s="139"/>
      <c r="EV1067" s="139"/>
      <c r="EW1067" s="123"/>
      <c r="EX1067" s="123"/>
      <c r="EY1067" s="123"/>
      <c r="EZ1067" s="123"/>
      <c r="FA1067" s="123"/>
      <c r="FB1067" s="123"/>
      <c r="FC1067" s="6"/>
      <c r="FD1067" s="123"/>
      <c r="FE1067" s="6"/>
      <c r="FF1067" s="123"/>
      <c r="FG1067" s="6"/>
      <c r="FH1067" s="6"/>
      <c r="FI1067" s="6"/>
      <c r="FJ1067" s="6"/>
      <c r="FK1067" s="123"/>
      <c r="FL1067" s="6"/>
      <c r="FM1067" s="6"/>
      <c r="FN1067" s="6"/>
      <c r="FO1067" s="138"/>
      <c r="FP1067" s="138"/>
      <c r="FQ1067" s="123"/>
      <c r="FR1067" s="6"/>
      <c r="FS1067" s="6"/>
      <c r="FT1067" s="139"/>
      <c r="FU1067" s="139"/>
      <c r="FV1067" s="76"/>
      <c r="FW1067" s="123"/>
      <c r="FX1067" s="6"/>
    </row>
    <row r="1068" spans="35:180">
      <c r="AI1068" s="125"/>
      <c r="AJ1068" s="16"/>
      <c r="AM1068" s="16"/>
      <c r="AN1068" s="16"/>
      <c r="AO1068" s="125"/>
      <c r="AP1068" s="16"/>
      <c r="AQ1068" s="125"/>
      <c r="AZ1068" s="125"/>
      <c r="BA1068" s="142"/>
      <c r="BB1068" s="125"/>
      <c r="BC1068" s="16"/>
      <c r="BD1068" s="125"/>
      <c r="BE1068" s="125"/>
      <c r="BF1068" s="16"/>
      <c r="BG1068" s="125"/>
      <c r="BQ1068" s="125"/>
      <c r="BR1068" s="16"/>
      <c r="BS1068" s="123"/>
      <c r="BT1068" s="19"/>
      <c r="BU1068" s="139"/>
      <c r="BV1068" s="139"/>
      <c r="BW1068" s="123"/>
      <c r="BX1068" s="123"/>
      <c r="BY1068" s="123"/>
      <c r="BZ1068" s="123"/>
      <c r="CA1068" s="123"/>
      <c r="CB1068" s="123"/>
      <c r="CC1068" s="6"/>
      <c r="CD1068" s="123"/>
      <c r="CE1068" s="6"/>
      <c r="CF1068" s="123"/>
      <c r="CG1068" s="6"/>
      <c r="CH1068" s="6"/>
      <c r="CI1068" s="6"/>
      <c r="CJ1068" s="6"/>
      <c r="CK1068" s="123"/>
      <c r="CL1068" s="6"/>
      <c r="CM1068" s="6"/>
      <c r="CN1068" s="6"/>
      <c r="CO1068" s="138"/>
      <c r="CP1068" s="138"/>
      <c r="CQ1068" s="123"/>
      <c r="CR1068" s="6"/>
      <c r="CS1068" s="6"/>
      <c r="CT1068" s="139"/>
      <c r="CU1068" s="139"/>
      <c r="CV1068" s="76"/>
      <c r="CW1068" s="123"/>
      <c r="CX1068" s="6"/>
      <c r="DI1068" s="125"/>
      <c r="DJ1068" s="16"/>
      <c r="DM1068" s="16"/>
      <c r="DN1068" s="16"/>
      <c r="DO1068" s="125"/>
      <c r="DP1068" s="16"/>
      <c r="DQ1068" s="125"/>
      <c r="DZ1068" s="125"/>
      <c r="EA1068" s="142"/>
      <c r="EB1068" s="125"/>
      <c r="EC1068" s="16"/>
      <c r="ED1068" s="125"/>
      <c r="EE1068" s="125"/>
      <c r="EF1068" s="16"/>
      <c r="EG1068" s="125"/>
      <c r="EQ1068" s="125"/>
      <c r="ER1068" s="16"/>
      <c r="ES1068" s="123"/>
      <c r="ET1068" s="19"/>
      <c r="EU1068" s="139"/>
      <c r="EV1068" s="139"/>
      <c r="EW1068" s="123"/>
      <c r="EX1068" s="123"/>
      <c r="EY1068" s="123"/>
      <c r="EZ1068" s="123"/>
      <c r="FA1068" s="123"/>
      <c r="FB1068" s="123"/>
      <c r="FC1068" s="6"/>
      <c r="FD1068" s="123"/>
      <c r="FE1068" s="6"/>
      <c r="FF1068" s="123"/>
      <c r="FG1068" s="6"/>
      <c r="FH1068" s="6"/>
      <c r="FI1068" s="6"/>
      <c r="FJ1068" s="6"/>
      <c r="FK1068" s="123"/>
      <c r="FL1068" s="6"/>
      <c r="FM1068" s="6"/>
      <c r="FN1068" s="6"/>
      <c r="FO1068" s="138"/>
      <c r="FP1068" s="138"/>
      <c r="FQ1068" s="123"/>
      <c r="FR1068" s="6"/>
      <c r="FS1068" s="6"/>
      <c r="FT1068" s="139"/>
      <c r="FU1068" s="139"/>
      <c r="FV1068" s="76"/>
      <c r="FW1068" s="123"/>
      <c r="FX1068" s="6"/>
    </row>
    <row r="1069" spans="35:180">
      <c r="AI1069" s="125"/>
      <c r="AJ1069" s="16"/>
      <c r="AM1069" s="16"/>
      <c r="AN1069" s="16"/>
      <c r="AO1069" s="125"/>
      <c r="AP1069" s="16"/>
      <c r="AQ1069" s="125"/>
      <c r="AZ1069" s="125"/>
      <c r="BA1069" s="142"/>
      <c r="BB1069" s="125"/>
      <c r="BC1069" s="16"/>
      <c r="BD1069" s="125"/>
      <c r="BE1069" s="125"/>
      <c r="BF1069" s="16"/>
      <c r="BG1069" s="125"/>
      <c r="BQ1069" s="125"/>
      <c r="BR1069" s="16"/>
      <c r="BS1069" s="123"/>
      <c r="BT1069" s="19"/>
      <c r="BU1069" s="139"/>
      <c r="BV1069" s="139"/>
      <c r="BW1069" s="123"/>
      <c r="BX1069" s="123"/>
      <c r="BY1069" s="123"/>
      <c r="BZ1069" s="123"/>
      <c r="CA1069" s="123"/>
      <c r="CB1069" s="123"/>
      <c r="CC1069" s="6"/>
      <c r="CD1069" s="123"/>
      <c r="CE1069" s="6"/>
      <c r="CF1069" s="123"/>
      <c r="CG1069" s="6"/>
      <c r="CH1069" s="6"/>
      <c r="CI1069" s="6"/>
      <c r="CJ1069" s="6"/>
      <c r="CK1069" s="123"/>
      <c r="CL1069" s="6"/>
      <c r="CM1069" s="6"/>
      <c r="CN1069" s="6"/>
      <c r="CO1069" s="138"/>
      <c r="CP1069" s="138"/>
      <c r="CQ1069" s="123"/>
      <c r="CR1069" s="6"/>
      <c r="CS1069" s="6"/>
      <c r="CT1069" s="139"/>
      <c r="CU1069" s="139"/>
      <c r="CV1069" s="76"/>
      <c r="CW1069" s="123"/>
      <c r="CX1069" s="6"/>
      <c r="DI1069" s="125"/>
      <c r="DJ1069" s="16"/>
      <c r="DM1069" s="16"/>
      <c r="DN1069" s="16"/>
      <c r="DO1069" s="125"/>
      <c r="DP1069" s="16"/>
      <c r="DQ1069" s="125"/>
      <c r="DZ1069" s="125"/>
      <c r="EA1069" s="142"/>
      <c r="EB1069" s="125"/>
      <c r="EC1069" s="16"/>
      <c r="ED1069" s="125"/>
      <c r="EE1069" s="125"/>
      <c r="EF1069" s="16"/>
      <c r="EG1069" s="125"/>
      <c r="EQ1069" s="125"/>
      <c r="ER1069" s="16"/>
      <c r="ES1069" s="123"/>
      <c r="ET1069" s="19"/>
      <c r="EU1069" s="139"/>
      <c r="EV1069" s="139"/>
      <c r="EW1069" s="123"/>
      <c r="EX1069" s="123"/>
      <c r="EY1069" s="123"/>
      <c r="EZ1069" s="123"/>
      <c r="FA1069" s="123"/>
      <c r="FB1069" s="123"/>
      <c r="FC1069" s="6"/>
      <c r="FD1069" s="123"/>
      <c r="FE1069" s="6"/>
      <c r="FF1069" s="123"/>
      <c r="FG1069" s="6"/>
      <c r="FH1069" s="6"/>
      <c r="FI1069" s="6"/>
      <c r="FJ1069" s="6"/>
      <c r="FK1069" s="123"/>
      <c r="FL1069" s="6"/>
      <c r="FM1069" s="6"/>
      <c r="FN1069" s="6"/>
      <c r="FO1069" s="138"/>
      <c r="FP1069" s="138"/>
      <c r="FQ1069" s="123"/>
      <c r="FR1069" s="6"/>
      <c r="FS1069" s="6"/>
      <c r="FT1069" s="139"/>
      <c r="FU1069" s="139"/>
      <c r="FV1069" s="76"/>
      <c r="FW1069" s="123"/>
      <c r="FX1069" s="6"/>
    </row>
    <row r="1070" spans="35:180">
      <c r="AI1070" s="125"/>
      <c r="AJ1070" s="16"/>
      <c r="AM1070" s="16"/>
      <c r="AN1070" s="16"/>
      <c r="AO1070" s="125"/>
      <c r="AP1070" s="16"/>
      <c r="AQ1070" s="125"/>
      <c r="AZ1070" s="125"/>
      <c r="BA1070" s="142"/>
      <c r="BB1070" s="125"/>
      <c r="BC1070" s="16"/>
      <c r="BD1070" s="125"/>
      <c r="BE1070" s="125"/>
      <c r="BF1070" s="16"/>
      <c r="BG1070" s="125"/>
      <c r="BQ1070" s="125"/>
      <c r="BR1070" s="16"/>
      <c r="BS1070" s="123"/>
      <c r="BT1070" s="19"/>
      <c r="BU1070" s="139"/>
      <c r="BV1070" s="139"/>
      <c r="BW1070" s="123"/>
      <c r="BX1070" s="123"/>
      <c r="BY1070" s="123"/>
      <c r="BZ1070" s="123"/>
      <c r="CA1070" s="123"/>
      <c r="CB1070" s="123"/>
      <c r="CC1070" s="6"/>
      <c r="CD1070" s="123"/>
      <c r="CE1070" s="6"/>
      <c r="CF1070" s="123"/>
      <c r="CG1070" s="6"/>
      <c r="CH1070" s="6"/>
      <c r="CI1070" s="6"/>
      <c r="CJ1070" s="6"/>
      <c r="CK1070" s="123"/>
      <c r="CL1070" s="6"/>
      <c r="CM1070" s="6"/>
      <c r="CN1070" s="6"/>
      <c r="CO1070" s="138"/>
      <c r="CP1070" s="138"/>
      <c r="CQ1070" s="123"/>
      <c r="CR1070" s="6"/>
      <c r="CS1070" s="6"/>
      <c r="CT1070" s="139"/>
      <c r="CU1070" s="139"/>
      <c r="CV1070" s="76"/>
      <c r="CW1070" s="123"/>
      <c r="CX1070" s="6"/>
      <c r="DI1070" s="125"/>
      <c r="DJ1070" s="16"/>
      <c r="DM1070" s="16"/>
      <c r="DN1070" s="16"/>
      <c r="DO1070" s="125"/>
      <c r="DP1070" s="16"/>
      <c r="DQ1070" s="125"/>
      <c r="DZ1070" s="125"/>
      <c r="EA1070" s="142"/>
      <c r="EB1070" s="125"/>
      <c r="EC1070" s="16"/>
      <c r="ED1070" s="125"/>
      <c r="EE1070" s="125"/>
      <c r="EF1070" s="16"/>
      <c r="EG1070" s="125"/>
      <c r="EQ1070" s="125"/>
      <c r="ER1070" s="16"/>
      <c r="ES1070" s="123"/>
      <c r="ET1070" s="19"/>
      <c r="EU1070" s="139"/>
      <c r="EV1070" s="139"/>
      <c r="EW1070" s="123"/>
      <c r="EX1070" s="123"/>
      <c r="EY1070" s="123"/>
      <c r="EZ1070" s="123"/>
      <c r="FA1070" s="123"/>
      <c r="FB1070" s="123"/>
      <c r="FC1070" s="6"/>
      <c r="FD1070" s="123"/>
      <c r="FE1070" s="6"/>
      <c r="FF1070" s="123"/>
      <c r="FG1070" s="6"/>
      <c r="FH1070" s="6"/>
      <c r="FI1070" s="6"/>
      <c r="FJ1070" s="6"/>
      <c r="FK1070" s="123"/>
      <c r="FL1070" s="6"/>
      <c r="FM1070" s="6"/>
      <c r="FN1070" s="6"/>
      <c r="FO1070" s="138"/>
      <c r="FP1070" s="138"/>
      <c r="FQ1070" s="123"/>
      <c r="FR1070" s="6"/>
      <c r="FS1070" s="6"/>
      <c r="FT1070" s="139"/>
      <c r="FU1070" s="139"/>
      <c r="FV1070" s="76"/>
      <c r="FW1070" s="123"/>
      <c r="FX1070" s="6"/>
    </row>
    <row r="1071" spans="35:180">
      <c r="AI1071" s="125"/>
      <c r="AJ1071" s="16"/>
      <c r="AM1071" s="16"/>
      <c r="AN1071" s="16"/>
      <c r="AO1071" s="125"/>
      <c r="AP1071" s="16"/>
      <c r="AQ1071" s="125"/>
      <c r="AZ1071" s="125"/>
      <c r="BA1071" s="142"/>
      <c r="BB1071" s="125"/>
      <c r="BC1071" s="16"/>
      <c r="BD1071" s="125"/>
      <c r="BE1071" s="125"/>
      <c r="BF1071" s="16"/>
      <c r="BG1071" s="125"/>
      <c r="BQ1071" s="125"/>
      <c r="BR1071" s="16"/>
      <c r="BS1071" s="123"/>
      <c r="BT1071" s="19"/>
      <c r="BU1071" s="139"/>
      <c r="BV1071" s="139"/>
      <c r="BW1071" s="123"/>
      <c r="BX1071" s="123"/>
      <c r="BY1071" s="123"/>
      <c r="BZ1071" s="123"/>
      <c r="CA1071" s="123"/>
      <c r="CB1071" s="123"/>
      <c r="CC1071" s="6"/>
      <c r="CD1071" s="123"/>
      <c r="CE1071" s="6"/>
      <c r="CF1071" s="123"/>
      <c r="CG1071" s="6"/>
      <c r="CH1071" s="6"/>
      <c r="CI1071" s="6"/>
      <c r="CJ1071" s="6"/>
      <c r="CK1071" s="123"/>
      <c r="CL1071" s="6"/>
      <c r="CM1071" s="6"/>
      <c r="CN1071" s="6"/>
      <c r="CO1071" s="138"/>
      <c r="CP1071" s="138"/>
      <c r="CQ1071" s="123"/>
      <c r="CR1071" s="6"/>
      <c r="CS1071" s="6"/>
      <c r="CT1071" s="139"/>
      <c r="CU1071" s="139"/>
      <c r="CV1071" s="76"/>
      <c r="CW1071" s="123"/>
      <c r="CX1071" s="6"/>
      <c r="DI1071" s="125"/>
      <c r="DJ1071" s="16"/>
      <c r="DM1071" s="16"/>
      <c r="DN1071" s="16"/>
      <c r="DO1071" s="125"/>
      <c r="DP1071" s="16"/>
      <c r="DQ1071" s="125"/>
      <c r="DZ1071" s="125"/>
      <c r="EA1071" s="142"/>
      <c r="EB1071" s="125"/>
      <c r="EC1071" s="16"/>
      <c r="ED1071" s="125"/>
      <c r="EE1071" s="125"/>
      <c r="EF1071" s="16"/>
      <c r="EG1071" s="125"/>
      <c r="EQ1071" s="125"/>
      <c r="ER1071" s="16"/>
      <c r="ES1071" s="123"/>
      <c r="ET1071" s="19"/>
      <c r="EU1071" s="139"/>
      <c r="EV1071" s="139"/>
      <c r="EW1071" s="123"/>
      <c r="EX1071" s="123"/>
      <c r="EY1071" s="123"/>
      <c r="EZ1071" s="123"/>
      <c r="FA1071" s="123"/>
      <c r="FB1071" s="123"/>
      <c r="FC1071" s="6"/>
      <c r="FD1071" s="123"/>
      <c r="FE1071" s="6"/>
      <c r="FF1071" s="123"/>
      <c r="FG1071" s="6"/>
      <c r="FH1071" s="6"/>
      <c r="FI1071" s="6"/>
      <c r="FJ1071" s="6"/>
      <c r="FK1071" s="123"/>
      <c r="FL1071" s="6"/>
      <c r="FM1071" s="6"/>
      <c r="FN1071" s="6"/>
      <c r="FO1071" s="138"/>
      <c r="FP1071" s="138"/>
      <c r="FQ1071" s="123"/>
      <c r="FR1071" s="6"/>
      <c r="FS1071" s="6"/>
      <c r="FT1071" s="139"/>
      <c r="FU1071" s="139"/>
      <c r="FV1071" s="76"/>
      <c r="FW1071" s="123"/>
      <c r="FX1071" s="6"/>
    </row>
    <row r="1072" spans="35:180">
      <c r="AI1072" s="125"/>
      <c r="AJ1072" s="16"/>
      <c r="AM1072" s="16"/>
      <c r="AN1072" s="16"/>
      <c r="AO1072" s="125"/>
      <c r="AP1072" s="16"/>
      <c r="AQ1072" s="125"/>
      <c r="AZ1072" s="125"/>
      <c r="BA1072" s="142"/>
      <c r="BB1072" s="125"/>
      <c r="BC1072" s="16"/>
      <c r="BD1072" s="125"/>
      <c r="BE1072" s="125"/>
      <c r="BF1072" s="16"/>
      <c r="BG1072" s="125"/>
      <c r="BQ1072" s="125"/>
      <c r="BR1072" s="16"/>
      <c r="BS1072" s="123"/>
      <c r="BT1072" s="19"/>
      <c r="BU1072" s="139"/>
      <c r="BV1072" s="139"/>
      <c r="BW1072" s="123"/>
      <c r="BX1072" s="123"/>
      <c r="BY1072" s="123"/>
      <c r="BZ1072" s="123"/>
      <c r="CA1072" s="123"/>
      <c r="CB1072" s="123"/>
      <c r="CC1072" s="6"/>
      <c r="CD1072" s="123"/>
      <c r="CE1072" s="6"/>
      <c r="CF1072" s="123"/>
      <c r="CG1072" s="6"/>
      <c r="CH1072" s="6"/>
      <c r="CI1072" s="6"/>
      <c r="CJ1072" s="6"/>
      <c r="CK1072" s="123"/>
      <c r="CL1072" s="6"/>
      <c r="CM1072" s="6"/>
      <c r="CN1072" s="6"/>
      <c r="CO1072" s="138"/>
      <c r="CP1072" s="138"/>
      <c r="CQ1072" s="123"/>
      <c r="CR1072" s="6"/>
      <c r="CS1072" s="6"/>
      <c r="CT1072" s="139"/>
      <c r="CU1072" s="139"/>
      <c r="CV1072" s="76"/>
      <c r="CW1072" s="123"/>
      <c r="CX1072" s="6"/>
      <c r="DI1072" s="125"/>
      <c r="DJ1072" s="16"/>
      <c r="DM1072" s="16"/>
      <c r="DN1072" s="16"/>
      <c r="DO1072" s="125"/>
      <c r="DP1072" s="16"/>
      <c r="DQ1072" s="125"/>
      <c r="DZ1072" s="125"/>
      <c r="EA1072" s="142"/>
      <c r="EB1072" s="125"/>
      <c r="EC1072" s="16"/>
      <c r="ED1072" s="125"/>
      <c r="EE1072" s="125"/>
      <c r="EF1072" s="16"/>
      <c r="EG1072" s="125"/>
      <c r="EQ1072" s="125"/>
      <c r="ER1072" s="16"/>
      <c r="ES1072" s="123"/>
      <c r="ET1072" s="19"/>
      <c r="EU1072" s="139"/>
      <c r="EV1072" s="139"/>
      <c r="EW1072" s="123"/>
      <c r="EX1072" s="123"/>
      <c r="EY1072" s="123"/>
      <c r="EZ1072" s="123"/>
      <c r="FA1072" s="123"/>
      <c r="FB1072" s="123"/>
      <c r="FC1072" s="6"/>
      <c r="FD1072" s="123"/>
      <c r="FE1072" s="6"/>
      <c r="FF1072" s="123"/>
      <c r="FG1072" s="6"/>
      <c r="FH1072" s="6"/>
      <c r="FI1072" s="6"/>
      <c r="FJ1072" s="6"/>
      <c r="FK1072" s="123"/>
      <c r="FL1072" s="6"/>
      <c r="FM1072" s="6"/>
      <c r="FN1072" s="6"/>
      <c r="FO1072" s="138"/>
      <c r="FP1072" s="138"/>
      <c r="FQ1072" s="123"/>
      <c r="FR1072" s="6"/>
      <c r="FS1072" s="6"/>
      <c r="FT1072" s="139"/>
      <c r="FU1072" s="139"/>
      <c r="FV1072" s="76"/>
      <c r="FW1072" s="123"/>
      <c r="FX1072" s="6"/>
    </row>
    <row r="1073" spans="35:180">
      <c r="AI1073" s="125"/>
      <c r="AJ1073" s="16"/>
      <c r="AM1073" s="16"/>
      <c r="AN1073" s="16"/>
      <c r="AO1073" s="125"/>
      <c r="AP1073" s="16"/>
      <c r="AQ1073" s="125"/>
      <c r="AZ1073" s="125"/>
      <c r="BA1073" s="142"/>
      <c r="BB1073" s="125"/>
      <c r="BC1073" s="16"/>
      <c r="BD1073" s="125"/>
      <c r="BE1073" s="125"/>
      <c r="BF1073" s="16"/>
      <c r="BG1073" s="125"/>
      <c r="BQ1073" s="125"/>
      <c r="BR1073" s="16"/>
      <c r="BS1073" s="123"/>
      <c r="BT1073" s="19"/>
      <c r="BU1073" s="139"/>
      <c r="BV1073" s="139"/>
      <c r="BW1073" s="123"/>
      <c r="BX1073" s="123"/>
      <c r="BY1073" s="123"/>
      <c r="BZ1073" s="123"/>
      <c r="CA1073" s="123"/>
      <c r="CB1073" s="123"/>
      <c r="CC1073" s="6"/>
      <c r="CD1073" s="123"/>
      <c r="CE1073" s="6"/>
      <c r="CF1073" s="123"/>
      <c r="CG1073" s="6"/>
      <c r="CH1073" s="6"/>
      <c r="CI1073" s="6"/>
      <c r="CJ1073" s="6"/>
      <c r="CK1073" s="123"/>
      <c r="CL1073" s="6"/>
      <c r="CM1073" s="6"/>
      <c r="CN1073" s="6"/>
      <c r="CO1073" s="138"/>
      <c r="CP1073" s="138"/>
      <c r="CQ1073" s="123"/>
      <c r="CR1073" s="6"/>
      <c r="CS1073" s="6"/>
      <c r="CT1073" s="139"/>
      <c r="CU1073" s="139"/>
      <c r="CV1073" s="76"/>
      <c r="CW1073" s="123"/>
      <c r="CX1073" s="6"/>
      <c r="DI1073" s="125"/>
      <c r="DJ1073" s="16"/>
      <c r="DM1073" s="16"/>
      <c r="DN1073" s="16"/>
      <c r="DO1073" s="125"/>
      <c r="DP1073" s="16"/>
      <c r="DQ1073" s="125"/>
      <c r="DZ1073" s="125"/>
      <c r="EA1073" s="142"/>
      <c r="EB1073" s="125"/>
      <c r="EC1073" s="16"/>
      <c r="ED1073" s="125"/>
      <c r="EE1073" s="125"/>
      <c r="EF1073" s="16"/>
      <c r="EG1073" s="125"/>
      <c r="EQ1073" s="125"/>
      <c r="ER1073" s="16"/>
      <c r="ES1073" s="123"/>
      <c r="ET1073" s="19"/>
      <c r="EU1073" s="139"/>
      <c r="EV1073" s="139"/>
      <c r="EW1073" s="123"/>
      <c r="EX1073" s="123"/>
      <c r="EY1073" s="123"/>
      <c r="EZ1073" s="123"/>
      <c r="FA1073" s="123"/>
      <c r="FB1073" s="123"/>
      <c r="FC1073" s="6"/>
      <c r="FD1073" s="123"/>
      <c r="FE1073" s="6"/>
      <c r="FF1073" s="123"/>
      <c r="FG1073" s="6"/>
      <c r="FH1073" s="6"/>
      <c r="FI1073" s="6"/>
      <c r="FJ1073" s="6"/>
      <c r="FK1073" s="123"/>
      <c r="FL1073" s="6"/>
      <c r="FM1073" s="6"/>
      <c r="FN1073" s="6"/>
      <c r="FO1073" s="138"/>
      <c r="FP1073" s="138"/>
      <c r="FQ1073" s="123"/>
      <c r="FR1073" s="6"/>
      <c r="FS1073" s="6"/>
      <c r="FT1073" s="139"/>
      <c r="FU1073" s="139"/>
      <c r="FV1073" s="76"/>
      <c r="FW1073" s="123"/>
      <c r="FX1073" s="6"/>
    </row>
    <row r="1074" spans="35:180">
      <c r="AI1074" s="125"/>
      <c r="AJ1074" s="16"/>
      <c r="AM1074" s="16"/>
      <c r="AN1074" s="16"/>
      <c r="AO1074" s="125"/>
      <c r="AP1074" s="16"/>
      <c r="AQ1074" s="125"/>
      <c r="AZ1074" s="125"/>
      <c r="BA1074" s="142"/>
      <c r="BB1074" s="125"/>
      <c r="BC1074" s="16"/>
      <c r="BD1074" s="125"/>
      <c r="BE1074" s="125"/>
      <c r="BF1074" s="16"/>
      <c r="BG1074" s="125"/>
      <c r="BQ1074" s="125"/>
      <c r="BR1074" s="16"/>
      <c r="BS1074" s="123"/>
      <c r="BT1074" s="19"/>
      <c r="BU1074" s="139"/>
      <c r="BV1074" s="139"/>
      <c r="BW1074" s="123"/>
      <c r="BX1074" s="123"/>
      <c r="BY1074" s="123"/>
      <c r="BZ1074" s="123"/>
      <c r="CA1074" s="123"/>
      <c r="CB1074" s="123"/>
      <c r="CC1074" s="6"/>
      <c r="CD1074" s="123"/>
      <c r="CE1074" s="6"/>
      <c r="CF1074" s="123"/>
      <c r="CG1074" s="6"/>
      <c r="CH1074" s="6"/>
      <c r="CI1074" s="6"/>
      <c r="CJ1074" s="6"/>
      <c r="CK1074" s="123"/>
      <c r="CL1074" s="6"/>
      <c r="CM1074" s="6"/>
      <c r="CN1074" s="6"/>
      <c r="CO1074" s="138"/>
      <c r="CP1074" s="138"/>
      <c r="CQ1074" s="123"/>
      <c r="CR1074" s="6"/>
      <c r="CS1074" s="6"/>
      <c r="CT1074" s="139"/>
      <c r="CU1074" s="139"/>
      <c r="CV1074" s="76"/>
      <c r="CW1074" s="123"/>
      <c r="CX1074" s="6"/>
      <c r="DI1074" s="125"/>
      <c r="DJ1074" s="16"/>
      <c r="DM1074" s="16"/>
      <c r="DN1074" s="16"/>
      <c r="DO1074" s="125"/>
      <c r="DP1074" s="16"/>
      <c r="DQ1074" s="125"/>
      <c r="DZ1074" s="125"/>
      <c r="EA1074" s="142"/>
      <c r="EB1074" s="125"/>
      <c r="EC1074" s="16"/>
      <c r="ED1074" s="125"/>
      <c r="EE1074" s="125"/>
      <c r="EF1074" s="16"/>
      <c r="EG1074" s="125"/>
      <c r="EQ1074" s="125"/>
      <c r="ER1074" s="16"/>
      <c r="ES1074" s="123"/>
      <c r="ET1074" s="19"/>
      <c r="EU1074" s="139"/>
      <c r="EV1074" s="139"/>
      <c r="EW1074" s="123"/>
      <c r="EX1074" s="123"/>
      <c r="EY1074" s="123"/>
      <c r="EZ1074" s="123"/>
      <c r="FA1074" s="123"/>
      <c r="FB1074" s="123"/>
      <c r="FC1074" s="6"/>
      <c r="FD1074" s="123"/>
      <c r="FE1074" s="6"/>
      <c r="FF1074" s="123"/>
      <c r="FG1074" s="6"/>
      <c r="FH1074" s="6"/>
      <c r="FI1074" s="6"/>
      <c r="FJ1074" s="6"/>
      <c r="FK1074" s="123"/>
      <c r="FL1074" s="6"/>
      <c r="FM1074" s="6"/>
      <c r="FN1074" s="6"/>
      <c r="FO1074" s="138"/>
      <c r="FP1074" s="138"/>
      <c r="FQ1074" s="123"/>
      <c r="FR1074" s="6"/>
      <c r="FS1074" s="6"/>
      <c r="FT1074" s="139"/>
      <c r="FU1074" s="139"/>
      <c r="FV1074" s="76"/>
      <c r="FW1074" s="123"/>
      <c r="FX1074" s="6"/>
    </row>
    <row r="1075" spans="35:180">
      <c r="AI1075" s="125"/>
      <c r="AJ1075" s="16"/>
      <c r="AM1075" s="16"/>
      <c r="AN1075" s="16"/>
      <c r="AO1075" s="125"/>
      <c r="AP1075" s="16"/>
      <c r="AQ1075" s="125"/>
      <c r="AZ1075" s="125"/>
      <c r="BA1075" s="142"/>
      <c r="BB1075" s="125"/>
      <c r="BC1075" s="16"/>
      <c r="BD1075" s="125"/>
      <c r="BE1075" s="125"/>
      <c r="BF1075" s="16"/>
      <c r="BG1075" s="125"/>
      <c r="BQ1075" s="125"/>
      <c r="BR1075" s="16"/>
      <c r="BS1075" s="123"/>
      <c r="BT1075" s="19"/>
      <c r="BU1075" s="139"/>
      <c r="BV1075" s="139"/>
      <c r="BW1075" s="123"/>
      <c r="BX1075" s="123"/>
      <c r="BY1075" s="123"/>
      <c r="BZ1075" s="123"/>
      <c r="CA1075" s="123"/>
      <c r="CB1075" s="123"/>
      <c r="CC1075" s="6"/>
      <c r="CD1075" s="123"/>
      <c r="CE1075" s="6"/>
      <c r="CF1075" s="123"/>
      <c r="CG1075" s="6"/>
      <c r="CH1075" s="6"/>
      <c r="CI1075" s="6"/>
      <c r="CJ1075" s="6"/>
      <c r="CK1075" s="123"/>
      <c r="CL1075" s="6"/>
      <c r="CM1075" s="6"/>
      <c r="CN1075" s="6"/>
      <c r="CO1075" s="138"/>
      <c r="CP1075" s="138"/>
      <c r="CQ1075" s="123"/>
      <c r="CR1075" s="6"/>
      <c r="CS1075" s="6"/>
      <c r="CT1075" s="139"/>
      <c r="CU1075" s="139"/>
      <c r="CV1075" s="76"/>
      <c r="CW1075" s="123"/>
      <c r="CX1075" s="6"/>
      <c r="DI1075" s="125"/>
      <c r="DJ1075" s="16"/>
      <c r="DM1075" s="16"/>
      <c r="DN1075" s="16"/>
      <c r="DO1075" s="125"/>
      <c r="DP1075" s="16"/>
      <c r="DQ1075" s="125"/>
      <c r="DZ1075" s="125"/>
      <c r="EA1075" s="142"/>
      <c r="EB1075" s="125"/>
      <c r="EC1075" s="16"/>
      <c r="ED1075" s="125"/>
      <c r="EE1075" s="125"/>
      <c r="EF1075" s="16"/>
      <c r="EG1075" s="125"/>
      <c r="EQ1075" s="125"/>
      <c r="ER1075" s="16"/>
      <c r="ES1075" s="123"/>
      <c r="ET1075" s="19"/>
      <c r="EU1075" s="139"/>
      <c r="EV1075" s="139"/>
      <c r="EW1075" s="123"/>
      <c r="EX1075" s="123"/>
      <c r="EY1075" s="123"/>
      <c r="EZ1075" s="123"/>
      <c r="FA1075" s="123"/>
      <c r="FB1075" s="123"/>
      <c r="FC1075" s="6"/>
      <c r="FD1075" s="123"/>
      <c r="FE1075" s="6"/>
      <c r="FF1075" s="123"/>
      <c r="FG1075" s="6"/>
      <c r="FH1075" s="6"/>
      <c r="FI1075" s="6"/>
      <c r="FJ1075" s="6"/>
      <c r="FK1075" s="123"/>
      <c r="FL1075" s="6"/>
      <c r="FM1075" s="6"/>
      <c r="FN1075" s="6"/>
      <c r="FO1075" s="138"/>
      <c r="FP1075" s="138"/>
      <c r="FQ1075" s="123"/>
      <c r="FR1075" s="6"/>
      <c r="FS1075" s="6"/>
      <c r="FT1075" s="139"/>
      <c r="FU1075" s="139"/>
      <c r="FV1075" s="76"/>
      <c r="FW1075" s="123"/>
      <c r="FX1075" s="6"/>
    </row>
    <row r="1076" spans="35:180">
      <c r="AI1076" s="125"/>
      <c r="AJ1076" s="16"/>
      <c r="AM1076" s="16"/>
      <c r="AN1076" s="16"/>
      <c r="AO1076" s="125"/>
      <c r="AP1076" s="16"/>
      <c r="AQ1076" s="125"/>
      <c r="AZ1076" s="125"/>
      <c r="BA1076" s="142"/>
      <c r="BB1076" s="125"/>
      <c r="BC1076" s="16"/>
      <c r="BD1076" s="125"/>
      <c r="BE1076" s="125"/>
      <c r="BF1076" s="16"/>
      <c r="BG1076" s="125"/>
      <c r="BQ1076" s="125"/>
      <c r="BR1076" s="16"/>
      <c r="BS1076" s="123"/>
      <c r="BT1076" s="19"/>
      <c r="BU1076" s="139"/>
      <c r="BV1076" s="139"/>
      <c r="BW1076" s="123"/>
      <c r="BX1076" s="123"/>
      <c r="BY1076" s="123"/>
      <c r="BZ1076" s="123"/>
      <c r="CA1076" s="123"/>
      <c r="CB1076" s="123"/>
      <c r="CC1076" s="6"/>
      <c r="CD1076" s="123"/>
      <c r="CE1076" s="6"/>
      <c r="CF1076" s="123"/>
      <c r="CG1076" s="6"/>
      <c r="CH1076" s="6"/>
      <c r="CI1076" s="6"/>
      <c r="CJ1076" s="6"/>
      <c r="CK1076" s="123"/>
      <c r="CL1076" s="6"/>
      <c r="CM1076" s="6"/>
      <c r="CN1076" s="6"/>
      <c r="CO1076" s="138"/>
      <c r="CP1076" s="138"/>
      <c r="CQ1076" s="123"/>
      <c r="CR1076" s="6"/>
      <c r="CS1076" s="6"/>
      <c r="CT1076" s="139"/>
      <c r="CU1076" s="139"/>
      <c r="CV1076" s="76"/>
      <c r="CW1076" s="123"/>
      <c r="CX1076" s="6"/>
      <c r="DI1076" s="125"/>
      <c r="DJ1076" s="16"/>
      <c r="DM1076" s="16"/>
      <c r="DN1076" s="16"/>
      <c r="DO1076" s="125"/>
      <c r="DP1076" s="16"/>
      <c r="DQ1076" s="125"/>
      <c r="DZ1076" s="125"/>
      <c r="EA1076" s="142"/>
      <c r="EB1076" s="125"/>
      <c r="EC1076" s="16"/>
      <c r="ED1076" s="125"/>
      <c r="EE1076" s="125"/>
      <c r="EF1076" s="16"/>
      <c r="EG1076" s="125"/>
      <c r="EQ1076" s="125"/>
      <c r="ER1076" s="16"/>
      <c r="ES1076" s="123"/>
      <c r="ET1076" s="19"/>
      <c r="EU1076" s="139"/>
      <c r="EV1076" s="139"/>
      <c r="EW1076" s="123"/>
      <c r="EX1076" s="123"/>
      <c r="EY1076" s="123"/>
      <c r="EZ1076" s="123"/>
      <c r="FA1076" s="123"/>
      <c r="FB1076" s="123"/>
      <c r="FC1076" s="6"/>
      <c r="FD1076" s="123"/>
      <c r="FE1076" s="6"/>
      <c r="FF1076" s="123"/>
      <c r="FG1076" s="6"/>
      <c r="FH1076" s="6"/>
      <c r="FI1076" s="6"/>
      <c r="FJ1076" s="6"/>
      <c r="FK1076" s="123"/>
      <c r="FL1076" s="6"/>
      <c r="FM1076" s="6"/>
      <c r="FN1076" s="6"/>
      <c r="FO1076" s="138"/>
      <c r="FP1076" s="138"/>
      <c r="FQ1076" s="123"/>
      <c r="FR1076" s="6"/>
      <c r="FS1076" s="6"/>
      <c r="FT1076" s="139"/>
      <c r="FU1076" s="139"/>
      <c r="FV1076" s="76"/>
      <c r="FW1076" s="123"/>
      <c r="FX1076" s="6"/>
    </row>
    <row r="1077" spans="35:180">
      <c r="AI1077" s="125"/>
      <c r="AJ1077" s="16"/>
      <c r="AM1077" s="16"/>
      <c r="AN1077" s="16"/>
      <c r="AO1077" s="125"/>
      <c r="AP1077" s="16"/>
      <c r="AQ1077" s="125"/>
      <c r="AZ1077" s="125"/>
      <c r="BA1077" s="142"/>
      <c r="BB1077" s="125"/>
      <c r="BC1077" s="16"/>
      <c r="BD1077" s="125"/>
      <c r="BE1077" s="125"/>
      <c r="BF1077" s="16"/>
      <c r="BG1077" s="125"/>
      <c r="BQ1077" s="125"/>
      <c r="BR1077" s="16"/>
      <c r="BS1077" s="123"/>
      <c r="BT1077" s="19"/>
      <c r="BU1077" s="139"/>
      <c r="BV1077" s="139"/>
      <c r="BW1077" s="123"/>
      <c r="BX1077" s="123"/>
      <c r="BY1077" s="123"/>
      <c r="BZ1077" s="123"/>
      <c r="CA1077" s="123"/>
      <c r="CB1077" s="123"/>
      <c r="CC1077" s="6"/>
      <c r="CD1077" s="123"/>
      <c r="CE1077" s="6"/>
      <c r="CF1077" s="123"/>
      <c r="CG1077" s="6"/>
      <c r="CH1077" s="6"/>
      <c r="CI1077" s="6"/>
      <c r="CJ1077" s="6"/>
      <c r="CK1077" s="123"/>
      <c r="CL1077" s="6"/>
      <c r="CM1077" s="6"/>
      <c r="CN1077" s="6"/>
      <c r="CO1077" s="138"/>
      <c r="CP1077" s="138"/>
      <c r="CQ1077" s="123"/>
      <c r="CR1077" s="6"/>
      <c r="CS1077" s="6"/>
      <c r="CT1077" s="139"/>
      <c r="CU1077" s="139"/>
      <c r="CV1077" s="76"/>
      <c r="CW1077" s="123"/>
      <c r="CX1077" s="6"/>
      <c r="DI1077" s="125"/>
      <c r="DJ1077" s="16"/>
      <c r="DM1077" s="16"/>
      <c r="DN1077" s="16"/>
      <c r="DO1077" s="125"/>
      <c r="DP1077" s="16"/>
      <c r="DQ1077" s="125"/>
      <c r="DZ1077" s="125"/>
      <c r="EA1077" s="142"/>
      <c r="EB1077" s="125"/>
      <c r="EC1077" s="16"/>
      <c r="ED1077" s="125"/>
      <c r="EE1077" s="125"/>
      <c r="EF1077" s="16"/>
      <c r="EG1077" s="125"/>
      <c r="EQ1077" s="125"/>
      <c r="ER1077" s="16"/>
      <c r="ES1077" s="123"/>
      <c r="ET1077" s="19"/>
      <c r="EU1077" s="139"/>
      <c r="EV1077" s="139"/>
      <c r="EW1077" s="123"/>
      <c r="EX1077" s="123"/>
      <c r="EY1077" s="123"/>
      <c r="EZ1077" s="123"/>
      <c r="FA1077" s="123"/>
      <c r="FB1077" s="123"/>
      <c r="FC1077" s="6"/>
      <c r="FD1077" s="123"/>
      <c r="FE1077" s="6"/>
      <c r="FF1077" s="123"/>
      <c r="FG1077" s="6"/>
      <c r="FH1077" s="6"/>
      <c r="FI1077" s="6"/>
      <c r="FJ1077" s="6"/>
      <c r="FK1077" s="123"/>
      <c r="FL1077" s="6"/>
      <c r="FM1077" s="6"/>
      <c r="FN1077" s="6"/>
      <c r="FO1077" s="138"/>
      <c r="FP1077" s="138"/>
      <c r="FQ1077" s="123"/>
      <c r="FR1077" s="6"/>
      <c r="FS1077" s="6"/>
      <c r="FT1077" s="139"/>
      <c r="FU1077" s="139"/>
      <c r="FV1077" s="76"/>
      <c r="FW1077" s="123"/>
      <c r="FX1077" s="6"/>
    </row>
    <row r="1078" spans="35:180">
      <c r="AI1078" s="125"/>
      <c r="AJ1078" s="16"/>
      <c r="AM1078" s="16"/>
      <c r="AN1078" s="16"/>
      <c r="AO1078" s="125"/>
      <c r="AP1078" s="16"/>
      <c r="AQ1078" s="125"/>
      <c r="AZ1078" s="125"/>
      <c r="BA1078" s="142"/>
      <c r="BB1078" s="125"/>
      <c r="BC1078" s="16"/>
      <c r="BD1078" s="125"/>
      <c r="BE1078" s="125"/>
      <c r="BF1078" s="16"/>
      <c r="BG1078" s="125"/>
      <c r="BQ1078" s="125"/>
      <c r="BR1078" s="16"/>
      <c r="BS1078" s="123"/>
      <c r="BT1078" s="19"/>
      <c r="BU1078" s="139"/>
      <c r="BV1078" s="139"/>
      <c r="BW1078" s="123"/>
      <c r="BX1078" s="123"/>
      <c r="BY1078" s="123"/>
      <c r="BZ1078" s="123"/>
      <c r="CA1078" s="123"/>
      <c r="CB1078" s="123"/>
      <c r="CC1078" s="6"/>
      <c r="CD1078" s="123"/>
      <c r="CE1078" s="6"/>
      <c r="CF1078" s="123"/>
      <c r="CG1078" s="6"/>
      <c r="CH1078" s="6"/>
      <c r="CI1078" s="6"/>
      <c r="CJ1078" s="6"/>
      <c r="CK1078" s="123"/>
      <c r="CL1078" s="6"/>
      <c r="CM1078" s="6"/>
      <c r="CN1078" s="6"/>
      <c r="CO1078" s="138"/>
      <c r="CP1078" s="138"/>
      <c r="CQ1078" s="123"/>
      <c r="CR1078" s="6"/>
      <c r="CS1078" s="6"/>
      <c r="CT1078" s="139"/>
      <c r="CU1078" s="139"/>
      <c r="CV1078" s="76"/>
      <c r="CW1078" s="123"/>
      <c r="CX1078" s="6"/>
      <c r="DI1078" s="125"/>
      <c r="DJ1078" s="16"/>
      <c r="DM1078" s="16"/>
      <c r="DN1078" s="16"/>
      <c r="DO1078" s="125"/>
      <c r="DP1078" s="16"/>
      <c r="DQ1078" s="125"/>
      <c r="DZ1078" s="125"/>
      <c r="EA1078" s="142"/>
      <c r="EB1078" s="125"/>
      <c r="EC1078" s="16"/>
      <c r="ED1078" s="125"/>
      <c r="EE1078" s="125"/>
      <c r="EF1078" s="16"/>
      <c r="EG1078" s="125"/>
      <c r="EQ1078" s="125"/>
      <c r="ER1078" s="16"/>
      <c r="ES1078" s="123"/>
      <c r="ET1078" s="19"/>
      <c r="EU1078" s="139"/>
      <c r="EV1078" s="139"/>
      <c r="EW1078" s="123"/>
      <c r="EX1078" s="123"/>
      <c r="EY1078" s="123"/>
      <c r="EZ1078" s="123"/>
      <c r="FA1078" s="123"/>
      <c r="FB1078" s="123"/>
      <c r="FC1078" s="6"/>
      <c r="FD1078" s="123"/>
      <c r="FE1078" s="6"/>
      <c r="FF1078" s="123"/>
      <c r="FG1078" s="6"/>
      <c r="FH1078" s="6"/>
      <c r="FI1078" s="6"/>
      <c r="FJ1078" s="6"/>
      <c r="FK1078" s="123"/>
      <c r="FL1078" s="6"/>
      <c r="FM1078" s="6"/>
      <c r="FN1078" s="6"/>
      <c r="FO1078" s="138"/>
      <c r="FP1078" s="138"/>
      <c r="FQ1078" s="123"/>
      <c r="FR1078" s="6"/>
      <c r="FS1078" s="6"/>
      <c r="FT1078" s="139"/>
      <c r="FU1078" s="139"/>
      <c r="FV1078" s="76"/>
      <c r="FW1078" s="123"/>
      <c r="FX1078" s="6"/>
    </row>
    <row r="1079" spans="35:180">
      <c r="AI1079" s="125"/>
      <c r="AJ1079" s="16"/>
      <c r="AM1079" s="16"/>
      <c r="AN1079" s="16"/>
      <c r="AO1079" s="125"/>
      <c r="AP1079" s="16"/>
      <c r="AQ1079" s="125"/>
      <c r="AZ1079" s="125"/>
      <c r="BA1079" s="142"/>
      <c r="BB1079" s="125"/>
      <c r="BC1079" s="16"/>
      <c r="BD1079" s="125"/>
      <c r="BE1079" s="125"/>
      <c r="BF1079" s="16"/>
      <c r="BG1079" s="125"/>
      <c r="BQ1079" s="125"/>
      <c r="BR1079" s="16"/>
      <c r="BS1079" s="123"/>
      <c r="BT1079" s="19"/>
      <c r="BU1079" s="139"/>
      <c r="BV1079" s="139"/>
      <c r="BW1079" s="123"/>
      <c r="BX1079" s="123"/>
      <c r="BY1079" s="123"/>
      <c r="BZ1079" s="123"/>
      <c r="CA1079" s="123"/>
      <c r="CB1079" s="123"/>
      <c r="CC1079" s="6"/>
      <c r="CD1079" s="123"/>
      <c r="CE1079" s="6"/>
      <c r="CF1079" s="123"/>
      <c r="CG1079" s="6"/>
      <c r="CH1079" s="6"/>
      <c r="CI1079" s="6"/>
      <c r="CJ1079" s="6"/>
      <c r="CK1079" s="123"/>
      <c r="CL1079" s="6"/>
      <c r="CM1079" s="6"/>
      <c r="CN1079" s="6"/>
      <c r="CO1079" s="138"/>
      <c r="CP1079" s="138"/>
      <c r="CQ1079" s="123"/>
      <c r="CR1079" s="6"/>
      <c r="CS1079" s="6"/>
      <c r="CT1079" s="139"/>
      <c r="CU1079" s="139"/>
      <c r="CV1079" s="76"/>
      <c r="CW1079" s="123"/>
      <c r="CX1079" s="6"/>
      <c r="DI1079" s="125"/>
      <c r="DJ1079" s="16"/>
      <c r="DM1079" s="16"/>
      <c r="DN1079" s="16"/>
      <c r="DO1079" s="125"/>
      <c r="DP1079" s="16"/>
      <c r="DQ1079" s="125"/>
      <c r="DZ1079" s="125"/>
      <c r="EA1079" s="142"/>
      <c r="EB1079" s="125"/>
      <c r="EC1079" s="16"/>
      <c r="ED1079" s="125"/>
      <c r="EE1079" s="125"/>
      <c r="EF1079" s="16"/>
      <c r="EG1079" s="125"/>
      <c r="EQ1079" s="125"/>
      <c r="ER1079" s="16"/>
      <c r="ES1079" s="123"/>
      <c r="ET1079" s="19"/>
      <c r="EU1079" s="139"/>
      <c r="EV1079" s="139"/>
      <c r="EW1079" s="123"/>
      <c r="EX1079" s="123"/>
      <c r="EY1079" s="123"/>
      <c r="EZ1079" s="123"/>
      <c r="FA1079" s="123"/>
      <c r="FB1079" s="123"/>
      <c r="FC1079" s="6"/>
      <c r="FD1079" s="123"/>
      <c r="FE1079" s="6"/>
      <c r="FF1079" s="123"/>
      <c r="FG1079" s="6"/>
      <c r="FH1079" s="6"/>
      <c r="FI1079" s="6"/>
      <c r="FJ1079" s="6"/>
      <c r="FK1079" s="123"/>
      <c r="FL1079" s="6"/>
      <c r="FM1079" s="6"/>
      <c r="FN1079" s="6"/>
      <c r="FO1079" s="138"/>
      <c r="FP1079" s="138"/>
      <c r="FQ1079" s="123"/>
      <c r="FR1079" s="6"/>
      <c r="FS1079" s="6"/>
      <c r="FT1079" s="139"/>
      <c r="FU1079" s="139"/>
      <c r="FV1079" s="76"/>
      <c r="FW1079" s="123"/>
      <c r="FX1079" s="6"/>
    </row>
    <row r="1080" spans="35:180">
      <c r="AI1080" s="125"/>
      <c r="AJ1080" s="16"/>
      <c r="AM1080" s="16"/>
      <c r="AN1080" s="16"/>
      <c r="AO1080" s="125"/>
      <c r="AP1080" s="16"/>
      <c r="AQ1080" s="125"/>
      <c r="AZ1080" s="125"/>
      <c r="BA1080" s="142"/>
      <c r="BB1080" s="125"/>
      <c r="BC1080" s="16"/>
      <c r="BD1080" s="125"/>
      <c r="BE1080" s="125"/>
      <c r="BF1080" s="16"/>
      <c r="BG1080" s="125"/>
      <c r="BQ1080" s="125"/>
      <c r="BR1080" s="16"/>
      <c r="BS1080" s="123"/>
      <c r="BT1080" s="19"/>
      <c r="BU1080" s="139"/>
      <c r="BV1080" s="139"/>
      <c r="BW1080" s="123"/>
      <c r="BX1080" s="123"/>
      <c r="BY1080" s="123"/>
      <c r="BZ1080" s="123"/>
      <c r="CA1080" s="123"/>
      <c r="CB1080" s="123"/>
      <c r="CC1080" s="6"/>
      <c r="CD1080" s="123"/>
      <c r="CE1080" s="6"/>
      <c r="CF1080" s="123"/>
      <c r="CG1080" s="6"/>
      <c r="CH1080" s="6"/>
      <c r="CI1080" s="6"/>
      <c r="CJ1080" s="6"/>
      <c r="CK1080" s="123"/>
      <c r="CL1080" s="6"/>
      <c r="CM1080" s="6"/>
      <c r="CN1080" s="6"/>
      <c r="CO1080" s="138"/>
      <c r="CP1080" s="138"/>
      <c r="CQ1080" s="123"/>
      <c r="CR1080" s="6"/>
      <c r="CS1080" s="6"/>
      <c r="CT1080" s="139"/>
      <c r="CU1080" s="139"/>
      <c r="CV1080" s="76"/>
      <c r="CW1080" s="123"/>
      <c r="CX1080" s="6"/>
      <c r="DI1080" s="125"/>
      <c r="DJ1080" s="16"/>
      <c r="DM1080" s="16"/>
      <c r="DN1080" s="16"/>
      <c r="DO1080" s="125"/>
      <c r="DP1080" s="16"/>
      <c r="DQ1080" s="125"/>
      <c r="DZ1080" s="125"/>
      <c r="EA1080" s="142"/>
      <c r="EB1080" s="125"/>
      <c r="EC1080" s="16"/>
      <c r="ED1080" s="125"/>
      <c r="EE1080" s="125"/>
      <c r="EF1080" s="16"/>
      <c r="EG1080" s="125"/>
      <c r="EQ1080" s="125"/>
      <c r="ER1080" s="16"/>
      <c r="ES1080" s="123"/>
      <c r="ET1080" s="19"/>
      <c r="EU1080" s="139"/>
      <c r="EV1080" s="139"/>
      <c r="EW1080" s="123"/>
      <c r="EX1080" s="123"/>
      <c r="EY1080" s="123"/>
      <c r="EZ1080" s="123"/>
      <c r="FA1080" s="123"/>
      <c r="FB1080" s="123"/>
      <c r="FC1080" s="6"/>
      <c r="FD1080" s="123"/>
      <c r="FE1080" s="6"/>
      <c r="FF1080" s="123"/>
      <c r="FG1080" s="6"/>
      <c r="FH1080" s="6"/>
      <c r="FI1080" s="6"/>
      <c r="FJ1080" s="6"/>
      <c r="FK1080" s="123"/>
      <c r="FL1080" s="6"/>
      <c r="FM1080" s="6"/>
      <c r="FN1080" s="6"/>
      <c r="FO1080" s="138"/>
      <c r="FP1080" s="138"/>
      <c r="FQ1080" s="123"/>
      <c r="FR1080" s="6"/>
      <c r="FS1080" s="6"/>
      <c r="FT1080" s="139"/>
      <c r="FU1080" s="139"/>
      <c r="FV1080" s="76"/>
      <c r="FW1080" s="123"/>
      <c r="FX1080" s="6"/>
    </row>
    <row r="1081" spans="35:180">
      <c r="AI1081" s="125"/>
      <c r="AJ1081" s="16"/>
      <c r="AM1081" s="16"/>
      <c r="AN1081" s="16"/>
      <c r="AO1081" s="125"/>
      <c r="AP1081" s="16"/>
      <c r="AQ1081" s="125"/>
      <c r="AZ1081" s="125"/>
      <c r="BA1081" s="142"/>
      <c r="BB1081" s="125"/>
      <c r="BC1081" s="16"/>
      <c r="BD1081" s="125"/>
      <c r="BE1081" s="125"/>
      <c r="BF1081" s="16"/>
      <c r="BG1081" s="125"/>
      <c r="BQ1081" s="125"/>
      <c r="BR1081" s="16"/>
      <c r="BS1081" s="123"/>
      <c r="BT1081" s="19"/>
      <c r="BU1081" s="139"/>
      <c r="BV1081" s="139"/>
      <c r="BW1081" s="123"/>
      <c r="BX1081" s="123"/>
      <c r="BY1081" s="123"/>
      <c r="BZ1081" s="123"/>
      <c r="CA1081" s="123"/>
      <c r="CB1081" s="123"/>
      <c r="CC1081" s="6"/>
      <c r="CD1081" s="123"/>
      <c r="CE1081" s="6"/>
      <c r="CF1081" s="123"/>
      <c r="CG1081" s="6"/>
      <c r="CH1081" s="6"/>
      <c r="CI1081" s="6"/>
      <c r="CJ1081" s="6"/>
      <c r="CK1081" s="123"/>
      <c r="CL1081" s="6"/>
      <c r="CM1081" s="6"/>
      <c r="CN1081" s="6"/>
      <c r="CO1081" s="138"/>
      <c r="CP1081" s="138"/>
      <c r="CQ1081" s="123"/>
      <c r="CR1081" s="6"/>
      <c r="CS1081" s="6"/>
      <c r="CT1081" s="139"/>
      <c r="CU1081" s="139"/>
      <c r="CV1081" s="76"/>
      <c r="CW1081" s="123"/>
      <c r="CX1081" s="6"/>
      <c r="DI1081" s="125"/>
      <c r="DJ1081" s="16"/>
      <c r="DM1081" s="16"/>
      <c r="DN1081" s="16"/>
      <c r="DO1081" s="125"/>
      <c r="DP1081" s="16"/>
      <c r="DQ1081" s="125"/>
      <c r="DZ1081" s="125"/>
      <c r="EA1081" s="142"/>
      <c r="EB1081" s="125"/>
      <c r="EC1081" s="16"/>
      <c r="ED1081" s="125"/>
      <c r="EE1081" s="125"/>
      <c r="EF1081" s="16"/>
      <c r="EG1081" s="125"/>
      <c r="EQ1081" s="125"/>
      <c r="ER1081" s="16"/>
      <c r="ES1081" s="123"/>
      <c r="ET1081" s="19"/>
      <c r="EU1081" s="139"/>
      <c r="EV1081" s="139"/>
      <c r="EW1081" s="123"/>
      <c r="EX1081" s="123"/>
      <c r="EY1081" s="123"/>
      <c r="EZ1081" s="123"/>
      <c r="FA1081" s="123"/>
      <c r="FB1081" s="123"/>
      <c r="FC1081" s="6"/>
      <c r="FD1081" s="123"/>
      <c r="FE1081" s="6"/>
      <c r="FF1081" s="123"/>
      <c r="FG1081" s="6"/>
      <c r="FH1081" s="6"/>
      <c r="FI1081" s="6"/>
      <c r="FJ1081" s="6"/>
      <c r="FK1081" s="123"/>
      <c r="FL1081" s="6"/>
      <c r="FM1081" s="6"/>
      <c r="FN1081" s="6"/>
      <c r="FO1081" s="138"/>
      <c r="FP1081" s="138"/>
      <c r="FQ1081" s="123"/>
      <c r="FR1081" s="6"/>
      <c r="FS1081" s="6"/>
      <c r="FT1081" s="139"/>
      <c r="FU1081" s="139"/>
      <c r="FV1081" s="76"/>
      <c r="FW1081" s="123"/>
      <c r="FX1081" s="6"/>
    </row>
    <row r="1082" spans="35:180">
      <c r="AI1082" s="125"/>
      <c r="AJ1082" s="16"/>
      <c r="AM1082" s="16"/>
      <c r="AN1082" s="16"/>
      <c r="AO1082" s="125"/>
      <c r="AP1082" s="16"/>
      <c r="AQ1082" s="125"/>
      <c r="AZ1082" s="125"/>
      <c r="BA1082" s="142"/>
      <c r="BB1082" s="125"/>
      <c r="BC1082" s="16"/>
      <c r="BD1082" s="125"/>
      <c r="BE1082" s="125"/>
      <c r="BF1082" s="16"/>
      <c r="BG1082" s="125"/>
      <c r="BQ1082" s="125"/>
      <c r="BR1082" s="16"/>
      <c r="BS1082" s="123"/>
      <c r="BT1082" s="19"/>
      <c r="BU1082" s="139"/>
      <c r="BV1082" s="139"/>
      <c r="BW1082" s="123"/>
      <c r="BX1082" s="123"/>
      <c r="BY1082" s="123"/>
      <c r="BZ1082" s="123"/>
      <c r="CA1082" s="123"/>
      <c r="CB1082" s="123"/>
      <c r="CC1082" s="6"/>
      <c r="CD1082" s="123"/>
      <c r="CE1082" s="6"/>
      <c r="CF1082" s="123"/>
      <c r="CG1082" s="6"/>
      <c r="CH1082" s="6"/>
      <c r="CI1082" s="6"/>
      <c r="CJ1082" s="6"/>
      <c r="CK1082" s="123"/>
      <c r="CL1082" s="6"/>
      <c r="CM1082" s="6"/>
      <c r="CN1082" s="6"/>
      <c r="CO1082" s="138"/>
      <c r="CP1082" s="138"/>
      <c r="CQ1082" s="123"/>
      <c r="CR1082" s="6"/>
      <c r="CS1082" s="6"/>
      <c r="CT1082" s="139"/>
      <c r="CU1082" s="139"/>
      <c r="CV1082" s="76"/>
      <c r="CW1082" s="123"/>
      <c r="CX1082" s="6"/>
      <c r="DI1082" s="125"/>
      <c r="DJ1082" s="16"/>
      <c r="DM1082" s="16"/>
      <c r="DN1082" s="16"/>
      <c r="DO1082" s="125"/>
      <c r="DP1082" s="16"/>
      <c r="DQ1082" s="125"/>
      <c r="DZ1082" s="125"/>
      <c r="EA1082" s="142"/>
      <c r="EB1082" s="125"/>
      <c r="EC1082" s="16"/>
      <c r="ED1082" s="125"/>
      <c r="EE1082" s="125"/>
      <c r="EF1082" s="16"/>
      <c r="EG1082" s="125"/>
      <c r="EQ1082" s="125"/>
      <c r="ER1082" s="16"/>
      <c r="ES1082" s="123"/>
      <c r="ET1082" s="19"/>
      <c r="EU1082" s="139"/>
      <c r="EV1082" s="139"/>
      <c r="EW1082" s="123"/>
      <c r="EX1082" s="123"/>
      <c r="EY1082" s="123"/>
      <c r="EZ1082" s="123"/>
      <c r="FA1082" s="123"/>
      <c r="FB1082" s="123"/>
      <c r="FC1082" s="6"/>
      <c r="FD1082" s="123"/>
      <c r="FE1082" s="6"/>
      <c r="FF1082" s="123"/>
      <c r="FG1082" s="6"/>
      <c r="FH1082" s="6"/>
      <c r="FI1082" s="6"/>
      <c r="FJ1082" s="6"/>
      <c r="FK1082" s="123"/>
      <c r="FL1082" s="6"/>
      <c r="FM1082" s="6"/>
      <c r="FN1082" s="6"/>
      <c r="FO1082" s="138"/>
      <c r="FP1082" s="138"/>
      <c r="FQ1082" s="123"/>
      <c r="FR1082" s="6"/>
      <c r="FS1082" s="6"/>
      <c r="FT1082" s="139"/>
      <c r="FU1082" s="139"/>
      <c r="FV1082" s="76"/>
      <c r="FW1082" s="123"/>
      <c r="FX1082" s="6"/>
    </row>
    <row r="1083" spans="35:180">
      <c r="AI1083" s="125"/>
      <c r="AJ1083" s="16"/>
      <c r="AM1083" s="16"/>
      <c r="AN1083" s="16"/>
      <c r="AO1083" s="125"/>
      <c r="AP1083" s="16"/>
      <c r="AQ1083" s="125"/>
      <c r="AZ1083" s="125"/>
      <c r="BA1083" s="142"/>
      <c r="BB1083" s="125"/>
      <c r="BC1083" s="16"/>
      <c r="BD1083" s="125"/>
      <c r="BE1083" s="125"/>
      <c r="BF1083" s="16"/>
      <c r="BG1083" s="125"/>
      <c r="BQ1083" s="125"/>
      <c r="BR1083" s="16"/>
      <c r="BS1083" s="123"/>
      <c r="BT1083" s="19"/>
      <c r="BU1083" s="139"/>
      <c r="BV1083" s="139"/>
      <c r="BW1083" s="123"/>
      <c r="BX1083" s="123"/>
      <c r="BY1083" s="123"/>
      <c r="BZ1083" s="123"/>
      <c r="CA1083" s="123"/>
      <c r="CB1083" s="123"/>
      <c r="CC1083" s="6"/>
      <c r="CD1083" s="123"/>
      <c r="CE1083" s="6"/>
      <c r="CF1083" s="123"/>
      <c r="CG1083" s="6"/>
      <c r="CH1083" s="6"/>
      <c r="CI1083" s="6"/>
      <c r="CJ1083" s="6"/>
      <c r="CK1083" s="123"/>
      <c r="CL1083" s="6"/>
      <c r="CM1083" s="6"/>
      <c r="CN1083" s="6"/>
      <c r="CO1083" s="138"/>
      <c r="CP1083" s="138"/>
      <c r="CQ1083" s="123"/>
      <c r="CR1083" s="6"/>
      <c r="CS1083" s="6"/>
      <c r="CT1083" s="139"/>
      <c r="CU1083" s="139"/>
      <c r="CV1083" s="76"/>
      <c r="CW1083" s="123"/>
      <c r="CX1083" s="6"/>
      <c r="DI1083" s="125"/>
      <c r="DJ1083" s="16"/>
      <c r="DM1083" s="16"/>
      <c r="DN1083" s="16"/>
      <c r="DO1083" s="125"/>
      <c r="DP1083" s="16"/>
      <c r="DQ1083" s="125"/>
      <c r="DZ1083" s="125"/>
      <c r="EA1083" s="142"/>
      <c r="EB1083" s="125"/>
      <c r="EC1083" s="16"/>
      <c r="ED1083" s="125"/>
      <c r="EE1083" s="125"/>
      <c r="EF1083" s="16"/>
      <c r="EG1083" s="125"/>
      <c r="EQ1083" s="125"/>
      <c r="ER1083" s="16"/>
      <c r="ES1083" s="123"/>
      <c r="ET1083" s="19"/>
      <c r="EU1083" s="139"/>
      <c r="EV1083" s="139"/>
      <c r="EW1083" s="123"/>
      <c r="EX1083" s="123"/>
      <c r="EY1083" s="123"/>
      <c r="EZ1083" s="123"/>
      <c r="FA1083" s="123"/>
      <c r="FB1083" s="123"/>
      <c r="FC1083" s="6"/>
      <c r="FD1083" s="123"/>
      <c r="FE1083" s="6"/>
      <c r="FF1083" s="123"/>
      <c r="FG1083" s="6"/>
      <c r="FH1083" s="6"/>
      <c r="FI1083" s="6"/>
      <c r="FJ1083" s="6"/>
      <c r="FK1083" s="123"/>
      <c r="FL1083" s="6"/>
      <c r="FM1083" s="6"/>
      <c r="FN1083" s="6"/>
      <c r="FO1083" s="138"/>
      <c r="FP1083" s="138"/>
      <c r="FQ1083" s="123"/>
      <c r="FR1083" s="6"/>
      <c r="FS1083" s="6"/>
      <c r="FT1083" s="139"/>
      <c r="FU1083" s="139"/>
      <c r="FV1083" s="76"/>
      <c r="FW1083" s="123"/>
      <c r="FX1083" s="6"/>
    </row>
    <row r="1084" spans="35:180">
      <c r="AI1084" s="125"/>
      <c r="AJ1084" s="16"/>
      <c r="AM1084" s="16"/>
      <c r="AN1084" s="16"/>
      <c r="AO1084" s="125"/>
      <c r="AP1084" s="16"/>
      <c r="AQ1084" s="125"/>
      <c r="AZ1084" s="125"/>
      <c r="BA1084" s="142"/>
      <c r="BB1084" s="125"/>
      <c r="BC1084" s="16"/>
      <c r="BD1084" s="125"/>
      <c r="BE1084" s="125"/>
      <c r="BF1084" s="16"/>
      <c r="BG1084" s="125"/>
      <c r="BQ1084" s="125"/>
      <c r="BR1084" s="16"/>
      <c r="BS1084" s="123"/>
      <c r="BT1084" s="19"/>
      <c r="BU1084" s="139"/>
      <c r="BV1084" s="139"/>
      <c r="BW1084" s="123"/>
      <c r="BX1084" s="123"/>
      <c r="BY1084" s="123"/>
      <c r="BZ1084" s="123"/>
      <c r="CA1084" s="123"/>
      <c r="CB1084" s="123"/>
      <c r="CC1084" s="6"/>
      <c r="CD1084" s="123"/>
      <c r="CE1084" s="6"/>
      <c r="CF1084" s="123"/>
      <c r="CG1084" s="6"/>
      <c r="CH1084" s="6"/>
      <c r="CI1084" s="6"/>
      <c r="CJ1084" s="6"/>
      <c r="CK1084" s="123"/>
      <c r="CL1084" s="6"/>
      <c r="CM1084" s="6"/>
      <c r="CN1084" s="6"/>
      <c r="CO1084" s="138"/>
      <c r="CP1084" s="138"/>
      <c r="CQ1084" s="123"/>
      <c r="CR1084" s="6"/>
      <c r="CS1084" s="6"/>
      <c r="CT1084" s="139"/>
      <c r="CU1084" s="139"/>
      <c r="CV1084" s="76"/>
      <c r="CW1084" s="123"/>
      <c r="CX1084" s="6"/>
      <c r="DI1084" s="125"/>
      <c r="DJ1084" s="16"/>
      <c r="DM1084" s="16"/>
      <c r="DN1084" s="16"/>
      <c r="DO1084" s="125"/>
      <c r="DP1084" s="16"/>
      <c r="DQ1084" s="125"/>
      <c r="DZ1084" s="125"/>
      <c r="EA1084" s="142"/>
      <c r="EB1084" s="125"/>
      <c r="EC1084" s="16"/>
      <c r="ED1084" s="125"/>
      <c r="EE1084" s="125"/>
      <c r="EF1084" s="16"/>
      <c r="EG1084" s="125"/>
      <c r="EQ1084" s="125"/>
      <c r="ER1084" s="16"/>
      <c r="ES1084" s="123"/>
      <c r="ET1084" s="19"/>
      <c r="EU1084" s="139"/>
      <c r="EV1084" s="139"/>
      <c r="EW1084" s="123"/>
      <c r="EX1084" s="123"/>
      <c r="EY1084" s="123"/>
      <c r="EZ1084" s="123"/>
      <c r="FA1084" s="123"/>
      <c r="FB1084" s="123"/>
      <c r="FC1084" s="6"/>
      <c r="FD1084" s="123"/>
      <c r="FE1084" s="6"/>
      <c r="FF1084" s="123"/>
      <c r="FG1084" s="6"/>
      <c r="FH1084" s="6"/>
      <c r="FI1084" s="6"/>
      <c r="FJ1084" s="6"/>
      <c r="FK1084" s="123"/>
      <c r="FL1084" s="6"/>
      <c r="FM1084" s="6"/>
      <c r="FN1084" s="6"/>
      <c r="FO1084" s="138"/>
      <c r="FP1084" s="138"/>
      <c r="FQ1084" s="123"/>
      <c r="FR1084" s="6"/>
      <c r="FS1084" s="6"/>
      <c r="FT1084" s="139"/>
      <c r="FU1084" s="139"/>
      <c r="FV1084" s="76"/>
      <c r="FW1084" s="123"/>
      <c r="FX1084" s="6"/>
    </row>
    <row r="1085" spans="35:180">
      <c r="AI1085" s="125"/>
      <c r="AJ1085" s="16"/>
      <c r="AM1085" s="16"/>
      <c r="AN1085" s="16"/>
      <c r="AO1085" s="125"/>
      <c r="AP1085" s="16"/>
      <c r="AQ1085" s="125"/>
      <c r="AZ1085" s="125"/>
      <c r="BA1085" s="142"/>
      <c r="BB1085" s="125"/>
      <c r="BC1085" s="16"/>
      <c r="BD1085" s="125"/>
      <c r="BE1085" s="125"/>
      <c r="BF1085" s="16"/>
      <c r="BG1085" s="125"/>
      <c r="BQ1085" s="125"/>
      <c r="BR1085" s="16"/>
      <c r="BS1085" s="123"/>
      <c r="BT1085" s="19"/>
      <c r="BU1085" s="139"/>
      <c r="BV1085" s="139"/>
      <c r="BW1085" s="123"/>
      <c r="BX1085" s="123"/>
      <c r="BY1085" s="123"/>
      <c r="BZ1085" s="123"/>
      <c r="CA1085" s="123"/>
      <c r="CB1085" s="123"/>
      <c r="CC1085" s="6"/>
      <c r="CD1085" s="123"/>
      <c r="CE1085" s="6"/>
      <c r="CF1085" s="123"/>
      <c r="CG1085" s="6"/>
      <c r="CH1085" s="6"/>
      <c r="CI1085" s="6"/>
      <c r="CJ1085" s="6"/>
      <c r="CK1085" s="123"/>
      <c r="CL1085" s="6"/>
      <c r="CM1085" s="6"/>
      <c r="CN1085" s="6"/>
      <c r="CO1085" s="138"/>
      <c r="CP1085" s="138"/>
      <c r="CQ1085" s="123"/>
      <c r="CR1085" s="6"/>
      <c r="CS1085" s="6"/>
      <c r="CT1085" s="139"/>
      <c r="CU1085" s="139"/>
      <c r="CV1085" s="76"/>
      <c r="CW1085" s="123"/>
      <c r="CX1085" s="6"/>
      <c r="DI1085" s="125"/>
      <c r="DJ1085" s="16"/>
      <c r="DM1085" s="16"/>
      <c r="DN1085" s="16"/>
      <c r="DO1085" s="125"/>
      <c r="DP1085" s="16"/>
      <c r="DQ1085" s="125"/>
      <c r="DZ1085" s="125"/>
      <c r="EA1085" s="142"/>
      <c r="EB1085" s="125"/>
      <c r="EC1085" s="16"/>
      <c r="ED1085" s="125"/>
      <c r="EE1085" s="125"/>
      <c r="EF1085" s="16"/>
      <c r="EG1085" s="125"/>
      <c r="EQ1085" s="125"/>
      <c r="ER1085" s="16"/>
      <c r="ES1085" s="123"/>
      <c r="ET1085" s="19"/>
      <c r="EU1085" s="139"/>
      <c r="EV1085" s="139"/>
      <c r="EW1085" s="123"/>
      <c r="EX1085" s="123"/>
      <c r="EY1085" s="123"/>
      <c r="EZ1085" s="123"/>
      <c r="FA1085" s="123"/>
      <c r="FB1085" s="123"/>
      <c r="FC1085" s="6"/>
      <c r="FD1085" s="123"/>
      <c r="FE1085" s="6"/>
      <c r="FF1085" s="123"/>
      <c r="FG1085" s="6"/>
      <c r="FH1085" s="6"/>
      <c r="FI1085" s="6"/>
      <c r="FJ1085" s="6"/>
      <c r="FK1085" s="123"/>
      <c r="FL1085" s="6"/>
      <c r="FM1085" s="6"/>
      <c r="FN1085" s="6"/>
      <c r="FO1085" s="138"/>
      <c r="FP1085" s="138"/>
      <c r="FQ1085" s="123"/>
      <c r="FR1085" s="6"/>
      <c r="FS1085" s="6"/>
      <c r="FT1085" s="139"/>
      <c r="FU1085" s="139"/>
      <c r="FV1085" s="76"/>
      <c r="FW1085" s="123"/>
      <c r="FX1085" s="6"/>
    </row>
    <row r="1086" spans="35:180">
      <c r="AI1086" s="125"/>
      <c r="AJ1086" s="16"/>
      <c r="AM1086" s="16"/>
      <c r="AN1086" s="16"/>
      <c r="AO1086" s="125"/>
      <c r="AP1086" s="16"/>
      <c r="AQ1086" s="125"/>
      <c r="AZ1086" s="125"/>
      <c r="BA1086" s="142"/>
      <c r="BB1086" s="125"/>
      <c r="BC1086" s="16"/>
      <c r="BD1086" s="125"/>
      <c r="BE1086" s="125"/>
      <c r="BF1086" s="16"/>
      <c r="BG1086" s="125"/>
      <c r="BQ1086" s="125"/>
      <c r="BR1086" s="16"/>
      <c r="BS1086" s="123"/>
      <c r="BT1086" s="19"/>
      <c r="BU1086" s="139"/>
      <c r="BV1086" s="139"/>
      <c r="BW1086" s="123"/>
      <c r="BX1086" s="123"/>
      <c r="BY1086" s="123"/>
      <c r="BZ1086" s="123"/>
      <c r="CA1086" s="123"/>
      <c r="CB1086" s="123"/>
      <c r="CC1086" s="6"/>
      <c r="CD1086" s="123"/>
      <c r="CE1086" s="6"/>
      <c r="CF1086" s="123"/>
      <c r="CG1086" s="6"/>
      <c r="CH1086" s="6"/>
      <c r="CI1086" s="6"/>
      <c r="CJ1086" s="6"/>
      <c r="CK1086" s="123"/>
      <c r="CL1086" s="6"/>
      <c r="CM1086" s="6"/>
      <c r="CN1086" s="6"/>
      <c r="CO1086" s="138"/>
      <c r="CP1086" s="138"/>
      <c r="CQ1086" s="123"/>
      <c r="CR1086" s="6"/>
      <c r="CS1086" s="6"/>
      <c r="CT1086" s="139"/>
      <c r="CU1086" s="139"/>
      <c r="CV1086" s="76"/>
      <c r="CW1086" s="123"/>
      <c r="CX1086" s="6"/>
      <c r="DI1086" s="125"/>
      <c r="DJ1086" s="16"/>
      <c r="DM1086" s="16"/>
      <c r="DN1086" s="16"/>
      <c r="DO1086" s="125"/>
      <c r="DP1086" s="16"/>
      <c r="DQ1086" s="125"/>
      <c r="DZ1086" s="125"/>
      <c r="EA1086" s="142"/>
      <c r="EB1086" s="125"/>
      <c r="EC1086" s="16"/>
      <c r="ED1086" s="125"/>
      <c r="EE1086" s="125"/>
      <c r="EF1086" s="16"/>
      <c r="EG1086" s="125"/>
      <c r="EQ1086" s="125"/>
      <c r="ER1086" s="16"/>
      <c r="ES1086" s="123"/>
      <c r="ET1086" s="19"/>
      <c r="EU1086" s="139"/>
      <c r="EV1086" s="139"/>
      <c r="EW1086" s="123"/>
      <c r="EX1086" s="123"/>
      <c r="EY1086" s="123"/>
      <c r="EZ1086" s="123"/>
      <c r="FA1086" s="123"/>
      <c r="FB1086" s="123"/>
      <c r="FC1086" s="6"/>
      <c r="FD1086" s="123"/>
      <c r="FE1086" s="6"/>
      <c r="FF1086" s="123"/>
      <c r="FG1086" s="6"/>
      <c r="FH1086" s="6"/>
      <c r="FI1086" s="6"/>
      <c r="FJ1086" s="6"/>
      <c r="FK1086" s="123"/>
      <c r="FL1086" s="6"/>
      <c r="FM1086" s="6"/>
      <c r="FN1086" s="6"/>
      <c r="FO1086" s="138"/>
      <c r="FP1086" s="138"/>
      <c r="FQ1086" s="123"/>
      <c r="FR1086" s="6"/>
      <c r="FS1086" s="6"/>
      <c r="FT1086" s="139"/>
      <c r="FU1086" s="139"/>
      <c r="FV1086" s="76"/>
      <c r="FW1086" s="123"/>
      <c r="FX1086" s="6"/>
    </row>
    <row r="1087" spans="35:180">
      <c r="AI1087" s="125"/>
      <c r="AJ1087" s="16"/>
      <c r="AM1087" s="16"/>
      <c r="AN1087" s="16"/>
      <c r="AO1087" s="125"/>
      <c r="AP1087" s="16"/>
      <c r="AQ1087" s="125"/>
      <c r="AZ1087" s="125"/>
      <c r="BA1087" s="142"/>
      <c r="BB1087" s="125"/>
      <c r="BC1087" s="16"/>
      <c r="BD1087" s="125"/>
      <c r="BE1087" s="125"/>
      <c r="BF1087" s="16"/>
      <c r="BG1087" s="125"/>
      <c r="BQ1087" s="125"/>
      <c r="BR1087" s="16"/>
      <c r="BS1087" s="123"/>
      <c r="BT1087" s="19"/>
      <c r="BU1087" s="139"/>
      <c r="BV1087" s="139"/>
      <c r="BW1087" s="123"/>
      <c r="BX1087" s="123"/>
      <c r="BY1087" s="123"/>
      <c r="BZ1087" s="123"/>
      <c r="CA1087" s="123"/>
      <c r="CB1087" s="123"/>
      <c r="CC1087" s="6"/>
      <c r="CD1087" s="123"/>
      <c r="CE1087" s="6"/>
      <c r="CF1087" s="123"/>
      <c r="CG1087" s="6"/>
      <c r="CH1087" s="6"/>
      <c r="CI1087" s="6"/>
      <c r="CJ1087" s="6"/>
      <c r="CK1087" s="123"/>
      <c r="CL1087" s="6"/>
      <c r="CM1087" s="6"/>
      <c r="CN1087" s="6"/>
      <c r="CO1087" s="138"/>
      <c r="CP1087" s="138"/>
      <c r="CQ1087" s="123"/>
      <c r="CR1087" s="6"/>
      <c r="CS1087" s="6"/>
      <c r="CT1087" s="139"/>
      <c r="CU1087" s="139"/>
      <c r="CV1087" s="76"/>
      <c r="CW1087" s="123"/>
      <c r="CX1087" s="6"/>
      <c r="DI1087" s="125"/>
      <c r="DJ1087" s="16"/>
      <c r="DM1087" s="16"/>
      <c r="DN1087" s="16"/>
      <c r="DO1087" s="125"/>
      <c r="DP1087" s="16"/>
      <c r="DQ1087" s="125"/>
      <c r="DZ1087" s="125"/>
      <c r="EA1087" s="142"/>
      <c r="EB1087" s="125"/>
      <c r="EC1087" s="16"/>
      <c r="ED1087" s="125"/>
      <c r="EE1087" s="125"/>
      <c r="EF1087" s="16"/>
      <c r="EG1087" s="125"/>
      <c r="EQ1087" s="125"/>
      <c r="ER1087" s="16"/>
      <c r="ES1087" s="123"/>
      <c r="ET1087" s="19"/>
      <c r="EU1087" s="139"/>
      <c r="EV1087" s="139"/>
      <c r="EW1087" s="123"/>
      <c r="EX1087" s="123"/>
      <c r="EY1087" s="123"/>
      <c r="EZ1087" s="123"/>
      <c r="FA1087" s="123"/>
      <c r="FB1087" s="123"/>
      <c r="FC1087" s="6"/>
      <c r="FD1087" s="123"/>
      <c r="FE1087" s="6"/>
      <c r="FF1087" s="123"/>
      <c r="FG1087" s="6"/>
      <c r="FH1087" s="6"/>
      <c r="FI1087" s="6"/>
      <c r="FJ1087" s="6"/>
      <c r="FK1087" s="123"/>
      <c r="FL1087" s="6"/>
      <c r="FM1087" s="6"/>
      <c r="FN1087" s="6"/>
      <c r="FO1087" s="138"/>
      <c r="FP1087" s="138"/>
      <c r="FQ1087" s="123"/>
      <c r="FR1087" s="6"/>
      <c r="FS1087" s="6"/>
      <c r="FT1087" s="139"/>
      <c r="FU1087" s="139"/>
      <c r="FV1087" s="76"/>
      <c r="FW1087" s="123"/>
      <c r="FX1087" s="6"/>
    </row>
    <row r="1088" spans="35:180">
      <c r="AI1088" s="125"/>
      <c r="AJ1088" s="16"/>
      <c r="AM1088" s="16"/>
      <c r="AN1088" s="16"/>
      <c r="AO1088" s="125"/>
      <c r="AP1088" s="16"/>
      <c r="AQ1088" s="125"/>
      <c r="AZ1088" s="125"/>
      <c r="BA1088" s="142"/>
      <c r="BB1088" s="125"/>
      <c r="BC1088" s="16"/>
      <c r="BD1088" s="125"/>
      <c r="BE1088" s="125"/>
      <c r="BF1088" s="16"/>
      <c r="BG1088" s="125"/>
      <c r="BQ1088" s="125"/>
      <c r="BR1088" s="16"/>
      <c r="BS1088" s="123"/>
      <c r="BT1088" s="19"/>
      <c r="BU1088" s="139"/>
      <c r="BV1088" s="139"/>
      <c r="BW1088" s="123"/>
      <c r="BX1088" s="123"/>
      <c r="BY1088" s="123"/>
      <c r="BZ1088" s="123"/>
      <c r="CA1088" s="123"/>
      <c r="CB1088" s="123"/>
      <c r="CC1088" s="6"/>
      <c r="CD1088" s="123"/>
      <c r="CE1088" s="6"/>
      <c r="CF1088" s="123"/>
      <c r="CG1088" s="6"/>
      <c r="CH1088" s="6"/>
      <c r="CI1088" s="6"/>
      <c r="CJ1088" s="6"/>
      <c r="CK1088" s="123"/>
      <c r="CL1088" s="6"/>
      <c r="CM1088" s="6"/>
      <c r="CN1088" s="6"/>
      <c r="CO1088" s="138"/>
      <c r="CP1088" s="138"/>
      <c r="CQ1088" s="123"/>
      <c r="CR1088" s="6"/>
      <c r="CS1088" s="6"/>
      <c r="CT1088" s="139"/>
      <c r="CU1088" s="139"/>
      <c r="CV1088" s="76"/>
      <c r="CW1088" s="123"/>
      <c r="CX1088" s="6"/>
      <c r="DI1088" s="125"/>
      <c r="DJ1088" s="16"/>
      <c r="DM1088" s="16"/>
      <c r="DN1088" s="16"/>
      <c r="DO1088" s="125"/>
      <c r="DP1088" s="16"/>
      <c r="DQ1088" s="125"/>
      <c r="DZ1088" s="125"/>
      <c r="EA1088" s="142"/>
      <c r="EB1088" s="125"/>
      <c r="EC1088" s="16"/>
      <c r="ED1088" s="125"/>
      <c r="EE1088" s="125"/>
      <c r="EF1088" s="16"/>
      <c r="EG1088" s="125"/>
      <c r="EQ1088" s="125"/>
      <c r="ER1088" s="16"/>
      <c r="ES1088" s="123"/>
      <c r="ET1088" s="19"/>
      <c r="EU1088" s="139"/>
      <c r="EV1088" s="139"/>
      <c r="EW1088" s="123"/>
      <c r="EX1088" s="123"/>
      <c r="EY1088" s="123"/>
      <c r="EZ1088" s="123"/>
      <c r="FA1088" s="123"/>
      <c r="FB1088" s="123"/>
      <c r="FC1088" s="6"/>
      <c r="FD1088" s="123"/>
      <c r="FE1088" s="6"/>
      <c r="FF1088" s="123"/>
      <c r="FG1088" s="6"/>
      <c r="FH1088" s="6"/>
      <c r="FI1088" s="6"/>
      <c r="FJ1088" s="6"/>
      <c r="FK1088" s="123"/>
      <c r="FL1088" s="6"/>
      <c r="FM1088" s="6"/>
      <c r="FN1088" s="6"/>
      <c r="FO1088" s="138"/>
      <c r="FP1088" s="138"/>
      <c r="FQ1088" s="123"/>
      <c r="FR1088" s="6"/>
      <c r="FS1088" s="6"/>
      <c r="FT1088" s="139"/>
      <c r="FU1088" s="139"/>
      <c r="FV1088" s="76"/>
      <c r="FW1088" s="123"/>
      <c r="FX1088" s="6"/>
    </row>
    <row r="1089" spans="35:180">
      <c r="AI1089" s="125"/>
      <c r="AJ1089" s="16"/>
      <c r="AM1089" s="16"/>
      <c r="AN1089" s="16"/>
      <c r="AO1089" s="125"/>
      <c r="AP1089" s="16"/>
      <c r="AQ1089" s="125"/>
      <c r="AZ1089" s="125"/>
      <c r="BA1089" s="142"/>
      <c r="BB1089" s="125"/>
      <c r="BC1089" s="16"/>
      <c r="BD1089" s="125"/>
      <c r="BE1089" s="125"/>
      <c r="BF1089" s="16"/>
      <c r="BG1089" s="125"/>
      <c r="BQ1089" s="125"/>
      <c r="BR1089" s="16"/>
      <c r="BS1089" s="123"/>
      <c r="BT1089" s="19"/>
      <c r="BU1089" s="139"/>
      <c r="BV1089" s="139"/>
      <c r="BW1089" s="123"/>
      <c r="BX1089" s="123"/>
      <c r="BY1089" s="123"/>
      <c r="BZ1089" s="123"/>
      <c r="CA1089" s="123"/>
      <c r="CB1089" s="123"/>
      <c r="CC1089" s="6"/>
      <c r="CD1089" s="123"/>
      <c r="CE1089" s="6"/>
      <c r="CF1089" s="123"/>
      <c r="CG1089" s="6"/>
      <c r="CH1089" s="6"/>
      <c r="CI1089" s="6"/>
      <c r="CJ1089" s="6"/>
      <c r="CK1089" s="123"/>
      <c r="CL1089" s="6"/>
      <c r="CM1089" s="6"/>
      <c r="CN1089" s="6"/>
      <c r="CO1089" s="138"/>
      <c r="CP1089" s="138"/>
      <c r="CQ1089" s="123"/>
      <c r="CR1089" s="6"/>
      <c r="CS1089" s="6"/>
      <c r="CT1089" s="139"/>
      <c r="CU1089" s="139"/>
      <c r="CV1089" s="76"/>
      <c r="CW1089" s="123"/>
      <c r="CX1089" s="6"/>
      <c r="DI1089" s="125"/>
      <c r="DJ1089" s="16"/>
      <c r="DM1089" s="16"/>
      <c r="DN1089" s="16"/>
      <c r="DO1089" s="125"/>
      <c r="DP1089" s="16"/>
      <c r="DQ1089" s="125"/>
      <c r="DZ1089" s="125"/>
      <c r="EA1089" s="142"/>
      <c r="EB1089" s="125"/>
      <c r="EC1089" s="16"/>
      <c r="ED1089" s="125"/>
      <c r="EE1089" s="125"/>
      <c r="EF1089" s="16"/>
      <c r="EG1089" s="125"/>
      <c r="EQ1089" s="125"/>
      <c r="ER1089" s="16"/>
      <c r="ES1089" s="123"/>
      <c r="ET1089" s="19"/>
      <c r="EU1089" s="139"/>
      <c r="EV1089" s="139"/>
      <c r="EW1089" s="123"/>
      <c r="EX1089" s="123"/>
      <c r="EY1089" s="123"/>
      <c r="EZ1089" s="123"/>
      <c r="FA1089" s="123"/>
      <c r="FB1089" s="123"/>
      <c r="FC1089" s="6"/>
      <c r="FD1089" s="123"/>
      <c r="FE1089" s="6"/>
      <c r="FF1089" s="123"/>
      <c r="FG1089" s="6"/>
      <c r="FH1089" s="6"/>
      <c r="FI1089" s="6"/>
      <c r="FJ1089" s="6"/>
      <c r="FK1089" s="123"/>
      <c r="FL1089" s="6"/>
      <c r="FM1089" s="6"/>
      <c r="FN1089" s="6"/>
      <c r="FO1089" s="138"/>
      <c r="FP1089" s="138"/>
      <c r="FQ1089" s="123"/>
      <c r="FR1089" s="6"/>
      <c r="FS1089" s="6"/>
      <c r="FT1089" s="139"/>
      <c r="FU1089" s="139"/>
      <c r="FV1089" s="76"/>
      <c r="FW1089" s="123"/>
      <c r="FX1089" s="6"/>
    </row>
    <row r="1090" spans="35:180">
      <c r="AI1090" s="125"/>
      <c r="AJ1090" s="16"/>
      <c r="AM1090" s="16"/>
      <c r="AN1090" s="16"/>
      <c r="AO1090" s="125"/>
      <c r="AP1090" s="16"/>
      <c r="AQ1090" s="125"/>
      <c r="AZ1090" s="125"/>
      <c r="BA1090" s="142"/>
      <c r="BB1090" s="125"/>
      <c r="BC1090" s="16"/>
      <c r="BD1090" s="125"/>
      <c r="BE1090" s="125"/>
      <c r="BF1090" s="16"/>
      <c r="BG1090" s="125"/>
      <c r="BQ1090" s="125"/>
      <c r="BR1090" s="16"/>
      <c r="BS1090" s="123"/>
      <c r="BT1090" s="19"/>
      <c r="BU1090" s="139"/>
      <c r="BV1090" s="139"/>
      <c r="BW1090" s="123"/>
      <c r="BX1090" s="123"/>
      <c r="BY1090" s="123"/>
      <c r="BZ1090" s="123"/>
      <c r="CA1090" s="123"/>
      <c r="CB1090" s="123"/>
      <c r="CC1090" s="6"/>
      <c r="CD1090" s="123"/>
      <c r="CE1090" s="6"/>
      <c r="CF1090" s="123"/>
      <c r="CG1090" s="6"/>
      <c r="CH1090" s="6"/>
      <c r="CI1090" s="6"/>
      <c r="CJ1090" s="6"/>
      <c r="CK1090" s="123"/>
      <c r="CL1090" s="6"/>
      <c r="CM1090" s="6"/>
      <c r="CN1090" s="6"/>
      <c r="CO1090" s="138"/>
      <c r="CP1090" s="138"/>
      <c r="CQ1090" s="123"/>
      <c r="CR1090" s="6"/>
      <c r="CS1090" s="6"/>
      <c r="CT1090" s="139"/>
      <c r="CU1090" s="139"/>
      <c r="CV1090" s="76"/>
      <c r="CW1090" s="123"/>
      <c r="CX1090" s="6"/>
      <c r="DI1090" s="125"/>
      <c r="DJ1090" s="16"/>
      <c r="DM1090" s="16"/>
      <c r="DN1090" s="16"/>
      <c r="DO1090" s="125"/>
      <c r="DP1090" s="16"/>
      <c r="DQ1090" s="125"/>
      <c r="DZ1090" s="125"/>
      <c r="EA1090" s="142"/>
      <c r="EB1090" s="125"/>
      <c r="EC1090" s="16"/>
      <c r="ED1090" s="125"/>
      <c r="EE1090" s="125"/>
      <c r="EF1090" s="16"/>
      <c r="EG1090" s="125"/>
      <c r="EQ1090" s="125"/>
      <c r="ER1090" s="16"/>
      <c r="ES1090" s="123"/>
      <c r="ET1090" s="19"/>
      <c r="EU1090" s="139"/>
      <c r="EV1090" s="139"/>
      <c r="EW1090" s="123"/>
      <c r="EX1090" s="123"/>
      <c r="EY1090" s="123"/>
      <c r="EZ1090" s="123"/>
      <c r="FA1090" s="123"/>
      <c r="FB1090" s="123"/>
      <c r="FC1090" s="6"/>
      <c r="FD1090" s="123"/>
      <c r="FE1090" s="6"/>
      <c r="FF1090" s="123"/>
      <c r="FG1090" s="6"/>
      <c r="FH1090" s="6"/>
      <c r="FI1090" s="6"/>
      <c r="FJ1090" s="6"/>
      <c r="FK1090" s="123"/>
      <c r="FL1090" s="6"/>
      <c r="FM1090" s="6"/>
      <c r="FN1090" s="6"/>
      <c r="FO1090" s="138"/>
      <c r="FP1090" s="138"/>
      <c r="FQ1090" s="123"/>
      <c r="FR1090" s="6"/>
      <c r="FS1090" s="6"/>
      <c r="FT1090" s="139"/>
      <c r="FU1090" s="139"/>
      <c r="FV1090" s="76"/>
      <c r="FW1090" s="123"/>
      <c r="FX1090" s="6"/>
    </row>
    <row r="1091" spans="35:180">
      <c r="AI1091" s="125"/>
      <c r="AJ1091" s="16"/>
      <c r="AM1091" s="16"/>
      <c r="AN1091" s="16"/>
      <c r="AO1091" s="125"/>
      <c r="AP1091" s="16"/>
      <c r="AQ1091" s="125"/>
      <c r="AZ1091" s="125"/>
      <c r="BA1091" s="142"/>
      <c r="BB1091" s="125"/>
      <c r="BC1091" s="16"/>
      <c r="BD1091" s="125"/>
      <c r="BE1091" s="125"/>
      <c r="BF1091" s="16"/>
      <c r="BG1091" s="125"/>
      <c r="BQ1091" s="125"/>
      <c r="BR1091" s="16"/>
      <c r="BS1091" s="123"/>
      <c r="BT1091" s="19"/>
      <c r="BU1091" s="139"/>
      <c r="BV1091" s="139"/>
      <c r="BW1091" s="123"/>
      <c r="BX1091" s="123"/>
      <c r="BY1091" s="123"/>
      <c r="BZ1091" s="123"/>
      <c r="CA1091" s="123"/>
      <c r="CB1091" s="123"/>
      <c r="CC1091" s="6"/>
      <c r="CD1091" s="123"/>
      <c r="CE1091" s="6"/>
      <c r="CF1091" s="123"/>
      <c r="CG1091" s="6"/>
      <c r="CH1091" s="6"/>
      <c r="CI1091" s="6"/>
      <c r="CJ1091" s="6"/>
      <c r="CK1091" s="123"/>
      <c r="CL1091" s="6"/>
      <c r="CM1091" s="6"/>
      <c r="CN1091" s="6"/>
      <c r="CO1091" s="138"/>
      <c r="CP1091" s="138"/>
      <c r="CQ1091" s="123"/>
      <c r="CR1091" s="6"/>
      <c r="CS1091" s="6"/>
      <c r="CT1091" s="139"/>
      <c r="CU1091" s="139"/>
      <c r="CV1091" s="76"/>
      <c r="CW1091" s="123"/>
      <c r="CX1091" s="6"/>
      <c r="DI1091" s="125"/>
      <c r="DJ1091" s="16"/>
      <c r="DM1091" s="16"/>
      <c r="DN1091" s="16"/>
      <c r="DO1091" s="125"/>
      <c r="DP1091" s="16"/>
      <c r="DQ1091" s="125"/>
      <c r="DZ1091" s="125"/>
      <c r="EA1091" s="142"/>
      <c r="EB1091" s="125"/>
      <c r="EC1091" s="16"/>
      <c r="ED1091" s="125"/>
      <c r="EE1091" s="125"/>
      <c r="EF1091" s="16"/>
      <c r="EG1091" s="125"/>
      <c r="EQ1091" s="125"/>
      <c r="ER1091" s="16"/>
      <c r="ES1091" s="123"/>
      <c r="ET1091" s="19"/>
      <c r="EU1091" s="139"/>
      <c r="EV1091" s="139"/>
      <c r="EW1091" s="123"/>
      <c r="EX1091" s="123"/>
      <c r="EY1091" s="123"/>
      <c r="EZ1091" s="123"/>
      <c r="FA1091" s="123"/>
      <c r="FB1091" s="123"/>
      <c r="FC1091" s="6"/>
      <c r="FD1091" s="123"/>
      <c r="FE1091" s="6"/>
      <c r="FF1091" s="123"/>
      <c r="FG1091" s="6"/>
      <c r="FH1091" s="6"/>
      <c r="FI1091" s="6"/>
      <c r="FJ1091" s="6"/>
      <c r="FK1091" s="123"/>
      <c r="FL1091" s="6"/>
      <c r="FM1091" s="6"/>
      <c r="FN1091" s="6"/>
      <c r="FO1091" s="138"/>
      <c r="FP1091" s="138"/>
      <c r="FQ1091" s="123"/>
      <c r="FR1091" s="6"/>
      <c r="FS1091" s="6"/>
      <c r="FT1091" s="139"/>
      <c r="FU1091" s="139"/>
      <c r="FV1091" s="76"/>
      <c r="FW1091" s="123"/>
      <c r="FX1091" s="6"/>
    </row>
    <row r="1092" spans="35:180">
      <c r="AI1092" s="125"/>
      <c r="AJ1092" s="16"/>
      <c r="AM1092" s="16"/>
      <c r="AN1092" s="16"/>
      <c r="AO1092" s="125"/>
      <c r="AP1092" s="16"/>
      <c r="AQ1092" s="125"/>
      <c r="AZ1092" s="125"/>
      <c r="BA1092" s="142"/>
      <c r="BB1092" s="125"/>
      <c r="BC1092" s="16"/>
      <c r="BD1092" s="125"/>
      <c r="BE1092" s="125"/>
      <c r="BF1092" s="16"/>
      <c r="BG1092" s="125"/>
      <c r="BQ1092" s="125"/>
      <c r="BR1092" s="16"/>
      <c r="BS1092" s="123"/>
      <c r="BT1092" s="19"/>
      <c r="BU1092" s="139"/>
      <c r="BV1092" s="139"/>
      <c r="BW1092" s="123"/>
      <c r="BX1092" s="123"/>
      <c r="BY1092" s="123"/>
      <c r="BZ1092" s="123"/>
      <c r="CA1092" s="123"/>
      <c r="CB1092" s="123"/>
      <c r="CC1092" s="6"/>
      <c r="CD1092" s="123"/>
      <c r="CE1092" s="6"/>
      <c r="CF1092" s="123"/>
      <c r="CG1092" s="6"/>
      <c r="CH1092" s="6"/>
      <c r="CI1092" s="6"/>
      <c r="CJ1092" s="6"/>
      <c r="CK1092" s="123"/>
      <c r="CL1092" s="6"/>
      <c r="CM1092" s="6"/>
      <c r="CN1092" s="6"/>
      <c r="CO1092" s="138"/>
      <c r="CP1092" s="138"/>
      <c r="CQ1092" s="123"/>
      <c r="CR1092" s="6"/>
      <c r="CS1092" s="6"/>
      <c r="CT1092" s="139"/>
      <c r="CU1092" s="139"/>
      <c r="CV1092" s="76"/>
      <c r="CW1092" s="123"/>
      <c r="CX1092" s="6"/>
      <c r="DI1092" s="125"/>
      <c r="DJ1092" s="16"/>
      <c r="DM1092" s="16"/>
      <c r="DN1092" s="16"/>
      <c r="DO1092" s="125"/>
      <c r="DP1092" s="16"/>
      <c r="DQ1092" s="125"/>
      <c r="DZ1092" s="125"/>
      <c r="EA1092" s="142"/>
      <c r="EB1092" s="125"/>
      <c r="EC1092" s="16"/>
      <c r="ED1092" s="125"/>
      <c r="EE1092" s="125"/>
      <c r="EF1092" s="16"/>
      <c r="EG1092" s="125"/>
      <c r="EQ1092" s="125"/>
      <c r="ER1092" s="16"/>
      <c r="ES1092" s="123"/>
      <c r="ET1092" s="19"/>
      <c r="EU1092" s="139"/>
      <c r="EV1092" s="139"/>
      <c r="EW1092" s="123"/>
      <c r="EX1092" s="123"/>
      <c r="EY1092" s="123"/>
      <c r="EZ1092" s="123"/>
      <c r="FA1092" s="123"/>
      <c r="FB1092" s="123"/>
      <c r="FC1092" s="6"/>
      <c r="FD1092" s="123"/>
      <c r="FE1092" s="6"/>
      <c r="FF1092" s="123"/>
      <c r="FG1092" s="6"/>
      <c r="FH1092" s="6"/>
      <c r="FI1092" s="6"/>
      <c r="FJ1092" s="6"/>
      <c r="FK1092" s="123"/>
      <c r="FL1092" s="6"/>
      <c r="FM1092" s="6"/>
      <c r="FN1092" s="6"/>
      <c r="FO1092" s="138"/>
      <c r="FP1092" s="138"/>
      <c r="FQ1092" s="123"/>
      <c r="FR1092" s="6"/>
      <c r="FS1092" s="6"/>
      <c r="FT1092" s="139"/>
      <c r="FU1092" s="139"/>
      <c r="FV1092" s="76"/>
      <c r="FW1092" s="123"/>
      <c r="FX1092" s="6"/>
    </row>
    <row r="1093" spans="35:180">
      <c r="AI1093" s="125"/>
      <c r="AJ1093" s="16"/>
      <c r="AM1093" s="16"/>
      <c r="AN1093" s="16"/>
      <c r="AO1093" s="125"/>
      <c r="AP1093" s="16"/>
      <c r="AQ1093" s="125"/>
      <c r="AZ1093" s="125"/>
      <c r="BA1093" s="142"/>
      <c r="BB1093" s="125"/>
      <c r="BC1093" s="16"/>
      <c r="BD1093" s="125"/>
      <c r="BE1093" s="125"/>
      <c r="BF1093" s="16"/>
      <c r="BG1093" s="125"/>
      <c r="BQ1093" s="125"/>
      <c r="BR1093" s="16"/>
      <c r="BS1093" s="123"/>
      <c r="BT1093" s="19"/>
      <c r="BU1093" s="139"/>
      <c r="BV1093" s="139"/>
      <c r="BW1093" s="123"/>
      <c r="BX1093" s="123"/>
      <c r="BY1093" s="123"/>
      <c r="BZ1093" s="123"/>
      <c r="CA1093" s="123"/>
      <c r="CB1093" s="123"/>
      <c r="CC1093" s="6"/>
      <c r="CD1093" s="123"/>
      <c r="CE1093" s="6"/>
      <c r="CF1093" s="123"/>
      <c r="CG1093" s="6"/>
      <c r="CH1093" s="6"/>
      <c r="CI1093" s="6"/>
      <c r="CJ1093" s="6"/>
      <c r="CK1093" s="123"/>
      <c r="CL1093" s="6"/>
      <c r="CM1093" s="6"/>
      <c r="CN1093" s="6"/>
      <c r="CO1093" s="138"/>
      <c r="CP1093" s="138"/>
      <c r="CQ1093" s="123"/>
      <c r="CR1093" s="6"/>
      <c r="CS1093" s="6"/>
      <c r="CT1093" s="139"/>
      <c r="CU1093" s="139"/>
      <c r="CV1093" s="76"/>
      <c r="CW1093" s="123"/>
      <c r="CX1093" s="6"/>
      <c r="DI1093" s="125"/>
      <c r="DJ1093" s="16"/>
      <c r="DM1093" s="16"/>
      <c r="DN1093" s="16"/>
      <c r="DO1093" s="125"/>
      <c r="DP1093" s="16"/>
      <c r="DQ1093" s="125"/>
      <c r="DZ1093" s="125"/>
      <c r="EA1093" s="142"/>
      <c r="EB1093" s="125"/>
      <c r="EC1093" s="16"/>
      <c r="ED1093" s="125"/>
      <c r="EE1093" s="125"/>
      <c r="EF1093" s="16"/>
      <c r="EG1093" s="125"/>
      <c r="EQ1093" s="125"/>
      <c r="ER1093" s="16"/>
      <c r="ES1093" s="123"/>
      <c r="ET1093" s="19"/>
      <c r="EU1093" s="139"/>
      <c r="EV1093" s="139"/>
      <c r="EW1093" s="123"/>
      <c r="EX1093" s="123"/>
      <c r="EY1093" s="123"/>
      <c r="EZ1093" s="123"/>
      <c r="FA1093" s="123"/>
      <c r="FB1093" s="123"/>
      <c r="FC1093" s="6"/>
      <c r="FD1093" s="123"/>
      <c r="FE1093" s="6"/>
      <c r="FF1093" s="123"/>
      <c r="FG1093" s="6"/>
      <c r="FH1093" s="6"/>
      <c r="FI1093" s="6"/>
      <c r="FJ1093" s="6"/>
      <c r="FK1093" s="123"/>
      <c r="FL1093" s="6"/>
      <c r="FM1093" s="6"/>
      <c r="FN1093" s="6"/>
      <c r="FO1093" s="138"/>
      <c r="FP1093" s="138"/>
      <c r="FQ1093" s="123"/>
      <c r="FR1093" s="6"/>
      <c r="FS1093" s="6"/>
      <c r="FT1093" s="139"/>
      <c r="FU1093" s="139"/>
      <c r="FV1093" s="76"/>
      <c r="FW1093" s="123"/>
      <c r="FX1093" s="6"/>
    </row>
    <row r="1094" spans="35:180">
      <c r="AI1094" s="125"/>
      <c r="AJ1094" s="16"/>
      <c r="AM1094" s="16"/>
      <c r="AN1094" s="16"/>
      <c r="AO1094" s="125"/>
      <c r="AP1094" s="16"/>
      <c r="AQ1094" s="125"/>
      <c r="AZ1094" s="125"/>
      <c r="BA1094" s="142"/>
      <c r="BB1094" s="125"/>
      <c r="BC1094" s="16"/>
      <c r="BD1094" s="125"/>
      <c r="BE1094" s="125"/>
      <c r="BF1094" s="16"/>
      <c r="BG1094" s="125"/>
      <c r="BQ1094" s="125"/>
      <c r="BR1094" s="16"/>
      <c r="BS1094" s="123"/>
      <c r="BT1094" s="19"/>
      <c r="BU1094" s="139"/>
      <c r="BV1094" s="139"/>
      <c r="BW1094" s="123"/>
      <c r="BX1094" s="123"/>
      <c r="BY1094" s="123"/>
      <c r="BZ1094" s="123"/>
      <c r="CA1094" s="123"/>
      <c r="CB1094" s="123"/>
      <c r="CC1094" s="6"/>
      <c r="CD1094" s="123"/>
      <c r="CE1094" s="6"/>
      <c r="CF1094" s="123"/>
      <c r="CG1094" s="6"/>
      <c r="CH1094" s="6"/>
      <c r="CI1094" s="6"/>
      <c r="CJ1094" s="6"/>
      <c r="CK1094" s="123"/>
      <c r="CL1094" s="6"/>
      <c r="CM1094" s="6"/>
      <c r="CN1094" s="6"/>
      <c r="CO1094" s="138"/>
      <c r="CP1094" s="138"/>
      <c r="CQ1094" s="123"/>
      <c r="CR1094" s="6"/>
      <c r="CS1094" s="6"/>
      <c r="CT1094" s="139"/>
      <c r="CU1094" s="139"/>
      <c r="CV1094" s="76"/>
      <c r="CW1094" s="123"/>
      <c r="CX1094" s="6"/>
      <c r="DI1094" s="125"/>
      <c r="DJ1094" s="16"/>
      <c r="DM1094" s="16"/>
      <c r="DN1094" s="16"/>
      <c r="DO1094" s="125"/>
      <c r="DP1094" s="16"/>
      <c r="DQ1094" s="125"/>
      <c r="DZ1094" s="125"/>
      <c r="EA1094" s="142"/>
      <c r="EB1094" s="125"/>
      <c r="EC1094" s="16"/>
      <c r="ED1094" s="125"/>
      <c r="EE1094" s="125"/>
      <c r="EF1094" s="16"/>
      <c r="EG1094" s="125"/>
      <c r="EQ1094" s="125"/>
      <c r="ER1094" s="16"/>
      <c r="ES1094" s="123"/>
      <c r="ET1094" s="19"/>
      <c r="EU1094" s="139"/>
      <c r="EV1094" s="139"/>
      <c r="EW1094" s="123"/>
      <c r="EX1094" s="123"/>
      <c r="EY1094" s="123"/>
      <c r="EZ1094" s="123"/>
      <c r="FA1094" s="123"/>
      <c r="FB1094" s="123"/>
      <c r="FC1094" s="6"/>
      <c r="FD1094" s="123"/>
      <c r="FE1094" s="6"/>
      <c r="FF1094" s="123"/>
      <c r="FG1094" s="6"/>
      <c r="FH1094" s="6"/>
      <c r="FI1094" s="6"/>
      <c r="FJ1094" s="6"/>
      <c r="FK1094" s="123"/>
      <c r="FL1094" s="6"/>
      <c r="FM1094" s="6"/>
      <c r="FN1094" s="6"/>
      <c r="FO1094" s="138"/>
      <c r="FP1094" s="138"/>
      <c r="FQ1094" s="123"/>
      <c r="FR1094" s="6"/>
      <c r="FS1094" s="6"/>
      <c r="FT1094" s="139"/>
      <c r="FU1094" s="139"/>
      <c r="FV1094" s="76"/>
      <c r="FW1094" s="123"/>
      <c r="FX1094" s="6"/>
    </row>
    <row r="1095" spans="35:180">
      <c r="AI1095" s="125"/>
      <c r="AJ1095" s="16"/>
      <c r="AM1095" s="16"/>
      <c r="AN1095" s="16"/>
      <c r="AO1095" s="125"/>
      <c r="AP1095" s="16"/>
      <c r="AQ1095" s="125"/>
      <c r="AZ1095" s="125"/>
      <c r="BA1095" s="142"/>
      <c r="BB1095" s="125"/>
      <c r="BC1095" s="16"/>
      <c r="BD1095" s="125"/>
      <c r="BE1095" s="125"/>
      <c r="BF1095" s="16"/>
      <c r="BG1095" s="125"/>
      <c r="BQ1095" s="125"/>
      <c r="BR1095" s="16"/>
      <c r="BS1095" s="123"/>
      <c r="BT1095" s="19"/>
      <c r="BU1095" s="139"/>
      <c r="BV1095" s="139"/>
      <c r="BW1095" s="123"/>
      <c r="BX1095" s="123"/>
      <c r="BY1095" s="123"/>
      <c r="BZ1095" s="123"/>
      <c r="CA1095" s="123"/>
      <c r="CB1095" s="123"/>
      <c r="CC1095" s="6"/>
      <c r="CD1095" s="123"/>
      <c r="CE1095" s="6"/>
      <c r="CF1095" s="123"/>
      <c r="CG1095" s="6"/>
      <c r="CH1095" s="6"/>
      <c r="CI1095" s="6"/>
      <c r="CJ1095" s="6"/>
      <c r="CK1095" s="123"/>
      <c r="CL1095" s="6"/>
      <c r="CM1095" s="6"/>
      <c r="CN1095" s="6"/>
      <c r="CO1095" s="138"/>
      <c r="CP1095" s="138"/>
      <c r="CQ1095" s="123"/>
      <c r="CR1095" s="6"/>
      <c r="CS1095" s="6"/>
      <c r="CT1095" s="139"/>
      <c r="CU1095" s="139"/>
      <c r="CV1095" s="76"/>
      <c r="CW1095" s="123"/>
      <c r="CX1095" s="6"/>
      <c r="DI1095" s="125"/>
      <c r="DJ1095" s="16"/>
      <c r="DM1095" s="16"/>
      <c r="DN1095" s="16"/>
      <c r="DO1095" s="125"/>
      <c r="DP1095" s="16"/>
      <c r="DQ1095" s="125"/>
      <c r="DZ1095" s="125"/>
      <c r="EA1095" s="142"/>
      <c r="EB1095" s="125"/>
      <c r="EC1095" s="16"/>
      <c r="ED1095" s="125"/>
      <c r="EE1095" s="125"/>
      <c r="EF1095" s="16"/>
      <c r="EG1095" s="125"/>
      <c r="EQ1095" s="125"/>
      <c r="ER1095" s="16"/>
      <c r="ES1095" s="123"/>
      <c r="ET1095" s="19"/>
      <c r="EU1095" s="139"/>
      <c r="EV1095" s="139"/>
      <c r="EW1095" s="123"/>
      <c r="EX1095" s="123"/>
      <c r="EY1095" s="123"/>
      <c r="EZ1095" s="123"/>
      <c r="FA1095" s="123"/>
      <c r="FB1095" s="123"/>
      <c r="FC1095" s="6"/>
      <c r="FD1095" s="123"/>
      <c r="FE1095" s="6"/>
      <c r="FF1095" s="123"/>
      <c r="FG1095" s="6"/>
      <c r="FH1095" s="6"/>
      <c r="FI1095" s="6"/>
      <c r="FJ1095" s="6"/>
      <c r="FK1095" s="123"/>
      <c r="FL1095" s="6"/>
      <c r="FM1095" s="6"/>
      <c r="FN1095" s="6"/>
      <c r="FO1095" s="138"/>
      <c r="FP1095" s="138"/>
      <c r="FQ1095" s="123"/>
      <c r="FR1095" s="6"/>
      <c r="FS1095" s="6"/>
      <c r="FT1095" s="139"/>
      <c r="FU1095" s="139"/>
      <c r="FV1095" s="76"/>
      <c r="FW1095" s="123"/>
      <c r="FX1095" s="6"/>
    </row>
    <row r="1096" spans="35:180">
      <c r="AI1096" s="125"/>
      <c r="AJ1096" s="16"/>
      <c r="AM1096" s="16"/>
      <c r="AN1096" s="16"/>
      <c r="AO1096" s="125"/>
      <c r="AP1096" s="16"/>
      <c r="AQ1096" s="125"/>
      <c r="AZ1096" s="125"/>
      <c r="BA1096" s="142"/>
      <c r="BB1096" s="125"/>
      <c r="BC1096" s="16"/>
      <c r="BD1096" s="125"/>
      <c r="BE1096" s="125"/>
      <c r="BF1096" s="16"/>
      <c r="BG1096" s="125"/>
      <c r="BQ1096" s="125"/>
      <c r="BR1096" s="16"/>
      <c r="BS1096" s="123"/>
      <c r="BT1096" s="19"/>
      <c r="BU1096" s="139"/>
      <c r="BV1096" s="139"/>
      <c r="BW1096" s="123"/>
      <c r="BX1096" s="123"/>
      <c r="BY1096" s="123"/>
      <c r="BZ1096" s="123"/>
      <c r="CA1096" s="123"/>
      <c r="CB1096" s="123"/>
      <c r="CC1096" s="6"/>
      <c r="CD1096" s="123"/>
      <c r="CE1096" s="6"/>
      <c r="CF1096" s="123"/>
      <c r="CG1096" s="6"/>
      <c r="CH1096" s="6"/>
      <c r="CI1096" s="6"/>
      <c r="CJ1096" s="6"/>
      <c r="CK1096" s="123"/>
      <c r="CL1096" s="6"/>
      <c r="CM1096" s="6"/>
      <c r="CN1096" s="6"/>
      <c r="CO1096" s="138"/>
      <c r="CP1096" s="138"/>
      <c r="CQ1096" s="123"/>
      <c r="CR1096" s="6"/>
      <c r="CS1096" s="6"/>
      <c r="CT1096" s="139"/>
      <c r="CU1096" s="139"/>
      <c r="CV1096" s="76"/>
      <c r="CW1096" s="123"/>
      <c r="CX1096" s="6"/>
      <c r="DI1096" s="125"/>
      <c r="DJ1096" s="16"/>
      <c r="DM1096" s="16"/>
      <c r="DN1096" s="16"/>
      <c r="DO1096" s="125"/>
      <c r="DP1096" s="16"/>
      <c r="DQ1096" s="125"/>
      <c r="DZ1096" s="125"/>
      <c r="EA1096" s="142"/>
      <c r="EB1096" s="125"/>
      <c r="EC1096" s="16"/>
      <c r="ED1096" s="125"/>
      <c r="EE1096" s="125"/>
      <c r="EF1096" s="16"/>
      <c r="EG1096" s="125"/>
      <c r="EQ1096" s="125"/>
      <c r="ER1096" s="16"/>
      <c r="ES1096" s="123"/>
      <c r="ET1096" s="19"/>
      <c r="EU1096" s="139"/>
      <c r="EV1096" s="139"/>
      <c r="EW1096" s="123"/>
      <c r="EX1096" s="123"/>
      <c r="EY1096" s="123"/>
      <c r="EZ1096" s="123"/>
      <c r="FA1096" s="123"/>
      <c r="FB1096" s="123"/>
      <c r="FC1096" s="6"/>
      <c r="FD1096" s="123"/>
      <c r="FE1096" s="6"/>
      <c r="FF1096" s="123"/>
      <c r="FG1096" s="6"/>
      <c r="FH1096" s="6"/>
      <c r="FI1096" s="6"/>
      <c r="FJ1096" s="6"/>
      <c r="FK1096" s="123"/>
      <c r="FL1096" s="6"/>
      <c r="FM1096" s="6"/>
      <c r="FN1096" s="6"/>
      <c r="FO1096" s="138"/>
      <c r="FP1096" s="138"/>
      <c r="FQ1096" s="123"/>
      <c r="FR1096" s="6"/>
      <c r="FS1096" s="6"/>
      <c r="FT1096" s="139"/>
      <c r="FU1096" s="139"/>
      <c r="FV1096" s="76"/>
      <c r="FW1096" s="123"/>
      <c r="FX1096" s="6"/>
    </row>
    <row r="1097" spans="35:180">
      <c r="AI1097" s="125"/>
      <c r="AJ1097" s="16"/>
      <c r="AM1097" s="16"/>
      <c r="AN1097" s="16"/>
      <c r="AO1097" s="125"/>
      <c r="AP1097" s="16"/>
      <c r="AQ1097" s="125"/>
      <c r="AZ1097" s="125"/>
      <c r="BA1097" s="142"/>
      <c r="BB1097" s="125"/>
      <c r="BC1097" s="16"/>
      <c r="BD1097" s="125"/>
      <c r="BE1097" s="125"/>
      <c r="BF1097" s="16"/>
      <c r="BG1097" s="125"/>
      <c r="BQ1097" s="125"/>
      <c r="BR1097" s="16"/>
      <c r="BS1097" s="123"/>
      <c r="BT1097" s="19"/>
      <c r="BU1097" s="139"/>
      <c r="BV1097" s="139"/>
      <c r="BW1097" s="123"/>
      <c r="BX1097" s="123"/>
      <c r="BY1097" s="123"/>
      <c r="BZ1097" s="123"/>
      <c r="CA1097" s="123"/>
      <c r="CB1097" s="123"/>
      <c r="CC1097" s="6"/>
      <c r="CD1097" s="123"/>
      <c r="CE1097" s="6"/>
      <c r="CF1097" s="123"/>
      <c r="CG1097" s="6"/>
      <c r="CH1097" s="6"/>
      <c r="CI1097" s="6"/>
      <c r="CJ1097" s="6"/>
      <c r="CK1097" s="123"/>
      <c r="CL1097" s="6"/>
      <c r="CM1097" s="6"/>
      <c r="CN1097" s="6"/>
      <c r="CO1097" s="138"/>
      <c r="CP1097" s="138"/>
      <c r="CQ1097" s="123"/>
      <c r="CR1097" s="6"/>
      <c r="CS1097" s="6"/>
      <c r="CT1097" s="139"/>
      <c r="CU1097" s="139"/>
      <c r="CV1097" s="76"/>
      <c r="CW1097" s="123"/>
      <c r="CX1097" s="6"/>
      <c r="DI1097" s="125"/>
      <c r="DJ1097" s="16"/>
      <c r="DM1097" s="16"/>
      <c r="DN1097" s="16"/>
      <c r="DO1097" s="125"/>
      <c r="DP1097" s="16"/>
      <c r="DQ1097" s="125"/>
      <c r="DZ1097" s="125"/>
      <c r="EA1097" s="142"/>
      <c r="EB1097" s="125"/>
      <c r="EC1097" s="16"/>
      <c r="ED1097" s="125"/>
      <c r="EE1097" s="125"/>
      <c r="EF1097" s="16"/>
      <c r="EG1097" s="125"/>
      <c r="EQ1097" s="125"/>
      <c r="ER1097" s="16"/>
      <c r="ES1097" s="123"/>
      <c r="ET1097" s="19"/>
      <c r="EU1097" s="139"/>
      <c r="EV1097" s="139"/>
      <c r="EW1097" s="123"/>
      <c r="EX1097" s="123"/>
      <c r="EY1097" s="123"/>
      <c r="EZ1097" s="123"/>
      <c r="FA1097" s="123"/>
      <c r="FB1097" s="123"/>
      <c r="FC1097" s="6"/>
      <c r="FD1097" s="123"/>
      <c r="FE1097" s="6"/>
      <c r="FF1097" s="123"/>
      <c r="FG1097" s="6"/>
      <c r="FH1097" s="6"/>
      <c r="FI1097" s="6"/>
      <c r="FJ1097" s="6"/>
      <c r="FK1097" s="123"/>
      <c r="FL1097" s="6"/>
      <c r="FM1097" s="6"/>
      <c r="FN1097" s="6"/>
      <c r="FO1097" s="138"/>
      <c r="FP1097" s="138"/>
      <c r="FQ1097" s="123"/>
      <c r="FR1097" s="6"/>
      <c r="FS1097" s="6"/>
      <c r="FT1097" s="139"/>
      <c r="FU1097" s="139"/>
      <c r="FV1097" s="76"/>
      <c r="FW1097" s="123"/>
      <c r="FX1097" s="6"/>
    </row>
    <row r="1098" spans="35:180">
      <c r="AI1098" s="125"/>
      <c r="AJ1098" s="16"/>
      <c r="AM1098" s="16"/>
      <c r="AN1098" s="16"/>
      <c r="AO1098" s="125"/>
      <c r="AP1098" s="16"/>
      <c r="AQ1098" s="125"/>
      <c r="AZ1098" s="125"/>
      <c r="BA1098" s="142"/>
      <c r="BB1098" s="125"/>
      <c r="BC1098" s="16"/>
      <c r="BD1098" s="125"/>
      <c r="BE1098" s="125"/>
      <c r="BF1098" s="16"/>
      <c r="BG1098" s="125"/>
      <c r="BQ1098" s="125"/>
      <c r="BR1098" s="16"/>
      <c r="BS1098" s="123"/>
      <c r="BT1098" s="19"/>
      <c r="BU1098" s="139"/>
      <c r="BV1098" s="139"/>
      <c r="BW1098" s="123"/>
      <c r="BX1098" s="123"/>
      <c r="BY1098" s="123"/>
      <c r="BZ1098" s="123"/>
      <c r="CA1098" s="123"/>
      <c r="CB1098" s="123"/>
      <c r="CC1098" s="6"/>
      <c r="CD1098" s="123"/>
      <c r="CE1098" s="6"/>
      <c r="CF1098" s="123"/>
      <c r="CG1098" s="6"/>
      <c r="CH1098" s="6"/>
      <c r="CI1098" s="6"/>
      <c r="CJ1098" s="6"/>
      <c r="CK1098" s="123"/>
      <c r="CL1098" s="6"/>
      <c r="CM1098" s="6"/>
      <c r="CN1098" s="6"/>
      <c r="CO1098" s="138"/>
      <c r="CP1098" s="138"/>
      <c r="CQ1098" s="123"/>
      <c r="CR1098" s="6"/>
      <c r="CS1098" s="6"/>
      <c r="CT1098" s="139"/>
      <c r="CU1098" s="139"/>
      <c r="CV1098" s="76"/>
      <c r="CW1098" s="123"/>
      <c r="CX1098" s="6"/>
      <c r="DI1098" s="125"/>
      <c r="DJ1098" s="16"/>
      <c r="DM1098" s="16"/>
      <c r="DN1098" s="16"/>
      <c r="DO1098" s="125"/>
      <c r="DP1098" s="16"/>
      <c r="DQ1098" s="125"/>
      <c r="DZ1098" s="125"/>
      <c r="EA1098" s="142"/>
      <c r="EB1098" s="125"/>
      <c r="EC1098" s="16"/>
      <c r="ED1098" s="125"/>
      <c r="EE1098" s="125"/>
      <c r="EF1098" s="16"/>
      <c r="EG1098" s="125"/>
      <c r="EQ1098" s="125"/>
      <c r="ER1098" s="16"/>
      <c r="ES1098" s="123"/>
      <c r="ET1098" s="19"/>
      <c r="EU1098" s="139"/>
      <c r="EV1098" s="139"/>
      <c r="EW1098" s="123"/>
      <c r="EX1098" s="123"/>
      <c r="EY1098" s="123"/>
      <c r="EZ1098" s="123"/>
      <c r="FA1098" s="123"/>
      <c r="FB1098" s="123"/>
      <c r="FC1098" s="6"/>
      <c r="FD1098" s="123"/>
      <c r="FE1098" s="6"/>
      <c r="FF1098" s="123"/>
      <c r="FG1098" s="6"/>
      <c r="FH1098" s="6"/>
      <c r="FI1098" s="6"/>
      <c r="FJ1098" s="6"/>
      <c r="FK1098" s="123"/>
      <c r="FL1098" s="6"/>
      <c r="FM1098" s="6"/>
      <c r="FN1098" s="6"/>
      <c r="FO1098" s="138"/>
      <c r="FP1098" s="138"/>
      <c r="FQ1098" s="123"/>
      <c r="FR1098" s="6"/>
      <c r="FS1098" s="6"/>
      <c r="FT1098" s="139"/>
      <c r="FU1098" s="139"/>
      <c r="FV1098" s="76"/>
      <c r="FW1098" s="123"/>
      <c r="FX1098" s="6"/>
    </row>
    <row r="1099" spans="35:180">
      <c r="AI1099" s="125"/>
      <c r="AJ1099" s="16"/>
      <c r="AM1099" s="16"/>
      <c r="AN1099" s="16"/>
      <c r="AO1099" s="125"/>
      <c r="AP1099" s="16"/>
      <c r="AQ1099" s="125"/>
      <c r="AZ1099" s="125"/>
      <c r="BA1099" s="142"/>
      <c r="BB1099" s="125"/>
      <c r="BC1099" s="16"/>
      <c r="BD1099" s="125"/>
      <c r="BE1099" s="125"/>
      <c r="BF1099" s="16"/>
      <c r="BG1099" s="125"/>
      <c r="BQ1099" s="125"/>
      <c r="BR1099" s="16"/>
      <c r="BS1099" s="123"/>
      <c r="BT1099" s="19"/>
      <c r="BU1099" s="139"/>
      <c r="BV1099" s="139"/>
      <c r="BW1099" s="123"/>
      <c r="BX1099" s="123"/>
      <c r="BY1099" s="123"/>
      <c r="BZ1099" s="123"/>
      <c r="CA1099" s="123"/>
      <c r="CB1099" s="123"/>
      <c r="CC1099" s="6"/>
      <c r="CD1099" s="123"/>
      <c r="CE1099" s="6"/>
      <c r="CF1099" s="123"/>
      <c r="CG1099" s="6"/>
      <c r="CH1099" s="6"/>
      <c r="CI1099" s="6"/>
      <c r="CJ1099" s="6"/>
      <c r="CK1099" s="123"/>
      <c r="CL1099" s="6"/>
      <c r="CM1099" s="6"/>
      <c r="CN1099" s="6"/>
      <c r="CO1099" s="138"/>
      <c r="CP1099" s="138"/>
      <c r="CQ1099" s="123"/>
      <c r="CR1099" s="6"/>
      <c r="CS1099" s="6"/>
      <c r="CT1099" s="139"/>
      <c r="CU1099" s="139"/>
      <c r="CV1099" s="76"/>
      <c r="CW1099" s="123"/>
      <c r="CX1099" s="6"/>
      <c r="DI1099" s="125"/>
      <c r="DJ1099" s="16"/>
      <c r="DM1099" s="16"/>
      <c r="DN1099" s="16"/>
      <c r="DO1099" s="125"/>
      <c r="DP1099" s="16"/>
      <c r="DQ1099" s="125"/>
      <c r="DZ1099" s="125"/>
      <c r="EA1099" s="142"/>
      <c r="EB1099" s="125"/>
      <c r="EC1099" s="16"/>
      <c r="ED1099" s="125"/>
      <c r="EE1099" s="125"/>
      <c r="EF1099" s="16"/>
      <c r="EG1099" s="125"/>
      <c r="EQ1099" s="125"/>
      <c r="ER1099" s="16"/>
      <c r="ES1099" s="123"/>
      <c r="ET1099" s="19"/>
      <c r="EU1099" s="139"/>
      <c r="EV1099" s="139"/>
      <c r="EW1099" s="123"/>
      <c r="EX1099" s="123"/>
      <c r="EY1099" s="123"/>
      <c r="EZ1099" s="123"/>
      <c r="FA1099" s="123"/>
      <c r="FB1099" s="123"/>
      <c r="FC1099" s="6"/>
      <c r="FD1099" s="123"/>
      <c r="FE1099" s="6"/>
      <c r="FF1099" s="123"/>
      <c r="FG1099" s="6"/>
      <c r="FH1099" s="6"/>
      <c r="FI1099" s="6"/>
      <c r="FJ1099" s="6"/>
      <c r="FK1099" s="123"/>
      <c r="FL1099" s="6"/>
      <c r="FM1099" s="6"/>
      <c r="FN1099" s="6"/>
      <c r="FO1099" s="138"/>
      <c r="FP1099" s="138"/>
      <c r="FQ1099" s="123"/>
      <c r="FR1099" s="6"/>
      <c r="FS1099" s="6"/>
      <c r="FT1099" s="139"/>
      <c r="FU1099" s="139"/>
      <c r="FV1099" s="76"/>
      <c r="FW1099" s="123"/>
      <c r="FX1099" s="6"/>
    </row>
    <row r="1100" spans="35:180">
      <c r="AI1100" s="125"/>
      <c r="AJ1100" s="16"/>
      <c r="AM1100" s="16"/>
      <c r="AN1100" s="16"/>
      <c r="AO1100" s="125"/>
      <c r="AP1100" s="16"/>
      <c r="AQ1100" s="125"/>
      <c r="AZ1100" s="125"/>
      <c r="BA1100" s="142"/>
      <c r="BB1100" s="125"/>
      <c r="BC1100" s="16"/>
      <c r="BD1100" s="125"/>
      <c r="BE1100" s="125"/>
      <c r="BF1100" s="16"/>
      <c r="BG1100" s="125"/>
      <c r="BQ1100" s="125"/>
      <c r="BR1100" s="16"/>
      <c r="BS1100" s="123"/>
      <c r="BT1100" s="19"/>
      <c r="BU1100" s="139"/>
      <c r="BV1100" s="139"/>
      <c r="BW1100" s="123"/>
      <c r="BX1100" s="123"/>
      <c r="BY1100" s="123"/>
      <c r="BZ1100" s="123"/>
      <c r="CA1100" s="123"/>
      <c r="CB1100" s="123"/>
      <c r="CC1100" s="6"/>
      <c r="CD1100" s="123"/>
      <c r="CE1100" s="6"/>
      <c r="CF1100" s="123"/>
      <c r="CG1100" s="6"/>
      <c r="CH1100" s="6"/>
      <c r="CI1100" s="6"/>
      <c r="CJ1100" s="6"/>
      <c r="CK1100" s="123"/>
      <c r="CL1100" s="6"/>
      <c r="CM1100" s="6"/>
      <c r="CN1100" s="6"/>
      <c r="CO1100" s="138"/>
      <c r="CP1100" s="138"/>
      <c r="CQ1100" s="123"/>
      <c r="CR1100" s="6"/>
      <c r="CS1100" s="6"/>
      <c r="CT1100" s="139"/>
      <c r="CU1100" s="139"/>
      <c r="CV1100" s="76"/>
      <c r="CW1100" s="123"/>
      <c r="CX1100" s="6"/>
      <c r="DI1100" s="125"/>
      <c r="DJ1100" s="16"/>
      <c r="DM1100" s="16"/>
      <c r="DN1100" s="16"/>
      <c r="DO1100" s="125"/>
      <c r="DP1100" s="16"/>
      <c r="DQ1100" s="125"/>
      <c r="DZ1100" s="125"/>
      <c r="EA1100" s="142"/>
      <c r="EB1100" s="125"/>
      <c r="EC1100" s="16"/>
      <c r="ED1100" s="125"/>
      <c r="EE1100" s="125"/>
      <c r="EF1100" s="16"/>
      <c r="EG1100" s="125"/>
      <c r="EQ1100" s="125"/>
      <c r="ER1100" s="16"/>
      <c r="ES1100" s="123"/>
      <c r="ET1100" s="19"/>
      <c r="EU1100" s="139"/>
      <c r="EV1100" s="139"/>
      <c r="EW1100" s="123"/>
      <c r="EX1100" s="123"/>
      <c r="EY1100" s="123"/>
      <c r="EZ1100" s="123"/>
      <c r="FA1100" s="123"/>
      <c r="FB1100" s="123"/>
      <c r="FC1100" s="6"/>
      <c r="FD1100" s="123"/>
      <c r="FE1100" s="6"/>
      <c r="FF1100" s="123"/>
      <c r="FG1100" s="6"/>
      <c r="FH1100" s="6"/>
      <c r="FI1100" s="6"/>
      <c r="FJ1100" s="6"/>
      <c r="FK1100" s="123"/>
      <c r="FL1100" s="6"/>
      <c r="FM1100" s="6"/>
      <c r="FN1100" s="6"/>
      <c r="FO1100" s="138"/>
      <c r="FP1100" s="138"/>
      <c r="FQ1100" s="123"/>
      <c r="FR1100" s="6"/>
      <c r="FS1100" s="6"/>
      <c r="FT1100" s="139"/>
      <c r="FU1100" s="139"/>
      <c r="FV1100" s="76"/>
      <c r="FW1100" s="123"/>
      <c r="FX1100" s="6"/>
    </row>
    <row r="1101" spans="35:180">
      <c r="AI1101" s="125"/>
      <c r="AJ1101" s="16"/>
      <c r="AM1101" s="16"/>
      <c r="AN1101" s="16"/>
      <c r="AO1101" s="125"/>
      <c r="AP1101" s="16"/>
      <c r="AQ1101" s="125"/>
      <c r="AZ1101" s="125"/>
      <c r="BA1101" s="142"/>
      <c r="BB1101" s="125"/>
      <c r="BC1101" s="16"/>
      <c r="BD1101" s="125"/>
      <c r="BE1101" s="125"/>
      <c r="BF1101" s="16"/>
      <c r="BG1101" s="125"/>
      <c r="BQ1101" s="125"/>
      <c r="BR1101" s="16"/>
      <c r="BS1101" s="123"/>
      <c r="BT1101" s="19"/>
      <c r="BU1101" s="139"/>
      <c r="BV1101" s="139"/>
      <c r="BW1101" s="123"/>
      <c r="BX1101" s="123"/>
      <c r="BY1101" s="123"/>
      <c r="BZ1101" s="123"/>
      <c r="CA1101" s="123"/>
      <c r="CB1101" s="123"/>
      <c r="CC1101" s="6"/>
      <c r="CD1101" s="123"/>
      <c r="CE1101" s="6"/>
      <c r="CF1101" s="123"/>
      <c r="CG1101" s="6"/>
      <c r="CH1101" s="6"/>
      <c r="CI1101" s="6"/>
      <c r="CJ1101" s="6"/>
      <c r="CK1101" s="123"/>
      <c r="CL1101" s="6"/>
      <c r="CM1101" s="6"/>
      <c r="CN1101" s="6"/>
      <c r="CO1101" s="138"/>
      <c r="CP1101" s="138"/>
      <c r="CQ1101" s="123"/>
      <c r="CR1101" s="6"/>
      <c r="CS1101" s="6"/>
      <c r="CT1101" s="139"/>
      <c r="CU1101" s="139"/>
      <c r="CV1101" s="76"/>
      <c r="CW1101" s="123"/>
      <c r="CX1101" s="6"/>
      <c r="DI1101" s="125"/>
      <c r="DJ1101" s="16"/>
      <c r="DM1101" s="16"/>
      <c r="DN1101" s="16"/>
      <c r="DO1101" s="125"/>
      <c r="DP1101" s="16"/>
      <c r="DQ1101" s="125"/>
      <c r="DZ1101" s="125"/>
      <c r="EA1101" s="142"/>
      <c r="EB1101" s="125"/>
      <c r="EC1101" s="16"/>
      <c r="ED1101" s="125"/>
      <c r="EE1101" s="125"/>
      <c r="EF1101" s="16"/>
      <c r="EG1101" s="125"/>
      <c r="EQ1101" s="125"/>
      <c r="ER1101" s="16"/>
      <c r="ES1101" s="123"/>
      <c r="ET1101" s="19"/>
      <c r="EU1101" s="139"/>
      <c r="EV1101" s="139"/>
      <c r="EW1101" s="123"/>
      <c r="EX1101" s="123"/>
      <c r="EY1101" s="123"/>
      <c r="EZ1101" s="123"/>
      <c r="FA1101" s="123"/>
      <c r="FB1101" s="123"/>
      <c r="FC1101" s="6"/>
      <c r="FD1101" s="123"/>
      <c r="FE1101" s="6"/>
      <c r="FF1101" s="123"/>
      <c r="FG1101" s="6"/>
      <c r="FH1101" s="6"/>
      <c r="FI1101" s="6"/>
      <c r="FJ1101" s="6"/>
      <c r="FK1101" s="123"/>
      <c r="FL1101" s="6"/>
      <c r="FM1101" s="6"/>
      <c r="FN1101" s="6"/>
      <c r="FO1101" s="138"/>
      <c r="FP1101" s="138"/>
      <c r="FQ1101" s="123"/>
      <c r="FR1101" s="6"/>
      <c r="FS1101" s="6"/>
      <c r="FT1101" s="139"/>
      <c r="FU1101" s="139"/>
      <c r="FV1101" s="76"/>
      <c r="FW1101" s="123"/>
      <c r="FX1101" s="6"/>
    </row>
    <row r="1102" spans="35:180">
      <c r="AI1102" s="125"/>
      <c r="AJ1102" s="16"/>
      <c r="AM1102" s="16"/>
      <c r="AN1102" s="16"/>
      <c r="AO1102" s="125"/>
      <c r="AP1102" s="16"/>
      <c r="AQ1102" s="125"/>
      <c r="AZ1102" s="125"/>
      <c r="BA1102" s="142"/>
      <c r="BB1102" s="125"/>
      <c r="BC1102" s="16"/>
      <c r="BD1102" s="125"/>
      <c r="BE1102" s="125"/>
      <c r="BF1102" s="16"/>
      <c r="BG1102" s="125"/>
      <c r="BQ1102" s="125"/>
      <c r="BR1102" s="16"/>
      <c r="BS1102" s="123"/>
      <c r="BT1102" s="19"/>
      <c r="BU1102" s="139"/>
      <c r="BV1102" s="139"/>
      <c r="BW1102" s="123"/>
      <c r="BX1102" s="123"/>
      <c r="BY1102" s="123"/>
      <c r="BZ1102" s="123"/>
      <c r="CA1102" s="123"/>
      <c r="CB1102" s="123"/>
      <c r="CC1102" s="6"/>
      <c r="CD1102" s="123"/>
      <c r="CE1102" s="6"/>
      <c r="CF1102" s="123"/>
      <c r="CG1102" s="6"/>
      <c r="CH1102" s="6"/>
      <c r="CI1102" s="6"/>
      <c r="CJ1102" s="6"/>
      <c r="CK1102" s="123"/>
      <c r="CL1102" s="6"/>
      <c r="CM1102" s="6"/>
      <c r="CN1102" s="6"/>
      <c r="CO1102" s="138"/>
      <c r="CP1102" s="138"/>
      <c r="CQ1102" s="123"/>
      <c r="CR1102" s="6"/>
      <c r="CS1102" s="6"/>
      <c r="CT1102" s="139"/>
      <c r="CU1102" s="139"/>
      <c r="CV1102" s="76"/>
      <c r="CW1102" s="123"/>
      <c r="CX1102" s="6"/>
      <c r="DI1102" s="125"/>
      <c r="DJ1102" s="16"/>
      <c r="DM1102" s="16"/>
      <c r="DN1102" s="16"/>
      <c r="DO1102" s="125"/>
      <c r="DP1102" s="16"/>
      <c r="DQ1102" s="125"/>
      <c r="DZ1102" s="125"/>
      <c r="EA1102" s="142"/>
      <c r="EB1102" s="125"/>
      <c r="EC1102" s="16"/>
      <c r="ED1102" s="125"/>
      <c r="EE1102" s="125"/>
      <c r="EF1102" s="16"/>
      <c r="EG1102" s="125"/>
      <c r="EQ1102" s="125"/>
      <c r="ER1102" s="16"/>
      <c r="ES1102" s="123"/>
      <c r="ET1102" s="19"/>
      <c r="EU1102" s="139"/>
      <c r="EV1102" s="139"/>
      <c r="EW1102" s="123"/>
      <c r="EX1102" s="123"/>
      <c r="EY1102" s="123"/>
      <c r="EZ1102" s="123"/>
      <c r="FA1102" s="123"/>
      <c r="FB1102" s="123"/>
      <c r="FC1102" s="6"/>
      <c r="FD1102" s="123"/>
      <c r="FE1102" s="6"/>
      <c r="FF1102" s="123"/>
      <c r="FG1102" s="6"/>
      <c r="FH1102" s="6"/>
      <c r="FI1102" s="6"/>
      <c r="FJ1102" s="6"/>
      <c r="FK1102" s="123"/>
      <c r="FL1102" s="6"/>
      <c r="FM1102" s="6"/>
      <c r="FN1102" s="6"/>
      <c r="FO1102" s="138"/>
      <c r="FP1102" s="138"/>
      <c r="FQ1102" s="123"/>
      <c r="FR1102" s="6"/>
      <c r="FS1102" s="6"/>
      <c r="FT1102" s="139"/>
      <c r="FU1102" s="139"/>
      <c r="FV1102" s="76"/>
      <c r="FW1102" s="123"/>
      <c r="FX1102" s="6"/>
    </row>
    <row r="1103" spans="35:180">
      <c r="AI1103" s="125"/>
      <c r="AJ1103" s="16"/>
      <c r="AM1103" s="16"/>
      <c r="AN1103" s="16"/>
      <c r="AO1103" s="125"/>
      <c r="AP1103" s="16"/>
      <c r="AQ1103" s="125"/>
      <c r="AZ1103" s="125"/>
      <c r="BA1103" s="142"/>
      <c r="BB1103" s="125"/>
      <c r="BC1103" s="16"/>
      <c r="BD1103" s="125"/>
      <c r="BE1103" s="125"/>
      <c r="BF1103" s="16"/>
      <c r="BG1103" s="125"/>
      <c r="BQ1103" s="125"/>
      <c r="BR1103" s="16"/>
      <c r="BS1103" s="123"/>
      <c r="BT1103" s="19"/>
      <c r="BU1103" s="139"/>
      <c r="BV1103" s="139"/>
      <c r="BW1103" s="123"/>
      <c r="BX1103" s="123"/>
      <c r="BY1103" s="123"/>
      <c r="BZ1103" s="123"/>
      <c r="CA1103" s="123"/>
      <c r="CB1103" s="123"/>
      <c r="CC1103" s="6"/>
      <c r="CD1103" s="123"/>
      <c r="CE1103" s="6"/>
      <c r="CF1103" s="123"/>
      <c r="CG1103" s="6"/>
      <c r="CH1103" s="6"/>
      <c r="CI1103" s="6"/>
      <c r="CJ1103" s="6"/>
      <c r="CK1103" s="123"/>
      <c r="CL1103" s="6"/>
      <c r="CM1103" s="6"/>
      <c r="CN1103" s="6"/>
      <c r="CO1103" s="138"/>
      <c r="CP1103" s="138"/>
      <c r="CQ1103" s="123"/>
      <c r="CR1103" s="6"/>
      <c r="CS1103" s="6"/>
      <c r="CT1103" s="139"/>
      <c r="CU1103" s="139"/>
      <c r="CV1103" s="76"/>
      <c r="CW1103" s="123"/>
      <c r="CX1103" s="6"/>
      <c r="DI1103" s="125"/>
      <c r="DJ1103" s="16"/>
      <c r="DM1103" s="16"/>
      <c r="DN1103" s="16"/>
      <c r="DO1103" s="125"/>
      <c r="DP1103" s="16"/>
      <c r="DQ1103" s="125"/>
      <c r="DZ1103" s="125"/>
      <c r="EA1103" s="142"/>
      <c r="EB1103" s="125"/>
      <c r="EC1103" s="16"/>
      <c r="ED1103" s="125"/>
      <c r="EE1103" s="125"/>
      <c r="EF1103" s="16"/>
      <c r="EG1103" s="125"/>
      <c r="EQ1103" s="125"/>
      <c r="ER1103" s="16"/>
      <c r="ES1103" s="123"/>
      <c r="ET1103" s="19"/>
      <c r="EU1103" s="139"/>
      <c r="EV1103" s="139"/>
      <c r="EW1103" s="123"/>
      <c r="EX1103" s="123"/>
      <c r="EY1103" s="123"/>
      <c r="EZ1103" s="123"/>
      <c r="FA1103" s="123"/>
      <c r="FB1103" s="123"/>
      <c r="FC1103" s="6"/>
      <c r="FD1103" s="123"/>
      <c r="FE1103" s="6"/>
      <c r="FF1103" s="123"/>
      <c r="FG1103" s="6"/>
      <c r="FH1103" s="6"/>
      <c r="FI1103" s="6"/>
      <c r="FJ1103" s="6"/>
      <c r="FK1103" s="123"/>
      <c r="FL1103" s="6"/>
      <c r="FM1103" s="6"/>
      <c r="FN1103" s="6"/>
      <c r="FO1103" s="138"/>
      <c r="FP1103" s="138"/>
      <c r="FQ1103" s="123"/>
      <c r="FR1103" s="6"/>
      <c r="FS1103" s="6"/>
      <c r="FT1103" s="139"/>
      <c r="FU1103" s="139"/>
      <c r="FV1103" s="76"/>
      <c r="FW1103" s="123"/>
      <c r="FX1103" s="6"/>
    </row>
    <row r="1104" spans="35:180">
      <c r="AI1104" s="125"/>
      <c r="AJ1104" s="16"/>
      <c r="AM1104" s="16"/>
      <c r="AN1104" s="16"/>
      <c r="AO1104" s="125"/>
      <c r="AP1104" s="16"/>
      <c r="AQ1104" s="125"/>
      <c r="AZ1104" s="125"/>
      <c r="BA1104" s="142"/>
      <c r="BB1104" s="125"/>
      <c r="BC1104" s="16"/>
      <c r="BD1104" s="125"/>
      <c r="BE1104" s="125"/>
      <c r="BF1104" s="16"/>
      <c r="BG1104" s="125"/>
      <c r="BQ1104" s="125"/>
      <c r="BR1104" s="16"/>
      <c r="BS1104" s="123"/>
      <c r="BT1104" s="19"/>
      <c r="BU1104" s="139"/>
      <c r="BV1104" s="139"/>
      <c r="BW1104" s="123"/>
      <c r="BX1104" s="123"/>
      <c r="BY1104" s="123"/>
      <c r="BZ1104" s="123"/>
      <c r="CA1104" s="123"/>
      <c r="CB1104" s="123"/>
      <c r="CC1104" s="6"/>
      <c r="CD1104" s="123"/>
      <c r="CE1104" s="6"/>
      <c r="CF1104" s="123"/>
      <c r="CG1104" s="6"/>
      <c r="CH1104" s="6"/>
      <c r="CI1104" s="6"/>
      <c r="CJ1104" s="6"/>
      <c r="CK1104" s="123"/>
      <c r="CL1104" s="6"/>
      <c r="CM1104" s="6"/>
      <c r="CN1104" s="6"/>
      <c r="CO1104" s="138"/>
      <c r="CP1104" s="138"/>
      <c r="CQ1104" s="123"/>
      <c r="CR1104" s="6"/>
      <c r="CS1104" s="6"/>
      <c r="CT1104" s="139"/>
      <c r="CU1104" s="139"/>
      <c r="CV1104" s="76"/>
      <c r="CW1104" s="123"/>
      <c r="CX1104" s="6"/>
      <c r="DI1104" s="125"/>
      <c r="DJ1104" s="16"/>
      <c r="DM1104" s="16"/>
      <c r="DN1104" s="16"/>
      <c r="DO1104" s="125"/>
      <c r="DP1104" s="16"/>
      <c r="DQ1104" s="125"/>
      <c r="DZ1104" s="125"/>
      <c r="EA1104" s="142"/>
      <c r="EB1104" s="125"/>
      <c r="EC1104" s="16"/>
      <c r="ED1104" s="125"/>
      <c r="EE1104" s="125"/>
      <c r="EF1104" s="16"/>
      <c r="EG1104" s="125"/>
      <c r="EQ1104" s="125"/>
      <c r="ER1104" s="16"/>
      <c r="ES1104" s="123"/>
      <c r="ET1104" s="19"/>
      <c r="EU1104" s="139"/>
      <c r="EV1104" s="139"/>
      <c r="EW1104" s="123"/>
      <c r="EX1104" s="123"/>
      <c r="EY1104" s="123"/>
      <c r="EZ1104" s="123"/>
      <c r="FA1104" s="123"/>
      <c r="FB1104" s="123"/>
      <c r="FC1104" s="6"/>
      <c r="FD1104" s="123"/>
      <c r="FE1104" s="6"/>
      <c r="FF1104" s="123"/>
      <c r="FG1104" s="6"/>
      <c r="FH1104" s="6"/>
      <c r="FI1104" s="6"/>
      <c r="FJ1104" s="6"/>
      <c r="FK1104" s="123"/>
      <c r="FL1104" s="6"/>
      <c r="FM1104" s="6"/>
      <c r="FN1104" s="6"/>
      <c r="FO1104" s="138"/>
      <c r="FP1104" s="138"/>
      <c r="FQ1104" s="123"/>
      <c r="FR1104" s="6"/>
      <c r="FS1104" s="6"/>
      <c r="FT1104" s="139"/>
      <c r="FU1104" s="139"/>
      <c r="FV1104" s="76"/>
      <c r="FW1104" s="123"/>
      <c r="FX1104" s="6"/>
    </row>
    <row r="1105" spans="35:180">
      <c r="AI1105" s="125"/>
      <c r="AJ1105" s="16"/>
      <c r="AM1105" s="16"/>
      <c r="AN1105" s="16"/>
      <c r="AO1105" s="125"/>
      <c r="AP1105" s="16"/>
      <c r="AQ1105" s="125"/>
      <c r="AZ1105" s="125"/>
      <c r="BA1105" s="142"/>
      <c r="BB1105" s="125"/>
      <c r="BC1105" s="16"/>
      <c r="BD1105" s="125"/>
      <c r="BE1105" s="125"/>
      <c r="BF1105" s="16"/>
      <c r="BG1105" s="125"/>
      <c r="BQ1105" s="125"/>
      <c r="BR1105" s="16"/>
      <c r="BS1105" s="123"/>
      <c r="BT1105" s="19"/>
      <c r="BU1105" s="139"/>
      <c r="BV1105" s="139"/>
      <c r="BW1105" s="123"/>
      <c r="BX1105" s="123"/>
      <c r="BY1105" s="123"/>
      <c r="BZ1105" s="123"/>
      <c r="CA1105" s="123"/>
      <c r="CB1105" s="123"/>
      <c r="CC1105" s="6"/>
      <c r="CD1105" s="123"/>
      <c r="CE1105" s="6"/>
      <c r="CF1105" s="123"/>
      <c r="CG1105" s="6"/>
      <c r="CH1105" s="6"/>
      <c r="CI1105" s="6"/>
      <c r="CJ1105" s="6"/>
      <c r="CK1105" s="123"/>
      <c r="CL1105" s="6"/>
      <c r="CM1105" s="6"/>
      <c r="CN1105" s="6"/>
      <c r="CO1105" s="138"/>
      <c r="CP1105" s="138"/>
      <c r="CQ1105" s="123"/>
      <c r="CR1105" s="6"/>
      <c r="CS1105" s="6"/>
      <c r="CT1105" s="139"/>
      <c r="CU1105" s="139"/>
      <c r="CV1105" s="76"/>
      <c r="CW1105" s="123"/>
      <c r="CX1105" s="6"/>
      <c r="DI1105" s="125"/>
      <c r="DJ1105" s="16"/>
      <c r="DM1105" s="16"/>
      <c r="DN1105" s="16"/>
      <c r="DO1105" s="125"/>
      <c r="DP1105" s="16"/>
      <c r="DQ1105" s="125"/>
      <c r="DZ1105" s="125"/>
      <c r="EA1105" s="142"/>
      <c r="EB1105" s="125"/>
      <c r="EC1105" s="16"/>
      <c r="ED1105" s="125"/>
      <c r="EE1105" s="125"/>
      <c r="EF1105" s="16"/>
      <c r="EG1105" s="125"/>
      <c r="EQ1105" s="125"/>
      <c r="ER1105" s="16"/>
      <c r="ES1105" s="123"/>
      <c r="ET1105" s="19"/>
      <c r="EU1105" s="139"/>
      <c r="EV1105" s="139"/>
      <c r="EW1105" s="123"/>
      <c r="EX1105" s="123"/>
      <c r="EY1105" s="123"/>
      <c r="EZ1105" s="123"/>
      <c r="FA1105" s="123"/>
      <c r="FB1105" s="123"/>
      <c r="FC1105" s="6"/>
      <c r="FD1105" s="123"/>
      <c r="FE1105" s="6"/>
      <c r="FF1105" s="123"/>
      <c r="FG1105" s="6"/>
      <c r="FH1105" s="6"/>
      <c r="FI1105" s="6"/>
      <c r="FJ1105" s="6"/>
      <c r="FK1105" s="123"/>
      <c r="FL1105" s="6"/>
      <c r="FM1105" s="6"/>
      <c r="FN1105" s="6"/>
      <c r="FO1105" s="138"/>
      <c r="FP1105" s="138"/>
      <c r="FQ1105" s="123"/>
      <c r="FR1105" s="6"/>
      <c r="FS1105" s="6"/>
      <c r="FT1105" s="139"/>
      <c r="FU1105" s="139"/>
      <c r="FV1105" s="76"/>
      <c r="FW1105" s="123"/>
      <c r="FX1105" s="6"/>
    </row>
    <row r="1106" spans="35:180">
      <c r="AI1106" s="125"/>
      <c r="AJ1106" s="16"/>
      <c r="AM1106" s="16"/>
      <c r="AN1106" s="16"/>
      <c r="AO1106" s="125"/>
      <c r="AP1106" s="16"/>
      <c r="AQ1106" s="125"/>
      <c r="AZ1106" s="125"/>
      <c r="BA1106" s="142"/>
      <c r="BB1106" s="125"/>
      <c r="BC1106" s="16"/>
      <c r="BD1106" s="125"/>
      <c r="BE1106" s="125"/>
      <c r="BF1106" s="16"/>
      <c r="BG1106" s="125"/>
      <c r="BQ1106" s="125"/>
      <c r="BR1106" s="16"/>
      <c r="BS1106" s="123"/>
      <c r="BT1106" s="19"/>
      <c r="BU1106" s="139"/>
      <c r="BV1106" s="139"/>
      <c r="BW1106" s="123"/>
      <c r="BX1106" s="123"/>
      <c r="BY1106" s="123"/>
      <c r="BZ1106" s="123"/>
      <c r="CA1106" s="123"/>
      <c r="CB1106" s="123"/>
      <c r="CC1106" s="6"/>
      <c r="CD1106" s="123"/>
      <c r="CE1106" s="6"/>
      <c r="CF1106" s="123"/>
      <c r="CG1106" s="6"/>
      <c r="CH1106" s="6"/>
      <c r="CI1106" s="6"/>
      <c r="CJ1106" s="6"/>
      <c r="CK1106" s="123"/>
      <c r="CL1106" s="6"/>
      <c r="CM1106" s="6"/>
      <c r="CN1106" s="6"/>
      <c r="CO1106" s="138"/>
      <c r="CP1106" s="138"/>
      <c r="CQ1106" s="123"/>
      <c r="CR1106" s="6"/>
      <c r="CS1106" s="6"/>
      <c r="CT1106" s="139"/>
      <c r="CU1106" s="139"/>
      <c r="CV1106" s="76"/>
      <c r="CW1106" s="123"/>
      <c r="CX1106" s="6"/>
      <c r="DI1106" s="125"/>
      <c r="DJ1106" s="16"/>
      <c r="DM1106" s="16"/>
      <c r="DN1106" s="16"/>
      <c r="DO1106" s="125"/>
      <c r="DP1106" s="16"/>
      <c r="DQ1106" s="125"/>
      <c r="DZ1106" s="125"/>
      <c r="EA1106" s="142"/>
      <c r="EB1106" s="125"/>
      <c r="EC1106" s="16"/>
      <c r="ED1106" s="125"/>
      <c r="EE1106" s="125"/>
      <c r="EF1106" s="16"/>
      <c r="EG1106" s="125"/>
      <c r="EQ1106" s="125"/>
      <c r="ER1106" s="16"/>
      <c r="ES1106" s="123"/>
      <c r="ET1106" s="19"/>
      <c r="EU1106" s="139"/>
      <c r="EV1106" s="139"/>
      <c r="EW1106" s="123"/>
      <c r="EX1106" s="123"/>
      <c r="EY1106" s="123"/>
      <c r="EZ1106" s="123"/>
      <c r="FA1106" s="123"/>
      <c r="FB1106" s="123"/>
      <c r="FC1106" s="6"/>
      <c r="FD1106" s="123"/>
      <c r="FE1106" s="6"/>
      <c r="FF1106" s="123"/>
      <c r="FG1106" s="6"/>
      <c r="FH1106" s="6"/>
      <c r="FI1106" s="6"/>
      <c r="FJ1106" s="6"/>
      <c r="FK1106" s="123"/>
      <c r="FL1106" s="6"/>
      <c r="FM1106" s="6"/>
      <c r="FN1106" s="6"/>
      <c r="FO1106" s="138"/>
      <c r="FP1106" s="138"/>
      <c r="FQ1106" s="123"/>
      <c r="FR1106" s="6"/>
      <c r="FS1106" s="6"/>
      <c r="FT1106" s="139"/>
      <c r="FU1106" s="139"/>
      <c r="FV1106" s="76"/>
      <c r="FW1106" s="123"/>
      <c r="FX1106" s="6"/>
    </row>
    <row r="1107" spans="35:180">
      <c r="AI1107" s="125"/>
      <c r="AJ1107" s="16"/>
      <c r="AM1107" s="16"/>
      <c r="AN1107" s="16"/>
      <c r="AO1107" s="125"/>
      <c r="AP1107" s="16"/>
      <c r="AQ1107" s="125"/>
      <c r="AZ1107" s="125"/>
      <c r="BA1107" s="142"/>
      <c r="BB1107" s="125"/>
      <c r="BC1107" s="16"/>
      <c r="BD1107" s="125"/>
      <c r="BE1107" s="125"/>
      <c r="BF1107" s="16"/>
      <c r="BG1107" s="125"/>
      <c r="BQ1107" s="125"/>
      <c r="BR1107" s="16"/>
      <c r="BS1107" s="123"/>
      <c r="BT1107" s="19"/>
      <c r="BU1107" s="139"/>
      <c r="BV1107" s="139"/>
      <c r="BW1107" s="123"/>
      <c r="BX1107" s="123"/>
      <c r="BY1107" s="123"/>
      <c r="BZ1107" s="123"/>
      <c r="CA1107" s="123"/>
      <c r="CB1107" s="123"/>
      <c r="CC1107" s="6"/>
      <c r="CD1107" s="123"/>
      <c r="CE1107" s="6"/>
      <c r="CF1107" s="123"/>
      <c r="CG1107" s="6"/>
      <c r="CH1107" s="6"/>
      <c r="CI1107" s="6"/>
      <c r="CJ1107" s="6"/>
      <c r="CK1107" s="123"/>
      <c r="CL1107" s="6"/>
      <c r="CM1107" s="6"/>
      <c r="CN1107" s="6"/>
      <c r="CO1107" s="138"/>
      <c r="CP1107" s="138"/>
      <c r="CQ1107" s="123"/>
      <c r="CR1107" s="6"/>
      <c r="CS1107" s="6"/>
      <c r="CT1107" s="139"/>
      <c r="CU1107" s="139"/>
      <c r="CV1107" s="76"/>
      <c r="CW1107" s="123"/>
      <c r="CX1107" s="6"/>
      <c r="DI1107" s="125"/>
      <c r="DJ1107" s="16"/>
      <c r="DM1107" s="16"/>
      <c r="DN1107" s="16"/>
      <c r="DO1107" s="125"/>
      <c r="DP1107" s="16"/>
      <c r="DQ1107" s="125"/>
      <c r="DZ1107" s="125"/>
      <c r="EA1107" s="142"/>
      <c r="EB1107" s="125"/>
      <c r="EC1107" s="16"/>
      <c r="ED1107" s="125"/>
      <c r="EE1107" s="125"/>
      <c r="EF1107" s="16"/>
      <c r="EG1107" s="125"/>
      <c r="EQ1107" s="125"/>
      <c r="ER1107" s="16"/>
      <c r="ES1107" s="123"/>
      <c r="ET1107" s="19"/>
      <c r="EU1107" s="139"/>
      <c r="EV1107" s="139"/>
      <c r="EW1107" s="123"/>
      <c r="EX1107" s="123"/>
      <c r="EY1107" s="123"/>
      <c r="EZ1107" s="123"/>
      <c r="FA1107" s="123"/>
      <c r="FB1107" s="123"/>
      <c r="FC1107" s="6"/>
      <c r="FD1107" s="123"/>
      <c r="FE1107" s="6"/>
      <c r="FF1107" s="123"/>
      <c r="FG1107" s="6"/>
      <c r="FH1107" s="6"/>
      <c r="FI1107" s="6"/>
      <c r="FJ1107" s="6"/>
      <c r="FK1107" s="123"/>
      <c r="FL1107" s="6"/>
      <c r="FM1107" s="6"/>
      <c r="FN1107" s="6"/>
      <c r="FO1107" s="138"/>
      <c r="FP1107" s="138"/>
      <c r="FQ1107" s="123"/>
      <c r="FR1107" s="6"/>
      <c r="FS1107" s="6"/>
      <c r="FT1107" s="139"/>
      <c r="FU1107" s="139"/>
      <c r="FV1107" s="76"/>
      <c r="FW1107" s="123"/>
      <c r="FX1107" s="6"/>
    </row>
    <row r="1108" spans="35:180">
      <c r="AI1108" s="125"/>
      <c r="AJ1108" s="16"/>
      <c r="AM1108" s="16"/>
      <c r="AN1108" s="16"/>
      <c r="AO1108" s="125"/>
      <c r="AP1108" s="16"/>
      <c r="AQ1108" s="125"/>
      <c r="AZ1108" s="125"/>
      <c r="BA1108" s="142"/>
      <c r="BB1108" s="125"/>
      <c r="BC1108" s="16"/>
      <c r="BD1108" s="125"/>
      <c r="BE1108" s="125"/>
      <c r="BF1108" s="16"/>
      <c r="BG1108" s="125"/>
      <c r="BQ1108" s="125"/>
      <c r="BR1108" s="16"/>
      <c r="BS1108" s="123"/>
      <c r="BT1108" s="19"/>
      <c r="BU1108" s="139"/>
      <c r="BV1108" s="139"/>
      <c r="BW1108" s="123"/>
      <c r="BX1108" s="123"/>
      <c r="BY1108" s="123"/>
      <c r="BZ1108" s="123"/>
      <c r="CA1108" s="123"/>
      <c r="CB1108" s="123"/>
      <c r="CC1108" s="6"/>
      <c r="CD1108" s="123"/>
      <c r="CE1108" s="6"/>
      <c r="CF1108" s="123"/>
      <c r="CG1108" s="6"/>
      <c r="CH1108" s="6"/>
      <c r="CI1108" s="6"/>
      <c r="CJ1108" s="6"/>
      <c r="CK1108" s="123"/>
      <c r="CL1108" s="6"/>
      <c r="CM1108" s="6"/>
      <c r="CN1108" s="6"/>
      <c r="CO1108" s="138"/>
      <c r="CP1108" s="138"/>
      <c r="CQ1108" s="123"/>
      <c r="CR1108" s="6"/>
      <c r="CS1108" s="6"/>
      <c r="CT1108" s="139"/>
      <c r="CU1108" s="139"/>
      <c r="CV1108" s="76"/>
      <c r="CW1108" s="123"/>
      <c r="CX1108" s="6"/>
      <c r="DI1108" s="125"/>
      <c r="DJ1108" s="16"/>
      <c r="DM1108" s="16"/>
      <c r="DN1108" s="16"/>
      <c r="DO1108" s="125"/>
      <c r="DP1108" s="16"/>
      <c r="DQ1108" s="125"/>
      <c r="DZ1108" s="125"/>
      <c r="EA1108" s="142"/>
      <c r="EB1108" s="125"/>
      <c r="EC1108" s="16"/>
      <c r="ED1108" s="125"/>
      <c r="EE1108" s="125"/>
      <c r="EF1108" s="16"/>
      <c r="EG1108" s="125"/>
      <c r="EQ1108" s="125"/>
      <c r="ER1108" s="16"/>
      <c r="ES1108" s="123"/>
      <c r="ET1108" s="19"/>
      <c r="EU1108" s="139"/>
      <c r="EV1108" s="139"/>
      <c r="EW1108" s="123"/>
      <c r="EX1108" s="123"/>
      <c r="EY1108" s="123"/>
      <c r="EZ1108" s="123"/>
      <c r="FA1108" s="123"/>
      <c r="FB1108" s="123"/>
      <c r="FC1108" s="6"/>
      <c r="FD1108" s="123"/>
      <c r="FE1108" s="6"/>
      <c r="FF1108" s="123"/>
      <c r="FG1108" s="6"/>
      <c r="FH1108" s="6"/>
      <c r="FI1108" s="6"/>
      <c r="FJ1108" s="6"/>
      <c r="FK1108" s="123"/>
      <c r="FL1108" s="6"/>
      <c r="FM1108" s="6"/>
      <c r="FN1108" s="6"/>
      <c r="FO1108" s="138"/>
      <c r="FP1108" s="138"/>
      <c r="FQ1108" s="123"/>
      <c r="FR1108" s="6"/>
      <c r="FS1108" s="6"/>
      <c r="FT1108" s="139"/>
      <c r="FU1108" s="139"/>
      <c r="FV1108" s="76"/>
      <c r="FW1108" s="123"/>
      <c r="FX1108" s="6"/>
    </row>
    <row r="1109" spans="35:180">
      <c r="AI1109" s="125"/>
      <c r="AJ1109" s="16"/>
      <c r="AM1109" s="16"/>
      <c r="AN1109" s="16"/>
      <c r="AO1109" s="125"/>
      <c r="AP1109" s="16"/>
      <c r="AQ1109" s="125"/>
      <c r="AZ1109" s="125"/>
      <c r="BA1109" s="142"/>
      <c r="BB1109" s="125"/>
      <c r="BC1109" s="16"/>
      <c r="BD1109" s="125"/>
      <c r="BE1109" s="125"/>
      <c r="BF1109" s="16"/>
      <c r="BG1109" s="125"/>
      <c r="BQ1109" s="125"/>
      <c r="BR1109" s="16"/>
      <c r="BS1109" s="123"/>
      <c r="BT1109" s="19"/>
      <c r="BU1109" s="139"/>
      <c r="BV1109" s="139"/>
      <c r="BW1109" s="123"/>
      <c r="BX1109" s="123"/>
      <c r="BY1109" s="123"/>
      <c r="BZ1109" s="123"/>
      <c r="CA1109" s="123"/>
      <c r="CB1109" s="123"/>
      <c r="CC1109" s="6"/>
      <c r="CD1109" s="123"/>
      <c r="CE1109" s="6"/>
      <c r="CF1109" s="123"/>
      <c r="CG1109" s="6"/>
      <c r="CH1109" s="6"/>
      <c r="CI1109" s="6"/>
      <c r="CJ1109" s="6"/>
      <c r="CK1109" s="123"/>
      <c r="CL1109" s="6"/>
      <c r="CM1109" s="6"/>
      <c r="CN1109" s="6"/>
      <c r="CO1109" s="138"/>
      <c r="CP1109" s="138"/>
      <c r="CQ1109" s="123"/>
      <c r="CR1109" s="6"/>
      <c r="CS1109" s="6"/>
      <c r="CT1109" s="139"/>
      <c r="CU1109" s="139"/>
      <c r="CV1109" s="76"/>
      <c r="CW1109" s="123"/>
      <c r="CX1109" s="6"/>
      <c r="DI1109" s="125"/>
      <c r="DJ1109" s="16"/>
      <c r="DM1109" s="16"/>
      <c r="DN1109" s="16"/>
      <c r="DO1109" s="125"/>
      <c r="DP1109" s="16"/>
      <c r="DQ1109" s="125"/>
      <c r="DZ1109" s="125"/>
      <c r="EA1109" s="142"/>
      <c r="EB1109" s="125"/>
      <c r="EC1109" s="16"/>
      <c r="ED1109" s="125"/>
      <c r="EE1109" s="125"/>
      <c r="EF1109" s="16"/>
      <c r="EG1109" s="125"/>
      <c r="EQ1109" s="125"/>
      <c r="ER1109" s="16"/>
      <c r="ES1109" s="123"/>
      <c r="ET1109" s="19"/>
      <c r="EU1109" s="139"/>
      <c r="EV1109" s="139"/>
      <c r="EW1109" s="123"/>
      <c r="EX1109" s="123"/>
      <c r="EY1109" s="123"/>
      <c r="EZ1109" s="123"/>
      <c r="FA1109" s="123"/>
      <c r="FB1109" s="123"/>
      <c r="FC1109" s="6"/>
      <c r="FD1109" s="123"/>
      <c r="FE1109" s="6"/>
      <c r="FF1109" s="123"/>
      <c r="FG1109" s="6"/>
      <c r="FH1109" s="6"/>
      <c r="FI1109" s="6"/>
      <c r="FJ1109" s="6"/>
      <c r="FK1109" s="123"/>
      <c r="FL1109" s="6"/>
      <c r="FM1109" s="6"/>
      <c r="FN1109" s="6"/>
      <c r="FO1109" s="138"/>
      <c r="FP1109" s="138"/>
      <c r="FQ1109" s="123"/>
      <c r="FR1109" s="6"/>
      <c r="FS1109" s="6"/>
      <c r="FT1109" s="139"/>
      <c r="FU1109" s="139"/>
      <c r="FV1109" s="76"/>
      <c r="FW1109" s="123"/>
      <c r="FX1109" s="6"/>
    </row>
    <row r="1110" spans="35:180">
      <c r="AI1110" s="125"/>
      <c r="AJ1110" s="16"/>
      <c r="AM1110" s="16"/>
      <c r="AN1110" s="16"/>
      <c r="AO1110" s="125"/>
      <c r="AP1110" s="16"/>
      <c r="AQ1110" s="125"/>
      <c r="AZ1110" s="125"/>
      <c r="BA1110" s="142"/>
      <c r="BB1110" s="125"/>
      <c r="BC1110" s="16"/>
      <c r="BD1110" s="125"/>
      <c r="BE1110" s="125"/>
      <c r="BF1110" s="16"/>
      <c r="BG1110" s="125"/>
      <c r="BQ1110" s="125"/>
      <c r="BR1110" s="16"/>
      <c r="BS1110" s="123"/>
      <c r="BT1110" s="19"/>
      <c r="BU1110" s="139"/>
      <c r="BV1110" s="139"/>
      <c r="BW1110" s="123"/>
      <c r="BX1110" s="123"/>
      <c r="BY1110" s="123"/>
      <c r="BZ1110" s="123"/>
      <c r="CA1110" s="123"/>
      <c r="CB1110" s="123"/>
      <c r="CC1110" s="6"/>
      <c r="CD1110" s="123"/>
      <c r="CE1110" s="6"/>
      <c r="CF1110" s="123"/>
      <c r="CG1110" s="6"/>
      <c r="CH1110" s="6"/>
      <c r="CI1110" s="6"/>
      <c r="CJ1110" s="6"/>
      <c r="CK1110" s="123"/>
      <c r="CL1110" s="6"/>
      <c r="CM1110" s="6"/>
      <c r="CN1110" s="6"/>
      <c r="CO1110" s="138"/>
      <c r="CP1110" s="138"/>
      <c r="CQ1110" s="123"/>
      <c r="CR1110" s="6"/>
      <c r="CS1110" s="6"/>
      <c r="CT1110" s="139"/>
      <c r="CU1110" s="139"/>
      <c r="CV1110" s="76"/>
      <c r="CW1110" s="123"/>
      <c r="CX1110" s="6"/>
      <c r="DI1110" s="125"/>
      <c r="DJ1110" s="16"/>
      <c r="DM1110" s="16"/>
      <c r="DN1110" s="16"/>
      <c r="DO1110" s="125"/>
      <c r="DP1110" s="16"/>
      <c r="DQ1110" s="125"/>
      <c r="DZ1110" s="125"/>
      <c r="EA1110" s="142"/>
      <c r="EB1110" s="125"/>
      <c r="EC1110" s="16"/>
      <c r="ED1110" s="125"/>
      <c r="EE1110" s="125"/>
      <c r="EF1110" s="16"/>
      <c r="EG1110" s="125"/>
      <c r="EQ1110" s="125"/>
      <c r="ER1110" s="16"/>
      <c r="ES1110" s="123"/>
      <c r="ET1110" s="19"/>
      <c r="EU1110" s="139"/>
      <c r="EV1110" s="139"/>
      <c r="EW1110" s="123"/>
      <c r="EX1110" s="123"/>
      <c r="EY1110" s="123"/>
      <c r="EZ1110" s="123"/>
      <c r="FA1110" s="123"/>
      <c r="FB1110" s="123"/>
      <c r="FC1110" s="6"/>
      <c r="FD1110" s="123"/>
      <c r="FE1110" s="6"/>
      <c r="FF1110" s="123"/>
      <c r="FG1110" s="6"/>
      <c r="FH1110" s="6"/>
      <c r="FI1110" s="6"/>
      <c r="FJ1110" s="6"/>
      <c r="FK1110" s="123"/>
      <c r="FL1110" s="6"/>
      <c r="FM1110" s="6"/>
      <c r="FN1110" s="6"/>
      <c r="FO1110" s="138"/>
      <c r="FP1110" s="138"/>
      <c r="FQ1110" s="123"/>
      <c r="FR1110" s="6"/>
      <c r="FS1110" s="6"/>
      <c r="FT1110" s="139"/>
      <c r="FU1110" s="139"/>
      <c r="FV1110" s="76"/>
      <c r="FW1110" s="123"/>
      <c r="FX1110" s="6"/>
    </row>
    <row r="1111" spans="35:180">
      <c r="AI1111" s="125"/>
      <c r="AJ1111" s="16"/>
      <c r="AM1111" s="16"/>
      <c r="AN1111" s="16"/>
      <c r="AO1111" s="125"/>
      <c r="AP1111" s="16"/>
      <c r="AQ1111" s="125"/>
      <c r="AZ1111" s="125"/>
      <c r="BA1111" s="142"/>
      <c r="BB1111" s="125"/>
      <c r="BC1111" s="16"/>
      <c r="BD1111" s="125"/>
      <c r="BE1111" s="125"/>
      <c r="BF1111" s="16"/>
      <c r="BG1111" s="125"/>
      <c r="BQ1111" s="125"/>
      <c r="BR1111" s="16"/>
      <c r="BS1111" s="123"/>
      <c r="BT1111" s="19"/>
      <c r="BU1111" s="139"/>
      <c r="BV1111" s="139"/>
      <c r="BW1111" s="123"/>
      <c r="BX1111" s="123"/>
      <c r="BY1111" s="123"/>
      <c r="BZ1111" s="123"/>
      <c r="CA1111" s="123"/>
      <c r="CB1111" s="123"/>
      <c r="CC1111" s="6"/>
      <c r="CD1111" s="123"/>
      <c r="CE1111" s="6"/>
      <c r="CF1111" s="123"/>
      <c r="CG1111" s="6"/>
      <c r="CH1111" s="6"/>
      <c r="CI1111" s="6"/>
      <c r="CJ1111" s="6"/>
      <c r="CK1111" s="123"/>
      <c r="CL1111" s="6"/>
      <c r="CM1111" s="6"/>
      <c r="CN1111" s="6"/>
      <c r="CO1111" s="138"/>
      <c r="CP1111" s="138"/>
      <c r="CQ1111" s="123"/>
      <c r="CR1111" s="6"/>
      <c r="CS1111" s="6"/>
      <c r="CT1111" s="139"/>
      <c r="CU1111" s="139"/>
      <c r="CV1111" s="76"/>
      <c r="CW1111" s="123"/>
      <c r="CX1111" s="6"/>
      <c r="DI1111" s="125"/>
      <c r="DJ1111" s="16"/>
      <c r="DM1111" s="16"/>
      <c r="DN1111" s="16"/>
      <c r="DO1111" s="125"/>
      <c r="DP1111" s="16"/>
      <c r="DQ1111" s="125"/>
      <c r="DZ1111" s="125"/>
      <c r="EA1111" s="142"/>
      <c r="EB1111" s="125"/>
      <c r="EC1111" s="16"/>
      <c r="ED1111" s="125"/>
      <c r="EE1111" s="125"/>
      <c r="EF1111" s="16"/>
      <c r="EG1111" s="125"/>
      <c r="EQ1111" s="125"/>
      <c r="ER1111" s="16"/>
      <c r="ES1111" s="123"/>
      <c r="ET1111" s="19"/>
      <c r="EU1111" s="139"/>
      <c r="EV1111" s="139"/>
      <c r="EW1111" s="123"/>
      <c r="EX1111" s="123"/>
      <c r="EY1111" s="123"/>
      <c r="EZ1111" s="123"/>
      <c r="FA1111" s="123"/>
      <c r="FB1111" s="123"/>
      <c r="FC1111" s="6"/>
      <c r="FD1111" s="123"/>
      <c r="FE1111" s="6"/>
      <c r="FF1111" s="123"/>
      <c r="FG1111" s="6"/>
      <c r="FH1111" s="6"/>
      <c r="FI1111" s="6"/>
      <c r="FJ1111" s="6"/>
      <c r="FK1111" s="123"/>
      <c r="FL1111" s="6"/>
      <c r="FM1111" s="6"/>
      <c r="FN1111" s="6"/>
      <c r="FO1111" s="138"/>
      <c r="FP1111" s="138"/>
      <c r="FQ1111" s="123"/>
      <c r="FR1111" s="6"/>
      <c r="FS1111" s="6"/>
      <c r="FT1111" s="139"/>
      <c r="FU1111" s="139"/>
      <c r="FV1111" s="76"/>
      <c r="FW1111" s="123"/>
      <c r="FX1111" s="6"/>
    </row>
    <row r="1112" spans="35:180">
      <c r="AI1112" s="125"/>
      <c r="AJ1112" s="16"/>
      <c r="AM1112" s="16"/>
      <c r="AN1112" s="16"/>
      <c r="AO1112" s="125"/>
      <c r="AP1112" s="16"/>
      <c r="AQ1112" s="125"/>
      <c r="AZ1112" s="125"/>
      <c r="BA1112" s="142"/>
      <c r="BB1112" s="125"/>
      <c r="BC1112" s="16"/>
      <c r="BD1112" s="125"/>
      <c r="BE1112" s="125"/>
      <c r="BF1112" s="16"/>
      <c r="BG1112" s="125"/>
      <c r="BQ1112" s="125"/>
      <c r="BR1112" s="16"/>
      <c r="BS1112" s="123"/>
      <c r="BT1112" s="19"/>
      <c r="BU1112" s="139"/>
      <c r="BV1112" s="139"/>
      <c r="BW1112" s="123"/>
      <c r="BX1112" s="123"/>
      <c r="BY1112" s="123"/>
      <c r="BZ1112" s="123"/>
      <c r="CA1112" s="123"/>
      <c r="CB1112" s="123"/>
      <c r="CC1112" s="6"/>
      <c r="CD1112" s="123"/>
      <c r="CE1112" s="6"/>
      <c r="CF1112" s="123"/>
      <c r="CG1112" s="6"/>
      <c r="CH1112" s="6"/>
      <c r="CI1112" s="6"/>
      <c r="CJ1112" s="6"/>
      <c r="CK1112" s="123"/>
      <c r="CL1112" s="6"/>
      <c r="CM1112" s="6"/>
      <c r="CN1112" s="6"/>
      <c r="CO1112" s="138"/>
      <c r="CP1112" s="138"/>
      <c r="CQ1112" s="123"/>
      <c r="CR1112" s="6"/>
      <c r="CS1112" s="6"/>
      <c r="CT1112" s="139"/>
      <c r="CU1112" s="139"/>
      <c r="CV1112" s="76"/>
      <c r="CW1112" s="123"/>
      <c r="CX1112" s="6"/>
      <c r="DI1112" s="125"/>
      <c r="DJ1112" s="16"/>
      <c r="DM1112" s="16"/>
      <c r="DN1112" s="16"/>
      <c r="DO1112" s="125"/>
      <c r="DP1112" s="16"/>
      <c r="DQ1112" s="125"/>
      <c r="DZ1112" s="125"/>
      <c r="EA1112" s="142"/>
      <c r="EB1112" s="125"/>
      <c r="EC1112" s="16"/>
      <c r="ED1112" s="125"/>
      <c r="EE1112" s="125"/>
      <c r="EF1112" s="16"/>
      <c r="EG1112" s="125"/>
      <c r="EQ1112" s="125"/>
      <c r="ER1112" s="16"/>
      <c r="ES1112" s="123"/>
      <c r="ET1112" s="19"/>
      <c r="EU1112" s="139"/>
      <c r="EV1112" s="139"/>
      <c r="EW1112" s="123"/>
      <c r="EX1112" s="123"/>
      <c r="EY1112" s="123"/>
      <c r="EZ1112" s="123"/>
      <c r="FA1112" s="123"/>
      <c r="FB1112" s="123"/>
      <c r="FC1112" s="6"/>
      <c r="FD1112" s="123"/>
      <c r="FE1112" s="6"/>
      <c r="FF1112" s="123"/>
      <c r="FG1112" s="6"/>
      <c r="FH1112" s="6"/>
      <c r="FI1112" s="6"/>
      <c r="FJ1112" s="6"/>
      <c r="FK1112" s="123"/>
      <c r="FL1112" s="6"/>
      <c r="FM1112" s="6"/>
      <c r="FN1112" s="6"/>
      <c r="FO1112" s="138"/>
      <c r="FP1112" s="138"/>
      <c r="FQ1112" s="123"/>
      <c r="FR1112" s="6"/>
      <c r="FS1112" s="6"/>
      <c r="FT1112" s="139"/>
      <c r="FU1112" s="139"/>
      <c r="FV1112" s="76"/>
      <c r="FW1112" s="123"/>
      <c r="FX1112" s="6"/>
    </row>
    <row r="1113" spans="35:180">
      <c r="AI1113" s="125"/>
      <c r="AJ1113" s="16"/>
      <c r="AM1113" s="16"/>
      <c r="AN1113" s="16"/>
      <c r="AO1113" s="125"/>
      <c r="AP1113" s="16"/>
      <c r="AQ1113" s="125"/>
      <c r="AZ1113" s="125"/>
      <c r="BA1113" s="142"/>
      <c r="BB1113" s="125"/>
      <c r="BC1113" s="16"/>
      <c r="BD1113" s="125"/>
      <c r="BE1113" s="125"/>
      <c r="BF1113" s="16"/>
      <c r="BG1113" s="125"/>
      <c r="BQ1113" s="125"/>
      <c r="BR1113" s="16"/>
      <c r="BS1113" s="123"/>
      <c r="BT1113" s="19"/>
      <c r="BU1113" s="139"/>
      <c r="BV1113" s="139"/>
      <c r="BW1113" s="123"/>
      <c r="BX1113" s="123"/>
      <c r="BY1113" s="123"/>
      <c r="BZ1113" s="123"/>
      <c r="CA1113" s="123"/>
      <c r="CB1113" s="123"/>
      <c r="CC1113" s="6"/>
      <c r="CD1113" s="123"/>
      <c r="CE1113" s="6"/>
      <c r="CF1113" s="123"/>
      <c r="CG1113" s="6"/>
      <c r="CH1113" s="6"/>
      <c r="CI1113" s="6"/>
      <c r="CJ1113" s="6"/>
      <c r="CK1113" s="123"/>
      <c r="CL1113" s="6"/>
      <c r="CM1113" s="6"/>
      <c r="CN1113" s="6"/>
      <c r="CO1113" s="138"/>
      <c r="CP1113" s="138"/>
      <c r="CQ1113" s="123"/>
      <c r="CR1113" s="6"/>
      <c r="CS1113" s="6"/>
      <c r="CT1113" s="139"/>
      <c r="CU1113" s="139"/>
      <c r="CV1113" s="76"/>
      <c r="CW1113" s="123"/>
      <c r="CX1113" s="6"/>
      <c r="DI1113" s="125"/>
      <c r="DJ1113" s="16"/>
      <c r="DM1113" s="16"/>
      <c r="DN1113" s="16"/>
      <c r="DO1113" s="125"/>
      <c r="DP1113" s="16"/>
      <c r="DQ1113" s="125"/>
      <c r="DZ1113" s="125"/>
      <c r="EA1113" s="142"/>
      <c r="EB1113" s="125"/>
      <c r="EC1113" s="16"/>
      <c r="ED1113" s="125"/>
      <c r="EE1113" s="125"/>
      <c r="EF1113" s="16"/>
      <c r="EG1113" s="125"/>
      <c r="EQ1113" s="125"/>
      <c r="ER1113" s="16"/>
      <c r="ES1113" s="123"/>
      <c r="ET1113" s="19"/>
      <c r="EU1113" s="139"/>
      <c r="EV1113" s="139"/>
      <c r="EW1113" s="123"/>
      <c r="EX1113" s="123"/>
      <c r="EY1113" s="123"/>
      <c r="EZ1113" s="123"/>
      <c r="FA1113" s="123"/>
      <c r="FB1113" s="123"/>
      <c r="FC1113" s="6"/>
      <c r="FD1113" s="123"/>
      <c r="FE1113" s="6"/>
      <c r="FF1113" s="123"/>
      <c r="FG1113" s="6"/>
      <c r="FH1113" s="6"/>
      <c r="FI1113" s="6"/>
      <c r="FJ1113" s="6"/>
      <c r="FK1113" s="123"/>
      <c r="FL1113" s="6"/>
      <c r="FM1113" s="6"/>
      <c r="FN1113" s="6"/>
      <c r="FO1113" s="138"/>
      <c r="FP1113" s="138"/>
      <c r="FQ1113" s="123"/>
      <c r="FR1113" s="6"/>
      <c r="FS1113" s="6"/>
      <c r="FT1113" s="139"/>
      <c r="FU1113" s="139"/>
      <c r="FV1113" s="76"/>
      <c r="FW1113" s="123"/>
      <c r="FX1113" s="6"/>
    </row>
    <row r="1114" spans="35:180">
      <c r="AI1114" s="125"/>
      <c r="AJ1114" s="16"/>
      <c r="AM1114" s="16"/>
      <c r="AN1114" s="16"/>
      <c r="AO1114" s="125"/>
      <c r="AP1114" s="16"/>
      <c r="AQ1114" s="125"/>
      <c r="AZ1114" s="125"/>
      <c r="BA1114" s="142"/>
      <c r="BB1114" s="125"/>
      <c r="BC1114" s="16"/>
      <c r="BD1114" s="125"/>
      <c r="BE1114" s="125"/>
      <c r="BF1114" s="16"/>
      <c r="BG1114" s="125"/>
      <c r="BQ1114" s="125"/>
      <c r="BR1114" s="16"/>
      <c r="BS1114" s="123"/>
      <c r="BT1114" s="19"/>
      <c r="BU1114" s="139"/>
      <c r="BV1114" s="139"/>
      <c r="BW1114" s="123"/>
      <c r="BX1114" s="123"/>
      <c r="BY1114" s="123"/>
      <c r="BZ1114" s="123"/>
      <c r="CA1114" s="123"/>
      <c r="CB1114" s="123"/>
      <c r="CC1114" s="6"/>
      <c r="CD1114" s="123"/>
      <c r="CE1114" s="6"/>
      <c r="CF1114" s="123"/>
      <c r="CG1114" s="6"/>
      <c r="CH1114" s="6"/>
      <c r="CI1114" s="6"/>
      <c r="CJ1114" s="6"/>
      <c r="CK1114" s="123"/>
      <c r="CL1114" s="6"/>
      <c r="CM1114" s="6"/>
      <c r="CN1114" s="6"/>
      <c r="CO1114" s="138"/>
      <c r="CP1114" s="138"/>
      <c r="CQ1114" s="123"/>
      <c r="CR1114" s="6"/>
      <c r="CS1114" s="6"/>
      <c r="CT1114" s="139"/>
      <c r="CU1114" s="139"/>
      <c r="CV1114" s="76"/>
      <c r="CW1114" s="123"/>
      <c r="CX1114" s="6"/>
      <c r="DI1114" s="125"/>
      <c r="DJ1114" s="16"/>
      <c r="DM1114" s="16"/>
      <c r="DN1114" s="16"/>
      <c r="DO1114" s="125"/>
      <c r="DP1114" s="16"/>
      <c r="DQ1114" s="125"/>
      <c r="DZ1114" s="125"/>
      <c r="EA1114" s="142"/>
      <c r="EB1114" s="125"/>
      <c r="EC1114" s="16"/>
      <c r="ED1114" s="125"/>
      <c r="EE1114" s="125"/>
      <c r="EF1114" s="16"/>
      <c r="EG1114" s="125"/>
      <c r="EQ1114" s="125"/>
      <c r="ER1114" s="16"/>
      <c r="ES1114" s="123"/>
      <c r="ET1114" s="19"/>
      <c r="EU1114" s="139"/>
      <c r="EV1114" s="139"/>
      <c r="EW1114" s="123"/>
      <c r="EX1114" s="123"/>
      <c r="EY1114" s="123"/>
      <c r="EZ1114" s="123"/>
      <c r="FA1114" s="123"/>
      <c r="FB1114" s="123"/>
      <c r="FC1114" s="6"/>
      <c r="FD1114" s="123"/>
      <c r="FE1114" s="6"/>
      <c r="FF1114" s="123"/>
      <c r="FG1114" s="6"/>
      <c r="FH1114" s="6"/>
      <c r="FI1114" s="6"/>
      <c r="FJ1114" s="6"/>
      <c r="FK1114" s="123"/>
      <c r="FL1114" s="6"/>
      <c r="FM1114" s="6"/>
      <c r="FN1114" s="6"/>
      <c r="FO1114" s="138"/>
      <c r="FP1114" s="138"/>
      <c r="FQ1114" s="123"/>
      <c r="FR1114" s="6"/>
      <c r="FS1114" s="6"/>
      <c r="FT1114" s="139"/>
      <c r="FU1114" s="139"/>
      <c r="FV1114" s="76"/>
      <c r="FW1114" s="123"/>
      <c r="FX1114" s="6"/>
    </row>
    <row r="1115" spans="35:180">
      <c r="AI1115" s="125"/>
      <c r="AJ1115" s="16"/>
      <c r="AM1115" s="16"/>
      <c r="AN1115" s="16"/>
      <c r="AO1115" s="125"/>
      <c r="AP1115" s="16"/>
      <c r="AQ1115" s="125"/>
      <c r="AZ1115" s="125"/>
      <c r="BA1115" s="142"/>
      <c r="BB1115" s="125"/>
      <c r="BC1115" s="16"/>
      <c r="BD1115" s="125"/>
      <c r="BE1115" s="125"/>
      <c r="BF1115" s="16"/>
      <c r="BG1115" s="125"/>
      <c r="BQ1115" s="125"/>
      <c r="BR1115" s="16"/>
      <c r="BS1115" s="123"/>
      <c r="BT1115" s="19"/>
      <c r="BU1115" s="139"/>
      <c r="BV1115" s="139"/>
      <c r="BW1115" s="123"/>
      <c r="BX1115" s="123"/>
      <c r="BY1115" s="123"/>
      <c r="BZ1115" s="123"/>
      <c r="CA1115" s="123"/>
      <c r="CB1115" s="123"/>
      <c r="CC1115" s="6"/>
      <c r="CD1115" s="123"/>
      <c r="CE1115" s="6"/>
      <c r="CF1115" s="123"/>
      <c r="CG1115" s="6"/>
      <c r="CH1115" s="6"/>
      <c r="CI1115" s="6"/>
      <c r="CJ1115" s="6"/>
      <c r="CK1115" s="123"/>
      <c r="CL1115" s="6"/>
      <c r="CM1115" s="6"/>
      <c r="CN1115" s="6"/>
      <c r="CO1115" s="138"/>
      <c r="CP1115" s="138"/>
      <c r="CQ1115" s="123"/>
      <c r="CR1115" s="6"/>
      <c r="CS1115" s="6"/>
      <c r="CT1115" s="139"/>
      <c r="CU1115" s="139"/>
      <c r="CV1115" s="76"/>
      <c r="CW1115" s="123"/>
      <c r="CX1115" s="6"/>
      <c r="DI1115" s="125"/>
      <c r="DJ1115" s="16"/>
      <c r="DM1115" s="16"/>
      <c r="DN1115" s="16"/>
      <c r="DO1115" s="125"/>
      <c r="DP1115" s="16"/>
      <c r="DQ1115" s="125"/>
      <c r="DZ1115" s="125"/>
      <c r="EA1115" s="142"/>
      <c r="EB1115" s="125"/>
      <c r="EC1115" s="16"/>
      <c r="ED1115" s="125"/>
      <c r="EE1115" s="125"/>
      <c r="EF1115" s="16"/>
      <c r="EG1115" s="125"/>
      <c r="EQ1115" s="125"/>
      <c r="ER1115" s="16"/>
      <c r="ES1115" s="123"/>
      <c r="ET1115" s="19"/>
      <c r="EU1115" s="139"/>
      <c r="EV1115" s="139"/>
      <c r="EW1115" s="123"/>
      <c r="EX1115" s="123"/>
      <c r="EY1115" s="123"/>
      <c r="EZ1115" s="123"/>
      <c r="FA1115" s="123"/>
      <c r="FB1115" s="123"/>
      <c r="FC1115" s="6"/>
      <c r="FD1115" s="123"/>
      <c r="FE1115" s="6"/>
      <c r="FF1115" s="123"/>
      <c r="FG1115" s="6"/>
      <c r="FH1115" s="6"/>
      <c r="FI1115" s="6"/>
      <c r="FJ1115" s="6"/>
      <c r="FK1115" s="123"/>
      <c r="FL1115" s="6"/>
      <c r="FM1115" s="6"/>
      <c r="FN1115" s="6"/>
      <c r="FO1115" s="138"/>
      <c r="FP1115" s="138"/>
      <c r="FQ1115" s="123"/>
      <c r="FR1115" s="6"/>
      <c r="FS1115" s="6"/>
      <c r="FT1115" s="139"/>
      <c r="FU1115" s="139"/>
      <c r="FV1115" s="76"/>
      <c r="FW1115" s="123"/>
      <c r="FX1115" s="6"/>
    </row>
    <row r="1116" spans="35:180">
      <c r="AI1116" s="125"/>
      <c r="AJ1116" s="16"/>
      <c r="AM1116" s="16"/>
      <c r="AN1116" s="16"/>
      <c r="AO1116" s="125"/>
      <c r="AP1116" s="16"/>
      <c r="AQ1116" s="125"/>
      <c r="AZ1116" s="125"/>
      <c r="BA1116" s="142"/>
      <c r="BB1116" s="125"/>
      <c r="BC1116" s="16"/>
      <c r="BD1116" s="125"/>
      <c r="BE1116" s="125"/>
      <c r="BF1116" s="16"/>
      <c r="BG1116" s="125"/>
      <c r="BQ1116" s="125"/>
      <c r="BR1116" s="16"/>
      <c r="BS1116" s="123"/>
      <c r="BT1116" s="19"/>
      <c r="BU1116" s="139"/>
      <c r="BV1116" s="139"/>
      <c r="BW1116" s="123"/>
      <c r="BX1116" s="123"/>
      <c r="BY1116" s="123"/>
      <c r="BZ1116" s="123"/>
      <c r="CA1116" s="123"/>
      <c r="CB1116" s="123"/>
      <c r="CC1116" s="6"/>
      <c r="CD1116" s="123"/>
      <c r="CE1116" s="6"/>
      <c r="CF1116" s="123"/>
      <c r="CG1116" s="6"/>
      <c r="CH1116" s="6"/>
      <c r="CI1116" s="6"/>
      <c r="CJ1116" s="6"/>
      <c r="CK1116" s="123"/>
      <c r="CL1116" s="6"/>
      <c r="CM1116" s="6"/>
      <c r="CN1116" s="6"/>
      <c r="CO1116" s="138"/>
      <c r="CP1116" s="138"/>
      <c r="CQ1116" s="123"/>
      <c r="CR1116" s="6"/>
      <c r="CS1116" s="6"/>
      <c r="CT1116" s="139"/>
      <c r="CU1116" s="139"/>
      <c r="CV1116" s="76"/>
      <c r="CW1116" s="123"/>
      <c r="CX1116" s="6"/>
      <c r="DI1116" s="125"/>
      <c r="DJ1116" s="16"/>
      <c r="DM1116" s="16"/>
      <c r="DN1116" s="16"/>
      <c r="DO1116" s="125"/>
      <c r="DP1116" s="16"/>
      <c r="DQ1116" s="125"/>
      <c r="DZ1116" s="125"/>
      <c r="EA1116" s="142"/>
      <c r="EB1116" s="125"/>
      <c r="EC1116" s="16"/>
      <c r="ED1116" s="125"/>
      <c r="EE1116" s="125"/>
      <c r="EF1116" s="16"/>
      <c r="EG1116" s="125"/>
      <c r="EQ1116" s="125"/>
      <c r="ER1116" s="16"/>
      <c r="ES1116" s="123"/>
      <c r="ET1116" s="19"/>
      <c r="EU1116" s="139"/>
      <c r="EV1116" s="139"/>
      <c r="EW1116" s="123"/>
      <c r="EX1116" s="123"/>
      <c r="EY1116" s="123"/>
      <c r="EZ1116" s="123"/>
      <c r="FA1116" s="123"/>
      <c r="FB1116" s="123"/>
      <c r="FC1116" s="6"/>
      <c r="FD1116" s="123"/>
      <c r="FE1116" s="6"/>
      <c r="FF1116" s="123"/>
      <c r="FG1116" s="6"/>
      <c r="FH1116" s="6"/>
      <c r="FI1116" s="6"/>
      <c r="FJ1116" s="6"/>
      <c r="FK1116" s="123"/>
      <c r="FL1116" s="6"/>
      <c r="FM1116" s="6"/>
      <c r="FN1116" s="6"/>
      <c r="FO1116" s="138"/>
      <c r="FP1116" s="138"/>
      <c r="FQ1116" s="123"/>
      <c r="FR1116" s="6"/>
      <c r="FS1116" s="6"/>
      <c r="FT1116" s="139"/>
      <c r="FU1116" s="139"/>
      <c r="FV1116" s="76"/>
      <c r="FW1116" s="123"/>
      <c r="FX1116" s="6"/>
    </row>
    <row r="1117" spans="35:180">
      <c r="AI1117" s="125"/>
      <c r="AJ1117" s="16"/>
      <c r="AM1117" s="16"/>
      <c r="AN1117" s="16"/>
      <c r="AO1117" s="125"/>
      <c r="AP1117" s="16"/>
      <c r="AQ1117" s="125"/>
      <c r="AZ1117" s="125"/>
      <c r="BA1117" s="142"/>
      <c r="BB1117" s="125"/>
      <c r="BC1117" s="16"/>
      <c r="BD1117" s="125"/>
      <c r="BE1117" s="125"/>
      <c r="BF1117" s="16"/>
      <c r="BG1117" s="125"/>
      <c r="BQ1117" s="125"/>
      <c r="BR1117" s="16"/>
      <c r="BS1117" s="123"/>
      <c r="BT1117" s="19"/>
      <c r="BU1117" s="139"/>
      <c r="BV1117" s="139"/>
      <c r="BW1117" s="123"/>
      <c r="BX1117" s="123"/>
      <c r="BY1117" s="123"/>
      <c r="BZ1117" s="123"/>
      <c r="CA1117" s="123"/>
      <c r="CB1117" s="123"/>
      <c r="CC1117" s="6"/>
      <c r="CD1117" s="123"/>
      <c r="CE1117" s="6"/>
      <c r="CF1117" s="123"/>
      <c r="CG1117" s="6"/>
      <c r="CH1117" s="6"/>
      <c r="CI1117" s="6"/>
      <c r="CJ1117" s="6"/>
      <c r="CK1117" s="123"/>
      <c r="CL1117" s="6"/>
      <c r="CM1117" s="6"/>
      <c r="CN1117" s="6"/>
      <c r="CO1117" s="138"/>
      <c r="CP1117" s="138"/>
      <c r="CQ1117" s="123"/>
      <c r="CR1117" s="6"/>
      <c r="CS1117" s="6"/>
      <c r="CT1117" s="139"/>
      <c r="CU1117" s="139"/>
      <c r="CV1117" s="76"/>
      <c r="CW1117" s="123"/>
      <c r="CX1117" s="6"/>
      <c r="DI1117" s="125"/>
      <c r="DJ1117" s="16"/>
      <c r="DM1117" s="16"/>
      <c r="DN1117" s="16"/>
      <c r="DO1117" s="125"/>
      <c r="DP1117" s="16"/>
      <c r="DQ1117" s="125"/>
      <c r="DZ1117" s="125"/>
      <c r="EA1117" s="142"/>
      <c r="EB1117" s="125"/>
      <c r="EC1117" s="16"/>
      <c r="ED1117" s="125"/>
      <c r="EE1117" s="125"/>
      <c r="EF1117" s="16"/>
      <c r="EG1117" s="125"/>
      <c r="EQ1117" s="125"/>
      <c r="ER1117" s="16"/>
      <c r="ES1117" s="123"/>
      <c r="ET1117" s="19"/>
      <c r="EU1117" s="139"/>
      <c r="EV1117" s="139"/>
      <c r="EW1117" s="123"/>
      <c r="EX1117" s="123"/>
      <c r="EY1117" s="123"/>
      <c r="EZ1117" s="123"/>
      <c r="FA1117" s="123"/>
      <c r="FB1117" s="123"/>
      <c r="FC1117" s="6"/>
      <c r="FD1117" s="123"/>
      <c r="FE1117" s="6"/>
      <c r="FF1117" s="123"/>
      <c r="FG1117" s="6"/>
      <c r="FH1117" s="6"/>
      <c r="FI1117" s="6"/>
      <c r="FJ1117" s="6"/>
      <c r="FK1117" s="123"/>
      <c r="FL1117" s="6"/>
      <c r="FM1117" s="6"/>
      <c r="FN1117" s="6"/>
      <c r="FO1117" s="138"/>
      <c r="FP1117" s="138"/>
      <c r="FQ1117" s="123"/>
      <c r="FR1117" s="6"/>
      <c r="FS1117" s="6"/>
      <c r="FT1117" s="139"/>
      <c r="FU1117" s="139"/>
      <c r="FV1117" s="76"/>
      <c r="FW1117" s="123"/>
      <c r="FX1117" s="6"/>
    </row>
    <row r="1118" spans="35:180">
      <c r="AI1118" s="125"/>
      <c r="AJ1118" s="16"/>
      <c r="AM1118" s="16"/>
      <c r="AN1118" s="16"/>
      <c r="AO1118" s="125"/>
      <c r="AP1118" s="16"/>
      <c r="AQ1118" s="125"/>
      <c r="AZ1118" s="125"/>
      <c r="BA1118" s="142"/>
      <c r="BB1118" s="125"/>
      <c r="BC1118" s="16"/>
      <c r="BD1118" s="125"/>
      <c r="BE1118" s="125"/>
      <c r="BF1118" s="16"/>
      <c r="BG1118" s="125"/>
      <c r="BQ1118" s="125"/>
      <c r="BR1118" s="16"/>
      <c r="BS1118" s="123"/>
      <c r="BT1118" s="19"/>
      <c r="BU1118" s="139"/>
      <c r="BV1118" s="139"/>
      <c r="BW1118" s="123"/>
      <c r="BX1118" s="123"/>
      <c r="BY1118" s="123"/>
      <c r="BZ1118" s="123"/>
      <c r="CA1118" s="123"/>
      <c r="CB1118" s="123"/>
      <c r="CC1118" s="6"/>
      <c r="CD1118" s="123"/>
      <c r="CE1118" s="6"/>
      <c r="CF1118" s="123"/>
      <c r="CG1118" s="6"/>
      <c r="CH1118" s="6"/>
      <c r="CI1118" s="6"/>
      <c r="CJ1118" s="6"/>
      <c r="CK1118" s="123"/>
      <c r="CL1118" s="6"/>
      <c r="CM1118" s="6"/>
      <c r="CN1118" s="6"/>
      <c r="CO1118" s="138"/>
      <c r="CP1118" s="138"/>
      <c r="CQ1118" s="123"/>
      <c r="CR1118" s="6"/>
      <c r="CS1118" s="6"/>
      <c r="CT1118" s="139"/>
      <c r="CU1118" s="139"/>
      <c r="CV1118" s="76"/>
      <c r="CW1118" s="123"/>
      <c r="CX1118" s="6"/>
      <c r="DI1118" s="125"/>
      <c r="DJ1118" s="16"/>
      <c r="DM1118" s="16"/>
      <c r="DN1118" s="16"/>
      <c r="DO1118" s="125"/>
      <c r="DP1118" s="16"/>
      <c r="DQ1118" s="125"/>
      <c r="DZ1118" s="125"/>
      <c r="EA1118" s="142"/>
      <c r="EB1118" s="125"/>
      <c r="EC1118" s="16"/>
      <c r="ED1118" s="125"/>
      <c r="EE1118" s="125"/>
      <c r="EF1118" s="16"/>
      <c r="EG1118" s="125"/>
      <c r="EQ1118" s="125"/>
      <c r="ER1118" s="16"/>
      <c r="ES1118" s="123"/>
      <c r="ET1118" s="19"/>
      <c r="EU1118" s="139"/>
      <c r="EV1118" s="139"/>
      <c r="EW1118" s="123"/>
      <c r="EX1118" s="123"/>
      <c r="EY1118" s="123"/>
      <c r="EZ1118" s="123"/>
      <c r="FA1118" s="123"/>
      <c r="FB1118" s="123"/>
      <c r="FC1118" s="6"/>
      <c r="FD1118" s="123"/>
      <c r="FE1118" s="6"/>
      <c r="FF1118" s="123"/>
      <c r="FG1118" s="6"/>
      <c r="FH1118" s="6"/>
      <c r="FI1118" s="6"/>
      <c r="FJ1118" s="6"/>
      <c r="FK1118" s="123"/>
      <c r="FL1118" s="6"/>
      <c r="FM1118" s="6"/>
      <c r="FN1118" s="6"/>
      <c r="FO1118" s="138"/>
      <c r="FP1118" s="138"/>
      <c r="FQ1118" s="123"/>
      <c r="FR1118" s="6"/>
      <c r="FS1118" s="6"/>
      <c r="FT1118" s="139"/>
      <c r="FU1118" s="139"/>
      <c r="FV1118" s="76"/>
      <c r="FW1118" s="123"/>
      <c r="FX1118" s="6"/>
    </row>
    <row r="1119" spans="35:180">
      <c r="AI1119" s="125"/>
      <c r="AJ1119" s="16"/>
      <c r="AM1119" s="16"/>
      <c r="AN1119" s="16"/>
      <c r="AO1119" s="125"/>
      <c r="AP1119" s="16"/>
      <c r="AQ1119" s="125"/>
      <c r="AZ1119" s="125"/>
      <c r="BA1119" s="142"/>
      <c r="BB1119" s="125"/>
      <c r="BC1119" s="16"/>
      <c r="BD1119" s="125"/>
      <c r="BE1119" s="125"/>
      <c r="BF1119" s="16"/>
      <c r="BG1119" s="125"/>
      <c r="BQ1119" s="125"/>
      <c r="BR1119" s="16"/>
      <c r="BS1119" s="123"/>
      <c r="BT1119" s="19"/>
      <c r="BU1119" s="139"/>
      <c r="BV1119" s="139"/>
      <c r="BW1119" s="123"/>
      <c r="BX1119" s="123"/>
      <c r="BY1119" s="123"/>
      <c r="BZ1119" s="123"/>
      <c r="CA1119" s="123"/>
      <c r="CB1119" s="123"/>
      <c r="CC1119" s="6"/>
      <c r="CD1119" s="123"/>
      <c r="CE1119" s="6"/>
      <c r="CF1119" s="123"/>
      <c r="CG1119" s="6"/>
      <c r="CH1119" s="6"/>
      <c r="CI1119" s="6"/>
      <c r="CJ1119" s="6"/>
      <c r="CK1119" s="123"/>
      <c r="CL1119" s="6"/>
      <c r="CM1119" s="6"/>
      <c r="CN1119" s="6"/>
      <c r="CO1119" s="138"/>
      <c r="CP1119" s="138"/>
      <c r="CQ1119" s="123"/>
      <c r="CR1119" s="6"/>
      <c r="CS1119" s="6"/>
      <c r="CT1119" s="139"/>
      <c r="CU1119" s="139"/>
      <c r="CV1119" s="76"/>
      <c r="CW1119" s="123"/>
      <c r="CX1119" s="6"/>
      <c r="DI1119" s="125"/>
      <c r="DJ1119" s="16"/>
      <c r="DM1119" s="16"/>
      <c r="DN1119" s="16"/>
      <c r="DO1119" s="125"/>
      <c r="DP1119" s="16"/>
      <c r="DQ1119" s="125"/>
      <c r="DZ1119" s="125"/>
      <c r="EA1119" s="142"/>
      <c r="EB1119" s="125"/>
      <c r="EC1119" s="16"/>
      <c r="ED1119" s="125"/>
      <c r="EE1119" s="125"/>
      <c r="EF1119" s="16"/>
      <c r="EG1119" s="125"/>
      <c r="EQ1119" s="125"/>
      <c r="ER1119" s="16"/>
      <c r="ES1119" s="123"/>
      <c r="ET1119" s="19"/>
      <c r="EU1119" s="139"/>
      <c r="EV1119" s="139"/>
      <c r="EW1119" s="123"/>
      <c r="EX1119" s="123"/>
      <c r="EY1119" s="123"/>
      <c r="EZ1119" s="123"/>
      <c r="FA1119" s="123"/>
      <c r="FB1119" s="123"/>
      <c r="FC1119" s="6"/>
      <c r="FD1119" s="123"/>
      <c r="FE1119" s="6"/>
      <c r="FF1119" s="123"/>
      <c r="FG1119" s="6"/>
      <c r="FH1119" s="6"/>
      <c r="FI1119" s="6"/>
      <c r="FJ1119" s="6"/>
      <c r="FK1119" s="123"/>
      <c r="FL1119" s="6"/>
      <c r="FM1119" s="6"/>
      <c r="FN1119" s="6"/>
      <c r="FO1119" s="138"/>
      <c r="FP1119" s="138"/>
      <c r="FQ1119" s="123"/>
      <c r="FR1119" s="6"/>
      <c r="FS1119" s="6"/>
      <c r="FT1119" s="139"/>
      <c r="FU1119" s="139"/>
      <c r="FV1119" s="76"/>
      <c r="FW1119" s="123"/>
      <c r="FX1119" s="6"/>
    </row>
    <row r="1120" spans="35:180">
      <c r="AI1120" s="125"/>
      <c r="AJ1120" s="16"/>
      <c r="AM1120" s="16"/>
      <c r="AN1120" s="16"/>
      <c r="AO1120" s="125"/>
      <c r="AP1120" s="16"/>
      <c r="AQ1120" s="125"/>
      <c r="AZ1120" s="125"/>
      <c r="BA1120" s="142"/>
      <c r="BB1120" s="125"/>
      <c r="BC1120" s="16"/>
      <c r="BD1120" s="125"/>
      <c r="BE1120" s="125"/>
      <c r="BF1120" s="16"/>
      <c r="BG1120" s="125"/>
      <c r="BQ1120" s="125"/>
      <c r="BR1120" s="16"/>
      <c r="BS1120" s="123"/>
      <c r="BT1120" s="19"/>
      <c r="BU1120" s="139"/>
      <c r="BV1120" s="139"/>
      <c r="BW1120" s="123"/>
      <c r="BX1120" s="123"/>
      <c r="BY1120" s="123"/>
      <c r="BZ1120" s="123"/>
      <c r="CA1120" s="123"/>
      <c r="CB1120" s="123"/>
      <c r="CC1120" s="6"/>
      <c r="CD1120" s="123"/>
      <c r="CE1120" s="6"/>
      <c r="CF1120" s="123"/>
      <c r="CG1120" s="6"/>
      <c r="CH1120" s="6"/>
      <c r="CI1120" s="6"/>
      <c r="CJ1120" s="6"/>
      <c r="CK1120" s="123"/>
      <c r="CL1120" s="6"/>
      <c r="CM1120" s="6"/>
      <c r="CN1120" s="6"/>
      <c r="CO1120" s="138"/>
      <c r="CP1120" s="138"/>
      <c r="CQ1120" s="123"/>
      <c r="CR1120" s="6"/>
      <c r="CS1120" s="6"/>
      <c r="CT1120" s="139"/>
      <c r="CU1120" s="139"/>
      <c r="CV1120" s="76"/>
      <c r="CW1120" s="123"/>
      <c r="CX1120" s="6"/>
      <c r="DI1120" s="125"/>
      <c r="DJ1120" s="16"/>
      <c r="DM1120" s="16"/>
      <c r="DN1120" s="16"/>
      <c r="DO1120" s="125"/>
      <c r="DP1120" s="16"/>
      <c r="DQ1120" s="125"/>
      <c r="DZ1120" s="125"/>
      <c r="EA1120" s="142"/>
      <c r="EB1120" s="125"/>
      <c r="EC1120" s="16"/>
      <c r="ED1120" s="125"/>
      <c r="EE1120" s="125"/>
      <c r="EF1120" s="16"/>
      <c r="EG1120" s="125"/>
      <c r="EQ1120" s="125"/>
      <c r="ER1120" s="16"/>
      <c r="ES1120" s="123"/>
      <c r="ET1120" s="19"/>
      <c r="EU1120" s="139"/>
      <c r="EV1120" s="139"/>
      <c r="EW1120" s="123"/>
      <c r="EX1120" s="123"/>
      <c r="EY1120" s="123"/>
      <c r="EZ1120" s="123"/>
      <c r="FA1120" s="123"/>
      <c r="FB1120" s="123"/>
      <c r="FC1120" s="6"/>
      <c r="FD1120" s="123"/>
      <c r="FE1120" s="6"/>
      <c r="FF1120" s="123"/>
      <c r="FG1120" s="6"/>
      <c r="FH1120" s="6"/>
      <c r="FI1120" s="6"/>
      <c r="FJ1120" s="6"/>
      <c r="FK1120" s="123"/>
      <c r="FL1120" s="6"/>
      <c r="FM1120" s="6"/>
      <c r="FN1120" s="6"/>
      <c r="FO1120" s="138"/>
      <c r="FP1120" s="138"/>
      <c r="FQ1120" s="123"/>
      <c r="FR1120" s="6"/>
      <c r="FS1120" s="6"/>
      <c r="FT1120" s="139"/>
      <c r="FU1120" s="139"/>
      <c r="FV1120" s="76"/>
      <c r="FW1120" s="123"/>
      <c r="FX1120" s="6"/>
    </row>
    <row r="1121" spans="35:180">
      <c r="AI1121" s="125"/>
      <c r="AJ1121" s="16"/>
      <c r="AM1121" s="16"/>
      <c r="AN1121" s="16"/>
      <c r="AO1121" s="125"/>
      <c r="AP1121" s="16"/>
      <c r="AQ1121" s="125"/>
      <c r="AZ1121" s="125"/>
      <c r="BA1121" s="142"/>
      <c r="BB1121" s="125"/>
      <c r="BC1121" s="16"/>
      <c r="BD1121" s="125"/>
      <c r="BE1121" s="125"/>
      <c r="BF1121" s="16"/>
      <c r="BG1121" s="125"/>
      <c r="BQ1121" s="125"/>
      <c r="BR1121" s="16"/>
      <c r="BS1121" s="123"/>
      <c r="BT1121" s="19"/>
      <c r="BU1121" s="139"/>
      <c r="BV1121" s="139"/>
      <c r="BW1121" s="123"/>
      <c r="BX1121" s="123"/>
      <c r="BY1121" s="123"/>
      <c r="BZ1121" s="123"/>
      <c r="CA1121" s="123"/>
      <c r="CB1121" s="123"/>
      <c r="CC1121" s="6"/>
      <c r="CD1121" s="123"/>
      <c r="CE1121" s="6"/>
      <c r="CF1121" s="123"/>
      <c r="CG1121" s="6"/>
      <c r="CH1121" s="6"/>
      <c r="CI1121" s="6"/>
      <c r="CJ1121" s="6"/>
      <c r="CK1121" s="123"/>
      <c r="CL1121" s="6"/>
      <c r="CM1121" s="6"/>
      <c r="CN1121" s="6"/>
      <c r="CO1121" s="138"/>
      <c r="CP1121" s="138"/>
      <c r="CQ1121" s="123"/>
      <c r="CR1121" s="6"/>
      <c r="CS1121" s="6"/>
      <c r="CT1121" s="139"/>
      <c r="CU1121" s="139"/>
      <c r="CV1121" s="76"/>
      <c r="CW1121" s="123"/>
      <c r="CX1121" s="6"/>
      <c r="DI1121" s="125"/>
      <c r="DJ1121" s="16"/>
      <c r="DM1121" s="16"/>
      <c r="DN1121" s="16"/>
      <c r="DO1121" s="125"/>
      <c r="DP1121" s="16"/>
      <c r="DQ1121" s="125"/>
      <c r="DZ1121" s="125"/>
      <c r="EA1121" s="142"/>
      <c r="EB1121" s="125"/>
      <c r="EC1121" s="16"/>
      <c r="ED1121" s="125"/>
      <c r="EE1121" s="125"/>
      <c r="EF1121" s="16"/>
      <c r="EG1121" s="125"/>
      <c r="EQ1121" s="125"/>
      <c r="ER1121" s="16"/>
      <c r="ES1121" s="123"/>
      <c r="ET1121" s="19"/>
      <c r="EU1121" s="139"/>
      <c r="EV1121" s="139"/>
      <c r="EW1121" s="123"/>
      <c r="EX1121" s="123"/>
      <c r="EY1121" s="123"/>
      <c r="EZ1121" s="123"/>
      <c r="FA1121" s="123"/>
      <c r="FB1121" s="123"/>
      <c r="FC1121" s="6"/>
      <c r="FD1121" s="123"/>
      <c r="FE1121" s="6"/>
      <c r="FF1121" s="123"/>
      <c r="FG1121" s="6"/>
      <c r="FH1121" s="6"/>
      <c r="FI1121" s="6"/>
      <c r="FJ1121" s="6"/>
      <c r="FK1121" s="123"/>
      <c r="FL1121" s="6"/>
      <c r="FM1121" s="6"/>
      <c r="FN1121" s="6"/>
      <c r="FO1121" s="138"/>
      <c r="FP1121" s="138"/>
      <c r="FQ1121" s="123"/>
      <c r="FR1121" s="6"/>
      <c r="FS1121" s="6"/>
      <c r="FT1121" s="139"/>
      <c r="FU1121" s="139"/>
      <c r="FV1121" s="76"/>
      <c r="FW1121" s="123"/>
      <c r="FX1121" s="6"/>
    </row>
    <row r="1122" spans="35:180">
      <c r="AI1122" s="125"/>
      <c r="AJ1122" s="16"/>
      <c r="AM1122" s="16"/>
      <c r="AN1122" s="16"/>
      <c r="AO1122" s="125"/>
      <c r="AP1122" s="16"/>
      <c r="AQ1122" s="125"/>
      <c r="AZ1122" s="125"/>
      <c r="BA1122" s="142"/>
      <c r="BB1122" s="125"/>
      <c r="BC1122" s="16"/>
      <c r="BD1122" s="125"/>
      <c r="BE1122" s="125"/>
      <c r="BF1122" s="16"/>
      <c r="BG1122" s="125"/>
      <c r="BQ1122" s="125"/>
      <c r="BR1122" s="16"/>
      <c r="BS1122" s="123"/>
      <c r="BT1122" s="19"/>
      <c r="BU1122" s="139"/>
      <c r="BV1122" s="139"/>
      <c r="BW1122" s="123"/>
      <c r="BX1122" s="123"/>
      <c r="BY1122" s="123"/>
      <c r="BZ1122" s="123"/>
      <c r="CA1122" s="123"/>
      <c r="CB1122" s="123"/>
      <c r="CC1122" s="6"/>
      <c r="CD1122" s="123"/>
      <c r="CE1122" s="6"/>
      <c r="CF1122" s="123"/>
      <c r="CG1122" s="6"/>
      <c r="CH1122" s="6"/>
      <c r="CI1122" s="6"/>
      <c r="CJ1122" s="6"/>
      <c r="CK1122" s="123"/>
      <c r="CL1122" s="6"/>
      <c r="CM1122" s="6"/>
      <c r="CN1122" s="6"/>
      <c r="CO1122" s="138"/>
      <c r="CP1122" s="138"/>
      <c r="CQ1122" s="123"/>
      <c r="CR1122" s="6"/>
      <c r="CS1122" s="6"/>
      <c r="CT1122" s="139"/>
      <c r="CU1122" s="139"/>
      <c r="CV1122" s="76"/>
      <c r="CW1122" s="123"/>
      <c r="CX1122" s="6"/>
      <c r="DI1122" s="125"/>
      <c r="DJ1122" s="16"/>
      <c r="DM1122" s="16"/>
      <c r="DN1122" s="16"/>
      <c r="DO1122" s="125"/>
      <c r="DP1122" s="16"/>
      <c r="DQ1122" s="125"/>
      <c r="DZ1122" s="125"/>
      <c r="EA1122" s="142"/>
      <c r="EB1122" s="125"/>
      <c r="EC1122" s="16"/>
      <c r="ED1122" s="125"/>
      <c r="EE1122" s="125"/>
      <c r="EF1122" s="16"/>
      <c r="EG1122" s="125"/>
      <c r="EQ1122" s="125"/>
      <c r="ER1122" s="16"/>
      <c r="ES1122" s="123"/>
      <c r="ET1122" s="19"/>
      <c r="EU1122" s="139"/>
      <c r="EV1122" s="139"/>
      <c r="EW1122" s="123"/>
      <c r="EX1122" s="123"/>
      <c r="EY1122" s="123"/>
      <c r="EZ1122" s="123"/>
      <c r="FA1122" s="123"/>
      <c r="FB1122" s="123"/>
      <c r="FC1122" s="6"/>
      <c r="FD1122" s="123"/>
      <c r="FE1122" s="6"/>
      <c r="FF1122" s="123"/>
      <c r="FG1122" s="6"/>
      <c r="FH1122" s="6"/>
      <c r="FI1122" s="6"/>
      <c r="FJ1122" s="6"/>
      <c r="FK1122" s="123"/>
      <c r="FL1122" s="6"/>
      <c r="FM1122" s="6"/>
      <c r="FN1122" s="6"/>
      <c r="FO1122" s="138"/>
      <c r="FP1122" s="138"/>
      <c r="FQ1122" s="123"/>
      <c r="FR1122" s="6"/>
      <c r="FS1122" s="6"/>
      <c r="FT1122" s="139"/>
      <c r="FU1122" s="139"/>
      <c r="FV1122" s="76"/>
      <c r="FW1122" s="123"/>
      <c r="FX1122" s="6"/>
    </row>
    <row r="1123" spans="35:180">
      <c r="AI1123" s="125"/>
      <c r="AJ1123" s="16"/>
      <c r="AM1123" s="16"/>
      <c r="AN1123" s="16"/>
      <c r="AO1123" s="125"/>
      <c r="AP1123" s="16"/>
      <c r="AQ1123" s="125"/>
      <c r="AZ1123" s="125"/>
      <c r="BA1123" s="142"/>
      <c r="BB1123" s="125"/>
      <c r="BC1123" s="16"/>
      <c r="BD1123" s="125"/>
      <c r="BE1123" s="125"/>
      <c r="BF1123" s="16"/>
      <c r="BG1123" s="125"/>
      <c r="BQ1123" s="125"/>
      <c r="BR1123" s="16"/>
      <c r="BS1123" s="123"/>
      <c r="BT1123" s="19"/>
      <c r="BU1123" s="139"/>
      <c r="BV1123" s="139"/>
      <c r="BW1123" s="123"/>
      <c r="BX1123" s="123"/>
      <c r="BY1123" s="123"/>
      <c r="BZ1123" s="123"/>
      <c r="CA1123" s="123"/>
      <c r="CB1123" s="123"/>
      <c r="CC1123" s="6"/>
      <c r="CD1123" s="123"/>
      <c r="CE1123" s="6"/>
      <c r="CF1123" s="123"/>
      <c r="CG1123" s="6"/>
      <c r="CH1123" s="6"/>
      <c r="CI1123" s="6"/>
      <c r="CJ1123" s="6"/>
      <c r="CK1123" s="123"/>
      <c r="CL1123" s="6"/>
      <c r="CM1123" s="6"/>
      <c r="CN1123" s="6"/>
      <c r="CO1123" s="138"/>
      <c r="CP1123" s="138"/>
      <c r="CQ1123" s="123"/>
      <c r="CR1123" s="6"/>
      <c r="CS1123" s="6"/>
      <c r="CT1123" s="139"/>
      <c r="CU1123" s="139"/>
      <c r="CV1123" s="76"/>
      <c r="CW1123" s="123"/>
      <c r="CX1123" s="6"/>
      <c r="DI1123" s="125"/>
      <c r="DJ1123" s="16"/>
      <c r="DM1123" s="16"/>
      <c r="DN1123" s="16"/>
      <c r="DO1123" s="125"/>
      <c r="DP1123" s="16"/>
      <c r="DQ1123" s="125"/>
      <c r="DZ1123" s="125"/>
      <c r="EA1123" s="142"/>
      <c r="EB1123" s="125"/>
      <c r="EC1123" s="16"/>
      <c r="ED1123" s="125"/>
      <c r="EE1123" s="125"/>
      <c r="EF1123" s="16"/>
      <c r="EG1123" s="125"/>
      <c r="EQ1123" s="125"/>
      <c r="ER1123" s="16"/>
      <c r="ES1123" s="123"/>
      <c r="ET1123" s="19"/>
      <c r="EU1123" s="139"/>
      <c r="EV1123" s="139"/>
      <c r="EW1123" s="123"/>
      <c r="EX1123" s="123"/>
      <c r="EY1123" s="123"/>
      <c r="EZ1123" s="123"/>
      <c r="FA1123" s="123"/>
      <c r="FB1123" s="123"/>
      <c r="FC1123" s="6"/>
      <c r="FD1123" s="123"/>
      <c r="FE1123" s="6"/>
      <c r="FF1123" s="123"/>
      <c r="FG1123" s="6"/>
      <c r="FH1123" s="6"/>
      <c r="FI1123" s="6"/>
      <c r="FJ1123" s="6"/>
      <c r="FK1123" s="123"/>
      <c r="FL1123" s="6"/>
      <c r="FM1123" s="6"/>
      <c r="FN1123" s="6"/>
      <c r="FO1123" s="138"/>
      <c r="FP1123" s="138"/>
      <c r="FQ1123" s="123"/>
      <c r="FR1123" s="6"/>
      <c r="FS1123" s="6"/>
      <c r="FT1123" s="139"/>
      <c r="FU1123" s="139"/>
      <c r="FV1123" s="76"/>
      <c r="FW1123" s="123"/>
      <c r="FX1123" s="6"/>
    </row>
    <row r="1124" spans="35:180">
      <c r="AI1124" s="125"/>
      <c r="AJ1124" s="16"/>
      <c r="AM1124" s="16"/>
      <c r="AN1124" s="16"/>
      <c r="AO1124" s="125"/>
      <c r="AP1124" s="16"/>
      <c r="AQ1124" s="125"/>
      <c r="AZ1124" s="125"/>
      <c r="BA1124" s="142"/>
      <c r="BB1124" s="125"/>
      <c r="BC1124" s="16"/>
      <c r="BD1124" s="125"/>
      <c r="BE1124" s="125"/>
      <c r="BF1124" s="16"/>
      <c r="BG1124" s="125"/>
      <c r="BQ1124" s="125"/>
      <c r="BR1124" s="16"/>
      <c r="BS1124" s="123"/>
      <c r="BT1124" s="19"/>
      <c r="BU1124" s="139"/>
      <c r="BV1124" s="139"/>
      <c r="BW1124" s="123"/>
      <c r="BX1124" s="123"/>
      <c r="BY1124" s="123"/>
      <c r="BZ1124" s="123"/>
      <c r="CA1124" s="123"/>
      <c r="CB1124" s="123"/>
      <c r="CC1124" s="6"/>
      <c r="CD1124" s="123"/>
      <c r="CE1124" s="6"/>
      <c r="CF1124" s="123"/>
      <c r="CG1124" s="6"/>
      <c r="CH1124" s="6"/>
      <c r="CI1124" s="6"/>
      <c r="CJ1124" s="6"/>
      <c r="CK1124" s="123"/>
      <c r="CL1124" s="6"/>
      <c r="CM1124" s="6"/>
      <c r="CN1124" s="6"/>
      <c r="CO1124" s="138"/>
      <c r="CP1124" s="138"/>
      <c r="CQ1124" s="123"/>
      <c r="CR1124" s="6"/>
      <c r="CS1124" s="6"/>
      <c r="CT1124" s="139"/>
      <c r="CU1124" s="139"/>
      <c r="CV1124" s="76"/>
      <c r="CW1124" s="123"/>
      <c r="CX1124" s="6"/>
      <c r="DI1124" s="125"/>
      <c r="DJ1124" s="16"/>
      <c r="DM1124" s="16"/>
      <c r="DN1124" s="16"/>
      <c r="DO1124" s="125"/>
      <c r="DP1124" s="16"/>
      <c r="DQ1124" s="125"/>
      <c r="DZ1124" s="125"/>
      <c r="EA1124" s="142"/>
      <c r="EB1124" s="125"/>
      <c r="EC1124" s="16"/>
      <c r="ED1124" s="125"/>
      <c r="EE1124" s="125"/>
      <c r="EF1124" s="16"/>
      <c r="EG1124" s="125"/>
      <c r="EQ1124" s="125"/>
      <c r="ER1124" s="16"/>
      <c r="ES1124" s="123"/>
      <c r="ET1124" s="19"/>
      <c r="EU1124" s="139"/>
      <c r="EV1124" s="139"/>
      <c r="EW1124" s="123"/>
      <c r="EX1124" s="123"/>
      <c r="EY1124" s="123"/>
      <c r="EZ1124" s="123"/>
      <c r="FA1124" s="123"/>
      <c r="FB1124" s="123"/>
      <c r="FC1124" s="6"/>
      <c r="FD1124" s="123"/>
      <c r="FE1124" s="6"/>
      <c r="FF1124" s="123"/>
      <c r="FG1124" s="6"/>
      <c r="FH1124" s="6"/>
      <c r="FI1124" s="6"/>
      <c r="FJ1124" s="6"/>
      <c r="FK1124" s="123"/>
      <c r="FL1124" s="6"/>
      <c r="FM1124" s="6"/>
      <c r="FN1124" s="6"/>
      <c r="FO1124" s="138"/>
      <c r="FP1124" s="138"/>
      <c r="FQ1124" s="123"/>
      <c r="FR1124" s="6"/>
      <c r="FS1124" s="6"/>
      <c r="FT1124" s="139"/>
      <c r="FU1124" s="139"/>
      <c r="FV1124" s="76"/>
      <c r="FW1124" s="123"/>
      <c r="FX1124" s="6"/>
    </row>
    <row r="1125" spans="35:180">
      <c r="AI1125" s="125"/>
      <c r="AJ1125" s="16"/>
      <c r="AM1125" s="16"/>
      <c r="AN1125" s="16"/>
      <c r="AO1125" s="125"/>
      <c r="AP1125" s="16"/>
      <c r="AQ1125" s="125"/>
      <c r="AZ1125" s="125"/>
      <c r="BA1125" s="142"/>
      <c r="BB1125" s="125"/>
      <c r="BC1125" s="16"/>
      <c r="BD1125" s="125"/>
      <c r="BE1125" s="125"/>
      <c r="BF1125" s="16"/>
      <c r="BG1125" s="125"/>
      <c r="BQ1125" s="125"/>
      <c r="BR1125" s="16"/>
      <c r="BS1125" s="123"/>
      <c r="BT1125" s="19"/>
      <c r="BU1125" s="139"/>
      <c r="BV1125" s="139"/>
      <c r="BW1125" s="123"/>
      <c r="BX1125" s="123"/>
      <c r="BY1125" s="123"/>
      <c r="BZ1125" s="123"/>
      <c r="CA1125" s="123"/>
      <c r="CB1125" s="123"/>
      <c r="CC1125" s="6"/>
      <c r="CD1125" s="123"/>
      <c r="CE1125" s="6"/>
      <c r="CF1125" s="123"/>
      <c r="CG1125" s="6"/>
      <c r="CH1125" s="6"/>
      <c r="CI1125" s="6"/>
      <c r="CJ1125" s="6"/>
      <c r="CK1125" s="123"/>
      <c r="CL1125" s="6"/>
      <c r="CM1125" s="6"/>
      <c r="CN1125" s="6"/>
      <c r="CO1125" s="138"/>
      <c r="CP1125" s="138"/>
      <c r="CQ1125" s="123"/>
      <c r="CR1125" s="6"/>
      <c r="CS1125" s="6"/>
      <c r="CT1125" s="139"/>
      <c r="CU1125" s="139"/>
      <c r="CV1125" s="76"/>
      <c r="CW1125" s="123"/>
      <c r="CX1125" s="6"/>
      <c r="DI1125" s="125"/>
      <c r="DJ1125" s="16"/>
      <c r="DM1125" s="16"/>
      <c r="DN1125" s="16"/>
      <c r="DO1125" s="125"/>
      <c r="DP1125" s="16"/>
      <c r="DQ1125" s="125"/>
      <c r="DZ1125" s="125"/>
      <c r="EA1125" s="142"/>
      <c r="EB1125" s="125"/>
      <c r="EC1125" s="16"/>
      <c r="ED1125" s="125"/>
      <c r="EE1125" s="125"/>
      <c r="EF1125" s="16"/>
      <c r="EG1125" s="125"/>
      <c r="EQ1125" s="125"/>
      <c r="ER1125" s="16"/>
      <c r="ES1125" s="123"/>
      <c r="ET1125" s="19"/>
      <c r="EU1125" s="139"/>
      <c r="EV1125" s="139"/>
      <c r="EW1125" s="123"/>
      <c r="EX1125" s="123"/>
      <c r="EY1125" s="123"/>
      <c r="EZ1125" s="123"/>
      <c r="FA1125" s="123"/>
      <c r="FB1125" s="123"/>
      <c r="FC1125" s="6"/>
      <c r="FD1125" s="123"/>
      <c r="FE1125" s="6"/>
      <c r="FF1125" s="123"/>
      <c r="FG1125" s="6"/>
      <c r="FH1125" s="6"/>
      <c r="FI1125" s="6"/>
      <c r="FJ1125" s="6"/>
      <c r="FK1125" s="123"/>
      <c r="FL1125" s="6"/>
      <c r="FM1125" s="6"/>
      <c r="FN1125" s="6"/>
      <c r="FO1125" s="138"/>
      <c r="FP1125" s="138"/>
      <c r="FQ1125" s="123"/>
      <c r="FR1125" s="6"/>
      <c r="FS1125" s="6"/>
      <c r="FT1125" s="139"/>
      <c r="FU1125" s="139"/>
      <c r="FV1125" s="76"/>
      <c r="FW1125" s="123"/>
      <c r="FX1125" s="6"/>
    </row>
    <row r="1126" spans="35:180">
      <c r="AI1126" s="125"/>
      <c r="AJ1126" s="16"/>
      <c r="AM1126" s="16"/>
      <c r="AN1126" s="16"/>
      <c r="AO1126" s="125"/>
      <c r="AP1126" s="16"/>
      <c r="AQ1126" s="125"/>
      <c r="AZ1126" s="125"/>
      <c r="BA1126" s="142"/>
      <c r="BB1126" s="125"/>
      <c r="BC1126" s="16"/>
      <c r="BD1126" s="125"/>
      <c r="BE1126" s="125"/>
      <c r="BF1126" s="16"/>
      <c r="BG1126" s="125"/>
      <c r="BQ1126" s="125"/>
      <c r="BR1126" s="16"/>
      <c r="BS1126" s="123"/>
      <c r="BT1126" s="19"/>
      <c r="BU1126" s="139"/>
      <c r="BV1126" s="139"/>
      <c r="BW1126" s="123"/>
      <c r="BX1126" s="123"/>
      <c r="BY1126" s="123"/>
      <c r="BZ1126" s="123"/>
      <c r="CA1126" s="123"/>
      <c r="CB1126" s="123"/>
      <c r="CC1126" s="6"/>
      <c r="CD1126" s="123"/>
      <c r="CE1126" s="6"/>
      <c r="CF1126" s="123"/>
      <c r="CG1126" s="6"/>
      <c r="CH1126" s="6"/>
      <c r="CI1126" s="6"/>
      <c r="CJ1126" s="6"/>
      <c r="CK1126" s="123"/>
      <c r="CL1126" s="6"/>
      <c r="CM1126" s="6"/>
      <c r="CN1126" s="6"/>
      <c r="CO1126" s="138"/>
      <c r="CP1126" s="138"/>
      <c r="CQ1126" s="123"/>
      <c r="CR1126" s="6"/>
      <c r="CS1126" s="6"/>
      <c r="CT1126" s="139"/>
      <c r="CU1126" s="139"/>
      <c r="CV1126" s="76"/>
      <c r="CW1126" s="123"/>
      <c r="CX1126" s="6"/>
      <c r="DI1126" s="125"/>
      <c r="DJ1126" s="16"/>
      <c r="DM1126" s="16"/>
      <c r="DN1126" s="16"/>
      <c r="DO1126" s="125"/>
      <c r="DP1126" s="16"/>
      <c r="DQ1126" s="125"/>
      <c r="DZ1126" s="125"/>
      <c r="EA1126" s="142"/>
      <c r="EB1126" s="125"/>
      <c r="EC1126" s="16"/>
      <c r="ED1126" s="125"/>
      <c r="EE1126" s="125"/>
      <c r="EF1126" s="16"/>
      <c r="EG1126" s="125"/>
      <c r="EQ1126" s="125"/>
      <c r="ER1126" s="16"/>
      <c r="ES1126" s="123"/>
      <c r="ET1126" s="19"/>
      <c r="EU1126" s="139"/>
      <c r="EV1126" s="139"/>
      <c r="EW1126" s="123"/>
      <c r="EX1126" s="123"/>
      <c r="EY1126" s="123"/>
      <c r="EZ1126" s="123"/>
      <c r="FA1126" s="123"/>
      <c r="FB1126" s="123"/>
      <c r="FC1126" s="6"/>
      <c r="FD1126" s="123"/>
      <c r="FE1126" s="6"/>
      <c r="FF1126" s="123"/>
      <c r="FG1126" s="6"/>
      <c r="FH1126" s="6"/>
      <c r="FI1126" s="6"/>
      <c r="FJ1126" s="6"/>
      <c r="FK1126" s="123"/>
      <c r="FL1126" s="6"/>
      <c r="FM1126" s="6"/>
      <c r="FN1126" s="6"/>
      <c r="FO1126" s="138"/>
      <c r="FP1126" s="138"/>
      <c r="FQ1126" s="123"/>
      <c r="FR1126" s="6"/>
      <c r="FS1126" s="6"/>
      <c r="FT1126" s="139"/>
      <c r="FU1126" s="139"/>
      <c r="FV1126" s="76"/>
      <c r="FW1126" s="123"/>
      <c r="FX1126" s="6"/>
    </row>
    <row r="1127" spans="35:180">
      <c r="AI1127" s="125"/>
      <c r="AJ1127" s="16"/>
      <c r="AM1127" s="16"/>
      <c r="AN1127" s="16"/>
      <c r="AO1127" s="125"/>
      <c r="AP1127" s="16"/>
      <c r="AQ1127" s="125"/>
      <c r="AZ1127" s="125"/>
      <c r="BA1127" s="142"/>
      <c r="BB1127" s="125"/>
      <c r="BC1127" s="16"/>
      <c r="BD1127" s="125"/>
      <c r="BE1127" s="125"/>
      <c r="BF1127" s="16"/>
      <c r="BG1127" s="125"/>
      <c r="BQ1127" s="125"/>
      <c r="BR1127" s="16"/>
      <c r="BS1127" s="123"/>
      <c r="BT1127" s="19"/>
      <c r="BU1127" s="139"/>
      <c r="BV1127" s="139"/>
      <c r="BW1127" s="123"/>
      <c r="BX1127" s="123"/>
      <c r="BY1127" s="123"/>
      <c r="BZ1127" s="123"/>
      <c r="CA1127" s="123"/>
      <c r="CB1127" s="123"/>
      <c r="CC1127" s="6"/>
      <c r="CD1127" s="123"/>
      <c r="CE1127" s="6"/>
      <c r="CF1127" s="123"/>
      <c r="CG1127" s="6"/>
      <c r="CH1127" s="6"/>
      <c r="CI1127" s="6"/>
      <c r="CJ1127" s="6"/>
      <c r="CK1127" s="123"/>
      <c r="CL1127" s="6"/>
      <c r="CM1127" s="6"/>
      <c r="CN1127" s="6"/>
      <c r="CO1127" s="138"/>
      <c r="CP1127" s="138"/>
      <c r="CQ1127" s="123"/>
      <c r="CR1127" s="6"/>
      <c r="CS1127" s="6"/>
      <c r="CT1127" s="139"/>
      <c r="CU1127" s="139"/>
      <c r="CV1127" s="76"/>
      <c r="CW1127" s="123"/>
      <c r="CX1127" s="6"/>
      <c r="DI1127" s="125"/>
      <c r="DJ1127" s="16"/>
      <c r="DM1127" s="16"/>
      <c r="DN1127" s="16"/>
      <c r="DO1127" s="125"/>
      <c r="DP1127" s="16"/>
      <c r="DQ1127" s="125"/>
      <c r="DZ1127" s="125"/>
      <c r="EA1127" s="142"/>
      <c r="EB1127" s="125"/>
      <c r="EC1127" s="16"/>
      <c r="ED1127" s="125"/>
      <c r="EE1127" s="125"/>
      <c r="EF1127" s="16"/>
      <c r="EG1127" s="125"/>
      <c r="EQ1127" s="125"/>
      <c r="ER1127" s="16"/>
      <c r="ES1127" s="123"/>
      <c r="ET1127" s="19"/>
      <c r="EU1127" s="139"/>
      <c r="EV1127" s="139"/>
      <c r="EW1127" s="123"/>
      <c r="EX1127" s="123"/>
      <c r="EY1127" s="123"/>
      <c r="EZ1127" s="123"/>
      <c r="FA1127" s="123"/>
      <c r="FB1127" s="123"/>
      <c r="FC1127" s="6"/>
      <c r="FD1127" s="123"/>
      <c r="FE1127" s="6"/>
      <c r="FF1127" s="123"/>
      <c r="FG1127" s="6"/>
      <c r="FH1127" s="6"/>
      <c r="FI1127" s="6"/>
      <c r="FJ1127" s="6"/>
      <c r="FK1127" s="123"/>
      <c r="FL1127" s="6"/>
      <c r="FM1127" s="6"/>
      <c r="FN1127" s="6"/>
      <c r="FO1127" s="138"/>
      <c r="FP1127" s="138"/>
      <c r="FQ1127" s="123"/>
      <c r="FR1127" s="6"/>
      <c r="FS1127" s="6"/>
      <c r="FT1127" s="139"/>
      <c r="FU1127" s="139"/>
      <c r="FV1127" s="76"/>
      <c r="FW1127" s="123"/>
      <c r="FX1127" s="6"/>
    </row>
    <row r="1128" spans="35:180">
      <c r="AI1128" s="125"/>
      <c r="AJ1128" s="16"/>
      <c r="AM1128" s="16"/>
      <c r="AN1128" s="16"/>
      <c r="AO1128" s="125"/>
      <c r="AP1128" s="16"/>
      <c r="AQ1128" s="125"/>
      <c r="AZ1128" s="125"/>
      <c r="BA1128" s="142"/>
      <c r="BB1128" s="125"/>
      <c r="BC1128" s="16"/>
      <c r="BD1128" s="125"/>
      <c r="BE1128" s="125"/>
      <c r="BF1128" s="16"/>
      <c r="BG1128" s="125"/>
      <c r="BQ1128" s="125"/>
      <c r="BR1128" s="16"/>
      <c r="BS1128" s="123"/>
      <c r="BT1128" s="19"/>
      <c r="BU1128" s="139"/>
      <c r="BV1128" s="139"/>
      <c r="BW1128" s="123"/>
      <c r="BX1128" s="123"/>
      <c r="BY1128" s="123"/>
      <c r="BZ1128" s="123"/>
      <c r="CA1128" s="123"/>
      <c r="CB1128" s="123"/>
      <c r="CC1128" s="6"/>
      <c r="CD1128" s="123"/>
      <c r="CE1128" s="6"/>
      <c r="CF1128" s="123"/>
      <c r="CG1128" s="6"/>
      <c r="CH1128" s="6"/>
      <c r="CI1128" s="6"/>
      <c r="CJ1128" s="6"/>
      <c r="CK1128" s="123"/>
      <c r="CL1128" s="6"/>
      <c r="CM1128" s="6"/>
      <c r="CN1128" s="6"/>
      <c r="CO1128" s="138"/>
      <c r="CP1128" s="138"/>
      <c r="CQ1128" s="123"/>
      <c r="CR1128" s="6"/>
      <c r="CS1128" s="6"/>
      <c r="CT1128" s="139"/>
      <c r="CU1128" s="139"/>
      <c r="CV1128" s="76"/>
      <c r="CW1128" s="123"/>
      <c r="CX1128" s="6"/>
      <c r="DI1128" s="125"/>
      <c r="DJ1128" s="16"/>
      <c r="DM1128" s="16"/>
      <c r="DN1128" s="16"/>
      <c r="DO1128" s="125"/>
      <c r="DP1128" s="16"/>
      <c r="DQ1128" s="125"/>
      <c r="DZ1128" s="125"/>
      <c r="EA1128" s="142"/>
      <c r="EB1128" s="125"/>
      <c r="EC1128" s="16"/>
      <c r="ED1128" s="125"/>
      <c r="EE1128" s="125"/>
      <c r="EF1128" s="16"/>
      <c r="EG1128" s="125"/>
      <c r="EQ1128" s="125"/>
      <c r="ER1128" s="16"/>
      <c r="ES1128" s="123"/>
      <c r="ET1128" s="19"/>
      <c r="EU1128" s="139"/>
      <c r="EV1128" s="139"/>
      <c r="EW1128" s="123"/>
      <c r="EX1128" s="123"/>
      <c r="EY1128" s="123"/>
      <c r="EZ1128" s="123"/>
      <c r="FA1128" s="123"/>
      <c r="FB1128" s="123"/>
      <c r="FC1128" s="6"/>
      <c r="FD1128" s="123"/>
      <c r="FE1128" s="6"/>
      <c r="FF1128" s="123"/>
      <c r="FG1128" s="6"/>
      <c r="FH1128" s="6"/>
      <c r="FI1128" s="6"/>
      <c r="FJ1128" s="6"/>
      <c r="FK1128" s="123"/>
      <c r="FL1128" s="6"/>
      <c r="FM1128" s="6"/>
      <c r="FN1128" s="6"/>
      <c r="FO1128" s="138"/>
      <c r="FP1128" s="138"/>
      <c r="FQ1128" s="123"/>
      <c r="FR1128" s="6"/>
      <c r="FS1128" s="6"/>
      <c r="FT1128" s="139"/>
      <c r="FU1128" s="139"/>
      <c r="FV1128" s="76"/>
      <c r="FW1128" s="123"/>
      <c r="FX1128" s="6"/>
    </row>
    <row r="1129" spans="35:180">
      <c r="AI1129" s="125"/>
      <c r="AJ1129" s="16"/>
      <c r="AM1129" s="16"/>
      <c r="AN1129" s="16"/>
      <c r="AO1129" s="125"/>
      <c r="AP1129" s="16"/>
      <c r="AQ1129" s="125"/>
      <c r="AZ1129" s="125"/>
      <c r="BA1129" s="142"/>
      <c r="BB1129" s="125"/>
      <c r="BC1129" s="16"/>
      <c r="BD1129" s="125"/>
      <c r="BE1129" s="125"/>
      <c r="BF1129" s="16"/>
      <c r="BG1129" s="125"/>
      <c r="BQ1129" s="125"/>
      <c r="BR1129" s="16"/>
      <c r="BS1129" s="123"/>
      <c r="BT1129" s="19"/>
      <c r="BU1129" s="139"/>
      <c r="BV1129" s="139"/>
      <c r="BW1129" s="123"/>
      <c r="BX1129" s="123"/>
      <c r="BY1129" s="123"/>
      <c r="BZ1129" s="123"/>
      <c r="CA1129" s="123"/>
      <c r="CB1129" s="123"/>
      <c r="CC1129" s="6"/>
      <c r="CD1129" s="123"/>
      <c r="CE1129" s="6"/>
      <c r="CF1129" s="123"/>
      <c r="CG1129" s="6"/>
      <c r="CH1129" s="6"/>
      <c r="CI1129" s="6"/>
      <c r="CJ1129" s="6"/>
      <c r="CK1129" s="123"/>
      <c r="CL1129" s="6"/>
      <c r="CM1129" s="6"/>
      <c r="CN1129" s="6"/>
      <c r="CO1129" s="138"/>
      <c r="CP1129" s="138"/>
      <c r="CQ1129" s="123"/>
      <c r="CR1129" s="6"/>
      <c r="CS1129" s="6"/>
      <c r="CT1129" s="139"/>
      <c r="CU1129" s="139"/>
      <c r="CV1129" s="76"/>
      <c r="CW1129" s="123"/>
      <c r="CX1129" s="6"/>
      <c r="DI1129" s="125"/>
      <c r="DJ1129" s="16"/>
      <c r="DM1129" s="16"/>
      <c r="DN1129" s="16"/>
      <c r="DO1129" s="125"/>
      <c r="DP1129" s="16"/>
      <c r="DQ1129" s="125"/>
      <c r="DZ1129" s="125"/>
      <c r="EA1129" s="142"/>
      <c r="EB1129" s="125"/>
      <c r="EC1129" s="16"/>
      <c r="ED1129" s="125"/>
      <c r="EE1129" s="125"/>
      <c r="EF1129" s="16"/>
      <c r="EG1129" s="125"/>
      <c r="EQ1129" s="125"/>
      <c r="ER1129" s="16"/>
      <c r="ES1129" s="123"/>
      <c r="ET1129" s="19"/>
      <c r="EU1129" s="139"/>
      <c r="EV1129" s="139"/>
      <c r="EW1129" s="123"/>
      <c r="EX1129" s="123"/>
      <c r="EY1129" s="123"/>
      <c r="EZ1129" s="123"/>
      <c r="FA1129" s="123"/>
      <c r="FB1129" s="123"/>
      <c r="FC1129" s="6"/>
      <c r="FD1129" s="123"/>
      <c r="FE1129" s="6"/>
      <c r="FF1129" s="123"/>
      <c r="FG1129" s="6"/>
      <c r="FH1129" s="6"/>
      <c r="FI1129" s="6"/>
      <c r="FJ1129" s="6"/>
      <c r="FK1129" s="123"/>
      <c r="FL1129" s="6"/>
      <c r="FM1129" s="6"/>
      <c r="FN1129" s="6"/>
      <c r="FO1129" s="138"/>
      <c r="FP1129" s="138"/>
      <c r="FQ1129" s="123"/>
      <c r="FR1129" s="6"/>
      <c r="FS1129" s="6"/>
      <c r="FT1129" s="139"/>
      <c r="FU1129" s="139"/>
      <c r="FV1129" s="76"/>
      <c r="FW1129" s="123"/>
      <c r="FX1129" s="6"/>
    </row>
    <row r="1130" spans="35:180">
      <c r="AI1130" s="125"/>
      <c r="AJ1130" s="16"/>
      <c r="AM1130" s="16"/>
      <c r="AN1130" s="16"/>
      <c r="AO1130" s="125"/>
      <c r="AP1130" s="16"/>
      <c r="AQ1130" s="125"/>
      <c r="AZ1130" s="125"/>
      <c r="BA1130" s="142"/>
      <c r="BB1130" s="125"/>
      <c r="BC1130" s="16"/>
      <c r="BD1130" s="125"/>
      <c r="BE1130" s="125"/>
      <c r="BF1130" s="16"/>
      <c r="BG1130" s="125"/>
      <c r="BQ1130" s="125"/>
      <c r="BR1130" s="16"/>
      <c r="BS1130" s="123"/>
      <c r="BT1130" s="19"/>
      <c r="BU1130" s="139"/>
      <c r="BV1130" s="139"/>
      <c r="BW1130" s="123"/>
      <c r="BX1130" s="123"/>
      <c r="BY1130" s="123"/>
      <c r="BZ1130" s="123"/>
      <c r="CA1130" s="123"/>
      <c r="CB1130" s="123"/>
      <c r="CC1130" s="6"/>
      <c r="CD1130" s="123"/>
      <c r="CE1130" s="6"/>
      <c r="CF1130" s="123"/>
      <c r="CG1130" s="6"/>
      <c r="CH1130" s="6"/>
      <c r="CI1130" s="6"/>
      <c r="CJ1130" s="6"/>
      <c r="CK1130" s="123"/>
      <c r="CL1130" s="6"/>
      <c r="CM1130" s="6"/>
      <c r="CN1130" s="6"/>
      <c r="CO1130" s="138"/>
      <c r="CP1130" s="138"/>
      <c r="CQ1130" s="123"/>
      <c r="CR1130" s="6"/>
      <c r="CS1130" s="6"/>
      <c r="CT1130" s="139"/>
      <c r="CU1130" s="139"/>
      <c r="CV1130" s="76"/>
      <c r="CW1130" s="123"/>
      <c r="CX1130" s="6"/>
      <c r="DI1130" s="125"/>
      <c r="DJ1130" s="16"/>
      <c r="DM1130" s="16"/>
      <c r="DN1130" s="16"/>
      <c r="DO1130" s="125"/>
      <c r="DP1130" s="16"/>
      <c r="DQ1130" s="125"/>
      <c r="DZ1130" s="125"/>
      <c r="EA1130" s="142"/>
      <c r="EB1130" s="125"/>
      <c r="EC1130" s="16"/>
      <c r="ED1130" s="125"/>
      <c r="EE1130" s="125"/>
      <c r="EF1130" s="16"/>
      <c r="EG1130" s="125"/>
      <c r="EQ1130" s="125"/>
      <c r="ER1130" s="16"/>
      <c r="ES1130" s="123"/>
      <c r="ET1130" s="19"/>
      <c r="EU1130" s="139"/>
      <c r="EV1130" s="139"/>
      <c r="EW1130" s="123"/>
      <c r="EX1130" s="123"/>
      <c r="EY1130" s="123"/>
      <c r="EZ1130" s="123"/>
      <c r="FA1130" s="123"/>
      <c r="FB1130" s="123"/>
      <c r="FC1130" s="6"/>
      <c r="FD1130" s="123"/>
      <c r="FE1130" s="6"/>
      <c r="FF1130" s="123"/>
      <c r="FG1130" s="6"/>
      <c r="FH1130" s="6"/>
      <c r="FI1130" s="6"/>
      <c r="FJ1130" s="6"/>
      <c r="FK1130" s="123"/>
      <c r="FL1130" s="6"/>
      <c r="FM1130" s="6"/>
      <c r="FN1130" s="6"/>
      <c r="FO1130" s="138"/>
      <c r="FP1130" s="138"/>
      <c r="FQ1130" s="123"/>
      <c r="FR1130" s="6"/>
      <c r="FS1130" s="6"/>
      <c r="FT1130" s="139"/>
      <c r="FU1130" s="139"/>
      <c r="FV1130" s="76"/>
      <c r="FW1130" s="123"/>
      <c r="FX1130" s="6"/>
    </row>
    <row r="1131" spans="35:180">
      <c r="AI1131" s="125"/>
      <c r="AJ1131" s="16"/>
      <c r="AM1131" s="16"/>
      <c r="AN1131" s="16"/>
      <c r="AO1131" s="125"/>
      <c r="AP1131" s="16"/>
      <c r="AQ1131" s="125"/>
      <c r="AZ1131" s="125"/>
      <c r="BA1131" s="142"/>
      <c r="BB1131" s="125"/>
      <c r="BC1131" s="16"/>
      <c r="BD1131" s="125"/>
      <c r="BE1131" s="125"/>
      <c r="BF1131" s="16"/>
      <c r="BG1131" s="125"/>
      <c r="BQ1131" s="125"/>
      <c r="BR1131" s="16"/>
      <c r="BS1131" s="123"/>
      <c r="BT1131" s="19"/>
      <c r="BU1131" s="139"/>
      <c r="BV1131" s="139"/>
      <c r="BW1131" s="123"/>
      <c r="BX1131" s="123"/>
      <c r="BY1131" s="123"/>
      <c r="BZ1131" s="123"/>
      <c r="CA1131" s="123"/>
      <c r="CB1131" s="123"/>
      <c r="CC1131" s="6"/>
      <c r="CD1131" s="123"/>
      <c r="CE1131" s="6"/>
      <c r="CF1131" s="123"/>
      <c r="CG1131" s="6"/>
      <c r="CH1131" s="6"/>
      <c r="CI1131" s="6"/>
      <c r="CJ1131" s="6"/>
      <c r="CK1131" s="123"/>
      <c r="CL1131" s="6"/>
      <c r="CM1131" s="6"/>
      <c r="CN1131" s="6"/>
      <c r="CO1131" s="138"/>
      <c r="CP1131" s="138"/>
      <c r="CQ1131" s="123"/>
      <c r="CR1131" s="6"/>
      <c r="CS1131" s="6"/>
      <c r="CT1131" s="139"/>
      <c r="CU1131" s="139"/>
      <c r="CV1131" s="76"/>
      <c r="CW1131" s="123"/>
      <c r="CX1131" s="6"/>
      <c r="DI1131" s="125"/>
      <c r="DJ1131" s="16"/>
      <c r="DM1131" s="16"/>
      <c r="DN1131" s="16"/>
      <c r="DO1131" s="125"/>
      <c r="DP1131" s="16"/>
      <c r="DQ1131" s="125"/>
      <c r="DZ1131" s="125"/>
      <c r="EA1131" s="142"/>
      <c r="EB1131" s="125"/>
      <c r="EC1131" s="16"/>
      <c r="ED1131" s="125"/>
      <c r="EE1131" s="125"/>
      <c r="EF1131" s="16"/>
      <c r="EG1131" s="125"/>
      <c r="EQ1131" s="125"/>
      <c r="ER1131" s="16"/>
      <c r="ES1131" s="123"/>
      <c r="ET1131" s="19"/>
      <c r="EU1131" s="139"/>
      <c r="EV1131" s="139"/>
      <c r="EW1131" s="123"/>
      <c r="EX1131" s="123"/>
      <c r="EY1131" s="123"/>
      <c r="EZ1131" s="123"/>
      <c r="FA1131" s="123"/>
      <c r="FB1131" s="123"/>
      <c r="FC1131" s="6"/>
      <c r="FD1131" s="123"/>
      <c r="FE1131" s="6"/>
      <c r="FF1131" s="123"/>
      <c r="FG1131" s="6"/>
      <c r="FH1131" s="6"/>
      <c r="FI1131" s="6"/>
      <c r="FJ1131" s="6"/>
      <c r="FK1131" s="123"/>
      <c r="FL1131" s="6"/>
      <c r="FM1131" s="6"/>
      <c r="FN1131" s="6"/>
      <c r="FO1131" s="138"/>
      <c r="FP1131" s="138"/>
      <c r="FQ1131" s="123"/>
      <c r="FR1131" s="6"/>
      <c r="FS1131" s="6"/>
      <c r="FT1131" s="139"/>
      <c r="FU1131" s="139"/>
      <c r="FV1131" s="76"/>
      <c r="FW1131" s="123"/>
      <c r="FX1131" s="6"/>
    </row>
    <row r="1132" spans="35:180">
      <c r="AI1132" s="125"/>
      <c r="AJ1132" s="16"/>
      <c r="AM1132" s="16"/>
      <c r="AN1132" s="16"/>
      <c r="AO1132" s="125"/>
      <c r="AP1132" s="16"/>
      <c r="AQ1132" s="125"/>
      <c r="AZ1132" s="125"/>
      <c r="BA1132" s="142"/>
      <c r="BB1132" s="125"/>
      <c r="BC1132" s="16"/>
      <c r="BD1132" s="125"/>
      <c r="BE1132" s="125"/>
      <c r="BF1132" s="16"/>
      <c r="BG1132" s="125"/>
      <c r="BQ1132" s="125"/>
      <c r="BR1132" s="16"/>
      <c r="BS1132" s="123"/>
      <c r="BT1132" s="19"/>
      <c r="BU1132" s="139"/>
      <c r="BV1132" s="139"/>
      <c r="BW1132" s="123"/>
      <c r="BX1132" s="123"/>
      <c r="BY1132" s="123"/>
      <c r="BZ1132" s="123"/>
      <c r="CA1132" s="123"/>
      <c r="CB1132" s="123"/>
      <c r="CC1132" s="6"/>
      <c r="CD1132" s="123"/>
      <c r="CE1132" s="6"/>
      <c r="CF1132" s="123"/>
      <c r="CG1132" s="6"/>
      <c r="CH1132" s="6"/>
      <c r="CI1132" s="6"/>
      <c r="CJ1132" s="6"/>
      <c r="CK1132" s="123"/>
      <c r="CL1132" s="6"/>
      <c r="CM1132" s="6"/>
      <c r="CN1132" s="6"/>
      <c r="CO1132" s="138"/>
      <c r="CP1132" s="138"/>
      <c r="CQ1132" s="123"/>
      <c r="CR1132" s="6"/>
      <c r="CS1132" s="6"/>
      <c r="CT1132" s="139"/>
      <c r="CU1132" s="139"/>
      <c r="CV1132" s="76"/>
      <c r="CW1132" s="123"/>
      <c r="CX1132" s="6"/>
      <c r="DI1132" s="125"/>
      <c r="DJ1132" s="16"/>
      <c r="DM1132" s="16"/>
      <c r="DN1132" s="16"/>
      <c r="DO1132" s="125"/>
      <c r="DP1132" s="16"/>
      <c r="DQ1132" s="125"/>
      <c r="DZ1132" s="125"/>
      <c r="EA1132" s="142"/>
      <c r="EB1132" s="125"/>
      <c r="EC1132" s="16"/>
      <c r="ED1132" s="125"/>
      <c r="EE1132" s="125"/>
      <c r="EF1132" s="16"/>
      <c r="EG1132" s="125"/>
      <c r="EQ1132" s="125"/>
      <c r="ER1132" s="16"/>
      <c r="ES1132" s="123"/>
      <c r="ET1132" s="19"/>
      <c r="EU1132" s="139"/>
      <c r="EV1132" s="139"/>
      <c r="EW1132" s="123"/>
      <c r="EX1132" s="123"/>
      <c r="EY1132" s="123"/>
      <c r="EZ1132" s="123"/>
      <c r="FA1132" s="123"/>
      <c r="FB1132" s="123"/>
      <c r="FC1132" s="6"/>
      <c r="FD1132" s="123"/>
      <c r="FE1132" s="6"/>
      <c r="FF1132" s="123"/>
      <c r="FG1132" s="6"/>
      <c r="FH1132" s="6"/>
      <c r="FI1132" s="6"/>
      <c r="FJ1132" s="6"/>
      <c r="FK1132" s="123"/>
      <c r="FL1132" s="6"/>
      <c r="FM1132" s="6"/>
      <c r="FN1132" s="6"/>
      <c r="FO1132" s="138"/>
      <c r="FP1132" s="138"/>
      <c r="FQ1132" s="123"/>
      <c r="FR1132" s="6"/>
      <c r="FS1132" s="6"/>
      <c r="FT1132" s="139"/>
      <c r="FU1132" s="139"/>
      <c r="FV1132" s="76"/>
      <c r="FW1132" s="123"/>
      <c r="FX1132" s="6"/>
    </row>
    <row r="1133" spans="35:180">
      <c r="AI1133" s="125"/>
      <c r="AJ1133" s="16"/>
      <c r="AM1133" s="16"/>
      <c r="AN1133" s="16"/>
      <c r="AO1133" s="125"/>
      <c r="AP1133" s="16"/>
      <c r="AQ1133" s="125"/>
      <c r="AZ1133" s="125"/>
      <c r="BA1133" s="142"/>
      <c r="BB1133" s="125"/>
      <c r="BC1133" s="16"/>
      <c r="BD1133" s="125"/>
      <c r="BE1133" s="125"/>
      <c r="BF1133" s="16"/>
      <c r="BG1133" s="125"/>
      <c r="BQ1133" s="125"/>
      <c r="BR1133" s="16"/>
      <c r="BS1133" s="123"/>
      <c r="BT1133" s="19"/>
      <c r="BU1133" s="139"/>
      <c r="BV1133" s="139"/>
      <c r="BW1133" s="123"/>
      <c r="BX1133" s="123"/>
      <c r="BY1133" s="123"/>
      <c r="BZ1133" s="123"/>
      <c r="CA1133" s="123"/>
      <c r="CB1133" s="123"/>
      <c r="CC1133" s="6"/>
      <c r="CD1133" s="123"/>
      <c r="CE1133" s="6"/>
      <c r="CF1133" s="123"/>
      <c r="CG1133" s="6"/>
      <c r="CH1133" s="6"/>
      <c r="CI1133" s="6"/>
      <c r="CJ1133" s="6"/>
      <c r="CK1133" s="123"/>
      <c r="CL1133" s="6"/>
      <c r="CM1133" s="6"/>
      <c r="CN1133" s="6"/>
      <c r="CO1133" s="138"/>
      <c r="CP1133" s="138"/>
      <c r="CQ1133" s="123"/>
      <c r="CR1133" s="6"/>
      <c r="CS1133" s="6"/>
      <c r="CT1133" s="139"/>
      <c r="CU1133" s="139"/>
      <c r="CV1133" s="76"/>
      <c r="CW1133" s="123"/>
      <c r="CX1133" s="6"/>
      <c r="DI1133" s="125"/>
      <c r="DJ1133" s="16"/>
      <c r="DM1133" s="16"/>
      <c r="DN1133" s="16"/>
      <c r="DO1133" s="125"/>
      <c r="DP1133" s="16"/>
      <c r="DQ1133" s="125"/>
      <c r="DZ1133" s="125"/>
      <c r="EA1133" s="142"/>
      <c r="EB1133" s="125"/>
      <c r="EC1133" s="16"/>
      <c r="ED1133" s="125"/>
      <c r="EE1133" s="125"/>
      <c r="EF1133" s="16"/>
      <c r="EG1133" s="125"/>
      <c r="EQ1133" s="125"/>
      <c r="ER1133" s="16"/>
      <c r="ES1133" s="123"/>
      <c r="ET1133" s="19"/>
      <c r="EU1133" s="139"/>
      <c r="EV1133" s="139"/>
      <c r="EW1133" s="123"/>
      <c r="EX1133" s="123"/>
      <c r="EY1133" s="123"/>
      <c r="EZ1133" s="123"/>
      <c r="FA1133" s="123"/>
      <c r="FB1133" s="123"/>
      <c r="FC1133" s="6"/>
      <c r="FD1133" s="123"/>
      <c r="FE1133" s="6"/>
      <c r="FF1133" s="123"/>
      <c r="FG1133" s="6"/>
      <c r="FH1133" s="6"/>
      <c r="FI1133" s="6"/>
      <c r="FJ1133" s="6"/>
      <c r="FK1133" s="123"/>
      <c r="FL1133" s="6"/>
      <c r="FM1133" s="6"/>
      <c r="FN1133" s="6"/>
      <c r="FO1133" s="138"/>
      <c r="FP1133" s="138"/>
      <c r="FQ1133" s="123"/>
      <c r="FR1133" s="6"/>
      <c r="FS1133" s="6"/>
      <c r="FT1133" s="139"/>
      <c r="FU1133" s="139"/>
      <c r="FV1133" s="76"/>
      <c r="FW1133" s="123"/>
      <c r="FX1133" s="6"/>
    </row>
    <row r="1134" spans="35:180">
      <c r="AI1134" s="125"/>
      <c r="AJ1134" s="16"/>
      <c r="AM1134" s="16"/>
      <c r="AN1134" s="16"/>
      <c r="AO1134" s="125"/>
      <c r="AP1134" s="16"/>
      <c r="AQ1134" s="125"/>
      <c r="AZ1134" s="125"/>
      <c r="BA1134" s="142"/>
      <c r="BB1134" s="125"/>
      <c r="BC1134" s="16"/>
      <c r="BD1134" s="125"/>
      <c r="BE1134" s="125"/>
      <c r="BF1134" s="16"/>
      <c r="BG1134" s="125"/>
      <c r="BQ1134" s="125"/>
      <c r="BR1134" s="16"/>
      <c r="BS1134" s="123"/>
      <c r="BT1134" s="19"/>
      <c r="BU1134" s="139"/>
      <c r="BV1134" s="139"/>
      <c r="BW1134" s="123"/>
      <c r="BX1134" s="123"/>
      <c r="BY1134" s="123"/>
      <c r="BZ1134" s="123"/>
      <c r="CA1134" s="123"/>
      <c r="CB1134" s="123"/>
      <c r="CC1134" s="6"/>
      <c r="CD1134" s="123"/>
      <c r="CE1134" s="6"/>
      <c r="CF1134" s="123"/>
      <c r="CG1134" s="6"/>
      <c r="CH1134" s="6"/>
      <c r="CI1134" s="6"/>
      <c r="CJ1134" s="6"/>
      <c r="CK1134" s="123"/>
      <c r="CL1134" s="6"/>
      <c r="CM1134" s="6"/>
      <c r="CN1134" s="6"/>
      <c r="CO1134" s="138"/>
      <c r="CP1134" s="138"/>
      <c r="CQ1134" s="123"/>
      <c r="CR1134" s="6"/>
      <c r="CS1134" s="6"/>
      <c r="CT1134" s="139"/>
      <c r="CU1134" s="139"/>
      <c r="CV1134" s="76"/>
      <c r="CW1134" s="123"/>
      <c r="CX1134" s="6"/>
      <c r="DI1134" s="125"/>
      <c r="DJ1134" s="16"/>
      <c r="DM1134" s="16"/>
      <c r="DN1134" s="16"/>
      <c r="DO1134" s="125"/>
      <c r="DP1134" s="16"/>
      <c r="DQ1134" s="125"/>
      <c r="DZ1134" s="125"/>
      <c r="EA1134" s="142"/>
      <c r="EB1134" s="125"/>
      <c r="EC1134" s="16"/>
      <c r="ED1134" s="125"/>
      <c r="EE1134" s="125"/>
      <c r="EF1134" s="16"/>
      <c r="EG1134" s="125"/>
      <c r="EQ1134" s="125"/>
      <c r="ER1134" s="16"/>
      <c r="ES1134" s="123"/>
      <c r="ET1134" s="19"/>
      <c r="EU1134" s="139"/>
      <c r="EV1134" s="139"/>
      <c r="EW1134" s="123"/>
      <c r="EX1134" s="123"/>
      <c r="EY1134" s="123"/>
      <c r="EZ1134" s="123"/>
      <c r="FA1134" s="123"/>
      <c r="FB1134" s="123"/>
      <c r="FC1134" s="6"/>
      <c r="FD1134" s="123"/>
      <c r="FE1134" s="6"/>
      <c r="FF1134" s="123"/>
      <c r="FG1134" s="6"/>
      <c r="FH1134" s="6"/>
      <c r="FI1134" s="6"/>
      <c r="FJ1134" s="6"/>
      <c r="FK1134" s="123"/>
      <c r="FL1134" s="6"/>
      <c r="FM1134" s="6"/>
      <c r="FN1134" s="6"/>
      <c r="FO1134" s="138"/>
      <c r="FP1134" s="138"/>
      <c r="FQ1134" s="123"/>
      <c r="FR1134" s="6"/>
      <c r="FS1134" s="6"/>
      <c r="FT1134" s="139"/>
      <c r="FU1134" s="139"/>
      <c r="FV1134" s="76"/>
      <c r="FW1134" s="123"/>
      <c r="FX1134" s="6"/>
    </row>
    <row r="1135" spans="35:180">
      <c r="AI1135" s="125"/>
      <c r="AJ1135" s="16"/>
      <c r="AM1135" s="16"/>
      <c r="AN1135" s="16"/>
      <c r="AO1135" s="125"/>
      <c r="AP1135" s="16"/>
      <c r="AQ1135" s="125"/>
      <c r="AZ1135" s="125"/>
      <c r="BA1135" s="142"/>
      <c r="BB1135" s="125"/>
      <c r="BC1135" s="16"/>
      <c r="BD1135" s="125"/>
      <c r="BE1135" s="125"/>
      <c r="BF1135" s="16"/>
      <c r="BG1135" s="125"/>
      <c r="BQ1135" s="125"/>
      <c r="BR1135" s="16"/>
      <c r="BS1135" s="123"/>
      <c r="BT1135" s="19"/>
      <c r="BU1135" s="139"/>
      <c r="BV1135" s="139"/>
      <c r="BW1135" s="123"/>
      <c r="BX1135" s="123"/>
      <c r="BY1135" s="123"/>
      <c r="BZ1135" s="123"/>
      <c r="CA1135" s="123"/>
      <c r="CB1135" s="123"/>
      <c r="CC1135" s="6"/>
      <c r="CD1135" s="123"/>
      <c r="CE1135" s="6"/>
      <c r="CF1135" s="123"/>
      <c r="CG1135" s="6"/>
      <c r="CH1135" s="6"/>
      <c r="CI1135" s="6"/>
      <c r="CJ1135" s="6"/>
      <c r="CK1135" s="123"/>
      <c r="CL1135" s="6"/>
      <c r="CM1135" s="6"/>
      <c r="CN1135" s="6"/>
      <c r="CO1135" s="138"/>
      <c r="CP1135" s="138"/>
      <c r="CQ1135" s="123"/>
      <c r="CR1135" s="6"/>
      <c r="CS1135" s="6"/>
      <c r="CT1135" s="139"/>
      <c r="CU1135" s="139"/>
      <c r="CV1135" s="76"/>
      <c r="CW1135" s="123"/>
      <c r="CX1135" s="6"/>
      <c r="DI1135" s="125"/>
      <c r="DJ1135" s="16"/>
      <c r="DM1135" s="16"/>
      <c r="DN1135" s="16"/>
      <c r="DO1135" s="125"/>
      <c r="DP1135" s="16"/>
      <c r="DQ1135" s="125"/>
      <c r="DZ1135" s="125"/>
      <c r="EA1135" s="142"/>
      <c r="EB1135" s="125"/>
      <c r="EC1135" s="16"/>
      <c r="ED1135" s="125"/>
      <c r="EE1135" s="125"/>
      <c r="EF1135" s="16"/>
      <c r="EG1135" s="125"/>
      <c r="EQ1135" s="125"/>
      <c r="ER1135" s="16"/>
      <c r="ES1135" s="123"/>
      <c r="ET1135" s="19"/>
      <c r="EU1135" s="139"/>
      <c r="EV1135" s="139"/>
      <c r="EW1135" s="123"/>
      <c r="EX1135" s="123"/>
      <c r="EY1135" s="123"/>
      <c r="EZ1135" s="123"/>
      <c r="FA1135" s="123"/>
      <c r="FB1135" s="123"/>
      <c r="FC1135" s="6"/>
      <c r="FD1135" s="123"/>
      <c r="FE1135" s="6"/>
      <c r="FF1135" s="123"/>
      <c r="FG1135" s="6"/>
      <c r="FH1135" s="6"/>
      <c r="FI1135" s="6"/>
      <c r="FJ1135" s="6"/>
      <c r="FK1135" s="123"/>
      <c r="FL1135" s="6"/>
      <c r="FM1135" s="6"/>
      <c r="FN1135" s="6"/>
      <c r="FO1135" s="138"/>
      <c r="FP1135" s="138"/>
      <c r="FQ1135" s="123"/>
      <c r="FR1135" s="6"/>
      <c r="FS1135" s="6"/>
      <c r="FT1135" s="139"/>
      <c r="FU1135" s="139"/>
      <c r="FV1135" s="76"/>
      <c r="FW1135" s="123"/>
      <c r="FX1135" s="6"/>
    </row>
    <row r="1136" spans="35:180">
      <c r="AI1136" s="125"/>
      <c r="AJ1136" s="16"/>
      <c r="AM1136" s="16"/>
      <c r="AN1136" s="16"/>
      <c r="AO1136" s="125"/>
      <c r="AP1136" s="16"/>
      <c r="AQ1136" s="125"/>
      <c r="AZ1136" s="125"/>
      <c r="BA1136" s="142"/>
      <c r="BB1136" s="125"/>
      <c r="BC1136" s="16"/>
      <c r="BD1136" s="125"/>
      <c r="BE1136" s="125"/>
      <c r="BF1136" s="16"/>
      <c r="BG1136" s="125"/>
      <c r="BQ1136" s="125"/>
      <c r="BR1136" s="16"/>
      <c r="BS1136" s="123"/>
      <c r="BT1136" s="19"/>
      <c r="BU1136" s="139"/>
      <c r="BV1136" s="139"/>
      <c r="BW1136" s="123"/>
      <c r="BX1136" s="123"/>
      <c r="BY1136" s="123"/>
      <c r="BZ1136" s="123"/>
      <c r="CA1136" s="123"/>
      <c r="CB1136" s="123"/>
      <c r="CC1136" s="6"/>
      <c r="CD1136" s="123"/>
      <c r="CE1136" s="6"/>
      <c r="CF1136" s="123"/>
      <c r="CG1136" s="6"/>
      <c r="CH1136" s="6"/>
      <c r="CI1136" s="6"/>
      <c r="CJ1136" s="6"/>
      <c r="CK1136" s="123"/>
      <c r="CL1136" s="6"/>
      <c r="CM1136" s="6"/>
      <c r="CN1136" s="6"/>
      <c r="CO1136" s="138"/>
      <c r="CP1136" s="138"/>
      <c r="CQ1136" s="123"/>
      <c r="CR1136" s="6"/>
      <c r="CS1136" s="6"/>
      <c r="CT1136" s="139"/>
      <c r="CU1136" s="139"/>
      <c r="CV1136" s="76"/>
      <c r="CW1136" s="123"/>
      <c r="CX1136" s="6"/>
      <c r="DI1136" s="125"/>
      <c r="DJ1136" s="16"/>
      <c r="DM1136" s="16"/>
      <c r="DN1136" s="16"/>
      <c r="DO1136" s="125"/>
      <c r="DP1136" s="16"/>
      <c r="DQ1136" s="125"/>
      <c r="DZ1136" s="125"/>
      <c r="EA1136" s="142"/>
      <c r="EB1136" s="125"/>
      <c r="EC1136" s="16"/>
      <c r="ED1136" s="125"/>
      <c r="EE1136" s="125"/>
      <c r="EF1136" s="16"/>
      <c r="EG1136" s="125"/>
      <c r="EQ1136" s="125"/>
      <c r="ER1136" s="16"/>
      <c r="ES1136" s="123"/>
      <c r="ET1136" s="19"/>
      <c r="EU1136" s="139"/>
      <c r="EV1136" s="139"/>
      <c r="EW1136" s="123"/>
      <c r="EX1136" s="123"/>
      <c r="EY1136" s="123"/>
      <c r="EZ1136" s="123"/>
      <c r="FA1136" s="123"/>
      <c r="FB1136" s="123"/>
      <c r="FC1136" s="6"/>
      <c r="FD1136" s="123"/>
      <c r="FE1136" s="6"/>
      <c r="FF1136" s="123"/>
      <c r="FG1136" s="6"/>
      <c r="FH1136" s="6"/>
      <c r="FI1136" s="6"/>
      <c r="FJ1136" s="6"/>
      <c r="FK1136" s="123"/>
      <c r="FL1136" s="6"/>
      <c r="FM1136" s="6"/>
      <c r="FN1136" s="6"/>
      <c r="FO1136" s="138"/>
      <c r="FP1136" s="138"/>
      <c r="FQ1136" s="123"/>
      <c r="FR1136" s="6"/>
      <c r="FS1136" s="6"/>
      <c r="FT1136" s="139"/>
      <c r="FU1136" s="139"/>
      <c r="FV1136" s="76"/>
      <c r="FW1136" s="123"/>
      <c r="FX1136" s="6"/>
    </row>
    <row r="1137" spans="35:180">
      <c r="AI1137" s="125"/>
      <c r="AJ1137" s="16"/>
      <c r="AM1137" s="16"/>
      <c r="AN1137" s="16"/>
      <c r="AO1137" s="125"/>
      <c r="AP1137" s="16"/>
      <c r="AQ1137" s="125"/>
      <c r="AZ1137" s="125"/>
      <c r="BA1137" s="142"/>
      <c r="BB1137" s="125"/>
      <c r="BC1137" s="16"/>
      <c r="BD1137" s="125"/>
      <c r="BE1137" s="125"/>
      <c r="BF1137" s="16"/>
      <c r="BG1137" s="125"/>
      <c r="BQ1137" s="125"/>
      <c r="BR1137" s="16"/>
      <c r="BS1137" s="123"/>
      <c r="BT1137" s="19"/>
      <c r="BU1137" s="139"/>
      <c r="BV1137" s="139"/>
      <c r="BW1137" s="123"/>
      <c r="BX1137" s="123"/>
      <c r="BY1137" s="123"/>
      <c r="BZ1137" s="123"/>
      <c r="CA1137" s="123"/>
      <c r="CB1137" s="123"/>
      <c r="CC1137" s="6"/>
      <c r="CD1137" s="123"/>
      <c r="CE1137" s="6"/>
      <c r="CF1137" s="123"/>
      <c r="CG1137" s="6"/>
      <c r="CH1137" s="6"/>
      <c r="CI1137" s="6"/>
      <c r="CJ1137" s="6"/>
      <c r="CK1137" s="123"/>
      <c r="CL1137" s="6"/>
      <c r="CM1137" s="6"/>
      <c r="CN1137" s="6"/>
      <c r="CO1137" s="138"/>
      <c r="CP1137" s="138"/>
      <c r="CQ1137" s="123"/>
      <c r="CR1137" s="6"/>
      <c r="CS1137" s="6"/>
      <c r="CT1137" s="139"/>
      <c r="CU1137" s="139"/>
      <c r="CV1137" s="76"/>
      <c r="CW1137" s="123"/>
      <c r="CX1137" s="6"/>
      <c r="DI1137" s="125"/>
      <c r="DJ1137" s="16"/>
      <c r="DM1137" s="16"/>
      <c r="DN1137" s="16"/>
      <c r="DO1137" s="125"/>
      <c r="DP1137" s="16"/>
      <c r="DQ1137" s="125"/>
      <c r="DZ1137" s="125"/>
      <c r="EA1137" s="142"/>
      <c r="EB1137" s="125"/>
      <c r="EC1137" s="16"/>
      <c r="ED1137" s="125"/>
      <c r="EE1137" s="125"/>
      <c r="EF1137" s="16"/>
      <c r="EG1137" s="125"/>
      <c r="EQ1137" s="125"/>
      <c r="ER1137" s="16"/>
      <c r="ES1137" s="123"/>
      <c r="ET1137" s="19"/>
      <c r="EU1137" s="139"/>
      <c r="EV1137" s="139"/>
      <c r="EW1137" s="123"/>
      <c r="EX1137" s="123"/>
      <c r="EY1137" s="123"/>
      <c r="EZ1137" s="123"/>
      <c r="FA1137" s="123"/>
      <c r="FB1137" s="123"/>
      <c r="FC1137" s="6"/>
      <c r="FD1137" s="123"/>
      <c r="FE1137" s="6"/>
      <c r="FF1137" s="123"/>
      <c r="FG1137" s="6"/>
      <c r="FH1137" s="6"/>
      <c r="FI1137" s="6"/>
      <c r="FJ1137" s="6"/>
      <c r="FK1137" s="123"/>
      <c r="FL1137" s="6"/>
      <c r="FM1137" s="6"/>
      <c r="FN1137" s="6"/>
      <c r="FO1137" s="138"/>
      <c r="FP1137" s="138"/>
      <c r="FQ1137" s="123"/>
      <c r="FR1137" s="6"/>
      <c r="FS1137" s="6"/>
      <c r="FT1137" s="139"/>
      <c r="FU1137" s="139"/>
      <c r="FV1137" s="76"/>
      <c r="FW1137" s="123"/>
      <c r="FX1137" s="6"/>
    </row>
    <row r="1138" spans="35:180">
      <c r="AI1138" s="125"/>
      <c r="AJ1138" s="16"/>
      <c r="AM1138" s="16"/>
      <c r="AN1138" s="16"/>
      <c r="AO1138" s="125"/>
      <c r="AP1138" s="16"/>
      <c r="AQ1138" s="125"/>
      <c r="AZ1138" s="125"/>
      <c r="BA1138" s="142"/>
      <c r="BB1138" s="125"/>
      <c r="BC1138" s="16"/>
      <c r="BD1138" s="125"/>
      <c r="BE1138" s="125"/>
      <c r="BF1138" s="16"/>
      <c r="BG1138" s="125"/>
      <c r="BQ1138" s="125"/>
      <c r="BR1138" s="16"/>
      <c r="BS1138" s="123"/>
      <c r="BT1138" s="19"/>
      <c r="BU1138" s="139"/>
      <c r="BV1138" s="139"/>
      <c r="BW1138" s="123"/>
      <c r="BX1138" s="123"/>
      <c r="BY1138" s="123"/>
      <c r="BZ1138" s="123"/>
      <c r="CA1138" s="123"/>
      <c r="CB1138" s="123"/>
      <c r="CC1138" s="6"/>
      <c r="CD1138" s="123"/>
      <c r="CE1138" s="6"/>
      <c r="CF1138" s="123"/>
      <c r="CG1138" s="6"/>
      <c r="CH1138" s="6"/>
      <c r="CI1138" s="6"/>
      <c r="CJ1138" s="6"/>
      <c r="CK1138" s="123"/>
      <c r="CL1138" s="6"/>
      <c r="CM1138" s="6"/>
      <c r="CN1138" s="6"/>
      <c r="CO1138" s="138"/>
      <c r="CP1138" s="138"/>
      <c r="CQ1138" s="123"/>
      <c r="CR1138" s="6"/>
      <c r="CS1138" s="6"/>
      <c r="CT1138" s="139"/>
      <c r="CU1138" s="139"/>
      <c r="CV1138" s="76"/>
      <c r="CW1138" s="123"/>
      <c r="CX1138" s="6"/>
      <c r="DI1138" s="125"/>
      <c r="DJ1138" s="16"/>
      <c r="DM1138" s="16"/>
      <c r="DN1138" s="16"/>
      <c r="DO1138" s="125"/>
      <c r="DP1138" s="16"/>
      <c r="DQ1138" s="125"/>
      <c r="DZ1138" s="125"/>
      <c r="EA1138" s="142"/>
      <c r="EB1138" s="125"/>
      <c r="EC1138" s="16"/>
      <c r="ED1138" s="125"/>
      <c r="EE1138" s="125"/>
      <c r="EF1138" s="16"/>
      <c r="EG1138" s="125"/>
      <c r="EQ1138" s="125"/>
      <c r="ER1138" s="16"/>
      <c r="ES1138" s="123"/>
      <c r="ET1138" s="19"/>
      <c r="EU1138" s="139"/>
      <c r="EV1138" s="139"/>
      <c r="EW1138" s="123"/>
      <c r="EX1138" s="123"/>
      <c r="EY1138" s="123"/>
      <c r="EZ1138" s="123"/>
      <c r="FA1138" s="123"/>
      <c r="FB1138" s="123"/>
      <c r="FC1138" s="6"/>
      <c r="FD1138" s="123"/>
      <c r="FE1138" s="6"/>
      <c r="FF1138" s="123"/>
      <c r="FG1138" s="6"/>
      <c r="FH1138" s="6"/>
      <c r="FI1138" s="6"/>
      <c r="FJ1138" s="6"/>
      <c r="FK1138" s="123"/>
      <c r="FL1138" s="6"/>
      <c r="FM1138" s="6"/>
      <c r="FN1138" s="6"/>
      <c r="FO1138" s="138"/>
      <c r="FP1138" s="138"/>
      <c r="FQ1138" s="123"/>
      <c r="FR1138" s="6"/>
      <c r="FS1138" s="6"/>
      <c r="FT1138" s="139"/>
      <c r="FU1138" s="139"/>
      <c r="FV1138" s="76"/>
      <c r="FW1138" s="123"/>
      <c r="FX1138" s="6"/>
    </row>
    <row r="1139" spans="35:180">
      <c r="AI1139" s="125"/>
      <c r="AJ1139" s="16"/>
      <c r="AM1139" s="16"/>
      <c r="AN1139" s="16"/>
      <c r="AO1139" s="125"/>
      <c r="AP1139" s="16"/>
      <c r="AQ1139" s="125"/>
      <c r="AZ1139" s="125"/>
      <c r="BA1139" s="142"/>
      <c r="BB1139" s="125"/>
      <c r="BC1139" s="16"/>
      <c r="BD1139" s="125"/>
      <c r="BE1139" s="125"/>
      <c r="BF1139" s="16"/>
      <c r="BG1139" s="125"/>
      <c r="BQ1139" s="125"/>
      <c r="BR1139" s="16"/>
      <c r="BS1139" s="123"/>
      <c r="BT1139" s="19"/>
      <c r="BU1139" s="139"/>
      <c r="BV1139" s="139"/>
      <c r="BW1139" s="123"/>
      <c r="BX1139" s="123"/>
      <c r="BY1139" s="123"/>
      <c r="BZ1139" s="123"/>
      <c r="CA1139" s="123"/>
      <c r="CB1139" s="123"/>
      <c r="CC1139" s="6"/>
      <c r="CD1139" s="123"/>
      <c r="CE1139" s="6"/>
      <c r="CF1139" s="123"/>
      <c r="CG1139" s="6"/>
      <c r="CH1139" s="6"/>
      <c r="CI1139" s="6"/>
      <c r="CJ1139" s="6"/>
      <c r="CK1139" s="123"/>
      <c r="CL1139" s="6"/>
      <c r="CM1139" s="6"/>
      <c r="CN1139" s="6"/>
      <c r="CO1139" s="138"/>
      <c r="CP1139" s="138"/>
      <c r="CQ1139" s="123"/>
      <c r="CR1139" s="6"/>
      <c r="CS1139" s="6"/>
      <c r="CT1139" s="139"/>
      <c r="CU1139" s="139"/>
      <c r="CV1139" s="76"/>
      <c r="CW1139" s="123"/>
      <c r="CX1139" s="6"/>
      <c r="DI1139" s="125"/>
      <c r="DJ1139" s="16"/>
      <c r="DM1139" s="16"/>
      <c r="DN1139" s="16"/>
      <c r="DO1139" s="125"/>
      <c r="DP1139" s="16"/>
      <c r="DQ1139" s="125"/>
      <c r="DZ1139" s="125"/>
      <c r="EA1139" s="142"/>
      <c r="EB1139" s="125"/>
      <c r="EC1139" s="16"/>
      <c r="ED1139" s="125"/>
      <c r="EE1139" s="125"/>
      <c r="EF1139" s="16"/>
      <c r="EG1139" s="125"/>
      <c r="EQ1139" s="125"/>
      <c r="ER1139" s="16"/>
      <c r="ES1139" s="123"/>
      <c r="ET1139" s="19"/>
      <c r="EU1139" s="139"/>
      <c r="EV1139" s="139"/>
      <c r="EW1139" s="123"/>
      <c r="EX1139" s="123"/>
      <c r="EY1139" s="123"/>
      <c r="EZ1139" s="123"/>
      <c r="FA1139" s="123"/>
      <c r="FB1139" s="123"/>
      <c r="FC1139" s="6"/>
      <c r="FD1139" s="123"/>
      <c r="FE1139" s="6"/>
      <c r="FF1139" s="123"/>
      <c r="FG1139" s="6"/>
      <c r="FH1139" s="6"/>
      <c r="FI1139" s="6"/>
      <c r="FJ1139" s="6"/>
      <c r="FK1139" s="123"/>
      <c r="FL1139" s="6"/>
      <c r="FM1139" s="6"/>
      <c r="FN1139" s="6"/>
      <c r="FO1139" s="138"/>
      <c r="FP1139" s="138"/>
      <c r="FQ1139" s="123"/>
      <c r="FR1139" s="6"/>
      <c r="FS1139" s="6"/>
      <c r="FT1139" s="139"/>
      <c r="FU1139" s="139"/>
      <c r="FV1139" s="76"/>
      <c r="FW1139" s="123"/>
      <c r="FX1139" s="6"/>
    </row>
    <row r="1140" spans="35:180">
      <c r="AI1140" s="125"/>
      <c r="AJ1140" s="16"/>
      <c r="AM1140" s="16"/>
      <c r="AN1140" s="16"/>
      <c r="AO1140" s="125"/>
      <c r="AP1140" s="16"/>
      <c r="AQ1140" s="125"/>
      <c r="AZ1140" s="125"/>
      <c r="BA1140" s="142"/>
      <c r="BB1140" s="125"/>
      <c r="BC1140" s="16"/>
      <c r="BD1140" s="125"/>
      <c r="BE1140" s="125"/>
      <c r="BF1140" s="16"/>
      <c r="BG1140" s="125"/>
      <c r="BQ1140" s="125"/>
      <c r="BR1140" s="16"/>
      <c r="BS1140" s="123"/>
      <c r="BT1140" s="19"/>
      <c r="BU1140" s="139"/>
      <c r="BV1140" s="139"/>
      <c r="BW1140" s="123"/>
      <c r="BX1140" s="123"/>
      <c r="BY1140" s="123"/>
      <c r="BZ1140" s="123"/>
      <c r="CA1140" s="123"/>
      <c r="CB1140" s="123"/>
      <c r="CC1140" s="6"/>
      <c r="CD1140" s="123"/>
      <c r="CE1140" s="6"/>
      <c r="CF1140" s="123"/>
      <c r="CG1140" s="6"/>
      <c r="CH1140" s="6"/>
      <c r="CI1140" s="6"/>
      <c r="CJ1140" s="6"/>
      <c r="CK1140" s="123"/>
      <c r="CL1140" s="6"/>
      <c r="CM1140" s="6"/>
      <c r="CN1140" s="6"/>
      <c r="CO1140" s="138"/>
      <c r="CP1140" s="138"/>
      <c r="CQ1140" s="123"/>
      <c r="CR1140" s="6"/>
      <c r="CS1140" s="6"/>
      <c r="CT1140" s="139"/>
      <c r="CU1140" s="139"/>
      <c r="CV1140" s="76"/>
      <c r="CW1140" s="123"/>
      <c r="CX1140" s="6"/>
      <c r="DI1140" s="125"/>
      <c r="DJ1140" s="16"/>
      <c r="DM1140" s="16"/>
      <c r="DN1140" s="16"/>
      <c r="DO1140" s="125"/>
      <c r="DP1140" s="16"/>
      <c r="DQ1140" s="125"/>
      <c r="DZ1140" s="125"/>
      <c r="EA1140" s="142"/>
      <c r="EB1140" s="125"/>
      <c r="EC1140" s="16"/>
      <c r="ED1140" s="125"/>
      <c r="EE1140" s="125"/>
      <c r="EF1140" s="16"/>
      <c r="EG1140" s="125"/>
      <c r="EQ1140" s="125"/>
      <c r="ER1140" s="16"/>
      <c r="ES1140" s="123"/>
      <c r="ET1140" s="19"/>
      <c r="EU1140" s="139"/>
      <c r="EV1140" s="139"/>
      <c r="EW1140" s="123"/>
      <c r="EX1140" s="123"/>
      <c r="EY1140" s="123"/>
      <c r="EZ1140" s="123"/>
      <c r="FA1140" s="123"/>
      <c r="FB1140" s="123"/>
      <c r="FC1140" s="6"/>
      <c r="FD1140" s="123"/>
      <c r="FE1140" s="6"/>
      <c r="FF1140" s="123"/>
      <c r="FG1140" s="6"/>
      <c r="FH1140" s="6"/>
      <c r="FI1140" s="6"/>
      <c r="FJ1140" s="6"/>
      <c r="FK1140" s="123"/>
      <c r="FL1140" s="6"/>
      <c r="FM1140" s="6"/>
      <c r="FN1140" s="6"/>
      <c r="FO1140" s="138"/>
      <c r="FP1140" s="138"/>
      <c r="FQ1140" s="123"/>
      <c r="FR1140" s="6"/>
      <c r="FS1140" s="6"/>
      <c r="FT1140" s="139"/>
      <c r="FU1140" s="139"/>
      <c r="FV1140" s="76"/>
      <c r="FW1140" s="123"/>
      <c r="FX1140" s="6"/>
    </row>
    <row r="1141" spans="35:180">
      <c r="AI1141" s="125"/>
      <c r="AJ1141" s="16"/>
      <c r="AM1141" s="16"/>
      <c r="AN1141" s="16"/>
      <c r="AO1141" s="125"/>
      <c r="AP1141" s="16"/>
      <c r="AQ1141" s="125"/>
      <c r="AZ1141" s="125"/>
      <c r="BA1141" s="142"/>
      <c r="BB1141" s="125"/>
      <c r="BC1141" s="16"/>
      <c r="BD1141" s="125"/>
      <c r="BE1141" s="125"/>
      <c r="BF1141" s="16"/>
      <c r="BG1141" s="125"/>
      <c r="BQ1141" s="125"/>
      <c r="BR1141" s="16"/>
      <c r="BS1141" s="123"/>
      <c r="BT1141" s="19"/>
      <c r="BU1141" s="139"/>
      <c r="BV1141" s="139"/>
      <c r="BW1141" s="123"/>
      <c r="BX1141" s="123"/>
      <c r="BY1141" s="123"/>
      <c r="BZ1141" s="123"/>
      <c r="CA1141" s="123"/>
      <c r="CB1141" s="123"/>
      <c r="CC1141" s="6"/>
      <c r="CD1141" s="123"/>
      <c r="CE1141" s="6"/>
      <c r="CF1141" s="123"/>
      <c r="CG1141" s="6"/>
      <c r="CH1141" s="6"/>
      <c r="CI1141" s="6"/>
      <c r="CJ1141" s="6"/>
      <c r="CK1141" s="123"/>
      <c r="CL1141" s="6"/>
      <c r="CM1141" s="6"/>
      <c r="CN1141" s="6"/>
      <c r="CO1141" s="138"/>
      <c r="CP1141" s="138"/>
      <c r="CQ1141" s="123"/>
      <c r="CR1141" s="6"/>
      <c r="CS1141" s="6"/>
      <c r="CT1141" s="139"/>
      <c r="CU1141" s="139"/>
      <c r="CV1141" s="76"/>
      <c r="CW1141" s="123"/>
      <c r="CX1141" s="6"/>
      <c r="DI1141" s="125"/>
      <c r="DJ1141" s="16"/>
      <c r="DM1141" s="16"/>
      <c r="DN1141" s="16"/>
      <c r="DO1141" s="125"/>
      <c r="DP1141" s="16"/>
      <c r="DQ1141" s="125"/>
      <c r="DZ1141" s="125"/>
      <c r="EA1141" s="142"/>
      <c r="EB1141" s="125"/>
      <c r="EC1141" s="16"/>
      <c r="ED1141" s="125"/>
      <c r="EE1141" s="125"/>
      <c r="EF1141" s="16"/>
      <c r="EG1141" s="125"/>
      <c r="EQ1141" s="125"/>
      <c r="ER1141" s="16"/>
      <c r="ES1141" s="123"/>
      <c r="ET1141" s="19"/>
      <c r="EU1141" s="139"/>
      <c r="EV1141" s="139"/>
      <c r="EW1141" s="123"/>
      <c r="EX1141" s="123"/>
      <c r="EY1141" s="123"/>
      <c r="EZ1141" s="123"/>
      <c r="FA1141" s="123"/>
      <c r="FB1141" s="123"/>
      <c r="FC1141" s="6"/>
      <c r="FD1141" s="123"/>
      <c r="FE1141" s="6"/>
      <c r="FF1141" s="123"/>
      <c r="FG1141" s="6"/>
      <c r="FH1141" s="6"/>
      <c r="FI1141" s="6"/>
      <c r="FJ1141" s="6"/>
      <c r="FK1141" s="123"/>
      <c r="FL1141" s="6"/>
      <c r="FM1141" s="6"/>
      <c r="FN1141" s="6"/>
      <c r="FO1141" s="138"/>
      <c r="FP1141" s="138"/>
      <c r="FQ1141" s="123"/>
      <c r="FR1141" s="6"/>
      <c r="FS1141" s="6"/>
      <c r="FT1141" s="139"/>
      <c r="FU1141" s="139"/>
      <c r="FV1141" s="76"/>
      <c r="FW1141" s="123"/>
      <c r="FX1141" s="6"/>
    </row>
    <row r="1142" spans="35:180">
      <c r="AI1142" s="125"/>
      <c r="AJ1142" s="16"/>
      <c r="AM1142" s="16"/>
      <c r="AN1142" s="16"/>
      <c r="AO1142" s="125"/>
      <c r="AP1142" s="16"/>
      <c r="AQ1142" s="125"/>
      <c r="AZ1142" s="125"/>
      <c r="BA1142" s="142"/>
      <c r="BB1142" s="125"/>
      <c r="BC1142" s="16"/>
      <c r="BD1142" s="125"/>
      <c r="BE1142" s="125"/>
      <c r="BF1142" s="16"/>
      <c r="BG1142" s="125"/>
      <c r="BQ1142" s="125"/>
      <c r="BR1142" s="16"/>
      <c r="BS1142" s="123"/>
      <c r="BT1142" s="19"/>
      <c r="BU1142" s="139"/>
      <c r="BV1142" s="139"/>
      <c r="BW1142" s="123"/>
      <c r="BX1142" s="123"/>
      <c r="BY1142" s="123"/>
      <c r="BZ1142" s="123"/>
      <c r="CA1142" s="123"/>
      <c r="CB1142" s="123"/>
      <c r="CC1142" s="6"/>
      <c r="CD1142" s="123"/>
      <c r="CE1142" s="6"/>
      <c r="CF1142" s="123"/>
      <c r="CG1142" s="6"/>
      <c r="CH1142" s="6"/>
      <c r="CI1142" s="6"/>
      <c r="CJ1142" s="6"/>
      <c r="CK1142" s="123"/>
      <c r="CL1142" s="6"/>
      <c r="CM1142" s="6"/>
      <c r="CN1142" s="6"/>
      <c r="CO1142" s="138"/>
      <c r="CP1142" s="138"/>
      <c r="CQ1142" s="123"/>
      <c r="CR1142" s="6"/>
      <c r="CS1142" s="6"/>
      <c r="CT1142" s="139"/>
      <c r="CU1142" s="139"/>
      <c r="CV1142" s="76"/>
      <c r="CW1142" s="123"/>
      <c r="CX1142" s="6"/>
      <c r="DI1142" s="125"/>
      <c r="DJ1142" s="16"/>
      <c r="DM1142" s="16"/>
      <c r="DN1142" s="16"/>
      <c r="DO1142" s="125"/>
      <c r="DP1142" s="16"/>
      <c r="DQ1142" s="125"/>
      <c r="DZ1142" s="125"/>
      <c r="EA1142" s="142"/>
      <c r="EB1142" s="125"/>
      <c r="EC1142" s="16"/>
      <c r="ED1142" s="125"/>
      <c r="EE1142" s="125"/>
      <c r="EF1142" s="16"/>
      <c r="EG1142" s="125"/>
      <c r="EQ1142" s="125"/>
      <c r="ER1142" s="16"/>
      <c r="ES1142" s="123"/>
      <c r="ET1142" s="19"/>
      <c r="EU1142" s="139"/>
      <c r="EV1142" s="139"/>
      <c r="EW1142" s="123"/>
      <c r="EX1142" s="123"/>
      <c r="EY1142" s="123"/>
      <c r="EZ1142" s="123"/>
      <c r="FA1142" s="123"/>
      <c r="FB1142" s="123"/>
      <c r="FC1142" s="6"/>
      <c r="FD1142" s="123"/>
      <c r="FE1142" s="6"/>
      <c r="FF1142" s="123"/>
      <c r="FG1142" s="6"/>
      <c r="FH1142" s="6"/>
      <c r="FI1142" s="6"/>
      <c r="FJ1142" s="6"/>
      <c r="FK1142" s="123"/>
      <c r="FL1142" s="6"/>
      <c r="FM1142" s="6"/>
      <c r="FN1142" s="6"/>
      <c r="FO1142" s="138"/>
      <c r="FP1142" s="138"/>
      <c r="FQ1142" s="123"/>
      <c r="FR1142" s="6"/>
      <c r="FS1142" s="6"/>
      <c r="FT1142" s="139"/>
      <c r="FU1142" s="139"/>
      <c r="FV1142" s="76"/>
      <c r="FW1142" s="123"/>
      <c r="FX1142" s="6"/>
    </row>
    <row r="1143" spans="35:180">
      <c r="AI1143" s="125"/>
      <c r="AJ1143" s="16"/>
      <c r="AM1143" s="16"/>
      <c r="AN1143" s="16"/>
      <c r="AO1143" s="125"/>
      <c r="AP1143" s="16"/>
      <c r="AQ1143" s="125"/>
      <c r="AZ1143" s="125"/>
      <c r="BA1143" s="142"/>
      <c r="BB1143" s="125"/>
      <c r="BC1143" s="16"/>
      <c r="BD1143" s="125"/>
      <c r="BE1143" s="125"/>
      <c r="BF1143" s="16"/>
      <c r="BG1143" s="125"/>
      <c r="BQ1143" s="125"/>
      <c r="BR1143" s="16"/>
      <c r="BS1143" s="123"/>
      <c r="BT1143" s="19"/>
      <c r="BU1143" s="139"/>
      <c r="BV1143" s="139"/>
      <c r="BW1143" s="123"/>
      <c r="BX1143" s="123"/>
      <c r="BY1143" s="123"/>
      <c r="BZ1143" s="123"/>
      <c r="CA1143" s="123"/>
      <c r="CB1143" s="123"/>
      <c r="CC1143" s="6"/>
      <c r="CD1143" s="123"/>
      <c r="CE1143" s="6"/>
      <c r="CF1143" s="123"/>
      <c r="CG1143" s="6"/>
      <c r="CH1143" s="6"/>
      <c r="CI1143" s="6"/>
      <c r="CJ1143" s="6"/>
      <c r="CK1143" s="123"/>
      <c r="CL1143" s="6"/>
      <c r="CM1143" s="6"/>
      <c r="CN1143" s="6"/>
      <c r="CO1143" s="138"/>
      <c r="CP1143" s="138"/>
      <c r="CQ1143" s="123"/>
      <c r="CR1143" s="6"/>
      <c r="CS1143" s="6"/>
      <c r="CT1143" s="139"/>
      <c r="CU1143" s="139"/>
      <c r="CV1143" s="76"/>
      <c r="CW1143" s="123"/>
      <c r="CX1143" s="6"/>
      <c r="DI1143" s="125"/>
      <c r="DJ1143" s="16"/>
      <c r="DM1143" s="16"/>
      <c r="DN1143" s="16"/>
      <c r="DO1143" s="125"/>
      <c r="DP1143" s="16"/>
      <c r="DQ1143" s="125"/>
      <c r="DZ1143" s="125"/>
      <c r="EA1143" s="142"/>
      <c r="EB1143" s="125"/>
      <c r="EC1143" s="16"/>
      <c r="ED1143" s="125"/>
      <c r="EE1143" s="125"/>
      <c r="EF1143" s="16"/>
      <c r="EG1143" s="125"/>
      <c r="EQ1143" s="125"/>
      <c r="ER1143" s="16"/>
      <c r="ES1143" s="123"/>
      <c r="ET1143" s="19"/>
      <c r="EU1143" s="139"/>
      <c r="EV1143" s="139"/>
      <c r="EW1143" s="123"/>
      <c r="EX1143" s="123"/>
      <c r="EY1143" s="123"/>
      <c r="EZ1143" s="123"/>
      <c r="FA1143" s="123"/>
      <c r="FB1143" s="123"/>
      <c r="FC1143" s="6"/>
      <c r="FD1143" s="123"/>
      <c r="FE1143" s="6"/>
      <c r="FF1143" s="123"/>
      <c r="FG1143" s="6"/>
      <c r="FH1143" s="6"/>
      <c r="FI1143" s="6"/>
      <c r="FJ1143" s="6"/>
      <c r="FK1143" s="123"/>
      <c r="FL1143" s="6"/>
      <c r="FM1143" s="6"/>
      <c r="FN1143" s="6"/>
      <c r="FO1143" s="138"/>
      <c r="FP1143" s="138"/>
      <c r="FQ1143" s="123"/>
      <c r="FR1143" s="6"/>
      <c r="FS1143" s="6"/>
      <c r="FT1143" s="139"/>
      <c r="FU1143" s="139"/>
      <c r="FV1143" s="76"/>
      <c r="FW1143" s="123"/>
      <c r="FX1143" s="6"/>
    </row>
    <row r="1144" spans="35:180">
      <c r="AI1144" s="125"/>
      <c r="AJ1144" s="16"/>
      <c r="AM1144" s="16"/>
      <c r="AN1144" s="16"/>
      <c r="AO1144" s="125"/>
      <c r="AP1144" s="16"/>
      <c r="AQ1144" s="125"/>
      <c r="AZ1144" s="125"/>
      <c r="BA1144" s="142"/>
      <c r="BB1144" s="125"/>
      <c r="BC1144" s="16"/>
      <c r="BD1144" s="125"/>
      <c r="BE1144" s="125"/>
      <c r="BF1144" s="16"/>
      <c r="BG1144" s="125"/>
      <c r="BQ1144" s="125"/>
      <c r="BR1144" s="16"/>
      <c r="BS1144" s="123"/>
      <c r="BT1144" s="19"/>
      <c r="BU1144" s="139"/>
      <c r="BV1144" s="139"/>
      <c r="BW1144" s="123"/>
      <c r="BX1144" s="123"/>
      <c r="BY1144" s="123"/>
      <c r="BZ1144" s="123"/>
      <c r="CA1144" s="123"/>
      <c r="CB1144" s="123"/>
      <c r="CC1144" s="6"/>
      <c r="CD1144" s="123"/>
      <c r="CE1144" s="6"/>
      <c r="CF1144" s="123"/>
      <c r="CG1144" s="6"/>
      <c r="CH1144" s="6"/>
      <c r="CI1144" s="6"/>
      <c r="CJ1144" s="6"/>
      <c r="CK1144" s="123"/>
      <c r="CL1144" s="6"/>
      <c r="CM1144" s="6"/>
      <c r="CN1144" s="6"/>
      <c r="CO1144" s="138"/>
      <c r="CP1144" s="138"/>
      <c r="CQ1144" s="123"/>
      <c r="CR1144" s="6"/>
      <c r="CS1144" s="6"/>
      <c r="CT1144" s="139"/>
      <c r="CU1144" s="139"/>
      <c r="CV1144" s="76"/>
      <c r="CW1144" s="123"/>
      <c r="CX1144" s="6"/>
      <c r="DI1144" s="125"/>
      <c r="DJ1144" s="16"/>
      <c r="DM1144" s="16"/>
      <c r="DN1144" s="16"/>
      <c r="DO1144" s="125"/>
      <c r="DP1144" s="16"/>
      <c r="DQ1144" s="125"/>
      <c r="DZ1144" s="125"/>
      <c r="EA1144" s="142"/>
      <c r="EB1144" s="125"/>
      <c r="EC1144" s="16"/>
      <c r="ED1144" s="125"/>
      <c r="EE1144" s="125"/>
      <c r="EF1144" s="16"/>
      <c r="EG1144" s="125"/>
      <c r="EQ1144" s="125"/>
      <c r="ER1144" s="16"/>
      <c r="ES1144" s="123"/>
      <c r="ET1144" s="19"/>
      <c r="EU1144" s="139"/>
      <c r="EV1144" s="139"/>
      <c r="EW1144" s="123"/>
      <c r="EX1144" s="123"/>
      <c r="EY1144" s="123"/>
      <c r="EZ1144" s="123"/>
      <c r="FA1144" s="123"/>
      <c r="FB1144" s="123"/>
      <c r="FC1144" s="6"/>
      <c r="FD1144" s="123"/>
      <c r="FE1144" s="6"/>
      <c r="FF1144" s="123"/>
      <c r="FG1144" s="6"/>
      <c r="FH1144" s="6"/>
      <c r="FI1144" s="6"/>
      <c r="FJ1144" s="6"/>
      <c r="FK1144" s="123"/>
      <c r="FL1144" s="6"/>
      <c r="FM1144" s="6"/>
      <c r="FN1144" s="6"/>
      <c r="FO1144" s="138"/>
      <c r="FP1144" s="138"/>
      <c r="FQ1144" s="123"/>
      <c r="FR1144" s="6"/>
      <c r="FS1144" s="6"/>
      <c r="FT1144" s="139"/>
      <c r="FU1144" s="139"/>
      <c r="FV1144" s="76"/>
      <c r="FW1144" s="123"/>
      <c r="FX1144" s="6"/>
    </row>
    <row r="1145" spans="35:180">
      <c r="AI1145" s="125"/>
      <c r="AJ1145" s="16"/>
      <c r="AM1145" s="16"/>
      <c r="AN1145" s="16"/>
      <c r="AO1145" s="125"/>
      <c r="AP1145" s="16"/>
      <c r="AQ1145" s="125"/>
      <c r="AZ1145" s="125"/>
      <c r="BA1145" s="142"/>
      <c r="BB1145" s="125"/>
      <c r="BC1145" s="16"/>
      <c r="BD1145" s="125"/>
      <c r="BE1145" s="125"/>
      <c r="BF1145" s="16"/>
      <c r="BG1145" s="125"/>
      <c r="BQ1145" s="125"/>
      <c r="BR1145" s="16"/>
      <c r="BS1145" s="123"/>
      <c r="BT1145" s="19"/>
      <c r="BU1145" s="139"/>
      <c r="BV1145" s="139"/>
      <c r="BW1145" s="123"/>
      <c r="BX1145" s="123"/>
      <c r="BY1145" s="123"/>
      <c r="BZ1145" s="123"/>
      <c r="CA1145" s="123"/>
      <c r="CB1145" s="123"/>
      <c r="CC1145" s="6"/>
      <c r="CD1145" s="123"/>
      <c r="CE1145" s="6"/>
      <c r="CF1145" s="123"/>
      <c r="CG1145" s="6"/>
      <c r="CH1145" s="6"/>
      <c r="CI1145" s="6"/>
      <c r="CJ1145" s="6"/>
      <c r="CK1145" s="123"/>
      <c r="CL1145" s="6"/>
      <c r="CM1145" s="6"/>
      <c r="CN1145" s="6"/>
      <c r="CO1145" s="138"/>
      <c r="CP1145" s="138"/>
      <c r="CQ1145" s="123"/>
      <c r="CR1145" s="6"/>
      <c r="CS1145" s="6"/>
      <c r="CT1145" s="139"/>
      <c r="CU1145" s="139"/>
      <c r="CV1145" s="76"/>
      <c r="CW1145" s="123"/>
      <c r="CX1145" s="6"/>
      <c r="DI1145" s="125"/>
      <c r="DJ1145" s="16"/>
      <c r="DM1145" s="16"/>
      <c r="DN1145" s="16"/>
      <c r="DO1145" s="125"/>
      <c r="DP1145" s="16"/>
      <c r="DQ1145" s="125"/>
      <c r="DZ1145" s="125"/>
      <c r="EA1145" s="142"/>
      <c r="EB1145" s="125"/>
      <c r="EC1145" s="16"/>
      <c r="ED1145" s="125"/>
      <c r="EE1145" s="125"/>
      <c r="EF1145" s="16"/>
      <c r="EG1145" s="125"/>
      <c r="EQ1145" s="125"/>
      <c r="ER1145" s="16"/>
      <c r="ES1145" s="123"/>
      <c r="ET1145" s="19"/>
      <c r="EU1145" s="139"/>
      <c r="EV1145" s="139"/>
      <c r="EW1145" s="123"/>
      <c r="EX1145" s="123"/>
      <c r="EY1145" s="123"/>
      <c r="EZ1145" s="123"/>
      <c r="FA1145" s="123"/>
      <c r="FB1145" s="123"/>
      <c r="FC1145" s="6"/>
      <c r="FD1145" s="123"/>
      <c r="FE1145" s="6"/>
      <c r="FF1145" s="123"/>
      <c r="FG1145" s="6"/>
      <c r="FH1145" s="6"/>
      <c r="FI1145" s="6"/>
      <c r="FJ1145" s="6"/>
      <c r="FK1145" s="123"/>
      <c r="FL1145" s="6"/>
      <c r="FM1145" s="6"/>
      <c r="FN1145" s="6"/>
      <c r="FO1145" s="138"/>
      <c r="FP1145" s="138"/>
      <c r="FQ1145" s="123"/>
      <c r="FR1145" s="6"/>
      <c r="FS1145" s="6"/>
      <c r="FT1145" s="139"/>
      <c r="FU1145" s="139"/>
      <c r="FV1145" s="76"/>
      <c r="FW1145" s="123"/>
      <c r="FX1145" s="6"/>
    </row>
    <row r="1146" spans="35:180">
      <c r="AI1146" s="125"/>
      <c r="AJ1146" s="16"/>
      <c r="AM1146" s="16"/>
      <c r="AN1146" s="16"/>
      <c r="AO1146" s="125"/>
      <c r="AP1146" s="16"/>
      <c r="AQ1146" s="125"/>
      <c r="AZ1146" s="125"/>
      <c r="BA1146" s="142"/>
      <c r="BB1146" s="125"/>
      <c r="BC1146" s="16"/>
      <c r="BD1146" s="125"/>
      <c r="BE1146" s="125"/>
      <c r="BF1146" s="16"/>
      <c r="BG1146" s="125"/>
      <c r="BQ1146" s="125"/>
      <c r="BR1146" s="16"/>
      <c r="BS1146" s="123"/>
      <c r="BT1146" s="19"/>
      <c r="BU1146" s="139"/>
      <c r="BV1146" s="139"/>
      <c r="BW1146" s="123"/>
      <c r="BX1146" s="123"/>
      <c r="BY1146" s="123"/>
      <c r="BZ1146" s="123"/>
      <c r="CA1146" s="123"/>
      <c r="CB1146" s="123"/>
      <c r="CC1146" s="6"/>
      <c r="CD1146" s="123"/>
      <c r="CE1146" s="6"/>
      <c r="CF1146" s="123"/>
      <c r="CG1146" s="6"/>
      <c r="CH1146" s="6"/>
      <c r="CI1146" s="6"/>
      <c r="CJ1146" s="6"/>
      <c r="CK1146" s="123"/>
      <c r="CL1146" s="6"/>
      <c r="CM1146" s="6"/>
      <c r="CN1146" s="6"/>
      <c r="CO1146" s="138"/>
      <c r="CP1146" s="138"/>
      <c r="CQ1146" s="123"/>
      <c r="CR1146" s="6"/>
      <c r="CS1146" s="6"/>
      <c r="CT1146" s="139"/>
      <c r="CU1146" s="139"/>
      <c r="CV1146" s="76"/>
      <c r="CW1146" s="123"/>
      <c r="CX1146" s="6"/>
      <c r="DI1146" s="125"/>
      <c r="DJ1146" s="16"/>
      <c r="DM1146" s="16"/>
      <c r="DN1146" s="16"/>
      <c r="DO1146" s="125"/>
      <c r="DP1146" s="16"/>
      <c r="DQ1146" s="125"/>
      <c r="DZ1146" s="125"/>
      <c r="EA1146" s="142"/>
      <c r="EB1146" s="125"/>
      <c r="EC1146" s="16"/>
      <c r="ED1146" s="125"/>
      <c r="EE1146" s="125"/>
      <c r="EF1146" s="16"/>
      <c r="EG1146" s="125"/>
      <c r="EQ1146" s="125"/>
      <c r="ER1146" s="16"/>
      <c r="ES1146" s="123"/>
      <c r="ET1146" s="19"/>
      <c r="EU1146" s="139"/>
      <c r="EV1146" s="139"/>
      <c r="EW1146" s="123"/>
      <c r="EX1146" s="123"/>
      <c r="EY1146" s="123"/>
      <c r="EZ1146" s="123"/>
      <c r="FA1146" s="123"/>
      <c r="FB1146" s="123"/>
      <c r="FC1146" s="6"/>
      <c r="FD1146" s="123"/>
      <c r="FE1146" s="6"/>
      <c r="FF1146" s="123"/>
      <c r="FG1146" s="6"/>
      <c r="FH1146" s="6"/>
      <c r="FI1146" s="6"/>
      <c r="FJ1146" s="6"/>
      <c r="FK1146" s="123"/>
      <c r="FL1146" s="6"/>
      <c r="FM1146" s="6"/>
      <c r="FN1146" s="6"/>
      <c r="FO1146" s="138"/>
      <c r="FP1146" s="138"/>
      <c r="FQ1146" s="123"/>
      <c r="FR1146" s="6"/>
      <c r="FS1146" s="6"/>
      <c r="FT1146" s="139"/>
      <c r="FU1146" s="139"/>
      <c r="FV1146" s="76"/>
      <c r="FW1146" s="123"/>
      <c r="FX1146" s="6"/>
    </row>
    <row r="1147" spans="35:180">
      <c r="AI1147" s="125"/>
      <c r="AJ1147" s="16"/>
      <c r="AM1147" s="16"/>
      <c r="AN1147" s="16"/>
      <c r="AO1147" s="125"/>
      <c r="AP1147" s="16"/>
      <c r="AQ1147" s="125"/>
      <c r="AZ1147" s="125"/>
      <c r="BA1147" s="142"/>
      <c r="BB1147" s="125"/>
      <c r="BC1147" s="16"/>
      <c r="BD1147" s="125"/>
      <c r="BE1147" s="125"/>
      <c r="BF1147" s="16"/>
      <c r="BG1147" s="125"/>
      <c r="BQ1147" s="125"/>
      <c r="BR1147" s="16"/>
      <c r="BS1147" s="123"/>
      <c r="BT1147" s="19"/>
      <c r="BU1147" s="139"/>
      <c r="BV1147" s="139"/>
      <c r="BW1147" s="123"/>
      <c r="BX1147" s="123"/>
      <c r="BY1147" s="123"/>
      <c r="BZ1147" s="123"/>
      <c r="CA1147" s="123"/>
      <c r="CB1147" s="123"/>
      <c r="CC1147" s="6"/>
      <c r="CD1147" s="123"/>
      <c r="CE1147" s="6"/>
      <c r="CF1147" s="123"/>
      <c r="CG1147" s="6"/>
      <c r="CH1147" s="6"/>
      <c r="CI1147" s="6"/>
      <c r="CJ1147" s="6"/>
      <c r="CK1147" s="123"/>
      <c r="CL1147" s="6"/>
      <c r="CM1147" s="6"/>
      <c r="CN1147" s="6"/>
      <c r="CO1147" s="138"/>
      <c r="CP1147" s="138"/>
      <c r="CQ1147" s="123"/>
      <c r="CR1147" s="6"/>
      <c r="CS1147" s="6"/>
      <c r="CT1147" s="139"/>
      <c r="CU1147" s="139"/>
      <c r="CV1147" s="76"/>
      <c r="CW1147" s="123"/>
      <c r="CX1147" s="6"/>
      <c r="DI1147" s="125"/>
      <c r="DJ1147" s="16"/>
      <c r="DM1147" s="16"/>
      <c r="DN1147" s="16"/>
      <c r="DO1147" s="125"/>
      <c r="DP1147" s="16"/>
      <c r="DQ1147" s="125"/>
      <c r="DZ1147" s="125"/>
      <c r="EA1147" s="142"/>
      <c r="EB1147" s="125"/>
      <c r="EC1147" s="16"/>
      <c r="ED1147" s="125"/>
      <c r="EE1147" s="125"/>
      <c r="EF1147" s="16"/>
      <c r="EG1147" s="125"/>
      <c r="EQ1147" s="125"/>
      <c r="ER1147" s="16"/>
      <c r="ES1147" s="123"/>
      <c r="ET1147" s="19"/>
      <c r="EU1147" s="139"/>
      <c r="EV1147" s="139"/>
      <c r="EW1147" s="123"/>
      <c r="EX1147" s="123"/>
      <c r="EY1147" s="123"/>
      <c r="EZ1147" s="123"/>
      <c r="FA1147" s="123"/>
      <c r="FB1147" s="123"/>
      <c r="FC1147" s="6"/>
      <c r="FD1147" s="123"/>
      <c r="FE1147" s="6"/>
      <c r="FF1147" s="123"/>
      <c r="FG1147" s="6"/>
      <c r="FH1147" s="6"/>
      <c r="FI1147" s="6"/>
      <c r="FJ1147" s="6"/>
      <c r="FK1147" s="123"/>
      <c r="FL1147" s="6"/>
      <c r="FM1147" s="6"/>
      <c r="FN1147" s="6"/>
      <c r="FO1147" s="138"/>
      <c r="FP1147" s="138"/>
      <c r="FQ1147" s="123"/>
      <c r="FR1147" s="6"/>
      <c r="FS1147" s="6"/>
      <c r="FT1147" s="139"/>
      <c r="FU1147" s="139"/>
      <c r="FV1147" s="76"/>
      <c r="FW1147" s="123"/>
      <c r="FX1147" s="6"/>
    </row>
    <row r="1148" spans="35:180">
      <c r="AI1148" s="125"/>
      <c r="AJ1148" s="16"/>
      <c r="AM1148" s="16"/>
      <c r="AN1148" s="16"/>
      <c r="AO1148" s="125"/>
      <c r="AP1148" s="16"/>
      <c r="AQ1148" s="125"/>
      <c r="AZ1148" s="125"/>
      <c r="BA1148" s="142"/>
      <c r="BB1148" s="125"/>
      <c r="BC1148" s="16"/>
      <c r="BD1148" s="125"/>
      <c r="BE1148" s="125"/>
      <c r="BF1148" s="16"/>
      <c r="BG1148" s="125"/>
      <c r="BQ1148" s="125"/>
      <c r="BR1148" s="16"/>
      <c r="BS1148" s="123"/>
      <c r="BT1148" s="19"/>
      <c r="BU1148" s="139"/>
      <c r="BV1148" s="139"/>
      <c r="BW1148" s="123"/>
      <c r="BX1148" s="123"/>
      <c r="BY1148" s="123"/>
      <c r="BZ1148" s="123"/>
      <c r="CA1148" s="123"/>
      <c r="CB1148" s="123"/>
      <c r="CC1148" s="6"/>
      <c r="CD1148" s="123"/>
      <c r="CE1148" s="6"/>
      <c r="CF1148" s="123"/>
      <c r="CG1148" s="6"/>
      <c r="CH1148" s="6"/>
      <c r="CI1148" s="6"/>
      <c r="CJ1148" s="6"/>
      <c r="CK1148" s="123"/>
      <c r="CL1148" s="6"/>
      <c r="CM1148" s="6"/>
      <c r="CN1148" s="6"/>
      <c r="CO1148" s="138"/>
      <c r="CP1148" s="138"/>
      <c r="CQ1148" s="123"/>
      <c r="CR1148" s="6"/>
      <c r="CS1148" s="6"/>
      <c r="CT1148" s="139"/>
      <c r="CU1148" s="139"/>
      <c r="CV1148" s="76"/>
      <c r="CW1148" s="123"/>
      <c r="CX1148" s="6"/>
      <c r="DI1148" s="125"/>
      <c r="DJ1148" s="16"/>
      <c r="DM1148" s="16"/>
      <c r="DN1148" s="16"/>
      <c r="DO1148" s="125"/>
      <c r="DP1148" s="16"/>
      <c r="DQ1148" s="125"/>
      <c r="DZ1148" s="125"/>
      <c r="EA1148" s="142"/>
      <c r="EB1148" s="125"/>
      <c r="EC1148" s="16"/>
      <c r="ED1148" s="125"/>
      <c r="EE1148" s="125"/>
      <c r="EF1148" s="16"/>
      <c r="EG1148" s="125"/>
      <c r="EQ1148" s="125"/>
      <c r="ER1148" s="16"/>
      <c r="ES1148" s="123"/>
      <c r="ET1148" s="19"/>
      <c r="EU1148" s="139"/>
      <c r="EV1148" s="139"/>
      <c r="EW1148" s="123"/>
      <c r="EX1148" s="123"/>
      <c r="EY1148" s="123"/>
      <c r="EZ1148" s="123"/>
      <c r="FA1148" s="123"/>
      <c r="FB1148" s="123"/>
      <c r="FC1148" s="6"/>
      <c r="FD1148" s="123"/>
      <c r="FE1148" s="6"/>
      <c r="FF1148" s="123"/>
      <c r="FG1148" s="6"/>
      <c r="FH1148" s="6"/>
      <c r="FI1148" s="6"/>
      <c r="FJ1148" s="6"/>
      <c r="FK1148" s="123"/>
      <c r="FL1148" s="6"/>
      <c r="FM1148" s="6"/>
      <c r="FN1148" s="6"/>
      <c r="FO1148" s="138"/>
      <c r="FP1148" s="138"/>
      <c r="FQ1148" s="123"/>
      <c r="FR1148" s="6"/>
      <c r="FS1148" s="6"/>
      <c r="FT1148" s="139"/>
      <c r="FU1148" s="139"/>
      <c r="FV1148" s="76"/>
      <c r="FW1148" s="123"/>
      <c r="FX1148" s="6"/>
    </row>
    <row r="1149" spans="35:180">
      <c r="AI1149" s="125"/>
      <c r="AJ1149" s="16"/>
      <c r="AM1149" s="16"/>
      <c r="AN1149" s="16"/>
      <c r="AO1149" s="125"/>
      <c r="AP1149" s="16"/>
      <c r="AQ1149" s="125"/>
      <c r="AZ1149" s="125"/>
      <c r="BA1149" s="142"/>
      <c r="BB1149" s="125"/>
      <c r="BC1149" s="16"/>
      <c r="BD1149" s="125"/>
      <c r="BE1149" s="125"/>
      <c r="BF1149" s="16"/>
      <c r="BG1149" s="125"/>
      <c r="BQ1149" s="125"/>
      <c r="BR1149" s="16"/>
      <c r="BS1149" s="123"/>
      <c r="BT1149" s="19"/>
      <c r="BU1149" s="139"/>
      <c r="BV1149" s="139"/>
      <c r="BW1149" s="123"/>
      <c r="BX1149" s="123"/>
      <c r="BY1149" s="123"/>
      <c r="BZ1149" s="123"/>
      <c r="CA1149" s="123"/>
      <c r="CB1149" s="123"/>
      <c r="CC1149" s="6"/>
      <c r="CD1149" s="123"/>
      <c r="CE1149" s="6"/>
      <c r="CF1149" s="123"/>
      <c r="CG1149" s="6"/>
      <c r="CH1149" s="6"/>
      <c r="CI1149" s="6"/>
      <c r="CJ1149" s="6"/>
      <c r="CK1149" s="123"/>
      <c r="CL1149" s="6"/>
      <c r="CM1149" s="6"/>
      <c r="CN1149" s="6"/>
      <c r="CO1149" s="138"/>
      <c r="CP1149" s="138"/>
      <c r="CQ1149" s="123"/>
      <c r="CR1149" s="6"/>
      <c r="CS1149" s="6"/>
      <c r="CT1149" s="139"/>
      <c r="CU1149" s="139"/>
      <c r="CV1149" s="76"/>
      <c r="CW1149" s="123"/>
      <c r="CX1149" s="6"/>
      <c r="DI1149" s="125"/>
      <c r="DJ1149" s="16"/>
      <c r="DM1149" s="16"/>
      <c r="DN1149" s="16"/>
      <c r="DO1149" s="125"/>
      <c r="DP1149" s="16"/>
      <c r="DQ1149" s="125"/>
      <c r="DZ1149" s="125"/>
      <c r="EA1149" s="142"/>
      <c r="EB1149" s="125"/>
      <c r="EC1149" s="16"/>
      <c r="ED1149" s="125"/>
      <c r="EE1149" s="125"/>
      <c r="EF1149" s="16"/>
      <c r="EG1149" s="125"/>
      <c r="EQ1149" s="125"/>
      <c r="ER1149" s="16"/>
      <c r="ES1149" s="123"/>
      <c r="ET1149" s="19"/>
      <c r="EU1149" s="139"/>
      <c r="EV1149" s="139"/>
      <c r="EW1149" s="123"/>
      <c r="EX1149" s="123"/>
      <c r="EY1149" s="123"/>
      <c r="EZ1149" s="123"/>
      <c r="FA1149" s="123"/>
      <c r="FB1149" s="123"/>
      <c r="FC1149" s="6"/>
      <c r="FD1149" s="123"/>
      <c r="FE1149" s="6"/>
      <c r="FF1149" s="123"/>
      <c r="FG1149" s="6"/>
      <c r="FH1149" s="6"/>
      <c r="FI1149" s="6"/>
      <c r="FJ1149" s="6"/>
      <c r="FK1149" s="123"/>
      <c r="FL1149" s="6"/>
      <c r="FM1149" s="6"/>
      <c r="FN1149" s="6"/>
      <c r="FO1149" s="138"/>
      <c r="FP1149" s="138"/>
      <c r="FQ1149" s="123"/>
      <c r="FR1149" s="6"/>
      <c r="FS1149" s="6"/>
      <c r="FT1149" s="139"/>
      <c r="FU1149" s="139"/>
      <c r="FV1149" s="76"/>
      <c r="FW1149" s="123"/>
      <c r="FX1149" s="6"/>
    </row>
    <row r="1150" spans="35:180">
      <c r="AI1150" s="125"/>
      <c r="AJ1150" s="16"/>
      <c r="AM1150" s="16"/>
      <c r="AN1150" s="16"/>
      <c r="AO1150" s="125"/>
      <c r="AP1150" s="16"/>
      <c r="AQ1150" s="125"/>
      <c r="AZ1150" s="125"/>
      <c r="BA1150" s="142"/>
      <c r="BB1150" s="125"/>
      <c r="BC1150" s="16"/>
      <c r="BD1150" s="125"/>
      <c r="BE1150" s="125"/>
      <c r="BF1150" s="16"/>
      <c r="BG1150" s="125"/>
      <c r="BQ1150" s="125"/>
      <c r="BR1150" s="16"/>
      <c r="BS1150" s="123"/>
      <c r="BT1150" s="19"/>
      <c r="BU1150" s="139"/>
      <c r="BV1150" s="139"/>
      <c r="BW1150" s="123"/>
      <c r="BX1150" s="123"/>
      <c r="BY1150" s="123"/>
      <c r="BZ1150" s="123"/>
      <c r="CA1150" s="123"/>
      <c r="CB1150" s="123"/>
      <c r="CC1150" s="6"/>
      <c r="CD1150" s="123"/>
      <c r="CE1150" s="6"/>
      <c r="CF1150" s="123"/>
      <c r="CG1150" s="6"/>
      <c r="CH1150" s="6"/>
      <c r="CI1150" s="6"/>
      <c r="CJ1150" s="6"/>
      <c r="CK1150" s="123"/>
      <c r="CL1150" s="6"/>
      <c r="CM1150" s="6"/>
      <c r="CN1150" s="6"/>
      <c r="CO1150" s="138"/>
      <c r="CP1150" s="138"/>
      <c r="CQ1150" s="123"/>
      <c r="CR1150" s="6"/>
      <c r="CS1150" s="6"/>
      <c r="CT1150" s="139"/>
      <c r="CU1150" s="139"/>
      <c r="CV1150" s="76"/>
      <c r="CW1150" s="123"/>
      <c r="CX1150" s="6"/>
      <c r="DI1150" s="125"/>
      <c r="DJ1150" s="16"/>
      <c r="DM1150" s="16"/>
      <c r="DN1150" s="16"/>
      <c r="DO1150" s="125"/>
      <c r="DP1150" s="16"/>
      <c r="DQ1150" s="125"/>
      <c r="DZ1150" s="125"/>
      <c r="EA1150" s="142"/>
      <c r="EB1150" s="125"/>
      <c r="EC1150" s="16"/>
      <c r="ED1150" s="125"/>
      <c r="EE1150" s="125"/>
      <c r="EF1150" s="16"/>
      <c r="EG1150" s="125"/>
      <c r="EQ1150" s="125"/>
      <c r="ER1150" s="16"/>
      <c r="ES1150" s="123"/>
      <c r="ET1150" s="19"/>
      <c r="EU1150" s="139"/>
      <c r="EV1150" s="139"/>
      <c r="EW1150" s="123"/>
      <c r="EX1150" s="123"/>
      <c r="EY1150" s="123"/>
      <c r="EZ1150" s="123"/>
      <c r="FA1150" s="123"/>
      <c r="FB1150" s="123"/>
      <c r="FC1150" s="6"/>
      <c r="FD1150" s="123"/>
      <c r="FE1150" s="6"/>
      <c r="FF1150" s="123"/>
      <c r="FG1150" s="6"/>
      <c r="FH1150" s="6"/>
      <c r="FI1150" s="6"/>
      <c r="FJ1150" s="6"/>
      <c r="FK1150" s="123"/>
      <c r="FL1150" s="6"/>
      <c r="FM1150" s="6"/>
      <c r="FN1150" s="6"/>
      <c r="FO1150" s="138"/>
      <c r="FP1150" s="138"/>
      <c r="FQ1150" s="123"/>
      <c r="FR1150" s="6"/>
      <c r="FS1150" s="6"/>
      <c r="FT1150" s="139"/>
      <c r="FU1150" s="139"/>
      <c r="FV1150" s="76"/>
      <c r="FW1150" s="123"/>
      <c r="FX1150" s="6"/>
    </row>
    <row r="1151" spans="35:180">
      <c r="AI1151" s="125"/>
      <c r="AJ1151" s="16"/>
      <c r="AM1151" s="16"/>
      <c r="AN1151" s="16"/>
      <c r="AO1151" s="125"/>
      <c r="AP1151" s="16"/>
      <c r="AQ1151" s="125"/>
      <c r="AZ1151" s="125"/>
      <c r="BA1151" s="142"/>
      <c r="BB1151" s="125"/>
      <c r="BC1151" s="16"/>
      <c r="BD1151" s="125"/>
      <c r="BE1151" s="125"/>
      <c r="BF1151" s="16"/>
      <c r="BG1151" s="125"/>
      <c r="BQ1151" s="125"/>
      <c r="BR1151" s="16"/>
      <c r="BS1151" s="123"/>
      <c r="BT1151" s="19"/>
      <c r="BU1151" s="139"/>
      <c r="BV1151" s="139"/>
      <c r="BW1151" s="123"/>
      <c r="BX1151" s="123"/>
      <c r="BY1151" s="123"/>
      <c r="BZ1151" s="123"/>
      <c r="CA1151" s="123"/>
      <c r="CB1151" s="123"/>
      <c r="CC1151" s="6"/>
      <c r="CD1151" s="123"/>
      <c r="CE1151" s="6"/>
      <c r="CF1151" s="123"/>
      <c r="CG1151" s="6"/>
      <c r="CH1151" s="6"/>
      <c r="CI1151" s="6"/>
      <c r="CJ1151" s="6"/>
      <c r="CK1151" s="123"/>
      <c r="CL1151" s="6"/>
      <c r="CM1151" s="6"/>
      <c r="CN1151" s="6"/>
      <c r="CO1151" s="138"/>
      <c r="CP1151" s="138"/>
      <c r="CQ1151" s="123"/>
      <c r="CR1151" s="6"/>
      <c r="CS1151" s="6"/>
      <c r="CT1151" s="139"/>
      <c r="CU1151" s="139"/>
      <c r="CV1151" s="76"/>
      <c r="CW1151" s="123"/>
      <c r="CX1151" s="6"/>
      <c r="DI1151" s="125"/>
      <c r="DJ1151" s="16"/>
      <c r="DM1151" s="16"/>
      <c r="DN1151" s="16"/>
      <c r="DO1151" s="125"/>
      <c r="DP1151" s="16"/>
      <c r="DQ1151" s="125"/>
      <c r="DZ1151" s="125"/>
      <c r="EA1151" s="142"/>
      <c r="EB1151" s="125"/>
      <c r="EC1151" s="16"/>
      <c r="ED1151" s="125"/>
      <c r="EE1151" s="125"/>
      <c r="EF1151" s="16"/>
      <c r="EG1151" s="125"/>
      <c r="EQ1151" s="125"/>
      <c r="ER1151" s="16"/>
      <c r="ES1151" s="123"/>
      <c r="ET1151" s="19"/>
      <c r="EU1151" s="139"/>
      <c r="EV1151" s="139"/>
      <c r="EW1151" s="123"/>
      <c r="EX1151" s="123"/>
      <c r="EY1151" s="123"/>
      <c r="EZ1151" s="123"/>
      <c r="FA1151" s="123"/>
      <c r="FB1151" s="123"/>
      <c r="FC1151" s="6"/>
      <c r="FD1151" s="123"/>
      <c r="FE1151" s="6"/>
      <c r="FF1151" s="123"/>
      <c r="FG1151" s="6"/>
      <c r="FH1151" s="6"/>
      <c r="FI1151" s="6"/>
      <c r="FJ1151" s="6"/>
      <c r="FK1151" s="123"/>
      <c r="FL1151" s="6"/>
      <c r="FM1151" s="6"/>
      <c r="FN1151" s="6"/>
      <c r="FO1151" s="138"/>
      <c r="FP1151" s="138"/>
      <c r="FQ1151" s="123"/>
      <c r="FR1151" s="6"/>
      <c r="FS1151" s="6"/>
      <c r="FT1151" s="139"/>
      <c r="FU1151" s="139"/>
      <c r="FV1151" s="76"/>
      <c r="FW1151" s="123"/>
      <c r="FX1151" s="6"/>
    </row>
    <row r="1152" spans="35:180">
      <c r="AI1152" s="125"/>
      <c r="AJ1152" s="16"/>
      <c r="AM1152" s="16"/>
      <c r="AN1152" s="16"/>
      <c r="AO1152" s="125"/>
      <c r="AP1152" s="16"/>
      <c r="AQ1152" s="125"/>
      <c r="AZ1152" s="125"/>
      <c r="BA1152" s="142"/>
      <c r="BB1152" s="125"/>
      <c r="BC1152" s="16"/>
      <c r="BD1152" s="125"/>
      <c r="BE1152" s="125"/>
      <c r="BF1152" s="16"/>
      <c r="BG1152" s="125"/>
      <c r="BQ1152" s="125"/>
      <c r="BR1152" s="16"/>
      <c r="BS1152" s="123"/>
      <c r="BT1152" s="19"/>
      <c r="BU1152" s="139"/>
      <c r="BV1152" s="139"/>
      <c r="BW1152" s="123"/>
      <c r="BX1152" s="123"/>
      <c r="BY1152" s="123"/>
      <c r="BZ1152" s="123"/>
      <c r="CA1152" s="123"/>
      <c r="CB1152" s="123"/>
      <c r="CC1152" s="6"/>
      <c r="CD1152" s="123"/>
      <c r="CE1152" s="6"/>
      <c r="CF1152" s="123"/>
      <c r="CG1152" s="6"/>
      <c r="CH1152" s="6"/>
      <c r="CI1152" s="6"/>
      <c r="CJ1152" s="6"/>
      <c r="CK1152" s="123"/>
      <c r="CL1152" s="6"/>
      <c r="CM1152" s="6"/>
      <c r="CN1152" s="6"/>
      <c r="CO1152" s="138"/>
      <c r="CP1152" s="138"/>
      <c r="CQ1152" s="123"/>
      <c r="CR1152" s="6"/>
      <c r="CS1152" s="6"/>
      <c r="CT1152" s="139"/>
      <c r="CU1152" s="139"/>
      <c r="CV1152" s="76"/>
      <c r="CW1152" s="123"/>
      <c r="CX1152" s="6"/>
      <c r="DI1152" s="125"/>
      <c r="DJ1152" s="16"/>
      <c r="DM1152" s="16"/>
      <c r="DN1152" s="16"/>
      <c r="DO1152" s="125"/>
      <c r="DP1152" s="16"/>
      <c r="DQ1152" s="125"/>
      <c r="DZ1152" s="125"/>
      <c r="EA1152" s="142"/>
      <c r="EB1152" s="125"/>
      <c r="EC1152" s="16"/>
      <c r="ED1152" s="125"/>
      <c r="EE1152" s="125"/>
      <c r="EF1152" s="16"/>
      <c r="EG1152" s="125"/>
      <c r="EQ1152" s="125"/>
      <c r="ER1152" s="16"/>
      <c r="ES1152" s="123"/>
      <c r="ET1152" s="19"/>
      <c r="EU1152" s="139"/>
      <c r="EV1152" s="139"/>
      <c r="EW1152" s="123"/>
      <c r="EX1152" s="123"/>
      <c r="EY1152" s="123"/>
      <c r="EZ1152" s="123"/>
      <c r="FA1152" s="123"/>
      <c r="FB1152" s="123"/>
      <c r="FC1152" s="6"/>
      <c r="FD1152" s="123"/>
      <c r="FE1152" s="6"/>
      <c r="FF1152" s="123"/>
      <c r="FG1152" s="6"/>
      <c r="FH1152" s="6"/>
      <c r="FI1152" s="6"/>
      <c r="FJ1152" s="6"/>
      <c r="FK1152" s="123"/>
      <c r="FL1152" s="6"/>
      <c r="FM1152" s="6"/>
      <c r="FN1152" s="6"/>
      <c r="FO1152" s="138"/>
      <c r="FP1152" s="138"/>
      <c r="FQ1152" s="123"/>
      <c r="FR1152" s="6"/>
      <c r="FS1152" s="6"/>
      <c r="FT1152" s="139"/>
      <c r="FU1152" s="139"/>
      <c r="FV1152" s="76"/>
      <c r="FW1152" s="123"/>
      <c r="FX1152" s="6"/>
    </row>
    <row r="1153" spans="35:180">
      <c r="AI1153" s="125"/>
      <c r="AJ1153" s="16"/>
      <c r="AM1153" s="16"/>
      <c r="AN1153" s="16"/>
      <c r="AO1153" s="125"/>
      <c r="AP1153" s="16"/>
      <c r="AQ1153" s="125"/>
      <c r="AZ1153" s="125"/>
      <c r="BA1153" s="142"/>
      <c r="BB1153" s="125"/>
      <c r="BC1153" s="16"/>
      <c r="BD1153" s="125"/>
      <c r="BE1153" s="125"/>
      <c r="BF1153" s="16"/>
      <c r="BG1153" s="125"/>
      <c r="BQ1153" s="125"/>
      <c r="BR1153" s="16"/>
      <c r="BS1153" s="123"/>
      <c r="BT1153" s="19"/>
      <c r="BU1153" s="139"/>
      <c r="BV1153" s="139"/>
      <c r="BW1153" s="123"/>
      <c r="BX1153" s="123"/>
      <c r="BY1153" s="123"/>
      <c r="BZ1153" s="123"/>
      <c r="CA1153" s="123"/>
      <c r="CB1153" s="123"/>
      <c r="CC1153" s="6"/>
      <c r="CD1153" s="123"/>
      <c r="CE1153" s="6"/>
      <c r="CF1153" s="123"/>
      <c r="CG1153" s="6"/>
      <c r="CH1153" s="6"/>
      <c r="CI1153" s="6"/>
      <c r="CJ1153" s="6"/>
      <c r="CK1153" s="123"/>
      <c r="CL1153" s="6"/>
      <c r="CM1153" s="6"/>
      <c r="CN1153" s="6"/>
      <c r="CO1153" s="138"/>
      <c r="CP1153" s="138"/>
      <c r="CQ1153" s="123"/>
      <c r="CR1153" s="6"/>
      <c r="CS1153" s="6"/>
      <c r="CT1153" s="139"/>
      <c r="CU1153" s="139"/>
      <c r="CV1153" s="76"/>
      <c r="CW1153" s="123"/>
      <c r="CX1153" s="6"/>
      <c r="DI1153" s="125"/>
      <c r="DJ1153" s="16"/>
      <c r="DM1153" s="16"/>
      <c r="DN1153" s="16"/>
      <c r="DO1153" s="125"/>
      <c r="DP1153" s="16"/>
      <c r="DQ1153" s="125"/>
      <c r="DZ1153" s="125"/>
      <c r="EA1153" s="142"/>
      <c r="EB1153" s="125"/>
      <c r="EC1153" s="16"/>
      <c r="ED1153" s="125"/>
      <c r="EE1153" s="125"/>
      <c r="EF1153" s="16"/>
      <c r="EG1153" s="125"/>
      <c r="EQ1153" s="125"/>
      <c r="ER1153" s="16"/>
      <c r="ES1153" s="123"/>
      <c r="ET1153" s="19"/>
      <c r="EU1153" s="139"/>
      <c r="EV1153" s="139"/>
      <c r="EW1153" s="123"/>
      <c r="EX1153" s="123"/>
      <c r="EY1153" s="123"/>
      <c r="EZ1153" s="123"/>
      <c r="FA1153" s="123"/>
      <c r="FB1153" s="123"/>
      <c r="FC1153" s="6"/>
      <c r="FD1153" s="123"/>
      <c r="FE1153" s="6"/>
      <c r="FF1153" s="123"/>
      <c r="FG1153" s="6"/>
      <c r="FH1153" s="6"/>
      <c r="FI1153" s="6"/>
      <c r="FJ1153" s="6"/>
      <c r="FK1153" s="123"/>
      <c r="FL1153" s="6"/>
      <c r="FM1153" s="6"/>
      <c r="FN1153" s="6"/>
      <c r="FO1153" s="138"/>
      <c r="FP1153" s="138"/>
      <c r="FQ1153" s="123"/>
      <c r="FR1153" s="6"/>
      <c r="FS1153" s="6"/>
      <c r="FT1153" s="139"/>
      <c r="FU1153" s="139"/>
      <c r="FV1153" s="76"/>
      <c r="FW1153" s="123"/>
      <c r="FX1153" s="6"/>
    </row>
    <row r="1154" spans="35:180">
      <c r="AI1154" s="125"/>
      <c r="AJ1154" s="16"/>
      <c r="AM1154" s="16"/>
      <c r="AN1154" s="16"/>
      <c r="AO1154" s="125"/>
      <c r="AP1154" s="16"/>
      <c r="AQ1154" s="125"/>
      <c r="AZ1154" s="125"/>
      <c r="BA1154" s="142"/>
      <c r="BB1154" s="125"/>
      <c r="BC1154" s="16"/>
      <c r="BD1154" s="125"/>
      <c r="BE1154" s="125"/>
      <c r="BF1154" s="16"/>
      <c r="BG1154" s="125"/>
      <c r="BQ1154" s="125"/>
      <c r="BR1154" s="16"/>
      <c r="BS1154" s="123"/>
      <c r="BT1154" s="19"/>
      <c r="BU1154" s="139"/>
      <c r="BV1154" s="139"/>
      <c r="BW1154" s="123"/>
      <c r="BX1154" s="123"/>
      <c r="BY1154" s="123"/>
      <c r="BZ1154" s="123"/>
      <c r="CA1154" s="123"/>
      <c r="CB1154" s="123"/>
      <c r="CC1154" s="6"/>
      <c r="CD1154" s="123"/>
      <c r="CE1154" s="6"/>
      <c r="CF1154" s="123"/>
      <c r="CG1154" s="6"/>
      <c r="CH1154" s="6"/>
      <c r="CI1154" s="6"/>
      <c r="CJ1154" s="6"/>
      <c r="CK1154" s="123"/>
      <c r="CL1154" s="6"/>
      <c r="CM1154" s="6"/>
      <c r="CN1154" s="6"/>
      <c r="CO1154" s="138"/>
      <c r="CP1154" s="138"/>
      <c r="CQ1154" s="123"/>
      <c r="CR1154" s="6"/>
      <c r="CS1154" s="6"/>
      <c r="CT1154" s="139"/>
      <c r="CU1154" s="139"/>
      <c r="CV1154" s="76"/>
      <c r="CW1154" s="123"/>
      <c r="CX1154" s="6"/>
      <c r="DI1154" s="125"/>
      <c r="DJ1154" s="16"/>
      <c r="DM1154" s="16"/>
      <c r="DN1154" s="16"/>
      <c r="DO1154" s="125"/>
      <c r="DP1154" s="16"/>
      <c r="DQ1154" s="125"/>
      <c r="DZ1154" s="125"/>
      <c r="EA1154" s="142"/>
      <c r="EB1154" s="125"/>
      <c r="EC1154" s="16"/>
      <c r="ED1154" s="125"/>
      <c r="EE1154" s="125"/>
      <c r="EF1154" s="16"/>
      <c r="EG1154" s="125"/>
      <c r="EQ1154" s="125"/>
      <c r="ER1154" s="16"/>
      <c r="ES1154" s="123"/>
      <c r="ET1154" s="19"/>
      <c r="EU1154" s="139"/>
      <c r="EV1154" s="139"/>
      <c r="EW1154" s="123"/>
      <c r="EX1154" s="123"/>
      <c r="EY1154" s="123"/>
      <c r="EZ1154" s="123"/>
      <c r="FA1154" s="123"/>
      <c r="FB1154" s="123"/>
      <c r="FC1154" s="6"/>
      <c r="FD1154" s="123"/>
      <c r="FE1154" s="6"/>
      <c r="FF1154" s="123"/>
      <c r="FG1154" s="6"/>
      <c r="FH1154" s="6"/>
      <c r="FI1154" s="6"/>
      <c r="FJ1154" s="6"/>
      <c r="FK1154" s="123"/>
      <c r="FL1154" s="6"/>
      <c r="FM1154" s="6"/>
      <c r="FN1154" s="6"/>
      <c r="FO1154" s="138"/>
      <c r="FP1154" s="138"/>
      <c r="FQ1154" s="123"/>
      <c r="FR1154" s="6"/>
      <c r="FS1154" s="6"/>
      <c r="FT1154" s="139"/>
      <c r="FU1154" s="139"/>
      <c r="FV1154" s="76"/>
      <c r="FW1154" s="123"/>
      <c r="FX1154" s="6"/>
    </row>
    <row r="1155" spans="35:180">
      <c r="AI1155" s="125"/>
      <c r="AJ1155" s="16"/>
      <c r="AM1155" s="16"/>
      <c r="AN1155" s="16"/>
      <c r="AO1155" s="125"/>
      <c r="AP1155" s="16"/>
      <c r="AQ1155" s="125"/>
      <c r="AZ1155" s="125"/>
      <c r="BA1155" s="142"/>
      <c r="BB1155" s="125"/>
      <c r="BC1155" s="16"/>
      <c r="BD1155" s="125"/>
      <c r="BE1155" s="125"/>
      <c r="BF1155" s="16"/>
      <c r="BG1155" s="125"/>
      <c r="BQ1155" s="125"/>
      <c r="BR1155" s="16"/>
      <c r="BS1155" s="123"/>
      <c r="BT1155" s="19"/>
      <c r="BU1155" s="139"/>
      <c r="BV1155" s="139"/>
      <c r="BW1155" s="123"/>
      <c r="BX1155" s="123"/>
      <c r="BY1155" s="123"/>
      <c r="BZ1155" s="123"/>
      <c r="CA1155" s="123"/>
      <c r="CB1155" s="123"/>
      <c r="CC1155" s="6"/>
      <c r="CD1155" s="123"/>
      <c r="CE1155" s="6"/>
      <c r="CF1155" s="123"/>
      <c r="CG1155" s="6"/>
      <c r="CH1155" s="6"/>
      <c r="CI1155" s="6"/>
      <c r="CJ1155" s="6"/>
      <c r="CK1155" s="123"/>
      <c r="CL1155" s="6"/>
      <c r="CM1155" s="6"/>
      <c r="CN1155" s="6"/>
      <c r="CO1155" s="138"/>
      <c r="CP1155" s="138"/>
      <c r="CQ1155" s="123"/>
      <c r="CR1155" s="6"/>
      <c r="CS1155" s="6"/>
      <c r="CT1155" s="139"/>
      <c r="CU1155" s="139"/>
      <c r="CV1155" s="76"/>
      <c r="CW1155" s="123"/>
      <c r="CX1155" s="6"/>
      <c r="DI1155" s="125"/>
      <c r="DJ1155" s="16"/>
      <c r="DM1155" s="16"/>
      <c r="DN1155" s="16"/>
      <c r="DO1155" s="125"/>
      <c r="DP1155" s="16"/>
      <c r="DQ1155" s="125"/>
      <c r="DZ1155" s="125"/>
      <c r="EA1155" s="142"/>
      <c r="EB1155" s="125"/>
      <c r="EC1155" s="16"/>
      <c r="ED1155" s="125"/>
      <c r="EE1155" s="125"/>
      <c r="EF1155" s="16"/>
      <c r="EG1155" s="125"/>
      <c r="EQ1155" s="125"/>
      <c r="ER1155" s="16"/>
      <c r="ES1155" s="123"/>
      <c r="ET1155" s="19"/>
      <c r="EU1155" s="139"/>
      <c r="EV1155" s="139"/>
      <c r="EW1155" s="123"/>
      <c r="EX1155" s="123"/>
      <c r="EY1155" s="123"/>
      <c r="EZ1155" s="123"/>
      <c r="FA1155" s="123"/>
      <c r="FB1155" s="123"/>
      <c r="FC1155" s="6"/>
      <c r="FD1155" s="123"/>
      <c r="FE1155" s="6"/>
      <c r="FF1155" s="123"/>
      <c r="FG1155" s="6"/>
      <c r="FH1155" s="6"/>
      <c r="FI1155" s="6"/>
      <c r="FJ1155" s="6"/>
      <c r="FK1155" s="123"/>
      <c r="FL1155" s="6"/>
      <c r="FM1155" s="6"/>
      <c r="FN1155" s="6"/>
      <c r="FO1155" s="138"/>
      <c r="FP1155" s="138"/>
      <c r="FQ1155" s="123"/>
      <c r="FR1155" s="6"/>
      <c r="FS1155" s="6"/>
      <c r="FT1155" s="139"/>
      <c r="FU1155" s="139"/>
      <c r="FV1155" s="76"/>
      <c r="FW1155" s="123"/>
      <c r="FX1155" s="6"/>
    </row>
    <row r="1156" spans="35:180">
      <c r="AI1156" s="125"/>
      <c r="AJ1156" s="16"/>
      <c r="AM1156" s="16"/>
      <c r="AN1156" s="16"/>
      <c r="AO1156" s="125"/>
      <c r="AP1156" s="16"/>
      <c r="AQ1156" s="125"/>
      <c r="AZ1156" s="125"/>
      <c r="BA1156" s="142"/>
      <c r="BB1156" s="125"/>
      <c r="BC1156" s="16"/>
      <c r="BD1156" s="125"/>
      <c r="BE1156" s="125"/>
      <c r="BF1156" s="16"/>
      <c r="BG1156" s="125"/>
      <c r="BQ1156" s="125"/>
      <c r="BR1156" s="16"/>
      <c r="BS1156" s="123"/>
      <c r="BT1156" s="19"/>
      <c r="BU1156" s="139"/>
      <c r="BV1156" s="139"/>
      <c r="BW1156" s="123"/>
      <c r="BX1156" s="123"/>
      <c r="BY1156" s="123"/>
      <c r="BZ1156" s="123"/>
      <c r="CA1156" s="123"/>
      <c r="CB1156" s="123"/>
      <c r="CC1156" s="6"/>
      <c r="CD1156" s="123"/>
      <c r="CE1156" s="6"/>
      <c r="CF1156" s="123"/>
      <c r="CG1156" s="6"/>
      <c r="CH1156" s="6"/>
      <c r="CI1156" s="6"/>
      <c r="CJ1156" s="6"/>
      <c r="CK1156" s="123"/>
      <c r="CL1156" s="6"/>
      <c r="CM1156" s="6"/>
      <c r="CN1156" s="6"/>
      <c r="CO1156" s="138"/>
      <c r="CP1156" s="138"/>
      <c r="CQ1156" s="123"/>
      <c r="CR1156" s="6"/>
      <c r="CS1156" s="6"/>
      <c r="CT1156" s="139"/>
      <c r="CU1156" s="139"/>
      <c r="CV1156" s="76"/>
      <c r="CW1156" s="123"/>
      <c r="CX1156" s="6"/>
      <c r="DI1156" s="125"/>
      <c r="DJ1156" s="16"/>
      <c r="DM1156" s="16"/>
      <c r="DN1156" s="16"/>
      <c r="DO1156" s="125"/>
      <c r="DP1156" s="16"/>
      <c r="DQ1156" s="125"/>
      <c r="DZ1156" s="125"/>
      <c r="EA1156" s="142"/>
      <c r="EB1156" s="125"/>
      <c r="EC1156" s="16"/>
      <c r="ED1156" s="125"/>
      <c r="EE1156" s="125"/>
      <c r="EF1156" s="16"/>
      <c r="EG1156" s="125"/>
      <c r="EQ1156" s="125"/>
      <c r="ER1156" s="16"/>
      <c r="ES1156" s="123"/>
      <c r="ET1156" s="19"/>
      <c r="EU1156" s="139"/>
      <c r="EV1156" s="139"/>
      <c r="EW1156" s="123"/>
      <c r="EX1156" s="123"/>
      <c r="EY1156" s="123"/>
      <c r="EZ1156" s="123"/>
      <c r="FA1156" s="123"/>
      <c r="FB1156" s="123"/>
      <c r="FC1156" s="6"/>
      <c r="FD1156" s="123"/>
      <c r="FE1156" s="6"/>
      <c r="FF1156" s="123"/>
      <c r="FG1156" s="6"/>
      <c r="FH1156" s="6"/>
      <c r="FI1156" s="6"/>
      <c r="FJ1156" s="6"/>
      <c r="FK1156" s="123"/>
      <c r="FL1156" s="6"/>
      <c r="FM1156" s="6"/>
      <c r="FN1156" s="6"/>
      <c r="FO1156" s="138"/>
      <c r="FP1156" s="138"/>
      <c r="FQ1156" s="123"/>
      <c r="FR1156" s="6"/>
      <c r="FS1156" s="6"/>
      <c r="FT1156" s="139"/>
      <c r="FU1156" s="139"/>
      <c r="FV1156" s="76"/>
      <c r="FW1156" s="123"/>
      <c r="FX1156" s="6"/>
    </row>
    <row r="1157" spans="35:180">
      <c r="AI1157" s="125"/>
      <c r="AJ1157" s="16"/>
      <c r="AM1157" s="16"/>
      <c r="AN1157" s="16"/>
      <c r="AO1157" s="125"/>
      <c r="AP1157" s="16"/>
      <c r="AQ1157" s="125"/>
      <c r="AZ1157" s="125"/>
      <c r="BA1157" s="142"/>
      <c r="BB1157" s="125"/>
      <c r="BC1157" s="16"/>
      <c r="BD1157" s="125"/>
      <c r="BE1157" s="125"/>
      <c r="BF1157" s="16"/>
      <c r="BG1157" s="125"/>
      <c r="BQ1157" s="125"/>
      <c r="BR1157" s="16"/>
      <c r="BS1157" s="123"/>
      <c r="BT1157" s="19"/>
      <c r="BU1157" s="139"/>
      <c r="BV1157" s="139"/>
      <c r="BW1157" s="123"/>
      <c r="BX1157" s="123"/>
      <c r="BY1157" s="123"/>
      <c r="BZ1157" s="123"/>
      <c r="CA1157" s="123"/>
      <c r="CB1157" s="123"/>
      <c r="CC1157" s="6"/>
      <c r="CD1157" s="123"/>
      <c r="CE1157" s="6"/>
      <c r="CF1157" s="123"/>
      <c r="CG1157" s="6"/>
      <c r="CH1157" s="6"/>
      <c r="CI1157" s="6"/>
      <c r="CJ1157" s="6"/>
      <c r="CK1157" s="123"/>
      <c r="CL1157" s="6"/>
      <c r="CM1157" s="6"/>
      <c r="CN1157" s="6"/>
      <c r="CO1157" s="138"/>
      <c r="CP1157" s="138"/>
      <c r="CQ1157" s="123"/>
      <c r="CR1157" s="6"/>
      <c r="CS1157" s="6"/>
      <c r="CT1157" s="139"/>
      <c r="CU1157" s="139"/>
      <c r="CV1157" s="76"/>
      <c r="CW1157" s="123"/>
      <c r="CX1157" s="6"/>
      <c r="DI1157" s="125"/>
      <c r="DJ1157" s="16"/>
      <c r="DM1157" s="16"/>
      <c r="DN1157" s="16"/>
      <c r="DO1157" s="125"/>
      <c r="DP1157" s="16"/>
      <c r="DQ1157" s="125"/>
      <c r="DZ1157" s="125"/>
      <c r="EA1157" s="142"/>
      <c r="EB1157" s="125"/>
      <c r="EC1157" s="16"/>
      <c r="ED1157" s="125"/>
      <c r="EE1157" s="125"/>
      <c r="EF1157" s="16"/>
      <c r="EG1157" s="125"/>
      <c r="EQ1157" s="125"/>
      <c r="ER1157" s="16"/>
      <c r="ES1157" s="123"/>
      <c r="ET1157" s="19"/>
      <c r="EU1157" s="139"/>
      <c r="EV1157" s="139"/>
      <c r="EW1157" s="123"/>
      <c r="EX1157" s="123"/>
      <c r="EY1157" s="123"/>
      <c r="EZ1157" s="123"/>
      <c r="FA1157" s="123"/>
      <c r="FB1157" s="123"/>
      <c r="FC1157" s="6"/>
      <c r="FD1157" s="123"/>
      <c r="FE1157" s="6"/>
      <c r="FF1157" s="123"/>
      <c r="FG1157" s="6"/>
      <c r="FH1157" s="6"/>
      <c r="FI1157" s="6"/>
      <c r="FJ1157" s="6"/>
      <c r="FK1157" s="123"/>
      <c r="FL1157" s="6"/>
      <c r="FM1157" s="6"/>
      <c r="FN1157" s="6"/>
      <c r="FO1157" s="138"/>
      <c r="FP1157" s="138"/>
      <c r="FQ1157" s="123"/>
      <c r="FR1157" s="6"/>
      <c r="FS1157" s="6"/>
      <c r="FT1157" s="139"/>
      <c r="FU1157" s="139"/>
      <c r="FV1157" s="76"/>
      <c r="FW1157" s="123"/>
      <c r="FX1157" s="6"/>
    </row>
    <row r="1158" spans="35:180">
      <c r="AI1158" s="125"/>
      <c r="AJ1158" s="16"/>
      <c r="AM1158" s="16"/>
      <c r="AN1158" s="16"/>
      <c r="AO1158" s="125"/>
      <c r="AP1158" s="16"/>
      <c r="AQ1158" s="125"/>
      <c r="AZ1158" s="125"/>
      <c r="BA1158" s="142"/>
      <c r="BB1158" s="125"/>
      <c r="BC1158" s="16"/>
      <c r="BD1158" s="125"/>
      <c r="BE1158" s="125"/>
      <c r="BF1158" s="16"/>
      <c r="BG1158" s="125"/>
      <c r="BQ1158" s="125"/>
      <c r="BR1158" s="16"/>
      <c r="BS1158" s="123"/>
      <c r="BT1158" s="19"/>
      <c r="BU1158" s="139"/>
      <c r="BV1158" s="139"/>
      <c r="BW1158" s="123"/>
      <c r="BX1158" s="123"/>
      <c r="BY1158" s="123"/>
      <c r="BZ1158" s="123"/>
      <c r="CA1158" s="123"/>
      <c r="CB1158" s="123"/>
      <c r="CC1158" s="6"/>
      <c r="CD1158" s="123"/>
      <c r="CE1158" s="6"/>
      <c r="CF1158" s="123"/>
      <c r="CG1158" s="6"/>
      <c r="CH1158" s="6"/>
      <c r="CI1158" s="6"/>
      <c r="CJ1158" s="6"/>
      <c r="CK1158" s="123"/>
      <c r="CL1158" s="6"/>
      <c r="CM1158" s="6"/>
      <c r="CN1158" s="6"/>
      <c r="CO1158" s="138"/>
      <c r="CP1158" s="138"/>
      <c r="CQ1158" s="123"/>
      <c r="CR1158" s="6"/>
      <c r="CS1158" s="6"/>
      <c r="CT1158" s="139"/>
      <c r="CU1158" s="139"/>
      <c r="CV1158" s="76"/>
      <c r="CW1158" s="123"/>
      <c r="CX1158" s="6"/>
      <c r="DI1158" s="125"/>
      <c r="DJ1158" s="16"/>
      <c r="DM1158" s="16"/>
      <c r="DN1158" s="16"/>
      <c r="DO1158" s="125"/>
      <c r="DP1158" s="16"/>
      <c r="DQ1158" s="125"/>
      <c r="DZ1158" s="125"/>
      <c r="EA1158" s="142"/>
      <c r="EB1158" s="125"/>
      <c r="EC1158" s="16"/>
      <c r="ED1158" s="125"/>
      <c r="EE1158" s="125"/>
      <c r="EF1158" s="16"/>
      <c r="EG1158" s="125"/>
      <c r="EQ1158" s="125"/>
      <c r="ER1158" s="16"/>
      <c r="ES1158" s="123"/>
      <c r="ET1158" s="19"/>
      <c r="EU1158" s="139"/>
      <c r="EV1158" s="139"/>
      <c r="EW1158" s="123"/>
      <c r="EX1158" s="123"/>
      <c r="EY1158" s="123"/>
      <c r="EZ1158" s="123"/>
      <c r="FA1158" s="123"/>
      <c r="FB1158" s="123"/>
      <c r="FC1158" s="6"/>
      <c r="FD1158" s="123"/>
      <c r="FE1158" s="6"/>
      <c r="FF1158" s="123"/>
      <c r="FG1158" s="6"/>
      <c r="FH1158" s="6"/>
      <c r="FI1158" s="6"/>
      <c r="FJ1158" s="6"/>
      <c r="FK1158" s="123"/>
      <c r="FL1158" s="6"/>
      <c r="FM1158" s="6"/>
      <c r="FN1158" s="6"/>
      <c r="FO1158" s="138"/>
      <c r="FP1158" s="138"/>
      <c r="FQ1158" s="123"/>
      <c r="FR1158" s="6"/>
      <c r="FS1158" s="6"/>
      <c r="FT1158" s="139"/>
      <c r="FU1158" s="139"/>
      <c r="FV1158" s="76"/>
      <c r="FW1158" s="123"/>
      <c r="FX1158" s="6"/>
    </row>
    <row r="1159" spans="35:180">
      <c r="AI1159" s="125"/>
      <c r="AJ1159" s="16"/>
      <c r="AM1159" s="16"/>
      <c r="AN1159" s="16"/>
      <c r="AO1159" s="125"/>
      <c r="AP1159" s="16"/>
      <c r="AQ1159" s="125"/>
      <c r="AZ1159" s="125"/>
      <c r="BA1159" s="142"/>
      <c r="BB1159" s="125"/>
      <c r="BC1159" s="16"/>
      <c r="BD1159" s="125"/>
      <c r="BE1159" s="125"/>
      <c r="BF1159" s="16"/>
      <c r="BG1159" s="125"/>
      <c r="BQ1159" s="125"/>
      <c r="BR1159" s="16"/>
      <c r="BS1159" s="123"/>
      <c r="BT1159" s="19"/>
      <c r="BU1159" s="139"/>
      <c r="BV1159" s="139"/>
      <c r="BW1159" s="123"/>
      <c r="BX1159" s="123"/>
      <c r="BY1159" s="123"/>
      <c r="BZ1159" s="123"/>
      <c r="CA1159" s="123"/>
      <c r="CB1159" s="123"/>
      <c r="CC1159" s="6"/>
      <c r="CD1159" s="123"/>
      <c r="CE1159" s="6"/>
      <c r="CF1159" s="123"/>
      <c r="CG1159" s="6"/>
      <c r="CH1159" s="6"/>
      <c r="CI1159" s="6"/>
      <c r="CJ1159" s="6"/>
      <c r="CK1159" s="123"/>
      <c r="CL1159" s="6"/>
      <c r="CM1159" s="6"/>
      <c r="CN1159" s="6"/>
      <c r="CO1159" s="138"/>
      <c r="CP1159" s="138"/>
      <c r="CQ1159" s="123"/>
      <c r="CR1159" s="6"/>
      <c r="CS1159" s="6"/>
      <c r="CT1159" s="139"/>
      <c r="CU1159" s="139"/>
      <c r="CV1159" s="76"/>
      <c r="CW1159" s="123"/>
      <c r="CX1159" s="6"/>
      <c r="DI1159" s="125"/>
      <c r="DJ1159" s="16"/>
      <c r="DM1159" s="16"/>
      <c r="DN1159" s="16"/>
      <c r="DO1159" s="125"/>
      <c r="DP1159" s="16"/>
      <c r="DQ1159" s="125"/>
      <c r="DZ1159" s="125"/>
      <c r="EA1159" s="142"/>
      <c r="EB1159" s="125"/>
      <c r="EC1159" s="16"/>
      <c r="ED1159" s="125"/>
      <c r="EE1159" s="125"/>
      <c r="EF1159" s="16"/>
      <c r="EG1159" s="125"/>
      <c r="EQ1159" s="125"/>
      <c r="ER1159" s="16"/>
      <c r="ES1159" s="123"/>
      <c r="ET1159" s="19"/>
      <c r="EU1159" s="139"/>
      <c r="EV1159" s="139"/>
      <c r="EW1159" s="123"/>
      <c r="EX1159" s="123"/>
      <c r="EY1159" s="123"/>
      <c r="EZ1159" s="123"/>
      <c r="FA1159" s="123"/>
      <c r="FB1159" s="123"/>
      <c r="FC1159" s="6"/>
      <c r="FD1159" s="123"/>
      <c r="FE1159" s="6"/>
      <c r="FF1159" s="123"/>
      <c r="FG1159" s="6"/>
      <c r="FH1159" s="6"/>
      <c r="FI1159" s="6"/>
      <c r="FJ1159" s="6"/>
      <c r="FK1159" s="123"/>
      <c r="FL1159" s="6"/>
      <c r="FM1159" s="6"/>
      <c r="FN1159" s="6"/>
      <c r="FO1159" s="138"/>
      <c r="FP1159" s="138"/>
      <c r="FQ1159" s="123"/>
      <c r="FR1159" s="6"/>
      <c r="FS1159" s="6"/>
      <c r="FT1159" s="139"/>
      <c r="FU1159" s="139"/>
      <c r="FV1159" s="76"/>
      <c r="FW1159" s="123"/>
      <c r="FX1159" s="6"/>
    </row>
    <row r="1160" spans="35:180">
      <c r="AI1160" s="125"/>
      <c r="AJ1160" s="16"/>
      <c r="AM1160" s="16"/>
      <c r="AN1160" s="16"/>
      <c r="AO1160" s="125"/>
      <c r="AP1160" s="16"/>
      <c r="AQ1160" s="125"/>
      <c r="AZ1160" s="125"/>
      <c r="BA1160" s="142"/>
      <c r="BB1160" s="125"/>
      <c r="BC1160" s="16"/>
      <c r="BD1160" s="125"/>
      <c r="BE1160" s="125"/>
      <c r="BF1160" s="16"/>
      <c r="BG1160" s="125"/>
      <c r="BQ1160" s="125"/>
      <c r="BR1160" s="16"/>
      <c r="BS1160" s="123"/>
      <c r="BT1160" s="19"/>
      <c r="BU1160" s="139"/>
      <c r="BV1160" s="139"/>
      <c r="BW1160" s="123"/>
      <c r="BX1160" s="123"/>
      <c r="BY1160" s="123"/>
      <c r="BZ1160" s="123"/>
      <c r="CA1160" s="123"/>
      <c r="CB1160" s="123"/>
      <c r="CC1160" s="6"/>
      <c r="CD1160" s="123"/>
      <c r="CE1160" s="6"/>
      <c r="CF1160" s="123"/>
      <c r="CG1160" s="6"/>
      <c r="CH1160" s="6"/>
      <c r="CI1160" s="6"/>
      <c r="CJ1160" s="6"/>
      <c r="CK1160" s="123"/>
      <c r="CL1160" s="6"/>
      <c r="CM1160" s="6"/>
      <c r="CN1160" s="6"/>
      <c r="CO1160" s="138"/>
      <c r="CP1160" s="138"/>
      <c r="CQ1160" s="123"/>
      <c r="CR1160" s="6"/>
      <c r="CS1160" s="6"/>
      <c r="CT1160" s="139"/>
      <c r="CU1160" s="139"/>
      <c r="CV1160" s="76"/>
      <c r="CW1160" s="123"/>
      <c r="CX1160" s="6"/>
      <c r="DI1160" s="125"/>
      <c r="DJ1160" s="16"/>
      <c r="DM1160" s="16"/>
      <c r="DN1160" s="16"/>
      <c r="DO1160" s="125"/>
      <c r="DP1160" s="16"/>
      <c r="DQ1160" s="125"/>
      <c r="DZ1160" s="125"/>
      <c r="EA1160" s="142"/>
      <c r="EB1160" s="125"/>
      <c r="EC1160" s="16"/>
      <c r="ED1160" s="125"/>
      <c r="EE1160" s="125"/>
      <c r="EF1160" s="16"/>
      <c r="EG1160" s="125"/>
      <c r="EQ1160" s="125"/>
      <c r="ER1160" s="16"/>
      <c r="ES1160" s="123"/>
      <c r="ET1160" s="19"/>
      <c r="EU1160" s="139"/>
      <c r="EV1160" s="139"/>
      <c r="EW1160" s="123"/>
      <c r="EX1160" s="123"/>
      <c r="EY1160" s="123"/>
      <c r="EZ1160" s="123"/>
      <c r="FA1160" s="123"/>
      <c r="FB1160" s="123"/>
      <c r="FC1160" s="6"/>
      <c r="FD1160" s="123"/>
      <c r="FE1160" s="6"/>
      <c r="FF1160" s="123"/>
      <c r="FG1160" s="6"/>
      <c r="FH1160" s="6"/>
      <c r="FI1160" s="6"/>
      <c r="FJ1160" s="6"/>
      <c r="FK1160" s="123"/>
      <c r="FL1160" s="6"/>
      <c r="FM1160" s="6"/>
      <c r="FN1160" s="6"/>
      <c r="FO1160" s="138"/>
      <c r="FP1160" s="138"/>
      <c r="FQ1160" s="123"/>
      <c r="FR1160" s="6"/>
      <c r="FS1160" s="6"/>
      <c r="FT1160" s="139"/>
      <c r="FU1160" s="139"/>
      <c r="FV1160" s="76"/>
      <c r="FW1160" s="123"/>
      <c r="FX1160" s="6"/>
    </row>
    <row r="1161" spans="35:180">
      <c r="AI1161" s="125"/>
      <c r="AJ1161" s="16"/>
      <c r="AM1161" s="16"/>
      <c r="AN1161" s="16"/>
      <c r="AO1161" s="125"/>
      <c r="AP1161" s="16"/>
      <c r="AQ1161" s="125"/>
      <c r="AZ1161" s="125"/>
      <c r="BA1161" s="142"/>
      <c r="BB1161" s="125"/>
      <c r="BC1161" s="16"/>
      <c r="BD1161" s="125"/>
      <c r="BE1161" s="125"/>
      <c r="BF1161" s="16"/>
      <c r="BG1161" s="125"/>
      <c r="BQ1161" s="125"/>
      <c r="BR1161" s="16"/>
      <c r="BS1161" s="123"/>
      <c r="BT1161" s="19"/>
      <c r="BU1161" s="139"/>
      <c r="BV1161" s="139"/>
      <c r="BW1161" s="123"/>
      <c r="BX1161" s="123"/>
      <c r="BY1161" s="123"/>
      <c r="BZ1161" s="123"/>
      <c r="CA1161" s="123"/>
      <c r="CB1161" s="123"/>
      <c r="CC1161" s="6"/>
      <c r="CD1161" s="123"/>
      <c r="CE1161" s="6"/>
      <c r="CF1161" s="123"/>
      <c r="CG1161" s="6"/>
      <c r="CH1161" s="6"/>
      <c r="CI1161" s="6"/>
      <c r="CJ1161" s="6"/>
      <c r="CK1161" s="123"/>
      <c r="CL1161" s="6"/>
      <c r="CM1161" s="6"/>
      <c r="CN1161" s="6"/>
      <c r="CO1161" s="138"/>
      <c r="CP1161" s="138"/>
      <c r="CQ1161" s="123"/>
      <c r="CR1161" s="6"/>
      <c r="CS1161" s="6"/>
      <c r="CT1161" s="139"/>
      <c r="CU1161" s="139"/>
      <c r="CV1161" s="76"/>
      <c r="CW1161" s="123"/>
      <c r="CX1161" s="6"/>
      <c r="DI1161" s="125"/>
      <c r="DJ1161" s="16"/>
      <c r="DM1161" s="16"/>
      <c r="DN1161" s="16"/>
      <c r="DO1161" s="125"/>
      <c r="DP1161" s="16"/>
      <c r="DQ1161" s="125"/>
      <c r="DZ1161" s="125"/>
      <c r="EA1161" s="142"/>
      <c r="EB1161" s="125"/>
      <c r="EC1161" s="16"/>
      <c r="ED1161" s="125"/>
      <c r="EE1161" s="125"/>
      <c r="EF1161" s="16"/>
      <c r="EG1161" s="125"/>
      <c r="EQ1161" s="125"/>
      <c r="ER1161" s="16"/>
      <c r="ES1161" s="123"/>
      <c r="ET1161" s="19"/>
      <c r="EU1161" s="139"/>
      <c r="EV1161" s="139"/>
      <c r="EW1161" s="123"/>
      <c r="EX1161" s="123"/>
      <c r="EY1161" s="123"/>
      <c r="EZ1161" s="123"/>
      <c r="FA1161" s="123"/>
      <c r="FB1161" s="123"/>
      <c r="FC1161" s="6"/>
      <c r="FD1161" s="123"/>
      <c r="FE1161" s="6"/>
      <c r="FF1161" s="123"/>
      <c r="FG1161" s="6"/>
      <c r="FH1161" s="6"/>
      <c r="FI1161" s="6"/>
      <c r="FJ1161" s="6"/>
      <c r="FK1161" s="123"/>
      <c r="FL1161" s="6"/>
      <c r="FM1161" s="6"/>
      <c r="FN1161" s="6"/>
      <c r="FO1161" s="138"/>
      <c r="FP1161" s="138"/>
      <c r="FQ1161" s="123"/>
      <c r="FR1161" s="6"/>
      <c r="FS1161" s="6"/>
      <c r="FT1161" s="139"/>
      <c r="FU1161" s="139"/>
      <c r="FV1161" s="76"/>
      <c r="FW1161" s="123"/>
      <c r="FX1161" s="6"/>
    </row>
    <row r="1162" spans="35:180">
      <c r="AI1162" s="125"/>
      <c r="AJ1162" s="16"/>
      <c r="AM1162" s="16"/>
      <c r="AN1162" s="16"/>
      <c r="AO1162" s="125"/>
      <c r="AP1162" s="16"/>
      <c r="AQ1162" s="125"/>
      <c r="AZ1162" s="125"/>
      <c r="BA1162" s="142"/>
      <c r="BB1162" s="125"/>
      <c r="BC1162" s="16"/>
      <c r="BD1162" s="125"/>
      <c r="BE1162" s="125"/>
      <c r="BF1162" s="16"/>
      <c r="BG1162" s="125"/>
      <c r="BQ1162" s="125"/>
      <c r="BR1162" s="16"/>
      <c r="BS1162" s="123"/>
      <c r="BT1162" s="19"/>
      <c r="BU1162" s="139"/>
      <c r="BV1162" s="139"/>
      <c r="BW1162" s="123"/>
      <c r="BX1162" s="123"/>
      <c r="BY1162" s="123"/>
      <c r="BZ1162" s="123"/>
      <c r="CA1162" s="123"/>
      <c r="CB1162" s="123"/>
      <c r="CC1162" s="6"/>
      <c r="CD1162" s="123"/>
      <c r="CE1162" s="6"/>
      <c r="CF1162" s="123"/>
      <c r="CG1162" s="6"/>
      <c r="CH1162" s="6"/>
      <c r="CI1162" s="6"/>
      <c r="CJ1162" s="6"/>
      <c r="CK1162" s="123"/>
      <c r="CL1162" s="6"/>
      <c r="CM1162" s="6"/>
      <c r="CN1162" s="6"/>
      <c r="CO1162" s="138"/>
      <c r="CP1162" s="138"/>
      <c r="CQ1162" s="123"/>
      <c r="CR1162" s="6"/>
      <c r="CS1162" s="6"/>
      <c r="CT1162" s="139"/>
      <c r="CU1162" s="139"/>
      <c r="CV1162" s="76"/>
      <c r="CW1162" s="123"/>
      <c r="CX1162" s="6"/>
      <c r="DI1162" s="125"/>
      <c r="DJ1162" s="16"/>
      <c r="DM1162" s="16"/>
      <c r="DN1162" s="16"/>
      <c r="DO1162" s="125"/>
      <c r="DP1162" s="16"/>
      <c r="DQ1162" s="125"/>
      <c r="DZ1162" s="125"/>
      <c r="EA1162" s="142"/>
      <c r="EB1162" s="125"/>
      <c r="EC1162" s="16"/>
      <c r="ED1162" s="125"/>
      <c r="EE1162" s="125"/>
      <c r="EF1162" s="16"/>
      <c r="EG1162" s="125"/>
      <c r="EQ1162" s="125"/>
      <c r="ER1162" s="16"/>
      <c r="ES1162" s="123"/>
      <c r="ET1162" s="19"/>
      <c r="EU1162" s="139"/>
      <c r="EV1162" s="139"/>
      <c r="EW1162" s="123"/>
      <c r="EX1162" s="123"/>
      <c r="EY1162" s="123"/>
      <c r="EZ1162" s="123"/>
      <c r="FA1162" s="123"/>
      <c r="FB1162" s="123"/>
      <c r="FC1162" s="6"/>
      <c r="FD1162" s="123"/>
      <c r="FE1162" s="6"/>
      <c r="FF1162" s="123"/>
      <c r="FG1162" s="6"/>
      <c r="FH1162" s="6"/>
      <c r="FI1162" s="6"/>
      <c r="FJ1162" s="6"/>
      <c r="FK1162" s="123"/>
      <c r="FL1162" s="6"/>
      <c r="FM1162" s="6"/>
      <c r="FN1162" s="6"/>
      <c r="FO1162" s="138"/>
      <c r="FP1162" s="138"/>
      <c r="FQ1162" s="123"/>
      <c r="FR1162" s="6"/>
      <c r="FS1162" s="6"/>
      <c r="FT1162" s="139"/>
      <c r="FU1162" s="139"/>
      <c r="FV1162" s="76"/>
      <c r="FW1162" s="123"/>
      <c r="FX1162" s="6"/>
    </row>
    <row r="1163" spans="35:180">
      <c r="AI1163" s="125"/>
      <c r="AJ1163" s="16"/>
      <c r="AM1163" s="16"/>
      <c r="AN1163" s="16"/>
      <c r="AO1163" s="125"/>
      <c r="AP1163" s="16"/>
      <c r="AQ1163" s="125"/>
      <c r="AZ1163" s="125"/>
      <c r="BA1163" s="142"/>
      <c r="BB1163" s="125"/>
      <c r="BC1163" s="16"/>
      <c r="BD1163" s="125"/>
      <c r="BE1163" s="125"/>
      <c r="BF1163" s="16"/>
      <c r="BG1163" s="125"/>
      <c r="BQ1163" s="125"/>
      <c r="BR1163" s="16"/>
      <c r="BS1163" s="123"/>
      <c r="BT1163" s="19"/>
      <c r="BU1163" s="139"/>
      <c r="BV1163" s="139"/>
      <c r="BW1163" s="123"/>
      <c r="BX1163" s="123"/>
      <c r="BY1163" s="123"/>
      <c r="BZ1163" s="123"/>
      <c r="CA1163" s="123"/>
      <c r="CB1163" s="123"/>
      <c r="CC1163" s="6"/>
      <c r="CD1163" s="123"/>
      <c r="CE1163" s="6"/>
      <c r="CF1163" s="123"/>
      <c r="CG1163" s="6"/>
      <c r="CH1163" s="6"/>
      <c r="CI1163" s="6"/>
      <c r="CJ1163" s="6"/>
      <c r="CK1163" s="123"/>
      <c r="CL1163" s="6"/>
      <c r="CM1163" s="6"/>
      <c r="CN1163" s="6"/>
      <c r="CO1163" s="138"/>
      <c r="CP1163" s="138"/>
      <c r="CQ1163" s="123"/>
      <c r="CR1163" s="6"/>
      <c r="CS1163" s="6"/>
      <c r="CT1163" s="139"/>
      <c r="CU1163" s="139"/>
      <c r="CV1163" s="76"/>
      <c r="CW1163" s="123"/>
      <c r="CX1163" s="6"/>
      <c r="DI1163" s="125"/>
      <c r="DJ1163" s="16"/>
      <c r="DM1163" s="16"/>
      <c r="DN1163" s="16"/>
      <c r="DO1163" s="125"/>
      <c r="DP1163" s="16"/>
      <c r="DQ1163" s="125"/>
      <c r="DZ1163" s="125"/>
      <c r="EA1163" s="142"/>
      <c r="EB1163" s="125"/>
      <c r="EC1163" s="16"/>
      <c r="ED1163" s="125"/>
      <c r="EE1163" s="125"/>
      <c r="EF1163" s="16"/>
      <c r="EG1163" s="125"/>
      <c r="EQ1163" s="125"/>
      <c r="ER1163" s="16"/>
      <c r="ES1163" s="123"/>
      <c r="ET1163" s="19"/>
      <c r="EU1163" s="139"/>
      <c r="EV1163" s="139"/>
      <c r="EW1163" s="123"/>
      <c r="EX1163" s="123"/>
      <c r="EY1163" s="123"/>
      <c r="EZ1163" s="123"/>
      <c r="FA1163" s="123"/>
      <c r="FB1163" s="123"/>
      <c r="FC1163" s="6"/>
      <c r="FD1163" s="123"/>
      <c r="FE1163" s="6"/>
      <c r="FF1163" s="123"/>
      <c r="FG1163" s="6"/>
      <c r="FH1163" s="6"/>
      <c r="FI1163" s="6"/>
      <c r="FJ1163" s="6"/>
      <c r="FK1163" s="123"/>
      <c r="FL1163" s="6"/>
      <c r="FM1163" s="6"/>
      <c r="FN1163" s="6"/>
      <c r="FO1163" s="138"/>
      <c r="FP1163" s="138"/>
      <c r="FQ1163" s="123"/>
      <c r="FR1163" s="6"/>
      <c r="FS1163" s="6"/>
      <c r="FT1163" s="139"/>
      <c r="FU1163" s="139"/>
      <c r="FV1163" s="76"/>
      <c r="FW1163" s="123"/>
      <c r="FX1163" s="6"/>
    </row>
    <row r="1164" spans="35:180">
      <c r="AI1164" s="125"/>
      <c r="AJ1164" s="16"/>
      <c r="AM1164" s="16"/>
      <c r="AN1164" s="16"/>
      <c r="AO1164" s="125"/>
      <c r="AP1164" s="16"/>
      <c r="AQ1164" s="125"/>
      <c r="AZ1164" s="125"/>
      <c r="BA1164" s="142"/>
      <c r="BB1164" s="125"/>
      <c r="BC1164" s="16"/>
      <c r="BD1164" s="125"/>
      <c r="BE1164" s="125"/>
      <c r="BF1164" s="16"/>
      <c r="BG1164" s="125"/>
      <c r="BQ1164" s="125"/>
      <c r="BR1164" s="16"/>
      <c r="BS1164" s="123"/>
      <c r="BT1164" s="19"/>
      <c r="BU1164" s="139"/>
      <c r="BV1164" s="139"/>
      <c r="BW1164" s="123"/>
      <c r="BX1164" s="123"/>
      <c r="BY1164" s="123"/>
      <c r="BZ1164" s="123"/>
      <c r="CA1164" s="123"/>
      <c r="CB1164" s="123"/>
      <c r="CC1164" s="6"/>
      <c r="CD1164" s="123"/>
      <c r="CE1164" s="6"/>
      <c r="CF1164" s="123"/>
      <c r="CG1164" s="6"/>
      <c r="CH1164" s="6"/>
      <c r="CI1164" s="6"/>
      <c r="CJ1164" s="6"/>
      <c r="CK1164" s="123"/>
      <c r="CL1164" s="6"/>
      <c r="CM1164" s="6"/>
      <c r="CN1164" s="6"/>
      <c r="CO1164" s="138"/>
      <c r="CP1164" s="138"/>
      <c r="CQ1164" s="123"/>
      <c r="CR1164" s="6"/>
      <c r="CS1164" s="6"/>
      <c r="CT1164" s="139"/>
      <c r="CU1164" s="139"/>
      <c r="CV1164" s="76"/>
      <c r="CW1164" s="123"/>
      <c r="CX1164" s="6"/>
      <c r="DI1164" s="125"/>
      <c r="DJ1164" s="16"/>
      <c r="DM1164" s="16"/>
      <c r="DN1164" s="16"/>
      <c r="DO1164" s="125"/>
      <c r="DP1164" s="16"/>
      <c r="DQ1164" s="125"/>
      <c r="DZ1164" s="125"/>
      <c r="EA1164" s="142"/>
      <c r="EB1164" s="125"/>
      <c r="EC1164" s="16"/>
      <c r="ED1164" s="125"/>
      <c r="EE1164" s="125"/>
      <c r="EF1164" s="16"/>
      <c r="EG1164" s="125"/>
      <c r="EQ1164" s="125"/>
      <c r="ER1164" s="16"/>
      <c r="ES1164" s="123"/>
      <c r="ET1164" s="19"/>
      <c r="EU1164" s="139"/>
      <c r="EV1164" s="139"/>
      <c r="EW1164" s="123"/>
      <c r="EX1164" s="123"/>
      <c r="EY1164" s="123"/>
      <c r="EZ1164" s="123"/>
      <c r="FA1164" s="123"/>
      <c r="FB1164" s="123"/>
      <c r="FC1164" s="6"/>
      <c r="FD1164" s="123"/>
      <c r="FE1164" s="6"/>
      <c r="FF1164" s="123"/>
      <c r="FG1164" s="6"/>
      <c r="FH1164" s="6"/>
      <c r="FI1164" s="6"/>
      <c r="FJ1164" s="6"/>
      <c r="FK1164" s="123"/>
      <c r="FL1164" s="6"/>
      <c r="FM1164" s="6"/>
      <c r="FN1164" s="6"/>
      <c r="FO1164" s="138"/>
      <c r="FP1164" s="138"/>
      <c r="FQ1164" s="123"/>
      <c r="FR1164" s="6"/>
      <c r="FS1164" s="6"/>
      <c r="FT1164" s="139"/>
      <c r="FU1164" s="139"/>
      <c r="FV1164" s="76"/>
      <c r="FW1164" s="123"/>
      <c r="FX1164" s="6"/>
    </row>
    <row r="1165" spans="35:180">
      <c r="AI1165" s="125"/>
      <c r="AJ1165" s="16"/>
      <c r="AM1165" s="16"/>
      <c r="AN1165" s="16"/>
      <c r="AO1165" s="125"/>
      <c r="AP1165" s="16"/>
      <c r="AQ1165" s="125"/>
      <c r="AZ1165" s="125"/>
      <c r="BA1165" s="142"/>
      <c r="BB1165" s="125"/>
      <c r="BC1165" s="16"/>
      <c r="BD1165" s="125"/>
      <c r="BE1165" s="125"/>
      <c r="BF1165" s="16"/>
      <c r="BG1165" s="125"/>
      <c r="BQ1165" s="125"/>
      <c r="BR1165" s="16"/>
      <c r="BS1165" s="123"/>
      <c r="BT1165" s="19"/>
      <c r="BU1165" s="139"/>
      <c r="BV1165" s="139"/>
      <c r="BW1165" s="123"/>
      <c r="BX1165" s="123"/>
      <c r="BY1165" s="123"/>
      <c r="BZ1165" s="123"/>
      <c r="CA1165" s="123"/>
      <c r="CB1165" s="123"/>
      <c r="CC1165" s="6"/>
      <c r="CD1165" s="123"/>
      <c r="CE1165" s="6"/>
      <c r="CF1165" s="123"/>
      <c r="CG1165" s="6"/>
      <c r="CH1165" s="6"/>
      <c r="CI1165" s="6"/>
      <c r="CJ1165" s="6"/>
      <c r="CK1165" s="123"/>
      <c r="CL1165" s="6"/>
      <c r="CM1165" s="6"/>
      <c r="CN1165" s="6"/>
      <c r="CO1165" s="138"/>
      <c r="CP1165" s="138"/>
      <c r="CQ1165" s="123"/>
      <c r="CR1165" s="6"/>
      <c r="CS1165" s="6"/>
      <c r="CT1165" s="139"/>
      <c r="CU1165" s="139"/>
      <c r="CV1165" s="76"/>
      <c r="CW1165" s="123"/>
      <c r="CX1165" s="6"/>
      <c r="DI1165" s="125"/>
      <c r="DJ1165" s="16"/>
      <c r="DM1165" s="16"/>
      <c r="DN1165" s="16"/>
      <c r="DO1165" s="125"/>
      <c r="DP1165" s="16"/>
      <c r="DQ1165" s="125"/>
      <c r="DZ1165" s="125"/>
      <c r="EA1165" s="142"/>
      <c r="EB1165" s="125"/>
      <c r="EC1165" s="16"/>
      <c r="ED1165" s="125"/>
      <c r="EE1165" s="125"/>
      <c r="EF1165" s="16"/>
      <c r="EG1165" s="125"/>
      <c r="EQ1165" s="125"/>
      <c r="ER1165" s="16"/>
      <c r="ES1165" s="123"/>
      <c r="ET1165" s="19"/>
      <c r="EU1165" s="139"/>
      <c r="EV1165" s="139"/>
      <c r="EW1165" s="123"/>
      <c r="EX1165" s="123"/>
      <c r="EY1165" s="123"/>
      <c r="EZ1165" s="123"/>
      <c r="FA1165" s="123"/>
      <c r="FB1165" s="123"/>
      <c r="FC1165" s="6"/>
      <c r="FD1165" s="123"/>
      <c r="FE1165" s="6"/>
      <c r="FF1165" s="123"/>
      <c r="FG1165" s="6"/>
      <c r="FH1165" s="6"/>
      <c r="FI1165" s="6"/>
      <c r="FJ1165" s="6"/>
      <c r="FK1165" s="123"/>
      <c r="FL1165" s="6"/>
      <c r="FM1165" s="6"/>
      <c r="FN1165" s="6"/>
      <c r="FO1165" s="138"/>
      <c r="FP1165" s="138"/>
      <c r="FQ1165" s="123"/>
      <c r="FR1165" s="6"/>
      <c r="FS1165" s="6"/>
      <c r="FT1165" s="139"/>
      <c r="FU1165" s="139"/>
      <c r="FV1165" s="76"/>
      <c r="FW1165" s="123"/>
      <c r="FX1165" s="6"/>
    </row>
    <row r="1166" spans="35:180">
      <c r="AI1166" s="125"/>
      <c r="AJ1166" s="16"/>
      <c r="AM1166" s="16"/>
      <c r="AN1166" s="16"/>
      <c r="AO1166" s="125"/>
      <c r="AP1166" s="16"/>
      <c r="AQ1166" s="125"/>
      <c r="AZ1166" s="125"/>
      <c r="BA1166" s="142"/>
      <c r="BB1166" s="125"/>
      <c r="BC1166" s="16"/>
      <c r="BD1166" s="125"/>
      <c r="BE1166" s="125"/>
      <c r="BF1166" s="16"/>
      <c r="BG1166" s="125"/>
      <c r="BQ1166" s="125"/>
      <c r="BR1166" s="16"/>
      <c r="BS1166" s="123"/>
      <c r="BT1166" s="19"/>
      <c r="BU1166" s="139"/>
      <c r="BV1166" s="139"/>
      <c r="BW1166" s="123"/>
      <c r="BX1166" s="123"/>
      <c r="BY1166" s="123"/>
      <c r="BZ1166" s="123"/>
      <c r="CA1166" s="123"/>
      <c r="CB1166" s="123"/>
      <c r="CC1166" s="6"/>
      <c r="CD1166" s="123"/>
      <c r="CE1166" s="6"/>
      <c r="CF1166" s="123"/>
      <c r="CG1166" s="6"/>
      <c r="CH1166" s="6"/>
      <c r="CI1166" s="6"/>
      <c r="CJ1166" s="6"/>
      <c r="CK1166" s="123"/>
      <c r="CL1166" s="6"/>
      <c r="CM1166" s="6"/>
      <c r="CN1166" s="6"/>
      <c r="CO1166" s="138"/>
      <c r="CP1166" s="138"/>
      <c r="CQ1166" s="123"/>
      <c r="CR1166" s="6"/>
      <c r="CS1166" s="6"/>
      <c r="CT1166" s="139"/>
      <c r="CU1166" s="139"/>
      <c r="CV1166" s="76"/>
      <c r="CW1166" s="123"/>
      <c r="CX1166" s="6"/>
      <c r="DI1166" s="125"/>
      <c r="DJ1166" s="16"/>
      <c r="DM1166" s="16"/>
      <c r="DN1166" s="16"/>
      <c r="DO1166" s="125"/>
      <c r="DP1166" s="16"/>
      <c r="DQ1166" s="125"/>
      <c r="DZ1166" s="125"/>
      <c r="EA1166" s="142"/>
      <c r="EB1166" s="125"/>
      <c r="EC1166" s="16"/>
      <c r="ED1166" s="125"/>
      <c r="EE1166" s="125"/>
      <c r="EF1166" s="16"/>
      <c r="EG1166" s="125"/>
      <c r="EQ1166" s="125"/>
      <c r="ER1166" s="16"/>
      <c r="ES1166" s="123"/>
      <c r="ET1166" s="19"/>
      <c r="EU1166" s="139"/>
      <c r="EV1166" s="139"/>
      <c r="EW1166" s="123"/>
      <c r="EX1166" s="123"/>
      <c r="EY1166" s="123"/>
      <c r="EZ1166" s="123"/>
      <c r="FA1166" s="123"/>
      <c r="FB1166" s="123"/>
      <c r="FC1166" s="6"/>
      <c r="FD1166" s="123"/>
      <c r="FE1166" s="6"/>
      <c r="FF1166" s="123"/>
      <c r="FG1166" s="6"/>
      <c r="FH1166" s="6"/>
      <c r="FI1166" s="6"/>
      <c r="FJ1166" s="6"/>
      <c r="FK1166" s="123"/>
      <c r="FL1166" s="6"/>
      <c r="FM1166" s="6"/>
      <c r="FN1166" s="6"/>
      <c r="FO1166" s="138"/>
      <c r="FP1166" s="138"/>
      <c r="FQ1166" s="123"/>
      <c r="FR1166" s="6"/>
      <c r="FS1166" s="6"/>
      <c r="FT1166" s="139"/>
      <c r="FU1166" s="139"/>
      <c r="FV1166" s="76"/>
      <c r="FW1166" s="123"/>
      <c r="FX1166" s="6"/>
    </row>
    <row r="1167" spans="35:180">
      <c r="AI1167" s="125"/>
      <c r="AJ1167" s="16"/>
      <c r="AM1167" s="16"/>
      <c r="AN1167" s="16"/>
      <c r="AO1167" s="125"/>
      <c r="AP1167" s="16"/>
      <c r="AQ1167" s="125"/>
      <c r="AZ1167" s="125"/>
      <c r="BA1167" s="142"/>
      <c r="BB1167" s="125"/>
      <c r="BC1167" s="16"/>
      <c r="BD1167" s="125"/>
      <c r="BE1167" s="125"/>
      <c r="BF1167" s="16"/>
      <c r="BG1167" s="125"/>
      <c r="BQ1167" s="125"/>
      <c r="BR1167" s="16"/>
      <c r="BS1167" s="123"/>
      <c r="BT1167" s="19"/>
      <c r="BU1167" s="139"/>
      <c r="BV1167" s="139"/>
      <c r="BW1167" s="123"/>
      <c r="BX1167" s="123"/>
      <c r="BY1167" s="123"/>
      <c r="BZ1167" s="123"/>
      <c r="CA1167" s="123"/>
      <c r="CB1167" s="123"/>
      <c r="CC1167" s="6"/>
      <c r="CD1167" s="123"/>
      <c r="CE1167" s="6"/>
      <c r="CF1167" s="123"/>
      <c r="CG1167" s="6"/>
      <c r="CH1167" s="6"/>
      <c r="CI1167" s="6"/>
      <c r="CJ1167" s="6"/>
      <c r="CK1167" s="123"/>
      <c r="CL1167" s="6"/>
      <c r="CM1167" s="6"/>
      <c r="CN1167" s="6"/>
      <c r="CO1167" s="138"/>
      <c r="CP1167" s="138"/>
      <c r="CQ1167" s="123"/>
      <c r="CR1167" s="6"/>
      <c r="CS1167" s="6"/>
      <c r="CT1167" s="139"/>
      <c r="CU1167" s="139"/>
      <c r="CV1167" s="76"/>
      <c r="CW1167" s="123"/>
      <c r="CX1167" s="6"/>
      <c r="DI1167" s="125"/>
      <c r="DJ1167" s="16"/>
      <c r="DM1167" s="16"/>
      <c r="DN1167" s="16"/>
      <c r="DO1167" s="125"/>
      <c r="DP1167" s="16"/>
      <c r="DQ1167" s="125"/>
      <c r="DZ1167" s="125"/>
      <c r="EA1167" s="142"/>
      <c r="EB1167" s="125"/>
      <c r="EC1167" s="16"/>
      <c r="ED1167" s="125"/>
      <c r="EE1167" s="125"/>
      <c r="EF1167" s="16"/>
      <c r="EG1167" s="125"/>
      <c r="EQ1167" s="125"/>
      <c r="ER1167" s="16"/>
      <c r="ES1167" s="123"/>
      <c r="ET1167" s="19"/>
      <c r="EU1167" s="139"/>
      <c r="EV1167" s="139"/>
      <c r="EW1167" s="123"/>
      <c r="EX1167" s="123"/>
      <c r="EY1167" s="123"/>
      <c r="EZ1167" s="123"/>
      <c r="FA1167" s="123"/>
      <c r="FB1167" s="123"/>
      <c r="FC1167" s="6"/>
      <c r="FD1167" s="123"/>
      <c r="FE1167" s="6"/>
      <c r="FF1167" s="123"/>
      <c r="FG1167" s="6"/>
      <c r="FH1167" s="6"/>
      <c r="FI1167" s="6"/>
      <c r="FJ1167" s="6"/>
      <c r="FK1167" s="123"/>
      <c r="FL1167" s="6"/>
      <c r="FM1167" s="6"/>
      <c r="FN1167" s="6"/>
      <c r="FO1167" s="138"/>
      <c r="FP1167" s="138"/>
      <c r="FQ1167" s="123"/>
      <c r="FR1167" s="6"/>
      <c r="FS1167" s="6"/>
      <c r="FT1167" s="139"/>
      <c r="FU1167" s="139"/>
      <c r="FV1167" s="76"/>
      <c r="FW1167" s="123"/>
      <c r="FX1167" s="6"/>
    </row>
    <row r="1168" spans="35:180">
      <c r="AI1168" s="125"/>
      <c r="AJ1168" s="16"/>
      <c r="AM1168" s="16"/>
      <c r="AN1168" s="16"/>
      <c r="AO1168" s="125"/>
      <c r="AP1168" s="16"/>
      <c r="AQ1168" s="125"/>
      <c r="AZ1168" s="125"/>
      <c r="BA1168" s="142"/>
      <c r="BB1168" s="125"/>
      <c r="BC1168" s="16"/>
      <c r="BD1168" s="125"/>
      <c r="BE1168" s="125"/>
      <c r="BF1168" s="16"/>
      <c r="BG1168" s="125"/>
      <c r="BQ1168" s="125"/>
      <c r="BR1168" s="16"/>
      <c r="BS1168" s="123"/>
      <c r="BT1168" s="19"/>
      <c r="BU1168" s="139"/>
      <c r="BV1168" s="139"/>
      <c r="BW1168" s="123"/>
      <c r="BX1168" s="123"/>
      <c r="BY1168" s="123"/>
      <c r="BZ1168" s="123"/>
      <c r="CA1168" s="123"/>
      <c r="CB1168" s="123"/>
      <c r="CC1168" s="6"/>
      <c r="CD1168" s="123"/>
      <c r="CE1168" s="6"/>
      <c r="CF1168" s="123"/>
      <c r="CG1168" s="6"/>
      <c r="CH1168" s="6"/>
      <c r="CI1168" s="6"/>
      <c r="CJ1168" s="6"/>
      <c r="CK1168" s="123"/>
      <c r="CL1168" s="6"/>
      <c r="CM1168" s="6"/>
      <c r="CN1168" s="6"/>
      <c r="CO1168" s="138"/>
      <c r="CP1168" s="138"/>
      <c r="CQ1168" s="123"/>
      <c r="CR1168" s="6"/>
      <c r="CS1168" s="6"/>
      <c r="CT1168" s="139"/>
      <c r="CU1168" s="139"/>
      <c r="CV1168" s="76"/>
      <c r="CW1168" s="123"/>
      <c r="CX1168" s="6"/>
      <c r="DI1168" s="125"/>
      <c r="DJ1168" s="16"/>
      <c r="DM1168" s="16"/>
      <c r="DN1168" s="16"/>
      <c r="DO1168" s="125"/>
      <c r="DP1168" s="16"/>
      <c r="DQ1168" s="125"/>
      <c r="DZ1168" s="125"/>
      <c r="EA1168" s="142"/>
      <c r="EB1168" s="125"/>
      <c r="EC1168" s="16"/>
      <c r="ED1168" s="125"/>
      <c r="EE1168" s="125"/>
      <c r="EF1168" s="16"/>
      <c r="EG1168" s="125"/>
      <c r="EQ1168" s="125"/>
      <c r="ER1168" s="16"/>
      <c r="ES1168" s="123"/>
      <c r="ET1168" s="19"/>
      <c r="EU1168" s="139"/>
      <c r="EV1168" s="139"/>
      <c r="EW1168" s="123"/>
      <c r="EX1168" s="123"/>
      <c r="EY1168" s="123"/>
      <c r="EZ1168" s="123"/>
      <c r="FA1168" s="123"/>
      <c r="FB1168" s="123"/>
      <c r="FC1168" s="6"/>
      <c r="FD1168" s="123"/>
      <c r="FE1168" s="6"/>
      <c r="FF1168" s="123"/>
      <c r="FG1168" s="6"/>
      <c r="FH1168" s="6"/>
      <c r="FI1168" s="6"/>
      <c r="FJ1168" s="6"/>
      <c r="FK1168" s="123"/>
      <c r="FL1168" s="6"/>
      <c r="FM1168" s="6"/>
      <c r="FN1168" s="6"/>
      <c r="FO1168" s="138"/>
      <c r="FP1168" s="138"/>
      <c r="FQ1168" s="123"/>
      <c r="FR1168" s="6"/>
      <c r="FS1168" s="6"/>
      <c r="FT1168" s="139"/>
      <c r="FU1168" s="139"/>
      <c r="FV1168" s="76"/>
      <c r="FW1168" s="123"/>
      <c r="FX1168" s="6"/>
    </row>
    <row r="1169" spans="35:180">
      <c r="AI1169" s="125"/>
      <c r="AJ1169" s="16"/>
      <c r="AM1169" s="16"/>
      <c r="AN1169" s="16"/>
      <c r="AO1169" s="125"/>
      <c r="AP1169" s="16"/>
      <c r="AQ1169" s="125"/>
      <c r="AZ1169" s="125"/>
      <c r="BA1169" s="142"/>
      <c r="BB1169" s="125"/>
      <c r="BC1169" s="16"/>
      <c r="BD1169" s="125"/>
      <c r="BE1169" s="125"/>
      <c r="BF1169" s="16"/>
      <c r="BG1169" s="125"/>
      <c r="BQ1169" s="125"/>
      <c r="BR1169" s="16"/>
      <c r="BS1169" s="123"/>
      <c r="BT1169" s="19"/>
      <c r="BU1169" s="139"/>
      <c r="BV1169" s="139"/>
      <c r="BW1169" s="123"/>
      <c r="BX1169" s="123"/>
      <c r="BY1169" s="123"/>
      <c r="BZ1169" s="123"/>
      <c r="CA1169" s="123"/>
      <c r="CB1169" s="123"/>
      <c r="CC1169" s="6"/>
      <c r="CD1169" s="123"/>
      <c r="CE1169" s="6"/>
      <c r="CF1169" s="123"/>
      <c r="CG1169" s="6"/>
      <c r="CH1169" s="6"/>
      <c r="CI1169" s="6"/>
      <c r="CJ1169" s="6"/>
      <c r="CK1169" s="123"/>
      <c r="CL1169" s="6"/>
      <c r="CM1169" s="6"/>
      <c r="CN1169" s="6"/>
      <c r="CO1169" s="138"/>
      <c r="CP1169" s="138"/>
      <c r="CQ1169" s="123"/>
      <c r="CR1169" s="6"/>
      <c r="CS1169" s="6"/>
      <c r="CT1169" s="139"/>
      <c r="CU1169" s="139"/>
      <c r="CV1169" s="76"/>
      <c r="CW1169" s="123"/>
      <c r="CX1169" s="6"/>
      <c r="DI1169" s="125"/>
      <c r="DJ1169" s="16"/>
      <c r="DM1169" s="16"/>
      <c r="DN1169" s="16"/>
      <c r="DO1169" s="125"/>
      <c r="DP1169" s="16"/>
      <c r="DQ1169" s="125"/>
      <c r="DZ1169" s="125"/>
      <c r="EA1169" s="142"/>
      <c r="EB1169" s="125"/>
      <c r="EC1169" s="16"/>
      <c r="ED1169" s="125"/>
      <c r="EE1169" s="125"/>
      <c r="EF1169" s="16"/>
      <c r="EG1169" s="125"/>
      <c r="EQ1169" s="125"/>
      <c r="ER1169" s="16"/>
      <c r="ES1169" s="123"/>
      <c r="ET1169" s="19"/>
      <c r="EU1169" s="139"/>
      <c r="EV1169" s="139"/>
      <c r="EW1169" s="123"/>
      <c r="EX1169" s="123"/>
      <c r="EY1169" s="123"/>
      <c r="EZ1169" s="123"/>
      <c r="FA1169" s="123"/>
      <c r="FB1169" s="123"/>
      <c r="FC1169" s="6"/>
      <c r="FD1169" s="123"/>
      <c r="FE1169" s="6"/>
      <c r="FF1169" s="123"/>
      <c r="FG1169" s="6"/>
      <c r="FH1169" s="6"/>
      <c r="FI1169" s="6"/>
      <c r="FJ1169" s="6"/>
      <c r="FK1169" s="123"/>
      <c r="FL1169" s="6"/>
      <c r="FM1169" s="6"/>
      <c r="FN1169" s="6"/>
      <c r="FO1169" s="138"/>
      <c r="FP1169" s="138"/>
      <c r="FQ1169" s="123"/>
      <c r="FR1169" s="6"/>
      <c r="FS1169" s="6"/>
      <c r="FT1169" s="139"/>
      <c r="FU1169" s="139"/>
      <c r="FV1169" s="76"/>
      <c r="FW1169" s="123"/>
      <c r="FX1169" s="6"/>
    </row>
    <row r="1170" spans="35:180">
      <c r="AI1170" s="125"/>
      <c r="AJ1170" s="16"/>
      <c r="AM1170" s="16"/>
      <c r="AN1170" s="16"/>
      <c r="AO1170" s="125"/>
      <c r="AP1170" s="16"/>
      <c r="AQ1170" s="125"/>
      <c r="AZ1170" s="125"/>
      <c r="BA1170" s="142"/>
      <c r="BB1170" s="125"/>
      <c r="BC1170" s="16"/>
      <c r="BD1170" s="125"/>
      <c r="BE1170" s="125"/>
      <c r="BF1170" s="16"/>
      <c r="BG1170" s="125"/>
      <c r="BQ1170" s="125"/>
      <c r="BR1170" s="16"/>
      <c r="BS1170" s="123"/>
      <c r="BT1170" s="19"/>
      <c r="BU1170" s="139"/>
      <c r="BV1170" s="139"/>
      <c r="BW1170" s="123"/>
      <c r="BX1170" s="123"/>
      <c r="BY1170" s="123"/>
      <c r="BZ1170" s="123"/>
      <c r="CA1170" s="123"/>
      <c r="CB1170" s="123"/>
      <c r="CC1170" s="6"/>
      <c r="CD1170" s="123"/>
      <c r="CE1170" s="6"/>
      <c r="CF1170" s="123"/>
      <c r="CG1170" s="6"/>
      <c r="CH1170" s="6"/>
      <c r="CI1170" s="6"/>
      <c r="CJ1170" s="6"/>
      <c r="CK1170" s="123"/>
      <c r="CL1170" s="6"/>
      <c r="CM1170" s="6"/>
      <c r="CN1170" s="6"/>
      <c r="CO1170" s="138"/>
      <c r="CP1170" s="138"/>
      <c r="CQ1170" s="123"/>
      <c r="CR1170" s="6"/>
      <c r="CS1170" s="6"/>
      <c r="CT1170" s="139"/>
      <c r="CU1170" s="139"/>
      <c r="CV1170" s="76"/>
      <c r="CW1170" s="123"/>
      <c r="CX1170" s="6"/>
      <c r="DI1170" s="125"/>
      <c r="DJ1170" s="16"/>
      <c r="DM1170" s="16"/>
      <c r="DN1170" s="16"/>
      <c r="DO1170" s="125"/>
      <c r="DP1170" s="16"/>
      <c r="DQ1170" s="125"/>
      <c r="DZ1170" s="125"/>
      <c r="EA1170" s="142"/>
      <c r="EB1170" s="125"/>
      <c r="EC1170" s="16"/>
      <c r="ED1170" s="125"/>
      <c r="EE1170" s="125"/>
      <c r="EF1170" s="16"/>
      <c r="EG1170" s="125"/>
      <c r="EQ1170" s="125"/>
      <c r="ER1170" s="16"/>
      <c r="ES1170" s="123"/>
      <c r="ET1170" s="19"/>
      <c r="EU1170" s="139"/>
      <c r="EV1170" s="139"/>
      <c r="EW1170" s="123"/>
      <c r="EX1170" s="123"/>
      <c r="EY1170" s="123"/>
      <c r="EZ1170" s="123"/>
      <c r="FA1170" s="123"/>
      <c r="FB1170" s="123"/>
      <c r="FC1170" s="6"/>
      <c r="FD1170" s="123"/>
      <c r="FE1170" s="6"/>
      <c r="FF1170" s="123"/>
      <c r="FG1170" s="6"/>
      <c r="FH1170" s="6"/>
      <c r="FI1170" s="6"/>
      <c r="FJ1170" s="6"/>
      <c r="FK1170" s="123"/>
      <c r="FL1170" s="6"/>
      <c r="FM1170" s="6"/>
      <c r="FN1170" s="6"/>
      <c r="FO1170" s="138"/>
      <c r="FP1170" s="138"/>
      <c r="FQ1170" s="123"/>
      <c r="FR1170" s="6"/>
      <c r="FS1170" s="6"/>
      <c r="FT1170" s="139"/>
      <c r="FU1170" s="139"/>
      <c r="FV1170" s="76"/>
      <c r="FW1170" s="123"/>
      <c r="FX1170" s="6"/>
    </row>
    <row r="1171" spans="35:180">
      <c r="AI1171" s="125"/>
      <c r="AJ1171" s="16"/>
      <c r="AM1171" s="16"/>
      <c r="AN1171" s="16"/>
      <c r="AO1171" s="125"/>
      <c r="AP1171" s="16"/>
      <c r="AQ1171" s="125"/>
      <c r="AZ1171" s="125"/>
      <c r="BA1171" s="142"/>
      <c r="BB1171" s="125"/>
      <c r="BC1171" s="16"/>
      <c r="BD1171" s="125"/>
      <c r="BE1171" s="125"/>
      <c r="BF1171" s="16"/>
      <c r="BG1171" s="125"/>
      <c r="BQ1171" s="125"/>
      <c r="BR1171" s="16"/>
      <c r="BS1171" s="123"/>
      <c r="BT1171" s="19"/>
      <c r="BU1171" s="139"/>
      <c r="BV1171" s="139"/>
      <c r="BW1171" s="123"/>
      <c r="BX1171" s="123"/>
      <c r="BY1171" s="123"/>
      <c r="BZ1171" s="123"/>
      <c r="CA1171" s="123"/>
      <c r="CB1171" s="123"/>
      <c r="CC1171" s="6"/>
      <c r="CD1171" s="123"/>
      <c r="CE1171" s="6"/>
      <c r="CF1171" s="123"/>
      <c r="CG1171" s="6"/>
      <c r="CH1171" s="6"/>
      <c r="CI1171" s="6"/>
      <c r="CJ1171" s="6"/>
      <c r="CK1171" s="123"/>
      <c r="CL1171" s="6"/>
      <c r="CM1171" s="6"/>
      <c r="CN1171" s="6"/>
      <c r="CO1171" s="138"/>
      <c r="CP1171" s="138"/>
      <c r="CQ1171" s="123"/>
      <c r="CR1171" s="6"/>
      <c r="CS1171" s="6"/>
      <c r="CT1171" s="139"/>
      <c r="CU1171" s="139"/>
      <c r="CV1171" s="76"/>
      <c r="CW1171" s="123"/>
      <c r="CX1171" s="6"/>
      <c r="DI1171" s="125"/>
      <c r="DJ1171" s="16"/>
      <c r="DM1171" s="16"/>
      <c r="DN1171" s="16"/>
      <c r="DO1171" s="125"/>
      <c r="DP1171" s="16"/>
      <c r="DQ1171" s="125"/>
      <c r="DZ1171" s="125"/>
      <c r="EA1171" s="142"/>
      <c r="EB1171" s="125"/>
      <c r="EC1171" s="16"/>
      <c r="ED1171" s="125"/>
      <c r="EE1171" s="125"/>
      <c r="EF1171" s="16"/>
      <c r="EG1171" s="125"/>
      <c r="EQ1171" s="125"/>
      <c r="ER1171" s="16"/>
      <c r="ES1171" s="123"/>
      <c r="ET1171" s="19"/>
      <c r="EU1171" s="139"/>
      <c r="EV1171" s="139"/>
      <c r="EW1171" s="123"/>
      <c r="EX1171" s="123"/>
      <c r="EY1171" s="123"/>
      <c r="EZ1171" s="123"/>
      <c r="FA1171" s="123"/>
      <c r="FB1171" s="123"/>
      <c r="FC1171" s="6"/>
      <c r="FD1171" s="123"/>
      <c r="FE1171" s="6"/>
      <c r="FF1171" s="123"/>
      <c r="FG1171" s="6"/>
      <c r="FH1171" s="6"/>
      <c r="FI1171" s="6"/>
      <c r="FJ1171" s="6"/>
      <c r="FK1171" s="123"/>
      <c r="FL1171" s="6"/>
      <c r="FM1171" s="6"/>
      <c r="FN1171" s="6"/>
      <c r="FO1171" s="138"/>
      <c r="FP1171" s="138"/>
      <c r="FQ1171" s="123"/>
      <c r="FR1171" s="6"/>
      <c r="FS1171" s="6"/>
      <c r="FT1171" s="139"/>
      <c r="FU1171" s="139"/>
      <c r="FV1171" s="76"/>
      <c r="FW1171" s="123"/>
      <c r="FX1171" s="6"/>
    </row>
    <row r="1172" spans="35:180">
      <c r="AI1172" s="125"/>
      <c r="AJ1172" s="16"/>
      <c r="AM1172" s="16"/>
      <c r="AN1172" s="16"/>
      <c r="AO1172" s="125"/>
      <c r="AP1172" s="16"/>
      <c r="AQ1172" s="125"/>
      <c r="AZ1172" s="125"/>
      <c r="BA1172" s="142"/>
      <c r="BB1172" s="125"/>
      <c r="BC1172" s="16"/>
      <c r="BD1172" s="125"/>
      <c r="BE1172" s="125"/>
      <c r="BF1172" s="16"/>
      <c r="BG1172" s="125"/>
      <c r="BQ1172" s="125"/>
      <c r="BR1172" s="16"/>
      <c r="BS1172" s="123"/>
      <c r="BT1172" s="19"/>
      <c r="BU1172" s="139"/>
      <c r="BV1172" s="139"/>
      <c r="BW1172" s="123"/>
      <c r="BX1172" s="123"/>
      <c r="BY1172" s="123"/>
      <c r="BZ1172" s="123"/>
      <c r="CA1172" s="123"/>
      <c r="CB1172" s="123"/>
      <c r="CC1172" s="6"/>
      <c r="CD1172" s="123"/>
      <c r="CE1172" s="6"/>
      <c r="CF1172" s="123"/>
      <c r="CG1172" s="6"/>
      <c r="CH1172" s="6"/>
      <c r="CI1172" s="6"/>
      <c r="CJ1172" s="6"/>
      <c r="CK1172" s="123"/>
      <c r="CL1172" s="6"/>
      <c r="CM1172" s="6"/>
      <c r="CN1172" s="6"/>
      <c r="CO1172" s="138"/>
      <c r="CP1172" s="138"/>
      <c r="CQ1172" s="123"/>
      <c r="CR1172" s="6"/>
      <c r="CS1172" s="6"/>
      <c r="CT1172" s="139"/>
      <c r="CU1172" s="139"/>
      <c r="CV1172" s="76"/>
      <c r="CW1172" s="123"/>
      <c r="CX1172" s="6"/>
      <c r="DI1172" s="125"/>
      <c r="DJ1172" s="16"/>
      <c r="DM1172" s="16"/>
      <c r="DN1172" s="16"/>
      <c r="DO1172" s="125"/>
      <c r="DP1172" s="16"/>
      <c r="DQ1172" s="125"/>
      <c r="DZ1172" s="125"/>
      <c r="EA1172" s="142"/>
      <c r="EB1172" s="125"/>
      <c r="EC1172" s="16"/>
      <c r="ED1172" s="125"/>
      <c r="EE1172" s="125"/>
      <c r="EF1172" s="16"/>
      <c r="EG1172" s="125"/>
      <c r="EQ1172" s="125"/>
      <c r="ER1172" s="16"/>
      <c r="ES1172" s="123"/>
      <c r="ET1172" s="19"/>
      <c r="EU1172" s="139"/>
      <c r="EV1172" s="139"/>
      <c r="EW1172" s="123"/>
      <c r="EX1172" s="123"/>
      <c r="EY1172" s="123"/>
      <c r="EZ1172" s="123"/>
      <c r="FA1172" s="123"/>
      <c r="FB1172" s="123"/>
      <c r="FC1172" s="6"/>
      <c r="FD1172" s="123"/>
      <c r="FE1172" s="6"/>
      <c r="FF1172" s="123"/>
      <c r="FG1172" s="6"/>
      <c r="FH1172" s="6"/>
      <c r="FI1172" s="6"/>
      <c r="FJ1172" s="6"/>
      <c r="FK1172" s="123"/>
      <c r="FL1172" s="6"/>
      <c r="FM1172" s="6"/>
      <c r="FN1172" s="6"/>
      <c r="FO1172" s="138"/>
      <c r="FP1172" s="138"/>
      <c r="FQ1172" s="123"/>
      <c r="FR1172" s="6"/>
      <c r="FS1172" s="6"/>
      <c r="FT1172" s="139"/>
      <c r="FU1172" s="139"/>
      <c r="FV1172" s="76"/>
      <c r="FW1172" s="123"/>
      <c r="FX1172" s="6"/>
    </row>
    <row r="1173" spans="35:180">
      <c r="AI1173" s="125"/>
      <c r="AJ1173" s="16"/>
      <c r="AM1173" s="16"/>
      <c r="AN1173" s="16"/>
      <c r="AO1173" s="125"/>
      <c r="AP1173" s="16"/>
      <c r="AQ1173" s="125"/>
      <c r="AZ1173" s="125"/>
      <c r="BA1173" s="142"/>
      <c r="BB1173" s="125"/>
      <c r="BC1173" s="16"/>
      <c r="BD1173" s="125"/>
      <c r="BE1173" s="125"/>
      <c r="BF1173" s="16"/>
      <c r="BG1173" s="125"/>
      <c r="BQ1173" s="125"/>
      <c r="BR1173" s="16"/>
      <c r="BS1173" s="123"/>
      <c r="BT1173" s="19"/>
      <c r="BU1173" s="139"/>
      <c r="BV1173" s="139"/>
      <c r="BW1173" s="123"/>
      <c r="BX1173" s="123"/>
      <c r="BY1173" s="123"/>
      <c r="BZ1173" s="123"/>
      <c r="CA1173" s="123"/>
      <c r="CB1173" s="123"/>
      <c r="CC1173" s="6"/>
      <c r="CD1173" s="123"/>
      <c r="CE1173" s="6"/>
      <c r="CF1173" s="123"/>
      <c r="CG1173" s="6"/>
      <c r="CH1173" s="6"/>
      <c r="CI1173" s="6"/>
      <c r="CJ1173" s="6"/>
      <c r="CK1173" s="123"/>
      <c r="CL1173" s="6"/>
      <c r="CM1173" s="6"/>
      <c r="CN1173" s="6"/>
      <c r="CO1173" s="138"/>
      <c r="CP1173" s="138"/>
      <c r="CQ1173" s="123"/>
      <c r="CR1173" s="6"/>
      <c r="CS1173" s="6"/>
      <c r="CT1173" s="139"/>
      <c r="CU1173" s="139"/>
      <c r="CV1173" s="76"/>
      <c r="CW1173" s="123"/>
      <c r="CX1173" s="6"/>
      <c r="DI1173" s="125"/>
      <c r="DJ1173" s="16"/>
      <c r="DM1173" s="16"/>
      <c r="DN1173" s="16"/>
      <c r="DO1173" s="125"/>
      <c r="DP1173" s="16"/>
      <c r="DQ1173" s="125"/>
      <c r="DZ1173" s="125"/>
      <c r="EA1173" s="142"/>
      <c r="EB1173" s="125"/>
      <c r="EC1173" s="16"/>
      <c r="ED1173" s="125"/>
      <c r="EE1173" s="125"/>
      <c r="EF1173" s="16"/>
      <c r="EG1173" s="125"/>
      <c r="EQ1173" s="125"/>
      <c r="ER1173" s="16"/>
      <c r="ES1173" s="123"/>
      <c r="ET1173" s="19"/>
      <c r="EU1173" s="139"/>
      <c r="EV1173" s="139"/>
      <c r="EW1173" s="123"/>
      <c r="EX1173" s="123"/>
      <c r="EY1173" s="123"/>
      <c r="EZ1173" s="123"/>
      <c r="FA1173" s="123"/>
      <c r="FB1173" s="123"/>
      <c r="FC1173" s="6"/>
      <c r="FD1173" s="123"/>
      <c r="FE1173" s="6"/>
      <c r="FF1173" s="123"/>
      <c r="FG1173" s="6"/>
      <c r="FH1173" s="6"/>
      <c r="FI1173" s="6"/>
      <c r="FJ1173" s="6"/>
      <c r="FK1173" s="123"/>
      <c r="FL1173" s="6"/>
      <c r="FM1173" s="6"/>
      <c r="FN1173" s="6"/>
      <c r="FO1173" s="138"/>
      <c r="FP1173" s="138"/>
      <c r="FQ1173" s="123"/>
      <c r="FR1173" s="6"/>
      <c r="FS1173" s="6"/>
      <c r="FT1173" s="139"/>
      <c r="FU1173" s="139"/>
      <c r="FV1173" s="76"/>
      <c r="FW1173" s="123"/>
      <c r="FX1173" s="6"/>
    </row>
    <row r="1174" spans="35:180">
      <c r="AI1174" s="125"/>
      <c r="AJ1174" s="16"/>
      <c r="AM1174" s="16"/>
      <c r="AN1174" s="16"/>
      <c r="AO1174" s="125"/>
      <c r="AP1174" s="16"/>
      <c r="AQ1174" s="125"/>
      <c r="AZ1174" s="125"/>
      <c r="BA1174" s="142"/>
      <c r="BB1174" s="125"/>
      <c r="BC1174" s="16"/>
      <c r="BD1174" s="125"/>
      <c r="BE1174" s="125"/>
      <c r="BF1174" s="16"/>
      <c r="BG1174" s="125"/>
      <c r="BQ1174" s="125"/>
      <c r="BR1174" s="16"/>
      <c r="BS1174" s="123"/>
      <c r="BT1174" s="19"/>
      <c r="BU1174" s="139"/>
      <c r="BV1174" s="139"/>
      <c r="BW1174" s="123"/>
      <c r="BX1174" s="123"/>
      <c r="BY1174" s="123"/>
      <c r="BZ1174" s="123"/>
      <c r="CA1174" s="123"/>
      <c r="CB1174" s="123"/>
      <c r="CC1174" s="6"/>
      <c r="CD1174" s="123"/>
      <c r="CE1174" s="6"/>
      <c r="CF1174" s="123"/>
      <c r="CG1174" s="6"/>
      <c r="CH1174" s="6"/>
      <c r="CI1174" s="6"/>
      <c r="CJ1174" s="6"/>
      <c r="CK1174" s="123"/>
      <c r="CL1174" s="6"/>
      <c r="CM1174" s="6"/>
      <c r="CN1174" s="6"/>
      <c r="CO1174" s="138"/>
      <c r="CP1174" s="138"/>
      <c r="CQ1174" s="123"/>
      <c r="CR1174" s="6"/>
      <c r="CS1174" s="6"/>
      <c r="CT1174" s="139"/>
      <c r="CU1174" s="139"/>
      <c r="CV1174" s="76"/>
      <c r="CW1174" s="123"/>
      <c r="CX1174" s="6"/>
      <c r="DI1174" s="125"/>
      <c r="DJ1174" s="16"/>
      <c r="DM1174" s="16"/>
      <c r="DN1174" s="16"/>
      <c r="DO1174" s="125"/>
      <c r="DP1174" s="16"/>
      <c r="DQ1174" s="125"/>
      <c r="DZ1174" s="125"/>
      <c r="EA1174" s="142"/>
      <c r="EB1174" s="125"/>
      <c r="EC1174" s="16"/>
      <c r="ED1174" s="125"/>
      <c r="EE1174" s="125"/>
      <c r="EF1174" s="16"/>
      <c r="EG1174" s="125"/>
      <c r="EQ1174" s="125"/>
      <c r="ER1174" s="16"/>
      <c r="ES1174" s="123"/>
      <c r="ET1174" s="19"/>
      <c r="EU1174" s="139"/>
      <c r="EV1174" s="139"/>
      <c r="EW1174" s="123"/>
      <c r="EX1174" s="123"/>
      <c r="EY1174" s="123"/>
      <c r="EZ1174" s="123"/>
      <c r="FA1174" s="123"/>
      <c r="FB1174" s="123"/>
      <c r="FC1174" s="6"/>
      <c r="FD1174" s="123"/>
      <c r="FE1174" s="6"/>
      <c r="FF1174" s="123"/>
      <c r="FG1174" s="6"/>
      <c r="FH1174" s="6"/>
      <c r="FI1174" s="6"/>
      <c r="FJ1174" s="6"/>
      <c r="FK1174" s="123"/>
      <c r="FL1174" s="6"/>
      <c r="FM1174" s="6"/>
      <c r="FN1174" s="6"/>
      <c r="FO1174" s="138"/>
      <c r="FP1174" s="138"/>
      <c r="FQ1174" s="123"/>
      <c r="FR1174" s="6"/>
      <c r="FS1174" s="6"/>
      <c r="FT1174" s="139"/>
      <c r="FU1174" s="139"/>
      <c r="FV1174" s="76"/>
      <c r="FW1174" s="123"/>
      <c r="FX1174" s="6"/>
    </row>
    <row r="1175" spans="35:180">
      <c r="AI1175" s="125"/>
      <c r="AJ1175" s="16"/>
      <c r="AM1175" s="16"/>
      <c r="AN1175" s="16"/>
      <c r="AO1175" s="125"/>
      <c r="AP1175" s="16"/>
      <c r="AQ1175" s="125"/>
      <c r="AZ1175" s="125"/>
      <c r="BA1175" s="142"/>
      <c r="BB1175" s="125"/>
      <c r="BC1175" s="16"/>
      <c r="BD1175" s="125"/>
      <c r="BE1175" s="125"/>
      <c r="BF1175" s="16"/>
      <c r="BG1175" s="125"/>
      <c r="BQ1175" s="125"/>
      <c r="BR1175" s="16"/>
      <c r="BS1175" s="123"/>
      <c r="BT1175" s="19"/>
      <c r="BU1175" s="139"/>
      <c r="BV1175" s="139"/>
      <c r="BW1175" s="123"/>
      <c r="BX1175" s="123"/>
      <c r="BY1175" s="123"/>
      <c r="BZ1175" s="123"/>
      <c r="CA1175" s="123"/>
      <c r="CB1175" s="123"/>
      <c r="CC1175" s="6"/>
      <c r="CD1175" s="123"/>
      <c r="CE1175" s="6"/>
      <c r="CF1175" s="123"/>
      <c r="CG1175" s="6"/>
      <c r="CH1175" s="6"/>
      <c r="CI1175" s="6"/>
      <c r="CJ1175" s="6"/>
      <c r="CK1175" s="123"/>
      <c r="CL1175" s="6"/>
      <c r="CM1175" s="6"/>
      <c r="CN1175" s="6"/>
      <c r="CO1175" s="138"/>
      <c r="CP1175" s="138"/>
      <c r="CQ1175" s="123"/>
      <c r="CR1175" s="6"/>
      <c r="CS1175" s="6"/>
      <c r="CT1175" s="139"/>
      <c r="CU1175" s="139"/>
      <c r="CV1175" s="76"/>
      <c r="CW1175" s="123"/>
      <c r="CX1175" s="6"/>
      <c r="DI1175" s="125"/>
      <c r="DJ1175" s="16"/>
      <c r="DM1175" s="16"/>
      <c r="DN1175" s="16"/>
      <c r="DO1175" s="125"/>
      <c r="DP1175" s="16"/>
      <c r="DQ1175" s="125"/>
      <c r="DZ1175" s="125"/>
      <c r="EA1175" s="142"/>
      <c r="EB1175" s="125"/>
      <c r="EC1175" s="16"/>
      <c r="ED1175" s="125"/>
      <c r="EE1175" s="125"/>
      <c r="EF1175" s="16"/>
      <c r="EG1175" s="125"/>
      <c r="EQ1175" s="125"/>
      <c r="ER1175" s="16"/>
      <c r="ES1175" s="123"/>
      <c r="ET1175" s="19"/>
      <c r="EU1175" s="139"/>
      <c r="EV1175" s="139"/>
      <c r="EW1175" s="123"/>
      <c r="EX1175" s="123"/>
      <c r="EY1175" s="123"/>
      <c r="EZ1175" s="123"/>
      <c r="FA1175" s="123"/>
      <c r="FB1175" s="123"/>
      <c r="FC1175" s="6"/>
      <c r="FD1175" s="123"/>
      <c r="FE1175" s="6"/>
      <c r="FF1175" s="123"/>
      <c r="FG1175" s="6"/>
      <c r="FH1175" s="6"/>
      <c r="FI1175" s="6"/>
      <c r="FJ1175" s="6"/>
      <c r="FK1175" s="123"/>
      <c r="FL1175" s="6"/>
      <c r="FM1175" s="6"/>
      <c r="FN1175" s="6"/>
      <c r="FO1175" s="138"/>
      <c r="FP1175" s="138"/>
      <c r="FQ1175" s="123"/>
      <c r="FR1175" s="6"/>
      <c r="FS1175" s="6"/>
      <c r="FT1175" s="139"/>
      <c r="FU1175" s="139"/>
      <c r="FV1175" s="76"/>
      <c r="FW1175" s="123"/>
      <c r="FX1175" s="6"/>
    </row>
    <row r="1176" spans="35:180">
      <c r="AI1176" s="125"/>
      <c r="AJ1176" s="16"/>
      <c r="AM1176" s="16"/>
      <c r="AN1176" s="16"/>
      <c r="AO1176" s="125"/>
      <c r="AP1176" s="16"/>
      <c r="AQ1176" s="125"/>
      <c r="AZ1176" s="125"/>
      <c r="BA1176" s="142"/>
      <c r="BB1176" s="125"/>
      <c r="BC1176" s="16"/>
      <c r="BD1176" s="125"/>
      <c r="BE1176" s="125"/>
      <c r="BF1176" s="16"/>
      <c r="BG1176" s="125"/>
      <c r="BQ1176" s="125"/>
      <c r="BR1176" s="16"/>
      <c r="BS1176" s="123"/>
      <c r="BT1176" s="19"/>
      <c r="BU1176" s="139"/>
      <c r="BV1176" s="139"/>
      <c r="BW1176" s="123"/>
      <c r="BX1176" s="123"/>
      <c r="BY1176" s="123"/>
      <c r="BZ1176" s="123"/>
      <c r="CA1176" s="123"/>
      <c r="CB1176" s="123"/>
      <c r="CC1176" s="6"/>
      <c r="CD1176" s="123"/>
      <c r="CE1176" s="6"/>
      <c r="CF1176" s="123"/>
      <c r="CG1176" s="6"/>
      <c r="CH1176" s="6"/>
      <c r="CI1176" s="6"/>
      <c r="CJ1176" s="6"/>
      <c r="CK1176" s="123"/>
      <c r="CL1176" s="6"/>
      <c r="CM1176" s="6"/>
      <c r="CN1176" s="6"/>
      <c r="CO1176" s="138"/>
      <c r="CP1176" s="138"/>
      <c r="CQ1176" s="123"/>
      <c r="CR1176" s="6"/>
      <c r="CS1176" s="6"/>
      <c r="CT1176" s="139"/>
      <c r="CU1176" s="139"/>
      <c r="CV1176" s="76"/>
      <c r="CW1176" s="123"/>
      <c r="CX1176" s="6"/>
      <c r="DI1176" s="125"/>
      <c r="DJ1176" s="16"/>
      <c r="DM1176" s="16"/>
      <c r="DN1176" s="16"/>
      <c r="DO1176" s="125"/>
      <c r="DP1176" s="16"/>
      <c r="DQ1176" s="125"/>
      <c r="DZ1176" s="125"/>
      <c r="EA1176" s="142"/>
      <c r="EB1176" s="125"/>
      <c r="EC1176" s="16"/>
      <c r="ED1176" s="125"/>
      <c r="EE1176" s="125"/>
      <c r="EF1176" s="16"/>
      <c r="EG1176" s="125"/>
      <c r="EQ1176" s="125"/>
      <c r="ER1176" s="16"/>
      <c r="ES1176" s="123"/>
      <c r="ET1176" s="19"/>
      <c r="EU1176" s="139"/>
      <c r="EV1176" s="139"/>
      <c r="EW1176" s="123"/>
      <c r="EX1176" s="123"/>
      <c r="EY1176" s="123"/>
      <c r="EZ1176" s="123"/>
      <c r="FA1176" s="123"/>
      <c r="FB1176" s="123"/>
      <c r="FC1176" s="6"/>
      <c r="FD1176" s="123"/>
      <c r="FE1176" s="6"/>
      <c r="FF1176" s="123"/>
      <c r="FG1176" s="6"/>
      <c r="FH1176" s="6"/>
      <c r="FI1176" s="6"/>
      <c r="FJ1176" s="6"/>
      <c r="FK1176" s="123"/>
      <c r="FL1176" s="6"/>
      <c r="FM1176" s="6"/>
      <c r="FN1176" s="6"/>
      <c r="FO1176" s="138"/>
      <c r="FP1176" s="138"/>
      <c r="FQ1176" s="123"/>
      <c r="FR1176" s="6"/>
      <c r="FS1176" s="6"/>
      <c r="FT1176" s="139"/>
      <c r="FU1176" s="139"/>
      <c r="FV1176" s="76"/>
      <c r="FW1176" s="123"/>
      <c r="FX1176" s="6"/>
    </row>
    <row r="1177" spans="35:180">
      <c r="AI1177" s="125"/>
      <c r="AJ1177" s="16"/>
      <c r="AM1177" s="16"/>
      <c r="AN1177" s="16"/>
      <c r="AO1177" s="125"/>
      <c r="AP1177" s="16"/>
      <c r="AQ1177" s="125"/>
      <c r="AZ1177" s="125"/>
      <c r="BA1177" s="142"/>
      <c r="BB1177" s="125"/>
      <c r="BC1177" s="16"/>
      <c r="BD1177" s="125"/>
      <c r="BE1177" s="125"/>
      <c r="BF1177" s="16"/>
      <c r="BG1177" s="125"/>
      <c r="BQ1177" s="125"/>
      <c r="BR1177" s="16"/>
      <c r="BS1177" s="123"/>
      <c r="BT1177" s="19"/>
      <c r="BU1177" s="139"/>
      <c r="BV1177" s="139"/>
      <c r="BW1177" s="123"/>
      <c r="BX1177" s="123"/>
      <c r="BY1177" s="123"/>
      <c r="BZ1177" s="123"/>
      <c r="CA1177" s="123"/>
      <c r="CB1177" s="123"/>
      <c r="CC1177" s="6"/>
      <c r="CD1177" s="123"/>
      <c r="CE1177" s="6"/>
      <c r="CF1177" s="123"/>
      <c r="CG1177" s="6"/>
      <c r="CH1177" s="6"/>
      <c r="CI1177" s="6"/>
      <c r="CJ1177" s="6"/>
      <c r="CK1177" s="123"/>
      <c r="CL1177" s="6"/>
      <c r="CM1177" s="6"/>
      <c r="CN1177" s="6"/>
      <c r="CO1177" s="138"/>
      <c r="CP1177" s="138"/>
      <c r="CQ1177" s="123"/>
      <c r="CR1177" s="6"/>
      <c r="CS1177" s="6"/>
      <c r="CT1177" s="139"/>
      <c r="CU1177" s="139"/>
      <c r="CV1177" s="76"/>
      <c r="CW1177" s="123"/>
      <c r="CX1177" s="6"/>
      <c r="DI1177" s="125"/>
      <c r="DJ1177" s="16"/>
      <c r="DM1177" s="16"/>
      <c r="DN1177" s="16"/>
      <c r="DO1177" s="125"/>
      <c r="DP1177" s="16"/>
      <c r="DQ1177" s="125"/>
      <c r="DZ1177" s="125"/>
      <c r="EA1177" s="142"/>
      <c r="EB1177" s="125"/>
      <c r="EC1177" s="16"/>
      <c r="ED1177" s="125"/>
      <c r="EE1177" s="125"/>
      <c r="EF1177" s="16"/>
      <c r="EG1177" s="125"/>
      <c r="EQ1177" s="125"/>
      <c r="ER1177" s="16"/>
      <c r="ES1177" s="123"/>
      <c r="ET1177" s="19"/>
      <c r="EU1177" s="139"/>
      <c r="EV1177" s="139"/>
      <c r="EW1177" s="123"/>
      <c r="EX1177" s="123"/>
      <c r="EY1177" s="123"/>
      <c r="EZ1177" s="123"/>
      <c r="FA1177" s="123"/>
      <c r="FB1177" s="123"/>
      <c r="FC1177" s="6"/>
      <c r="FD1177" s="123"/>
      <c r="FE1177" s="6"/>
      <c r="FF1177" s="123"/>
      <c r="FG1177" s="6"/>
      <c r="FH1177" s="6"/>
      <c r="FI1177" s="6"/>
      <c r="FJ1177" s="6"/>
      <c r="FK1177" s="123"/>
      <c r="FL1177" s="6"/>
      <c r="FM1177" s="6"/>
      <c r="FN1177" s="6"/>
      <c r="FO1177" s="138"/>
      <c r="FP1177" s="138"/>
      <c r="FQ1177" s="123"/>
      <c r="FR1177" s="6"/>
      <c r="FS1177" s="6"/>
      <c r="FT1177" s="139"/>
      <c r="FU1177" s="139"/>
      <c r="FV1177" s="76"/>
      <c r="FW1177" s="123"/>
      <c r="FX1177" s="6"/>
    </row>
    <row r="1178" spans="35:180">
      <c r="AI1178" s="125"/>
      <c r="AJ1178" s="16"/>
      <c r="AM1178" s="16"/>
      <c r="AN1178" s="16"/>
      <c r="AO1178" s="125"/>
      <c r="AP1178" s="16"/>
      <c r="AQ1178" s="125"/>
      <c r="AZ1178" s="125"/>
      <c r="BA1178" s="142"/>
      <c r="BB1178" s="125"/>
      <c r="BC1178" s="16"/>
      <c r="BD1178" s="125"/>
      <c r="BE1178" s="125"/>
      <c r="BF1178" s="16"/>
      <c r="BG1178" s="125"/>
      <c r="BQ1178" s="125"/>
      <c r="BR1178" s="16"/>
      <c r="BS1178" s="123"/>
      <c r="BT1178" s="19"/>
      <c r="BU1178" s="139"/>
      <c r="BV1178" s="139"/>
      <c r="BW1178" s="123"/>
      <c r="BX1178" s="123"/>
      <c r="BY1178" s="123"/>
      <c r="BZ1178" s="123"/>
      <c r="CA1178" s="123"/>
      <c r="CB1178" s="123"/>
      <c r="CC1178" s="6"/>
      <c r="CD1178" s="123"/>
      <c r="CE1178" s="6"/>
      <c r="CF1178" s="123"/>
      <c r="CG1178" s="6"/>
      <c r="CH1178" s="6"/>
      <c r="CI1178" s="6"/>
      <c r="CJ1178" s="6"/>
      <c r="CK1178" s="123"/>
      <c r="CL1178" s="6"/>
      <c r="CM1178" s="6"/>
      <c r="CN1178" s="6"/>
      <c r="CO1178" s="138"/>
      <c r="CP1178" s="138"/>
      <c r="CQ1178" s="123"/>
      <c r="CR1178" s="6"/>
      <c r="CS1178" s="6"/>
      <c r="CT1178" s="139"/>
      <c r="CU1178" s="139"/>
      <c r="CV1178" s="76"/>
      <c r="CW1178" s="123"/>
      <c r="CX1178" s="6"/>
      <c r="DI1178" s="125"/>
      <c r="DJ1178" s="16"/>
      <c r="DM1178" s="16"/>
      <c r="DN1178" s="16"/>
      <c r="DO1178" s="125"/>
      <c r="DP1178" s="16"/>
      <c r="DQ1178" s="125"/>
      <c r="DZ1178" s="125"/>
      <c r="EA1178" s="142"/>
      <c r="EB1178" s="125"/>
      <c r="EC1178" s="16"/>
      <c r="ED1178" s="125"/>
      <c r="EE1178" s="125"/>
      <c r="EF1178" s="16"/>
      <c r="EG1178" s="125"/>
      <c r="EQ1178" s="125"/>
      <c r="ER1178" s="16"/>
      <c r="ES1178" s="123"/>
      <c r="ET1178" s="19"/>
      <c r="EU1178" s="139"/>
      <c r="EV1178" s="139"/>
      <c r="EW1178" s="123"/>
      <c r="EX1178" s="123"/>
      <c r="EY1178" s="123"/>
      <c r="EZ1178" s="123"/>
      <c r="FA1178" s="123"/>
      <c r="FB1178" s="123"/>
      <c r="FC1178" s="6"/>
      <c r="FD1178" s="123"/>
      <c r="FE1178" s="6"/>
      <c r="FF1178" s="123"/>
      <c r="FG1178" s="6"/>
      <c r="FH1178" s="6"/>
      <c r="FI1178" s="6"/>
      <c r="FJ1178" s="6"/>
      <c r="FK1178" s="123"/>
      <c r="FL1178" s="6"/>
      <c r="FM1178" s="6"/>
      <c r="FN1178" s="6"/>
      <c r="FO1178" s="138"/>
      <c r="FP1178" s="138"/>
      <c r="FQ1178" s="123"/>
      <c r="FR1178" s="6"/>
      <c r="FS1178" s="6"/>
      <c r="FT1178" s="139"/>
      <c r="FU1178" s="139"/>
      <c r="FV1178" s="76"/>
      <c r="FW1178" s="123"/>
      <c r="FX1178" s="6"/>
    </row>
    <row r="1179" spans="35:180">
      <c r="AI1179" s="125"/>
      <c r="AJ1179" s="16"/>
      <c r="AM1179" s="16"/>
      <c r="AN1179" s="16"/>
      <c r="AO1179" s="125"/>
      <c r="AP1179" s="16"/>
      <c r="AQ1179" s="125"/>
      <c r="AZ1179" s="125"/>
      <c r="BA1179" s="142"/>
      <c r="BB1179" s="125"/>
      <c r="BC1179" s="16"/>
      <c r="BD1179" s="125"/>
      <c r="BE1179" s="125"/>
      <c r="BF1179" s="16"/>
      <c r="BG1179" s="125"/>
      <c r="BQ1179" s="125"/>
      <c r="BR1179" s="16"/>
      <c r="BS1179" s="123"/>
      <c r="BT1179" s="19"/>
      <c r="BU1179" s="139"/>
      <c r="BV1179" s="139"/>
      <c r="BW1179" s="123"/>
      <c r="BX1179" s="123"/>
      <c r="BY1179" s="123"/>
      <c r="BZ1179" s="123"/>
      <c r="CA1179" s="123"/>
      <c r="CB1179" s="123"/>
      <c r="CC1179" s="6"/>
      <c r="CD1179" s="123"/>
      <c r="CE1179" s="6"/>
      <c r="CF1179" s="123"/>
      <c r="CG1179" s="6"/>
      <c r="CH1179" s="6"/>
      <c r="CI1179" s="6"/>
      <c r="CJ1179" s="6"/>
      <c r="CK1179" s="123"/>
      <c r="CL1179" s="6"/>
      <c r="CM1179" s="6"/>
      <c r="CN1179" s="6"/>
      <c r="CO1179" s="138"/>
      <c r="CP1179" s="138"/>
      <c r="CQ1179" s="123"/>
      <c r="CR1179" s="6"/>
      <c r="CS1179" s="6"/>
      <c r="CT1179" s="139"/>
      <c r="CU1179" s="139"/>
      <c r="CV1179" s="76"/>
      <c r="CW1179" s="123"/>
      <c r="CX1179" s="6"/>
      <c r="DI1179" s="125"/>
      <c r="DJ1179" s="16"/>
      <c r="DM1179" s="16"/>
      <c r="DN1179" s="16"/>
      <c r="DO1179" s="125"/>
      <c r="DP1179" s="16"/>
      <c r="DQ1179" s="125"/>
      <c r="DZ1179" s="125"/>
      <c r="EA1179" s="142"/>
      <c r="EB1179" s="125"/>
      <c r="EC1179" s="16"/>
      <c r="ED1179" s="125"/>
      <c r="EE1179" s="125"/>
      <c r="EF1179" s="16"/>
      <c r="EG1179" s="125"/>
      <c r="EQ1179" s="125"/>
      <c r="ER1179" s="16"/>
      <c r="ES1179" s="123"/>
      <c r="ET1179" s="19"/>
      <c r="EU1179" s="139"/>
      <c r="EV1179" s="139"/>
      <c r="EW1179" s="123"/>
      <c r="EX1179" s="123"/>
      <c r="EY1179" s="123"/>
      <c r="EZ1179" s="123"/>
      <c r="FA1179" s="123"/>
      <c r="FB1179" s="123"/>
      <c r="FC1179" s="6"/>
      <c r="FD1179" s="123"/>
      <c r="FE1179" s="6"/>
      <c r="FF1179" s="123"/>
      <c r="FG1179" s="6"/>
      <c r="FH1179" s="6"/>
      <c r="FI1179" s="6"/>
      <c r="FJ1179" s="6"/>
      <c r="FK1179" s="123"/>
      <c r="FL1179" s="6"/>
      <c r="FM1179" s="6"/>
      <c r="FN1179" s="6"/>
      <c r="FO1179" s="138"/>
      <c r="FP1179" s="138"/>
      <c r="FQ1179" s="123"/>
      <c r="FR1179" s="6"/>
      <c r="FS1179" s="6"/>
      <c r="FT1179" s="139"/>
      <c r="FU1179" s="139"/>
      <c r="FV1179" s="76"/>
      <c r="FW1179" s="123"/>
      <c r="FX1179" s="6"/>
    </row>
    <row r="1180" spans="35:180">
      <c r="AI1180" s="125"/>
      <c r="AJ1180" s="16"/>
      <c r="AM1180" s="16"/>
      <c r="AN1180" s="16"/>
      <c r="AO1180" s="125"/>
      <c r="AP1180" s="16"/>
      <c r="AQ1180" s="125"/>
      <c r="AZ1180" s="125"/>
      <c r="BA1180" s="142"/>
      <c r="BB1180" s="125"/>
      <c r="BC1180" s="16"/>
      <c r="BD1180" s="125"/>
      <c r="BE1180" s="125"/>
      <c r="BF1180" s="16"/>
      <c r="BG1180" s="125"/>
      <c r="BQ1180" s="125"/>
      <c r="BR1180" s="16"/>
      <c r="BS1180" s="123"/>
      <c r="BT1180" s="19"/>
      <c r="BU1180" s="139"/>
      <c r="BV1180" s="139"/>
      <c r="BW1180" s="123"/>
      <c r="BX1180" s="123"/>
      <c r="BY1180" s="123"/>
      <c r="BZ1180" s="123"/>
      <c r="CA1180" s="123"/>
      <c r="CB1180" s="123"/>
      <c r="CC1180" s="6"/>
      <c r="CD1180" s="123"/>
      <c r="CE1180" s="6"/>
      <c r="CF1180" s="123"/>
      <c r="CG1180" s="6"/>
      <c r="CH1180" s="6"/>
      <c r="CI1180" s="6"/>
      <c r="CJ1180" s="6"/>
      <c r="CK1180" s="123"/>
      <c r="CL1180" s="6"/>
      <c r="CM1180" s="6"/>
      <c r="CN1180" s="6"/>
      <c r="CO1180" s="138"/>
      <c r="CP1180" s="138"/>
      <c r="CQ1180" s="123"/>
      <c r="CR1180" s="6"/>
      <c r="CS1180" s="6"/>
      <c r="CT1180" s="139"/>
      <c r="CU1180" s="139"/>
      <c r="CV1180" s="76"/>
      <c r="CW1180" s="123"/>
      <c r="CX1180" s="6"/>
      <c r="DI1180" s="125"/>
      <c r="DJ1180" s="16"/>
      <c r="DM1180" s="16"/>
      <c r="DN1180" s="16"/>
      <c r="DO1180" s="125"/>
      <c r="DP1180" s="16"/>
      <c r="DQ1180" s="125"/>
      <c r="DZ1180" s="125"/>
      <c r="EA1180" s="142"/>
      <c r="EB1180" s="125"/>
      <c r="EC1180" s="16"/>
      <c r="ED1180" s="125"/>
      <c r="EE1180" s="125"/>
      <c r="EF1180" s="16"/>
      <c r="EG1180" s="125"/>
      <c r="EQ1180" s="125"/>
      <c r="ER1180" s="16"/>
      <c r="ES1180" s="123"/>
      <c r="ET1180" s="19"/>
      <c r="EU1180" s="139"/>
      <c r="EV1180" s="139"/>
      <c r="EW1180" s="123"/>
      <c r="EX1180" s="123"/>
      <c r="EY1180" s="123"/>
      <c r="EZ1180" s="123"/>
      <c r="FA1180" s="123"/>
      <c r="FB1180" s="123"/>
      <c r="FC1180" s="6"/>
      <c r="FD1180" s="123"/>
      <c r="FE1180" s="6"/>
      <c r="FF1180" s="123"/>
      <c r="FG1180" s="6"/>
      <c r="FH1180" s="6"/>
      <c r="FI1180" s="6"/>
      <c r="FJ1180" s="6"/>
      <c r="FK1180" s="123"/>
      <c r="FL1180" s="6"/>
      <c r="FM1180" s="6"/>
      <c r="FN1180" s="6"/>
      <c r="FO1180" s="138"/>
      <c r="FP1180" s="138"/>
      <c r="FQ1180" s="123"/>
      <c r="FR1180" s="6"/>
      <c r="FS1180" s="6"/>
      <c r="FT1180" s="139"/>
      <c r="FU1180" s="139"/>
      <c r="FV1180" s="76"/>
      <c r="FW1180" s="123"/>
      <c r="FX1180" s="6"/>
    </row>
    <row r="1181" spans="35:180">
      <c r="AI1181" s="125"/>
      <c r="AJ1181" s="16"/>
      <c r="AM1181" s="16"/>
      <c r="AN1181" s="16"/>
      <c r="AO1181" s="125"/>
      <c r="AP1181" s="16"/>
      <c r="AQ1181" s="125"/>
      <c r="AZ1181" s="125"/>
      <c r="BA1181" s="142"/>
      <c r="BB1181" s="125"/>
      <c r="BC1181" s="16"/>
      <c r="BD1181" s="125"/>
      <c r="BE1181" s="125"/>
      <c r="BF1181" s="16"/>
      <c r="BG1181" s="125"/>
      <c r="BQ1181" s="125"/>
      <c r="BR1181" s="16"/>
      <c r="BS1181" s="123"/>
      <c r="BT1181" s="19"/>
      <c r="BU1181" s="139"/>
      <c r="BV1181" s="139"/>
      <c r="BW1181" s="123"/>
      <c r="BX1181" s="123"/>
      <c r="BY1181" s="123"/>
      <c r="BZ1181" s="123"/>
      <c r="CA1181" s="123"/>
      <c r="CB1181" s="123"/>
      <c r="CC1181" s="6"/>
      <c r="CD1181" s="123"/>
      <c r="CE1181" s="6"/>
      <c r="CF1181" s="123"/>
      <c r="CG1181" s="6"/>
      <c r="CH1181" s="6"/>
      <c r="CI1181" s="6"/>
      <c r="CJ1181" s="6"/>
      <c r="CK1181" s="123"/>
      <c r="CL1181" s="6"/>
      <c r="CM1181" s="6"/>
      <c r="CN1181" s="6"/>
      <c r="CO1181" s="138"/>
      <c r="CP1181" s="138"/>
      <c r="CQ1181" s="123"/>
      <c r="CR1181" s="6"/>
      <c r="CS1181" s="6"/>
      <c r="CT1181" s="139"/>
      <c r="CU1181" s="139"/>
      <c r="CV1181" s="76"/>
      <c r="CW1181" s="123"/>
      <c r="CX1181" s="6"/>
      <c r="DI1181" s="125"/>
      <c r="DJ1181" s="16"/>
      <c r="DM1181" s="16"/>
      <c r="DN1181" s="16"/>
      <c r="DO1181" s="125"/>
      <c r="DP1181" s="16"/>
      <c r="DQ1181" s="125"/>
      <c r="DZ1181" s="125"/>
      <c r="EA1181" s="142"/>
      <c r="EB1181" s="125"/>
      <c r="EC1181" s="16"/>
      <c r="ED1181" s="125"/>
      <c r="EE1181" s="125"/>
      <c r="EF1181" s="16"/>
      <c r="EG1181" s="125"/>
      <c r="EQ1181" s="125"/>
      <c r="ER1181" s="16"/>
      <c r="ES1181" s="123"/>
      <c r="ET1181" s="19"/>
      <c r="EU1181" s="139"/>
      <c r="EV1181" s="139"/>
      <c r="EW1181" s="123"/>
      <c r="EX1181" s="123"/>
      <c r="EY1181" s="123"/>
      <c r="EZ1181" s="123"/>
      <c r="FA1181" s="123"/>
      <c r="FB1181" s="123"/>
      <c r="FC1181" s="6"/>
      <c r="FD1181" s="123"/>
      <c r="FE1181" s="6"/>
      <c r="FF1181" s="123"/>
      <c r="FG1181" s="6"/>
      <c r="FH1181" s="6"/>
      <c r="FI1181" s="6"/>
      <c r="FJ1181" s="6"/>
      <c r="FK1181" s="123"/>
      <c r="FL1181" s="6"/>
      <c r="FM1181" s="6"/>
      <c r="FN1181" s="6"/>
      <c r="FO1181" s="138"/>
      <c r="FP1181" s="138"/>
      <c r="FQ1181" s="123"/>
      <c r="FR1181" s="6"/>
      <c r="FS1181" s="6"/>
      <c r="FT1181" s="139"/>
      <c r="FU1181" s="139"/>
      <c r="FV1181" s="76"/>
      <c r="FW1181" s="123"/>
      <c r="FX1181" s="6"/>
    </row>
    <row r="1182" spans="35:180">
      <c r="AI1182" s="125"/>
      <c r="AJ1182" s="16"/>
      <c r="AM1182" s="16"/>
      <c r="AN1182" s="16"/>
      <c r="AO1182" s="125"/>
      <c r="AP1182" s="16"/>
      <c r="AQ1182" s="125"/>
      <c r="AZ1182" s="125"/>
      <c r="BA1182" s="142"/>
      <c r="BB1182" s="125"/>
      <c r="BC1182" s="16"/>
      <c r="BD1182" s="125"/>
      <c r="BE1182" s="125"/>
      <c r="BF1182" s="16"/>
      <c r="BG1182" s="125"/>
      <c r="BQ1182" s="125"/>
      <c r="BR1182" s="16"/>
      <c r="BS1182" s="123"/>
      <c r="BT1182" s="19"/>
      <c r="BU1182" s="139"/>
      <c r="BV1182" s="139"/>
      <c r="BW1182" s="123"/>
      <c r="BX1182" s="123"/>
      <c r="BY1182" s="123"/>
      <c r="BZ1182" s="123"/>
      <c r="CA1182" s="123"/>
      <c r="CB1182" s="123"/>
      <c r="CC1182" s="6"/>
      <c r="CD1182" s="123"/>
      <c r="CE1182" s="6"/>
      <c r="CF1182" s="123"/>
      <c r="CG1182" s="6"/>
      <c r="CH1182" s="6"/>
      <c r="CI1182" s="6"/>
      <c r="CJ1182" s="6"/>
      <c r="CK1182" s="123"/>
      <c r="CL1182" s="6"/>
      <c r="CM1182" s="6"/>
      <c r="CN1182" s="6"/>
      <c r="CO1182" s="138"/>
      <c r="CP1182" s="138"/>
      <c r="CQ1182" s="123"/>
      <c r="CR1182" s="6"/>
      <c r="CS1182" s="6"/>
      <c r="CT1182" s="139"/>
      <c r="CU1182" s="139"/>
      <c r="CV1182" s="76"/>
      <c r="CW1182" s="123"/>
      <c r="CX1182" s="6"/>
      <c r="DI1182" s="125"/>
      <c r="DJ1182" s="16"/>
      <c r="DM1182" s="16"/>
      <c r="DN1182" s="16"/>
      <c r="DO1182" s="125"/>
      <c r="DP1182" s="16"/>
      <c r="DQ1182" s="125"/>
      <c r="DZ1182" s="125"/>
      <c r="EA1182" s="142"/>
      <c r="EB1182" s="125"/>
      <c r="EC1182" s="16"/>
      <c r="ED1182" s="125"/>
      <c r="EE1182" s="125"/>
      <c r="EF1182" s="16"/>
      <c r="EG1182" s="125"/>
      <c r="EQ1182" s="125"/>
      <c r="ER1182" s="16"/>
      <c r="ES1182" s="123"/>
      <c r="ET1182" s="19"/>
      <c r="EU1182" s="139"/>
      <c r="EV1182" s="139"/>
      <c r="EW1182" s="123"/>
      <c r="EX1182" s="123"/>
      <c r="EY1182" s="123"/>
      <c r="EZ1182" s="123"/>
      <c r="FA1182" s="123"/>
      <c r="FB1182" s="123"/>
      <c r="FC1182" s="6"/>
      <c r="FD1182" s="123"/>
      <c r="FE1182" s="6"/>
      <c r="FF1182" s="123"/>
      <c r="FG1182" s="6"/>
      <c r="FH1182" s="6"/>
      <c r="FI1182" s="6"/>
      <c r="FJ1182" s="6"/>
      <c r="FK1182" s="123"/>
      <c r="FL1182" s="6"/>
      <c r="FM1182" s="6"/>
      <c r="FN1182" s="6"/>
      <c r="FO1182" s="138"/>
      <c r="FP1182" s="138"/>
      <c r="FQ1182" s="123"/>
      <c r="FR1182" s="6"/>
      <c r="FS1182" s="6"/>
      <c r="FT1182" s="139"/>
      <c r="FU1182" s="139"/>
      <c r="FV1182" s="76"/>
      <c r="FW1182" s="123"/>
      <c r="FX1182" s="6"/>
    </row>
    <row r="1183" spans="35:180">
      <c r="AI1183" s="125"/>
      <c r="AJ1183" s="16"/>
      <c r="AM1183" s="16"/>
      <c r="AN1183" s="16"/>
      <c r="AO1183" s="125"/>
      <c r="AP1183" s="16"/>
      <c r="AQ1183" s="125"/>
      <c r="AZ1183" s="125"/>
      <c r="BA1183" s="142"/>
      <c r="BB1183" s="125"/>
      <c r="BC1183" s="16"/>
      <c r="BD1183" s="125"/>
      <c r="BE1183" s="125"/>
      <c r="BF1183" s="16"/>
      <c r="BG1183" s="125"/>
      <c r="BQ1183" s="125"/>
      <c r="BR1183" s="16"/>
      <c r="BS1183" s="123"/>
      <c r="BT1183" s="19"/>
      <c r="BU1183" s="139"/>
      <c r="BV1183" s="139"/>
      <c r="BW1183" s="123"/>
      <c r="BX1183" s="123"/>
      <c r="BY1183" s="123"/>
      <c r="BZ1183" s="123"/>
      <c r="CA1183" s="123"/>
      <c r="CB1183" s="123"/>
      <c r="CC1183" s="6"/>
      <c r="CD1183" s="123"/>
      <c r="CE1183" s="6"/>
      <c r="CF1183" s="123"/>
      <c r="CG1183" s="6"/>
      <c r="CH1183" s="6"/>
      <c r="CI1183" s="6"/>
      <c r="CJ1183" s="6"/>
      <c r="CK1183" s="123"/>
      <c r="CL1183" s="6"/>
      <c r="CM1183" s="6"/>
      <c r="CN1183" s="6"/>
      <c r="CO1183" s="138"/>
      <c r="CP1183" s="138"/>
      <c r="CQ1183" s="123"/>
      <c r="CR1183" s="6"/>
      <c r="CS1183" s="6"/>
      <c r="CT1183" s="139"/>
      <c r="CU1183" s="139"/>
      <c r="CV1183" s="76"/>
      <c r="CW1183" s="123"/>
      <c r="CX1183" s="6"/>
      <c r="DI1183" s="125"/>
      <c r="DJ1183" s="16"/>
      <c r="DM1183" s="16"/>
      <c r="DN1183" s="16"/>
      <c r="DO1183" s="125"/>
      <c r="DP1183" s="16"/>
      <c r="DQ1183" s="125"/>
      <c r="DZ1183" s="125"/>
      <c r="EA1183" s="142"/>
      <c r="EB1183" s="125"/>
      <c r="EC1183" s="16"/>
      <c r="ED1183" s="125"/>
      <c r="EE1183" s="125"/>
      <c r="EF1183" s="16"/>
      <c r="EG1183" s="125"/>
      <c r="EQ1183" s="125"/>
      <c r="ER1183" s="16"/>
      <c r="ES1183" s="123"/>
      <c r="ET1183" s="19"/>
      <c r="EU1183" s="139"/>
      <c r="EV1183" s="139"/>
      <c r="EW1183" s="123"/>
      <c r="EX1183" s="123"/>
      <c r="EY1183" s="123"/>
      <c r="EZ1183" s="123"/>
      <c r="FA1183" s="123"/>
      <c r="FB1183" s="123"/>
      <c r="FC1183" s="6"/>
      <c r="FD1183" s="123"/>
      <c r="FE1183" s="6"/>
      <c r="FF1183" s="123"/>
      <c r="FG1183" s="6"/>
      <c r="FH1183" s="6"/>
      <c r="FI1183" s="6"/>
      <c r="FJ1183" s="6"/>
      <c r="FK1183" s="123"/>
      <c r="FL1183" s="6"/>
      <c r="FM1183" s="6"/>
      <c r="FN1183" s="6"/>
      <c r="FO1183" s="138"/>
      <c r="FP1183" s="138"/>
      <c r="FQ1183" s="123"/>
      <c r="FR1183" s="6"/>
      <c r="FS1183" s="6"/>
      <c r="FT1183" s="139"/>
      <c r="FU1183" s="139"/>
      <c r="FV1183" s="76"/>
      <c r="FW1183" s="123"/>
      <c r="FX1183" s="6"/>
    </row>
    <row r="1184" spans="35:180">
      <c r="AI1184" s="125"/>
      <c r="AJ1184" s="16"/>
      <c r="AM1184" s="16"/>
      <c r="AN1184" s="16"/>
      <c r="AO1184" s="125"/>
      <c r="AP1184" s="16"/>
      <c r="AQ1184" s="125"/>
      <c r="AZ1184" s="125"/>
      <c r="BA1184" s="142"/>
      <c r="BB1184" s="125"/>
      <c r="BC1184" s="16"/>
      <c r="BD1184" s="125"/>
      <c r="BE1184" s="125"/>
      <c r="BF1184" s="16"/>
      <c r="BG1184" s="125"/>
      <c r="BQ1184" s="125"/>
      <c r="BR1184" s="16"/>
      <c r="BS1184" s="123"/>
      <c r="BT1184" s="19"/>
      <c r="BU1184" s="139"/>
      <c r="BV1184" s="139"/>
      <c r="BW1184" s="123"/>
      <c r="BX1184" s="123"/>
      <c r="BY1184" s="123"/>
      <c r="BZ1184" s="123"/>
      <c r="CA1184" s="123"/>
      <c r="CB1184" s="123"/>
      <c r="CC1184" s="6"/>
      <c r="CD1184" s="123"/>
      <c r="CE1184" s="6"/>
      <c r="CF1184" s="123"/>
      <c r="CG1184" s="6"/>
      <c r="CH1184" s="6"/>
      <c r="CI1184" s="6"/>
      <c r="CJ1184" s="6"/>
      <c r="CK1184" s="123"/>
      <c r="CL1184" s="6"/>
      <c r="CM1184" s="6"/>
      <c r="CN1184" s="6"/>
      <c r="CO1184" s="138"/>
      <c r="CP1184" s="138"/>
      <c r="CQ1184" s="123"/>
      <c r="CR1184" s="6"/>
      <c r="CS1184" s="6"/>
      <c r="CT1184" s="139"/>
      <c r="CU1184" s="139"/>
      <c r="CV1184" s="76"/>
      <c r="CW1184" s="123"/>
      <c r="CX1184" s="6"/>
      <c r="DI1184" s="125"/>
      <c r="DJ1184" s="16"/>
      <c r="DM1184" s="16"/>
      <c r="DN1184" s="16"/>
      <c r="DO1184" s="125"/>
      <c r="DP1184" s="16"/>
      <c r="DQ1184" s="125"/>
      <c r="DZ1184" s="125"/>
      <c r="EA1184" s="142"/>
      <c r="EB1184" s="125"/>
      <c r="EC1184" s="16"/>
      <c r="ED1184" s="125"/>
      <c r="EE1184" s="125"/>
      <c r="EF1184" s="16"/>
      <c r="EG1184" s="125"/>
      <c r="EQ1184" s="125"/>
      <c r="ER1184" s="16"/>
      <c r="ES1184" s="123"/>
      <c r="ET1184" s="19"/>
      <c r="EU1184" s="139"/>
      <c r="EV1184" s="139"/>
      <c r="EW1184" s="123"/>
      <c r="EX1184" s="123"/>
      <c r="EY1184" s="123"/>
      <c r="EZ1184" s="123"/>
      <c r="FA1184" s="123"/>
      <c r="FB1184" s="123"/>
      <c r="FC1184" s="6"/>
      <c r="FD1184" s="123"/>
      <c r="FE1184" s="6"/>
      <c r="FF1184" s="123"/>
      <c r="FG1184" s="6"/>
      <c r="FH1184" s="6"/>
      <c r="FI1184" s="6"/>
      <c r="FJ1184" s="6"/>
      <c r="FK1184" s="123"/>
      <c r="FL1184" s="6"/>
      <c r="FM1184" s="6"/>
      <c r="FN1184" s="6"/>
      <c r="FO1184" s="138"/>
      <c r="FP1184" s="138"/>
      <c r="FQ1184" s="123"/>
      <c r="FR1184" s="6"/>
      <c r="FS1184" s="6"/>
      <c r="FT1184" s="139"/>
      <c r="FU1184" s="139"/>
      <c r="FV1184" s="76"/>
      <c r="FW1184" s="123"/>
      <c r="FX1184" s="6"/>
    </row>
    <row r="1185" spans="35:180">
      <c r="AI1185" s="125"/>
      <c r="AJ1185" s="16"/>
      <c r="AM1185" s="16"/>
      <c r="AN1185" s="16"/>
      <c r="AO1185" s="125"/>
      <c r="AP1185" s="16"/>
      <c r="AQ1185" s="125"/>
      <c r="AZ1185" s="125"/>
      <c r="BA1185" s="142"/>
      <c r="BB1185" s="125"/>
      <c r="BC1185" s="16"/>
      <c r="BD1185" s="125"/>
      <c r="BE1185" s="125"/>
      <c r="BF1185" s="16"/>
      <c r="BG1185" s="125"/>
      <c r="BQ1185" s="125"/>
      <c r="BR1185" s="16"/>
      <c r="BS1185" s="123"/>
      <c r="BT1185" s="19"/>
      <c r="BU1185" s="139"/>
      <c r="BV1185" s="139"/>
      <c r="BW1185" s="123"/>
      <c r="BX1185" s="123"/>
      <c r="BY1185" s="123"/>
      <c r="BZ1185" s="123"/>
      <c r="CA1185" s="123"/>
      <c r="CB1185" s="123"/>
      <c r="CC1185" s="6"/>
      <c r="CD1185" s="123"/>
      <c r="CE1185" s="6"/>
      <c r="CF1185" s="123"/>
      <c r="CG1185" s="6"/>
      <c r="CH1185" s="6"/>
      <c r="CI1185" s="6"/>
      <c r="CJ1185" s="6"/>
      <c r="CK1185" s="123"/>
      <c r="CL1185" s="6"/>
      <c r="CM1185" s="6"/>
      <c r="CN1185" s="6"/>
      <c r="CO1185" s="138"/>
      <c r="CP1185" s="138"/>
      <c r="CQ1185" s="123"/>
      <c r="CR1185" s="6"/>
      <c r="CS1185" s="6"/>
      <c r="CT1185" s="139"/>
      <c r="CU1185" s="139"/>
      <c r="CV1185" s="76"/>
      <c r="CW1185" s="123"/>
      <c r="CX1185" s="6"/>
      <c r="DI1185" s="125"/>
      <c r="DJ1185" s="16"/>
      <c r="DM1185" s="16"/>
      <c r="DN1185" s="16"/>
      <c r="DO1185" s="125"/>
      <c r="DP1185" s="16"/>
      <c r="DQ1185" s="125"/>
      <c r="DZ1185" s="125"/>
      <c r="EA1185" s="142"/>
      <c r="EB1185" s="125"/>
      <c r="EC1185" s="16"/>
      <c r="ED1185" s="125"/>
      <c r="EE1185" s="125"/>
      <c r="EF1185" s="16"/>
      <c r="EG1185" s="125"/>
      <c r="EQ1185" s="125"/>
      <c r="ER1185" s="16"/>
      <c r="ES1185" s="123"/>
      <c r="ET1185" s="19"/>
      <c r="EU1185" s="139"/>
      <c r="EV1185" s="139"/>
      <c r="EW1185" s="123"/>
      <c r="EX1185" s="123"/>
      <c r="EY1185" s="123"/>
      <c r="EZ1185" s="123"/>
      <c r="FA1185" s="123"/>
      <c r="FB1185" s="123"/>
      <c r="FC1185" s="6"/>
      <c r="FD1185" s="123"/>
      <c r="FE1185" s="6"/>
      <c r="FF1185" s="123"/>
      <c r="FG1185" s="6"/>
      <c r="FH1185" s="6"/>
      <c r="FI1185" s="6"/>
      <c r="FJ1185" s="6"/>
      <c r="FK1185" s="123"/>
      <c r="FL1185" s="6"/>
      <c r="FM1185" s="6"/>
      <c r="FN1185" s="6"/>
      <c r="FO1185" s="138"/>
      <c r="FP1185" s="138"/>
      <c r="FQ1185" s="123"/>
      <c r="FR1185" s="6"/>
      <c r="FS1185" s="6"/>
      <c r="FT1185" s="139"/>
      <c r="FU1185" s="139"/>
      <c r="FV1185" s="76"/>
      <c r="FW1185" s="123"/>
      <c r="FX1185" s="6"/>
    </row>
    <row r="1186" spans="35:180">
      <c r="AI1186" s="125"/>
      <c r="AJ1186" s="16"/>
      <c r="AM1186" s="16"/>
      <c r="AN1186" s="16"/>
      <c r="AO1186" s="125"/>
      <c r="AP1186" s="16"/>
      <c r="AQ1186" s="125"/>
      <c r="AZ1186" s="125"/>
      <c r="BA1186" s="142"/>
      <c r="BB1186" s="125"/>
      <c r="BC1186" s="16"/>
      <c r="BD1186" s="125"/>
      <c r="BE1186" s="125"/>
      <c r="BF1186" s="16"/>
      <c r="BG1186" s="125"/>
      <c r="BQ1186" s="125"/>
      <c r="BR1186" s="16"/>
      <c r="BS1186" s="123"/>
      <c r="BT1186" s="19"/>
      <c r="BU1186" s="139"/>
      <c r="BV1186" s="139"/>
      <c r="BW1186" s="123"/>
      <c r="BX1186" s="123"/>
      <c r="BY1186" s="123"/>
      <c r="BZ1186" s="123"/>
      <c r="CA1186" s="123"/>
      <c r="CB1186" s="123"/>
      <c r="CC1186" s="6"/>
      <c r="CD1186" s="123"/>
      <c r="CE1186" s="6"/>
      <c r="CF1186" s="123"/>
      <c r="CG1186" s="6"/>
      <c r="CH1186" s="6"/>
      <c r="CI1186" s="6"/>
      <c r="CJ1186" s="6"/>
      <c r="CK1186" s="123"/>
      <c r="CL1186" s="6"/>
      <c r="CM1186" s="6"/>
      <c r="CN1186" s="6"/>
      <c r="CO1186" s="138"/>
      <c r="CP1186" s="138"/>
      <c r="CQ1186" s="123"/>
      <c r="CR1186" s="6"/>
      <c r="CS1186" s="6"/>
      <c r="CT1186" s="139"/>
      <c r="CU1186" s="139"/>
      <c r="CV1186" s="76"/>
      <c r="CW1186" s="123"/>
      <c r="CX1186" s="6"/>
      <c r="DI1186" s="125"/>
      <c r="DJ1186" s="16"/>
      <c r="DM1186" s="16"/>
      <c r="DN1186" s="16"/>
      <c r="DO1186" s="125"/>
      <c r="DP1186" s="16"/>
      <c r="DQ1186" s="125"/>
      <c r="DZ1186" s="125"/>
      <c r="EA1186" s="142"/>
      <c r="EB1186" s="125"/>
      <c r="EC1186" s="16"/>
      <c r="ED1186" s="125"/>
      <c r="EE1186" s="125"/>
      <c r="EF1186" s="16"/>
      <c r="EG1186" s="125"/>
      <c r="EQ1186" s="125"/>
      <c r="ER1186" s="16"/>
      <c r="ES1186" s="123"/>
      <c r="ET1186" s="19"/>
      <c r="EU1186" s="139"/>
      <c r="EV1186" s="139"/>
      <c r="EW1186" s="123"/>
      <c r="EX1186" s="123"/>
      <c r="EY1186" s="123"/>
      <c r="EZ1186" s="123"/>
      <c r="FA1186" s="123"/>
      <c r="FB1186" s="123"/>
      <c r="FC1186" s="6"/>
      <c r="FD1186" s="123"/>
      <c r="FE1186" s="6"/>
      <c r="FF1186" s="123"/>
      <c r="FG1186" s="6"/>
      <c r="FH1186" s="6"/>
      <c r="FI1186" s="6"/>
      <c r="FJ1186" s="6"/>
      <c r="FK1186" s="123"/>
      <c r="FL1186" s="6"/>
      <c r="FM1186" s="6"/>
      <c r="FN1186" s="6"/>
      <c r="FO1186" s="138"/>
      <c r="FP1186" s="138"/>
      <c r="FQ1186" s="123"/>
      <c r="FR1186" s="6"/>
      <c r="FS1186" s="6"/>
      <c r="FT1186" s="139"/>
      <c r="FU1186" s="139"/>
      <c r="FV1186" s="76"/>
      <c r="FW1186" s="123"/>
      <c r="FX1186" s="6"/>
    </row>
    <row r="1187" spans="35:180">
      <c r="AI1187" s="125"/>
      <c r="AJ1187" s="16"/>
      <c r="AM1187" s="16"/>
      <c r="AN1187" s="16"/>
      <c r="AO1187" s="125"/>
      <c r="AP1187" s="16"/>
      <c r="AQ1187" s="125"/>
      <c r="AZ1187" s="125"/>
      <c r="BA1187" s="142"/>
      <c r="BB1187" s="125"/>
      <c r="BC1187" s="16"/>
      <c r="BD1187" s="125"/>
      <c r="BE1187" s="125"/>
      <c r="BF1187" s="16"/>
      <c r="BG1187" s="125"/>
      <c r="BQ1187" s="125"/>
      <c r="BR1187" s="16"/>
      <c r="BS1187" s="123"/>
      <c r="BT1187" s="19"/>
      <c r="BU1187" s="139"/>
      <c r="BV1187" s="139"/>
      <c r="BW1187" s="123"/>
      <c r="BX1187" s="123"/>
      <c r="BY1187" s="123"/>
      <c r="BZ1187" s="123"/>
      <c r="CA1187" s="123"/>
      <c r="CB1187" s="123"/>
      <c r="CC1187" s="6"/>
      <c r="CD1187" s="123"/>
      <c r="CE1187" s="6"/>
      <c r="CF1187" s="123"/>
      <c r="CG1187" s="6"/>
      <c r="CH1187" s="6"/>
      <c r="CI1187" s="6"/>
      <c r="CJ1187" s="6"/>
      <c r="CK1187" s="123"/>
      <c r="CL1187" s="6"/>
      <c r="CM1187" s="6"/>
      <c r="CN1187" s="6"/>
      <c r="CO1187" s="138"/>
      <c r="CP1187" s="138"/>
      <c r="CQ1187" s="123"/>
      <c r="CR1187" s="6"/>
      <c r="CS1187" s="6"/>
      <c r="CT1187" s="139"/>
      <c r="CU1187" s="139"/>
      <c r="CV1187" s="76"/>
      <c r="CW1187" s="123"/>
      <c r="CX1187" s="6"/>
      <c r="DI1187" s="125"/>
      <c r="DJ1187" s="16"/>
      <c r="DM1187" s="16"/>
      <c r="DN1187" s="16"/>
      <c r="DO1187" s="125"/>
      <c r="DP1187" s="16"/>
      <c r="DQ1187" s="125"/>
      <c r="DZ1187" s="125"/>
      <c r="EA1187" s="142"/>
      <c r="EB1187" s="125"/>
      <c r="EC1187" s="16"/>
      <c r="ED1187" s="125"/>
      <c r="EE1187" s="125"/>
      <c r="EF1187" s="16"/>
      <c r="EG1187" s="125"/>
      <c r="EQ1187" s="125"/>
      <c r="ER1187" s="16"/>
      <c r="ES1187" s="123"/>
      <c r="ET1187" s="19"/>
      <c r="EU1187" s="139"/>
      <c r="EV1187" s="139"/>
      <c r="EW1187" s="123"/>
      <c r="EX1187" s="123"/>
      <c r="EY1187" s="123"/>
      <c r="EZ1187" s="123"/>
      <c r="FA1187" s="123"/>
      <c r="FB1187" s="123"/>
      <c r="FC1187" s="6"/>
      <c r="FD1187" s="123"/>
      <c r="FE1187" s="6"/>
      <c r="FF1187" s="123"/>
      <c r="FG1187" s="6"/>
      <c r="FH1187" s="6"/>
      <c r="FI1187" s="6"/>
      <c r="FJ1187" s="6"/>
      <c r="FK1187" s="123"/>
      <c r="FL1187" s="6"/>
      <c r="FM1187" s="6"/>
      <c r="FN1187" s="6"/>
      <c r="FO1187" s="138"/>
      <c r="FP1187" s="138"/>
      <c r="FQ1187" s="123"/>
      <c r="FR1187" s="6"/>
      <c r="FS1187" s="6"/>
      <c r="FT1187" s="139"/>
      <c r="FU1187" s="139"/>
      <c r="FV1187" s="76"/>
      <c r="FW1187" s="123"/>
      <c r="FX1187" s="6"/>
    </row>
    <row r="1188" spans="35:180">
      <c r="AI1188" s="125"/>
      <c r="AJ1188" s="16"/>
      <c r="AM1188" s="16"/>
      <c r="AN1188" s="16"/>
      <c r="AO1188" s="125"/>
      <c r="AP1188" s="16"/>
      <c r="AQ1188" s="125"/>
      <c r="AZ1188" s="125"/>
      <c r="BA1188" s="142"/>
      <c r="BB1188" s="125"/>
      <c r="BC1188" s="16"/>
      <c r="BD1188" s="125"/>
      <c r="BE1188" s="125"/>
      <c r="BF1188" s="16"/>
      <c r="BG1188" s="125"/>
      <c r="BQ1188" s="125"/>
      <c r="BR1188" s="16"/>
      <c r="BS1188" s="123"/>
      <c r="BT1188" s="19"/>
      <c r="BU1188" s="139"/>
      <c r="BV1188" s="139"/>
      <c r="BW1188" s="123"/>
      <c r="BX1188" s="123"/>
      <c r="BY1188" s="123"/>
      <c r="BZ1188" s="123"/>
      <c r="CA1188" s="123"/>
      <c r="CB1188" s="123"/>
      <c r="CC1188" s="6"/>
      <c r="CD1188" s="123"/>
      <c r="CE1188" s="6"/>
      <c r="CF1188" s="123"/>
      <c r="CG1188" s="6"/>
      <c r="CH1188" s="6"/>
      <c r="CI1188" s="6"/>
      <c r="CJ1188" s="6"/>
      <c r="CK1188" s="123"/>
      <c r="CL1188" s="6"/>
      <c r="CM1188" s="6"/>
      <c r="CN1188" s="6"/>
      <c r="CO1188" s="138"/>
      <c r="CP1188" s="138"/>
      <c r="CQ1188" s="123"/>
      <c r="CR1188" s="6"/>
      <c r="CS1188" s="6"/>
      <c r="CT1188" s="139"/>
      <c r="CU1188" s="139"/>
      <c r="CV1188" s="76"/>
      <c r="CW1188" s="123"/>
      <c r="CX1188" s="6"/>
      <c r="DI1188" s="125"/>
      <c r="DJ1188" s="16"/>
      <c r="DM1188" s="16"/>
      <c r="DN1188" s="16"/>
      <c r="DO1188" s="125"/>
      <c r="DP1188" s="16"/>
      <c r="DQ1188" s="125"/>
      <c r="DZ1188" s="125"/>
      <c r="EA1188" s="142"/>
      <c r="EB1188" s="125"/>
      <c r="EC1188" s="16"/>
      <c r="ED1188" s="125"/>
      <c r="EE1188" s="125"/>
      <c r="EF1188" s="16"/>
      <c r="EG1188" s="125"/>
      <c r="EQ1188" s="125"/>
      <c r="ER1188" s="16"/>
      <c r="ES1188" s="123"/>
      <c r="ET1188" s="19"/>
      <c r="EU1188" s="139"/>
      <c r="EV1188" s="139"/>
      <c r="EW1188" s="123"/>
      <c r="EX1188" s="123"/>
      <c r="EY1188" s="123"/>
      <c r="EZ1188" s="123"/>
      <c r="FA1188" s="123"/>
      <c r="FB1188" s="123"/>
      <c r="FC1188" s="6"/>
      <c r="FD1188" s="123"/>
      <c r="FE1188" s="6"/>
      <c r="FF1188" s="123"/>
      <c r="FG1188" s="6"/>
      <c r="FH1188" s="6"/>
      <c r="FI1188" s="6"/>
      <c r="FJ1188" s="6"/>
      <c r="FK1188" s="123"/>
      <c r="FL1188" s="6"/>
      <c r="FM1188" s="6"/>
      <c r="FN1188" s="6"/>
      <c r="FO1188" s="138"/>
      <c r="FP1188" s="138"/>
      <c r="FQ1188" s="123"/>
      <c r="FR1188" s="6"/>
      <c r="FS1188" s="6"/>
      <c r="FT1188" s="139"/>
      <c r="FU1188" s="139"/>
      <c r="FV1188" s="76"/>
      <c r="FW1188" s="123"/>
      <c r="FX1188" s="6"/>
    </row>
    <row r="1189" spans="35:180">
      <c r="AI1189" s="125"/>
      <c r="AJ1189" s="16"/>
      <c r="AM1189" s="16"/>
      <c r="AN1189" s="16"/>
      <c r="AO1189" s="125"/>
      <c r="AP1189" s="16"/>
      <c r="AQ1189" s="125"/>
      <c r="AZ1189" s="125"/>
      <c r="BA1189" s="142"/>
      <c r="BB1189" s="125"/>
      <c r="BC1189" s="16"/>
      <c r="BD1189" s="125"/>
      <c r="BE1189" s="125"/>
      <c r="BF1189" s="16"/>
      <c r="BG1189" s="125"/>
      <c r="BQ1189" s="125"/>
      <c r="BR1189" s="16"/>
      <c r="BS1189" s="123"/>
      <c r="BT1189" s="19"/>
      <c r="BU1189" s="139"/>
      <c r="BV1189" s="139"/>
      <c r="BW1189" s="123"/>
      <c r="BX1189" s="123"/>
      <c r="BY1189" s="123"/>
      <c r="BZ1189" s="123"/>
      <c r="CA1189" s="123"/>
      <c r="CB1189" s="123"/>
      <c r="CC1189" s="6"/>
      <c r="CD1189" s="123"/>
      <c r="CE1189" s="6"/>
      <c r="CF1189" s="123"/>
      <c r="CG1189" s="6"/>
      <c r="CH1189" s="6"/>
      <c r="CI1189" s="6"/>
      <c r="CJ1189" s="6"/>
      <c r="CK1189" s="123"/>
      <c r="CL1189" s="6"/>
      <c r="CM1189" s="6"/>
      <c r="CN1189" s="6"/>
      <c r="CO1189" s="138"/>
      <c r="CP1189" s="138"/>
      <c r="CQ1189" s="123"/>
      <c r="CR1189" s="6"/>
      <c r="CS1189" s="6"/>
      <c r="CT1189" s="139"/>
      <c r="CU1189" s="139"/>
      <c r="CV1189" s="76"/>
      <c r="CW1189" s="123"/>
      <c r="CX1189" s="6"/>
      <c r="DI1189" s="125"/>
      <c r="DJ1189" s="16"/>
      <c r="DM1189" s="16"/>
      <c r="DN1189" s="16"/>
      <c r="DO1189" s="125"/>
      <c r="DP1189" s="16"/>
      <c r="DQ1189" s="125"/>
      <c r="DZ1189" s="125"/>
      <c r="EA1189" s="142"/>
      <c r="EB1189" s="125"/>
      <c r="EC1189" s="16"/>
      <c r="ED1189" s="125"/>
      <c r="EE1189" s="125"/>
      <c r="EF1189" s="16"/>
      <c r="EG1189" s="125"/>
      <c r="EQ1189" s="125"/>
      <c r="ER1189" s="16"/>
      <c r="ES1189" s="123"/>
      <c r="ET1189" s="19"/>
      <c r="EU1189" s="139"/>
      <c r="EV1189" s="139"/>
      <c r="EW1189" s="123"/>
      <c r="EX1189" s="123"/>
      <c r="EY1189" s="123"/>
      <c r="EZ1189" s="123"/>
      <c r="FA1189" s="123"/>
      <c r="FB1189" s="123"/>
      <c r="FC1189" s="6"/>
      <c r="FD1189" s="123"/>
      <c r="FE1189" s="6"/>
      <c r="FF1189" s="123"/>
      <c r="FG1189" s="6"/>
      <c r="FH1189" s="6"/>
      <c r="FI1189" s="6"/>
      <c r="FJ1189" s="6"/>
      <c r="FK1189" s="123"/>
      <c r="FL1189" s="6"/>
      <c r="FM1189" s="6"/>
      <c r="FN1189" s="6"/>
      <c r="FO1189" s="138"/>
      <c r="FP1189" s="138"/>
      <c r="FQ1189" s="123"/>
      <c r="FR1189" s="6"/>
      <c r="FS1189" s="6"/>
      <c r="FT1189" s="139"/>
      <c r="FU1189" s="139"/>
      <c r="FV1189" s="76"/>
      <c r="FW1189" s="123"/>
      <c r="FX1189" s="6"/>
    </row>
    <row r="1190" spans="35:180">
      <c r="AI1190" s="125"/>
      <c r="AJ1190" s="16"/>
      <c r="AM1190" s="16"/>
      <c r="AN1190" s="16"/>
      <c r="AO1190" s="125"/>
      <c r="AP1190" s="16"/>
      <c r="AQ1190" s="125"/>
      <c r="AZ1190" s="125"/>
      <c r="BA1190" s="142"/>
      <c r="BB1190" s="125"/>
      <c r="BC1190" s="16"/>
      <c r="BD1190" s="125"/>
      <c r="BE1190" s="125"/>
      <c r="BF1190" s="16"/>
      <c r="BG1190" s="125"/>
      <c r="BQ1190" s="125"/>
      <c r="BR1190" s="16"/>
      <c r="BS1190" s="123"/>
      <c r="BT1190" s="19"/>
      <c r="BU1190" s="139"/>
      <c r="BV1190" s="139"/>
      <c r="BW1190" s="123"/>
      <c r="BX1190" s="123"/>
      <c r="BY1190" s="123"/>
      <c r="BZ1190" s="123"/>
      <c r="CA1190" s="123"/>
      <c r="CB1190" s="123"/>
      <c r="CC1190" s="6"/>
      <c r="CD1190" s="123"/>
      <c r="CE1190" s="6"/>
      <c r="CF1190" s="123"/>
      <c r="CG1190" s="6"/>
      <c r="CH1190" s="6"/>
      <c r="CI1190" s="6"/>
      <c r="CJ1190" s="6"/>
      <c r="CK1190" s="123"/>
      <c r="CL1190" s="6"/>
      <c r="CM1190" s="6"/>
      <c r="CN1190" s="6"/>
      <c r="CO1190" s="138"/>
      <c r="CP1190" s="138"/>
      <c r="CQ1190" s="123"/>
      <c r="CR1190" s="6"/>
      <c r="CS1190" s="6"/>
      <c r="CT1190" s="139"/>
      <c r="CU1190" s="139"/>
      <c r="CV1190" s="76"/>
      <c r="CW1190" s="123"/>
      <c r="CX1190" s="6"/>
      <c r="DI1190" s="125"/>
      <c r="DJ1190" s="16"/>
      <c r="DM1190" s="16"/>
      <c r="DN1190" s="16"/>
      <c r="DO1190" s="125"/>
      <c r="DP1190" s="16"/>
      <c r="DQ1190" s="125"/>
      <c r="DZ1190" s="125"/>
      <c r="EA1190" s="142"/>
      <c r="EB1190" s="125"/>
      <c r="EC1190" s="16"/>
      <c r="ED1190" s="125"/>
      <c r="EE1190" s="125"/>
      <c r="EF1190" s="16"/>
      <c r="EG1190" s="125"/>
      <c r="EQ1190" s="125"/>
      <c r="ER1190" s="16"/>
      <c r="ES1190" s="123"/>
      <c r="ET1190" s="19"/>
      <c r="EU1190" s="139"/>
      <c r="EV1190" s="139"/>
      <c r="EW1190" s="123"/>
      <c r="EX1190" s="123"/>
      <c r="EY1190" s="123"/>
      <c r="EZ1190" s="123"/>
      <c r="FA1190" s="123"/>
      <c r="FB1190" s="123"/>
      <c r="FC1190" s="6"/>
      <c r="FD1190" s="123"/>
      <c r="FE1190" s="6"/>
      <c r="FF1190" s="123"/>
      <c r="FG1190" s="6"/>
      <c r="FH1190" s="6"/>
      <c r="FI1190" s="6"/>
      <c r="FJ1190" s="6"/>
      <c r="FK1190" s="123"/>
      <c r="FL1190" s="6"/>
      <c r="FM1190" s="6"/>
      <c r="FN1190" s="6"/>
      <c r="FO1190" s="138"/>
      <c r="FP1190" s="138"/>
      <c r="FQ1190" s="123"/>
      <c r="FR1190" s="6"/>
      <c r="FS1190" s="6"/>
      <c r="FT1190" s="139"/>
      <c r="FU1190" s="139"/>
      <c r="FV1190" s="76"/>
      <c r="FW1190" s="123"/>
      <c r="FX1190" s="6"/>
    </row>
    <row r="1191" spans="35:180">
      <c r="AI1191" s="125"/>
      <c r="AJ1191" s="16"/>
      <c r="AM1191" s="16"/>
      <c r="AN1191" s="16"/>
      <c r="AO1191" s="125"/>
      <c r="AP1191" s="16"/>
      <c r="AQ1191" s="125"/>
      <c r="AZ1191" s="125"/>
      <c r="BA1191" s="142"/>
      <c r="BB1191" s="125"/>
      <c r="BC1191" s="16"/>
      <c r="BD1191" s="125"/>
      <c r="BE1191" s="125"/>
      <c r="BF1191" s="16"/>
      <c r="BG1191" s="125"/>
      <c r="BQ1191" s="125"/>
      <c r="BR1191" s="16"/>
      <c r="BS1191" s="123"/>
      <c r="BT1191" s="19"/>
      <c r="BU1191" s="139"/>
      <c r="BV1191" s="139"/>
      <c r="BW1191" s="123"/>
      <c r="BX1191" s="123"/>
      <c r="BY1191" s="123"/>
      <c r="BZ1191" s="123"/>
      <c r="CA1191" s="123"/>
      <c r="CB1191" s="123"/>
      <c r="CC1191" s="6"/>
      <c r="CD1191" s="123"/>
      <c r="CE1191" s="6"/>
      <c r="CF1191" s="123"/>
      <c r="CG1191" s="6"/>
      <c r="CH1191" s="6"/>
      <c r="CI1191" s="6"/>
      <c r="CJ1191" s="6"/>
      <c r="CK1191" s="123"/>
      <c r="CL1191" s="6"/>
      <c r="CM1191" s="6"/>
      <c r="CN1191" s="6"/>
      <c r="CO1191" s="138"/>
      <c r="CP1191" s="138"/>
      <c r="CQ1191" s="123"/>
      <c r="CR1191" s="6"/>
      <c r="CS1191" s="6"/>
      <c r="CT1191" s="139"/>
      <c r="CU1191" s="139"/>
      <c r="CV1191" s="76"/>
      <c r="CW1191" s="123"/>
      <c r="CX1191" s="6"/>
      <c r="DI1191" s="125"/>
      <c r="DJ1191" s="16"/>
      <c r="DM1191" s="16"/>
      <c r="DN1191" s="16"/>
      <c r="DO1191" s="125"/>
      <c r="DP1191" s="16"/>
      <c r="DQ1191" s="125"/>
      <c r="DZ1191" s="125"/>
      <c r="EA1191" s="142"/>
      <c r="EB1191" s="125"/>
      <c r="EC1191" s="16"/>
      <c r="ED1191" s="125"/>
      <c r="EE1191" s="125"/>
      <c r="EF1191" s="16"/>
      <c r="EG1191" s="125"/>
      <c r="EQ1191" s="125"/>
      <c r="ER1191" s="16"/>
      <c r="ES1191" s="123"/>
      <c r="ET1191" s="19"/>
      <c r="EU1191" s="139"/>
      <c r="EV1191" s="139"/>
      <c r="EW1191" s="123"/>
      <c r="EX1191" s="123"/>
      <c r="EY1191" s="123"/>
      <c r="EZ1191" s="123"/>
      <c r="FA1191" s="123"/>
      <c r="FB1191" s="123"/>
      <c r="FC1191" s="6"/>
      <c r="FD1191" s="123"/>
      <c r="FE1191" s="6"/>
      <c r="FF1191" s="123"/>
      <c r="FG1191" s="6"/>
      <c r="FH1191" s="6"/>
      <c r="FI1191" s="6"/>
      <c r="FJ1191" s="6"/>
      <c r="FK1191" s="123"/>
      <c r="FL1191" s="6"/>
      <c r="FM1191" s="6"/>
      <c r="FN1191" s="6"/>
      <c r="FO1191" s="138"/>
      <c r="FP1191" s="138"/>
      <c r="FQ1191" s="123"/>
      <c r="FR1191" s="6"/>
      <c r="FS1191" s="6"/>
      <c r="FT1191" s="139"/>
      <c r="FU1191" s="139"/>
      <c r="FV1191" s="76"/>
      <c r="FW1191" s="123"/>
      <c r="FX1191" s="6"/>
    </row>
    <row r="1192" spans="35:180">
      <c r="AI1192" s="125"/>
      <c r="AJ1192" s="16"/>
      <c r="AM1192" s="16"/>
      <c r="AN1192" s="16"/>
      <c r="AO1192" s="125"/>
      <c r="AP1192" s="16"/>
      <c r="AQ1192" s="125"/>
      <c r="AZ1192" s="125"/>
      <c r="BA1192" s="142"/>
      <c r="BB1192" s="125"/>
      <c r="BC1192" s="16"/>
      <c r="BD1192" s="125"/>
      <c r="BE1192" s="125"/>
      <c r="BF1192" s="16"/>
      <c r="BG1192" s="125"/>
      <c r="BQ1192" s="125"/>
      <c r="BR1192" s="16"/>
      <c r="BS1192" s="123"/>
      <c r="BT1192" s="19"/>
      <c r="BU1192" s="139"/>
      <c r="BV1192" s="139"/>
      <c r="BW1192" s="123"/>
      <c r="BX1192" s="123"/>
      <c r="BY1192" s="123"/>
      <c r="BZ1192" s="123"/>
      <c r="CA1192" s="123"/>
      <c r="CB1192" s="123"/>
      <c r="CC1192" s="6"/>
      <c r="CD1192" s="123"/>
      <c r="CE1192" s="6"/>
      <c r="CF1192" s="123"/>
      <c r="CG1192" s="6"/>
      <c r="CH1192" s="6"/>
      <c r="CI1192" s="6"/>
      <c r="CJ1192" s="6"/>
      <c r="CK1192" s="123"/>
      <c r="CL1192" s="6"/>
      <c r="CM1192" s="6"/>
      <c r="CN1192" s="6"/>
      <c r="CO1192" s="138"/>
      <c r="CP1192" s="138"/>
      <c r="CQ1192" s="123"/>
      <c r="CR1192" s="6"/>
      <c r="CS1192" s="6"/>
      <c r="CT1192" s="139"/>
      <c r="CU1192" s="139"/>
      <c r="CV1192" s="76"/>
      <c r="CW1192" s="123"/>
      <c r="CX1192" s="6"/>
      <c r="DI1192" s="125"/>
      <c r="DJ1192" s="16"/>
      <c r="DM1192" s="16"/>
      <c r="DN1192" s="16"/>
      <c r="DO1192" s="125"/>
      <c r="DP1192" s="16"/>
      <c r="DQ1192" s="125"/>
      <c r="DZ1192" s="125"/>
      <c r="EA1192" s="142"/>
      <c r="EB1192" s="125"/>
      <c r="EC1192" s="16"/>
      <c r="ED1192" s="125"/>
      <c r="EE1192" s="125"/>
      <c r="EF1192" s="16"/>
      <c r="EG1192" s="125"/>
      <c r="EQ1192" s="125"/>
      <c r="ER1192" s="16"/>
      <c r="ES1192" s="123"/>
      <c r="ET1192" s="19"/>
      <c r="EU1192" s="139"/>
      <c r="EV1192" s="139"/>
      <c r="EW1192" s="123"/>
      <c r="EX1192" s="123"/>
      <c r="EY1192" s="123"/>
      <c r="EZ1192" s="123"/>
      <c r="FA1192" s="123"/>
      <c r="FB1192" s="123"/>
      <c r="FC1192" s="6"/>
      <c r="FD1192" s="123"/>
      <c r="FE1192" s="6"/>
      <c r="FF1192" s="123"/>
      <c r="FG1192" s="6"/>
      <c r="FH1192" s="6"/>
      <c r="FI1192" s="6"/>
      <c r="FJ1192" s="6"/>
      <c r="FK1192" s="123"/>
      <c r="FL1192" s="6"/>
      <c r="FM1192" s="6"/>
      <c r="FN1192" s="6"/>
      <c r="FO1192" s="138"/>
      <c r="FP1192" s="138"/>
      <c r="FQ1192" s="123"/>
      <c r="FR1192" s="6"/>
      <c r="FS1192" s="6"/>
      <c r="FT1192" s="139"/>
      <c r="FU1192" s="139"/>
      <c r="FV1192" s="76"/>
      <c r="FW1192" s="123"/>
      <c r="FX1192" s="6"/>
    </row>
    <row r="1193" spans="35:180">
      <c r="AI1193" s="125"/>
      <c r="AJ1193" s="16"/>
      <c r="AM1193" s="16"/>
      <c r="AN1193" s="16"/>
      <c r="AO1193" s="125"/>
      <c r="AP1193" s="16"/>
      <c r="AQ1193" s="125"/>
      <c r="AZ1193" s="125"/>
      <c r="BA1193" s="142"/>
      <c r="BB1193" s="125"/>
      <c r="BC1193" s="16"/>
      <c r="BD1193" s="125"/>
      <c r="BE1193" s="125"/>
      <c r="BF1193" s="16"/>
      <c r="BG1193" s="125"/>
      <c r="BQ1193" s="125"/>
      <c r="BR1193" s="16"/>
      <c r="BS1193" s="123"/>
      <c r="BT1193" s="19"/>
      <c r="BU1193" s="139"/>
      <c r="BV1193" s="139"/>
      <c r="BW1193" s="123"/>
      <c r="BX1193" s="123"/>
      <c r="BY1193" s="123"/>
      <c r="BZ1193" s="123"/>
      <c r="CA1193" s="123"/>
      <c r="CB1193" s="123"/>
      <c r="CC1193" s="6"/>
      <c r="CD1193" s="123"/>
      <c r="CE1193" s="6"/>
      <c r="CF1193" s="123"/>
      <c r="CG1193" s="6"/>
      <c r="CH1193" s="6"/>
      <c r="CI1193" s="6"/>
      <c r="CJ1193" s="6"/>
      <c r="CK1193" s="123"/>
      <c r="CL1193" s="6"/>
      <c r="CM1193" s="6"/>
      <c r="CN1193" s="6"/>
      <c r="CO1193" s="138"/>
      <c r="CP1193" s="138"/>
      <c r="CQ1193" s="123"/>
      <c r="CR1193" s="6"/>
      <c r="CS1193" s="6"/>
      <c r="CT1193" s="139"/>
      <c r="CU1193" s="139"/>
      <c r="CV1193" s="76"/>
      <c r="CW1193" s="123"/>
      <c r="CX1193" s="6"/>
      <c r="DI1193" s="125"/>
      <c r="DJ1193" s="16"/>
      <c r="DM1193" s="16"/>
      <c r="DN1193" s="16"/>
      <c r="DO1193" s="125"/>
      <c r="DP1193" s="16"/>
      <c r="DQ1193" s="125"/>
      <c r="DZ1193" s="125"/>
      <c r="EA1193" s="142"/>
      <c r="EB1193" s="125"/>
      <c r="EC1193" s="16"/>
      <c r="ED1193" s="125"/>
      <c r="EE1193" s="125"/>
      <c r="EF1193" s="16"/>
      <c r="EG1193" s="125"/>
      <c r="EQ1193" s="125"/>
      <c r="ER1193" s="16"/>
      <c r="ES1193" s="123"/>
      <c r="ET1193" s="19"/>
      <c r="EU1193" s="139"/>
      <c r="EV1193" s="139"/>
      <c r="EW1193" s="123"/>
      <c r="EX1193" s="123"/>
      <c r="EY1193" s="123"/>
      <c r="EZ1193" s="123"/>
      <c r="FA1193" s="123"/>
      <c r="FB1193" s="123"/>
      <c r="FC1193" s="6"/>
      <c r="FD1193" s="123"/>
      <c r="FE1193" s="6"/>
      <c r="FF1193" s="123"/>
      <c r="FG1193" s="6"/>
      <c r="FH1193" s="6"/>
      <c r="FI1193" s="6"/>
      <c r="FJ1193" s="6"/>
      <c r="FK1193" s="123"/>
      <c r="FL1193" s="6"/>
      <c r="FM1193" s="6"/>
      <c r="FN1193" s="6"/>
      <c r="FO1193" s="138"/>
      <c r="FP1193" s="138"/>
      <c r="FQ1193" s="123"/>
      <c r="FR1193" s="6"/>
      <c r="FS1193" s="6"/>
      <c r="FT1193" s="139"/>
      <c r="FU1193" s="139"/>
      <c r="FV1193" s="76"/>
      <c r="FW1193" s="123"/>
      <c r="FX1193" s="6"/>
    </row>
    <row r="1194" spans="35:180">
      <c r="AI1194" s="125"/>
      <c r="AJ1194" s="16"/>
      <c r="AM1194" s="16"/>
      <c r="AN1194" s="16"/>
      <c r="AO1194" s="125"/>
      <c r="AP1194" s="16"/>
      <c r="AQ1194" s="125"/>
      <c r="AZ1194" s="125"/>
      <c r="BA1194" s="142"/>
      <c r="BB1194" s="125"/>
      <c r="BC1194" s="16"/>
      <c r="BD1194" s="125"/>
      <c r="BE1194" s="125"/>
      <c r="BF1194" s="16"/>
      <c r="BG1194" s="125"/>
      <c r="BQ1194" s="125"/>
      <c r="BR1194" s="16"/>
      <c r="BS1194" s="123"/>
      <c r="BT1194" s="19"/>
      <c r="BU1194" s="139"/>
      <c r="BV1194" s="139"/>
      <c r="BW1194" s="123"/>
      <c r="BX1194" s="123"/>
      <c r="BY1194" s="123"/>
      <c r="BZ1194" s="123"/>
      <c r="CA1194" s="123"/>
      <c r="CB1194" s="123"/>
      <c r="CC1194" s="6"/>
      <c r="CD1194" s="123"/>
      <c r="CE1194" s="6"/>
      <c r="CF1194" s="123"/>
      <c r="CG1194" s="6"/>
      <c r="CH1194" s="6"/>
      <c r="CI1194" s="6"/>
      <c r="CJ1194" s="6"/>
      <c r="CK1194" s="123"/>
      <c r="CL1194" s="6"/>
      <c r="CM1194" s="6"/>
      <c r="CN1194" s="6"/>
      <c r="CO1194" s="138"/>
      <c r="CP1194" s="138"/>
      <c r="CQ1194" s="123"/>
      <c r="CR1194" s="6"/>
      <c r="CS1194" s="6"/>
      <c r="CT1194" s="139"/>
      <c r="CU1194" s="139"/>
      <c r="CV1194" s="76"/>
      <c r="CW1194" s="123"/>
      <c r="CX1194" s="6"/>
      <c r="DI1194" s="125"/>
      <c r="DJ1194" s="16"/>
      <c r="DM1194" s="16"/>
      <c r="DN1194" s="16"/>
      <c r="DO1194" s="125"/>
      <c r="DP1194" s="16"/>
      <c r="DQ1194" s="125"/>
      <c r="DZ1194" s="125"/>
      <c r="EA1194" s="142"/>
      <c r="EB1194" s="125"/>
      <c r="EC1194" s="16"/>
      <c r="ED1194" s="125"/>
      <c r="EE1194" s="125"/>
      <c r="EF1194" s="16"/>
      <c r="EG1194" s="125"/>
      <c r="EQ1194" s="125"/>
      <c r="ER1194" s="16"/>
      <c r="ES1194" s="123"/>
      <c r="ET1194" s="19"/>
      <c r="EU1194" s="139"/>
      <c r="EV1194" s="139"/>
      <c r="EW1194" s="123"/>
      <c r="EX1194" s="123"/>
      <c r="EY1194" s="123"/>
      <c r="EZ1194" s="123"/>
      <c r="FA1194" s="123"/>
      <c r="FB1194" s="123"/>
      <c r="FC1194" s="6"/>
      <c r="FD1194" s="123"/>
      <c r="FE1194" s="6"/>
      <c r="FF1194" s="123"/>
      <c r="FG1194" s="6"/>
      <c r="FH1194" s="6"/>
      <c r="FI1194" s="6"/>
      <c r="FJ1194" s="6"/>
      <c r="FK1194" s="123"/>
      <c r="FL1194" s="6"/>
      <c r="FM1194" s="6"/>
      <c r="FN1194" s="6"/>
      <c r="FO1194" s="138"/>
      <c r="FP1194" s="138"/>
      <c r="FQ1194" s="123"/>
      <c r="FR1194" s="6"/>
      <c r="FS1194" s="6"/>
      <c r="FT1194" s="139"/>
      <c r="FU1194" s="139"/>
      <c r="FV1194" s="76"/>
      <c r="FW1194" s="123"/>
      <c r="FX1194" s="6"/>
    </row>
    <row r="1195" spans="35:180">
      <c r="AI1195" s="125"/>
      <c r="AJ1195" s="16"/>
      <c r="AM1195" s="16"/>
      <c r="AN1195" s="16"/>
      <c r="AO1195" s="125"/>
      <c r="AP1195" s="16"/>
      <c r="AQ1195" s="125"/>
      <c r="AZ1195" s="125"/>
      <c r="BA1195" s="142"/>
      <c r="BB1195" s="125"/>
      <c r="BC1195" s="16"/>
      <c r="BD1195" s="125"/>
      <c r="BE1195" s="125"/>
      <c r="BF1195" s="16"/>
      <c r="BG1195" s="125"/>
      <c r="BQ1195" s="125"/>
      <c r="BR1195" s="16"/>
      <c r="BS1195" s="123"/>
      <c r="BT1195" s="19"/>
      <c r="BU1195" s="139"/>
      <c r="BV1195" s="139"/>
      <c r="BW1195" s="123"/>
      <c r="BX1195" s="123"/>
      <c r="BY1195" s="123"/>
      <c r="BZ1195" s="123"/>
      <c r="CA1195" s="123"/>
      <c r="CB1195" s="123"/>
      <c r="CC1195" s="6"/>
      <c r="CD1195" s="123"/>
      <c r="CE1195" s="6"/>
      <c r="CF1195" s="123"/>
      <c r="CG1195" s="6"/>
      <c r="CH1195" s="6"/>
      <c r="CI1195" s="6"/>
      <c r="CJ1195" s="6"/>
      <c r="CK1195" s="123"/>
      <c r="CL1195" s="6"/>
      <c r="CM1195" s="6"/>
      <c r="CN1195" s="6"/>
      <c r="CO1195" s="138"/>
      <c r="CP1195" s="138"/>
      <c r="CQ1195" s="123"/>
      <c r="CR1195" s="6"/>
      <c r="CS1195" s="6"/>
      <c r="CT1195" s="139"/>
      <c r="CU1195" s="139"/>
      <c r="CV1195" s="76"/>
      <c r="CW1195" s="123"/>
      <c r="CX1195" s="6"/>
      <c r="DI1195" s="125"/>
      <c r="DJ1195" s="16"/>
      <c r="DM1195" s="16"/>
      <c r="DN1195" s="16"/>
      <c r="DO1195" s="125"/>
      <c r="DP1195" s="16"/>
      <c r="DQ1195" s="125"/>
      <c r="DZ1195" s="125"/>
      <c r="EA1195" s="142"/>
      <c r="EB1195" s="125"/>
      <c r="EC1195" s="16"/>
      <c r="ED1195" s="125"/>
      <c r="EE1195" s="125"/>
      <c r="EF1195" s="16"/>
      <c r="EG1195" s="125"/>
      <c r="EQ1195" s="125"/>
      <c r="ER1195" s="16"/>
      <c r="ES1195" s="123"/>
      <c r="ET1195" s="19"/>
      <c r="EU1195" s="139"/>
      <c r="EV1195" s="139"/>
      <c r="EW1195" s="123"/>
      <c r="EX1195" s="123"/>
      <c r="EY1195" s="123"/>
      <c r="EZ1195" s="123"/>
      <c r="FA1195" s="123"/>
      <c r="FB1195" s="123"/>
      <c r="FC1195" s="6"/>
      <c r="FD1195" s="123"/>
      <c r="FE1195" s="6"/>
      <c r="FF1195" s="123"/>
      <c r="FG1195" s="6"/>
      <c r="FH1195" s="6"/>
      <c r="FI1195" s="6"/>
      <c r="FJ1195" s="6"/>
      <c r="FK1195" s="123"/>
      <c r="FL1195" s="6"/>
      <c r="FM1195" s="6"/>
      <c r="FN1195" s="6"/>
      <c r="FO1195" s="138"/>
      <c r="FP1195" s="138"/>
      <c r="FQ1195" s="123"/>
      <c r="FR1195" s="6"/>
      <c r="FS1195" s="6"/>
      <c r="FT1195" s="139"/>
      <c r="FU1195" s="139"/>
      <c r="FV1195" s="76"/>
      <c r="FW1195" s="123"/>
      <c r="FX1195" s="6"/>
    </row>
    <row r="1196" spans="35:180">
      <c r="AI1196" s="125"/>
      <c r="AJ1196" s="16"/>
      <c r="AM1196" s="16"/>
      <c r="AN1196" s="16"/>
      <c r="AO1196" s="125"/>
      <c r="AP1196" s="16"/>
      <c r="AQ1196" s="125"/>
      <c r="AZ1196" s="125"/>
      <c r="BA1196" s="142"/>
      <c r="BB1196" s="125"/>
      <c r="BC1196" s="16"/>
      <c r="BD1196" s="125"/>
      <c r="BE1196" s="125"/>
      <c r="BF1196" s="16"/>
      <c r="BG1196" s="125"/>
      <c r="BQ1196" s="125"/>
      <c r="BR1196" s="16"/>
      <c r="BS1196" s="123"/>
      <c r="BT1196" s="19"/>
      <c r="BU1196" s="139"/>
      <c r="BV1196" s="139"/>
      <c r="BW1196" s="123"/>
      <c r="BX1196" s="123"/>
      <c r="BY1196" s="123"/>
      <c r="BZ1196" s="123"/>
      <c r="CA1196" s="123"/>
      <c r="CB1196" s="123"/>
      <c r="CC1196" s="6"/>
      <c r="CD1196" s="123"/>
      <c r="CE1196" s="6"/>
      <c r="CF1196" s="123"/>
      <c r="CG1196" s="6"/>
      <c r="CH1196" s="6"/>
      <c r="CI1196" s="6"/>
      <c r="CJ1196" s="6"/>
      <c r="CK1196" s="123"/>
      <c r="CL1196" s="6"/>
      <c r="CM1196" s="6"/>
      <c r="CN1196" s="6"/>
      <c r="CO1196" s="138"/>
      <c r="CP1196" s="138"/>
      <c r="CQ1196" s="123"/>
      <c r="CR1196" s="6"/>
      <c r="CS1196" s="6"/>
      <c r="CT1196" s="139"/>
      <c r="CU1196" s="139"/>
      <c r="CV1196" s="76"/>
      <c r="CW1196" s="123"/>
      <c r="CX1196" s="6"/>
      <c r="DI1196" s="125"/>
      <c r="DJ1196" s="16"/>
      <c r="DM1196" s="16"/>
      <c r="DN1196" s="16"/>
      <c r="DO1196" s="125"/>
      <c r="DP1196" s="16"/>
      <c r="DQ1196" s="125"/>
      <c r="DZ1196" s="125"/>
      <c r="EA1196" s="142"/>
      <c r="EB1196" s="125"/>
      <c r="EC1196" s="16"/>
      <c r="ED1196" s="125"/>
      <c r="EE1196" s="125"/>
      <c r="EF1196" s="16"/>
      <c r="EG1196" s="125"/>
      <c r="EQ1196" s="125"/>
      <c r="ER1196" s="16"/>
      <c r="ES1196" s="123"/>
      <c r="ET1196" s="19"/>
      <c r="EU1196" s="139"/>
      <c r="EV1196" s="139"/>
      <c r="EW1196" s="123"/>
      <c r="EX1196" s="123"/>
      <c r="EY1196" s="123"/>
      <c r="EZ1196" s="123"/>
      <c r="FA1196" s="123"/>
      <c r="FB1196" s="123"/>
      <c r="FC1196" s="6"/>
      <c r="FD1196" s="123"/>
      <c r="FE1196" s="6"/>
      <c r="FF1196" s="123"/>
      <c r="FG1196" s="6"/>
      <c r="FH1196" s="6"/>
      <c r="FI1196" s="6"/>
      <c r="FJ1196" s="6"/>
      <c r="FK1196" s="123"/>
      <c r="FL1196" s="6"/>
      <c r="FM1196" s="6"/>
      <c r="FN1196" s="6"/>
      <c r="FO1196" s="138"/>
      <c r="FP1196" s="138"/>
      <c r="FQ1196" s="123"/>
      <c r="FR1196" s="6"/>
      <c r="FS1196" s="6"/>
      <c r="FT1196" s="139"/>
      <c r="FU1196" s="139"/>
      <c r="FV1196" s="76"/>
      <c r="FW1196" s="123"/>
      <c r="FX1196" s="6"/>
    </row>
    <row r="1197" spans="35:180">
      <c r="AI1197" s="125"/>
      <c r="AJ1197" s="16"/>
      <c r="AM1197" s="16"/>
      <c r="AN1197" s="16"/>
      <c r="AO1197" s="125"/>
      <c r="AP1197" s="16"/>
      <c r="AQ1197" s="125"/>
      <c r="AZ1197" s="125"/>
      <c r="BA1197" s="142"/>
      <c r="BB1197" s="125"/>
      <c r="BC1197" s="16"/>
      <c r="BD1197" s="125"/>
      <c r="BE1197" s="125"/>
      <c r="BF1197" s="16"/>
      <c r="BG1197" s="125"/>
      <c r="BQ1197" s="125"/>
      <c r="BR1197" s="16"/>
      <c r="BS1197" s="123"/>
      <c r="BT1197" s="19"/>
      <c r="BU1197" s="139"/>
      <c r="BV1197" s="139"/>
      <c r="BW1197" s="123"/>
      <c r="BX1197" s="123"/>
      <c r="BY1197" s="123"/>
      <c r="BZ1197" s="123"/>
      <c r="CA1197" s="123"/>
      <c r="CB1197" s="123"/>
      <c r="CC1197" s="6"/>
      <c r="CD1197" s="123"/>
      <c r="CE1197" s="6"/>
      <c r="CF1197" s="123"/>
      <c r="CG1197" s="6"/>
      <c r="CH1197" s="6"/>
      <c r="CI1197" s="6"/>
      <c r="CJ1197" s="6"/>
      <c r="CK1197" s="123"/>
      <c r="CL1197" s="6"/>
      <c r="CM1197" s="6"/>
      <c r="CN1197" s="6"/>
      <c r="CO1197" s="138"/>
      <c r="CP1197" s="138"/>
      <c r="CQ1197" s="123"/>
      <c r="CR1197" s="6"/>
      <c r="CS1197" s="6"/>
      <c r="CT1197" s="139"/>
      <c r="CU1197" s="139"/>
      <c r="CV1197" s="76"/>
      <c r="CW1197" s="123"/>
      <c r="CX1197" s="6"/>
      <c r="DI1197" s="125"/>
      <c r="DJ1197" s="16"/>
      <c r="DM1197" s="16"/>
      <c r="DN1197" s="16"/>
      <c r="DO1197" s="125"/>
      <c r="DP1197" s="16"/>
      <c r="DQ1197" s="125"/>
      <c r="DZ1197" s="125"/>
      <c r="EA1197" s="142"/>
      <c r="EB1197" s="125"/>
      <c r="EC1197" s="16"/>
      <c r="ED1197" s="125"/>
      <c r="EE1197" s="125"/>
      <c r="EF1197" s="16"/>
      <c r="EG1197" s="125"/>
      <c r="EQ1197" s="125"/>
      <c r="ER1197" s="16"/>
      <c r="ES1197" s="123"/>
      <c r="ET1197" s="19"/>
      <c r="EU1197" s="139"/>
      <c r="EV1197" s="139"/>
      <c r="EW1197" s="123"/>
      <c r="EX1197" s="123"/>
      <c r="EY1197" s="123"/>
      <c r="EZ1197" s="123"/>
      <c r="FA1197" s="123"/>
      <c r="FB1197" s="123"/>
      <c r="FC1197" s="6"/>
      <c r="FD1197" s="123"/>
      <c r="FE1197" s="6"/>
      <c r="FF1197" s="123"/>
      <c r="FG1197" s="6"/>
      <c r="FH1197" s="6"/>
      <c r="FI1197" s="6"/>
      <c r="FJ1197" s="6"/>
      <c r="FK1197" s="123"/>
      <c r="FL1197" s="6"/>
      <c r="FM1197" s="6"/>
      <c r="FN1197" s="6"/>
      <c r="FO1197" s="138"/>
      <c r="FP1197" s="138"/>
      <c r="FQ1197" s="123"/>
      <c r="FR1197" s="6"/>
      <c r="FS1197" s="6"/>
      <c r="FT1197" s="139"/>
      <c r="FU1197" s="139"/>
      <c r="FV1197" s="76"/>
      <c r="FW1197" s="123"/>
      <c r="FX1197" s="6"/>
    </row>
    <row r="1198" spans="35:180">
      <c r="AI1198" s="125"/>
      <c r="AJ1198" s="16"/>
      <c r="AM1198" s="16"/>
      <c r="AN1198" s="16"/>
      <c r="AO1198" s="125"/>
      <c r="AP1198" s="16"/>
      <c r="AQ1198" s="125"/>
      <c r="AZ1198" s="125"/>
      <c r="BA1198" s="142"/>
      <c r="BB1198" s="125"/>
      <c r="BC1198" s="16"/>
      <c r="BD1198" s="125"/>
      <c r="BE1198" s="125"/>
      <c r="BF1198" s="16"/>
      <c r="BG1198" s="125"/>
      <c r="BQ1198" s="125"/>
      <c r="BR1198" s="16"/>
      <c r="BS1198" s="123"/>
      <c r="BT1198" s="19"/>
      <c r="BU1198" s="139"/>
      <c r="BV1198" s="139"/>
      <c r="BW1198" s="123"/>
      <c r="BX1198" s="123"/>
      <c r="BY1198" s="123"/>
      <c r="BZ1198" s="123"/>
      <c r="CA1198" s="123"/>
      <c r="CB1198" s="123"/>
      <c r="CC1198" s="6"/>
      <c r="CD1198" s="123"/>
      <c r="CE1198" s="6"/>
      <c r="CF1198" s="123"/>
      <c r="CG1198" s="6"/>
      <c r="CH1198" s="6"/>
      <c r="CI1198" s="6"/>
      <c r="CJ1198" s="6"/>
      <c r="CK1198" s="123"/>
      <c r="CL1198" s="6"/>
      <c r="CM1198" s="6"/>
      <c r="CN1198" s="6"/>
      <c r="CO1198" s="138"/>
      <c r="CP1198" s="138"/>
      <c r="CQ1198" s="123"/>
      <c r="CR1198" s="6"/>
      <c r="CS1198" s="6"/>
      <c r="CT1198" s="139"/>
      <c r="CU1198" s="139"/>
      <c r="CV1198" s="76"/>
      <c r="CW1198" s="123"/>
      <c r="CX1198" s="6"/>
      <c r="DI1198" s="125"/>
      <c r="DJ1198" s="16"/>
      <c r="DM1198" s="16"/>
      <c r="DN1198" s="16"/>
      <c r="DO1198" s="125"/>
      <c r="DP1198" s="16"/>
      <c r="DQ1198" s="125"/>
      <c r="DZ1198" s="125"/>
      <c r="EA1198" s="142"/>
      <c r="EB1198" s="125"/>
      <c r="EC1198" s="16"/>
      <c r="ED1198" s="125"/>
      <c r="EE1198" s="125"/>
      <c r="EF1198" s="16"/>
      <c r="EG1198" s="125"/>
      <c r="EQ1198" s="125"/>
      <c r="ER1198" s="16"/>
      <c r="ES1198" s="123"/>
      <c r="ET1198" s="19"/>
      <c r="EU1198" s="139"/>
      <c r="EV1198" s="139"/>
      <c r="EW1198" s="123"/>
      <c r="EX1198" s="123"/>
      <c r="EY1198" s="123"/>
      <c r="EZ1198" s="123"/>
      <c r="FA1198" s="123"/>
      <c r="FB1198" s="123"/>
      <c r="FC1198" s="6"/>
      <c r="FD1198" s="123"/>
      <c r="FE1198" s="6"/>
      <c r="FF1198" s="123"/>
      <c r="FG1198" s="6"/>
      <c r="FH1198" s="6"/>
      <c r="FI1198" s="6"/>
      <c r="FJ1198" s="6"/>
      <c r="FK1198" s="123"/>
      <c r="FL1198" s="6"/>
      <c r="FM1198" s="6"/>
      <c r="FN1198" s="6"/>
      <c r="FO1198" s="138"/>
      <c r="FP1198" s="138"/>
      <c r="FQ1198" s="123"/>
      <c r="FR1198" s="6"/>
      <c r="FS1198" s="6"/>
      <c r="FT1198" s="139"/>
      <c r="FU1198" s="139"/>
      <c r="FV1198" s="76"/>
      <c r="FW1198" s="123"/>
      <c r="FX1198" s="6"/>
    </row>
    <row r="1199" spans="35:180">
      <c r="AI1199" s="125"/>
      <c r="AJ1199" s="16"/>
      <c r="AM1199" s="16"/>
      <c r="AN1199" s="16"/>
      <c r="AO1199" s="125"/>
      <c r="AP1199" s="16"/>
      <c r="AQ1199" s="125"/>
      <c r="AZ1199" s="125"/>
      <c r="BA1199" s="142"/>
      <c r="BB1199" s="125"/>
      <c r="BC1199" s="16"/>
      <c r="BD1199" s="125"/>
      <c r="BE1199" s="125"/>
      <c r="BF1199" s="16"/>
      <c r="BG1199" s="125"/>
      <c r="BQ1199" s="125"/>
      <c r="BR1199" s="16"/>
      <c r="BS1199" s="123"/>
      <c r="BT1199" s="19"/>
      <c r="BU1199" s="139"/>
      <c r="BV1199" s="139"/>
      <c r="BW1199" s="123"/>
      <c r="BX1199" s="123"/>
      <c r="BY1199" s="123"/>
      <c r="BZ1199" s="123"/>
      <c r="CA1199" s="123"/>
      <c r="CB1199" s="123"/>
      <c r="CC1199" s="6"/>
      <c r="CD1199" s="123"/>
      <c r="CE1199" s="6"/>
      <c r="CF1199" s="123"/>
      <c r="CG1199" s="6"/>
      <c r="CH1199" s="6"/>
      <c r="CI1199" s="6"/>
      <c r="CJ1199" s="6"/>
      <c r="CK1199" s="123"/>
      <c r="CL1199" s="6"/>
      <c r="CM1199" s="6"/>
      <c r="CN1199" s="6"/>
      <c r="CO1199" s="138"/>
      <c r="CP1199" s="138"/>
      <c r="CQ1199" s="123"/>
      <c r="CR1199" s="6"/>
      <c r="CS1199" s="6"/>
      <c r="CT1199" s="139"/>
      <c r="CU1199" s="139"/>
      <c r="CV1199" s="76"/>
      <c r="CW1199" s="123"/>
      <c r="CX1199" s="6"/>
      <c r="DI1199" s="125"/>
      <c r="DJ1199" s="16"/>
      <c r="DM1199" s="16"/>
      <c r="DN1199" s="16"/>
      <c r="DO1199" s="125"/>
      <c r="DP1199" s="16"/>
      <c r="DQ1199" s="125"/>
      <c r="DZ1199" s="125"/>
      <c r="EA1199" s="142"/>
      <c r="EB1199" s="125"/>
      <c r="EC1199" s="16"/>
      <c r="ED1199" s="125"/>
      <c r="EE1199" s="125"/>
      <c r="EF1199" s="16"/>
      <c r="EG1199" s="125"/>
      <c r="EQ1199" s="125"/>
      <c r="ER1199" s="16"/>
      <c r="ES1199" s="123"/>
      <c r="ET1199" s="19"/>
      <c r="EU1199" s="139"/>
      <c r="EV1199" s="139"/>
      <c r="EW1199" s="123"/>
      <c r="EX1199" s="123"/>
      <c r="EY1199" s="123"/>
      <c r="EZ1199" s="123"/>
      <c r="FA1199" s="123"/>
      <c r="FB1199" s="123"/>
      <c r="FC1199" s="6"/>
      <c r="FD1199" s="123"/>
      <c r="FE1199" s="6"/>
      <c r="FF1199" s="123"/>
      <c r="FG1199" s="6"/>
      <c r="FH1199" s="6"/>
      <c r="FI1199" s="6"/>
      <c r="FJ1199" s="6"/>
      <c r="FK1199" s="123"/>
      <c r="FL1199" s="6"/>
      <c r="FM1199" s="6"/>
      <c r="FN1199" s="6"/>
      <c r="FO1199" s="138"/>
      <c r="FP1199" s="138"/>
      <c r="FQ1199" s="123"/>
      <c r="FR1199" s="6"/>
      <c r="FS1199" s="6"/>
      <c r="FT1199" s="139"/>
      <c r="FU1199" s="139"/>
      <c r="FV1199" s="76"/>
      <c r="FW1199" s="123"/>
      <c r="FX1199" s="6"/>
    </row>
    <row r="1200" spans="35:180">
      <c r="AI1200" s="125"/>
      <c r="AJ1200" s="16"/>
      <c r="AM1200" s="16"/>
      <c r="AN1200" s="16"/>
      <c r="AO1200" s="125"/>
      <c r="AP1200" s="16"/>
      <c r="AQ1200" s="125"/>
      <c r="AZ1200" s="125"/>
      <c r="BA1200" s="142"/>
      <c r="BB1200" s="125"/>
      <c r="BC1200" s="16"/>
      <c r="BD1200" s="125"/>
      <c r="BE1200" s="125"/>
      <c r="BF1200" s="16"/>
      <c r="BG1200" s="125"/>
      <c r="BQ1200" s="125"/>
      <c r="BR1200" s="16"/>
      <c r="BS1200" s="123"/>
      <c r="BT1200" s="19"/>
      <c r="BU1200" s="139"/>
      <c r="BV1200" s="139"/>
      <c r="BW1200" s="123"/>
      <c r="BX1200" s="123"/>
      <c r="BY1200" s="123"/>
      <c r="BZ1200" s="123"/>
      <c r="CA1200" s="123"/>
      <c r="CB1200" s="123"/>
      <c r="CC1200" s="6"/>
      <c r="CD1200" s="123"/>
      <c r="CE1200" s="6"/>
      <c r="CF1200" s="123"/>
      <c r="CG1200" s="6"/>
      <c r="CH1200" s="6"/>
      <c r="CI1200" s="6"/>
      <c r="CJ1200" s="6"/>
      <c r="CK1200" s="123"/>
      <c r="CL1200" s="6"/>
      <c r="CM1200" s="6"/>
      <c r="CN1200" s="6"/>
      <c r="CO1200" s="138"/>
      <c r="CP1200" s="138"/>
      <c r="CQ1200" s="123"/>
      <c r="CR1200" s="6"/>
      <c r="CS1200" s="6"/>
      <c r="CT1200" s="139"/>
      <c r="CU1200" s="139"/>
      <c r="CV1200" s="76"/>
      <c r="CW1200" s="123"/>
      <c r="CX1200" s="6"/>
      <c r="DI1200" s="125"/>
      <c r="DJ1200" s="16"/>
      <c r="DM1200" s="16"/>
      <c r="DN1200" s="16"/>
      <c r="DO1200" s="125"/>
      <c r="DP1200" s="16"/>
      <c r="DQ1200" s="125"/>
      <c r="DZ1200" s="125"/>
      <c r="EA1200" s="142"/>
      <c r="EB1200" s="125"/>
      <c r="EC1200" s="16"/>
      <c r="ED1200" s="125"/>
      <c r="EE1200" s="125"/>
      <c r="EF1200" s="16"/>
      <c r="EG1200" s="125"/>
      <c r="EQ1200" s="125"/>
      <c r="ER1200" s="16"/>
      <c r="ES1200" s="123"/>
      <c r="ET1200" s="19"/>
      <c r="EU1200" s="139"/>
      <c r="EV1200" s="139"/>
      <c r="EW1200" s="123"/>
      <c r="EX1200" s="123"/>
      <c r="EY1200" s="123"/>
      <c r="EZ1200" s="123"/>
      <c r="FA1200" s="123"/>
      <c r="FB1200" s="123"/>
      <c r="FC1200" s="6"/>
      <c r="FD1200" s="123"/>
      <c r="FE1200" s="6"/>
      <c r="FF1200" s="123"/>
      <c r="FG1200" s="6"/>
      <c r="FH1200" s="6"/>
      <c r="FI1200" s="6"/>
      <c r="FJ1200" s="6"/>
      <c r="FK1200" s="123"/>
      <c r="FL1200" s="6"/>
      <c r="FM1200" s="6"/>
      <c r="FN1200" s="6"/>
      <c r="FO1200" s="138"/>
      <c r="FP1200" s="138"/>
      <c r="FQ1200" s="123"/>
      <c r="FR1200" s="6"/>
      <c r="FS1200" s="6"/>
      <c r="FT1200" s="139"/>
      <c r="FU1200" s="139"/>
      <c r="FV1200" s="76"/>
      <c r="FW1200" s="123"/>
      <c r="FX1200" s="6"/>
    </row>
    <row r="1201" spans="35:180">
      <c r="AI1201" s="125"/>
      <c r="AJ1201" s="16"/>
      <c r="AM1201" s="16"/>
      <c r="AN1201" s="16"/>
      <c r="AO1201" s="125"/>
      <c r="AP1201" s="16"/>
      <c r="AQ1201" s="125"/>
      <c r="AZ1201" s="125"/>
      <c r="BA1201" s="142"/>
      <c r="BB1201" s="125"/>
      <c r="BC1201" s="16"/>
      <c r="BD1201" s="125"/>
      <c r="BE1201" s="125"/>
      <c r="BF1201" s="16"/>
      <c r="BG1201" s="125"/>
      <c r="BQ1201" s="125"/>
      <c r="BR1201" s="16"/>
      <c r="BS1201" s="123"/>
      <c r="BT1201" s="19"/>
      <c r="BU1201" s="139"/>
      <c r="BV1201" s="139"/>
      <c r="BW1201" s="123"/>
      <c r="BX1201" s="123"/>
      <c r="BY1201" s="123"/>
      <c r="BZ1201" s="123"/>
      <c r="CA1201" s="123"/>
      <c r="CB1201" s="123"/>
      <c r="CC1201" s="6"/>
      <c r="CD1201" s="123"/>
      <c r="CE1201" s="6"/>
      <c r="CF1201" s="123"/>
      <c r="CG1201" s="6"/>
      <c r="CH1201" s="6"/>
      <c r="CI1201" s="6"/>
      <c r="CJ1201" s="6"/>
      <c r="CK1201" s="123"/>
      <c r="CL1201" s="6"/>
      <c r="CM1201" s="6"/>
      <c r="CN1201" s="6"/>
      <c r="CO1201" s="138"/>
      <c r="CP1201" s="138"/>
      <c r="CQ1201" s="123"/>
      <c r="CR1201" s="6"/>
      <c r="CS1201" s="6"/>
      <c r="CT1201" s="139"/>
      <c r="CU1201" s="139"/>
      <c r="CV1201" s="76"/>
      <c r="CW1201" s="123"/>
      <c r="CX1201" s="6"/>
      <c r="DI1201" s="125"/>
      <c r="DJ1201" s="16"/>
      <c r="DM1201" s="16"/>
      <c r="DN1201" s="16"/>
      <c r="DO1201" s="125"/>
      <c r="DP1201" s="16"/>
      <c r="DQ1201" s="125"/>
      <c r="DZ1201" s="125"/>
      <c r="EA1201" s="142"/>
      <c r="EB1201" s="125"/>
      <c r="EC1201" s="16"/>
      <c r="ED1201" s="125"/>
      <c r="EE1201" s="125"/>
      <c r="EF1201" s="16"/>
      <c r="EG1201" s="125"/>
      <c r="EQ1201" s="125"/>
      <c r="ER1201" s="16"/>
      <c r="ES1201" s="123"/>
      <c r="ET1201" s="19"/>
      <c r="EU1201" s="139"/>
      <c r="EV1201" s="139"/>
      <c r="EW1201" s="123"/>
      <c r="EX1201" s="123"/>
      <c r="EY1201" s="123"/>
      <c r="EZ1201" s="123"/>
      <c r="FA1201" s="123"/>
      <c r="FB1201" s="123"/>
      <c r="FC1201" s="6"/>
      <c r="FD1201" s="123"/>
      <c r="FE1201" s="6"/>
      <c r="FF1201" s="123"/>
      <c r="FG1201" s="6"/>
      <c r="FH1201" s="6"/>
      <c r="FI1201" s="6"/>
      <c r="FJ1201" s="6"/>
      <c r="FK1201" s="123"/>
      <c r="FL1201" s="6"/>
      <c r="FM1201" s="6"/>
      <c r="FN1201" s="6"/>
      <c r="FO1201" s="138"/>
      <c r="FP1201" s="138"/>
      <c r="FQ1201" s="123"/>
      <c r="FR1201" s="6"/>
      <c r="FS1201" s="6"/>
      <c r="FT1201" s="139"/>
      <c r="FU1201" s="139"/>
      <c r="FV1201" s="76"/>
      <c r="FW1201" s="123"/>
      <c r="FX1201" s="6"/>
    </row>
    <row r="1202" spans="35:180">
      <c r="AI1202" s="125"/>
      <c r="AJ1202" s="16"/>
      <c r="AM1202" s="16"/>
      <c r="AN1202" s="16"/>
      <c r="AO1202" s="125"/>
      <c r="AP1202" s="16"/>
      <c r="AQ1202" s="125"/>
      <c r="AZ1202" s="125"/>
      <c r="BA1202" s="142"/>
      <c r="BB1202" s="125"/>
      <c r="BC1202" s="16"/>
      <c r="BD1202" s="125"/>
      <c r="BE1202" s="125"/>
      <c r="BF1202" s="16"/>
      <c r="BG1202" s="125"/>
      <c r="BQ1202" s="125"/>
      <c r="BR1202" s="16"/>
      <c r="BS1202" s="123"/>
      <c r="BT1202" s="19"/>
      <c r="BU1202" s="139"/>
      <c r="BV1202" s="139"/>
      <c r="BW1202" s="123"/>
      <c r="BX1202" s="123"/>
      <c r="BY1202" s="123"/>
      <c r="BZ1202" s="123"/>
      <c r="CA1202" s="123"/>
      <c r="CB1202" s="123"/>
      <c r="CC1202" s="6"/>
      <c r="CD1202" s="123"/>
      <c r="CE1202" s="6"/>
      <c r="CF1202" s="123"/>
      <c r="CG1202" s="6"/>
      <c r="CH1202" s="6"/>
      <c r="CI1202" s="6"/>
      <c r="CJ1202" s="6"/>
      <c r="CK1202" s="123"/>
      <c r="CL1202" s="6"/>
      <c r="CM1202" s="6"/>
      <c r="CN1202" s="6"/>
      <c r="CO1202" s="138"/>
      <c r="CP1202" s="138"/>
      <c r="CQ1202" s="123"/>
      <c r="CR1202" s="6"/>
      <c r="CS1202" s="6"/>
      <c r="CT1202" s="139"/>
      <c r="CU1202" s="139"/>
      <c r="CV1202" s="76"/>
      <c r="CW1202" s="123"/>
      <c r="CX1202" s="6"/>
      <c r="DI1202" s="125"/>
      <c r="DJ1202" s="16"/>
      <c r="DM1202" s="16"/>
      <c r="DN1202" s="16"/>
      <c r="DO1202" s="125"/>
      <c r="DP1202" s="16"/>
      <c r="DQ1202" s="125"/>
      <c r="DZ1202" s="125"/>
      <c r="EA1202" s="142"/>
      <c r="EB1202" s="125"/>
      <c r="EC1202" s="16"/>
      <c r="ED1202" s="125"/>
      <c r="EE1202" s="125"/>
      <c r="EF1202" s="16"/>
      <c r="EG1202" s="125"/>
      <c r="EQ1202" s="125"/>
      <c r="ER1202" s="16"/>
      <c r="ES1202" s="123"/>
      <c r="ET1202" s="19"/>
      <c r="EU1202" s="139"/>
      <c r="EV1202" s="139"/>
      <c r="EW1202" s="123"/>
      <c r="EX1202" s="123"/>
      <c r="EY1202" s="123"/>
      <c r="EZ1202" s="123"/>
      <c r="FA1202" s="123"/>
      <c r="FB1202" s="123"/>
      <c r="FC1202" s="6"/>
      <c r="FD1202" s="123"/>
      <c r="FE1202" s="6"/>
      <c r="FF1202" s="123"/>
      <c r="FG1202" s="6"/>
      <c r="FH1202" s="6"/>
      <c r="FI1202" s="6"/>
      <c r="FJ1202" s="6"/>
      <c r="FK1202" s="123"/>
      <c r="FL1202" s="6"/>
      <c r="FM1202" s="6"/>
      <c r="FN1202" s="6"/>
      <c r="FO1202" s="138"/>
      <c r="FP1202" s="138"/>
      <c r="FQ1202" s="123"/>
      <c r="FR1202" s="6"/>
      <c r="FS1202" s="6"/>
      <c r="FT1202" s="139"/>
      <c r="FU1202" s="139"/>
      <c r="FV1202" s="76"/>
      <c r="FW1202" s="123"/>
      <c r="FX1202" s="6"/>
    </row>
    <row r="1203" spans="35:180">
      <c r="AI1203" s="125"/>
      <c r="AJ1203" s="16"/>
      <c r="AM1203" s="16"/>
      <c r="AN1203" s="16"/>
      <c r="AO1203" s="125"/>
      <c r="AP1203" s="16"/>
      <c r="AQ1203" s="125"/>
      <c r="AZ1203" s="125"/>
      <c r="BA1203" s="142"/>
      <c r="BB1203" s="125"/>
      <c r="BC1203" s="16"/>
      <c r="BD1203" s="125"/>
      <c r="BE1203" s="125"/>
      <c r="BF1203" s="16"/>
      <c r="BG1203" s="125"/>
      <c r="BQ1203" s="125"/>
      <c r="BR1203" s="16"/>
      <c r="BS1203" s="123"/>
      <c r="BT1203" s="19"/>
      <c r="BU1203" s="139"/>
      <c r="BV1203" s="139"/>
      <c r="BW1203" s="123"/>
      <c r="BX1203" s="123"/>
      <c r="BY1203" s="123"/>
      <c r="BZ1203" s="123"/>
      <c r="CA1203" s="123"/>
      <c r="CB1203" s="123"/>
      <c r="CC1203" s="6"/>
      <c r="CD1203" s="123"/>
      <c r="CE1203" s="6"/>
      <c r="CF1203" s="123"/>
      <c r="CG1203" s="6"/>
      <c r="CH1203" s="6"/>
      <c r="CI1203" s="6"/>
      <c r="CJ1203" s="6"/>
      <c r="CK1203" s="123"/>
      <c r="CL1203" s="6"/>
      <c r="CM1203" s="6"/>
      <c r="CN1203" s="6"/>
      <c r="CO1203" s="138"/>
      <c r="CP1203" s="138"/>
      <c r="CQ1203" s="123"/>
      <c r="CR1203" s="6"/>
      <c r="CS1203" s="6"/>
      <c r="CT1203" s="139"/>
      <c r="CU1203" s="139"/>
      <c r="CV1203" s="76"/>
      <c r="CW1203" s="123"/>
      <c r="CX1203" s="6"/>
      <c r="DI1203" s="125"/>
      <c r="DJ1203" s="16"/>
      <c r="DM1203" s="16"/>
      <c r="DN1203" s="16"/>
      <c r="DO1203" s="125"/>
      <c r="DP1203" s="16"/>
      <c r="DQ1203" s="125"/>
      <c r="DZ1203" s="125"/>
      <c r="EA1203" s="142"/>
      <c r="EB1203" s="125"/>
      <c r="EC1203" s="16"/>
      <c r="ED1203" s="125"/>
      <c r="EE1203" s="125"/>
      <c r="EF1203" s="16"/>
      <c r="EG1203" s="125"/>
      <c r="EQ1203" s="125"/>
      <c r="ER1203" s="16"/>
      <c r="ES1203" s="123"/>
      <c r="ET1203" s="19"/>
      <c r="EU1203" s="139"/>
      <c r="EV1203" s="139"/>
      <c r="EW1203" s="123"/>
      <c r="EX1203" s="123"/>
      <c r="EY1203" s="123"/>
      <c r="EZ1203" s="123"/>
      <c r="FA1203" s="123"/>
      <c r="FB1203" s="123"/>
      <c r="FC1203" s="6"/>
      <c r="FD1203" s="123"/>
      <c r="FE1203" s="6"/>
      <c r="FF1203" s="123"/>
      <c r="FG1203" s="6"/>
      <c r="FH1203" s="6"/>
      <c r="FI1203" s="6"/>
      <c r="FJ1203" s="6"/>
      <c r="FK1203" s="123"/>
      <c r="FL1203" s="6"/>
      <c r="FM1203" s="6"/>
      <c r="FN1203" s="6"/>
      <c r="FO1203" s="138"/>
      <c r="FP1203" s="138"/>
      <c r="FQ1203" s="123"/>
      <c r="FR1203" s="6"/>
      <c r="FS1203" s="6"/>
      <c r="FT1203" s="139"/>
      <c r="FU1203" s="139"/>
      <c r="FV1203" s="76"/>
      <c r="FW1203" s="123"/>
      <c r="FX1203" s="6"/>
    </row>
    <row r="1204" spans="35:180">
      <c r="AI1204" s="125"/>
      <c r="AJ1204" s="16"/>
      <c r="AM1204" s="16"/>
      <c r="AN1204" s="16"/>
      <c r="AO1204" s="125"/>
      <c r="AP1204" s="16"/>
      <c r="AQ1204" s="125"/>
      <c r="AZ1204" s="125"/>
      <c r="BA1204" s="142"/>
      <c r="BB1204" s="125"/>
      <c r="BC1204" s="16"/>
      <c r="BD1204" s="125"/>
      <c r="BE1204" s="125"/>
      <c r="BF1204" s="16"/>
      <c r="BG1204" s="125"/>
      <c r="BQ1204" s="125"/>
      <c r="BR1204" s="16"/>
      <c r="BS1204" s="123"/>
      <c r="BT1204" s="19"/>
      <c r="BU1204" s="139"/>
      <c r="BV1204" s="139"/>
      <c r="BW1204" s="123"/>
      <c r="BX1204" s="123"/>
      <c r="BY1204" s="123"/>
      <c r="BZ1204" s="123"/>
      <c r="CA1204" s="123"/>
      <c r="CB1204" s="123"/>
      <c r="CC1204" s="6"/>
      <c r="CD1204" s="123"/>
      <c r="CE1204" s="6"/>
      <c r="CF1204" s="123"/>
      <c r="CG1204" s="6"/>
      <c r="CH1204" s="6"/>
      <c r="CI1204" s="6"/>
      <c r="CJ1204" s="6"/>
      <c r="CK1204" s="123"/>
      <c r="CL1204" s="6"/>
      <c r="CM1204" s="6"/>
      <c r="CN1204" s="6"/>
      <c r="CO1204" s="138"/>
      <c r="CP1204" s="138"/>
      <c r="CQ1204" s="123"/>
      <c r="CR1204" s="6"/>
      <c r="CS1204" s="6"/>
      <c r="CT1204" s="139"/>
      <c r="CU1204" s="139"/>
      <c r="CV1204" s="76"/>
      <c r="CW1204" s="123"/>
      <c r="CX1204" s="6"/>
      <c r="DI1204" s="125"/>
      <c r="DJ1204" s="16"/>
      <c r="DM1204" s="16"/>
      <c r="DN1204" s="16"/>
      <c r="DO1204" s="125"/>
      <c r="DP1204" s="16"/>
      <c r="DQ1204" s="125"/>
      <c r="DZ1204" s="125"/>
      <c r="EA1204" s="142"/>
      <c r="EB1204" s="125"/>
      <c r="EC1204" s="16"/>
      <c r="ED1204" s="125"/>
      <c r="EE1204" s="125"/>
      <c r="EF1204" s="16"/>
      <c r="EG1204" s="125"/>
      <c r="EQ1204" s="125"/>
      <c r="ER1204" s="16"/>
      <c r="ES1204" s="123"/>
      <c r="ET1204" s="19"/>
      <c r="EU1204" s="139"/>
      <c r="EV1204" s="139"/>
      <c r="EW1204" s="123"/>
      <c r="EX1204" s="123"/>
      <c r="EY1204" s="123"/>
      <c r="EZ1204" s="123"/>
      <c r="FA1204" s="123"/>
      <c r="FB1204" s="123"/>
      <c r="FC1204" s="6"/>
      <c r="FD1204" s="123"/>
      <c r="FE1204" s="6"/>
      <c r="FF1204" s="123"/>
      <c r="FG1204" s="6"/>
      <c r="FH1204" s="6"/>
      <c r="FI1204" s="6"/>
      <c r="FJ1204" s="6"/>
      <c r="FK1204" s="123"/>
      <c r="FL1204" s="6"/>
      <c r="FM1204" s="6"/>
      <c r="FN1204" s="6"/>
      <c r="FO1204" s="138"/>
      <c r="FP1204" s="138"/>
      <c r="FQ1204" s="123"/>
      <c r="FR1204" s="6"/>
      <c r="FS1204" s="6"/>
      <c r="FT1204" s="139"/>
      <c r="FU1204" s="139"/>
      <c r="FV1204" s="76"/>
      <c r="FW1204" s="123"/>
      <c r="FX1204" s="6"/>
    </row>
    <row r="1205" spans="35:180">
      <c r="AI1205" s="125"/>
      <c r="AJ1205" s="16"/>
      <c r="AM1205" s="16"/>
      <c r="AN1205" s="16"/>
      <c r="AO1205" s="125"/>
      <c r="AP1205" s="16"/>
      <c r="AQ1205" s="125"/>
      <c r="AZ1205" s="125"/>
      <c r="BA1205" s="142"/>
      <c r="BB1205" s="125"/>
      <c r="BC1205" s="16"/>
      <c r="BD1205" s="125"/>
      <c r="BE1205" s="125"/>
      <c r="BF1205" s="16"/>
      <c r="BG1205" s="125"/>
      <c r="BQ1205" s="125"/>
      <c r="BR1205" s="16"/>
      <c r="BS1205" s="123"/>
      <c r="BT1205" s="19"/>
      <c r="BU1205" s="139"/>
      <c r="BV1205" s="139"/>
      <c r="BW1205" s="123"/>
      <c r="BX1205" s="123"/>
      <c r="BY1205" s="123"/>
      <c r="BZ1205" s="123"/>
      <c r="CA1205" s="123"/>
      <c r="CB1205" s="123"/>
      <c r="CC1205" s="6"/>
      <c r="CD1205" s="123"/>
      <c r="CE1205" s="6"/>
      <c r="CF1205" s="123"/>
      <c r="CG1205" s="6"/>
      <c r="CH1205" s="6"/>
      <c r="CI1205" s="6"/>
      <c r="CJ1205" s="6"/>
      <c r="CK1205" s="123"/>
      <c r="CL1205" s="6"/>
      <c r="CM1205" s="6"/>
      <c r="CN1205" s="6"/>
      <c r="CO1205" s="138"/>
      <c r="CP1205" s="138"/>
      <c r="CQ1205" s="123"/>
      <c r="CR1205" s="6"/>
      <c r="CS1205" s="6"/>
      <c r="CT1205" s="139"/>
      <c r="CU1205" s="139"/>
      <c r="CV1205" s="76"/>
      <c r="CW1205" s="123"/>
      <c r="CX1205" s="6"/>
      <c r="DI1205" s="125"/>
      <c r="DJ1205" s="16"/>
      <c r="DM1205" s="16"/>
      <c r="DN1205" s="16"/>
      <c r="DO1205" s="125"/>
      <c r="DP1205" s="16"/>
      <c r="DQ1205" s="125"/>
      <c r="DZ1205" s="125"/>
      <c r="EA1205" s="142"/>
      <c r="EB1205" s="125"/>
      <c r="EC1205" s="16"/>
      <c r="ED1205" s="125"/>
      <c r="EE1205" s="125"/>
      <c r="EF1205" s="16"/>
      <c r="EG1205" s="125"/>
      <c r="EQ1205" s="125"/>
      <c r="ER1205" s="16"/>
      <c r="ES1205" s="123"/>
      <c r="ET1205" s="19"/>
      <c r="EU1205" s="139"/>
      <c r="EV1205" s="139"/>
      <c r="EW1205" s="123"/>
      <c r="EX1205" s="123"/>
      <c r="EY1205" s="123"/>
      <c r="EZ1205" s="123"/>
      <c r="FA1205" s="123"/>
      <c r="FB1205" s="123"/>
      <c r="FC1205" s="6"/>
      <c r="FD1205" s="123"/>
      <c r="FE1205" s="6"/>
      <c r="FF1205" s="123"/>
      <c r="FG1205" s="6"/>
      <c r="FH1205" s="6"/>
      <c r="FI1205" s="6"/>
      <c r="FJ1205" s="6"/>
      <c r="FK1205" s="123"/>
      <c r="FL1205" s="6"/>
      <c r="FM1205" s="6"/>
      <c r="FN1205" s="6"/>
      <c r="FO1205" s="138"/>
      <c r="FP1205" s="138"/>
      <c r="FQ1205" s="123"/>
      <c r="FR1205" s="6"/>
      <c r="FS1205" s="6"/>
      <c r="FT1205" s="139"/>
      <c r="FU1205" s="139"/>
      <c r="FV1205" s="76"/>
      <c r="FW1205" s="123"/>
      <c r="FX1205" s="6"/>
    </row>
    <row r="1206" spans="35:180">
      <c r="AI1206" s="125"/>
      <c r="AJ1206" s="16"/>
      <c r="AM1206" s="16"/>
      <c r="AN1206" s="16"/>
      <c r="AO1206" s="125"/>
      <c r="AP1206" s="16"/>
      <c r="AQ1206" s="125"/>
      <c r="AZ1206" s="125"/>
      <c r="BA1206" s="142"/>
      <c r="BB1206" s="125"/>
      <c r="BC1206" s="16"/>
      <c r="BD1206" s="125"/>
      <c r="BE1206" s="125"/>
      <c r="BF1206" s="16"/>
      <c r="BG1206" s="125"/>
      <c r="BQ1206" s="125"/>
      <c r="BR1206" s="16"/>
      <c r="BS1206" s="123"/>
      <c r="BT1206" s="19"/>
      <c r="BU1206" s="139"/>
      <c r="BV1206" s="139"/>
      <c r="BW1206" s="123"/>
      <c r="BX1206" s="123"/>
      <c r="BY1206" s="123"/>
      <c r="BZ1206" s="123"/>
      <c r="CA1206" s="123"/>
      <c r="CB1206" s="123"/>
      <c r="CC1206" s="6"/>
      <c r="CD1206" s="123"/>
      <c r="CE1206" s="6"/>
      <c r="CF1206" s="123"/>
      <c r="CG1206" s="6"/>
      <c r="CH1206" s="6"/>
      <c r="CI1206" s="6"/>
      <c r="CJ1206" s="6"/>
      <c r="CK1206" s="123"/>
      <c r="CL1206" s="6"/>
      <c r="CM1206" s="6"/>
      <c r="CN1206" s="6"/>
      <c r="CO1206" s="138"/>
      <c r="CP1206" s="138"/>
      <c r="CQ1206" s="123"/>
      <c r="CR1206" s="6"/>
      <c r="CS1206" s="6"/>
      <c r="CT1206" s="139"/>
      <c r="CU1206" s="139"/>
      <c r="CV1206" s="76"/>
      <c r="CW1206" s="123"/>
      <c r="CX1206" s="6"/>
      <c r="DI1206" s="125"/>
      <c r="DJ1206" s="16"/>
      <c r="DM1206" s="16"/>
      <c r="DN1206" s="16"/>
      <c r="DO1206" s="125"/>
      <c r="DP1206" s="16"/>
      <c r="DQ1206" s="125"/>
      <c r="DZ1206" s="125"/>
      <c r="EA1206" s="142"/>
      <c r="EB1206" s="125"/>
      <c r="EC1206" s="16"/>
      <c r="ED1206" s="125"/>
      <c r="EE1206" s="125"/>
      <c r="EF1206" s="16"/>
      <c r="EG1206" s="125"/>
      <c r="EQ1206" s="125"/>
      <c r="ER1206" s="16"/>
      <c r="ES1206" s="123"/>
      <c r="ET1206" s="19"/>
      <c r="EU1206" s="139"/>
      <c r="EV1206" s="139"/>
      <c r="EW1206" s="123"/>
      <c r="EX1206" s="123"/>
      <c r="EY1206" s="123"/>
      <c r="EZ1206" s="123"/>
      <c r="FA1206" s="123"/>
      <c r="FB1206" s="123"/>
      <c r="FC1206" s="6"/>
      <c r="FD1206" s="123"/>
      <c r="FE1206" s="6"/>
      <c r="FF1206" s="123"/>
      <c r="FG1206" s="6"/>
      <c r="FH1206" s="6"/>
      <c r="FI1206" s="6"/>
      <c r="FJ1206" s="6"/>
      <c r="FK1206" s="123"/>
      <c r="FL1206" s="6"/>
      <c r="FM1206" s="6"/>
      <c r="FN1206" s="6"/>
      <c r="FO1206" s="138"/>
      <c r="FP1206" s="138"/>
      <c r="FQ1206" s="123"/>
      <c r="FR1206" s="6"/>
      <c r="FS1206" s="6"/>
      <c r="FT1206" s="139"/>
      <c r="FU1206" s="139"/>
      <c r="FV1206" s="76"/>
      <c r="FW1206" s="123"/>
      <c r="FX1206" s="6"/>
    </row>
    <row r="1207" spans="35:180">
      <c r="AI1207" s="125"/>
      <c r="AJ1207" s="16"/>
      <c r="AM1207" s="16"/>
      <c r="AN1207" s="16"/>
      <c r="AO1207" s="125"/>
      <c r="AP1207" s="16"/>
      <c r="AQ1207" s="125"/>
      <c r="AZ1207" s="125"/>
      <c r="BA1207" s="142"/>
      <c r="BB1207" s="125"/>
      <c r="BC1207" s="16"/>
      <c r="BD1207" s="125"/>
      <c r="BE1207" s="125"/>
      <c r="BF1207" s="16"/>
      <c r="BG1207" s="125"/>
      <c r="BQ1207" s="125"/>
      <c r="BR1207" s="16"/>
      <c r="BS1207" s="123"/>
      <c r="BT1207" s="19"/>
      <c r="BU1207" s="139"/>
      <c r="BV1207" s="139"/>
      <c r="BW1207" s="123"/>
      <c r="BX1207" s="123"/>
      <c r="BY1207" s="123"/>
      <c r="BZ1207" s="123"/>
      <c r="CA1207" s="123"/>
      <c r="CB1207" s="123"/>
      <c r="CC1207" s="6"/>
      <c r="CD1207" s="123"/>
      <c r="CE1207" s="6"/>
      <c r="CF1207" s="123"/>
      <c r="CG1207" s="6"/>
      <c r="CH1207" s="6"/>
      <c r="CI1207" s="6"/>
      <c r="CJ1207" s="6"/>
      <c r="CK1207" s="123"/>
      <c r="CL1207" s="6"/>
      <c r="CM1207" s="6"/>
      <c r="CN1207" s="6"/>
      <c r="CO1207" s="138"/>
      <c r="CP1207" s="138"/>
      <c r="CQ1207" s="123"/>
      <c r="CR1207" s="6"/>
      <c r="CS1207" s="6"/>
      <c r="CT1207" s="139"/>
      <c r="CU1207" s="139"/>
      <c r="CV1207" s="76"/>
      <c r="CW1207" s="123"/>
      <c r="CX1207" s="6"/>
      <c r="DI1207" s="125"/>
      <c r="DJ1207" s="16"/>
      <c r="DM1207" s="16"/>
      <c r="DN1207" s="16"/>
      <c r="DO1207" s="125"/>
      <c r="DP1207" s="16"/>
      <c r="DQ1207" s="125"/>
      <c r="DZ1207" s="125"/>
      <c r="EA1207" s="142"/>
      <c r="EB1207" s="125"/>
      <c r="EC1207" s="16"/>
      <c r="ED1207" s="125"/>
      <c r="EE1207" s="125"/>
      <c r="EF1207" s="16"/>
      <c r="EG1207" s="125"/>
      <c r="EQ1207" s="125"/>
      <c r="ER1207" s="16"/>
      <c r="ES1207" s="123"/>
      <c r="ET1207" s="19"/>
      <c r="EU1207" s="139"/>
      <c r="EV1207" s="139"/>
      <c r="EW1207" s="123"/>
      <c r="EX1207" s="123"/>
      <c r="EY1207" s="123"/>
      <c r="EZ1207" s="123"/>
      <c r="FA1207" s="123"/>
      <c r="FB1207" s="123"/>
      <c r="FC1207" s="6"/>
      <c r="FD1207" s="123"/>
      <c r="FE1207" s="6"/>
      <c r="FF1207" s="123"/>
      <c r="FG1207" s="6"/>
      <c r="FH1207" s="6"/>
      <c r="FI1207" s="6"/>
      <c r="FJ1207" s="6"/>
      <c r="FK1207" s="123"/>
      <c r="FL1207" s="6"/>
      <c r="FM1207" s="6"/>
      <c r="FN1207" s="6"/>
      <c r="FO1207" s="138"/>
      <c r="FP1207" s="138"/>
      <c r="FQ1207" s="123"/>
      <c r="FR1207" s="6"/>
      <c r="FS1207" s="6"/>
      <c r="FT1207" s="139"/>
      <c r="FU1207" s="139"/>
      <c r="FV1207" s="76"/>
      <c r="FW1207" s="123"/>
      <c r="FX1207" s="6"/>
    </row>
    <row r="1208" spans="35:180">
      <c r="AI1208" s="125"/>
      <c r="AJ1208" s="16"/>
      <c r="AM1208" s="16"/>
      <c r="AN1208" s="16"/>
      <c r="AO1208" s="125"/>
      <c r="AP1208" s="16"/>
      <c r="AQ1208" s="125"/>
      <c r="AZ1208" s="125"/>
      <c r="BA1208" s="142"/>
      <c r="BB1208" s="125"/>
      <c r="BC1208" s="16"/>
      <c r="BD1208" s="125"/>
      <c r="BE1208" s="125"/>
      <c r="BF1208" s="16"/>
      <c r="BG1208" s="125"/>
      <c r="BQ1208" s="125"/>
      <c r="BR1208" s="16"/>
      <c r="BS1208" s="123"/>
      <c r="BT1208" s="19"/>
      <c r="BU1208" s="139"/>
      <c r="BV1208" s="139"/>
      <c r="BW1208" s="123"/>
      <c r="BX1208" s="123"/>
      <c r="BY1208" s="123"/>
      <c r="BZ1208" s="123"/>
      <c r="CA1208" s="123"/>
      <c r="CB1208" s="123"/>
      <c r="CC1208" s="6"/>
      <c r="CD1208" s="123"/>
      <c r="CE1208" s="6"/>
      <c r="CF1208" s="123"/>
      <c r="CG1208" s="6"/>
      <c r="CH1208" s="6"/>
      <c r="CI1208" s="6"/>
      <c r="CJ1208" s="6"/>
      <c r="CK1208" s="123"/>
      <c r="CL1208" s="6"/>
      <c r="CM1208" s="6"/>
      <c r="CN1208" s="6"/>
      <c r="CO1208" s="138"/>
      <c r="CP1208" s="138"/>
      <c r="CQ1208" s="123"/>
      <c r="CR1208" s="6"/>
      <c r="CS1208" s="6"/>
      <c r="CT1208" s="139"/>
      <c r="CU1208" s="139"/>
      <c r="CV1208" s="76"/>
      <c r="CW1208" s="123"/>
      <c r="CX1208" s="6"/>
      <c r="DI1208" s="125"/>
      <c r="DJ1208" s="16"/>
      <c r="DM1208" s="16"/>
      <c r="DN1208" s="16"/>
      <c r="DO1208" s="125"/>
      <c r="DP1208" s="16"/>
      <c r="DQ1208" s="125"/>
      <c r="DZ1208" s="125"/>
      <c r="EA1208" s="142"/>
      <c r="EB1208" s="125"/>
      <c r="EC1208" s="16"/>
      <c r="ED1208" s="125"/>
      <c r="EE1208" s="125"/>
      <c r="EF1208" s="16"/>
      <c r="EG1208" s="125"/>
      <c r="EQ1208" s="125"/>
      <c r="ER1208" s="16"/>
      <c r="ES1208" s="123"/>
      <c r="ET1208" s="19"/>
      <c r="EU1208" s="139"/>
      <c r="EV1208" s="139"/>
      <c r="EW1208" s="123"/>
      <c r="EX1208" s="123"/>
      <c r="EY1208" s="123"/>
      <c r="EZ1208" s="123"/>
      <c r="FA1208" s="123"/>
      <c r="FB1208" s="123"/>
      <c r="FC1208" s="6"/>
      <c r="FD1208" s="123"/>
      <c r="FE1208" s="6"/>
      <c r="FF1208" s="123"/>
      <c r="FG1208" s="6"/>
      <c r="FH1208" s="6"/>
      <c r="FI1208" s="6"/>
      <c r="FJ1208" s="6"/>
      <c r="FK1208" s="123"/>
      <c r="FL1208" s="6"/>
      <c r="FM1208" s="6"/>
      <c r="FN1208" s="6"/>
      <c r="FO1208" s="138"/>
      <c r="FP1208" s="138"/>
      <c r="FQ1208" s="123"/>
      <c r="FR1208" s="6"/>
      <c r="FS1208" s="6"/>
      <c r="FT1208" s="139"/>
      <c r="FU1208" s="139"/>
      <c r="FV1208" s="76"/>
      <c r="FW1208" s="123"/>
      <c r="FX1208" s="6"/>
    </row>
    <row r="1209" spans="35:180">
      <c r="AI1209" s="125"/>
      <c r="AJ1209" s="16"/>
      <c r="AM1209" s="16"/>
      <c r="AN1209" s="16"/>
      <c r="AO1209" s="125"/>
      <c r="AP1209" s="16"/>
      <c r="AQ1209" s="125"/>
      <c r="AZ1209" s="125"/>
      <c r="BA1209" s="142"/>
      <c r="BB1209" s="125"/>
      <c r="BC1209" s="16"/>
      <c r="BD1209" s="125"/>
      <c r="BE1209" s="125"/>
      <c r="BF1209" s="16"/>
      <c r="BG1209" s="125"/>
      <c r="BQ1209" s="125"/>
      <c r="BR1209" s="16"/>
      <c r="BS1209" s="123"/>
      <c r="BT1209" s="19"/>
      <c r="BU1209" s="139"/>
      <c r="BV1209" s="139"/>
      <c r="BW1209" s="123"/>
      <c r="BX1209" s="123"/>
      <c r="BY1209" s="123"/>
      <c r="BZ1209" s="123"/>
      <c r="CA1209" s="123"/>
      <c r="CB1209" s="123"/>
      <c r="CC1209" s="6"/>
      <c r="CD1209" s="123"/>
      <c r="CE1209" s="6"/>
      <c r="CF1209" s="123"/>
      <c r="CG1209" s="6"/>
      <c r="CH1209" s="6"/>
      <c r="CI1209" s="6"/>
      <c r="CJ1209" s="6"/>
      <c r="CK1209" s="123"/>
      <c r="CL1209" s="6"/>
      <c r="CM1209" s="6"/>
      <c r="CN1209" s="6"/>
      <c r="CO1209" s="138"/>
      <c r="CP1209" s="138"/>
      <c r="CQ1209" s="123"/>
      <c r="CR1209" s="6"/>
      <c r="CS1209" s="6"/>
      <c r="CT1209" s="139"/>
      <c r="CU1209" s="139"/>
      <c r="CV1209" s="76"/>
      <c r="CW1209" s="123"/>
      <c r="CX1209" s="6"/>
      <c r="DI1209" s="125"/>
      <c r="DJ1209" s="16"/>
      <c r="DM1209" s="16"/>
      <c r="DN1209" s="16"/>
      <c r="DO1209" s="125"/>
      <c r="DP1209" s="16"/>
      <c r="DQ1209" s="125"/>
      <c r="DZ1209" s="125"/>
      <c r="EA1209" s="142"/>
      <c r="EB1209" s="125"/>
      <c r="EC1209" s="16"/>
      <c r="ED1209" s="125"/>
      <c r="EE1209" s="125"/>
      <c r="EF1209" s="16"/>
      <c r="EG1209" s="125"/>
      <c r="EQ1209" s="125"/>
      <c r="ER1209" s="16"/>
      <c r="ES1209" s="123"/>
      <c r="ET1209" s="19"/>
      <c r="EU1209" s="139"/>
      <c r="EV1209" s="139"/>
      <c r="EW1209" s="123"/>
      <c r="EX1209" s="123"/>
      <c r="EY1209" s="123"/>
      <c r="EZ1209" s="123"/>
      <c r="FA1209" s="123"/>
      <c r="FB1209" s="123"/>
      <c r="FC1209" s="6"/>
      <c r="FD1209" s="123"/>
      <c r="FE1209" s="6"/>
      <c r="FF1209" s="123"/>
      <c r="FG1209" s="6"/>
      <c r="FH1209" s="6"/>
      <c r="FI1209" s="6"/>
      <c r="FJ1209" s="6"/>
      <c r="FK1209" s="123"/>
      <c r="FL1209" s="6"/>
      <c r="FM1209" s="6"/>
      <c r="FN1209" s="6"/>
      <c r="FO1209" s="138"/>
      <c r="FP1209" s="138"/>
      <c r="FQ1209" s="123"/>
      <c r="FR1209" s="6"/>
      <c r="FS1209" s="6"/>
      <c r="FT1209" s="139"/>
      <c r="FU1209" s="139"/>
      <c r="FV1209" s="76"/>
      <c r="FW1209" s="123"/>
      <c r="FX1209" s="6"/>
    </row>
    <row r="1210" spans="35:180">
      <c r="AI1210" s="125"/>
      <c r="AJ1210" s="16"/>
      <c r="AM1210" s="16"/>
      <c r="AN1210" s="16"/>
      <c r="AO1210" s="125"/>
      <c r="AP1210" s="16"/>
      <c r="AQ1210" s="125"/>
      <c r="AZ1210" s="125"/>
      <c r="BA1210" s="142"/>
      <c r="BB1210" s="125"/>
      <c r="BC1210" s="16"/>
      <c r="BD1210" s="125"/>
      <c r="BE1210" s="125"/>
      <c r="BF1210" s="16"/>
      <c r="BG1210" s="125"/>
      <c r="BQ1210" s="125"/>
      <c r="BR1210" s="16"/>
      <c r="BS1210" s="123"/>
      <c r="BT1210" s="19"/>
      <c r="BU1210" s="139"/>
      <c r="BV1210" s="139"/>
      <c r="BW1210" s="123"/>
      <c r="BX1210" s="123"/>
      <c r="BY1210" s="123"/>
      <c r="BZ1210" s="123"/>
      <c r="CA1210" s="123"/>
      <c r="CB1210" s="123"/>
      <c r="CC1210" s="6"/>
      <c r="CD1210" s="123"/>
      <c r="CE1210" s="6"/>
      <c r="CF1210" s="123"/>
      <c r="CG1210" s="6"/>
      <c r="CH1210" s="6"/>
      <c r="CI1210" s="6"/>
      <c r="CJ1210" s="6"/>
      <c r="CK1210" s="123"/>
      <c r="CL1210" s="6"/>
      <c r="CM1210" s="6"/>
      <c r="CN1210" s="6"/>
      <c r="CO1210" s="138"/>
      <c r="CP1210" s="138"/>
      <c r="CQ1210" s="123"/>
      <c r="CR1210" s="6"/>
      <c r="CS1210" s="6"/>
      <c r="CT1210" s="139"/>
      <c r="CU1210" s="139"/>
      <c r="CV1210" s="76"/>
      <c r="CW1210" s="123"/>
      <c r="CX1210" s="6"/>
      <c r="DI1210" s="125"/>
      <c r="DJ1210" s="16"/>
      <c r="DM1210" s="16"/>
      <c r="DN1210" s="16"/>
      <c r="DO1210" s="125"/>
      <c r="DP1210" s="16"/>
      <c r="DQ1210" s="125"/>
      <c r="DZ1210" s="125"/>
      <c r="EA1210" s="142"/>
      <c r="EB1210" s="125"/>
      <c r="EC1210" s="16"/>
      <c r="ED1210" s="125"/>
      <c r="EE1210" s="125"/>
      <c r="EF1210" s="16"/>
      <c r="EG1210" s="125"/>
      <c r="EQ1210" s="125"/>
      <c r="ER1210" s="16"/>
      <c r="ES1210" s="123"/>
      <c r="ET1210" s="19"/>
      <c r="EU1210" s="139"/>
      <c r="EV1210" s="139"/>
      <c r="EW1210" s="123"/>
      <c r="EX1210" s="123"/>
      <c r="EY1210" s="123"/>
      <c r="EZ1210" s="123"/>
      <c r="FA1210" s="123"/>
      <c r="FB1210" s="123"/>
      <c r="FC1210" s="6"/>
      <c r="FD1210" s="123"/>
      <c r="FE1210" s="6"/>
      <c r="FF1210" s="123"/>
      <c r="FG1210" s="6"/>
      <c r="FH1210" s="6"/>
      <c r="FI1210" s="6"/>
      <c r="FJ1210" s="6"/>
      <c r="FK1210" s="123"/>
      <c r="FL1210" s="6"/>
      <c r="FM1210" s="6"/>
      <c r="FN1210" s="6"/>
      <c r="FO1210" s="138"/>
      <c r="FP1210" s="138"/>
      <c r="FQ1210" s="123"/>
      <c r="FR1210" s="6"/>
      <c r="FS1210" s="6"/>
      <c r="FT1210" s="139"/>
      <c r="FU1210" s="139"/>
      <c r="FV1210" s="76"/>
      <c r="FW1210" s="123"/>
      <c r="FX1210" s="6"/>
    </row>
    <row r="1211" spans="35:180">
      <c r="AI1211" s="125"/>
      <c r="AJ1211" s="16"/>
      <c r="AM1211" s="16"/>
      <c r="AN1211" s="16"/>
      <c r="AO1211" s="125"/>
      <c r="AP1211" s="16"/>
      <c r="AQ1211" s="125"/>
      <c r="AZ1211" s="125"/>
      <c r="BA1211" s="142"/>
      <c r="BB1211" s="125"/>
      <c r="BC1211" s="16"/>
      <c r="BD1211" s="125"/>
      <c r="BE1211" s="125"/>
      <c r="BF1211" s="16"/>
      <c r="BG1211" s="125"/>
      <c r="BQ1211" s="125"/>
      <c r="BR1211" s="16"/>
      <c r="BS1211" s="123"/>
      <c r="BT1211" s="19"/>
      <c r="BU1211" s="139"/>
      <c r="BV1211" s="139"/>
      <c r="BW1211" s="123"/>
      <c r="BX1211" s="123"/>
      <c r="BY1211" s="123"/>
      <c r="BZ1211" s="123"/>
      <c r="CA1211" s="123"/>
      <c r="CB1211" s="123"/>
      <c r="CC1211" s="6"/>
      <c r="CD1211" s="123"/>
      <c r="CE1211" s="6"/>
      <c r="CF1211" s="123"/>
      <c r="CG1211" s="6"/>
      <c r="CH1211" s="6"/>
      <c r="CI1211" s="6"/>
      <c r="CJ1211" s="6"/>
      <c r="CK1211" s="123"/>
      <c r="CL1211" s="6"/>
      <c r="CM1211" s="6"/>
      <c r="CN1211" s="6"/>
      <c r="CO1211" s="138"/>
      <c r="CP1211" s="138"/>
      <c r="CQ1211" s="123"/>
      <c r="CR1211" s="6"/>
      <c r="CS1211" s="6"/>
      <c r="CT1211" s="139"/>
      <c r="CU1211" s="139"/>
      <c r="CV1211" s="76"/>
      <c r="CW1211" s="123"/>
      <c r="CX1211" s="6"/>
      <c r="DI1211" s="125"/>
      <c r="DJ1211" s="16"/>
      <c r="DM1211" s="16"/>
      <c r="DN1211" s="16"/>
      <c r="DO1211" s="125"/>
      <c r="DP1211" s="16"/>
      <c r="DQ1211" s="125"/>
      <c r="DZ1211" s="125"/>
      <c r="EA1211" s="142"/>
      <c r="EB1211" s="125"/>
      <c r="EC1211" s="16"/>
      <c r="ED1211" s="125"/>
      <c r="EE1211" s="125"/>
      <c r="EF1211" s="16"/>
      <c r="EG1211" s="125"/>
      <c r="EQ1211" s="125"/>
      <c r="ER1211" s="16"/>
      <c r="ES1211" s="123"/>
      <c r="ET1211" s="19"/>
      <c r="EU1211" s="139"/>
      <c r="EV1211" s="139"/>
      <c r="EW1211" s="123"/>
      <c r="EX1211" s="123"/>
      <c r="EY1211" s="123"/>
      <c r="EZ1211" s="123"/>
      <c r="FA1211" s="123"/>
      <c r="FB1211" s="123"/>
      <c r="FC1211" s="6"/>
      <c r="FD1211" s="123"/>
      <c r="FE1211" s="6"/>
      <c r="FF1211" s="123"/>
      <c r="FG1211" s="6"/>
      <c r="FH1211" s="6"/>
      <c r="FI1211" s="6"/>
      <c r="FJ1211" s="6"/>
      <c r="FK1211" s="123"/>
      <c r="FL1211" s="6"/>
      <c r="FM1211" s="6"/>
      <c r="FN1211" s="6"/>
      <c r="FO1211" s="138"/>
      <c r="FP1211" s="138"/>
      <c r="FQ1211" s="123"/>
      <c r="FR1211" s="6"/>
      <c r="FS1211" s="6"/>
      <c r="FT1211" s="139"/>
      <c r="FU1211" s="139"/>
      <c r="FV1211" s="76"/>
      <c r="FW1211" s="123"/>
      <c r="FX1211" s="6"/>
    </row>
    <row r="1212" spans="35:180">
      <c r="AI1212" s="125"/>
      <c r="AJ1212" s="16"/>
      <c r="AM1212" s="16"/>
      <c r="AN1212" s="16"/>
      <c r="AO1212" s="125"/>
      <c r="AP1212" s="16"/>
      <c r="AQ1212" s="125"/>
      <c r="AZ1212" s="125"/>
      <c r="BA1212" s="142"/>
      <c r="BB1212" s="125"/>
      <c r="BC1212" s="16"/>
      <c r="BD1212" s="125"/>
      <c r="BE1212" s="125"/>
      <c r="BF1212" s="16"/>
      <c r="BG1212" s="125"/>
      <c r="BQ1212" s="125"/>
      <c r="BR1212" s="16"/>
      <c r="BS1212" s="123"/>
      <c r="BT1212" s="19"/>
      <c r="BU1212" s="139"/>
      <c r="BV1212" s="139"/>
      <c r="BW1212" s="123"/>
      <c r="BX1212" s="123"/>
      <c r="BY1212" s="123"/>
      <c r="BZ1212" s="123"/>
      <c r="CA1212" s="123"/>
      <c r="CB1212" s="123"/>
      <c r="CC1212" s="6"/>
      <c r="CD1212" s="123"/>
      <c r="CE1212" s="6"/>
      <c r="CF1212" s="123"/>
      <c r="CG1212" s="6"/>
      <c r="CH1212" s="6"/>
      <c r="CI1212" s="6"/>
      <c r="CJ1212" s="6"/>
      <c r="CK1212" s="123"/>
      <c r="CL1212" s="6"/>
      <c r="CM1212" s="6"/>
      <c r="CN1212" s="6"/>
      <c r="CO1212" s="138"/>
      <c r="CP1212" s="138"/>
      <c r="CQ1212" s="123"/>
      <c r="CR1212" s="6"/>
      <c r="CS1212" s="6"/>
      <c r="CT1212" s="139"/>
      <c r="CU1212" s="139"/>
      <c r="CV1212" s="76"/>
      <c r="CW1212" s="123"/>
      <c r="CX1212" s="6"/>
      <c r="DI1212" s="125"/>
      <c r="DJ1212" s="16"/>
      <c r="DM1212" s="16"/>
      <c r="DN1212" s="16"/>
      <c r="DO1212" s="125"/>
      <c r="DP1212" s="16"/>
      <c r="DQ1212" s="125"/>
      <c r="DZ1212" s="125"/>
      <c r="EA1212" s="142"/>
      <c r="EB1212" s="125"/>
      <c r="EC1212" s="16"/>
      <c r="ED1212" s="125"/>
      <c r="EE1212" s="125"/>
      <c r="EF1212" s="16"/>
      <c r="EG1212" s="125"/>
      <c r="EQ1212" s="125"/>
      <c r="ER1212" s="16"/>
      <c r="ES1212" s="123"/>
      <c r="ET1212" s="19"/>
      <c r="EU1212" s="139"/>
      <c r="EV1212" s="139"/>
      <c r="EW1212" s="123"/>
      <c r="EX1212" s="123"/>
      <c r="EY1212" s="123"/>
      <c r="EZ1212" s="123"/>
      <c r="FA1212" s="123"/>
      <c r="FB1212" s="123"/>
      <c r="FC1212" s="6"/>
      <c r="FD1212" s="123"/>
      <c r="FE1212" s="6"/>
      <c r="FF1212" s="123"/>
      <c r="FG1212" s="6"/>
      <c r="FH1212" s="6"/>
      <c r="FI1212" s="6"/>
      <c r="FJ1212" s="6"/>
      <c r="FK1212" s="123"/>
      <c r="FL1212" s="6"/>
      <c r="FM1212" s="6"/>
      <c r="FN1212" s="6"/>
      <c r="FO1212" s="138"/>
      <c r="FP1212" s="138"/>
      <c r="FQ1212" s="123"/>
      <c r="FR1212" s="6"/>
      <c r="FS1212" s="6"/>
      <c r="FT1212" s="139"/>
      <c r="FU1212" s="139"/>
      <c r="FV1212" s="76"/>
      <c r="FW1212" s="123"/>
      <c r="FX1212" s="6"/>
    </row>
    <row r="1213" spans="35:180">
      <c r="AI1213" s="125"/>
      <c r="AJ1213" s="16"/>
      <c r="AM1213" s="16"/>
      <c r="AN1213" s="16"/>
      <c r="AO1213" s="125"/>
      <c r="AP1213" s="16"/>
      <c r="AQ1213" s="125"/>
      <c r="AZ1213" s="125"/>
      <c r="BA1213" s="142"/>
      <c r="BB1213" s="125"/>
      <c r="BC1213" s="16"/>
      <c r="BD1213" s="125"/>
      <c r="BE1213" s="125"/>
      <c r="BF1213" s="16"/>
      <c r="BG1213" s="125"/>
      <c r="BQ1213" s="125"/>
      <c r="BR1213" s="16"/>
      <c r="BS1213" s="123"/>
      <c r="BT1213" s="19"/>
      <c r="BU1213" s="139"/>
      <c r="BV1213" s="139"/>
      <c r="BW1213" s="123"/>
      <c r="BX1213" s="123"/>
      <c r="BY1213" s="123"/>
      <c r="BZ1213" s="123"/>
      <c r="CA1213" s="123"/>
      <c r="CB1213" s="123"/>
      <c r="CC1213" s="6"/>
      <c r="CD1213" s="123"/>
      <c r="CE1213" s="6"/>
      <c r="CF1213" s="123"/>
      <c r="CG1213" s="6"/>
      <c r="CH1213" s="6"/>
      <c r="CI1213" s="6"/>
      <c r="CJ1213" s="6"/>
      <c r="CK1213" s="123"/>
      <c r="CL1213" s="6"/>
      <c r="CM1213" s="6"/>
      <c r="CN1213" s="6"/>
      <c r="CO1213" s="138"/>
      <c r="CP1213" s="138"/>
      <c r="CQ1213" s="123"/>
      <c r="CR1213" s="6"/>
      <c r="CS1213" s="6"/>
      <c r="CT1213" s="139"/>
      <c r="CU1213" s="139"/>
      <c r="CV1213" s="76"/>
      <c r="CW1213" s="123"/>
      <c r="CX1213" s="6"/>
      <c r="DI1213" s="125"/>
      <c r="DJ1213" s="16"/>
      <c r="DM1213" s="16"/>
      <c r="DN1213" s="16"/>
      <c r="DO1213" s="125"/>
      <c r="DP1213" s="16"/>
      <c r="DQ1213" s="125"/>
      <c r="DZ1213" s="125"/>
      <c r="EA1213" s="142"/>
      <c r="EB1213" s="125"/>
      <c r="EC1213" s="16"/>
      <c r="ED1213" s="125"/>
      <c r="EE1213" s="125"/>
      <c r="EF1213" s="16"/>
      <c r="EG1213" s="125"/>
      <c r="EQ1213" s="125"/>
      <c r="ER1213" s="16"/>
      <c r="ES1213" s="123"/>
      <c r="ET1213" s="19"/>
      <c r="EU1213" s="139"/>
      <c r="EV1213" s="139"/>
      <c r="EW1213" s="123"/>
      <c r="EX1213" s="123"/>
      <c r="EY1213" s="123"/>
      <c r="EZ1213" s="123"/>
      <c r="FA1213" s="123"/>
      <c r="FB1213" s="123"/>
      <c r="FC1213" s="6"/>
      <c r="FD1213" s="123"/>
      <c r="FE1213" s="6"/>
      <c r="FF1213" s="123"/>
      <c r="FG1213" s="6"/>
      <c r="FH1213" s="6"/>
      <c r="FI1213" s="6"/>
      <c r="FJ1213" s="6"/>
      <c r="FK1213" s="123"/>
      <c r="FL1213" s="6"/>
      <c r="FM1213" s="6"/>
      <c r="FN1213" s="6"/>
      <c r="FO1213" s="138"/>
      <c r="FP1213" s="138"/>
      <c r="FQ1213" s="123"/>
      <c r="FR1213" s="6"/>
      <c r="FS1213" s="6"/>
      <c r="FT1213" s="139"/>
      <c r="FU1213" s="139"/>
      <c r="FV1213" s="76"/>
      <c r="FW1213" s="123"/>
      <c r="FX1213" s="6"/>
    </row>
    <row r="1214" spans="35:180">
      <c r="AI1214" s="125"/>
      <c r="AJ1214" s="16"/>
      <c r="AM1214" s="16"/>
      <c r="AN1214" s="16"/>
      <c r="AO1214" s="125"/>
      <c r="AP1214" s="16"/>
      <c r="AQ1214" s="125"/>
      <c r="AZ1214" s="125"/>
      <c r="BA1214" s="142"/>
      <c r="BB1214" s="125"/>
      <c r="BC1214" s="16"/>
      <c r="BD1214" s="125"/>
      <c r="BE1214" s="125"/>
      <c r="BF1214" s="16"/>
      <c r="BG1214" s="125"/>
      <c r="BQ1214" s="125"/>
      <c r="BR1214" s="16"/>
      <c r="BS1214" s="123"/>
      <c r="BT1214" s="19"/>
      <c r="BU1214" s="139"/>
      <c r="BV1214" s="139"/>
      <c r="BW1214" s="123"/>
      <c r="BX1214" s="123"/>
      <c r="BY1214" s="123"/>
      <c r="BZ1214" s="123"/>
      <c r="CA1214" s="123"/>
      <c r="CB1214" s="123"/>
      <c r="CC1214" s="6"/>
      <c r="CD1214" s="123"/>
      <c r="CE1214" s="6"/>
      <c r="CF1214" s="123"/>
      <c r="CG1214" s="6"/>
      <c r="CH1214" s="6"/>
      <c r="CI1214" s="6"/>
      <c r="CJ1214" s="6"/>
      <c r="CK1214" s="123"/>
      <c r="CL1214" s="6"/>
      <c r="CM1214" s="6"/>
      <c r="CN1214" s="6"/>
      <c r="CO1214" s="138"/>
      <c r="CP1214" s="138"/>
      <c r="CQ1214" s="123"/>
      <c r="CR1214" s="6"/>
      <c r="CS1214" s="6"/>
      <c r="CT1214" s="139"/>
      <c r="CU1214" s="139"/>
      <c r="CV1214" s="76"/>
      <c r="CW1214" s="123"/>
      <c r="CX1214" s="6"/>
      <c r="DI1214" s="125"/>
      <c r="DJ1214" s="16"/>
      <c r="DM1214" s="16"/>
      <c r="DN1214" s="16"/>
      <c r="DO1214" s="125"/>
      <c r="DP1214" s="16"/>
      <c r="DQ1214" s="125"/>
      <c r="DZ1214" s="125"/>
      <c r="EA1214" s="142"/>
      <c r="EB1214" s="125"/>
      <c r="EC1214" s="16"/>
      <c r="ED1214" s="125"/>
      <c r="EE1214" s="125"/>
      <c r="EF1214" s="16"/>
      <c r="EG1214" s="125"/>
      <c r="EQ1214" s="125"/>
      <c r="ER1214" s="16"/>
      <c r="ES1214" s="123"/>
      <c r="ET1214" s="19"/>
      <c r="EU1214" s="139"/>
      <c r="EV1214" s="139"/>
      <c r="EW1214" s="123"/>
      <c r="EX1214" s="123"/>
      <c r="EY1214" s="123"/>
      <c r="EZ1214" s="123"/>
      <c r="FA1214" s="123"/>
      <c r="FB1214" s="123"/>
      <c r="FC1214" s="6"/>
      <c r="FD1214" s="123"/>
      <c r="FE1214" s="6"/>
      <c r="FF1214" s="123"/>
      <c r="FG1214" s="6"/>
      <c r="FH1214" s="6"/>
      <c r="FI1214" s="6"/>
      <c r="FJ1214" s="6"/>
      <c r="FK1214" s="123"/>
      <c r="FL1214" s="6"/>
      <c r="FM1214" s="6"/>
      <c r="FN1214" s="6"/>
      <c r="FO1214" s="138"/>
      <c r="FP1214" s="138"/>
      <c r="FQ1214" s="123"/>
      <c r="FR1214" s="6"/>
      <c r="FS1214" s="6"/>
      <c r="FT1214" s="139"/>
      <c r="FU1214" s="139"/>
      <c r="FV1214" s="76"/>
      <c r="FW1214" s="123"/>
      <c r="FX1214" s="6"/>
    </row>
    <row r="1215" spans="35:180">
      <c r="AI1215" s="125"/>
      <c r="AJ1215" s="16"/>
      <c r="AM1215" s="16"/>
      <c r="AN1215" s="16"/>
      <c r="AO1215" s="125"/>
      <c r="AP1215" s="16"/>
      <c r="AQ1215" s="125"/>
      <c r="AZ1215" s="125"/>
      <c r="BA1215" s="142"/>
      <c r="BB1215" s="125"/>
      <c r="BC1215" s="16"/>
      <c r="BD1215" s="125"/>
      <c r="BE1215" s="125"/>
      <c r="BF1215" s="16"/>
      <c r="BG1215" s="125"/>
      <c r="BQ1215" s="125"/>
      <c r="BR1215" s="16"/>
      <c r="BS1215" s="123"/>
      <c r="BT1215" s="19"/>
      <c r="BU1215" s="139"/>
      <c r="BV1215" s="139"/>
      <c r="BW1215" s="123"/>
      <c r="BX1215" s="123"/>
      <c r="BY1215" s="123"/>
      <c r="BZ1215" s="123"/>
      <c r="CA1215" s="123"/>
      <c r="CB1215" s="123"/>
      <c r="CC1215" s="6"/>
      <c r="CD1215" s="123"/>
      <c r="CE1215" s="6"/>
      <c r="CF1215" s="123"/>
      <c r="CG1215" s="6"/>
      <c r="CH1215" s="6"/>
      <c r="CI1215" s="6"/>
      <c r="CJ1215" s="6"/>
      <c r="CK1215" s="123"/>
      <c r="CL1215" s="6"/>
      <c r="CM1215" s="6"/>
      <c r="CN1215" s="6"/>
      <c r="CO1215" s="138"/>
      <c r="CP1215" s="138"/>
      <c r="CQ1215" s="123"/>
      <c r="CR1215" s="6"/>
      <c r="CS1215" s="6"/>
      <c r="CT1215" s="139"/>
      <c r="CU1215" s="139"/>
      <c r="CV1215" s="76"/>
      <c r="CW1215" s="123"/>
      <c r="CX1215" s="6"/>
      <c r="DI1215" s="125"/>
      <c r="DJ1215" s="16"/>
      <c r="DM1215" s="16"/>
      <c r="DN1215" s="16"/>
      <c r="DO1215" s="125"/>
      <c r="DP1215" s="16"/>
      <c r="DQ1215" s="125"/>
      <c r="DZ1215" s="125"/>
      <c r="EA1215" s="142"/>
      <c r="EB1215" s="125"/>
      <c r="EC1215" s="16"/>
      <c r="ED1215" s="125"/>
      <c r="EE1215" s="125"/>
      <c r="EF1215" s="16"/>
      <c r="EG1215" s="125"/>
      <c r="EQ1215" s="125"/>
      <c r="ER1215" s="16"/>
      <c r="ES1215" s="123"/>
      <c r="ET1215" s="19"/>
      <c r="EU1215" s="139"/>
      <c r="EV1215" s="139"/>
      <c r="EW1215" s="123"/>
      <c r="EX1215" s="123"/>
      <c r="EY1215" s="123"/>
      <c r="EZ1215" s="123"/>
      <c r="FA1215" s="123"/>
      <c r="FB1215" s="123"/>
      <c r="FC1215" s="6"/>
      <c r="FD1215" s="123"/>
      <c r="FE1215" s="6"/>
      <c r="FF1215" s="123"/>
      <c r="FG1215" s="6"/>
      <c r="FH1215" s="6"/>
      <c r="FI1215" s="6"/>
      <c r="FJ1215" s="6"/>
      <c r="FK1215" s="123"/>
      <c r="FL1215" s="6"/>
      <c r="FM1215" s="6"/>
      <c r="FN1215" s="6"/>
      <c r="FO1215" s="138"/>
      <c r="FP1215" s="138"/>
      <c r="FQ1215" s="123"/>
      <c r="FR1215" s="6"/>
      <c r="FS1215" s="6"/>
      <c r="FT1215" s="139"/>
      <c r="FU1215" s="139"/>
      <c r="FV1215" s="76"/>
      <c r="FW1215" s="123"/>
      <c r="FX1215" s="6"/>
    </row>
    <row r="1216" spans="35:180">
      <c r="AI1216" s="125"/>
      <c r="AJ1216" s="16"/>
      <c r="AM1216" s="16"/>
      <c r="AN1216" s="16"/>
      <c r="AO1216" s="125"/>
      <c r="AP1216" s="16"/>
      <c r="AQ1216" s="125"/>
      <c r="AZ1216" s="125"/>
      <c r="BA1216" s="142"/>
      <c r="BB1216" s="125"/>
      <c r="BC1216" s="16"/>
      <c r="BD1216" s="125"/>
      <c r="BE1216" s="125"/>
      <c r="BF1216" s="16"/>
      <c r="BG1216" s="125"/>
      <c r="BQ1216" s="125"/>
      <c r="BR1216" s="16"/>
      <c r="BS1216" s="123"/>
      <c r="BT1216" s="19"/>
      <c r="BU1216" s="139"/>
      <c r="BV1216" s="139"/>
      <c r="BW1216" s="123"/>
      <c r="BX1216" s="123"/>
      <c r="BY1216" s="123"/>
      <c r="BZ1216" s="123"/>
      <c r="CA1216" s="123"/>
      <c r="CB1216" s="123"/>
      <c r="CC1216" s="6"/>
      <c r="CD1216" s="123"/>
      <c r="CE1216" s="6"/>
      <c r="CF1216" s="123"/>
      <c r="CG1216" s="6"/>
      <c r="CH1216" s="6"/>
      <c r="CI1216" s="6"/>
      <c r="CJ1216" s="6"/>
      <c r="CK1216" s="123"/>
      <c r="CL1216" s="6"/>
      <c r="CM1216" s="6"/>
      <c r="CN1216" s="6"/>
      <c r="CO1216" s="138"/>
      <c r="CP1216" s="138"/>
      <c r="CQ1216" s="123"/>
      <c r="CR1216" s="6"/>
      <c r="CS1216" s="6"/>
      <c r="CT1216" s="139"/>
      <c r="CU1216" s="139"/>
      <c r="CV1216" s="76"/>
      <c r="CW1216" s="123"/>
      <c r="CX1216" s="6"/>
      <c r="DI1216" s="125"/>
      <c r="DJ1216" s="16"/>
      <c r="DM1216" s="16"/>
      <c r="DN1216" s="16"/>
      <c r="DO1216" s="125"/>
      <c r="DP1216" s="16"/>
      <c r="DQ1216" s="125"/>
      <c r="DZ1216" s="125"/>
      <c r="EA1216" s="142"/>
      <c r="EB1216" s="125"/>
      <c r="EC1216" s="16"/>
      <c r="ED1216" s="125"/>
      <c r="EE1216" s="125"/>
      <c r="EF1216" s="16"/>
      <c r="EG1216" s="125"/>
      <c r="EQ1216" s="125"/>
      <c r="ER1216" s="16"/>
      <c r="ES1216" s="123"/>
      <c r="ET1216" s="19"/>
      <c r="EU1216" s="139"/>
      <c r="EV1216" s="139"/>
      <c r="EW1216" s="123"/>
      <c r="EX1216" s="123"/>
      <c r="EY1216" s="123"/>
      <c r="EZ1216" s="123"/>
      <c r="FA1216" s="123"/>
      <c r="FB1216" s="123"/>
      <c r="FC1216" s="6"/>
      <c r="FD1216" s="123"/>
      <c r="FE1216" s="6"/>
      <c r="FF1216" s="123"/>
      <c r="FG1216" s="6"/>
      <c r="FH1216" s="6"/>
      <c r="FI1216" s="6"/>
      <c r="FJ1216" s="6"/>
      <c r="FK1216" s="123"/>
      <c r="FL1216" s="6"/>
      <c r="FM1216" s="6"/>
      <c r="FN1216" s="6"/>
      <c r="FO1216" s="138"/>
      <c r="FP1216" s="138"/>
      <c r="FQ1216" s="123"/>
      <c r="FR1216" s="6"/>
      <c r="FS1216" s="6"/>
      <c r="FT1216" s="139"/>
      <c r="FU1216" s="139"/>
      <c r="FV1216" s="76"/>
      <c r="FW1216" s="123"/>
      <c r="FX1216" s="6"/>
    </row>
    <row r="1217" spans="35:180">
      <c r="AI1217" s="125"/>
      <c r="AJ1217" s="16"/>
      <c r="AM1217" s="16"/>
      <c r="AN1217" s="16"/>
      <c r="AO1217" s="125"/>
      <c r="AP1217" s="16"/>
      <c r="AQ1217" s="125"/>
      <c r="AZ1217" s="125"/>
      <c r="BA1217" s="142"/>
      <c r="BB1217" s="125"/>
      <c r="BC1217" s="16"/>
      <c r="BD1217" s="125"/>
      <c r="BE1217" s="125"/>
      <c r="BF1217" s="16"/>
      <c r="BG1217" s="125"/>
      <c r="BQ1217" s="125"/>
      <c r="BR1217" s="16"/>
      <c r="BS1217" s="123"/>
      <c r="BT1217" s="19"/>
      <c r="BU1217" s="139"/>
      <c r="BV1217" s="139"/>
      <c r="BW1217" s="123"/>
      <c r="BX1217" s="123"/>
      <c r="BY1217" s="123"/>
      <c r="BZ1217" s="123"/>
      <c r="CA1217" s="123"/>
      <c r="CB1217" s="123"/>
      <c r="CC1217" s="6"/>
      <c r="CD1217" s="123"/>
      <c r="CE1217" s="6"/>
      <c r="CF1217" s="123"/>
      <c r="CG1217" s="6"/>
      <c r="CH1217" s="6"/>
      <c r="CI1217" s="6"/>
      <c r="CJ1217" s="6"/>
      <c r="CK1217" s="123"/>
      <c r="CL1217" s="6"/>
      <c r="CM1217" s="6"/>
      <c r="CN1217" s="6"/>
      <c r="CO1217" s="138"/>
      <c r="CP1217" s="138"/>
      <c r="CQ1217" s="123"/>
      <c r="CR1217" s="6"/>
      <c r="CS1217" s="6"/>
      <c r="CT1217" s="139"/>
      <c r="CU1217" s="139"/>
      <c r="CV1217" s="76"/>
      <c r="CW1217" s="123"/>
      <c r="CX1217" s="6"/>
      <c r="DI1217" s="125"/>
      <c r="DJ1217" s="16"/>
      <c r="DM1217" s="16"/>
      <c r="DN1217" s="16"/>
      <c r="DO1217" s="125"/>
      <c r="DP1217" s="16"/>
      <c r="DQ1217" s="125"/>
      <c r="DZ1217" s="125"/>
      <c r="EA1217" s="142"/>
      <c r="EB1217" s="125"/>
      <c r="EC1217" s="16"/>
      <c r="ED1217" s="125"/>
      <c r="EE1217" s="125"/>
      <c r="EF1217" s="16"/>
      <c r="EG1217" s="125"/>
      <c r="EQ1217" s="125"/>
      <c r="ER1217" s="16"/>
      <c r="ES1217" s="123"/>
      <c r="ET1217" s="19"/>
      <c r="EU1217" s="139"/>
      <c r="EV1217" s="139"/>
      <c r="EW1217" s="123"/>
      <c r="EX1217" s="123"/>
      <c r="EY1217" s="123"/>
      <c r="EZ1217" s="123"/>
      <c r="FA1217" s="123"/>
      <c r="FB1217" s="123"/>
      <c r="FC1217" s="6"/>
      <c r="FD1217" s="123"/>
      <c r="FE1217" s="6"/>
      <c r="FF1217" s="123"/>
      <c r="FG1217" s="6"/>
      <c r="FH1217" s="6"/>
      <c r="FI1217" s="6"/>
      <c r="FJ1217" s="6"/>
      <c r="FK1217" s="123"/>
      <c r="FL1217" s="6"/>
      <c r="FM1217" s="6"/>
      <c r="FN1217" s="6"/>
      <c r="FO1217" s="138"/>
      <c r="FP1217" s="138"/>
      <c r="FQ1217" s="123"/>
      <c r="FR1217" s="6"/>
      <c r="FS1217" s="6"/>
      <c r="FT1217" s="139"/>
      <c r="FU1217" s="139"/>
      <c r="FV1217" s="76"/>
      <c r="FW1217" s="123"/>
      <c r="FX1217" s="6"/>
    </row>
    <row r="1218" spans="35:180">
      <c r="AI1218" s="125"/>
      <c r="AJ1218" s="16"/>
      <c r="AM1218" s="16"/>
      <c r="AN1218" s="16"/>
      <c r="AO1218" s="125"/>
      <c r="AP1218" s="16"/>
      <c r="AQ1218" s="125"/>
      <c r="AZ1218" s="125"/>
      <c r="BA1218" s="142"/>
      <c r="BB1218" s="125"/>
      <c r="BC1218" s="16"/>
      <c r="BD1218" s="125"/>
      <c r="BE1218" s="125"/>
      <c r="BF1218" s="16"/>
      <c r="BG1218" s="125"/>
      <c r="BQ1218" s="125"/>
      <c r="BR1218" s="16"/>
      <c r="BS1218" s="123"/>
      <c r="BT1218" s="19"/>
      <c r="BU1218" s="139"/>
      <c r="BV1218" s="139"/>
      <c r="BW1218" s="123"/>
      <c r="BX1218" s="123"/>
      <c r="BY1218" s="123"/>
      <c r="BZ1218" s="123"/>
      <c r="CA1218" s="123"/>
      <c r="CB1218" s="123"/>
      <c r="CC1218" s="6"/>
      <c r="CD1218" s="123"/>
      <c r="CE1218" s="6"/>
      <c r="CF1218" s="123"/>
      <c r="CG1218" s="6"/>
      <c r="CH1218" s="6"/>
      <c r="CI1218" s="6"/>
      <c r="CJ1218" s="6"/>
      <c r="CK1218" s="123"/>
      <c r="CL1218" s="6"/>
      <c r="CM1218" s="6"/>
      <c r="CN1218" s="6"/>
      <c r="CO1218" s="138"/>
      <c r="CP1218" s="138"/>
      <c r="CQ1218" s="123"/>
      <c r="CR1218" s="6"/>
      <c r="CS1218" s="6"/>
      <c r="CT1218" s="139"/>
      <c r="CU1218" s="139"/>
      <c r="CV1218" s="76"/>
      <c r="CW1218" s="123"/>
      <c r="CX1218" s="6"/>
      <c r="DI1218" s="125"/>
      <c r="DJ1218" s="16"/>
      <c r="DM1218" s="16"/>
      <c r="DN1218" s="16"/>
      <c r="DO1218" s="125"/>
      <c r="DP1218" s="16"/>
      <c r="DQ1218" s="125"/>
      <c r="DZ1218" s="125"/>
      <c r="EA1218" s="142"/>
      <c r="EB1218" s="125"/>
      <c r="EC1218" s="16"/>
      <c r="ED1218" s="125"/>
      <c r="EE1218" s="125"/>
      <c r="EF1218" s="16"/>
      <c r="EG1218" s="125"/>
      <c r="EQ1218" s="125"/>
      <c r="ER1218" s="16"/>
      <c r="ES1218" s="123"/>
      <c r="ET1218" s="19"/>
      <c r="EU1218" s="139"/>
      <c r="EV1218" s="139"/>
      <c r="EW1218" s="123"/>
      <c r="EX1218" s="123"/>
      <c r="EY1218" s="123"/>
      <c r="EZ1218" s="123"/>
      <c r="FA1218" s="123"/>
      <c r="FB1218" s="123"/>
      <c r="FC1218" s="6"/>
      <c r="FD1218" s="123"/>
      <c r="FE1218" s="6"/>
      <c r="FF1218" s="123"/>
      <c r="FG1218" s="6"/>
      <c r="FH1218" s="6"/>
      <c r="FI1218" s="6"/>
      <c r="FJ1218" s="6"/>
      <c r="FK1218" s="123"/>
      <c r="FL1218" s="6"/>
      <c r="FM1218" s="6"/>
      <c r="FN1218" s="6"/>
      <c r="FO1218" s="138"/>
      <c r="FP1218" s="138"/>
      <c r="FQ1218" s="123"/>
      <c r="FR1218" s="6"/>
      <c r="FS1218" s="6"/>
      <c r="FT1218" s="139"/>
      <c r="FU1218" s="139"/>
      <c r="FV1218" s="76"/>
      <c r="FW1218" s="123"/>
      <c r="FX1218" s="6"/>
    </row>
    <row r="1219" spans="35:180">
      <c r="AI1219" s="125"/>
      <c r="AJ1219" s="16"/>
      <c r="AM1219" s="16"/>
      <c r="AN1219" s="16"/>
      <c r="AO1219" s="125"/>
      <c r="AP1219" s="16"/>
      <c r="AQ1219" s="125"/>
      <c r="AZ1219" s="125"/>
      <c r="BA1219" s="142"/>
      <c r="BB1219" s="125"/>
      <c r="BC1219" s="16"/>
      <c r="BD1219" s="125"/>
      <c r="BE1219" s="125"/>
      <c r="BF1219" s="16"/>
      <c r="BG1219" s="125"/>
      <c r="BQ1219" s="125"/>
      <c r="BR1219" s="16"/>
      <c r="BS1219" s="123"/>
      <c r="BT1219" s="19"/>
      <c r="BU1219" s="139"/>
      <c r="BV1219" s="139"/>
      <c r="BW1219" s="123"/>
      <c r="BX1219" s="123"/>
      <c r="BY1219" s="123"/>
      <c r="BZ1219" s="123"/>
      <c r="CA1219" s="123"/>
      <c r="CB1219" s="123"/>
      <c r="CC1219" s="6"/>
      <c r="CD1219" s="123"/>
      <c r="CE1219" s="6"/>
      <c r="CF1219" s="123"/>
      <c r="CG1219" s="6"/>
      <c r="CH1219" s="6"/>
      <c r="CI1219" s="6"/>
      <c r="CJ1219" s="6"/>
      <c r="CK1219" s="123"/>
      <c r="CL1219" s="6"/>
      <c r="CM1219" s="6"/>
      <c r="CN1219" s="6"/>
      <c r="CO1219" s="138"/>
      <c r="CP1219" s="138"/>
      <c r="CQ1219" s="123"/>
      <c r="CR1219" s="6"/>
      <c r="CS1219" s="6"/>
      <c r="CT1219" s="139"/>
      <c r="CU1219" s="139"/>
      <c r="CV1219" s="76"/>
      <c r="CW1219" s="123"/>
      <c r="CX1219" s="6"/>
      <c r="DI1219" s="125"/>
      <c r="DJ1219" s="16"/>
      <c r="DM1219" s="16"/>
      <c r="DN1219" s="16"/>
      <c r="DO1219" s="125"/>
      <c r="DP1219" s="16"/>
      <c r="DQ1219" s="125"/>
      <c r="DZ1219" s="125"/>
      <c r="EA1219" s="142"/>
      <c r="EB1219" s="125"/>
      <c r="EC1219" s="16"/>
      <c r="ED1219" s="125"/>
      <c r="EE1219" s="125"/>
      <c r="EF1219" s="16"/>
      <c r="EG1219" s="125"/>
      <c r="EQ1219" s="125"/>
      <c r="ER1219" s="16"/>
      <c r="ES1219" s="123"/>
      <c r="ET1219" s="19"/>
      <c r="EU1219" s="139"/>
      <c r="EV1219" s="139"/>
      <c r="EW1219" s="123"/>
      <c r="EX1219" s="123"/>
      <c r="EY1219" s="123"/>
      <c r="EZ1219" s="123"/>
      <c r="FA1219" s="123"/>
      <c r="FB1219" s="123"/>
      <c r="FC1219" s="6"/>
      <c r="FD1219" s="123"/>
      <c r="FE1219" s="6"/>
      <c r="FF1219" s="123"/>
      <c r="FG1219" s="6"/>
      <c r="FH1219" s="6"/>
      <c r="FI1219" s="6"/>
      <c r="FJ1219" s="6"/>
      <c r="FK1219" s="123"/>
      <c r="FL1219" s="6"/>
      <c r="FM1219" s="6"/>
      <c r="FN1219" s="6"/>
      <c r="FO1219" s="138"/>
      <c r="FP1219" s="138"/>
      <c r="FQ1219" s="123"/>
      <c r="FR1219" s="6"/>
      <c r="FS1219" s="6"/>
      <c r="FT1219" s="139"/>
      <c r="FU1219" s="139"/>
      <c r="FV1219" s="76"/>
      <c r="FW1219" s="123"/>
      <c r="FX1219" s="6"/>
    </row>
    <row r="1220" spans="35:180">
      <c r="AI1220" s="125"/>
      <c r="AJ1220" s="16"/>
      <c r="AM1220" s="16"/>
      <c r="AN1220" s="16"/>
      <c r="AO1220" s="125"/>
      <c r="AP1220" s="16"/>
      <c r="AQ1220" s="125"/>
      <c r="AZ1220" s="125"/>
      <c r="BA1220" s="142"/>
      <c r="BB1220" s="125"/>
      <c r="BC1220" s="16"/>
      <c r="BD1220" s="125"/>
      <c r="BE1220" s="125"/>
      <c r="BF1220" s="16"/>
      <c r="BG1220" s="125"/>
      <c r="BQ1220" s="125"/>
      <c r="BR1220" s="16"/>
      <c r="BS1220" s="123"/>
      <c r="BT1220" s="19"/>
      <c r="BU1220" s="139"/>
      <c r="BV1220" s="139"/>
      <c r="BW1220" s="123"/>
      <c r="BX1220" s="123"/>
      <c r="BY1220" s="123"/>
      <c r="BZ1220" s="123"/>
      <c r="CA1220" s="123"/>
      <c r="CB1220" s="123"/>
      <c r="CC1220" s="6"/>
      <c r="CD1220" s="123"/>
      <c r="CE1220" s="6"/>
      <c r="CF1220" s="123"/>
      <c r="CG1220" s="6"/>
      <c r="CH1220" s="6"/>
      <c r="CI1220" s="6"/>
      <c r="CJ1220" s="6"/>
      <c r="CK1220" s="123"/>
      <c r="CL1220" s="6"/>
      <c r="CM1220" s="6"/>
      <c r="CN1220" s="6"/>
      <c r="CO1220" s="138"/>
      <c r="CP1220" s="138"/>
      <c r="CQ1220" s="123"/>
      <c r="CR1220" s="6"/>
      <c r="CS1220" s="6"/>
      <c r="CT1220" s="139"/>
      <c r="CU1220" s="139"/>
      <c r="CV1220" s="76"/>
      <c r="CW1220" s="123"/>
      <c r="CX1220" s="6"/>
      <c r="DI1220" s="125"/>
      <c r="DJ1220" s="16"/>
      <c r="DM1220" s="16"/>
      <c r="DN1220" s="16"/>
      <c r="DO1220" s="125"/>
      <c r="DP1220" s="16"/>
      <c r="DQ1220" s="125"/>
      <c r="DZ1220" s="125"/>
      <c r="EA1220" s="142"/>
      <c r="EB1220" s="125"/>
      <c r="EC1220" s="16"/>
      <c r="ED1220" s="125"/>
      <c r="EE1220" s="125"/>
      <c r="EF1220" s="16"/>
      <c r="EG1220" s="125"/>
      <c r="EQ1220" s="125"/>
      <c r="ER1220" s="16"/>
      <c r="ES1220" s="123"/>
      <c r="ET1220" s="19"/>
      <c r="EU1220" s="139"/>
      <c r="EV1220" s="139"/>
      <c r="EW1220" s="123"/>
      <c r="EX1220" s="123"/>
      <c r="EY1220" s="123"/>
      <c r="EZ1220" s="123"/>
      <c r="FA1220" s="123"/>
      <c r="FB1220" s="123"/>
      <c r="FC1220" s="6"/>
      <c r="FD1220" s="123"/>
      <c r="FE1220" s="6"/>
      <c r="FF1220" s="123"/>
      <c r="FG1220" s="6"/>
      <c r="FH1220" s="6"/>
      <c r="FI1220" s="6"/>
      <c r="FJ1220" s="6"/>
      <c r="FK1220" s="123"/>
      <c r="FL1220" s="6"/>
      <c r="FM1220" s="6"/>
      <c r="FN1220" s="6"/>
      <c r="FO1220" s="138"/>
      <c r="FP1220" s="138"/>
      <c r="FQ1220" s="123"/>
      <c r="FR1220" s="6"/>
      <c r="FS1220" s="6"/>
      <c r="FT1220" s="139"/>
      <c r="FU1220" s="139"/>
      <c r="FV1220" s="76"/>
      <c r="FW1220" s="123"/>
      <c r="FX1220" s="6"/>
    </row>
    <row r="1221" spans="35:180">
      <c r="AI1221" s="125"/>
      <c r="AJ1221" s="16"/>
      <c r="AM1221" s="16"/>
      <c r="AN1221" s="16"/>
      <c r="AO1221" s="125"/>
      <c r="AP1221" s="16"/>
      <c r="AQ1221" s="125"/>
      <c r="AZ1221" s="125"/>
      <c r="BA1221" s="142"/>
      <c r="BB1221" s="125"/>
      <c r="BC1221" s="16"/>
      <c r="BD1221" s="125"/>
      <c r="BE1221" s="125"/>
      <c r="BF1221" s="16"/>
      <c r="BG1221" s="125"/>
      <c r="BQ1221" s="125"/>
      <c r="BR1221" s="16"/>
      <c r="BS1221" s="123"/>
      <c r="BT1221" s="19"/>
      <c r="BU1221" s="139"/>
      <c r="BV1221" s="139"/>
      <c r="BW1221" s="123"/>
      <c r="BX1221" s="123"/>
      <c r="BY1221" s="123"/>
      <c r="BZ1221" s="123"/>
      <c r="CA1221" s="123"/>
      <c r="CB1221" s="123"/>
      <c r="CC1221" s="6"/>
      <c r="CD1221" s="123"/>
      <c r="CE1221" s="6"/>
      <c r="CF1221" s="123"/>
      <c r="CG1221" s="6"/>
      <c r="CH1221" s="6"/>
      <c r="CI1221" s="6"/>
      <c r="CJ1221" s="6"/>
      <c r="CK1221" s="123"/>
      <c r="CL1221" s="6"/>
      <c r="CM1221" s="6"/>
      <c r="CN1221" s="6"/>
      <c r="CO1221" s="138"/>
      <c r="CP1221" s="138"/>
      <c r="CQ1221" s="123"/>
      <c r="CR1221" s="6"/>
      <c r="CS1221" s="6"/>
      <c r="CT1221" s="139"/>
      <c r="CU1221" s="139"/>
      <c r="CV1221" s="76"/>
      <c r="CW1221" s="123"/>
      <c r="CX1221" s="6"/>
      <c r="DI1221" s="125"/>
      <c r="DJ1221" s="16"/>
      <c r="DM1221" s="16"/>
      <c r="DN1221" s="16"/>
      <c r="DO1221" s="125"/>
      <c r="DP1221" s="16"/>
      <c r="DQ1221" s="125"/>
      <c r="DZ1221" s="125"/>
      <c r="EA1221" s="142"/>
      <c r="EB1221" s="125"/>
      <c r="EC1221" s="16"/>
      <c r="ED1221" s="125"/>
      <c r="EE1221" s="125"/>
      <c r="EF1221" s="16"/>
      <c r="EG1221" s="125"/>
      <c r="EQ1221" s="125"/>
      <c r="ER1221" s="16"/>
      <c r="ES1221" s="123"/>
      <c r="ET1221" s="19"/>
      <c r="EU1221" s="139"/>
      <c r="EV1221" s="139"/>
      <c r="EW1221" s="123"/>
      <c r="EX1221" s="123"/>
      <c r="EY1221" s="123"/>
      <c r="EZ1221" s="123"/>
      <c r="FA1221" s="123"/>
      <c r="FB1221" s="123"/>
      <c r="FC1221" s="6"/>
      <c r="FD1221" s="123"/>
      <c r="FE1221" s="6"/>
      <c r="FF1221" s="123"/>
      <c r="FG1221" s="6"/>
      <c r="FH1221" s="6"/>
      <c r="FI1221" s="6"/>
      <c r="FJ1221" s="6"/>
      <c r="FK1221" s="123"/>
      <c r="FL1221" s="6"/>
      <c r="FM1221" s="6"/>
      <c r="FN1221" s="6"/>
      <c r="FO1221" s="138"/>
      <c r="FP1221" s="138"/>
      <c r="FQ1221" s="123"/>
      <c r="FR1221" s="6"/>
      <c r="FS1221" s="6"/>
      <c r="FT1221" s="139"/>
      <c r="FU1221" s="139"/>
      <c r="FV1221" s="76"/>
      <c r="FW1221" s="123"/>
      <c r="FX1221" s="6"/>
    </row>
    <row r="1222" spans="35:180">
      <c r="AI1222" s="125"/>
      <c r="AJ1222" s="16"/>
      <c r="AM1222" s="16"/>
      <c r="AN1222" s="16"/>
      <c r="AO1222" s="125"/>
      <c r="AP1222" s="16"/>
      <c r="AQ1222" s="125"/>
      <c r="AZ1222" s="125"/>
      <c r="BA1222" s="142"/>
      <c r="BB1222" s="125"/>
      <c r="BC1222" s="16"/>
      <c r="BD1222" s="125"/>
      <c r="BE1222" s="125"/>
      <c r="BF1222" s="16"/>
      <c r="BG1222" s="125"/>
      <c r="BQ1222" s="125"/>
      <c r="BR1222" s="16"/>
      <c r="BS1222" s="123"/>
      <c r="BT1222" s="19"/>
      <c r="BU1222" s="139"/>
      <c r="BV1222" s="139"/>
      <c r="BW1222" s="123"/>
      <c r="BX1222" s="123"/>
      <c r="BY1222" s="123"/>
      <c r="BZ1222" s="123"/>
      <c r="CA1222" s="123"/>
      <c r="CB1222" s="123"/>
      <c r="CC1222" s="6"/>
      <c r="CD1222" s="123"/>
      <c r="CE1222" s="6"/>
      <c r="CF1222" s="123"/>
      <c r="CG1222" s="6"/>
      <c r="CH1222" s="6"/>
      <c r="CI1222" s="6"/>
      <c r="CJ1222" s="6"/>
      <c r="CK1222" s="123"/>
      <c r="CL1222" s="6"/>
      <c r="CM1222" s="6"/>
      <c r="CN1222" s="6"/>
      <c r="CO1222" s="138"/>
      <c r="CP1222" s="138"/>
      <c r="CQ1222" s="123"/>
      <c r="CR1222" s="6"/>
      <c r="CS1222" s="6"/>
      <c r="CT1222" s="139"/>
      <c r="CU1222" s="139"/>
      <c r="CV1222" s="76"/>
      <c r="CW1222" s="123"/>
      <c r="CX1222" s="6"/>
      <c r="DI1222" s="125"/>
      <c r="DJ1222" s="16"/>
      <c r="DM1222" s="16"/>
      <c r="DN1222" s="16"/>
      <c r="DO1222" s="125"/>
      <c r="DP1222" s="16"/>
      <c r="DQ1222" s="125"/>
      <c r="DZ1222" s="125"/>
      <c r="EA1222" s="142"/>
      <c r="EB1222" s="125"/>
      <c r="EC1222" s="16"/>
      <c r="ED1222" s="125"/>
      <c r="EE1222" s="125"/>
      <c r="EF1222" s="16"/>
      <c r="EG1222" s="125"/>
      <c r="EQ1222" s="125"/>
      <c r="ER1222" s="16"/>
      <c r="ES1222" s="123"/>
      <c r="ET1222" s="19"/>
      <c r="EU1222" s="139"/>
      <c r="EV1222" s="139"/>
      <c r="EW1222" s="123"/>
      <c r="EX1222" s="123"/>
      <c r="EY1222" s="123"/>
      <c r="EZ1222" s="123"/>
      <c r="FA1222" s="123"/>
      <c r="FB1222" s="123"/>
      <c r="FC1222" s="6"/>
      <c r="FD1222" s="123"/>
      <c r="FE1222" s="6"/>
      <c r="FF1222" s="123"/>
      <c r="FG1222" s="6"/>
      <c r="FH1222" s="6"/>
      <c r="FI1222" s="6"/>
      <c r="FJ1222" s="6"/>
      <c r="FK1222" s="123"/>
      <c r="FL1222" s="6"/>
      <c r="FM1222" s="6"/>
      <c r="FN1222" s="6"/>
      <c r="FO1222" s="138"/>
      <c r="FP1222" s="138"/>
      <c r="FQ1222" s="123"/>
      <c r="FR1222" s="6"/>
      <c r="FS1222" s="6"/>
      <c r="FT1222" s="139"/>
      <c r="FU1222" s="139"/>
      <c r="FV1222" s="76"/>
      <c r="FW1222" s="123"/>
      <c r="FX1222" s="6"/>
    </row>
    <row r="1223" spans="35:180">
      <c r="AI1223" s="125"/>
      <c r="AJ1223" s="16"/>
      <c r="AM1223" s="16"/>
      <c r="AN1223" s="16"/>
      <c r="AO1223" s="125"/>
      <c r="AP1223" s="16"/>
      <c r="AQ1223" s="125"/>
      <c r="AZ1223" s="125"/>
      <c r="BA1223" s="142"/>
      <c r="BB1223" s="125"/>
      <c r="BC1223" s="16"/>
      <c r="BD1223" s="125"/>
      <c r="BE1223" s="125"/>
      <c r="BF1223" s="16"/>
      <c r="BG1223" s="125"/>
      <c r="BQ1223" s="125"/>
      <c r="BR1223" s="16"/>
      <c r="BS1223" s="123"/>
      <c r="BT1223" s="19"/>
      <c r="BU1223" s="139"/>
      <c r="BV1223" s="139"/>
      <c r="BW1223" s="123"/>
      <c r="BX1223" s="123"/>
      <c r="BY1223" s="123"/>
      <c r="BZ1223" s="123"/>
      <c r="CA1223" s="123"/>
      <c r="CB1223" s="123"/>
      <c r="CC1223" s="6"/>
      <c r="CD1223" s="123"/>
      <c r="CE1223" s="6"/>
      <c r="CF1223" s="123"/>
      <c r="CG1223" s="6"/>
      <c r="CH1223" s="6"/>
      <c r="CI1223" s="6"/>
      <c r="CJ1223" s="6"/>
      <c r="CK1223" s="123"/>
      <c r="CL1223" s="6"/>
      <c r="CM1223" s="6"/>
      <c r="CN1223" s="6"/>
      <c r="CO1223" s="138"/>
      <c r="CP1223" s="138"/>
      <c r="CQ1223" s="123"/>
      <c r="CR1223" s="6"/>
      <c r="CS1223" s="6"/>
      <c r="CT1223" s="139"/>
      <c r="CU1223" s="139"/>
      <c r="CV1223" s="76"/>
      <c r="CW1223" s="123"/>
      <c r="CX1223" s="6"/>
      <c r="DI1223" s="125"/>
      <c r="DJ1223" s="16"/>
      <c r="DM1223" s="16"/>
      <c r="DN1223" s="16"/>
      <c r="DO1223" s="125"/>
      <c r="DP1223" s="16"/>
      <c r="DQ1223" s="125"/>
      <c r="DZ1223" s="125"/>
      <c r="EA1223" s="142"/>
      <c r="EB1223" s="125"/>
      <c r="EC1223" s="16"/>
      <c r="ED1223" s="125"/>
      <c r="EE1223" s="125"/>
      <c r="EF1223" s="16"/>
      <c r="EG1223" s="125"/>
      <c r="EQ1223" s="125"/>
      <c r="ER1223" s="16"/>
      <c r="ES1223" s="123"/>
      <c r="ET1223" s="19"/>
      <c r="EU1223" s="139"/>
      <c r="EV1223" s="139"/>
      <c r="EW1223" s="123"/>
      <c r="EX1223" s="123"/>
      <c r="EY1223" s="123"/>
      <c r="EZ1223" s="123"/>
      <c r="FA1223" s="123"/>
      <c r="FB1223" s="123"/>
      <c r="FC1223" s="6"/>
      <c r="FD1223" s="123"/>
      <c r="FE1223" s="6"/>
      <c r="FF1223" s="123"/>
      <c r="FG1223" s="6"/>
      <c r="FH1223" s="6"/>
      <c r="FI1223" s="6"/>
      <c r="FJ1223" s="6"/>
      <c r="FK1223" s="123"/>
      <c r="FL1223" s="6"/>
      <c r="FM1223" s="6"/>
      <c r="FN1223" s="6"/>
      <c r="FO1223" s="138"/>
      <c r="FP1223" s="138"/>
      <c r="FQ1223" s="123"/>
      <c r="FR1223" s="6"/>
      <c r="FS1223" s="6"/>
      <c r="FT1223" s="139"/>
      <c r="FU1223" s="139"/>
      <c r="FV1223" s="76"/>
      <c r="FW1223" s="123"/>
      <c r="FX1223" s="6"/>
    </row>
    <row r="1224" spans="35:180">
      <c r="AI1224" s="125"/>
      <c r="AJ1224" s="16"/>
      <c r="AM1224" s="16"/>
      <c r="AN1224" s="16"/>
      <c r="AO1224" s="125"/>
      <c r="AP1224" s="16"/>
      <c r="AQ1224" s="125"/>
      <c r="AZ1224" s="125"/>
      <c r="BA1224" s="142"/>
      <c r="BB1224" s="125"/>
      <c r="BC1224" s="16"/>
      <c r="BD1224" s="125"/>
      <c r="BE1224" s="125"/>
      <c r="BF1224" s="16"/>
      <c r="BG1224" s="125"/>
      <c r="BQ1224" s="125"/>
      <c r="BR1224" s="16"/>
      <c r="BS1224" s="123"/>
      <c r="BT1224" s="19"/>
      <c r="BU1224" s="139"/>
      <c r="BV1224" s="139"/>
      <c r="BW1224" s="123"/>
      <c r="BX1224" s="123"/>
      <c r="BY1224" s="123"/>
      <c r="BZ1224" s="123"/>
      <c r="CA1224" s="123"/>
      <c r="CB1224" s="123"/>
      <c r="CC1224" s="6"/>
      <c r="CD1224" s="123"/>
      <c r="CE1224" s="6"/>
      <c r="CF1224" s="123"/>
      <c r="CG1224" s="6"/>
      <c r="CH1224" s="6"/>
      <c r="CI1224" s="6"/>
      <c r="CJ1224" s="6"/>
      <c r="CK1224" s="123"/>
      <c r="CL1224" s="6"/>
      <c r="CM1224" s="6"/>
      <c r="CN1224" s="6"/>
      <c r="CO1224" s="138"/>
      <c r="CP1224" s="138"/>
      <c r="CQ1224" s="123"/>
      <c r="CR1224" s="6"/>
      <c r="CS1224" s="6"/>
      <c r="CT1224" s="139"/>
      <c r="CU1224" s="139"/>
      <c r="CV1224" s="76"/>
      <c r="CW1224" s="123"/>
      <c r="CX1224" s="6"/>
      <c r="DI1224" s="125"/>
      <c r="DJ1224" s="16"/>
      <c r="DM1224" s="16"/>
      <c r="DN1224" s="16"/>
      <c r="DO1224" s="125"/>
      <c r="DP1224" s="16"/>
      <c r="DQ1224" s="125"/>
      <c r="DZ1224" s="125"/>
      <c r="EA1224" s="142"/>
      <c r="EB1224" s="125"/>
      <c r="EC1224" s="16"/>
      <c r="ED1224" s="125"/>
      <c r="EE1224" s="125"/>
      <c r="EF1224" s="16"/>
      <c r="EG1224" s="125"/>
      <c r="EQ1224" s="125"/>
      <c r="ER1224" s="16"/>
      <c r="ES1224" s="123"/>
      <c r="ET1224" s="19"/>
      <c r="EU1224" s="139"/>
      <c r="EV1224" s="139"/>
      <c r="EW1224" s="123"/>
      <c r="EX1224" s="123"/>
      <c r="EY1224" s="123"/>
      <c r="EZ1224" s="123"/>
      <c r="FA1224" s="123"/>
      <c r="FB1224" s="123"/>
      <c r="FC1224" s="6"/>
      <c r="FD1224" s="123"/>
      <c r="FE1224" s="6"/>
      <c r="FF1224" s="123"/>
      <c r="FG1224" s="6"/>
      <c r="FH1224" s="6"/>
      <c r="FI1224" s="6"/>
      <c r="FJ1224" s="6"/>
      <c r="FK1224" s="123"/>
      <c r="FL1224" s="6"/>
      <c r="FM1224" s="6"/>
      <c r="FN1224" s="6"/>
      <c r="FO1224" s="138"/>
      <c r="FP1224" s="138"/>
      <c r="FQ1224" s="123"/>
      <c r="FR1224" s="6"/>
      <c r="FS1224" s="6"/>
      <c r="FT1224" s="139"/>
      <c r="FU1224" s="139"/>
      <c r="FV1224" s="76"/>
      <c r="FW1224" s="123"/>
      <c r="FX1224" s="6"/>
    </row>
    <row r="1225" spans="35:180">
      <c r="AI1225" s="125"/>
      <c r="AJ1225" s="16"/>
      <c r="AM1225" s="16"/>
      <c r="AN1225" s="16"/>
      <c r="AO1225" s="125"/>
      <c r="AP1225" s="16"/>
      <c r="AQ1225" s="125"/>
      <c r="AZ1225" s="125"/>
      <c r="BA1225" s="142"/>
      <c r="BB1225" s="125"/>
      <c r="BC1225" s="16"/>
      <c r="BD1225" s="125"/>
      <c r="BE1225" s="125"/>
      <c r="BF1225" s="16"/>
      <c r="BG1225" s="125"/>
      <c r="BQ1225" s="125"/>
      <c r="BR1225" s="16"/>
      <c r="BS1225" s="123"/>
      <c r="BT1225" s="19"/>
      <c r="BU1225" s="139"/>
      <c r="BV1225" s="139"/>
      <c r="BW1225" s="123"/>
      <c r="BX1225" s="123"/>
      <c r="BY1225" s="123"/>
      <c r="BZ1225" s="123"/>
      <c r="CA1225" s="123"/>
      <c r="CB1225" s="123"/>
      <c r="CC1225" s="6"/>
      <c r="CD1225" s="123"/>
      <c r="CE1225" s="6"/>
      <c r="CF1225" s="123"/>
      <c r="CG1225" s="6"/>
      <c r="CH1225" s="6"/>
      <c r="CI1225" s="6"/>
      <c r="CJ1225" s="6"/>
      <c r="CK1225" s="123"/>
      <c r="CL1225" s="6"/>
      <c r="CM1225" s="6"/>
      <c r="CN1225" s="6"/>
      <c r="CO1225" s="138"/>
      <c r="CP1225" s="138"/>
      <c r="CQ1225" s="123"/>
      <c r="CR1225" s="6"/>
      <c r="CS1225" s="6"/>
      <c r="CT1225" s="139"/>
      <c r="CU1225" s="139"/>
      <c r="CV1225" s="76"/>
      <c r="CW1225" s="123"/>
      <c r="CX1225" s="6"/>
      <c r="DI1225" s="125"/>
      <c r="DJ1225" s="16"/>
      <c r="DM1225" s="16"/>
      <c r="DN1225" s="16"/>
      <c r="DO1225" s="125"/>
      <c r="DP1225" s="16"/>
      <c r="DQ1225" s="125"/>
      <c r="DZ1225" s="125"/>
      <c r="EA1225" s="142"/>
      <c r="EB1225" s="125"/>
      <c r="EC1225" s="16"/>
      <c r="ED1225" s="125"/>
      <c r="EE1225" s="125"/>
      <c r="EF1225" s="16"/>
      <c r="EG1225" s="125"/>
      <c r="EQ1225" s="125"/>
      <c r="ER1225" s="16"/>
      <c r="ES1225" s="123"/>
      <c r="ET1225" s="19"/>
      <c r="EU1225" s="139"/>
      <c r="EV1225" s="139"/>
      <c r="EW1225" s="123"/>
      <c r="EX1225" s="123"/>
      <c r="EY1225" s="123"/>
      <c r="EZ1225" s="123"/>
      <c r="FA1225" s="123"/>
      <c r="FB1225" s="123"/>
      <c r="FC1225" s="6"/>
      <c r="FD1225" s="123"/>
      <c r="FE1225" s="6"/>
      <c r="FF1225" s="123"/>
      <c r="FG1225" s="6"/>
      <c r="FH1225" s="6"/>
      <c r="FI1225" s="6"/>
      <c r="FJ1225" s="6"/>
      <c r="FK1225" s="123"/>
      <c r="FL1225" s="6"/>
      <c r="FM1225" s="6"/>
      <c r="FN1225" s="6"/>
      <c r="FO1225" s="138"/>
      <c r="FP1225" s="138"/>
      <c r="FQ1225" s="123"/>
      <c r="FR1225" s="6"/>
      <c r="FS1225" s="6"/>
      <c r="FT1225" s="139"/>
      <c r="FU1225" s="139"/>
      <c r="FV1225" s="76"/>
      <c r="FW1225" s="123"/>
      <c r="FX1225" s="6"/>
    </row>
    <row r="1226" spans="35:180">
      <c r="AI1226" s="125"/>
      <c r="AJ1226" s="16"/>
      <c r="AM1226" s="16"/>
      <c r="AN1226" s="16"/>
      <c r="AO1226" s="125"/>
      <c r="AP1226" s="16"/>
      <c r="AQ1226" s="125"/>
      <c r="AZ1226" s="125"/>
      <c r="BA1226" s="142"/>
      <c r="BB1226" s="125"/>
      <c r="BC1226" s="16"/>
      <c r="BD1226" s="125"/>
      <c r="BE1226" s="125"/>
      <c r="BF1226" s="16"/>
      <c r="BG1226" s="125"/>
      <c r="BQ1226" s="125"/>
      <c r="BR1226" s="16"/>
      <c r="BS1226" s="123"/>
      <c r="BT1226" s="19"/>
      <c r="BU1226" s="139"/>
      <c r="BV1226" s="139"/>
      <c r="BW1226" s="123"/>
      <c r="BX1226" s="123"/>
      <c r="BY1226" s="123"/>
      <c r="BZ1226" s="123"/>
      <c r="CA1226" s="123"/>
      <c r="CB1226" s="123"/>
      <c r="CC1226" s="6"/>
      <c r="CD1226" s="123"/>
      <c r="CE1226" s="6"/>
      <c r="CF1226" s="123"/>
      <c r="CG1226" s="6"/>
      <c r="CH1226" s="6"/>
      <c r="CI1226" s="6"/>
      <c r="CJ1226" s="6"/>
      <c r="CK1226" s="123"/>
      <c r="CL1226" s="6"/>
      <c r="CM1226" s="6"/>
      <c r="CN1226" s="6"/>
      <c r="CO1226" s="138"/>
      <c r="CP1226" s="138"/>
      <c r="CQ1226" s="123"/>
      <c r="CR1226" s="6"/>
      <c r="CS1226" s="6"/>
      <c r="CT1226" s="139"/>
      <c r="CU1226" s="139"/>
      <c r="CV1226" s="76"/>
      <c r="CW1226" s="123"/>
      <c r="CX1226" s="6"/>
      <c r="DI1226" s="125"/>
      <c r="DJ1226" s="16"/>
      <c r="DM1226" s="16"/>
      <c r="DN1226" s="16"/>
      <c r="DO1226" s="125"/>
      <c r="DP1226" s="16"/>
      <c r="DQ1226" s="125"/>
      <c r="DZ1226" s="125"/>
      <c r="EA1226" s="142"/>
      <c r="EB1226" s="125"/>
      <c r="EC1226" s="16"/>
      <c r="ED1226" s="125"/>
      <c r="EE1226" s="125"/>
      <c r="EF1226" s="16"/>
      <c r="EG1226" s="125"/>
      <c r="EQ1226" s="125"/>
      <c r="ER1226" s="16"/>
      <c r="ES1226" s="123"/>
      <c r="ET1226" s="19"/>
      <c r="EU1226" s="139"/>
      <c r="EV1226" s="139"/>
      <c r="EW1226" s="123"/>
      <c r="EX1226" s="123"/>
      <c r="EY1226" s="123"/>
      <c r="EZ1226" s="123"/>
      <c r="FA1226" s="123"/>
      <c r="FB1226" s="123"/>
      <c r="FC1226" s="6"/>
      <c r="FD1226" s="123"/>
      <c r="FE1226" s="6"/>
      <c r="FF1226" s="123"/>
      <c r="FG1226" s="6"/>
      <c r="FH1226" s="6"/>
      <c r="FI1226" s="6"/>
      <c r="FJ1226" s="6"/>
      <c r="FK1226" s="123"/>
      <c r="FL1226" s="6"/>
      <c r="FM1226" s="6"/>
      <c r="FN1226" s="6"/>
      <c r="FO1226" s="138"/>
      <c r="FP1226" s="138"/>
      <c r="FQ1226" s="123"/>
      <c r="FR1226" s="6"/>
      <c r="FS1226" s="6"/>
      <c r="FT1226" s="139"/>
      <c r="FU1226" s="139"/>
      <c r="FV1226" s="76"/>
      <c r="FW1226" s="123"/>
      <c r="FX1226" s="6"/>
    </row>
    <row r="1227" spans="35:180">
      <c r="AI1227" s="125"/>
      <c r="AJ1227" s="16"/>
      <c r="AM1227" s="16"/>
      <c r="AN1227" s="16"/>
      <c r="AO1227" s="125"/>
      <c r="AP1227" s="16"/>
      <c r="AQ1227" s="125"/>
      <c r="AZ1227" s="125"/>
      <c r="BA1227" s="142"/>
      <c r="BB1227" s="125"/>
      <c r="BC1227" s="16"/>
      <c r="BD1227" s="125"/>
      <c r="BE1227" s="125"/>
      <c r="BF1227" s="16"/>
      <c r="BG1227" s="125"/>
      <c r="BQ1227" s="125"/>
      <c r="BR1227" s="16"/>
      <c r="BS1227" s="123"/>
      <c r="BT1227" s="19"/>
      <c r="BU1227" s="139"/>
      <c r="BV1227" s="139"/>
      <c r="BW1227" s="123"/>
      <c r="BX1227" s="123"/>
      <c r="BY1227" s="123"/>
      <c r="BZ1227" s="123"/>
      <c r="CA1227" s="123"/>
      <c r="CB1227" s="123"/>
      <c r="CC1227" s="6"/>
      <c r="CD1227" s="123"/>
      <c r="CE1227" s="6"/>
      <c r="CF1227" s="123"/>
      <c r="CG1227" s="6"/>
      <c r="CH1227" s="6"/>
      <c r="CI1227" s="6"/>
      <c r="CJ1227" s="6"/>
      <c r="CK1227" s="123"/>
      <c r="CL1227" s="6"/>
      <c r="CM1227" s="6"/>
      <c r="CN1227" s="6"/>
      <c r="CO1227" s="138"/>
      <c r="CP1227" s="138"/>
      <c r="CQ1227" s="123"/>
      <c r="CR1227" s="6"/>
      <c r="CS1227" s="6"/>
      <c r="CT1227" s="139"/>
      <c r="CU1227" s="139"/>
      <c r="CV1227" s="76"/>
      <c r="CW1227" s="123"/>
      <c r="CX1227" s="6"/>
      <c r="DI1227" s="125"/>
      <c r="DJ1227" s="16"/>
      <c r="DM1227" s="16"/>
      <c r="DN1227" s="16"/>
      <c r="DO1227" s="125"/>
      <c r="DP1227" s="16"/>
      <c r="DQ1227" s="125"/>
      <c r="DZ1227" s="125"/>
      <c r="EA1227" s="142"/>
      <c r="EB1227" s="125"/>
      <c r="EC1227" s="16"/>
      <c r="ED1227" s="125"/>
      <c r="EE1227" s="125"/>
      <c r="EF1227" s="16"/>
      <c r="EG1227" s="125"/>
      <c r="EQ1227" s="125"/>
      <c r="ER1227" s="16"/>
      <c r="ES1227" s="123"/>
      <c r="ET1227" s="19"/>
      <c r="EU1227" s="139"/>
      <c r="EV1227" s="139"/>
      <c r="EW1227" s="123"/>
      <c r="EX1227" s="123"/>
      <c r="EY1227" s="123"/>
      <c r="EZ1227" s="123"/>
      <c r="FA1227" s="123"/>
      <c r="FB1227" s="123"/>
      <c r="FC1227" s="6"/>
      <c r="FD1227" s="123"/>
      <c r="FE1227" s="6"/>
      <c r="FF1227" s="123"/>
      <c r="FG1227" s="6"/>
      <c r="FH1227" s="6"/>
      <c r="FI1227" s="6"/>
      <c r="FJ1227" s="6"/>
      <c r="FK1227" s="123"/>
      <c r="FL1227" s="6"/>
      <c r="FM1227" s="6"/>
      <c r="FN1227" s="6"/>
      <c r="FO1227" s="138"/>
      <c r="FP1227" s="138"/>
      <c r="FQ1227" s="123"/>
      <c r="FR1227" s="6"/>
      <c r="FS1227" s="6"/>
      <c r="FT1227" s="139"/>
      <c r="FU1227" s="139"/>
      <c r="FV1227" s="76"/>
      <c r="FW1227" s="123"/>
      <c r="FX1227" s="6"/>
    </row>
    <row r="1228" spans="35:180">
      <c r="AI1228" s="125"/>
      <c r="AJ1228" s="16"/>
      <c r="AM1228" s="16"/>
      <c r="AN1228" s="16"/>
      <c r="AO1228" s="125"/>
      <c r="AP1228" s="16"/>
      <c r="AQ1228" s="125"/>
      <c r="AZ1228" s="125"/>
      <c r="BA1228" s="142"/>
      <c r="BB1228" s="125"/>
      <c r="BC1228" s="16"/>
      <c r="BD1228" s="125"/>
      <c r="BE1228" s="125"/>
      <c r="BF1228" s="16"/>
      <c r="BG1228" s="125"/>
      <c r="BQ1228" s="125"/>
      <c r="BR1228" s="16"/>
      <c r="BS1228" s="123"/>
      <c r="BT1228" s="19"/>
      <c r="BU1228" s="139"/>
      <c r="BV1228" s="139"/>
      <c r="BW1228" s="123"/>
      <c r="BX1228" s="123"/>
      <c r="BY1228" s="123"/>
      <c r="BZ1228" s="123"/>
      <c r="CA1228" s="123"/>
      <c r="CB1228" s="123"/>
      <c r="CC1228" s="6"/>
      <c r="CD1228" s="123"/>
      <c r="CE1228" s="6"/>
      <c r="CF1228" s="123"/>
      <c r="CG1228" s="6"/>
      <c r="CH1228" s="6"/>
      <c r="CI1228" s="6"/>
      <c r="CJ1228" s="6"/>
      <c r="CK1228" s="123"/>
      <c r="CL1228" s="6"/>
      <c r="CM1228" s="6"/>
      <c r="CN1228" s="6"/>
      <c r="CO1228" s="138"/>
      <c r="CP1228" s="138"/>
      <c r="CQ1228" s="123"/>
      <c r="CR1228" s="6"/>
      <c r="CS1228" s="6"/>
      <c r="CT1228" s="139"/>
      <c r="CU1228" s="139"/>
      <c r="CV1228" s="76"/>
      <c r="CW1228" s="123"/>
      <c r="CX1228" s="6"/>
      <c r="DI1228" s="125"/>
      <c r="DJ1228" s="16"/>
      <c r="DM1228" s="16"/>
      <c r="DN1228" s="16"/>
      <c r="DO1228" s="125"/>
      <c r="DP1228" s="16"/>
      <c r="DQ1228" s="125"/>
      <c r="DZ1228" s="125"/>
      <c r="EA1228" s="142"/>
      <c r="EB1228" s="125"/>
      <c r="EC1228" s="16"/>
      <c r="ED1228" s="125"/>
      <c r="EE1228" s="125"/>
      <c r="EF1228" s="16"/>
      <c r="EG1228" s="125"/>
      <c r="EQ1228" s="125"/>
      <c r="ER1228" s="16"/>
      <c r="ES1228" s="123"/>
      <c r="ET1228" s="19"/>
      <c r="EU1228" s="139"/>
      <c r="EV1228" s="139"/>
      <c r="EW1228" s="123"/>
      <c r="EX1228" s="123"/>
      <c r="EY1228" s="123"/>
      <c r="EZ1228" s="123"/>
      <c r="FA1228" s="123"/>
      <c r="FB1228" s="123"/>
      <c r="FC1228" s="6"/>
      <c r="FD1228" s="123"/>
      <c r="FE1228" s="6"/>
      <c r="FF1228" s="123"/>
      <c r="FG1228" s="6"/>
      <c r="FH1228" s="6"/>
      <c r="FI1228" s="6"/>
      <c r="FJ1228" s="6"/>
      <c r="FK1228" s="123"/>
      <c r="FL1228" s="6"/>
      <c r="FM1228" s="6"/>
      <c r="FN1228" s="6"/>
      <c r="FO1228" s="138"/>
      <c r="FP1228" s="138"/>
      <c r="FQ1228" s="123"/>
      <c r="FR1228" s="6"/>
      <c r="FS1228" s="6"/>
      <c r="FT1228" s="139"/>
      <c r="FU1228" s="139"/>
      <c r="FV1228" s="76"/>
      <c r="FW1228" s="123"/>
      <c r="FX1228" s="6"/>
    </row>
    <row r="1229" spans="35:180">
      <c r="AI1229" s="125"/>
      <c r="AJ1229" s="16"/>
      <c r="AM1229" s="16"/>
      <c r="AN1229" s="16"/>
      <c r="AO1229" s="125"/>
      <c r="AP1229" s="16"/>
      <c r="AQ1229" s="125"/>
      <c r="AZ1229" s="125"/>
      <c r="BA1229" s="142"/>
      <c r="BB1229" s="125"/>
      <c r="BC1229" s="16"/>
      <c r="BD1229" s="125"/>
      <c r="BE1229" s="125"/>
      <c r="BF1229" s="16"/>
      <c r="BG1229" s="125"/>
      <c r="BQ1229" s="125"/>
      <c r="BR1229" s="16"/>
      <c r="BS1229" s="123"/>
      <c r="BT1229" s="19"/>
      <c r="BU1229" s="139"/>
      <c r="BV1229" s="139"/>
      <c r="BW1229" s="123"/>
      <c r="BX1229" s="123"/>
      <c r="BY1229" s="123"/>
      <c r="BZ1229" s="123"/>
      <c r="CA1229" s="123"/>
      <c r="CB1229" s="123"/>
      <c r="CC1229" s="6"/>
      <c r="CD1229" s="123"/>
      <c r="CE1229" s="6"/>
      <c r="CF1229" s="123"/>
      <c r="CG1229" s="6"/>
      <c r="CH1229" s="6"/>
      <c r="CI1229" s="6"/>
      <c r="CJ1229" s="6"/>
      <c r="CK1229" s="123"/>
      <c r="CL1229" s="6"/>
      <c r="CM1229" s="6"/>
      <c r="CN1229" s="6"/>
      <c r="CO1229" s="138"/>
      <c r="CP1229" s="138"/>
      <c r="CQ1229" s="123"/>
      <c r="CR1229" s="6"/>
      <c r="CS1229" s="6"/>
      <c r="CT1229" s="139"/>
      <c r="CU1229" s="139"/>
      <c r="CV1229" s="76"/>
      <c r="CW1229" s="123"/>
      <c r="CX1229" s="6"/>
      <c r="DI1229" s="125"/>
      <c r="DJ1229" s="16"/>
      <c r="DM1229" s="16"/>
      <c r="DN1229" s="16"/>
      <c r="DO1229" s="125"/>
      <c r="DP1229" s="16"/>
      <c r="DQ1229" s="125"/>
      <c r="DZ1229" s="125"/>
      <c r="EA1229" s="142"/>
      <c r="EB1229" s="125"/>
      <c r="EC1229" s="16"/>
      <c r="ED1229" s="125"/>
      <c r="EE1229" s="125"/>
      <c r="EF1229" s="16"/>
      <c r="EG1229" s="125"/>
      <c r="EQ1229" s="125"/>
      <c r="ER1229" s="16"/>
      <c r="ES1229" s="123"/>
      <c r="ET1229" s="19"/>
      <c r="EU1229" s="139"/>
      <c r="EV1229" s="139"/>
      <c r="EW1229" s="123"/>
      <c r="EX1229" s="123"/>
      <c r="EY1229" s="123"/>
      <c r="EZ1229" s="123"/>
      <c r="FA1229" s="123"/>
      <c r="FB1229" s="123"/>
      <c r="FC1229" s="6"/>
      <c r="FD1229" s="123"/>
      <c r="FE1229" s="6"/>
      <c r="FF1229" s="123"/>
      <c r="FG1229" s="6"/>
      <c r="FH1229" s="6"/>
      <c r="FI1229" s="6"/>
      <c r="FJ1229" s="6"/>
      <c r="FK1229" s="123"/>
      <c r="FL1229" s="6"/>
      <c r="FM1229" s="6"/>
      <c r="FN1229" s="6"/>
      <c r="FO1229" s="138"/>
      <c r="FP1229" s="138"/>
      <c r="FQ1229" s="123"/>
      <c r="FR1229" s="6"/>
      <c r="FS1229" s="6"/>
      <c r="FT1229" s="139"/>
      <c r="FU1229" s="139"/>
      <c r="FV1229" s="76"/>
      <c r="FW1229" s="123"/>
      <c r="FX1229" s="6"/>
    </row>
    <row r="1230" spans="35:180">
      <c r="AI1230" s="125"/>
      <c r="AJ1230" s="16"/>
      <c r="AM1230" s="16"/>
      <c r="AN1230" s="16"/>
      <c r="AO1230" s="125"/>
      <c r="AP1230" s="16"/>
      <c r="AQ1230" s="125"/>
      <c r="AZ1230" s="125"/>
      <c r="BA1230" s="142"/>
      <c r="BB1230" s="125"/>
      <c r="BC1230" s="16"/>
      <c r="BD1230" s="125"/>
      <c r="BE1230" s="125"/>
      <c r="BF1230" s="16"/>
      <c r="BG1230" s="125"/>
      <c r="BQ1230" s="125"/>
      <c r="BR1230" s="16"/>
      <c r="BS1230" s="123"/>
      <c r="BT1230" s="19"/>
      <c r="BU1230" s="139"/>
      <c r="BV1230" s="139"/>
      <c r="BW1230" s="123"/>
      <c r="BX1230" s="123"/>
      <c r="BY1230" s="123"/>
      <c r="BZ1230" s="123"/>
      <c r="CA1230" s="123"/>
      <c r="CB1230" s="123"/>
      <c r="CC1230" s="6"/>
      <c r="CD1230" s="123"/>
      <c r="CE1230" s="6"/>
      <c r="CF1230" s="123"/>
      <c r="CG1230" s="6"/>
      <c r="CH1230" s="6"/>
      <c r="CI1230" s="6"/>
      <c r="CJ1230" s="6"/>
      <c r="CK1230" s="123"/>
      <c r="CL1230" s="6"/>
      <c r="CM1230" s="6"/>
      <c r="CN1230" s="6"/>
      <c r="CO1230" s="138"/>
      <c r="CP1230" s="138"/>
      <c r="CQ1230" s="123"/>
      <c r="CR1230" s="6"/>
      <c r="CS1230" s="6"/>
      <c r="CT1230" s="139"/>
      <c r="CU1230" s="139"/>
      <c r="CV1230" s="76"/>
      <c r="CW1230" s="123"/>
      <c r="CX1230" s="6"/>
      <c r="DI1230" s="125"/>
      <c r="DJ1230" s="16"/>
      <c r="DM1230" s="16"/>
      <c r="DN1230" s="16"/>
      <c r="DO1230" s="125"/>
      <c r="DP1230" s="16"/>
      <c r="DQ1230" s="125"/>
      <c r="DZ1230" s="125"/>
      <c r="EA1230" s="142"/>
      <c r="EB1230" s="125"/>
      <c r="EC1230" s="16"/>
      <c r="ED1230" s="125"/>
      <c r="EE1230" s="125"/>
      <c r="EF1230" s="16"/>
      <c r="EG1230" s="125"/>
      <c r="EQ1230" s="125"/>
      <c r="ER1230" s="16"/>
      <c r="ES1230" s="123"/>
      <c r="ET1230" s="19"/>
      <c r="EU1230" s="139"/>
      <c r="EV1230" s="139"/>
      <c r="EW1230" s="123"/>
      <c r="EX1230" s="123"/>
      <c r="EY1230" s="123"/>
      <c r="EZ1230" s="123"/>
      <c r="FA1230" s="123"/>
      <c r="FB1230" s="123"/>
      <c r="FC1230" s="6"/>
      <c r="FD1230" s="123"/>
      <c r="FE1230" s="6"/>
      <c r="FF1230" s="123"/>
      <c r="FG1230" s="6"/>
      <c r="FH1230" s="6"/>
      <c r="FI1230" s="6"/>
      <c r="FJ1230" s="6"/>
      <c r="FK1230" s="123"/>
      <c r="FL1230" s="6"/>
      <c r="FM1230" s="6"/>
      <c r="FN1230" s="6"/>
      <c r="FO1230" s="138"/>
      <c r="FP1230" s="138"/>
      <c r="FQ1230" s="123"/>
      <c r="FR1230" s="6"/>
      <c r="FS1230" s="6"/>
      <c r="FT1230" s="139"/>
      <c r="FU1230" s="139"/>
      <c r="FV1230" s="76"/>
      <c r="FW1230" s="123"/>
      <c r="FX1230" s="6"/>
    </row>
    <row r="1231" spans="35:180">
      <c r="AI1231" s="125"/>
      <c r="AJ1231" s="16"/>
      <c r="AM1231" s="16"/>
      <c r="AN1231" s="16"/>
      <c r="AO1231" s="125"/>
      <c r="AP1231" s="16"/>
      <c r="AQ1231" s="125"/>
      <c r="AZ1231" s="125"/>
      <c r="BA1231" s="142"/>
      <c r="BB1231" s="125"/>
      <c r="BC1231" s="16"/>
      <c r="BD1231" s="125"/>
      <c r="BE1231" s="125"/>
      <c r="BF1231" s="16"/>
      <c r="BG1231" s="125"/>
      <c r="BQ1231" s="125"/>
      <c r="BR1231" s="16"/>
      <c r="BS1231" s="123"/>
      <c r="BT1231" s="19"/>
      <c r="BU1231" s="139"/>
      <c r="BV1231" s="139"/>
      <c r="BW1231" s="123"/>
      <c r="BX1231" s="123"/>
      <c r="BY1231" s="123"/>
      <c r="BZ1231" s="123"/>
      <c r="CA1231" s="123"/>
      <c r="CB1231" s="123"/>
      <c r="CC1231" s="6"/>
      <c r="CD1231" s="123"/>
      <c r="CE1231" s="6"/>
      <c r="CF1231" s="123"/>
      <c r="CG1231" s="6"/>
      <c r="CH1231" s="6"/>
      <c r="CI1231" s="6"/>
      <c r="CJ1231" s="6"/>
      <c r="CK1231" s="123"/>
      <c r="CL1231" s="6"/>
      <c r="CM1231" s="6"/>
      <c r="CN1231" s="6"/>
      <c r="CO1231" s="138"/>
      <c r="CP1231" s="138"/>
      <c r="CQ1231" s="123"/>
      <c r="CR1231" s="6"/>
      <c r="CS1231" s="6"/>
      <c r="CT1231" s="139"/>
      <c r="CU1231" s="139"/>
      <c r="CV1231" s="76"/>
      <c r="CW1231" s="123"/>
      <c r="CX1231" s="6"/>
      <c r="DI1231" s="125"/>
      <c r="DJ1231" s="16"/>
      <c r="DM1231" s="16"/>
      <c r="DN1231" s="16"/>
      <c r="DO1231" s="125"/>
      <c r="DP1231" s="16"/>
      <c r="DQ1231" s="125"/>
      <c r="DZ1231" s="125"/>
      <c r="EA1231" s="142"/>
      <c r="EB1231" s="125"/>
      <c r="EC1231" s="16"/>
      <c r="ED1231" s="125"/>
      <c r="EE1231" s="125"/>
      <c r="EF1231" s="16"/>
      <c r="EG1231" s="125"/>
      <c r="EQ1231" s="125"/>
      <c r="ER1231" s="16"/>
      <c r="ES1231" s="123"/>
      <c r="ET1231" s="19"/>
      <c r="EU1231" s="139"/>
      <c r="EV1231" s="139"/>
      <c r="EW1231" s="123"/>
      <c r="EX1231" s="123"/>
      <c r="EY1231" s="123"/>
      <c r="EZ1231" s="123"/>
      <c r="FA1231" s="123"/>
      <c r="FB1231" s="123"/>
      <c r="FC1231" s="6"/>
      <c r="FD1231" s="123"/>
      <c r="FE1231" s="6"/>
      <c r="FF1231" s="123"/>
      <c r="FG1231" s="6"/>
      <c r="FH1231" s="6"/>
      <c r="FI1231" s="6"/>
      <c r="FJ1231" s="6"/>
      <c r="FK1231" s="123"/>
      <c r="FL1231" s="6"/>
      <c r="FM1231" s="6"/>
      <c r="FN1231" s="6"/>
      <c r="FO1231" s="138"/>
      <c r="FP1231" s="138"/>
      <c r="FQ1231" s="123"/>
      <c r="FR1231" s="6"/>
      <c r="FS1231" s="6"/>
      <c r="FT1231" s="139"/>
      <c r="FU1231" s="139"/>
      <c r="FV1231" s="76"/>
      <c r="FW1231" s="123"/>
      <c r="FX1231" s="6"/>
    </row>
    <row r="1232" spans="35:180">
      <c r="AI1232" s="125"/>
      <c r="AJ1232" s="16"/>
      <c r="AM1232" s="16"/>
      <c r="AN1232" s="16"/>
      <c r="AO1232" s="125"/>
      <c r="AP1232" s="16"/>
      <c r="AQ1232" s="125"/>
      <c r="AZ1232" s="125"/>
      <c r="BA1232" s="142"/>
      <c r="BB1232" s="125"/>
      <c r="BC1232" s="16"/>
      <c r="BD1232" s="125"/>
      <c r="BE1232" s="125"/>
      <c r="BF1232" s="16"/>
      <c r="BG1232" s="125"/>
      <c r="BQ1232" s="125"/>
      <c r="BR1232" s="16"/>
      <c r="BS1232" s="123"/>
      <c r="BT1232" s="19"/>
      <c r="BU1232" s="139"/>
      <c r="BV1232" s="139"/>
      <c r="BW1232" s="123"/>
      <c r="BX1232" s="123"/>
      <c r="BY1232" s="123"/>
      <c r="BZ1232" s="123"/>
      <c r="CA1232" s="123"/>
      <c r="CB1232" s="123"/>
      <c r="CC1232" s="6"/>
      <c r="CD1232" s="123"/>
      <c r="CE1232" s="6"/>
      <c r="CF1232" s="123"/>
      <c r="CG1232" s="6"/>
      <c r="CH1232" s="6"/>
      <c r="CI1232" s="6"/>
      <c r="CJ1232" s="6"/>
      <c r="CK1232" s="123"/>
      <c r="CL1232" s="6"/>
      <c r="CM1232" s="6"/>
      <c r="CN1232" s="6"/>
      <c r="CO1232" s="138"/>
      <c r="CP1232" s="138"/>
      <c r="CQ1232" s="123"/>
      <c r="CR1232" s="6"/>
      <c r="CS1232" s="6"/>
      <c r="CT1232" s="139"/>
      <c r="CU1232" s="139"/>
      <c r="CV1232" s="76"/>
      <c r="CW1232" s="123"/>
      <c r="CX1232" s="6"/>
      <c r="DI1232" s="125"/>
      <c r="DJ1232" s="16"/>
      <c r="DM1232" s="16"/>
      <c r="DN1232" s="16"/>
      <c r="DO1232" s="125"/>
      <c r="DP1232" s="16"/>
      <c r="DQ1232" s="125"/>
      <c r="DZ1232" s="125"/>
      <c r="EA1232" s="142"/>
      <c r="EB1232" s="125"/>
      <c r="EC1232" s="16"/>
      <c r="ED1232" s="125"/>
      <c r="EE1232" s="125"/>
      <c r="EF1232" s="16"/>
      <c r="EG1232" s="125"/>
      <c r="EQ1232" s="125"/>
      <c r="ER1232" s="16"/>
      <c r="ES1232" s="123"/>
      <c r="ET1232" s="19"/>
      <c r="EU1232" s="139"/>
      <c r="EV1232" s="139"/>
      <c r="EW1232" s="123"/>
      <c r="EX1232" s="123"/>
      <c r="EY1232" s="123"/>
      <c r="EZ1232" s="123"/>
      <c r="FA1232" s="123"/>
      <c r="FB1232" s="123"/>
      <c r="FC1232" s="6"/>
      <c r="FD1232" s="123"/>
      <c r="FE1232" s="6"/>
      <c r="FF1232" s="123"/>
      <c r="FG1232" s="6"/>
      <c r="FH1232" s="6"/>
      <c r="FI1232" s="6"/>
      <c r="FJ1232" s="6"/>
      <c r="FK1232" s="123"/>
      <c r="FL1232" s="6"/>
      <c r="FM1232" s="6"/>
      <c r="FN1232" s="6"/>
      <c r="FO1232" s="138"/>
      <c r="FP1232" s="138"/>
      <c r="FQ1232" s="123"/>
      <c r="FR1232" s="6"/>
      <c r="FS1232" s="6"/>
      <c r="FT1232" s="139"/>
      <c r="FU1232" s="139"/>
      <c r="FV1232" s="76"/>
      <c r="FW1232" s="123"/>
      <c r="FX1232" s="6"/>
    </row>
    <row r="1233" spans="35:180">
      <c r="AI1233" s="125"/>
      <c r="AJ1233" s="16"/>
      <c r="AM1233" s="16"/>
      <c r="AN1233" s="16"/>
      <c r="AO1233" s="125"/>
      <c r="AP1233" s="16"/>
      <c r="AQ1233" s="125"/>
      <c r="AZ1233" s="125"/>
      <c r="BA1233" s="142"/>
      <c r="BB1233" s="125"/>
      <c r="BC1233" s="16"/>
      <c r="BD1233" s="125"/>
      <c r="BE1233" s="125"/>
      <c r="BF1233" s="16"/>
      <c r="BG1233" s="125"/>
      <c r="BQ1233" s="125"/>
      <c r="BR1233" s="16"/>
      <c r="BS1233" s="123"/>
      <c r="BT1233" s="19"/>
      <c r="BU1233" s="139"/>
      <c r="BV1233" s="139"/>
      <c r="BW1233" s="123"/>
      <c r="BX1233" s="123"/>
      <c r="BY1233" s="123"/>
      <c r="BZ1233" s="123"/>
      <c r="CA1233" s="123"/>
      <c r="CB1233" s="123"/>
      <c r="CC1233" s="6"/>
      <c r="CD1233" s="123"/>
      <c r="CE1233" s="6"/>
      <c r="CF1233" s="123"/>
      <c r="CG1233" s="6"/>
      <c r="CH1233" s="6"/>
      <c r="CI1233" s="6"/>
      <c r="CJ1233" s="6"/>
      <c r="CK1233" s="123"/>
      <c r="CL1233" s="6"/>
      <c r="CM1233" s="6"/>
      <c r="CN1233" s="6"/>
      <c r="CO1233" s="138"/>
      <c r="CP1233" s="138"/>
      <c r="CQ1233" s="123"/>
      <c r="CR1233" s="6"/>
      <c r="CS1233" s="6"/>
      <c r="CT1233" s="139"/>
      <c r="CU1233" s="139"/>
      <c r="CV1233" s="76"/>
      <c r="CW1233" s="123"/>
      <c r="CX1233" s="6"/>
      <c r="DI1233" s="125"/>
      <c r="DJ1233" s="16"/>
      <c r="DM1233" s="16"/>
      <c r="DN1233" s="16"/>
      <c r="DO1233" s="125"/>
      <c r="DP1233" s="16"/>
      <c r="DQ1233" s="125"/>
      <c r="DZ1233" s="125"/>
      <c r="EA1233" s="142"/>
      <c r="EB1233" s="125"/>
      <c r="EC1233" s="16"/>
      <c r="ED1233" s="125"/>
      <c r="EE1233" s="125"/>
      <c r="EF1233" s="16"/>
      <c r="EG1233" s="125"/>
      <c r="EQ1233" s="125"/>
      <c r="ER1233" s="16"/>
      <c r="ES1233" s="123"/>
      <c r="ET1233" s="19"/>
      <c r="EU1233" s="139"/>
      <c r="EV1233" s="139"/>
      <c r="EW1233" s="123"/>
      <c r="EX1233" s="123"/>
      <c r="EY1233" s="123"/>
      <c r="EZ1233" s="123"/>
      <c r="FA1233" s="123"/>
      <c r="FB1233" s="123"/>
      <c r="FC1233" s="6"/>
      <c r="FD1233" s="123"/>
      <c r="FE1233" s="6"/>
      <c r="FF1233" s="123"/>
      <c r="FG1233" s="6"/>
      <c r="FH1233" s="6"/>
      <c r="FI1233" s="6"/>
      <c r="FJ1233" s="6"/>
      <c r="FK1233" s="123"/>
      <c r="FL1233" s="6"/>
      <c r="FM1233" s="6"/>
      <c r="FN1233" s="6"/>
      <c r="FO1233" s="138"/>
      <c r="FP1233" s="138"/>
      <c r="FQ1233" s="123"/>
      <c r="FR1233" s="6"/>
      <c r="FS1233" s="6"/>
      <c r="FT1233" s="139"/>
      <c r="FU1233" s="139"/>
      <c r="FV1233" s="76"/>
      <c r="FW1233" s="123"/>
      <c r="FX1233" s="6"/>
    </row>
    <row r="1234" spans="35:180">
      <c r="AI1234" s="125"/>
      <c r="AJ1234" s="16"/>
      <c r="AM1234" s="16"/>
      <c r="AN1234" s="16"/>
      <c r="AO1234" s="125"/>
      <c r="AP1234" s="16"/>
      <c r="AQ1234" s="125"/>
      <c r="AZ1234" s="125"/>
      <c r="BA1234" s="142"/>
      <c r="BB1234" s="125"/>
      <c r="BC1234" s="16"/>
      <c r="BD1234" s="125"/>
      <c r="BE1234" s="125"/>
      <c r="BF1234" s="16"/>
      <c r="BG1234" s="125"/>
      <c r="BQ1234" s="125"/>
      <c r="BR1234" s="16"/>
      <c r="BS1234" s="123"/>
      <c r="BT1234" s="19"/>
      <c r="BU1234" s="139"/>
      <c r="BV1234" s="139"/>
      <c r="BW1234" s="123"/>
      <c r="BX1234" s="123"/>
      <c r="BY1234" s="123"/>
      <c r="BZ1234" s="123"/>
      <c r="CA1234" s="123"/>
      <c r="CB1234" s="123"/>
      <c r="CC1234" s="6"/>
      <c r="CD1234" s="123"/>
      <c r="CE1234" s="6"/>
      <c r="CF1234" s="123"/>
      <c r="CG1234" s="6"/>
      <c r="CH1234" s="6"/>
      <c r="CI1234" s="6"/>
      <c r="CJ1234" s="6"/>
      <c r="CK1234" s="123"/>
      <c r="CL1234" s="6"/>
      <c r="CM1234" s="6"/>
      <c r="CN1234" s="6"/>
      <c r="CO1234" s="138"/>
      <c r="CP1234" s="138"/>
      <c r="CQ1234" s="123"/>
      <c r="CR1234" s="6"/>
      <c r="CS1234" s="6"/>
      <c r="CT1234" s="139"/>
      <c r="CU1234" s="139"/>
      <c r="CV1234" s="76"/>
      <c r="CW1234" s="123"/>
      <c r="CX1234" s="6"/>
      <c r="DI1234" s="125"/>
      <c r="DJ1234" s="16"/>
      <c r="DM1234" s="16"/>
      <c r="DN1234" s="16"/>
      <c r="DO1234" s="125"/>
      <c r="DP1234" s="16"/>
      <c r="DQ1234" s="125"/>
      <c r="DZ1234" s="125"/>
      <c r="EA1234" s="142"/>
      <c r="EB1234" s="125"/>
      <c r="EC1234" s="16"/>
      <c r="ED1234" s="125"/>
      <c r="EE1234" s="125"/>
      <c r="EF1234" s="16"/>
      <c r="EG1234" s="125"/>
      <c r="EQ1234" s="125"/>
      <c r="ER1234" s="16"/>
      <c r="ES1234" s="123"/>
      <c r="ET1234" s="19"/>
      <c r="EU1234" s="139"/>
      <c r="EV1234" s="139"/>
      <c r="EW1234" s="123"/>
      <c r="EX1234" s="123"/>
      <c r="EY1234" s="123"/>
      <c r="EZ1234" s="123"/>
      <c r="FA1234" s="123"/>
      <c r="FB1234" s="123"/>
      <c r="FC1234" s="6"/>
      <c r="FD1234" s="123"/>
      <c r="FE1234" s="6"/>
      <c r="FF1234" s="123"/>
      <c r="FG1234" s="6"/>
      <c r="FH1234" s="6"/>
      <c r="FI1234" s="6"/>
      <c r="FJ1234" s="6"/>
      <c r="FK1234" s="123"/>
      <c r="FL1234" s="6"/>
      <c r="FM1234" s="6"/>
      <c r="FN1234" s="6"/>
      <c r="FO1234" s="138"/>
      <c r="FP1234" s="138"/>
      <c r="FQ1234" s="123"/>
      <c r="FR1234" s="6"/>
      <c r="FS1234" s="6"/>
      <c r="FT1234" s="139"/>
      <c r="FU1234" s="139"/>
      <c r="FV1234" s="76"/>
      <c r="FW1234" s="123"/>
      <c r="FX1234" s="6"/>
    </row>
    <row r="1235" spans="35:180">
      <c r="AI1235" s="125"/>
      <c r="AJ1235" s="16"/>
      <c r="AM1235" s="16"/>
      <c r="AN1235" s="16"/>
      <c r="AO1235" s="125"/>
      <c r="AP1235" s="16"/>
      <c r="AQ1235" s="125"/>
      <c r="AZ1235" s="125"/>
      <c r="BA1235" s="142"/>
      <c r="BB1235" s="125"/>
      <c r="BC1235" s="16"/>
      <c r="BD1235" s="125"/>
      <c r="BE1235" s="125"/>
      <c r="BF1235" s="16"/>
      <c r="BG1235" s="125"/>
      <c r="BQ1235" s="125"/>
      <c r="BR1235" s="16"/>
      <c r="BS1235" s="123"/>
      <c r="BT1235" s="19"/>
      <c r="BU1235" s="139"/>
      <c r="BV1235" s="139"/>
      <c r="BW1235" s="123"/>
      <c r="BX1235" s="123"/>
      <c r="BY1235" s="123"/>
      <c r="BZ1235" s="123"/>
      <c r="CA1235" s="123"/>
      <c r="CB1235" s="123"/>
      <c r="CC1235" s="6"/>
      <c r="CD1235" s="123"/>
      <c r="CE1235" s="6"/>
      <c r="CF1235" s="123"/>
      <c r="CG1235" s="6"/>
      <c r="CH1235" s="6"/>
      <c r="CI1235" s="6"/>
      <c r="CJ1235" s="6"/>
      <c r="CK1235" s="123"/>
      <c r="CL1235" s="6"/>
      <c r="CM1235" s="6"/>
      <c r="CN1235" s="6"/>
      <c r="CO1235" s="138"/>
      <c r="CP1235" s="138"/>
      <c r="CQ1235" s="123"/>
      <c r="CR1235" s="6"/>
      <c r="CS1235" s="6"/>
      <c r="CT1235" s="139"/>
      <c r="CU1235" s="139"/>
      <c r="CV1235" s="76"/>
      <c r="CW1235" s="123"/>
      <c r="CX1235" s="6"/>
      <c r="DI1235" s="125"/>
      <c r="DJ1235" s="16"/>
      <c r="DM1235" s="16"/>
      <c r="DN1235" s="16"/>
      <c r="DO1235" s="125"/>
      <c r="DP1235" s="16"/>
      <c r="DQ1235" s="125"/>
      <c r="DZ1235" s="125"/>
      <c r="EA1235" s="142"/>
      <c r="EB1235" s="125"/>
      <c r="EC1235" s="16"/>
      <c r="ED1235" s="125"/>
      <c r="EE1235" s="125"/>
      <c r="EF1235" s="16"/>
      <c r="EG1235" s="125"/>
      <c r="EQ1235" s="125"/>
      <c r="ER1235" s="16"/>
      <c r="ES1235" s="123"/>
      <c r="ET1235" s="19"/>
      <c r="EU1235" s="139"/>
      <c r="EV1235" s="139"/>
      <c r="EW1235" s="123"/>
      <c r="EX1235" s="123"/>
      <c r="EY1235" s="123"/>
      <c r="EZ1235" s="123"/>
      <c r="FA1235" s="123"/>
      <c r="FB1235" s="123"/>
      <c r="FC1235" s="6"/>
      <c r="FD1235" s="123"/>
      <c r="FE1235" s="6"/>
      <c r="FF1235" s="123"/>
      <c r="FG1235" s="6"/>
      <c r="FH1235" s="6"/>
      <c r="FI1235" s="6"/>
      <c r="FJ1235" s="6"/>
      <c r="FK1235" s="123"/>
      <c r="FL1235" s="6"/>
      <c r="FM1235" s="6"/>
      <c r="FN1235" s="6"/>
      <c r="FO1235" s="138"/>
      <c r="FP1235" s="138"/>
      <c r="FQ1235" s="123"/>
      <c r="FR1235" s="6"/>
      <c r="FS1235" s="6"/>
      <c r="FT1235" s="139"/>
      <c r="FU1235" s="139"/>
      <c r="FV1235" s="76"/>
      <c r="FW1235" s="123"/>
      <c r="FX1235" s="6"/>
    </row>
    <row r="1236" spans="35:180">
      <c r="AI1236" s="125"/>
      <c r="AJ1236" s="16"/>
      <c r="AM1236" s="16"/>
      <c r="AN1236" s="16"/>
      <c r="AO1236" s="125"/>
      <c r="AP1236" s="16"/>
      <c r="AQ1236" s="125"/>
      <c r="AZ1236" s="125"/>
      <c r="BA1236" s="142"/>
      <c r="BB1236" s="125"/>
      <c r="BC1236" s="16"/>
      <c r="BD1236" s="125"/>
      <c r="BE1236" s="125"/>
      <c r="BF1236" s="16"/>
      <c r="BG1236" s="125"/>
      <c r="BQ1236" s="125"/>
      <c r="BR1236" s="16"/>
      <c r="BS1236" s="123"/>
      <c r="BT1236" s="19"/>
      <c r="BU1236" s="139"/>
      <c r="BV1236" s="139"/>
      <c r="BW1236" s="123"/>
      <c r="BX1236" s="123"/>
      <c r="BY1236" s="123"/>
      <c r="BZ1236" s="123"/>
      <c r="CA1236" s="123"/>
      <c r="CB1236" s="123"/>
      <c r="CC1236" s="6"/>
      <c r="CD1236" s="123"/>
      <c r="CE1236" s="6"/>
      <c r="CF1236" s="123"/>
      <c r="CG1236" s="6"/>
      <c r="CH1236" s="6"/>
      <c r="CI1236" s="6"/>
      <c r="CJ1236" s="6"/>
      <c r="CK1236" s="123"/>
      <c r="CL1236" s="6"/>
      <c r="CM1236" s="6"/>
      <c r="CN1236" s="6"/>
      <c r="CO1236" s="138"/>
      <c r="CP1236" s="138"/>
      <c r="CQ1236" s="123"/>
      <c r="CR1236" s="6"/>
      <c r="CS1236" s="6"/>
      <c r="CT1236" s="139"/>
      <c r="CU1236" s="139"/>
      <c r="CV1236" s="76"/>
      <c r="CW1236" s="123"/>
      <c r="CX1236" s="6"/>
      <c r="DI1236" s="125"/>
      <c r="DJ1236" s="16"/>
      <c r="DM1236" s="16"/>
      <c r="DN1236" s="16"/>
      <c r="DO1236" s="125"/>
      <c r="DP1236" s="16"/>
      <c r="DQ1236" s="125"/>
      <c r="DZ1236" s="125"/>
      <c r="EA1236" s="142"/>
      <c r="EB1236" s="125"/>
      <c r="EC1236" s="16"/>
      <c r="ED1236" s="125"/>
      <c r="EE1236" s="125"/>
      <c r="EF1236" s="16"/>
      <c r="EG1236" s="125"/>
      <c r="EQ1236" s="125"/>
      <c r="ER1236" s="16"/>
      <c r="ES1236" s="123"/>
      <c r="ET1236" s="19"/>
      <c r="EU1236" s="139"/>
      <c r="EV1236" s="139"/>
      <c r="EW1236" s="123"/>
      <c r="EX1236" s="123"/>
      <c r="EY1236" s="123"/>
      <c r="EZ1236" s="123"/>
      <c r="FA1236" s="123"/>
      <c r="FB1236" s="123"/>
      <c r="FC1236" s="6"/>
      <c r="FD1236" s="123"/>
      <c r="FE1236" s="6"/>
      <c r="FF1236" s="123"/>
      <c r="FG1236" s="6"/>
      <c r="FH1236" s="6"/>
      <c r="FI1236" s="6"/>
      <c r="FJ1236" s="6"/>
      <c r="FK1236" s="123"/>
      <c r="FL1236" s="6"/>
      <c r="FM1236" s="6"/>
      <c r="FN1236" s="6"/>
      <c r="FO1236" s="138"/>
      <c r="FP1236" s="138"/>
      <c r="FQ1236" s="123"/>
      <c r="FR1236" s="6"/>
      <c r="FS1236" s="6"/>
      <c r="FT1236" s="139"/>
      <c r="FU1236" s="139"/>
      <c r="FV1236" s="76"/>
      <c r="FW1236" s="123"/>
      <c r="FX1236" s="6"/>
    </row>
    <row r="1237" spans="35:180">
      <c r="AI1237" s="125"/>
      <c r="AJ1237" s="16"/>
      <c r="AM1237" s="16"/>
      <c r="AN1237" s="16"/>
      <c r="AO1237" s="125"/>
      <c r="AP1237" s="16"/>
      <c r="AQ1237" s="125"/>
      <c r="AZ1237" s="125"/>
      <c r="BA1237" s="142"/>
      <c r="BB1237" s="125"/>
      <c r="BC1237" s="16"/>
      <c r="BD1237" s="125"/>
      <c r="BE1237" s="125"/>
      <c r="BF1237" s="16"/>
      <c r="BG1237" s="125"/>
      <c r="BQ1237" s="125"/>
      <c r="BR1237" s="16"/>
      <c r="BS1237" s="123"/>
      <c r="BT1237" s="19"/>
      <c r="BU1237" s="139"/>
      <c r="BV1237" s="139"/>
      <c r="BW1237" s="123"/>
      <c r="BX1237" s="123"/>
      <c r="BY1237" s="123"/>
      <c r="BZ1237" s="123"/>
      <c r="CA1237" s="123"/>
      <c r="CB1237" s="123"/>
      <c r="CC1237" s="6"/>
      <c r="CD1237" s="123"/>
      <c r="CE1237" s="6"/>
      <c r="CF1237" s="123"/>
      <c r="CG1237" s="6"/>
      <c r="CH1237" s="6"/>
      <c r="CI1237" s="6"/>
      <c r="CJ1237" s="6"/>
      <c r="CK1237" s="123"/>
      <c r="CL1237" s="6"/>
      <c r="CM1237" s="6"/>
      <c r="CN1237" s="6"/>
      <c r="CO1237" s="138"/>
      <c r="CP1237" s="138"/>
      <c r="CQ1237" s="123"/>
      <c r="CR1237" s="6"/>
      <c r="CS1237" s="6"/>
      <c r="CT1237" s="139"/>
      <c r="CU1237" s="139"/>
      <c r="CV1237" s="76"/>
      <c r="CW1237" s="123"/>
      <c r="CX1237" s="6"/>
      <c r="DI1237" s="125"/>
      <c r="DJ1237" s="16"/>
      <c r="DM1237" s="16"/>
      <c r="DN1237" s="16"/>
      <c r="DO1237" s="125"/>
      <c r="DP1237" s="16"/>
      <c r="DQ1237" s="125"/>
      <c r="DZ1237" s="125"/>
      <c r="EA1237" s="142"/>
      <c r="EB1237" s="125"/>
      <c r="EC1237" s="16"/>
      <c r="ED1237" s="125"/>
      <c r="EE1237" s="125"/>
      <c r="EF1237" s="16"/>
      <c r="EG1237" s="125"/>
      <c r="EQ1237" s="125"/>
      <c r="ER1237" s="16"/>
      <c r="ES1237" s="123"/>
      <c r="ET1237" s="19"/>
      <c r="EU1237" s="139"/>
      <c r="EV1237" s="139"/>
      <c r="EW1237" s="123"/>
      <c r="EX1237" s="123"/>
      <c r="EY1237" s="123"/>
      <c r="EZ1237" s="123"/>
      <c r="FA1237" s="123"/>
      <c r="FB1237" s="123"/>
      <c r="FC1237" s="6"/>
      <c r="FD1237" s="123"/>
      <c r="FE1237" s="6"/>
      <c r="FF1237" s="123"/>
      <c r="FG1237" s="6"/>
      <c r="FH1237" s="6"/>
      <c r="FI1237" s="6"/>
      <c r="FJ1237" s="6"/>
      <c r="FK1237" s="123"/>
      <c r="FL1237" s="6"/>
      <c r="FM1237" s="6"/>
      <c r="FN1237" s="6"/>
      <c r="FO1237" s="138"/>
      <c r="FP1237" s="138"/>
      <c r="FQ1237" s="123"/>
      <c r="FR1237" s="6"/>
      <c r="FS1237" s="6"/>
      <c r="FT1237" s="139"/>
      <c r="FU1237" s="139"/>
      <c r="FV1237" s="76"/>
      <c r="FW1237" s="123"/>
      <c r="FX1237" s="6"/>
    </row>
    <row r="1238" spans="35:180">
      <c r="AI1238" s="125"/>
      <c r="AJ1238" s="16"/>
      <c r="AM1238" s="16"/>
      <c r="AN1238" s="16"/>
      <c r="AO1238" s="125"/>
      <c r="AP1238" s="16"/>
      <c r="AQ1238" s="125"/>
      <c r="AZ1238" s="125"/>
      <c r="BA1238" s="142"/>
      <c r="BB1238" s="125"/>
      <c r="BC1238" s="16"/>
      <c r="BD1238" s="125"/>
      <c r="BE1238" s="125"/>
      <c r="BF1238" s="16"/>
      <c r="BG1238" s="125"/>
      <c r="BQ1238" s="125"/>
      <c r="BR1238" s="16"/>
      <c r="BS1238" s="123"/>
      <c r="BT1238" s="19"/>
      <c r="BU1238" s="139"/>
      <c r="BV1238" s="139"/>
      <c r="BW1238" s="123"/>
      <c r="BX1238" s="123"/>
      <c r="BY1238" s="123"/>
      <c r="BZ1238" s="123"/>
      <c r="CA1238" s="123"/>
      <c r="CB1238" s="123"/>
      <c r="CC1238" s="6"/>
      <c r="CD1238" s="123"/>
      <c r="CE1238" s="6"/>
      <c r="CF1238" s="123"/>
      <c r="CG1238" s="6"/>
      <c r="CH1238" s="6"/>
      <c r="CI1238" s="6"/>
      <c r="CJ1238" s="6"/>
      <c r="CK1238" s="123"/>
      <c r="CL1238" s="6"/>
      <c r="CM1238" s="6"/>
      <c r="CN1238" s="6"/>
      <c r="CO1238" s="138"/>
      <c r="CP1238" s="138"/>
      <c r="CQ1238" s="123"/>
      <c r="CR1238" s="6"/>
      <c r="CS1238" s="6"/>
      <c r="CT1238" s="139"/>
      <c r="CU1238" s="139"/>
      <c r="CV1238" s="76"/>
      <c r="CW1238" s="123"/>
      <c r="CX1238" s="6"/>
      <c r="DI1238" s="125"/>
      <c r="DJ1238" s="16"/>
      <c r="DM1238" s="16"/>
      <c r="DN1238" s="16"/>
      <c r="DO1238" s="125"/>
      <c r="DP1238" s="16"/>
      <c r="DQ1238" s="125"/>
      <c r="DZ1238" s="125"/>
      <c r="EA1238" s="142"/>
      <c r="EB1238" s="125"/>
      <c r="EC1238" s="16"/>
      <c r="ED1238" s="125"/>
      <c r="EE1238" s="125"/>
      <c r="EF1238" s="16"/>
      <c r="EG1238" s="125"/>
      <c r="EQ1238" s="125"/>
      <c r="ER1238" s="16"/>
      <c r="ES1238" s="123"/>
      <c r="ET1238" s="19"/>
      <c r="EU1238" s="139"/>
      <c r="EV1238" s="139"/>
      <c r="EW1238" s="123"/>
      <c r="EX1238" s="123"/>
      <c r="EY1238" s="123"/>
      <c r="EZ1238" s="123"/>
      <c r="FA1238" s="123"/>
      <c r="FB1238" s="123"/>
      <c r="FC1238" s="6"/>
      <c r="FD1238" s="123"/>
      <c r="FE1238" s="6"/>
      <c r="FF1238" s="123"/>
      <c r="FG1238" s="6"/>
      <c r="FH1238" s="6"/>
      <c r="FI1238" s="6"/>
      <c r="FJ1238" s="6"/>
      <c r="FK1238" s="123"/>
      <c r="FL1238" s="6"/>
      <c r="FM1238" s="6"/>
      <c r="FN1238" s="6"/>
      <c r="FO1238" s="138"/>
      <c r="FP1238" s="138"/>
      <c r="FQ1238" s="123"/>
      <c r="FR1238" s="6"/>
      <c r="FS1238" s="6"/>
      <c r="FT1238" s="139"/>
      <c r="FU1238" s="139"/>
      <c r="FV1238" s="76"/>
      <c r="FW1238" s="123"/>
      <c r="FX1238" s="6"/>
    </row>
    <row r="1239" spans="35:180">
      <c r="AI1239" s="125"/>
      <c r="AJ1239" s="16"/>
      <c r="AM1239" s="16"/>
      <c r="AN1239" s="16"/>
      <c r="AO1239" s="125"/>
      <c r="AP1239" s="16"/>
      <c r="AQ1239" s="125"/>
      <c r="AZ1239" s="125"/>
      <c r="BA1239" s="142"/>
      <c r="BB1239" s="125"/>
      <c r="BC1239" s="16"/>
      <c r="BD1239" s="125"/>
      <c r="BE1239" s="125"/>
      <c r="BF1239" s="16"/>
      <c r="BG1239" s="125"/>
      <c r="BQ1239" s="125"/>
      <c r="BR1239" s="16"/>
      <c r="BS1239" s="123"/>
      <c r="BT1239" s="19"/>
      <c r="BU1239" s="139"/>
      <c r="BV1239" s="139"/>
      <c r="BW1239" s="123"/>
      <c r="BX1239" s="123"/>
      <c r="BY1239" s="123"/>
      <c r="BZ1239" s="123"/>
      <c r="CA1239" s="123"/>
      <c r="CB1239" s="123"/>
      <c r="CC1239" s="6"/>
      <c r="CD1239" s="123"/>
      <c r="CE1239" s="6"/>
      <c r="CF1239" s="123"/>
      <c r="CG1239" s="6"/>
      <c r="CH1239" s="6"/>
      <c r="CI1239" s="6"/>
      <c r="CJ1239" s="6"/>
      <c r="CK1239" s="123"/>
      <c r="CL1239" s="6"/>
      <c r="CM1239" s="6"/>
      <c r="CN1239" s="6"/>
      <c r="CO1239" s="138"/>
      <c r="CP1239" s="138"/>
      <c r="CQ1239" s="123"/>
      <c r="CR1239" s="6"/>
      <c r="CS1239" s="6"/>
      <c r="CT1239" s="139"/>
      <c r="CU1239" s="139"/>
      <c r="CV1239" s="76"/>
      <c r="CW1239" s="123"/>
      <c r="CX1239" s="6"/>
      <c r="DI1239" s="125"/>
      <c r="DJ1239" s="16"/>
      <c r="DM1239" s="16"/>
      <c r="DN1239" s="16"/>
      <c r="DO1239" s="125"/>
      <c r="DP1239" s="16"/>
      <c r="DQ1239" s="125"/>
      <c r="DZ1239" s="125"/>
      <c r="EA1239" s="142"/>
      <c r="EB1239" s="125"/>
      <c r="EC1239" s="16"/>
      <c r="ED1239" s="125"/>
      <c r="EE1239" s="125"/>
      <c r="EF1239" s="16"/>
      <c r="EG1239" s="125"/>
      <c r="EQ1239" s="125"/>
      <c r="ER1239" s="16"/>
      <c r="ES1239" s="123"/>
      <c r="ET1239" s="19"/>
      <c r="EU1239" s="139"/>
      <c r="EV1239" s="139"/>
      <c r="EW1239" s="123"/>
      <c r="EX1239" s="123"/>
      <c r="EY1239" s="123"/>
      <c r="EZ1239" s="123"/>
      <c r="FA1239" s="123"/>
      <c r="FB1239" s="123"/>
      <c r="FC1239" s="6"/>
      <c r="FD1239" s="123"/>
      <c r="FE1239" s="6"/>
      <c r="FF1239" s="123"/>
      <c r="FG1239" s="6"/>
      <c r="FH1239" s="6"/>
      <c r="FI1239" s="6"/>
      <c r="FJ1239" s="6"/>
      <c r="FK1239" s="123"/>
      <c r="FL1239" s="6"/>
      <c r="FM1239" s="6"/>
      <c r="FN1239" s="6"/>
      <c r="FO1239" s="138"/>
      <c r="FP1239" s="138"/>
      <c r="FQ1239" s="123"/>
      <c r="FR1239" s="6"/>
      <c r="FS1239" s="6"/>
      <c r="FT1239" s="139"/>
      <c r="FU1239" s="139"/>
      <c r="FV1239" s="76"/>
      <c r="FW1239" s="123"/>
      <c r="FX1239" s="6"/>
    </row>
    <row r="1240" spans="35:180">
      <c r="AI1240" s="125"/>
      <c r="AJ1240" s="16"/>
      <c r="AM1240" s="16"/>
      <c r="AN1240" s="16"/>
      <c r="AO1240" s="125"/>
      <c r="AP1240" s="16"/>
      <c r="AQ1240" s="125"/>
      <c r="AZ1240" s="125"/>
      <c r="BA1240" s="142"/>
      <c r="BB1240" s="125"/>
      <c r="BC1240" s="16"/>
      <c r="BD1240" s="125"/>
      <c r="BE1240" s="125"/>
      <c r="BF1240" s="16"/>
      <c r="BG1240" s="125"/>
      <c r="BQ1240" s="125"/>
      <c r="BR1240" s="16"/>
      <c r="BS1240" s="123"/>
      <c r="BT1240" s="19"/>
      <c r="BU1240" s="139"/>
      <c r="BV1240" s="139"/>
      <c r="BW1240" s="123"/>
      <c r="BX1240" s="123"/>
      <c r="BY1240" s="123"/>
      <c r="BZ1240" s="123"/>
      <c r="CA1240" s="123"/>
      <c r="CB1240" s="123"/>
      <c r="CC1240" s="6"/>
      <c r="CD1240" s="123"/>
      <c r="CE1240" s="6"/>
      <c r="CF1240" s="123"/>
      <c r="CG1240" s="6"/>
      <c r="CH1240" s="6"/>
      <c r="CI1240" s="6"/>
      <c r="CJ1240" s="6"/>
      <c r="CK1240" s="123"/>
      <c r="CL1240" s="6"/>
      <c r="CM1240" s="6"/>
      <c r="CN1240" s="6"/>
      <c r="CO1240" s="138"/>
      <c r="CP1240" s="138"/>
      <c r="CQ1240" s="123"/>
      <c r="CR1240" s="6"/>
      <c r="CS1240" s="6"/>
      <c r="CT1240" s="139"/>
      <c r="CU1240" s="139"/>
      <c r="CV1240" s="76"/>
      <c r="CW1240" s="123"/>
      <c r="CX1240" s="6"/>
      <c r="DI1240" s="125"/>
      <c r="DJ1240" s="16"/>
      <c r="DM1240" s="16"/>
      <c r="DN1240" s="16"/>
      <c r="DO1240" s="125"/>
      <c r="DP1240" s="16"/>
      <c r="DQ1240" s="125"/>
      <c r="DZ1240" s="125"/>
      <c r="EA1240" s="142"/>
      <c r="EB1240" s="125"/>
      <c r="EC1240" s="16"/>
      <c r="ED1240" s="125"/>
      <c r="EE1240" s="125"/>
      <c r="EF1240" s="16"/>
      <c r="EG1240" s="125"/>
      <c r="EQ1240" s="125"/>
      <c r="ER1240" s="16"/>
      <c r="ES1240" s="123"/>
      <c r="ET1240" s="19"/>
      <c r="EU1240" s="139"/>
      <c r="EV1240" s="139"/>
      <c r="EW1240" s="123"/>
      <c r="EX1240" s="123"/>
      <c r="EY1240" s="123"/>
      <c r="EZ1240" s="123"/>
      <c r="FA1240" s="123"/>
      <c r="FB1240" s="123"/>
      <c r="FC1240" s="6"/>
      <c r="FD1240" s="123"/>
      <c r="FE1240" s="6"/>
      <c r="FF1240" s="123"/>
      <c r="FG1240" s="6"/>
      <c r="FH1240" s="6"/>
      <c r="FI1240" s="6"/>
      <c r="FJ1240" s="6"/>
      <c r="FK1240" s="123"/>
      <c r="FL1240" s="6"/>
      <c r="FM1240" s="6"/>
      <c r="FN1240" s="6"/>
      <c r="FO1240" s="138"/>
      <c r="FP1240" s="138"/>
      <c r="FQ1240" s="123"/>
      <c r="FR1240" s="6"/>
      <c r="FS1240" s="6"/>
      <c r="FT1240" s="139"/>
      <c r="FU1240" s="139"/>
      <c r="FV1240" s="76"/>
      <c r="FW1240" s="123"/>
      <c r="FX1240" s="6"/>
    </row>
    <row r="1241" spans="35:180">
      <c r="AI1241" s="125"/>
      <c r="AJ1241" s="16"/>
      <c r="AM1241" s="16"/>
      <c r="AN1241" s="16"/>
      <c r="AO1241" s="125"/>
      <c r="AP1241" s="16"/>
      <c r="AQ1241" s="125"/>
      <c r="AZ1241" s="125"/>
      <c r="BA1241" s="142"/>
      <c r="BB1241" s="125"/>
      <c r="BC1241" s="16"/>
      <c r="BD1241" s="125"/>
      <c r="BE1241" s="125"/>
      <c r="BF1241" s="16"/>
      <c r="BG1241" s="125"/>
      <c r="BQ1241" s="125"/>
      <c r="BR1241" s="16"/>
      <c r="BS1241" s="123"/>
      <c r="BT1241" s="19"/>
      <c r="BU1241" s="139"/>
      <c r="BV1241" s="139"/>
      <c r="BW1241" s="123"/>
      <c r="BX1241" s="123"/>
      <c r="BY1241" s="123"/>
      <c r="BZ1241" s="123"/>
      <c r="CA1241" s="123"/>
      <c r="CB1241" s="123"/>
      <c r="CC1241" s="6"/>
      <c r="CD1241" s="123"/>
      <c r="CE1241" s="6"/>
      <c r="CF1241" s="123"/>
      <c r="CG1241" s="6"/>
      <c r="CH1241" s="6"/>
      <c r="CI1241" s="6"/>
      <c r="CJ1241" s="6"/>
      <c r="CK1241" s="123"/>
      <c r="CL1241" s="6"/>
      <c r="CM1241" s="6"/>
      <c r="CN1241" s="6"/>
      <c r="CO1241" s="138"/>
      <c r="CP1241" s="138"/>
      <c r="CQ1241" s="123"/>
      <c r="CR1241" s="6"/>
      <c r="CS1241" s="6"/>
      <c r="CT1241" s="139"/>
      <c r="CU1241" s="139"/>
      <c r="CV1241" s="76"/>
      <c r="CW1241" s="123"/>
      <c r="CX1241" s="6"/>
      <c r="DI1241" s="125"/>
      <c r="DJ1241" s="16"/>
      <c r="DM1241" s="16"/>
      <c r="DN1241" s="16"/>
      <c r="DO1241" s="125"/>
      <c r="DP1241" s="16"/>
      <c r="DQ1241" s="125"/>
      <c r="DZ1241" s="125"/>
      <c r="EA1241" s="142"/>
      <c r="EB1241" s="125"/>
      <c r="EC1241" s="16"/>
      <c r="ED1241" s="125"/>
      <c r="EE1241" s="125"/>
      <c r="EF1241" s="16"/>
      <c r="EG1241" s="125"/>
      <c r="EQ1241" s="125"/>
      <c r="ER1241" s="16"/>
      <c r="ES1241" s="123"/>
      <c r="ET1241" s="19"/>
      <c r="EU1241" s="139"/>
      <c r="EV1241" s="139"/>
      <c r="EW1241" s="123"/>
      <c r="EX1241" s="123"/>
      <c r="EY1241" s="123"/>
      <c r="EZ1241" s="123"/>
      <c r="FA1241" s="123"/>
      <c r="FB1241" s="123"/>
      <c r="FC1241" s="6"/>
      <c r="FD1241" s="123"/>
      <c r="FE1241" s="6"/>
      <c r="FF1241" s="123"/>
      <c r="FG1241" s="6"/>
      <c r="FH1241" s="6"/>
      <c r="FI1241" s="6"/>
      <c r="FJ1241" s="6"/>
      <c r="FK1241" s="123"/>
      <c r="FL1241" s="6"/>
      <c r="FM1241" s="6"/>
      <c r="FN1241" s="6"/>
      <c r="FO1241" s="138"/>
      <c r="FP1241" s="138"/>
      <c r="FQ1241" s="123"/>
      <c r="FR1241" s="6"/>
      <c r="FS1241" s="6"/>
      <c r="FT1241" s="139"/>
      <c r="FU1241" s="139"/>
      <c r="FV1241" s="76"/>
      <c r="FW1241" s="123"/>
      <c r="FX1241" s="6"/>
    </row>
    <row r="1242" spans="35:180">
      <c r="AI1242" s="125"/>
      <c r="AJ1242" s="16"/>
      <c r="AM1242" s="16"/>
      <c r="AN1242" s="16"/>
      <c r="AO1242" s="125"/>
      <c r="AP1242" s="16"/>
      <c r="AQ1242" s="125"/>
      <c r="AZ1242" s="125"/>
      <c r="BA1242" s="142"/>
      <c r="BB1242" s="125"/>
      <c r="BC1242" s="16"/>
      <c r="BD1242" s="125"/>
      <c r="BE1242" s="125"/>
      <c r="BF1242" s="16"/>
      <c r="BG1242" s="125"/>
      <c r="BQ1242" s="125"/>
      <c r="BR1242" s="16"/>
      <c r="BS1242" s="123"/>
      <c r="BT1242" s="19"/>
      <c r="BU1242" s="139"/>
      <c r="BV1242" s="139"/>
      <c r="BW1242" s="123"/>
      <c r="BX1242" s="123"/>
      <c r="BY1242" s="123"/>
      <c r="BZ1242" s="123"/>
      <c r="CA1242" s="123"/>
      <c r="CB1242" s="123"/>
      <c r="CC1242" s="6"/>
      <c r="CD1242" s="123"/>
      <c r="CE1242" s="6"/>
      <c r="CF1242" s="123"/>
      <c r="CG1242" s="6"/>
      <c r="CH1242" s="6"/>
      <c r="CI1242" s="6"/>
      <c r="CJ1242" s="6"/>
      <c r="CK1242" s="123"/>
      <c r="CL1242" s="6"/>
      <c r="CM1242" s="6"/>
      <c r="CN1242" s="6"/>
      <c r="CO1242" s="138"/>
      <c r="CP1242" s="138"/>
      <c r="CQ1242" s="123"/>
      <c r="CR1242" s="6"/>
      <c r="CS1242" s="6"/>
      <c r="CT1242" s="139"/>
      <c r="CU1242" s="139"/>
      <c r="CV1242" s="76"/>
      <c r="CW1242" s="123"/>
      <c r="CX1242" s="6"/>
      <c r="DI1242" s="125"/>
      <c r="DJ1242" s="16"/>
      <c r="DM1242" s="16"/>
      <c r="DN1242" s="16"/>
      <c r="DO1242" s="125"/>
      <c r="DP1242" s="16"/>
      <c r="DQ1242" s="125"/>
      <c r="DZ1242" s="125"/>
      <c r="EA1242" s="142"/>
      <c r="EB1242" s="125"/>
      <c r="EC1242" s="16"/>
      <c r="ED1242" s="125"/>
      <c r="EE1242" s="125"/>
      <c r="EF1242" s="16"/>
      <c r="EG1242" s="125"/>
      <c r="EQ1242" s="125"/>
      <c r="ER1242" s="16"/>
      <c r="ES1242" s="123"/>
      <c r="ET1242" s="19"/>
      <c r="EU1242" s="139"/>
      <c r="EV1242" s="139"/>
      <c r="EW1242" s="123"/>
      <c r="EX1242" s="123"/>
      <c r="EY1242" s="123"/>
      <c r="EZ1242" s="123"/>
      <c r="FA1242" s="123"/>
      <c r="FB1242" s="123"/>
      <c r="FC1242" s="6"/>
      <c r="FD1242" s="123"/>
      <c r="FE1242" s="6"/>
      <c r="FF1242" s="123"/>
      <c r="FG1242" s="6"/>
      <c r="FH1242" s="6"/>
      <c r="FI1242" s="6"/>
      <c r="FJ1242" s="6"/>
      <c r="FK1242" s="123"/>
      <c r="FL1242" s="6"/>
      <c r="FM1242" s="6"/>
      <c r="FN1242" s="6"/>
      <c r="FO1242" s="138"/>
      <c r="FP1242" s="138"/>
      <c r="FQ1242" s="123"/>
      <c r="FR1242" s="6"/>
      <c r="FS1242" s="6"/>
      <c r="FT1242" s="139"/>
      <c r="FU1242" s="139"/>
      <c r="FV1242" s="76"/>
      <c r="FW1242" s="123"/>
      <c r="FX1242" s="6"/>
    </row>
    <row r="1243" spans="35:180">
      <c r="AI1243" s="125"/>
      <c r="AJ1243" s="16"/>
      <c r="AM1243" s="16"/>
      <c r="AN1243" s="16"/>
      <c r="AO1243" s="125"/>
      <c r="AP1243" s="16"/>
      <c r="AQ1243" s="125"/>
      <c r="AZ1243" s="125"/>
      <c r="BA1243" s="142"/>
      <c r="BB1243" s="125"/>
      <c r="BC1243" s="16"/>
      <c r="BD1243" s="125"/>
      <c r="BE1243" s="125"/>
      <c r="BF1243" s="16"/>
      <c r="BG1243" s="125"/>
      <c r="BQ1243" s="125"/>
      <c r="BR1243" s="16"/>
      <c r="BS1243" s="123"/>
      <c r="BT1243" s="19"/>
      <c r="BU1243" s="139"/>
      <c r="BV1243" s="139"/>
      <c r="BW1243" s="123"/>
      <c r="BX1243" s="123"/>
      <c r="BY1243" s="123"/>
      <c r="BZ1243" s="123"/>
      <c r="CA1243" s="123"/>
      <c r="CB1243" s="123"/>
      <c r="CC1243" s="6"/>
      <c r="CD1243" s="123"/>
      <c r="CE1243" s="6"/>
      <c r="CF1243" s="123"/>
      <c r="CG1243" s="6"/>
      <c r="CH1243" s="6"/>
      <c r="CI1243" s="6"/>
      <c r="CJ1243" s="6"/>
      <c r="CK1243" s="123"/>
      <c r="CL1243" s="6"/>
      <c r="CM1243" s="6"/>
      <c r="CN1243" s="6"/>
      <c r="CO1243" s="138"/>
      <c r="CP1243" s="138"/>
      <c r="CQ1243" s="123"/>
      <c r="CR1243" s="6"/>
      <c r="CS1243" s="6"/>
      <c r="CT1243" s="139"/>
      <c r="CU1243" s="139"/>
      <c r="CV1243" s="76"/>
      <c r="CW1243" s="123"/>
      <c r="CX1243" s="6"/>
      <c r="DI1243" s="125"/>
      <c r="DJ1243" s="16"/>
      <c r="DM1243" s="16"/>
      <c r="DN1243" s="16"/>
      <c r="DO1243" s="125"/>
      <c r="DP1243" s="16"/>
      <c r="DQ1243" s="125"/>
      <c r="DZ1243" s="125"/>
      <c r="EA1243" s="142"/>
      <c r="EB1243" s="125"/>
      <c r="EC1243" s="16"/>
      <c r="ED1243" s="125"/>
      <c r="EE1243" s="125"/>
      <c r="EF1243" s="16"/>
      <c r="EG1243" s="125"/>
      <c r="EQ1243" s="125"/>
      <c r="ER1243" s="16"/>
      <c r="ES1243" s="123"/>
      <c r="ET1243" s="19"/>
      <c r="EU1243" s="139"/>
      <c r="EV1243" s="139"/>
      <c r="EW1243" s="123"/>
      <c r="EX1243" s="123"/>
      <c r="EY1243" s="123"/>
      <c r="EZ1243" s="123"/>
      <c r="FA1243" s="123"/>
      <c r="FB1243" s="123"/>
      <c r="FC1243" s="6"/>
      <c r="FD1243" s="123"/>
      <c r="FE1243" s="6"/>
      <c r="FF1243" s="123"/>
      <c r="FG1243" s="6"/>
      <c r="FH1243" s="6"/>
      <c r="FI1243" s="6"/>
      <c r="FJ1243" s="6"/>
      <c r="FK1243" s="123"/>
      <c r="FL1243" s="6"/>
      <c r="FM1243" s="6"/>
      <c r="FN1243" s="6"/>
      <c r="FO1243" s="138"/>
      <c r="FP1243" s="138"/>
      <c r="FQ1243" s="123"/>
      <c r="FR1243" s="6"/>
      <c r="FS1243" s="6"/>
      <c r="FT1243" s="139"/>
      <c r="FU1243" s="139"/>
      <c r="FV1243" s="76"/>
      <c r="FW1243" s="123"/>
      <c r="FX1243" s="6"/>
    </row>
    <row r="1244" spans="35:180">
      <c r="AI1244" s="125"/>
      <c r="AJ1244" s="16"/>
      <c r="AM1244" s="16"/>
      <c r="AN1244" s="16"/>
      <c r="AO1244" s="125"/>
      <c r="AP1244" s="16"/>
      <c r="AQ1244" s="125"/>
      <c r="AZ1244" s="125"/>
      <c r="BA1244" s="142"/>
      <c r="BB1244" s="125"/>
      <c r="BC1244" s="16"/>
      <c r="BD1244" s="125"/>
      <c r="BE1244" s="125"/>
      <c r="BF1244" s="16"/>
      <c r="BG1244" s="125"/>
      <c r="BQ1244" s="125"/>
      <c r="BR1244" s="16"/>
      <c r="BS1244" s="123"/>
      <c r="BT1244" s="19"/>
      <c r="BU1244" s="139"/>
      <c r="BV1244" s="139"/>
      <c r="BW1244" s="123"/>
      <c r="BX1244" s="123"/>
      <c r="BY1244" s="123"/>
      <c r="BZ1244" s="123"/>
      <c r="CA1244" s="123"/>
      <c r="CB1244" s="123"/>
      <c r="CC1244" s="6"/>
      <c r="CD1244" s="123"/>
      <c r="CE1244" s="6"/>
      <c r="CF1244" s="123"/>
      <c r="CG1244" s="6"/>
      <c r="CH1244" s="6"/>
      <c r="CI1244" s="6"/>
      <c r="CJ1244" s="6"/>
      <c r="CK1244" s="123"/>
      <c r="CL1244" s="6"/>
      <c r="CM1244" s="6"/>
      <c r="CN1244" s="6"/>
      <c r="CO1244" s="138"/>
      <c r="CP1244" s="138"/>
      <c r="CQ1244" s="123"/>
      <c r="CR1244" s="6"/>
      <c r="CS1244" s="6"/>
      <c r="CT1244" s="139"/>
      <c r="CU1244" s="139"/>
      <c r="CV1244" s="76"/>
      <c r="CW1244" s="123"/>
      <c r="CX1244" s="6"/>
      <c r="DI1244" s="125"/>
      <c r="DJ1244" s="16"/>
      <c r="DM1244" s="16"/>
      <c r="DN1244" s="16"/>
      <c r="DO1244" s="125"/>
      <c r="DP1244" s="16"/>
      <c r="DQ1244" s="125"/>
      <c r="DZ1244" s="125"/>
      <c r="EA1244" s="142"/>
      <c r="EB1244" s="125"/>
      <c r="EC1244" s="16"/>
      <c r="ED1244" s="125"/>
      <c r="EE1244" s="125"/>
      <c r="EF1244" s="16"/>
      <c r="EG1244" s="125"/>
      <c r="EQ1244" s="125"/>
      <c r="ER1244" s="16"/>
      <c r="ES1244" s="123"/>
      <c r="ET1244" s="19"/>
      <c r="EU1244" s="139"/>
      <c r="EV1244" s="139"/>
      <c r="EW1244" s="123"/>
      <c r="EX1244" s="123"/>
      <c r="EY1244" s="123"/>
      <c r="EZ1244" s="123"/>
      <c r="FA1244" s="123"/>
      <c r="FB1244" s="123"/>
      <c r="FC1244" s="6"/>
      <c r="FD1244" s="123"/>
      <c r="FE1244" s="6"/>
      <c r="FF1244" s="123"/>
      <c r="FG1244" s="6"/>
      <c r="FH1244" s="6"/>
      <c r="FI1244" s="6"/>
      <c r="FJ1244" s="6"/>
      <c r="FK1244" s="123"/>
      <c r="FL1244" s="6"/>
      <c r="FM1244" s="6"/>
      <c r="FN1244" s="6"/>
      <c r="FO1244" s="138"/>
      <c r="FP1244" s="138"/>
      <c r="FQ1244" s="123"/>
      <c r="FR1244" s="6"/>
      <c r="FS1244" s="6"/>
      <c r="FT1244" s="139"/>
      <c r="FU1244" s="139"/>
      <c r="FV1244" s="76"/>
      <c r="FW1244" s="123"/>
      <c r="FX1244" s="6"/>
    </row>
    <row r="1245" spans="35:180">
      <c r="AI1245" s="125"/>
      <c r="AJ1245" s="16"/>
      <c r="AM1245" s="16"/>
      <c r="AN1245" s="16"/>
      <c r="AO1245" s="125"/>
      <c r="AP1245" s="16"/>
      <c r="AQ1245" s="125"/>
      <c r="AZ1245" s="125"/>
      <c r="BA1245" s="142"/>
      <c r="BB1245" s="125"/>
      <c r="BC1245" s="16"/>
      <c r="BD1245" s="125"/>
      <c r="BE1245" s="125"/>
      <c r="BF1245" s="16"/>
      <c r="BG1245" s="125"/>
      <c r="BQ1245" s="125"/>
      <c r="BR1245" s="16"/>
      <c r="BS1245" s="123"/>
      <c r="BT1245" s="19"/>
      <c r="BU1245" s="139"/>
      <c r="BV1245" s="139"/>
      <c r="BW1245" s="123"/>
      <c r="BX1245" s="123"/>
      <c r="BY1245" s="123"/>
      <c r="BZ1245" s="123"/>
      <c r="CA1245" s="123"/>
      <c r="CB1245" s="123"/>
      <c r="CC1245" s="6"/>
      <c r="CD1245" s="123"/>
      <c r="CE1245" s="6"/>
      <c r="CF1245" s="123"/>
      <c r="CG1245" s="6"/>
      <c r="CH1245" s="6"/>
      <c r="CI1245" s="6"/>
      <c r="CJ1245" s="6"/>
      <c r="CK1245" s="123"/>
      <c r="CL1245" s="6"/>
      <c r="CM1245" s="6"/>
      <c r="CN1245" s="6"/>
      <c r="CO1245" s="138"/>
      <c r="CP1245" s="138"/>
      <c r="CQ1245" s="123"/>
      <c r="CR1245" s="6"/>
      <c r="CS1245" s="6"/>
      <c r="CT1245" s="139"/>
      <c r="CU1245" s="139"/>
      <c r="CV1245" s="76"/>
      <c r="CW1245" s="123"/>
      <c r="CX1245" s="6"/>
      <c r="DI1245" s="125"/>
      <c r="DJ1245" s="16"/>
      <c r="DM1245" s="16"/>
      <c r="DN1245" s="16"/>
      <c r="DO1245" s="125"/>
      <c r="DP1245" s="16"/>
      <c r="DQ1245" s="125"/>
      <c r="DZ1245" s="125"/>
      <c r="EA1245" s="142"/>
      <c r="EB1245" s="125"/>
      <c r="EC1245" s="16"/>
      <c r="ED1245" s="125"/>
      <c r="EE1245" s="125"/>
      <c r="EF1245" s="16"/>
      <c r="EG1245" s="125"/>
      <c r="EQ1245" s="125"/>
      <c r="ER1245" s="16"/>
      <c r="ES1245" s="123"/>
      <c r="ET1245" s="19"/>
      <c r="EU1245" s="139"/>
      <c r="EV1245" s="139"/>
      <c r="EW1245" s="123"/>
      <c r="EX1245" s="123"/>
      <c r="EY1245" s="123"/>
      <c r="EZ1245" s="123"/>
      <c r="FA1245" s="123"/>
      <c r="FB1245" s="123"/>
      <c r="FC1245" s="6"/>
      <c r="FD1245" s="123"/>
      <c r="FE1245" s="6"/>
      <c r="FF1245" s="123"/>
      <c r="FG1245" s="6"/>
      <c r="FH1245" s="6"/>
      <c r="FI1245" s="6"/>
      <c r="FJ1245" s="6"/>
      <c r="FK1245" s="123"/>
      <c r="FL1245" s="6"/>
      <c r="FM1245" s="6"/>
      <c r="FN1245" s="6"/>
      <c r="FO1245" s="138"/>
      <c r="FP1245" s="138"/>
      <c r="FQ1245" s="123"/>
      <c r="FR1245" s="6"/>
      <c r="FS1245" s="6"/>
      <c r="FT1245" s="139"/>
      <c r="FU1245" s="139"/>
      <c r="FV1245" s="76"/>
      <c r="FW1245" s="123"/>
      <c r="FX1245" s="6"/>
    </row>
    <row r="1246" spans="35:180">
      <c r="AI1246" s="125"/>
      <c r="AJ1246" s="16"/>
      <c r="AM1246" s="16"/>
      <c r="AN1246" s="16"/>
      <c r="AO1246" s="125"/>
      <c r="AP1246" s="16"/>
      <c r="AQ1246" s="125"/>
      <c r="AZ1246" s="125"/>
      <c r="BA1246" s="142"/>
      <c r="BB1246" s="125"/>
      <c r="BC1246" s="16"/>
      <c r="BD1246" s="125"/>
      <c r="BE1246" s="125"/>
      <c r="BF1246" s="16"/>
      <c r="BG1246" s="125"/>
      <c r="BQ1246" s="125"/>
      <c r="BR1246" s="16"/>
      <c r="BS1246" s="123"/>
      <c r="BT1246" s="19"/>
      <c r="BU1246" s="139"/>
      <c r="BV1246" s="139"/>
      <c r="BW1246" s="123"/>
      <c r="BX1246" s="123"/>
      <c r="BY1246" s="123"/>
      <c r="BZ1246" s="123"/>
      <c r="CA1246" s="123"/>
      <c r="CB1246" s="123"/>
      <c r="CC1246" s="6"/>
      <c r="CD1246" s="123"/>
      <c r="CE1246" s="6"/>
      <c r="CF1246" s="123"/>
      <c r="CG1246" s="6"/>
      <c r="CH1246" s="6"/>
      <c r="CI1246" s="6"/>
      <c r="CJ1246" s="6"/>
      <c r="CK1246" s="123"/>
      <c r="CL1246" s="6"/>
      <c r="CM1246" s="6"/>
      <c r="CN1246" s="6"/>
      <c r="CO1246" s="138"/>
      <c r="CP1246" s="138"/>
      <c r="CQ1246" s="123"/>
      <c r="CR1246" s="6"/>
      <c r="CS1246" s="6"/>
      <c r="CT1246" s="139"/>
      <c r="CU1246" s="139"/>
      <c r="CV1246" s="76"/>
      <c r="CW1246" s="123"/>
      <c r="CX1246" s="6"/>
      <c r="DI1246" s="125"/>
      <c r="DJ1246" s="16"/>
      <c r="DM1246" s="16"/>
      <c r="DN1246" s="16"/>
      <c r="DO1246" s="125"/>
      <c r="DP1246" s="16"/>
      <c r="DQ1246" s="125"/>
      <c r="DZ1246" s="125"/>
      <c r="EA1246" s="142"/>
      <c r="EB1246" s="125"/>
      <c r="EC1246" s="16"/>
      <c r="ED1246" s="125"/>
      <c r="EE1246" s="125"/>
      <c r="EF1246" s="16"/>
      <c r="EG1246" s="125"/>
      <c r="EQ1246" s="125"/>
      <c r="ER1246" s="16"/>
      <c r="ES1246" s="123"/>
      <c r="ET1246" s="19"/>
      <c r="EU1246" s="139"/>
      <c r="EV1246" s="139"/>
      <c r="EW1246" s="123"/>
      <c r="EX1246" s="123"/>
      <c r="EY1246" s="123"/>
      <c r="EZ1246" s="123"/>
      <c r="FA1246" s="123"/>
      <c r="FB1246" s="123"/>
      <c r="FC1246" s="6"/>
      <c r="FD1246" s="123"/>
      <c r="FE1246" s="6"/>
      <c r="FF1246" s="123"/>
      <c r="FG1246" s="6"/>
      <c r="FH1246" s="6"/>
      <c r="FI1246" s="6"/>
      <c r="FJ1246" s="6"/>
      <c r="FK1246" s="123"/>
      <c r="FL1246" s="6"/>
      <c r="FM1246" s="6"/>
      <c r="FN1246" s="6"/>
      <c r="FO1246" s="138"/>
      <c r="FP1246" s="138"/>
      <c r="FQ1246" s="123"/>
      <c r="FR1246" s="6"/>
      <c r="FS1246" s="6"/>
      <c r="FT1246" s="139"/>
      <c r="FU1246" s="139"/>
      <c r="FV1246" s="76"/>
      <c r="FW1246" s="123"/>
      <c r="FX1246" s="6"/>
    </row>
    <row r="1247" spans="35:180">
      <c r="AI1247" s="125"/>
      <c r="AJ1247" s="16"/>
      <c r="AM1247" s="16"/>
      <c r="AN1247" s="16"/>
      <c r="AO1247" s="125"/>
      <c r="AP1247" s="16"/>
      <c r="AQ1247" s="125"/>
      <c r="AZ1247" s="125"/>
      <c r="BA1247" s="142"/>
      <c r="BB1247" s="125"/>
      <c r="BC1247" s="16"/>
      <c r="BD1247" s="125"/>
      <c r="BE1247" s="125"/>
      <c r="BF1247" s="16"/>
      <c r="BG1247" s="125"/>
      <c r="BQ1247" s="125"/>
      <c r="BR1247" s="16"/>
      <c r="BS1247" s="123"/>
      <c r="BT1247" s="19"/>
      <c r="BU1247" s="139"/>
      <c r="BV1247" s="139"/>
      <c r="BW1247" s="123"/>
      <c r="BX1247" s="123"/>
      <c r="BY1247" s="123"/>
      <c r="BZ1247" s="123"/>
      <c r="CA1247" s="123"/>
      <c r="CB1247" s="123"/>
      <c r="CC1247" s="6"/>
      <c r="CD1247" s="123"/>
      <c r="CE1247" s="6"/>
      <c r="CF1247" s="123"/>
      <c r="CG1247" s="6"/>
      <c r="CH1247" s="6"/>
      <c r="CI1247" s="6"/>
      <c r="CJ1247" s="6"/>
      <c r="CK1247" s="123"/>
      <c r="CL1247" s="6"/>
      <c r="CM1247" s="6"/>
      <c r="CN1247" s="6"/>
      <c r="CO1247" s="138"/>
      <c r="CP1247" s="138"/>
      <c r="CQ1247" s="123"/>
      <c r="CR1247" s="6"/>
      <c r="CS1247" s="6"/>
      <c r="CT1247" s="139"/>
      <c r="CU1247" s="139"/>
      <c r="CV1247" s="76"/>
      <c r="CW1247" s="123"/>
      <c r="CX1247" s="6"/>
      <c r="DI1247" s="125"/>
      <c r="DJ1247" s="16"/>
      <c r="DM1247" s="16"/>
      <c r="DN1247" s="16"/>
      <c r="DO1247" s="125"/>
      <c r="DP1247" s="16"/>
      <c r="DQ1247" s="125"/>
      <c r="DZ1247" s="125"/>
      <c r="EA1247" s="142"/>
      <c r="EB1247" s="125"/>
      <c r="EC1247" s="16"/>
      <c r="ED1247" s="125"/>
      <c r="EE1247" s="125"/>
      <c r="EF1247" s="16"/>
      <c r="EG1247" s="125"/>
      <c r="EQ1247" s="125"/>
      <c r="ER1247" s="16"/>
      <c r="ES1247" s="123"/>
      <c r="ET1247" s="19"/>
      <c r="EU1247" s="139"/>
      <c r="EV1247" s="139"/>
      <c r="EW1247" s="123"/>
      <c r="EX1247" s="123"/>
      <c r="EY1247" s="123"/>
      <c r="EZ1247" s="123"/>
      <c r="FA1247" s="123"/>
      <c r="FB1247" s="123"/>
      <c r="FC1247" s="6"/>
      <c r="FD1247" s="123"/>
      <c r="FE1247" s="6"/>
      <c r="FF1247" s="123"/>
      <c r="FG1247" s="6"/>
      <c r="FH1247" s="6"/>
      <c r="FI1247" s="6"/>
      <c r="FJ1247" s="6"/>
      <c r="FK1247" s="123"/>
      <c r="FL1247" s="6"/>
      <c r="FM1247" s="6"/>
      <c r="FN1247" s="6"/>
      <c r="FO1247" s="138"/>
      <c r="FP1247" s="138"/>
      <c r="FQ1247" s="123"/>
      <c r="FR1247" s="6"/>
      <c r="FS1247" s="6"/>
      <c r="FT1247" s="139"/>
      <c r="FU1247" s="139"/>
      <c r="FV1247" s="76"/>
      <c r="FW1247" s="123"/>
      <c r="FX1247" s="6"/>
    </row>
    <row r="1248" spans="35:180">
      <c r="AI1248" s="125"/>
      <c r="AJ1248" s="16"/>
      <c r="AM1248" s="16"/>
      <c r="AN1248" s="16"/>
      <c r="AO1248" s="125"/>
      <c r="AP1248" s="16"/>
      <c r="AQ1248" s="125"/>
      <c r="AZ1248" s="125"/>
      <c r="BA1248" s="142"/>
      <c r="BB1248" s="125"/>
      <c r="BC1248" s="16"/>
      <c r="BD1248" s="125"/>
      <c r="BE1248" s="125"/>
      <c r="BF1248" s="16"/>
      <c r="BG1248" s="125"/>
      <c r="BQ1248" s="125"/>
      <c r="BR1248" s="16"/>
      <c r="BS1248" s="123"/>
      <c r="BT1248" s="19"/>
      <c r="BU1248" s="139"/>
      <c r="BV1248" s="139"/>
      <c r="BW1248" s="123"/>
      <c r="BX1248" s="123"/>
      <c r="BY1248" s="123"/>
      <c r="BZ1248" s="123"/>
      <c r="CA1248" s="123"/>
      <c r="CB1248" s="123"/>
      <c r="CC1248" s="6"/>
      <c r="CD1248" s="123"/>
      <c r="CE1248" s="6"/>
      <c r="CF1248" s="123"/>
      <c r="CG1248" s="6"/>
      <c r="CH1248" s="6"/>
      <c r="CI1248" s="6"/>
      <c r="CJ1248" s="6"/>
      <c r="CK1248" s="123"/>
      <c r="CL1248" s="6"/>
      <c r="CM1248" s="6"/>
      <c r="CN1248" s="6"/>
      <c r="CO1248" s="138"/>
      <c r="CP1248" s="138"/>
      <c r="CQ1248" s="123"/>
      <c r="CR1248" s="6"/>
      <c r="CS1248" s="6"/>
      <c r="CT1248" s="139"/>
      <c r="CU1248" s="139"/>
      <c r="CV1248" s="76"/>
      <c r="CW1248" s="123"/>
      <c r="CX1248" s="6"/>
      <c r="DI1248" s="125"/>
      <c r="DJ1248" s="16"/>
      <c r="DM1248" s="16"/>
      <c r="DN1248" s="16"/>
      <c r="DO1248" s="125"/>
      <c r="DP1248" s="16"/>
      <c r="DQ1248" s="125"/>
      <c r="DZ1248" s="125"/>
      <c r="EA1248" s="142"/>
      <c r="EB1248" s="125"/>
      <c r="EC1248" s="16"/>
      <c r="ED1248" s="125"/>
      <c r="EE1248" s="125"/>
      <c r="EF1248" s="16"/>
      <c r="EG1248" s="125"/>
      <c r="EQ1248" s="125"/>
      <c r="ER1248" s="16"/>
      <c r="ES1248" s="123"/>
      <c r="ET1248" s="19"/>
      <c r="EU1248" s="139"/>
      <c r="EV1248" s="139"/>
      <c r="EW1248" s="123"/>
      <c r="EX1248" s="123"/>
      <c r="EY1248" s="123"/>
      <c r="EZ1248" s="123"/>
      <c r="FA1248" s="123"/>
      <c r="FB1248" s="123"/>
      <c r="FC1248" s="6"/>
      <c r="FD1248" s="123"/>
      <c r="FE1248" s="6"/>
      <c r="FF1248" s="123"/>
      <c r="FG1248" s="6"/>
      <c r="FH1248" s="6"/>
      <c r="FI1248" s="6"/>
      <c r="FJ1248" s="6"/>
      <c r="FK1248" s="123"/>
      <c r="FL1248" s="6"/>
      <c r="FM1248" s="6"/>
      <c r="FN1248" s="6"/>
      <c r="FO1248" s="138"/>
      <c r="FP1248" s="138"/>
      <c r="FQ1248" s="123"/>
      <c r="FR1248" s="6"/>
      <c r="FS1248" s="6"/>
      <c r="FT1248" s="139"/>
      <c r="FU1248" s="139"/>
      <c r="FV1248" s="76"/>
      <c r="FW1248" s="123"/>
      <c r="FX1248" s="6"/>
    </row>
    <row r="1249" spans="35:180">
      <c r="AI1249" s="125"/>
      <c r="AJ1249" s="16"/>
      <c r="AM1249" s="16"/>
      <c r="AN1249" s="16"/>
      <c r="AO1249" s="125"/>
      <c r="AP1249" s="16"/>
      <c r="AQ1249" s="125"/>
      <c r="AZ1249" s="125"/>
      <c r="BA1249" s="142"/>
      <c r="BB1249" s="125"/>
      <c r="BC1249" s="16"/>
      <c r="BD1249" s="125"/>
      <c r="BE1249" s="125"/>
      <c r="BF1249" s="16"/>
      <c r="BG1249" s="125"/>
      <c r="BQ1249" s="125"/>
      <c r="BR1249" s="16"/>
      <c r="BS1249" s="123"/>
      <c r="BT1249" s="19"/>
      <c r="BU1249" s="139"/>
      <c r="BV1249" s="139"/>
      <c r="BW1249" s="123"/>
      <c r="BX1249" s="123"/>
      <c r="BY1249" s="123"/>
      <c r="BZ1249" s="123"/>
      <c r="CA1249" s="123"/>
      <c r="CB1249" s="123"/>
      <c r="CC1249" s="6"/>
      <c r="CD1249" s="123"/>
      <c r="CE1249" s="6"/>
      <c r="CF1249" s="123"/>
      <c r="CG1249" s="6"/>
      <c r="CH1249" s="6"/>
      <c r="CI1249" s="6"/>
      <c r="CJ1249" s="6"/>
      <c r="CK1249" s="123"/>
      <c r="CL1249" s="6"/>
      <c r="CM1249" s="6"/>
      <c r="CN1249" s="6"/>
      <c r="CO1249" s="138"/>
      <c r="CP1249" s="138"/>
      <c r="CQ1249" s="123"/>
      <c r="CR1249" s="6"/>
      <c r="CS1249" s="6"/>
      <c r="CT1249" s="139"/>
      <c r="CU1249" s="139"/>
      <c r="CV1249" s="76"/>
      <c r="CW1249" s="123"/>
      <c r="CX1249" s="6"/>
      <c r="DI1249" s="125"/>
      <c r="DJ1249" s="16"/>
      <c r="DM1249" s="16"/>
      <c r="DN1249" s="16"/>
      <c r="DO1249" s="125"/>
      <c r="DP1249" s="16"/>
      <c r="DQ1249" s="125"/>
      <c r="DZ1249" s="125"/>
      <c r="EA1249" s="142"/>
      <c r="EB1249" s="125"/>
      <c r="EC1249" s="16"/>
      <c r="ED1249" s="125"/>
      <c r="EE1249" s="125"/>
      <c r="EF1249" s="16"/>
      <c r="EG1249" s="125"/>
      <c r="EQ1249" s="125"/>
      <c r="ER1249" s="16"/>
      <c r="ES1249" s="123"/>
      <c r="ET1249" s="19"/>
      <c r="EU1249" s="139"/>
      <c r="EV1249" s="139"/>
      <c r="EW1249" s="123"/>
      <c r="EX1249" s="123"/>
      <c r="EY1249" s="123"/>
      <c r="EZ1249" s="123"/>
      <c r="FA1249" s="123"/>
      <c r="FB1249" s="123"/>
      <c r="FC1249" s="6"/>
      <c r="FD1249" s="123"/>
      <c r="FE1249" s="6"/>
      <c r="FF1249" s="123"/>
      <c r="FG1249" s="6"/>
      <c r="FH1249" s="6"/>
      <c r="FI1249" s="6"/>
      <c r="FJ1249" s="6"/>
      <c r="FK1249" s="123"/>
      <c r="FL1249" s="6"/>
      <c r="FM1249" s="6"/>
      <c r="FN1249" s="6"/>
      <c r="FO1249" s="138"/>
      <c r="FP1249" s="138"/>
      <c r="FQ1249" s="123"/>
      <c r="FR1249" s="6"/>
      <c r="FS1249" s="6"/>
      <c r="FT1249" s="139"/>
      <c r="FU1249" s="139"/>
      <c r="FV1249" s="76"/>
      <c r="FW1249" s="123"/>
      <c r="FX1249" s="6"/>
    </row>
    <row r="1250" spans="35:180">
      <c r="AI1250" s="125"/>
      <c r="AJ1250" s="16"/>
      <c r="AM1250" s="16"/>
      <c r="AN1250" s="16"/>
      <c r="AO1250" s="125"/>
      <c r="AP1250" s="16"/>
      <c r="AQ1250" s="125"/>
      <c r="AZ1250" s="125"/>
      <c r="BA1250" s="142"/>
      <c r="BB1250" s="125"/>
      <c r="BC1250" s="16"/>
      <c r="BD1250" s="125"/>
      <c r="BE1250" s="125"/>
      <c r="BF1250" s="16"/>
      <c r="BG1250" s="125"/>
      <c r="BQ1250" s="125"/>
      <c r="BR1250" s="16"/>
      <c r="BS1250" s="123"/>
      <c r="BT1250" s="19"/>
      <c r="BU1250" s="139"/>
      <c r="BV1250" s="139"/>
      <c r="BW1250" s="123"/>
      <c r="BX1250" s="123"/>
      <c r="BY1250" s="123"/>
      <c r="BZ1250" s="123"/>
      <c r="CA1250" s="123"/>
      <c r="CB1250" s="123"/>
      <c r="CC1250" s="6"/>
      <c r="CD1250" s="123"/>
      <c r="CE1250" s="6"/>
      <c r="CF1250" s="123"/>
      <c r="CG1250" s="6"/>
      <c r="CH1250" s="6"/>
      <c r="CI1250" s="6"/>
      <c r="CJ1250" s="6"/>
      <c r="CK1250" s="123"/>
      <c r="CL1250" s="6"/>
      <c r="CM1250" s="6"/>
      <c r="CN1250" s="6"/>
      <c r="CO1250" s="138"/>
      <c r="CP1250" s="138"/>
      <c r="CQ1250" s="123"/>
      <c r="CR1250" s="6"/>
      <c r="CS1250" s="6"/>
      <c r="CT1250" s="139"/>
      <c r="CU1250" s="139"/>
      <c r="CV1250" s="76"/>
      <c r="CW1250" s="123"/>
      <c r="CX1250" s="6"/>
      <c r="DI1250" s="125"/>
      <c r="DJ1250" s="16"/>
      <c r="DM1250" s="16"/>
      <c r="DN1250" s="16"/>
      <c r="DO1250" s="125"/>
      <c r="DP1250" s="16"/>
      <c r="DQ1250" s="125"/>
      <c r="DZ1250" s="125"/>
      <c r="EA1250" s="142"/>
      <c r="EB1250" s="125"/>
      <c r="EC1250" s="16"/>
      <c r="ED1250" s="125"/>
      <c r="EE1250" s="125"/>
      <c r="EF1250" s="16"/>
      <c r="EG1250" s="125"/>
      <c r="EQ1250" s="125"/>
      <c r="ER1250" s="16"/>
      <c r="ES1250" s="123"/>
      <c r="ET1250" s="19"/>
      <c r="EU1250" s="139"/>
      <c r="EV1250" s="139"/>
      <c r="EW1250" s="123"/>
      <c r="EX1250" s="123"/>
      <c r="EY1250" s="123"/>
      <c r="EZ1250" s="123"/>
      <c r="FA1250" s="123"/>
      <c r="FB1250" s="123"/>
      <c r="FC1250" s="6"/>
      <c r="FD1250" s="123"/>
      <c r="FE1250" s="6"/>
      <c r="FF1250" s="123"/>
      <c r="FG1250" s="6"/>
      <c r="FH1250" s="6"/>
      <c r="FI1250" s="6"/>
      <c r="FJ1250" s="6"/>
      <c r="FK1250" s="123"/>
      <c r="FL1250" s="6"/>
      <c r="FM1250" s="6"/>
      <c r="FN1250" s="6"/>
      <c r="FO1250" s="138"/>
      <c r="FP1250" s="138"/>
      <c r="FQ1250" s="123"/>
      <c r="FR1250" s="6"/>
      <c r="FS1250" s="6"/>
      <c r="FT1250" s="139"/>
      <c r="FU1250" s="139"/>
      <c r="FV1250" s="76"/>
      <c r="FW1250" s="123"/>
      <c r="FX1250" s="6"/>
    </row>
    <row r="1251" spans="35:180">
      <c r="AI1251" s="125"/>
      <c r="AJ1251" s="16"/>
      <c r="AM1251" s="16"/>
      <c r="AN1251" s="16"/>
      <c r="AO1251" s="125"/>
      <c r="AP1251" s="16"/>
      <c r="AQ1251" s="125"/>
      <c r="AZ1251" s="125"/>
      <c r="BA1251" s="142"/>
      <c r="BB1251" s="125"/>
      <c r="BC1251" s="16"/>
      <c r="BD1251" s="125"/>
      <c r="BE1251" s="125"/>
      <c r="BF1251" s="16"/>
      <c r="BG1251" s="125"/>
      <c r="BQ1251" s="125"/>
      <c r="BR1251" s="16"/>
      <c r="BS1251" s="123"/>
      <c r="BT1251" s="19"/>
      <c r="BU1251" s="139"/>
      <c r="BV1251" s="139"/>
      <c r="BW1251" s="123"/>
      <c r="BX1251" s="123"/>
      <c r="BY1251" s="123"/>
      <c r="BZ1251" s="123"/>
      <c r="CA1251" s="123"/>
      <c r="CB1251" s="123"/>
      <c r="CC1251" s="6"/>
      <c r="CD1251" s="123"/>
      <c r="CE1251" s="6"/>
      <c r="CF1251" s="123"/>
      <c r="CG1251" s="6"/>
      <c r="CH1251" s="6"/>
      <c r="CI1251" s="6"/>
      <c r="CJ1251" s="6"/>
      <c r="CK1251" s="123"/>
      <c r="CL1251" s="6"/>
      <c r="CM1251" s="6"/>
      <c r="CN1251" s="6"/>
      <c r="CO1251" s="138"/>
      <c r="CP1251" s="138"/>
      <c r="CQ1251" s="123"/>
      <c r="CR1251" s="6"/>
      <c r="CS1251" s="6"/>
      <c r="CT1251" s="139"/>
      <c r="CU1251" s="139"/>
      <c r="CV1251" s="76"/>
      <c r="CW1251" s="123"/>
      <c r="CX1251" s="6"/>
      <c r="DI1251" s="125"/>
      <c r="DJ1251" s="16"/>
      <c r="DM1251" s="16"/>
      <c r="DN1251" s="16"/>
      <c r="DO1251" s="125"/>
      <c r="DP1251" s="16"/>
      <c r="DQ1251" s="125"/>
      <c r="DZ1251" s="125"/>
      <c r="EA1251" s="142"/>
      <c r="EB1251" s="125"/>
      <c r="EC1251" s="16"/>
      <c r="ED1251" s="125"/>
      <c r="EE1251" s="125"/>
      <c r="EF1251" s="16"/>
      <c r="EG1251" s="125"/>
      <c r="EQ1251" s="125"/>
      <c r="ER1251" s="16"/>
      <c r="ES1251" s="123"/>
      <c r="ET1251" s="19"/>
      <c r="EU1251" s="139"/>
      <c r="EV1251" s="139"/>
      <c r="EW1251" s="123"/>
      <c r="EX1251" s="123"/>
      <c r="EY1251" s="123"/>
      <c r="EZ1251" s="123"/>
      <c r="FA1251" s="123"/>
      <c r="FB1251" s="123"/>
      <c r="FC1251" s="6"/>
      <c r="FD1251" s="123"/>
      <c r="FE1251" s="6"/>
      <c r="FF1251" s="123"/>
      <c r="FG1251" s="6"/>
      <c r="FH1251" s="6"/>
      <c r="FI1251" s="6"/>
      <c r="FJ1251" s="6"/>
      <c r="FK1251" s="123"/>
      <c r="FL1251" s="6"/>
      <c r="FM1251" s="6"/>
      <c r="FN1251" s="6"/>
      <c r="FO1251" s="138"/>
      <c r="FP1251" s="138"/>
      <c r="FQ1251" s="123"/>
      <c r="FR1251" s="6"/>
      <c r="FS1251" s="6"/>
      <c r="FT1251" s="139"/>
      <c r="FU1251" s="139"/>
      <c r="FV1251" s="76"/>
      <c r="FW1251" s="123"/>
      <c r="FX1251" s="6"/>
    </row>
    <row r="1252" spans="35:180">
      <c r="AI1252" s="125"/>
      <c r="AJ1252" s="16"/>
      <c r="AM1252" s="16"/>
      <c r="AN1252" s="16"/>
      <c r="AO1252" s="125"/>
      <c r="AP1252" s="16"/>
      <c r="AQ1252" s="125"/>
      <c r="AZ1252" s="125"/>
      <c r="BA1252" s="142"/>
      <c r="BB1252" s="125"/>
      <c r="BC1252" s="16"/>
      <c r="BD1252" s="125"/>
      <c r="BE1252" s="125"/>
      <c r="BF1252" s="16"/>
      <c r="BG1252" s="125"/>
      <c r="BQ1252" s="125"/>
      <c r="BR1252" s="16"/>
      <c r="BS1252" s="123"/>
      <c r="BT1252" s="19"/>
      <c r="BU1252" s="139"/>
      <c r="BV1252" s="139"/>
      <c r="BW1252" s="123"/>
      <c r="BX1252" s="123"/>
      <c r="BY1252" s="123"/>
      <c r="BZ1252" s="123"/>
      <c r="CA1252" s="123"/>
      <c r="CB1252" s="123"/>
      <c r="CC1252" s="6"/>
      <c r="CD1252" s="123"/>
      <c r="CE1252" s="6"/>
      <c r="CF1252" s="123"/>
      <c r="CG1252" s="6"/>
      <c r="CH1252" s="6"/>
      <c r="CI1252" s="6"/>
      <c r="CJ1252" s="6"/>
      <c r="CK1252" s="123"/>
      <c r="CL1252" s="6"/>
      <c r="CM1252" s="6"/>
      <c r="CN1252" s="6"/>
      <c r="CO1252" s="138"/>
      <c r="CP1252" s="138"/>
      <c r="CQ1252" s="123"/>
      <c r="CR1252" s="6"/>
      <c r="CS1252" s="6"/>
      <c r="CT1252" s="139"/>
      <c r="CU1252" s="139"/>
      <c r="CV1252" s="76"/>
      <c r="CW1252" s="123"/>
      <c r="CX1252" s="6"/>
      <c r="DI1252" s="125"/>
      <c r="DJ1252" s="16"/>
      <c r="DM1252" s="16"/>
      <c r="DN1252" s="16"/>
      <c r="DO1252" s="125"/>
      <c r="DP1252" s="16"/>
      <c r="DQ1252" s="125"/>
      <c r="DZ1252" s="125"/>
      <c r="EA1252" s="142"/>
      <c r="EB1252" s="125"/>
      <c r="EC1252" s="16"/>
      <c r="ED1252" s="125"/>
      <c r="EE1252" s="125"/>
      <c r="EF1252" s="16"/>
      <c r="EG1252" s="125"/>
      <c r="EQ1252" s="125"/>
      <c r="ER1252" s="16"/>
      <c r="ES1252" s="123"/>
      <c r="ET1252" s="19"/>
      <c r="EU1252" s="139"/>
      <c r="EV1252" s="139"/>
      <c r="EW1252" s="123"/>
      <c r="EX1252" s="123"/>
      <c r="EY1252" s="123"/>
      <c r="EZ1252" s="123"/>
      <c r="FA1252" s="123"/>
      <c r="FB1252" s="123"/>
      <c r="FC1252" s="6"/>
      <c r="FD1252" s="123"/>
      <c r="FE1252" s="6"/>
      <c r="FF1252" s="123"/>
      <c r="FG1252" s="6"/>
      <c r="FH1252" s="6"/>
      <c r="FI1252" s="6"/>
      <c r="FJ1252" s="6"/>
      <c r="FK1252" s="123"/>
      <c r="FL1252" s="6"/>
      <c r="FM1252" s="6"/>
      <c r="FN1252" s="6"/>
      <c r="FO1252" s="138"/>
      <c r="FP1252" s="138"/>
      <c r="FQ1252" s="123"/>
      <c r="FR1252" s="6"/>
      <c r="FS1252" s="6"/>
      <c r="FT1252" s="139"/>
      <c r="FU1252" s="139"/>
      <c r="FV1252" s="76"/>
      <c r="FW1252" s="123"/>
      <c r="FX1252" s="6"/>
    </row>
    <row r="1253" spans="35:180">
      <c r="AI1253" s="125"/>
      <c r="AJ1253" s="16"/>
      <c r="AM1253" s="16"/>
      <c r="AN1253" s="16"/>
      <c r="AO1253" s="125"/>
      <c r="AP1253" s="16"/>
      <c r="AQ1253" s="125"/>
      <c r="AZ1253" s="125"/>
      <c r="BA1253" s="142"/>
      <c r="BB1253" s="125"/>
      <c r="BC1253" s="16"/>
      <c r="BD1253" s="125"/>
      <c r="BE1253" s="125"/>
      <c r="BF1253" s="16"/>
      <c r="BG1253" s="125"/>
      <c r="BQ1253" s="125"/>
      <c r="BR1253" s="16"/>
      <c r="BS1253" s="123"/>
      <c r="BT1253" s="19"/>
      <c r="BU1253" s="139"/>
      <c r="BV1253" s="139"/>
      <c r="BW1253" s="123"/>
      <c r="BX1253" s="123"/>
      <c r="BY1253" s="123"/>
      <c r="BZ1253" s="123"/>
      <c r="CA1253" s="123"/>
      <c r="CB1253" s="123"/>
      <c r="CC1253" s="6"/>
      <c r="CD1253" s="123"/>
      <c r="CE1253" s="6"/>
      <c r="CF1253" s="123"/>
      <c r="CG1253" s="6"/>
      <c r="CH1253" s="6"/>
      <c r="CI1253" s="6"/>
      <c r="CJ1253" s="6"/>
      <c r="CK1253" s="123"/>
      <c r="CL1253" s="6"/>
      <c r="CM1253" s="6"/>
      <c r="CN1253" s="6"/>
      <c r="CO1253" s="138"/>
      <c r="CP1253" s="138"/>
      <c r="CQ1253" s="123"/>
      <c r="CR1253" s="6"/>
      <c r="CS1253" s="6"/>
      <c r="CT1253" s="139"/>
      <c r="CU1253" s="139"/>
      <c r="CV1253" s="76"/>
      <c r="CW1253" s="123"/>
      <c r="CX1253" s="6"/>
      <c r="DI1253" s="125"/>
      <c r="DJ1253" s="16"/>
      <c r="DM1253" s="16"/>
      <c r="DN1253" s="16"/>
      <c r="DO1253" s="125"/>
      <c r="DP1253" s="16"/>
      <c r="DQ1253" s="125"/>
      <c r="DZ1253" s="125"/>
      <c r="EA1253" s="142"/>
      <c r="EB1253" s="125"/>
      <c r="EC1253" s="16"/>
      <c r="ED1253" s="125"/>
      <c r="EE1253" s="125"/>
      <c r="EF1253" s="16"/>
      <c r="EG1253" s="125"/>
      <c r="EQ1253" s="125"/>
      <c r="ER1253" s="16"/>
      <c r="ES1253" s="123"/>
      <c r="ET1253" s="19"/>
      <c r="EU1253" s="139"/>
      <c r="EV1253" s="139"/>
      <c r="EW1253" s="123"/>
      <c r="EX1253" s="123"/>
      <c r="EY1253" s="123"/>
      <c r="EZ1253" s="123"/>
      <c r="FA1253" s="123"/>
      <c r="FB1253" s="123"/>
      <c r="FC1253" s="6"/>
      <c r="FD1253" s="123"/>
      <c r="FE1253" s="6"/>
      <c r="FF1253" s="123"/>
      <c r="FG1253" s="6"/>
      <c r="FH1253" s="6"/>
      <c r="FI1253" s="6"/>
      <c r="FJ1253" s="6"/>
      <c r="FK1253" s="123"/>
      <c r="FL1253" s="6"/>
      <c r="FM1253" s="6"/>
      <c r="FN1253" s="6"/>
      <c r="FO1253" s="138"/>
      <c r="FP1253" s="138"/>
      <c r="FQ1253" s="123"/>
      <c r="FR1253" s="6"/>
      <c r="FS1253" s="6"/>
      <c r="FT1253" s="139"/>
      <c r="FU1253" s="139"/>
      <c r="FV1253" s="76"/>
      <c r="FW1253" s="123"/>
      <c r="FX1253" s="6"/>
    </row>
    <row r="1254" spans="35:180">
      <c r="AI1254" s="125"/>
      <c r="AJ1254" s="16"/>
      <c r="AM1254" s="16"/>
      <c r="AN1254" s="16"/>
      <c r="AO1254" s="125"/>
      <c r="AP1254" s="16"/>
      <c r="AQ1254" s="125"/>
      <c r="AZ1254" s="125"/>
      <c r="BA1254" s="142"/>
      <c r="BB1254" s="125"/>
      <c r="BC1254" s="16"/>
      <c r="BD1254" s="125"/>
      <c r="BE1254" s="125"/>
      <c r="BF1254" s="16"/>
      <c r="BG1254" s="125"/>
      <c r="BQ1254" s="125"/>
      <c r="BR1254" s="16"/>
      <c r="BS1254" s="123"/>
      <c r="BT1254" s="19"/>
      <c r="BU1254" s="139"/>
      <c r="BV1254" s="139"/>
      <c r="BW1254" s="123"/>
      <c r="BX1254" s="123"/>
      <c r="BY1254" s="123"/>
      <c r="BZ1254" s="123"/>
      <c r="CA1254" s="123"/>
      <c r="CB1254" s="123"/>
      <c r="CC1254" s="6"/>
      <c r="CD1254" s="123"/>
      <c r="CE1254" s="6"/>
      <c r="CF1254" s="123"/>
      <c r="CG1254" s="6"/>
      <c r="CH1254" s="6"/>
      <c r="CI1254" s="6"/>
      <c r="CJ1254" s="6"/>
      <c r="CK1254" s="123"/>
      <c r="CL1254" s="6"/>
      <c r="CM1254" s="6"/>
      <c r="CN1254" s="6"/>
      <c r="CO1254" s="138"/>
      <c r="CP1254" s="138"/>
      <c r="CQ1254" s="123"/>
      <c r="CR1254" s="6"/>
      <c r="CS1254" s="6"/>
      <c r="CT1254" s="139"/>
      <c r="CU1254" s="139"/>
      <c r="CV1254" s="76"/>
      <c r="CW1254" s="123"/>
      <c r="CX1254" s="6"/>
      <c r="DI1254" s="125"/>
      <c r="DJ1254" s="16"/>
      <c r="DM1254" s="16"/>
      <c r="DN1254" s="16"/>
      <c r="DO1254" s="125"/>
      <c r="DP1254" s="16"/>
      <c r="DQ1254" s="125"/>
      <c r="DZ1254" s="125"/>
      <c r="EA1254" s="142"/>
      <c r="EB1254" s="125"/>
      <c r="EC1254" s="16"/>
      <c r="ED1254" s="125"/>
      <c r="EE1254" s="125"/>
      <c r="EF1254" s="16"/>
      <c r="EG1254" s="125"/>
      <c r="EQ1254" s="125"/>
      <c r="ER1254" s="16"/>
      <c r="ES1254" s="123"/>
      <c r="ET1254" s="19"/>
      <c r="EU1254" s="139"/>
      <c r="EV1254" s="139"/>
      <c r="EW1254" s="123"/>
      <c r="EX1254" s="123"/>
      <c r="EY1254" s="123"/>
      <c r="EZ1254" s="123"/>
      <c r="FA1254" s="123"/>
      <c r="FB1254" s="123"/>
      <c r="FC1254" s="6"/>
      <c r="FD1254" s="123"/>
      <c r="FE1254" s="6"/>
      <c r="FF1254" s="123"/>
      <c r="FG1254" s="6"/>
      <c r="FH1254" s="6"/>
      <c r="FI1254" s="6"/>
      <c r="FJ1254" s="6"/>
      <c r="FK1254" s="123"/>
      <c r="FL1254" s="6"/>
      <c r="FM1254" s="6"/>
      <c r="FN1254" s="6"/>
      <c r="FO1254" s="138"/>
      <c r="FP1254" s="138"/>
      <c r="FQ1254" s="123"/>
      <c r="FR1254" s="6"/>
      <c r="FS1254" s="6"/>
      <c r="FT1254" s="139"/>
      <c r="FU1254" s="139"/>
      <c r="FV1254" s="76"/>
      <c r="FW1254" s="123"/>
      <c r="FX1254" s="6"/>
    </row>
    <row r="1255" spans="35:180">
      <c r="AI1255" s="125"/>
      <c r="AJ1255" s="16"/>
      <c r="AM1255" s="16"/>
      <c r="AN1255" s="16"/>
      <c r="AO1255" s="125"/>
      <c r="AP1255" s="16"/>
      <c r="AQ1255" s="125"/>
      <c r="AZ1255" s="125"/>
      <c r="BA1255" s="142"/>
      <c r="BB1255" s="125"/>
      <c r="BC1255" s="16"/>
      <c r="BD1255" s="125"/>
      <c r="BE1255" s="125"/>
      <c r="BF1255" s="16"/>
      <c r="BG1255" s="125"/>
      <c r="BQ1255" s="125"/>
      <c r="BR1255" s="16"/>
      <c r="BS1255" s="123"/>
      <c r="BT1255" s="19"/>
      <c r="BU1255" s="139"/>
      <c r="BV1255" s="139"/>
      <c r="BW1255" s="123"/>
      <c r="BX1255" s="123"/>
      <c r="BY1255" s="123"/>
      <c r="BZ1255" s="123"/>
      <c r="CA1255" s="123"/>
      <c r="CB1255" s="123"/>
      <c r="CC1255" s="6"/>
      <c r="CD1255" s="123"/>
      <c r="CE1255" s="6"/>
      <c r="CF1255" s="123"/>
      <c r="CG1255" s="6"/>
      <c r="CH1255" s="6"/>
      <c r="CI1255" s="6"/>
      <c r="CJ1255" s="6"/>
      <c r="CK1255" s="123"/>
      <c r="CL1255" s="6"/>
      <c r="CM1255" s="6"/>
      <c r="CN1255" s="6"/>
      <c r="CO1255" s="138"/>
      <c r="CP1255" s="138"/>
      <c r="CQ1255" s="123"/>
      <c r="CR1255" s="6"/>
      <c r="CS1255" s="6"/>
      <c r="CT1255" s="139"/>
      <c r="CU1255" s="139"/>
      <c r="CV1255" s="76"/>
      <c r="CW1255" s="123"/>
      <c r="CX1255" s="6"/>
      <c r="DI1255" s="125"/>
      <c r="DJ1255" s="16"/>
      <c r="DM1255" s="16"/>
      <c r="DN1255" s="16"/>
      <c r="DO1255" s="125"/>
      <c r="DP1255" s="16"/>
      <c r="DQ1255" s="125"/>
      <c r="DZ1255" s="125"/>
      <c r="EA1255" s="142"/>
      <c r="EB1255" s="125"/>
      <c r="EC1255" s="16"/>
      <c r="ED1255" s="125"/>
      <c r="EE1255" s="125"/>
      <c r="EF1255" s="16"/>
      <c r="EG1255" s="125"/>
      <c r="EQ1255" s="125"/>
      <c r="ER1255" s="16"/>
      <c r="ES1255" s="123"/>
      <c r="ET1255" s="19"/>
      <c r="EU1255" s="139"/>
      <c r="EV1255" s="139"/>
      <c r="EW1255" s="123"/>
      <c r="EX1255" s="123"/>
      <c r="EY1255" s="123"/>
      <c r="EZ1255" s="123"/>
      <c r="FA1255" s="123"/>
      <c r="FB1255" s="123"/>
      <c r="FC1255" s="6"/>
      <c r="FD1255" s="123"/>
      <c r="FE1255" s="6"/>
      <c r="FF1255" s="123"/>
      <c r="FG1255" s="6"/>
      <c r="FH1255" s="6"/>
      <c r="FI1255" s="6"/>
      <c r="FJ1255" s="6"/>
      <c r="FK1255" s="123"/>
      <c r="FL1255" s="6"/>
      <c r="FM1255" s="6"/>
      <c r="FN1255" s="6"/>
      <c r="FO1255" s="138"/>
      <c r="FP1255" s="138"/>
      <c r="FQ1255" s="123"/>
      <c r="FR1255" s="6"/>
      <c r="FS1255" s="6"/>
      <c r="FT1255" s="139"/>
      <c r="FU1255" s="139"/>
      <c r="FV1255" s="76"/>
      <c r="FW1255" s="123"/>
      <c r="FX1255" s="6"/>
    </row>
    <row r="1256" spans="35:180">
      <c r="AI1256" s="125"/>
      <c r="AJ1256" s="16"/>
      <c r="AM1256" s="16"/>
      <c r="AN1256" s="16"/>
      <c r="AO1256" s="125"/>
      <c r="AP1256" s="16"/>
      <c r="AQ1256" s="125"/>
      <c r="AZ1256" s="125"/>
      <c r="BA1256" s="142"/>
      <c r="BB1256" s="125"/>
      <c r="BC1256" s="16"/>
      <c r="BD1256" s="125"/>
      <c r="BE1256" s="125"/>
      <c r="BF1256" s="16"/>
      <c r="BG1256" s="125"/>
      <c r="BQ1256" s="125"/>
      <c r="BR1256" s="16"/>
      <c r="BS1256" s="123"/>
      <c r="BT1256" s="19"/>
      <c r="BU1256" s="139"/>
      <c r="BV1256" s="139"/>
      <c r="BW1256" s="123"/>
      <c r="BX1256" s="123"/>
      <c r="BY1256" s="123"/>
      <c r="BZ1256" s="123"/>
      <c r="CA1256" s="123"/>
      <c r="CB1256" s="123"/>
      <c r="CC1256" s="6"/>
      <c r="CD1256" s="123"/>
      <c r="CE1256" s="6"/>
      <c r="CF1256" s="123"/>
      <c r="CG1256" s="6"/>
      <c r="CH1256" s="6"/>
      <c r="CI1256" s="6"/>
      <c r="CJ1256" s="6"/>
      <c r="CK1256" s="123"/>
      <c r="CL1256" s="6"/>
      <c r="CM1256" s="6"/>
      <c r="CN1256" s="6"/>
      <c r="CO1256" s="138"/>
      <c r="CP1256" s="138"/>
      <c r="CQ1256" s="123"/>
      <c r="CR1256" s="6"/>
      <c r="CS1256" s="6"/>
      <c r="CT1256" s="139"/>
      <c r="CU1256" s="139"/>
      <c r="CV1256" s="76"/>
      <c r="CW1256" s="123"/>
      <c r="CX1256" s="6"/>
      <c r="DI1256" s="125"/>
      <c r="DJ1256" s="16"/>
      <c r="DM1256" s="16"/>
      <c r="DN1256" s="16"/>
      <c r="DO1256" s="125"/>
      <c r="DP1256" s="16"/>
      <c r="DQ1256" s="125"/>
      <c r="DZ1256" s="125"/>
      <c r="EA1256" s="142"/>
      <c r="EB1256" s="125"/>
      <c r="EC1256" s="16"/>
      <c r="ED1256" s="125"/>
      <c r="EE1256" s="125"/>
      <c r="EF1256" s="16"/>
      <c r="EG1256" s="125"/>
      <c r="EQ1256" s="125"/>
      <c r="ER1256" s="16"/>
      <c r="ES1256" s="123"/>
      <c r="ET1256" s="19"/>
      <c r="EU1256" s="139"/>
      <c r="EV1256" s="139"/>
      <c r="EW1256" s="123"/>
      <c r="EX1256" s="123"/>
      <c r="EY1256" s="123"/>
      <c r="EZ1256" s="123"/>
      <c r="FA1256" s="123"/>
      <c r="FB1256" s="123"/>
      <c r="FC1256" s="6"/>
      <c r="FD1256" s="123"/>
      <c r="FE1256" s="6"/>
      <c r="FF1256" s="123"/>
      <c r="FG1256" s="6"/>
      <c r="FH1256" s="6"/>
      <c r="FI1256" s="6"/>
      <c r="FJ1256" s="6"/>
      <c r="FK1256" s="123"/>
      <c r="FL1256" s="6"/>
      <c r="FM1256" s="6"/>
      <c r="FN1256" s="6"/>
      <c r="FO1256" s="138"/>
      <c r="FP1256" s="138"/>
      <c r="FQ1256" s="123"/>
      <c r="FR1256" s="6"/>
      <c r="FS1256" s="6"/>
      <c r="FT1256" s="139"/>
      <c r="FU1256" s="139"/>
      <c r="FV1256" s="76"/>
      <c r="FW1256" s="123"/>
      <c r="FX1256" s="6"/>
    </row>
    <row r="1257" spans="35:180">
      <c r="AI1257" s="125"/>
      <c r="AJ1257" s="16"/>
      <c r="AM1257" s="16"/>
      <c r="AN1257" s="16"/>
      <c r="AO1257" s="125"/>
      <c r="AP1257" s="16"/>
      <c r="AQ1257" s="125"/>
      <c r="AZ1257" s="125"/>
      <c r="BA1257" s="142"/>
      <c r="BB1257" s="125"/>
      <c r="BC1257" s="16"/>
      <c r="BD1257" s="125"/>
      <c r="BE1257" s="125"/>
      <c r="BF1257" s="16"/>
      <c r="BG1257" s="125"/>
      <c r="BQ1257" s="125"/>
      <c r="BR1257" s="16"/>
      <c r="BS1257" s="123"/>
      <c r="BT1257" s="19"/>
      <c r="BU1257" s="139"/>
      <c r="BV1257" s="139"/>
      <c r="BW1257" s="123"/>
      <c r="BX1257" s="123"/>
      <c r="BY1257" s="123"/>
      <c r="BZ1257" s="123"/>
      <c r="CA1257" s="123"/>
      <c r="CB1257" s="123"/>
      <c r="CC1257" s="6"/>
      <c r="CD1257" s="123"/>
      <c r="CE1257" s="6"/>
      <c r="CF1257" s="123"/>
      <c r="CG1257" s="6"/>
      <c r="CH1257" s="6"/>
      <c r="CI1257" s="6"/>
      <c r="CJ1257" s="6"/>
      <c r="CK1257" s="123"/>
      <c r="CL1257" s="6"/>
      <c r="CM1257" s="6"/>
      <c r="CN1257" s="6"/>
      <c r="CO1257" s="138"/>
      <c r="CP1257" s="138"/>
      <c r="CQ1257" s="123"/>
      <c r="CR1257" s="6"/>
      <c r="CS1257" s="6"/>
      <c r="CT1257" s="139"/>
      <c r="CU1257" s="139"/>
      <c r="CV1257" s="76"/>
      <c r="CW1257" s="123"/>
      <c r="CX1257" s="6"/>
      <c r="DI1257" s="125"/>
      <c r="DJ1257" s="16"/>
      <c r="DM1257" s="16"/>
      <c r="DN1257" s="16"/>
      <c r="DO1257" s="125"/>
      <c r="DP1257" s="16"/>
      <c r="DQ1257" s="125"/>
      <c r="DZ1257" s="125"/>
      <c r="EA1257" s="142"/>
      <c r="EB1257" s="125"/>
      <c r="EC1257" s="16"/>
      <c r="ED1257" s="125"/>
      <c r="EE1257" s="125"/>
      <c r="EF1257" s="16"/>
      <c r="EG1257" s="125"/>
      <c r="EQ1257" s="125"/>
      <c r="ER1257" s="16"/>
      <c r="ES1257" s="123"/>
      <c r="ET1257" s="19"/>
      <c r="EU1257" s="139"/>
      <c r="EV1257" s="139"/>
      <c r="EW1257" s="123"/>
      <c r="EX1257" s="123"/>
      <c r="EY1257" s="123"/>
      <c r="EZ1257" s="123"/>
      <c r="FA1257" s="123"/>
      <c r="FB1257" s="123"/>
      <c r="FC1257" s="6"/>
      <c r="FD1257" s="123"/>
      <c r="FE1257" s="6"/>
      <c r="FF1257" s="123"/>
      <c r="FG1257" s="6"/>
      <c r="FH1257" s="6"/>
      <c r="FI1257" s="6"/>
      <c r="FJ1257" s="6"/>
      <c r="FK1257" s="123"/>
      <c r="FL1257" s="6"/>
      <c r="FM1257" s="6"/>
      <c r="FN1257" s="6"/>
      <c r="FO1257" s="138"/>
      <c r="FP1257" s="138"/>
      <c r="FQ1257" s="123"/>
      <c r="FR1257" s="6"/>
      <c r="FS1257" s="6"/>
      <c r="FT1257" s="139"/>
      <c r="FU1257" s="139"/>
      <c r="FV1257" s="76"/>
      <c r="FW1257" s="123"/>
      <c r="FX1257" s="6"/>
    </row>
    <row r="1258" spans="35:180">
      <c r="AI1258" s="125"/>
      <c r="AJ1258" s="16"/>
      <c r="AM1258" s="16"/>
      <c r="AN1258" s="16"/>
      <c r="AO1258" s="125"/>
      <c r="AP1258" s="16"/>
      <c r="AQ1258" s="125"/>
      <c r="AZ1258" s="125"/>
      <c r="BA1258" s="142"/>
      <c r="BB1258" s="125"/>
      <c r="BC1258" s="16"/>
      <c r="BD1258" s="125"/>
      <c r="BE1258" s="125"/>
      <c r="BF1258" s="16"/>
      <c r="BG1258" s="125"/>
      <c r="BQ1258" s="125"/>
      <c r="BR1258" s="16"/>
      <c r="BS1258" s="123"/>
      <c r="BT1258" s="19"/>
      <c r="BU1258" s="139"/>
      <c r="BV1258" s="139"/>
      <c r="BW1258" s="123"/>
      <c r="BX1258" s="123"/>
      <c r="BY1258" s="123"/>
      <c r="BZ1258" s="123"/>
      <c r="CA1258" s="123"/>
      <c r="CB1258" s="123"/>
      <c r="CC1258" s="6"/>
      <c r="CD1258" s="123"/>
      <c r="CE1258" s="6"/>
      <c r="CF1258" s="123"/>
      <c r="CG1258" s="6"/>
      <c r="CH1258" s="6"/>
      <c r="CI1258" s="6"/>
      <c r="CJ1258" s="6"/>
      <c r="CK1258" s="123"/>
      <c r="CL1258" s="6"/>
      <c r="CM1258" s="6"/>
      <c r="CN1258" s="6"/>
      <c r="CO1258" s="138"/>
      <c r="CP1258" s="138"/>
      <c r="CQ1258" s="123"/>
      <c r="CR1258" s="6"/>
      <c r="CS1258" s="6"/>
      <c r="CT1258" s="139"/>
      <c r="CU1258" s="139"/>
      <c r="CV1258" s="76"/>
      <c r="CW1258" s="123"/>
      <c r="CX1258" s="6"/>
      <c r="DI1258" s="125"/>
      <c r="DJ1258" s="16"/>
      <c r="DM1258" s="16"/>
      <c r="DN1258" s="16"/>
      <c r="DO1258" s="125"/>
      <c r="DP1258" s="16"/>
      <c r="DQ1258" s="125"/>
      <c r="DZ1258" s="125"/>
      <c r="EA1258" s="142"/>
      <c r="EB1258" s="125"/>
      <c r="EC1258" s="16"/>
      <c r="ED1258" s="125"/>
      <c r="EE1258" s="125"/>
      <c r="EF1258" s="16"/>
      <c r="EG1258" s="125"/>
      <c r="EQ1258" s="125"/>
      <c r="ER1258" s="16"/>
      <c r="ES1258" s="123"/>
      <c r="ET1258" s="19"/>
      <c r="EU1258" s="139"/>
      <c r="EV1258" s="139"/>
      <c r="EW1258" s="123"/>
      <c r="EX1258" s="123"/>
      <c r="EY1258" s="123"/>
      <c r="EZ1258" s="123"/>
      <c r="FA1258" s="123"/>
      <c r="FB1258" s="123"/>
      <c r="FC1258" s="6"/>
      <c r="FD1258" s="123"/>
      <c r="FE1258" s="6"/>
      <c r="FF1258" s="123"/>
      <c r="FG1258" s="6"/>
      <c r="FH1258" s="6"/>
      <c r="FI1258" s="6"/>
      <c r="FJ1258" s="6"/>
      <c r="FK1258" s="123"/>
      <c r="FL1258" s="6"/>
      <c r="FM1258" s="6"/>
      <c r="FN1258" s="6"/>
      <c r="FO1258" s="138"/>
      <c r="FP1258" s="138"/>
      <c r="FQ1258" s="123"/>
      <c r="FR1258" s="6"/>
      <c r="FS1258" s="6"/>
      <c r="FT1258" s="139"/>
      <c r="FU1258" s="139"/>
      <c r="FV1258" s="76"/>
      <c r="FW1258" s="123"/>
      <c r="FX1258" s="6"/>
    </row>
    <row r="1259" spans="35:180">
      <c r="AI1259" s="125"/>
      <c r="AJ1259" s="16"/>
      <c r="AM1259" s="16"/>
      <c r="AN1259" s="16"/>
      <c r="AO1259" s="125"/>
      <c r="AP1259" s="16"/>
      <c r="AQ1259" s="125"/>
      <c r="AZ1259" s="125"/>
      <c r="BA1259" s="142"/>
      <c r="BB1259" s="125"/>
      <c r="BC1259" s="16"/>
      <c r="BD1259" s="125"/>
      <c r="BE1259" s="125"/>
      <c r="BF1259" s="16"/>
      <c r="BG1259" s="125"/>
      <c r="BQ1259" s="125"/>
      <c r="BR1259" s="16"/>
      <c r="BS1259" s="123"/>
      <c r="BT1259" s="19"/>
      <c r="BU1259" s="139"/>
      <c r="BV1259" s="139"/>
      <c r="BW1259" s="123"/>
      <c r="BX1259" s="123"/>
      <c r="BY1259" s="123"/>
      <c r="BZ1259" s="123"/>
      <c r="CA1259" s="123"/>
      <c r="CB1259" s="123"/>
      <c r="CC1259" s="6"/>
      <c r="CD1259" s="123"/>
      <c r="CE1259" s="6"/>
      <c r="CF1259" s="123"/>
      <c r="CG1259" s="6"/>
      <c r="CH1259" s="6"/>
      <c r="CI1259" s="6"/>
      <c r="CJ1259" s="6"/>
      <c r="CK1259" s="123"/>
      <c r="CL1259" s="6"/>
      <c r="CM1259" s="6"/>
      <c r="CN1259" s="6"/>
      <c r="CO1259" s="138"/>
      <c r="CP1259" s="138"/>
      <c r="CQ1259" s="123"/>
      <c r="CR1259" s="6"/>
      <c r="CS1259" s="6"/>
      <c r="CT1259" s="139"/>
      <c r="CU1259" s="139"/>
      <c r="CV1259" s="76"/>
      <c r="CW1259" s="123"/>
      <c r="CX1259" s="6"/>
      <c r="DI1259" s="125"/>
      <c r="DJ1259" s="16"/>
      <c r="DM1259" s="16"/>
      <c r="DN1259" s="16"/>
      <c r="DO1259" s="125"/>
      <c r="DP1259" s="16"/>
      <c r="DQ1259" s="125"/>
      <c r="DZ1259" s="125"/>
      <c r="EA1259" s="142"/>
      <c r="EB1259" s="125"/>
      <c r="EC1259" s="16"/>
      <c r="ED1259" s="125"/>
      <c r="EE1259" s="125"/>
      <c r="EF1259" s="16"/>
      <c r="EG1259" s="125"/>
      <c r="EQ1259" s="125"/>
      <c r="ER1259" s="16"/>
      <c r="ES1259" s="123"/>
      <c r="ET1259" s="19"/>
      <c r="EU1259" s="139"/>
      <c r="EV1259" s="139"/>
      <c r="EW1259" s="123"/>
      <c r="EX1259" s="123"/>
      <c r="EY1259" s="123"/>
      <c r="EZ1259" s="123"/>
      <c r="FA1259" s="123"/>
      <c r="FB1259" s="123"/>
      <c r="FC1259" s="6"/>
      <c r="FD1259" s="123"/>
      <c r="FE1259" s="6"/>
      <c r="FF1259" s="123"/>
      <c r="FG1259" s="6"/>
      <c r="FH1259" s="6"/>
      <c r="FI1259" s="6"/>
      <c r="FJ1259" s="6"/>
      <c r="FK1259" s="123"/>
      <c r="FL1259" s="6"/>
      <c r="FM1259" s="6"/>
      <c r="FN1259" s="6"/>
      <c r="FO1259" s="138"/>
      <c r="FP1259" s="138"/>
      <c r="FQ1259" s="123"/>
      <c r="FR1259" s="6"/>
      <c r="FS1259" s="6"/>
      <c r="FT1259" s="139"/>
      <c r="FU1259" s="139"/>
      <c r="FV1259" s="76"/>
      <c r="FW1259" s="123"/>
      <c r="FX1259" s="6"/>
    </row>
    <row r="1260" spans="35:180">
      <c r="AI1260" s="125"/>
      <c r="AJ1260" s="16"/>
      <c r="AM1260" s="16"/>
      <c r="AN1260" s="16"/>
      <c r="AO1260" s="125"/>
      <c r="AP1260" s="16"/>
      <c r="AQ1260" s="125"/>
      <c r="AZ1260" s="125"/>
      <c r="BA1260" s="142"/>
      <c r="BB1260" s="125"/>
      <c r="BC1260" s="16"/>
      <c r="BD1260" s="125"/>
      <c r="BE1260" s="125"/>
      <c r="BF1260" s="16"/>
      <c r="BG1260" s="125"/>
      <c r="BQ1260" s="125"/>
      <c r="BR1260" s="16"/>
      <c r="BS1260" s="123"/>
      <c r="BT1260" s="19"/>
      <c r="BU1260" s="139"/>
      <c r="BV1260" s="139"/>
      <c r="BW1260" s="123"/>
      <c r="BX1260" s="123"/>
      <c r="BY1260" s="123"/>
      <c r="BZ1260" s="123"/>
      <c r="CA1260" s="123"/>
      <c r="CB1260" s="123"/>
      <c r="CC1260" s="6"/>
      <c r="CD1260" s="123"/>
      <c r="CE1260" s="6"/>
      <c r="CF1260" s="123"/>
      <c r="CG1260" s="6"/>
      <c r="CH1260" s="6"/>
      <c r="CI1260" s="6"/>
      <c r="CJ1260" s="6"/>
      <c r="CK1260" s="123"/>
      <c r="CL1260" s="6"/>
      <c r="CM1260" s="6"/>
      <c r="CN1260" s="6"/>
      <c r="CO1260" s="138"/>
      <c r="CP1260" s="138"/>
      <c r="CQ1260" s="123"/>
      <c r="CR1260" s="6"/>
      <c r="CS1260" s="6"/>
      <c r="CT1260" s="139"/>
      <c r="CU1260" s="139"/>
      <c r="CV1260" s="76"/>
      <c r="CW1260" s="123"/>
      <c r="CX1260" s="6"/>
      <c r="DI1260" s="125"/>
      <c r="DJ1260" s="16"/>
      <c r="DM1260" s="16"/>
      <c r="DN1260" s="16"/>
      <c r="DO1260" s="125"/>
      <c r="DP1260" s="16"/>
      <c r="DQ1260" s="125"/>
      <c r="DZ1260" s="125"/>
      <c r="EA1260" s="142"/>
      <c r="EB1260" s="125"/>
      <c r="EC1260" s="16"/>
      <c r="ED1260" s="125"/>
      <c r="EE1260" s="125"/>
      <c r="EF1260" s="16"/>
      <c r="EG1260" s="125"/>
      <c r="EQ1260" s="125"/>
      <c r="ER1260" s="16"/>
      <c r="ES1260" s="123"/>
      <c r="ET1260" s="19"/>
      <c r="EU1260" s="139"/>
      <c r="EV1260" s="139"/>
      <c r="EW1260" s="123"/>
      <c r="EX1260" s="123"/>
      <c r="EY1260" s="123"/>
      <c r="EZ1260" s="123"/>
      <c r="FA1260" s="123"/>
      <c r="FB1260" s="123"/>
      <c r="FC1260" s="6"/>
      <c r="FD1260" s="123"/>
      <c r="FE1260" s="6"/>
      <c r="FF1260" s="123"/>
      <c r="FG1260" s="6"/>
      <c r="FH1260" s="6"/>
      <c r="FI1260" s="6"/>
      <c r="FJ1260" s="6"/>
      <c r="FK1260" s="123"/>
      <c r="FL1260" s="6"/>
      <c r="FM1260" s="6"/>
      <c r="FN1260" s="6"/>
      <c r="FO1260" s="138"/>
      <c r="FP1260" s="138"/>
      <c r="FQ1260" s="123"/>
      <c r="FR1260" s="6"/>
      <c r="FS1260" s="6"/>
      <c r="FT1260" s="139"/>
      <c r="FU1260" s="139"/>
      <c r="FV1260" s="76"/>
      <c r="FW1260" s="123"/>
      <c r="FX1260" s="6"/>
    </row>
    <row r="1261" spans="35:180">
      <c r="AI1261" s="125"/>
      <c r="AJ1261" s="16"/>
      <c r="AM1261" s="16"/>
      <c r="AN1261" s="16"/>
      <c r="AO1261" s="125"/>
      <c r="AP1261" s="16"/>
      <c r="AQ1261" s="125"/>
      <c r="AZ1261" s="125"/>
      <c r="BA1261" s="142"/>
      <c r="BB1261" s="125"/>
      <c r="BC1261" s="16"/>
      <c r="BD1261" s="125"/>
      <c r="BE1261" s="125"/>
      <c r="BF1261" s="16"/>
      <c r="BG1261" s="125"/>
      <c r="BQ1261" s="125"/>
      <c r="BR1261" s="16"/>
      <c r="BS1261" s="123"/>
      <c r="BT1261" s="19"/>
      <c r="BU1261" s="139"/>
      <c r="BV1261" s="139"/>
      <c r="BW1261" s="123"/>
      <c r="BX1261" s="123"/>
      <c r="BY1261" s="123"/>
      <c r="BZ1261" s="123"/>
      <c r="CA1261" s="123"/>
      <c r="CB1261" s="123"/>
      <c r="CC1261" s="6"/>
      <c r="CD1261" s="123"/>
      <c r="CE1261" s="6"/>
      <c r="CF1261" s="123"/>
      <c r="CG1261" s="6"/>
      <c r="CH1261" s="6"/>
      <c r="CI1261" s="6"/>
      <c r="CJ1261" s="6"/>
      <c r="CK1261" s="123"/>
      <c r="CL1261" s="6"/>
      <c r="CM1261" s="6"/>
      <c r="CN1261" s="6"/>
      <c r="CO1261" s="138"/>
      <c r="CP1261" s="138"/>
      <c r="CQ1261" s="123"/>
      <c r="CR1261" s="6"/>
      <c r="CS1261" s="6"/>
      <c r="CT1261" s="139"/>
      <c r="CU1261" s="139"/>
      <c r="CV1261" s="76"/>
      <c r="CW1261" s="123"/>
      <c r="CX1261" s="6"/>
      <c r="DI1261" s="125"/>
      <c r="DJ1261" s="16"/>
      <c r="DM1261" s="16"/>
      <c r="DN1261" s="16"/>
      <c r="DO1261" s="125"/>
      <c r="DP1261" s="16"/>
      <c r="DQ1261" s="125"/>
      <c r="DZ1261" s="125"/>
      <c r="EA1261" s="142"/>
      <c r="EB1261" s="125"/>
      <c r="EC1261" s="16"/>
      <c r="ED1261" s="125"/>
      <c r="EE1261" s="125"/>
      <c r="EF1261" s="16"/>
      <c r="EG1261" s="125"/>
      <c r="EQ1261" s="125"/>
      <c r="ER1261" s="16"/>
      <c r="ES1261" s="123"/>
      <c r="ET1261" s="19"/>
      <c r="EU1261" s="139"/>
      <c r="EV1261" s="139"/>
      <c r="EW1261" s="123"/>
      <c r="EX1261" s="123"/>
      <c r="EY1261" s="123"/>
      <c r="EZ1261" s="123"/>
      <c r="FA1261" s="123"/>
      <c r="FB1261" s="123"/>
      <c r="FC1261" s="6"/>
      <c r="FD1261" s="123"/>
      <c r="FE1261" s="6"/>
      <c r="FF1261" s="123"/>
      <c r="FG1261" s="6"/>
      <c r="FH1261" s="6"/>
      <c r="FI1261" s="6"/>
      <c r="FJ1261" s="6"/>
      <c r="FK1261" s="123"/>
      <c r="FL1261" s="6"/>
      <c r="FM1261" s="6"/>
      <c r="FN1261" s="6"/>
      <c r="FO1261" s="138"/>
      <c r="FP1261" s="138"/>
      <c r="FQ1261" s="123"/>
      <c r="FR1261" s="6"/>
      <c r="FS1261" s="6"/>
      <c r="FT1261" s="139"/>
      <c r="FU1261" s="139"/>
      <c r="FV1261" s="76"/>
      <c r="FW1261" s="123"/>
      <c r="FX1261" s="6"/>
    </row>
    <row r="1262" spans="35:180">
      <c r="AI1262" s="125"/>
      <c r="AJ1262" s="16"/>
      <c r="AM1262" s="16"/>
      <c r="AN1262" s="16"/>
      <c r="AO1262" s="125"/>
      <c r="AP1262" s="16"/>
      <c r="AQ1262" s="125"/>
      <c r="AZ1262" s="125"/>
      <c r="BA1262" s="142"/>
      <c r="BB1262" s="125"/>
      <c r="BC1262" s="16"/>
      <c r="BD1262" s="125"/>
      <c r="BE1262" s="125"/>
      <c r="BF1262" s="16"/>
      <c r="BG1262" s="125"/>
      <c r="BQ1262" s="125"/>
      <c r="BR1262" s="16"/>
      <c r="BS1262" s="123"/>
      <c r="BT1262" s="19"/>
      <c r="BU1262" s="139"/>
      <c r="BV1262" s="139"/>
      <c r="BW1262" s="123"/>
      <c r="BX1262" s="123"/>
      <c r="BY1262" s="123"/>
      <c r="BZ1262" s="123"/>
      <c r="CA1262" s="123"/>
      <c r="CB1262" s="123"/>
      <c r="CC1262" s="6"/>
      <c r="CD1262" s="123"/>
      <c r="CE1262" s="6"/>
      <c r="CF1262" s="123"/>
      <c r="CG1262" s="6"/>
      <c r="CH1262" s="6"/>
      <c r="CI1262" s="6"/>
      <c r="CJ1262" s="6"/>
      <c r="CK1262" s="123"/>
      <c r="CL1262" s="6"/>
      <c r="CM1262" s="6"/>
      <c r="CN1262" s="6"/>
      <c r="CO1262" s="138"/>
      <c r="CP1262" s="138"/>
      <c r="CQ1262" s="123"/>
      <c r="CR1262" s="6"/>
      <c r="CS1262" s="6"/>
      <c r="CT1262" s="139"/>
      <c r="CU1262" s="139"/>
      <c r="CV1262" s="76"/>
      <c r="CW1262" s="123"/>
      <c r="CX1262" s="6"/>
      <c r="DI1262" s="125"/>
      <c r="DJ1262" s="16"/>
      <c r="DM1262" s="16"/>
      <c r="DN1262" s="16"/>
      <c r="DO1262" s="125"/>
      <c r="DP1262" s="16"/>
      <c r="DQ1262" s="125"/>
      <c r="DZ1262" s="125"/>
      <c r="EA1262" s="142"/>
      <c r="EB1262" s="125"/>
      <c r="EC1262" s="16"/>
      <c r="ED1262" s="125"/>
      <c r="EE1262" s="125"/>
      <c r="EF1262" s="16"/>
      <c r="EG1262" s="125"/>
      <c r="EQ1262" s="125"/>
      <c r="ER1262" s="16"/>
      <c r="ES1262" s="123"/>
      <c r="ET1262" s="19"/>
      <c r="EU1262" s="139"/>
      <c r="EV1262" s="139"/>
      <c r="EW1262" s="123"/>
      <c r="EX1262" s="123"/>
      <c r="EY1262" s="123"/>
      <c r="EZ1262" s="123"/>
      <c r="FA1262" s="123"/>
      <c r="FB1262" s="123"/>
      <c r="FC1262" s="6"/>
      <c r="FD1262" s="123"/>
      <c r="FE1262" s="6"/>
      <c r="FF1262" s="123"/>
      <c r="FG1262" s="6"/>
      <c r="FH1262" s="6"/>
      <c r="FI1262" s="6"/>
      <c r="FJ1262" s="6"/>
      <c r="FK1262" s="123"/>
      <c r="FL1262" s="6"/>
      <c r="FM1262" s="6"/>
      <c r="FN1262" s="6"/>
      <c r="FO1262" s="138"/>
      <c r="FP1262" s="138"/>
      <c r="FQ1262" s="123"/>
      <c r="FR1262" s="6"/>
      <c r="FS1262" s="6"/>
      <c r="FT1262" s="139"/>
      <c r="FU1262" s="139"/>
      <c r="FV1262" s="76"/>
      <c r="FW1262" s="123"/>
      <c r="FX1262" s="6"/>
    </row>
    <row r="1263" spans="35:180">
      <c r="AI1263" s="125"/>
      <c r="AJ1263" s="16"/>
      <c r="AM1263" s="16"/>
      <c r="AN1263" s="16"/>
      <c r="AO1263" s="125"/>
      <c r="AP1263" s="16"/>
      <c r="AQ1263" s="125"/>
      <c r="AZ1263" s="125"/>
      <c r="BA1263" s="142"/>
      <c r="BB1263" s="125"/>
      <c r="BC1263" s="16"/>
      <c r="BD1263" s="125"/>
      <c r="BE1263" s="125"/>
      <c r="BF1263" s="16"/>
      <c r="BG1263" s="125"/>
      <c r="BQ1263" s="125"/>
      <c r="BR1263" s="16"/>
      <c r="BS1263" s="123"/>
      <c r="BT1263" s="19"/>
      <c r="BU1263" s="139"/>
      <c r="BV1263" s="139"/>
      <c r="BW1263" s="123"/>
      <c r="BX1263" s="123"/>
      <c r="BY1263" s="123"/>
      <c r="BZ1263" s="123"/>
      <c r="CA1263" s="123"/>
      <c r="CB1263" s="123"/>
      <c r="CC1263" s="6"/>
      <c r="CD1263" s="123"/>
      <c r="CE1263" s="6"/>
      <c r="CF1263" s="123"/>
      <c r="CG1263" s="6"/>
      <c r="CH1263" s="6"/>
      <c r="CI1263" s="6"/>
      <c r="CJ1263" s="6"/>
      <c r="CK1263" s="123"/>
      <c r="CL1263" s="6"/>
      <c r="CM1263" s="6"/>
      <c r="CN1263" s="6"/>
      <c r="CO1263" s="138"/>
      <c r="CP1263" s="138"/>
      <c r="CQ1263" s="123"/>
      <c r="CR1263" s="6"/>
      <c r="CS1263" s="6"/>
      <c r="CT1263" s="139"/>
      <c r="CU1263" s="139"/>
      <c r="CV1263" s="76"/>
      <c r="CW1263" s="123"/>
      <c r="CX1263" s="6"/>
      <c r="DI1263" s="125"/>
      <c r="DJ1263" s="16"/>
      <c r="DM1263" s="16"/>
      <c r="DN1263" s="16"/>
      <c r="DO1263" s="125"/>
      <c r="DP1263" s="16"/>
      <c r="DQ1263" s="125"/>
      <c r="DZ1263" s="125"/>
      <c r="EA1263" s="142"/>
      <c r="EB1263" s="125"/>
      <c r="EC1263" s="16"/>
      <c r="ED1263" s="125"/>
      <c r="EE1263" s="125"/>
      <c r="EF1263" s="16"/>
      <c r="EG1263" s="125"/>
      <c r="EQ1263" s="125"/>
      <c r="ER1263" s="16"/>
      <c r="ES1263" s="123"/>
      <c r="ET1263" s="19"/>
      <c r="EU1263" s="139"/>
      <c r="EV1263" s="139"/>
      <c r="EW1263" s="123"/>
      <c r="EX1263" s="123"/>
      <c r="EY1263" s="123"/>
      <c r="EZ1263" s="123"/>
      <c r="FA1263" s="123"/>
      <c r="FB1263" s="123"/>
      <c r="FC1263" s="6"/>
      <c r="FD1263" s="123"/>
      <c r="FE1263" s="6"/>
      <c r="FF1263" s="123"/>
      <c r="FG1263" s="6"/>
      <c r="FH1263" s="6"/>
      <c r="FI1263" s="6"/>
      <c r="FJ1263" s="6"/>
      <c r="FK1263" s="123"/>
      <c r="FL1263" s="6"/>
      <c r="FM1263" s="6"/>
      <c r="FN1263" s="6"/>
      <c r="FO1263" s="138"/>
      <c r="FP1263" s="138"/>
      <c r="FQ1263" s="123"/>
      <c r="FR1263" s="6"/>
      <c r="FS1263" s="6"/>
      <c r="FT1263" s="139"/>
      <c r="FU1263" s="139"/>
      <c r="FV1263" s="76"/>
      <c r="FW1263" s="123"/>
      <c r="FX1263" s="6"/>
    </row>
    <row r="1264" spans="35:180">
      <c r="AI1264" s="125"/>
      <c r="AJ1264" s="16"/>
      <c r="AM1264" s="16"/>
      <c r="AN1264" s="16"/>
      <c r="AO1264" s="125"/>
      <c r="AP1264" s="16"/>
      <c r="AQ1264" s="125"/>
      <c r="AZ1264" s="125"/>
      <c r="BA1264" s="142"/>
      <c r="BB1264" s="125"/>
      <c r="BC1264" s="16"/>
      <c r="BD1264" s="125"/>
      <c r="BE1264" s="125"/>
      <c r="BF1264" s="16"/>
      <c r="BG1264" s="125"/>
      <c r="BQ1264" s="125"/>
      <c r="BR1264" s="16"/>
      <c r="BS1264" s="123"/>
      <c r="BT1264" s="19"/>
      <c r="BU1264" s="139"/>
      <c r="BV1264" s="139"/>
      <c r="BW1264" s="123"/>
      <c r="BX1264" s="123"/>
      <c r="BY1264" s="123"/>
      <c r="BZ1264" s="123"/>
      <c r="CA1264" s="123"/>
      <c r="CB1264" s="123"/>
      <c r="CC1264" s="6"/>
      <c r="CD1264" s="123"/>
      <c r="CE1264" s="6"/>
      <c r="CF1264" s="123"/>
      <c r="CG1264" s="6"/>
      <c r="CH1264" s="6"/>
      <c r="CI1264" s="6"/>
      <c r="CJ1264" s="6"/>
      <c r="CK1264" s="123"/>
      <c r="CL1264" s="6"/>
      <c r="CM1264" s="6"/>
      <c r="CN1264" s="6"/>
      <c r="CO1264" s="138"/>
      <c r="CP1264" s="138"/>
      <c r="CQ1264" s="123"/>
      <c r="CR1264" s="6"/>
      <c r="CS1264" s="6"/>
      <c r="CT1264" s="139"/>
      <c r="CU1264" s="139"/>
      <c r="CV1264" s="76"/>
      <c r="CW1264" s="123"/>
      <c r="CX1264" s="6"/>
      <c r="DI1264" s="125"/>
      <c r="DJ1264" s="16"/>
      <c r="DM1264" s="16"/>
      <c r="DN1264" s="16"/>
      <c r="DO1264" s="125"/>
      <c r="DP1264" s="16"/>
      <c r="DQ1264" s="125"/>
      <c r="DZ1264" s="125"/>
      <c r="EA1264" s="142"/>
      <c r="EB1264" s="125"/>
      <c r="EC1264" s="16"/>
      <c r="ED1264" s="125"/>
      <c r="EE1264" s="125"/>
      <c r="EF1264" s="16"/>
      <c r="EG1264" s="125"/>
      <c r="EQ1264" s="125"/>
      <c r="ER1264" s="16"/>
      <c r="ES1264" s="123"/>
      <c r="ET1264" s="19"/>
      <c r="EU1264" s="139"/>
      <c r="EV1264" s="139"/>
      <c r="EW1264" s="123"/>
      <c r="EX1264" s="123"/>
      <c r="EY1264" s="123"/>
      <c r="EZ1264" s="123"/>
      <c r="FA1264" s="123"/>
      <c r="FB1264" s="123"/>
      <c r="FC1264" s="6"/>
      <c r="FD1264" s="123"/>
      <c r="FE1264" s="6"/>
      <c r="FF1264" s="123"/>
      <c r="FG1264" s="6"/>
      <c r="FH1264" s="6"/>
      <c r="FI1264" s="6"/>
      <c r="FJ1264" s="6"/>
      <c r="FK1264" s="123"/>
      <c r="FL1264" s="6"/>
      <c r="FM1264" s="6"/>
      <c r="FN1264" s="6"/>
      <c r="FO1264" s="138"/>
      <c r="FP1264" s="138"/>
      <c r="FQ1264" s="123"/>
      <c r="FR1264" s="6"/>
      <c r="FS1264" s="6"/>
      <c r="FT1264" s="139"/>
      <c r="FU1264" s="139"/>
      <c r="FV1264" s="76"/>
      <c r="FW1264" s="123"/>
      <c r="FX1264" s="6"/>
    </row>
    <row r="1265" spans="35:180">
      <c r="AI1265" s="125"/>
      <c r="AJ1265" s="16"/>
      <c r="AM1265" s="16"/>
      <c r="AN1265" s="16"/>
      <c r="AO1265" s="125"/>
      <c r="AP1265" s="16"/>
      <c r="AQ1265" s="125"/>
      <c r="AZ1265" s="125"/>
      <c r="BA1265" s="142"/>
      <c r="BB1265" s="125"/>
      <c r="BC1265" s="16"/>
      <c r="BD1265" s="125"/>
      <c r="BE1265" s="125"/>
      <c r="BF1265" s="16"/>
      <c r="BG1265" s="125"/>
      <c r="BQ1265" s="125"/>
      <c r="BR1265" s="16"/>
      <c r="BS1265" s="123"/>
      <c r="BT1265" s="19"/>
      <c r="BU1265" s="139"/>
      <c r="BV1265" s="139"/>
      <c r="BW1265" s="123"/>
      <c r="BX1265" s="123"/>
      <c r="BY1265" s="123"/>
      <c r="BZ1265" s="123"/>
      <c r="CA1265" s="123"/>
      <c r="CB1265" s="123"/>
      <c r="CC1265" s="6"/>
      <c r="CD1265" s="123"/>
      <c r="CE1265" s="6"/>
      <c r="CF1265" s="123"/>
      <c r="CG1265" s="6"/>
      <c r="CH1265" s="6"/>
      <c r="CI1265" s="6"/>
      <c r="CJ1265" s="6"/>
      <c r="CK1265" s="123"/>
      <c r="CL1265" s="6"/>
      <c r="CM1265" s="6"/>
      <c r="CN1265" s="6"/>
      <c r="CO1265" s="138"/>
      <c r="CP1265" s="138"/>
      <c r="CQ1265" s="123"/>
      <c r="CR1265" s="6"/>
      <c r="CS1265" s="6"/>
      <c r="CT1265" s="139"/>
      <c r="CU1265" s="139"/>
      <c r="CV1265" s="76"/>
      <c r="CW1265" s="123"/>
      <c r="CX1265" s="6"/>
      <c r="DI1265" s="125"/>
      <c r="DJ1265" s="16"/>
      <c r="DM1265" s="16"/>
      <c r="DN1265" s="16"/>
      <c r="DO1265" s="125"/>
      <c r="DP1265" s="16"/>
      <c r="DQ1265" s="125"/>
      <c r="DZ1265" s="125"/>
      <c r="EA1265" s="142"/>
      <c r="EB1265" s="125"/>
      <c r="EC1265" s="16"/>
      <c r="ED1265" s="125"/>
      <c r="EE1265" s="125"/>
      <c r="EF1265" s="16"/>
      <c r="EG1265" s="125"/>
      <c r="EQ1265" s="125"/>
      <c r="ER1265" s="16"/>
      <c r="ES1265" s="123"/>
      <c r="ET1265" s="19"/>
      <c r="EU1265" s="139"/>
      <c r="EV1265" s="139"/>
      <c r="EW1265" s="123"/>
      <c r="EX1265" s="123"/>
      <c r="EY1265" s="123"/>
      <c r="EZ1265" s="123"/>
      <c r="FA1265" s="123"/>
      <c r="FB1265" s="123"/>
      <c r="FC1265" s="6"/>
      <c r="FD1265" s="123"/>
      <c r="FE1265" s="6"/>
      <c r="FF1265" s="123"/>
      <c r="FG1265" s="6"/>
      <c r="FH1265" s="6"/>
      <c r="FI1265" s="6"/>
      <c r="FJ1265" s="6"/>
      <c r="FK1265" s="123"/>
      <c r="FL1265" s="6"/>
      <c r="FM1265" s="6"/>
      <c r="FN1265" s="6"/>
      <c r="FO1265" s="138"/>
      <c r="FP1265" s="138"/>
      <c r="FQ1265" s="123"/>
      <c r="FR1265" s="6"/>
      <c r="FS1265" s="6"/>
      <c r="FT1265" s="139"/>
      <c r="FU1265" s="139"/>
      <c r="FV1265" s="76"/>
      <c r="FW1265" s="123"/>
      <c r="FX1265" s="6"/>
    </row>
    <row r="1266" spans="35:180">
      <c r="AI1266" s="125"/>
      <c r="AJ1266" s="16"/>
      <c r="AM1266" s="16"/>
      <c r="AN1266" s="16"/>
      <c r="AO1266" s="125"/>
      <c r="AP1266" s="16"/>
      <c r="AQ1266" s="125"/>
      <c r="AZ1266" s="125"/>
      <c r="BA1266" s="142"/>
      <c r="BB1266" s="125"/>
      <c r="BC1266" s="16"/>
      <c r="BD1266" s="125"/>
      <c r="BE1266" s="125"/>
      <c r="BF1266" s="16"/>
      <c r="BG1266" s="125"/>
      <c r="BQ1266" s="125"/>
      <c r="BR1266" s="16"/>
      <c r="BS1266" s="123"/>
      <c r="BT1266" s="19"/>
      <c r="BU1266" s="139"/>
      <c r="BV1266" s="139"/>
      <c r="BW1266" s="123"/>
      <c r="BX1266" s="123"/>
      <c r="BY1266" s="123"/>
      <c r="BZ1266" s="123"/>
      <c r="CA1266" s="123"/>
      <c r="CB1266" s="123"/>
      <c r="CC1266" s="6"/>
      <c r="CD1266" s="123"/>
      <c r="CE1266" s="6"/>
      <c r="CF1266" s="123"/>
      <c r="CG1266" s="6"/>
      <c r="CH1266" s="6"/>
      <c r="CI1266" s="6"/>
      <c r="CJ1266" s="6"/>
      <c r="CK1266" s="123"/>
      <c r="CL1266" s="6"/>
      <c r="CM1266" s="6"/>
      <c r="CN1266" s="6"/>
      <c r="CO1266" s="138"/>
      <c r="CP1266" s="138"/>
      <c r="CQ1266" s="123"/>
      <c r="CR1266" s="6"/>
      <c r="CS1266" s="6"/>
      <c r="CT1266" s="139"/>
      <c r="CU1266" s="139"/>
      <c r="CV1266" s="76"/>
      <c r="CW1266" s="123"/>
      <c r="CX1266" s="6"/>
      <c r="DI1266" s="125"/>
      <c r="DJ1266" s="16"/>
      <c r="DM1266" s="16"/>
      <c r="DN1266" s="16"/>
      <c r="DO1266" s="125"/>
      <c r="DP1266" s="16"/>
      <c r="DQ1266" s="125"/>
      <c r="DZ1266" s="125"/>
      <c r="EA1266" s="142"/>
      <c r="EB1266" s="125"/>
      <c r="EC1266" s="16"/>
      <c r="ED1266" s="125"/>
      <c r="EE1266" s="125"/>
      <c r="EF1266" s="16"/>
      <c r="EG1266" s="125"/>
      <c r="EQ1266" s="125"/>
      <c r="ER1266" s="16"/>
      <c r="ES1266" s="123"/>
      <c r="ET1266" s="19"/>
      <c r="EU1266" s="139"/>
      <c r="EV1266" s="139"/>
      <c r="EW1266" s="123"/>
      <c r="EX1266" s="123"/>
      <c r="EY1266" s="123"/>
      <c r="EZ1266" s="123"/>
      <c r="FA1266" s="123"/>
      <c r="FB1266" s="123"/>
      <c r="FC1266" s="6"/>
      <c r="FD1266" s="123"/>
      <c r="FE1266" s="6"/>
      <c r="FF1266" s="123"/>
      <c r="FG1266" s="6"/>
      <c r="FH1266" s="6"/>
      <c r="FI1266" s="6"/>
      <c r="FJ1266" s="6"/>
      <c r="FK1266" s="123"/>
      <c r="FL1266" s="6"/>
      <c r="FM1266" s="6"/>
      <c r="FN1266" s="6"/>
      <c r="FO1266" s="138"/>
      <c r="FP1266" s="138"/>
      <c r="FQ1266" s="123"/>
      <c r="FR1266" s="6"/>
      <c r="FS1266" s="6"/>
      <c r="FT1266" s="139"/>
      <c r="FU1266" s="139"/>
      <c r="FV1266" s="76"/>
      <c r="FW1266" s="123"/>
      <c r="FX1266" s="6"/>
    </row>
    <row r="1267" spans="35:180">
      <c r="AI1267" s="125"/>
      <c r="AJ1267" s="16"/>
      <c r="AM1267" s="16"/>
      <c r="AN1267" s="16"/>
      <c r="AO1267" s="125"/>
      <c r="AP1267" s="16"/>
      <c r="AQ1267" s="125"/>
      <c r="AZ1267" s="125"/>
      <c r="BA1267" s="142"/>
      <c r="BB1267" s="125"/>
      <c r="BC1267" s="16"/>
      <c r="BD1267" s="125"/>
      <c r="BE1267" s="125"/>
      <c r="BF1267" s="16"/>
      <c r="BG1267" s="125"/>
      <c r="BQ1267" s="125"/>
      <c r="BR1267" s="16"/>
      <c r="BS1267" s="123"/>
      <c r="BT1267" s="19"/>
      <c r="BU1267" s="139"/>
      <c r="BV1267" s="139"/>
      <c r="BW1267" s="123"/>
      <c r="BX1267" s="123"/>
      <c r="BY1267" s="123"/>
      <c r="BZ1267" s="123"/>
      <c r="CA1267" s="123"/>
      <c r="CB1267" s="123"/>
      <c r="CC1267" s="6"/>
      <c r="CD1267" s="123"/>
      <c r="CE1267" s="6"/>
      <c r="CF1267" s="123"/>
      <c r="CG1267" s="6"/>
      <c r="CH1267" s="6"/>
      <c r="CI1267" s="6"/>
      <c r="CJ1267" s="6"/>
      <c r="CK1267" s="123"/>
      <c r="CL1267" s="6"/>
      <c r="CM1267" s="6"/>
      <c r="CN1267" s="6"/>
      <c r="CO1267" s="138"/>
      <c r="CP1267" s="138"/>
      <c r="CQ1267" s="123"/>
      <c r="CR1267" s="6"/>
      <c r="CS1267" s="6"/>
      <c r="CT1267" s="139"/>
      <c r="CU1267" s="139"/>
      <c r="CV1267" s="76"/>
      <c r="CW1267" s="123"/>
      <c r="CX1267" s="6"/>
      <c r="DI1267" s="125"/>
      <c r="DJ1267" s="16"/>
      <c r="DM1267" s="16"/>
      <c r="DN1267" s="16"/>
      <c r="DO1267" s="125"/>
      <c r="DP1267" s="16"/>
      <c r="DQ1267" s="125"/>
      <c r="DZ1267" s="125"/>
      <c r="EA1267" s="142"/>
      <c r="EB1267" s="125"/>
      <c r="EC1267" s="16"/>
      <c r="ED1267" s="125"/>
      <c r="EE1267" s="125"/>
      <c r="EF1267" s="16"/>
      <c r="EG1267" s="125"/>
      <c r="EQ1267" s="125"/>
      <c r="ER1267" s="16"/>
      <c r="ES1267" s="123"/>
      <c r="ET1267" s="19"/>
      <c r="EU1267" s="139"/>
      <c r="EV1267" s="139"/>
      <c r="EW1267" s="123"/>
      <c r="EX1267" s="123"/>
      <c r="EY1267" s="123"/>
      <c r="EZ1267" s="123"/>
      <c r="FA1267" s="123"/>
      <c r="FB1267" s="123"/>
      <c r="FC1267" s="6"/>
      <c r="FD1267" s="123"/>
      <c r="FE1267" s="6"/>
      <c r="FF1267" s="123"/>
      <c r="FG1267" s="6"/>
      <c r="FH1267" s="6"/>
      <c r="FI1267" s="6"/>
      <c r="FJ1267" s="6"/>
      <c r="FK1267" s="123"/>
      <c r="FL1267" s="6"/>
      <c r="FM1267" s="6"/>
      <c r="FN1267" s="6"/>
      <c r="FO1267" s="138"/>
      <c r="FP1267" s="138"/>
      <c r="FQ1267" s="123"/>
      <c r="FR1267" s="6"/>
      <c r="FS1267" s="6"/>
      <c r="FT1267" s="139"/>
      <c r="FU1267" s="139"/>
      <c r="FV1267" s="76"/>
      <c r="FW1267" s="123"/>
      <c r="FX1267" s="6"/>
    </row>
    <row r="1268" spans="35:180">
      <c r="AI1268" s="125"/>
      <c r="AJ1268" s="16"/>
      <c r="AM1268" s="16"/>
      <c r="AN1268" s="16"/>
      <c r="AO1268" s="125"/>
      <c r="AP1268" s="16"/>
      <c r="AQ1268" s="125"/>
      <c r="AZ1268" s="125"/>
      <c r="BA1268" s="142"/>
      <c r="BB1268" s="125"/>
      <c r="BC1268" s="16"/>
      <c r="BD1268" s="125"/>
      <c r="BE1268" s="125"/>
      <c r="BF1268" s="16"/>
      <c r="BG1268" s="125"/>
      <c r="BQ1268" s="125"/>
      <c r="BR1268" s="16"/>
      <c r="BS1268" s="123"/>
      <c r="BT1268" s="19"/>
      <c r="BU1268" s="139"/>
      <c r="BV1268" s="139"/>
      <c r="BW1268" s="123"/>
      <c r="BX1268" s="123"/>
      <c r="BY1268" s="123"/>
      <c r="BZ1268" s="123"/>
      <c r="CA1268" s="123"/>
      <c r="CB1268" s="123"/>
      <c r="CC1268" s="6"/>
      <c r="CD1268" s="123"/>
      <c r="CE1268" s="6"/>
      <c r="CF1268" s="123"/>
      <c r="CG1268" s="6"/>
      <c r="CH1268" s="6"/>
      <c r="CI1268" s="6"/>
      <c r="CJ1268" s="6"/>
      <c r="CK1268" s="123"/>
      <c r="CL1268" s="6"/>
      <c r="CM1268" s="6"/>
      <c r="CN1268" s="6"/>
      <c r="CO1268" s="138"/>
      <c r="CP1268" s="138"/>
      <c r="CQ1268" s="123"/>
      <c r="CR1268" s="6"/>
      <c r="CS1268" s="6"/>
      <c r="CT1268" s="139"/>
      <c r="CU1268" s="139"/>
      <c r="CV1268" s="76"/>
      <c r="CW1268" s="123"/>
      <c r="CX1268" s="6"/>
      <c r="DI1268" s="125"/>
      <c r="DJ1268" s="16"/>
      <c r="DM1268" s="16"/>
      <c r="DN1268" s="16"/>
      <c r="DO1268" s="125"/>
      <c r="DP1268" s="16"/>
      <c r="DQ1268" s="125"/>
      <c r="DZ1268" s="125"/>
      <c r="EA1268" s="142"/>
      <c r="EB1268" s="125"/>
      <c r="EC1268" s="16"/>
      <c r="ED1268" s="125"/>
      <c r="EE1268" s="125"/>
      <c r="EF1268" s="16"/>
      <c r="EG1268" s="125"/>
      <c r="EQ1268" s="125"/>
      <c r="ER1268" s="16"/>
      <c r="ES1268" s="123"/>
      <c r="ET1268" s="19"/>
      <c r="EU1268" s="139"/>
      <c r="EV1268" s="139"/>
      <c r="EW1268" s="123"/>
      <c r="EX1268" s="123"/>
      <c r="EY1268" s="123"/>
      <c r="EZ1268" s="123"/>
      <c r="FA1268" s="123"/>
      <c r="FB1268" s="123"/>
      <c r="FC1268" s="6"/>
      <c r="FD1268" s="123"/>
      <c r="FE1268" s="6"/>
      <c r="FF1268" s="123"/>
      <c r="FG1268" s="6"/>
      <c r="FH1268" s="6"/>
      <c r="FI1268" s="6"/>
      <c r="FJ1268" s="6"/>
      <c r="FK1268" s="123"/>
      <c r="FL1268" s="6"/>
      <c r="FM1268" s="6"/>
      <c r="FN1268" s="6"/>
      <c r="FO1268" s="138"/>
      <c r="FP1268" s="138"/>
      <c r="FQ1268" s="123"/>
      <c r="FR1268" s="6"/>
      <c r="FS1268" s="6"/>
      <c r="FT1268" s="139"/>
      <c r="FU1268" s="139"/>
      <c r="FV1268" s="76"/>
      <c r="FW1268" s="123"/>
      <c r="FX1268" s="6"/>
    </row>
    <row r="1269" spans="35:180">
      <c r="AI1269" s="125"/>
      <c r="AJ1269" s="16"/>
      <c r="AM1269" s="16"/>
      <c r="AN1269" s="16"/>
      <c r="AO1269" s="125"/>
      <c r="AP1269" s="16"/>
      <c r="AQ1269" s="125"/>
      <c r="AZ1269" s="125"/>
      <c r="BA1269" s="142"/>
      <c r="BB1269" s="125"/>
      <c r="BC1269" s="16"/>
      <c r="BD1269" s="125"/>
      <c r="BE1269" s="125"/>
      <c r="BF1269" s="16"/>
      <c r="BG1269" s="125"/>
      <c r="BQ1269" s="125"/>
      <c r="BR1269" s="16"/>
      <c r="BS1269" s="123"/>
      <c r="BT1269" s="19"/>
      <c r="BU1269" s="139"/>
      <c r="BV1269" s="139"/>
      <c r="BW1269" s="123"/>
      <c r="BX1269" s="123"/>
      <c r="BY1269" s="123"/>
      <c r="BZ1269" s="123"/>
      <c r="CA1269" s="123"/>
      <c r="CB1269" s="123"/>
      <c r="CC1269" s="6"/>
      <c r="CD1269" s="123"/>
      <c r="CE1269" s="6"/>
      <c r="CF1269" s="123"/>
      <c r="CG1269" s="6"/>
      <c r="CH1269" s="6"/>
      <c r="CI1269" s="6"/>
      <c r="CJ1269" s="6"/>
      <c r="CK1269" s="123"/>
      <c r="CL1269" s="6"/>
      <c r="CM1269" s="6"/>
      <c r="CN1269" s="6"/>
      <c r="CO1269" s="138"/>
      <c r="CP1269" s="138"/>
      <c r="CQ1269" s="123"/>
      <c r="CR1269" s="6"/>
      <c r="CS1269" s="6"/>
      <c r="CT1269" s="139"/>
      <c r="CU1269" s="139"/>
      <c r="CV1269" s="76"/>
      <c r="CW1269" s="123"/>
      <c r="CX1269" s="6"/>
      <c r="DI1269" s="125"/>
      <c r="DJ1269" s="16"/>
      <c r="DM1269" s="16"/>
      <c r="DN1269" s="16"/>
      <c r="DO1269" s="125"/>
      <c r="DP1269" s="16"/>
      <c r="DQ1269" s="125"/>
      <c r="DZ1269" s="125"/>
      <c r="EA1269" s="142"/>
      <c r="EB1269" s="125"/>
      <c r="EC1269" s="16"/>
      <c r="ED1269" s="125"/>
      <c r="EE1269" s="125"/>
      <c r="EF1269" s="16"/>
      <c r="EG1269" s="125"/>
      <c r="EQ1269" s="125"/>
      <c r="ER1269" s="16"/>
      <c r="ES1269" s="123"/>
      <c r="ET1269" s="19"/>
      <c r="EU1269" s="139"/>
      <c r="EV1269" s="139"/>
      <c r="EW1269" s="123"/>
      <c r="EX1269" s="123"/>
      <c r="EY1269" s="123"/>
      <c r="EZ1269" s="123"/>
      <c r="FA1269" s="123"/>
      <c r="FB1269" s="123"/>
      <c r="FC1269" s="6"/>
      <c r="FD1269" s="123"/>
      <c r="FE1269" s="6"/>
      <c r="FF1269" s="123"/>
      <c r="FG1269" s="6"/>
      <c r="FH1269" s="6"/>
      <c r="FI1269" s="6"/>
      <c r="FJ1269" s="6"/>
      <c r="FK1269" s="123"/>
      <c r="FL1269" s="6"/>
      <c r="FM1269" s="6"/>
      <c r="FN1269" s="6"/>
      <c r="FO1269" s="138"/>
      <c r="FP1269" s="138"/>
      <c r="FQ1269" s="123"/>
      <c r="FR1269" s="6"/>
      <c r="FS1269" s="6"/>
      <c r="FT1269" s="139"/>
      <c r="FU1269" s="139"/>
      <c r="FV1269" s="76"/>
      <c r="FW1269" s="123"/>
      <c r="FX1269" s="6"/>
    </row>
    <row r="1270" spans="35:180">
      <c r="AI1270" s="125"/>
      <c r="AJ1270" s="16"/>
      <c r="AM1270" s="16"/>
      <c r="AN1270" s="16"/>
      <c r="AO1270" s="125"/>
      <c r="AP1270" s="16"/>
      <c r="AQ1270" s="125"/>
      <c r="AZ1270" s="125"/>
      <c r="BA1270" s="142"/>
      <c r="BB1270" s="125"/>
      <c r="BC1270" s="16"/>
      <c r="BD1270" s="125"/>
      <c r="BE1270" s="125"/>
      <c r="BF1270" s="16"/>
      <c r="BG1270" s="125"/>
      <c r="BQ1270" s="125"/>
      <c r="BR1270" s="16"/>
      <c r="BS1270" s="123"/>
      <c r="BT1270" s="19"/>
      <c r="BU1270" s="139"/>
      <c r="BV1270" s="139"/>
      <c r="BW1270" s="123"/>
      <c r="BX1270" s="123"/>
      <c r="BY1270" s="123"/>
      <c r="BZ1270" s="123"/>
      <c r="CA1270" s="123"/>
      <c r="CB1270" s="123"/>
      <c r="CC1270" s="6"/>
      <c r="CD1270" s="123"/>
      <c r="CE1270" s="6"/>
      <c r="CF1270" s="123"/>
      <c r="CG1270" s="6"/>
      <c r="CH1270" s="6"/>
      <c r="CI1270" s="6"/>
      <c r="CJ1270" s="6"/>
      <c r="CK1270" s="123"/>
      <c r="CL1270" s="6"/>
      <c r="CM1270" s="6"/>
      <c r="CN1270" s="6"/>
      <c r="CO1270" s="138"/>
      <c r="CP1270" s="138"/>
      <c r="CQ1270" s="123"/>
      <c r="CR1270" s="6"/>
      <c r="CS1270" s="6"/>
      <c r="CT1270" s="139"/>
      <c r="CU1270" s="139"/>
      <c r="CV1270" s="76"/>
      <c r="CW1270" s="123"/>
      <c r="CX1270" s="6"/>
      <c r="DI1270" s="125"/>
      <c r="DJ1270" s="16"/>
      <c r="DM1270" s="16"/>
      <c r="DN1270" s="16"/>
      <c r="DO1270" s="125"/>
      <c r="DP1270" s="16"/>
      <c r="DQ1270" s="125"/>
      <c r="DZ1270" s="125"/>
      <c r="EA1270" s="142"/>
      <c r="EB1270" s="125"/>
      <c r="EC1270" s="16"/>
      <c r="ED1270" s="125"/>
      <c r="EE1270" s="125"/>
      <c r="EF1270" s="16"/>
      <c r="EG1270" s="125"/>
      <c r="EQ1270" s="125"/>
      <c r="ER1270" s="16"/>
      <c r="ES1270" s="123"/>
      <c r="ET1270" s="19"/>
      <c r="EU1270" s="139"/>
      <c r="EV1270" s="139"/>
      <c r="EW1270" s="123"/>
      <c r="EX1270" s="123"/>
      <c r="EY1270" s="123"/>
      <c r="EZ1270" s="123"/>
      <c r="FA1270" s="123"/>
      <c r="FB1270" s="123"/>
      <c r="FC1270" s="6"/>
      <c r="FD1270" s="123"/>
      <c r="FE1270" s="6"/>
      <c r="FF1270" s="123"/>
      <c r="FG1270" s="6"/>
      <c r="FH1270" s="6"/>
      <c r="FI1270" s="6"/>
      <c r="FJ1270" s="6"/>
      <c r="FK1270" s="123"/>
      <c r="FL1270" s="6"/>
      <c r="FM1270" s="6"/>
      <c r="FN1270" s="6"/>
      <c r="FO1270" s="138"/>
      <c r="FP1270" s="138"/>
      <c r="FQ1270" s="123"/>
      <c r="FR1270" s="6"/>
      <c r="FS1270" s="6"/>
      <c r="FT1270" s="139"/>
      <c r="FU1270" s="139"/>
      <c r="FV1270" s="76"/>
      <c r="FW1270" s="123"/>
      <c r="FX1270" s="6"/>
    </row>
    <row r="1271" spans="35:180">
      <c r="AI1271" s="125"/>
      <c r="AJ1271" s="16"/>
      <c r="AM1271" s="16"/>
      <c r="AN1271" s="16"/>
      <c r="AO1271" s="125"/>
      <c r="AP1271" s="16"/>
      <c r="AQ1271" s="125"/>
      <c r="AZ1271" s="125"/>
      <c r="BA1271" s="142"/>
      <c r="BB1271" s="125"/>
      <c r="BC1271" s="16"/>
      <c r="BD1271" s="125"/>
      <c r="BE1271" s="125"/>
      <c r="BF1271" s="16"/>
      <c r="BG1271" s="125"/>
      <c r="BQ1271" s="125"/>
      <c r="BR1271" s="16"/>
      <c r="BS1271" s="123"/>
      <c r="BT1271" s="19"/>
      <c r="BU1271" s="139"/>
      <c r="BV1271" s="139"/>
      <c r="BW1271" s="123"/>
      <c r="BX1271" s="123"/>
      <c r="BY1271" s="123"/>
      <c r="BZ1271" s="123"/>
      <c r="CA1271" s="123"/>
      <c r="CB1271" s="123"/>
      <c r="CC1271" s="6"/>
      <c r="CD1271" s="123"/>
      <c r="CE1271" s="6"/>
      <c r="CF1271" s="123"/>
      <c r="CG1271" s="6"/>
      <c r="CH1271" s="6"/>
      <c r="CI1271" s="6"/>
      <c r="CJ1271" s="6"/>
      <c r="CK1271" s="123"/>
      <c r="CL1271" s="6"/>
      <c r="CM1271" s="6"/>
      <c r="CN1271" s="6"/>
      <c r="CO1271" s="138"/>
      <c r="CP1271" s="138"/>
      <c r="CQ1271" s="123"/>
      <c r="CR1271" s="6"/>
      <c r="CS1271" s="6"/>
      <c r="CT1271" s="139"/>
      <c r="CU1271" s="139"/>
      <c r="CV1271" s="76"/>
      <c r="CW1271" s="123"/>
      <c r="CX1271" s="6"/>
      <c r="DI1271" s="125"/>
      <c r="DJ1271" s="16"/>
      <c r="DM1271" s="16"/>
      <c r="DN1271" s="16"/>
      <c r="DO1271" s="125"/>
      <c r="DP1271" s="16"/>
      <c r="DQ1271" s="125"/>
      <c r="DZ1271" s="125"/>
      <c r="EA1271" s="142"/>
      <c r="EB1271" s="125"/>
      <c r="EC1271" s="16"/>
      <c r="ED1271" s="125"/>
      <c r="EE1271" s="125"/>
      <c r="EF1271" s="16"/>
      <c r="EG1271" s="125"/>
      <c r="EQ1271" s="125"/>
      <c r="ER1271" s="16"/>
      <c r="ES1271" s="123"/>
      <c r="ET1271" s="19"/>
      <c r="EU1271" s="139"/>
      <c r="EV1271" s="139"/>
      <c r="EW1271" s="123"/>
      <c r="EX1271" s="123"/>
      <c r="EY1271" s="123"/>
      <c r="EZ1271" s="123"/>
      <c r="FA1271" s="123"/>
      <c r="FB1271" s="123"/>
      <c r="FC1271" s="6"/>
      <c r="FD1271" s="123"/>
      <c r="FE1271" s="6"/>
      <c r="FF1271" s="123"/>
      <c r="FG1271" s="6"/>
      <c r="FH1271" s="6"/>
      <c r="FI1271" s="6"/>
      <c r="FJ1271" s="6"/>
      <c r="FK1271" s="123"/>
      <c r="FL1271" s="6"/>
      <c r="FM1271" s="6"/>
      <c r="FN1271" s="6"/>
      <c r="FO1271" s="138"/>
      <c r="FP1271" s="138"/>
      <c r="FQ1271" s="123"/>
      <c r="FR1271" s="6"/>
      <c r="FS1271" s="6"/>
      <c r="FT1271" s="139"/>
      <c r="FU1271" s="139"/>
      <c r="FV1271" s="76"/>
      <c r="FW1271" s="123"/>
      <c r="FX1271" s="6"/>
    </row>
    <row r="1272" spans="35:180">
      <c r="AI1272" s="125"/>
      <c r="AJ1272" s="16"/>
      <c r="AM1272" s="16"/>
      <c r="AN1272" s="16"/>
      <c r="AO1272" s="125"/>
      <c r="AP1272" s="16"/>
      <c r="AQ1272" s="125"/>
      <c r="AZ1272" s="125"/>
      <c r="BA1272" s="142"/>
      <c r="BB1272" s="125"/>
      <c r="BC1272" s="16"/>
      <c r="BD1272" s="125"/>
      <c r="BE1272" s="125"/>
      <c r="BF1272" s="16"/>
      <c r="BG1272" s="125"/>
      <c r="BQ1272" s="125"/>
      <c r="BR1272" s="16"/>
      <c r="BS1272" s="123"/>
      <c r="BT1272" s="19"/>
      <c r="BU1272" s="139"/>
      <c r="BV1272" s="139"/>
      <c r="BW1272" s="123"/>
      <c r="BX1272" s="123"/>
      <c r="BY1272" s="123"/>
      <c r="BZ1272" s="123"/>
      <c r="CA1272" s="123"/>
      <c r="CB1272" s="123"/>
      <c r="CC1272" s="6"/>
      <c r="CD1272" s="123"/>
      <c r="CE1272" s="6"/>
      <c r="CF1272" s="123"/>
      <c r="CG1272" s="6"/>
      <c r="CH1272" s="6"/>
      <c r="CI1272" s="6"/>
      <c r="CJ1272" s="6"/>
      <c r="CK1272" s="123"/>
      <c r="CL1272" s="6"/>
      <c r="CM1272" s="6"/>
      <c r="CN1272" s="6"/>
      <c r="CO1272" s="138"/>
      <c r="CP1272" s="138"/>
      <c r="CQ1272" s="123"/>
      <c r="CR1272" s="6"/>
      <c r="CS1272" s="6"/>
      <c r="CT1272" s="139"/>
      <c r="CU1272" s="139"/>
      <c r="CV1272" s="76"/>
      <c r="CW1272" s="123"/>
      <c r="CX1272" s="6"/>
      <c r="DI1272" s="125"/>
      <c r="DJ1272" s="16"/>
      <c r="DM1272" s="16"/>
      <c r="DN1272" s="16"/>
      <c r="DO1272" s="125"/>
      <c r="DP1272" s="16"/>
      <c r="DQ1272" s="125"/>
      <c r="DZ1272" s="125"/>
      <c r="EA1272" s="142"/>
      <c r="EB1272" s="125"/>
      <c r="EC1272" s="16"/>
      <c r="ED1272" s="125"/>
      <c r="EE1272" s="125"/>
      <c r="EF1272" s="16"/>
      <c r="EG1272" s="125"/>
      <c r="EQ1272" s="125"/>
      <c r="ER1272" s="16"/>
      <c r="ES1272" s="123"/>
      <c r="ET1272" s="19"/>
      <c r="EU1272" s="139"/>
      <c r="EV1272" s="139"/>
      <c r="EW1272" s="123"/>
      <c r="EX1272" s="123"/>
      <c r="EY1272" s="123"/>
      <c r="EZ1272" s="123"/>
      <c r="FA1272" s="123"/>
      <c r="FB1272" s="123"/>
      <c r="FC1272" s="6"/>
      <c r="FD1272" s="123"/>
      <c r="FE1272" s="6"/>
      <c r="FF1272" s="123"/>
      <c r="FG1272" s="6"/>
      <c r="FH1272" s="6"/>
      <c r="FI1272" s="6"/>
      <c r="FJ1272" s="6"/>
      <c r="FK1272" s="123"/>
      <c r="FL1272" s="6"/>
      <c r="FM1272" s="6"/>
      <c r="FN1272" s="6"/>
      <c r="FO1272" s="138"/>
      <c r="FP1272" s="138"/>
      <c r="FQ1272" s="123"/>
      <c r="FR1272" s="6"/>
      <c r="FS1272" s="6"/>
      <c r="FT1272" s="139"/>
      <c r="FU1272" s="139"/>
      <c r="FV1272" s="76"/>
      <c r="FW1272" s="123"/>
      <c r="FX1272" s="6"/>
    </row>
    <row r="1273" spans="35:180">
      <c r="AI1273" s="125"/>
      <c r="AJ1273" s="16"/>
      <c r="AM1273" s="16"/>
      <c r="AN1273" s="16"/>
      <c r="AO1273" s="125"/>
      <c r="AP1273" s="16"/>
      <c r="AQ1273" s="125"/>
      <c r="AZ1273" s="125"/>
      <c r="BA1273" s="142"/>
      <c r="BB1273" s="125"/>
      <c r="BC1273" s="16"/>
      <c r="BD1273" s="125"/>
      <c r="BE1273" s="125"/>
      <c r="BF1273" s="16"/>
      <c r="BG1273" s="125"/>
      <c r="BQ1273" s="125"/>
      <c r="BR1273" s="16"/>
      <c r="BS1273" s="123"/>
      <c r="BT1273" s="19"/>
      <c r="BU1273" s="139"/>
      <c r="BV1273" s="139"/>
      <c r="BW1273" s="123"/>
      <c r="BX1273" s="123"/>
      <c r="BY1273" s="123"/>
      <c r="BZ1273" s="123"/>
      <c r="CA1273" s="123"/>
      <c r="CB1273" s="123"/>
      <c r="CC1273" s="6"/>
      <c r="CD1273" s="123"/>
      <c r="CE1273" s="6"/>
      <c r="CF1273" s="123"/>
      <c r="CG1273" s="6"/>
      <c r="CH1273" s="6"/>
      <c r="CI1273" s="6"/>
      <c r="CJ1273" s="6"/>
      <c r="CK1273" s="123"/>
      <c r="CL1273" s="6"/>
      <c r="CM1273" s="6"/>
      <c r="CN1273" s="6"/>
      <c r="CO1273" s="138"/>
      <c r="CP1273" s="138"/>
      <c r="CQ1273" s="123"/>
      <c r="CR1273" s="6"/>
      <c r="CS1273" s="6"/>
      <c r="CT1273" s="139"/>
      <c r="CU1273" s="139"/>
      <c r="CV1273" s="76"/>
      <c r="CW1273" s="123"/>
      <c r="CX1273" s="6"/>
      <c r="DI1273" s="125"/>
      <c r="DJ1273" s="16"/>
      <c r="DM1273" s="16"/>
      <c r="DN1273" s="16"/>
      <c r="DO1273" s="125"/>
      <c r="DP1273" s="16"/>
      <c r="DQ1273" s="125"/>
      <c r="DZ1273" s="125"/>
      <c r="EA1273" s="142"/>
      <c r="EB1273" s="125"/>
      <c r="EC1273" s="16"/>
      <c r="ED1273" s="125"/>
      <c r="EE1273" s="125"/>
      <c r="EF1273" s="16"/>
      <c r="EG1273" s="125"/>
      <c r="EQ1273" s="125"/>
      <c r="ER1273" s="16"/>
      <c r="ES1273" s="123"/>
      <c r="ET1273" s="19"/>
      <c r="EU1273" s="139"/>
      <c r="EV1273" s="139"/>
      <c r="EW1273" s="123"/>
      <c r="EX1273" s="123"/>
      <c r="EY1273" s="123"/>
      <c r="EZ1273" s="123"/>
      <c r="FA1273" s="123"/>
      <c r="FB1273" s="123"/>
      <c r="FC1273" s="6"/>
      <c r="FD1273" s="123"/>
      <c r="FE1273" s="6"/>
      <c r="FF1273" s="123"/>
      <c r="FG1273" s="6"/>
      <c r="FH1273" s="6"/>
      <c r="FI1273" s="6"/>
      <c r="FJ1273" s="6"/>
      <c r="FK1273" s="123"/>
      <c r="FL1273" s="6"/>
      <c r="FM1273" s="6"/>
      <c r="FN1273" s="6"/>
      <c r="FO1273" s="138"/>
      <c r="FP1273" s="138"/>
      <c r="FQ1273" s="123"/>
      <c r="FR1273" s="6"/>
      <c r="FS1273" s="6"/>
      <c r="FT1273" s="139"/>
      <c r="FU1273" s="139"/>
      <c r="FV1273" s="76"/>
      <c r="FW1273" s="123"/>
      <c r="FX1273" s="6"/>
    </row>
    <row r="1274" spans="35:180">
      <c r="AI1274" s="125"/>
      <c r="AJ1274" s="16"/>
      <c r="AM1274" s="16"/>
      <c r="AN1274" s="16"/>
      <c r="AO1274" s="125"/>
      <c r="AP1274" s="16"/>
      <c r="AQ1274" s="125"/>
      <c r="AZ1274" s="125"/>
      <c r="BA1274" s="142"/>
      <c r="BB1274" s="125"/>
      <c r="BC1274" s="16"/>
      <c r="BD1274" s="125"/>
      <c r="BE1274" s="125"/>
      <c r="BF1274" s="16"/>
      <c r="BG1274" s="125"/>
      <c r="BQ1274" s="125"/>
      <c r="BR1274" s="16"/>
      <c r="BS1274" s="123"/>
      <c r="BT1274" s="19"/>
      <c r="BU1274" s="139"/>
      <c r="BV1274" s="139"/>
      <c r="BW1274" s="123"/>
      <c r="BX1274" s="123"/>
      <c r="BY1274" s="123"/>
      <c r="BZ1274" s="123"/>
      <c r="CA1274" s="123"/>
      <c r="CB1274" s="123"/>
      <c r="CC1274" s="6"/>
      <c r="CD1274" s="123"/>
      <c r="CE1274" s="6"/>
      <c r="CF1274" s="123"/>
      <c r="CG1274" s="6"/>
      <c r="CH1274" s="6"/>
      <c r="CI1274" s="6"/>
      <c r="CJ1274" s="6"/>
      <c r="CK1274" s="123"/>
      <c r="CL1274" s="6"/>
      <c r="CM1274" s="6"/>
      <c r="CN1274" s="6"/>
      <c r="CO1274" s="138"/>
      <c r="CP1274" s="138"/>
      <c r="CQ1274" s="123"/>
      <c r="CR1274" s="6"/>
      <c r="CS1274" s="6"/>
      <c r="CT1274" s="139"/>
      <c r="CU1274" s="139"/>
      <c r="CV1274" s="76"/>
      <c r="CW1274" s="123"/>
      <c r="CX1274" s="6"/>
      <c r="DI1274" s="125"/>
      <c r="DJ1274" s="16"/>
      <c r="DM1274" s="16"/>
      <c r="DN1274" s="16"/>
      <c r="DO1274" s="125"/>
      <c r="DP1274" s="16"/>
      <c r="DQ1274" s="125"/>
      <c r="DZ1274" s="125"/>
      <c r="EA1274" s="142"/>
      <c r="EB1274" s="125"/>
      <c r="EC1274" s="16"/>
      <c r="ED1274" s="125"/>
      <c r="EE1274" s="125"/>
      <c r="EF1274" s="16"/>
      <c r="EG1274" s="125"/>
      <c r="EQ1274" s="125"/>
      <c r="ER1274" s="16"/>
      <c r="ES1274" s="123"/>
      <c r="ET1274" s="19"/>
      <c r="EU1274" s="139"/>
      <c r="EV1274" s="139"/>
      <c r="EW1274" s="123"/>
      <c r="EX1274" s="123"/>
      <c r="EY1274" s="123"/>
      <c r="EZ1274" s="123"/>
      <c r="FA1274" s="123"/>
      <c r="FB1274" s="123"/>
      <c r="FC1274" s="6"/>
      <c r="FD1274" s="123"/>
      <c r="FE1274" s="6"/>
      <c r="FF1274" s="123"/>
      <c r="FG1274" s="6"/>
      <c r="FH1274" s="6"/>
      <c r="FI1274" s="6"/>
      <c r="FJ1274" s="6"/>
      <c r="FK1274" s="123"/>
      <c r="FL1274" s="6"/>
      <c r="FM1274" s="6"/>
      <c r="FN1274" s="6"/>
      <c r="FO1274" s="138"/>
      <c r="FP1274" s="138"/>
      <c r="FQ1274" s="123"/>
      <c r="FR1274" s="6"/>
      <c r="FS1274" s="6"/>
      <c r="FT1274" s="139"/>
      <c r="FU1274" s="139"/>
      <c r="FV1274" s="76"/>
      <c r="FW1274" s="123"/>
      <c r="FX1274" s="6"/>
    </row>
    <row r="1275" spans="35:180">
      <c r="AI1275" s="125"/>
      <c r="AJ1275" s="16"/>
      <c r="AM1275" s="16"/>
      <c r="AN1275" s="16"/>
      <c r="AO1275" s="125"/>
      <c r="AP1275" s="16"/>
      <c r="AQ1275" s="125"/>
      <c r="AZ1275" s="125"/>
      <c r="BA1275" s="142"/>
      <c r="BB1275" s="125"/>
      <c r="BC1275" s="16"/>
      <c r="BD1275" s="125"/>
      <c r="BE1275" s="125"/>
      <c r="BF1275" s="16"/>
      <c r="BG1275" s="125"/>
      <c r="BQ1275" s="125"/>
      <c r="BR1275" s="16"/>
      <c r="BS1275" s="123"/>
      <c r="BT1275" s="19"/>
      <c r="BU1275" s="139"/>
      <c r="BV1275" s="139"/>
      <c r="BW1275" s="123"/>
      <c r="BX1275" s="123"/>
      <c r="BY1275" s="123"/>
      <c r="BZ1275" s="123"/>
      <c r="CA1275" s="123"/>
      <c r="CB1275" s="123"/>
      <c r="CC1275" s="6"/>
      <c r="CD1275" s="123"/>
      <c r="CE1275" s="6"/>
      <c r="CF1275" s="123"/>
      <c r="CG1275" s="6"/>
      <c r="CH1275" s="6"/>
      <c r="CI1275" s="6"/>
      <c r="CJ1275" s="6"/>
      <c r="CK1275" s="123"/>
      <c r="CL1275" s="6"/>
      <c r="CM1275" s="6"/>
      <c r="CN1275" s="6"/>
      <c r="CO1275" s="138"/>
      <c r="CP1275" s="138"/>
      <c r="CQ1275" s="123"/>
      <c r="CR1275" s="6"/>
      <c r="CS1275" s="6"/>
      <c r="CT1275" s="139"/>
      <c r="CU1275" s="139"/>
      <c r="CV1275" s="76"/>
      <c r="CW1275" s="123"/>
      <c r="CX1275" s="6"/>
      <c r="DI1275" s="125"/>
      <c r="DJ1275" s="16"/>
      <c r="DM1275" s="16"/>
      <c r="DN1275" s="16"/>
      <c r="DO1275" s="125"/>
      <c r="DP1275" s="16"/>
      <c r="DQ1275" s="125"/>
      <c r="DZ1275" s="125"/>
      <c r="EA1275" s="142"/>
      <c r="EB1275" s="125"/>
      <c r="EC1275" s="16"/>
      <c r="ED1275" s="125"/>
      <c r="EE1275" s="125"/>
      <c r="EF1275" s="16"/>
      <c r="EG1275" s="125"/>
      <c r="EQ1275" s="125"/>
      <c r="ER1275" s="16"/>
      <c r="ES1275" s="123"/>
      <c r="ET1275" s="19"/>
      <c r="EU1275" s="139"/>
      <c r="EV1275" s="139"/>
      <c r="EW1275" s="123"/>
      <c r="EX1275" s="123"/>
      <c r="EY1275" s="123"/>
      <c r="EZ1275" s="123"/>
      <c r="FA1275" s="123"/>
      <c r="FB1275" s="123"/>
      <c r="FC1275" s="6"/>
      <c r="FD1275" s="123"/>
      <c r="FE1275" s="6"/>
      <c r="FF1275" s="123"/>
      <c r="FG1275" s="6"/>
      <c r="FH1275" s="6"/>
      <c r="FI1275" s="6"/>
      <c r="FJ1275" s="6"/>
      <c r="FK1275" s="123"/>
      <c r="FL1275" s="6"/>
      <c r="FM1275" s="6"/>
      <c r="FN1275" s="6"/>
      <c r="FO1275" s="138"/>
      <c r="FP1275" s="138"/>
      <c r="FQ1275" s="123"/>
      <c r="FR1275" s="6"/>
      <c r="FS1275" s="6"/>
      <c r="FT1275" s="139"/>
      <c r="FU1275" s="139"/>
      <c r="FV1275" s="76"/>
      <c r="FW1275" s="123"/>
      <c r="FX1275" s="6"/>
    </row>
    <row r="1276" spans="35:180">
      <c r="AI1276" s="125"/>
      <c r="AJ1276" s="16"/>
      <c r="AM1276" s="16"/>
      <c r="AN1276" s="16"/>
      <c r="AO1276" s="125"/>
      <c r="AP1276" s="16"/>
      <c r="AQ1276" s="125"/>
      <c r="AZ1276" s="125"/>
      <c r="BA1276" s="142"/>
      <c r="BB1276" s="125"/>
      <c r="BC1276" s="16"/>
      <c r="BD1276" s="125"/>
      <c r="BE1276" s="125"/>
      <c r="BF1276" s="16"/>
      <c r="BG1276" s="125"/>
      <c r="BQ1276" s="125"/>
      <c r="BR1276" s="16"/>
      <c r="BS1276" s="123"/>
      <c r="BT1276" s="19"/>
      <c r="BU1276" s="139"/>
      <c r="BV1276" s="139"/>
      <c r="BW1276" s="123"/>
      <c r="BX1276" s="123"/>
      <c r="BY1276" s="123"/>
      <c r="BZ1276" s="123"/>
      <c r="CA1276" s="123"/>
      <c r="CB1276" s="123"/>
      <c r="CC1276" s="6"/>
      <c r="CD1276" s="123"/>
      <c r="CE1276" s="6"/>
      <c r="CF1276" s="123"/>
      <c r="CG1276" s="6"/>
      <c r="CH1276" s="6"/>
      <c r="CI1276" s="6"/>
      <c r="CJ1276" s="6"/>
      <c r="CK1276" s="123"/>
      <c r="CL1276" s="6"/>
      <c r="CM1276" s="6"/>
      <c r="CN1276" s="6"/>
      <c r="CO1276" s="138"/>
      <c r="CP1276" s="138"/>
      <c r="CQ1276" s="123"/>
      <c r="CR1276" s="6"/>
      <c r="CS1276" s="6"/>
      <c r="CT1276" s="139"/>
      <c r="CU1276" s="139"/>
      <c r="CV1276" s="76"/>
      <c r="CW1276" s="123"/>
      <c r="CX1276" s="6"/>
      <c r="DI1276" s="125"/>
      <c r="DJ1276" s="16"/>
      <c r="DM1276" s="16"/>
      <c r="DN1276" s="16"/>
      <c r="DO1276" s="125"/>
      <c r="DP1276" s="16"/>
      <c r="DQ1276" s="125"/>
      <c r="DZ1276" s="125"/>
      <c r="EA1276" s="142"/>
      <c r="EB1276" s="125"/>
      <c r="EC1276" s="16"/>
      <c r="ED1276" s="125"/>
      <c r="EE1276" s="125"/>
      <c r="EF1276" s="16"/>
      <c r="EG1276" s="125"/>
      <c r="EQ1276" s="125"/>
      <c r="ER1276" s="16"/>
      <c r="ES1276" s="123"/>
      <c r="ET1276" s="19"/>
      <c r="EU1276" s="139"/>
      <c r="EV1276" s="139"/>
      <c r="EW1276" s="123"/>
      <c r="EX1276" s="123"/>
      <c r="EY1276" s="123"/>
      <c r="EZ1276" s="123"/>
      <c r="FA1276" s="123"/>
      <c r="FB1276" s="123"/>
      <c r="FC1276" s="6"/>
      <c r="FD1276" s="123"/>
      <c r="FE1276" s="6"/>
      <c r="FF1276" s="123"/>
      <c r="FG1276" s="6"/>
      <c r="FH1276" s="6"/>
      <c r="FI1276" s="6"/>
      <c r="FJ1276" s="6"/>
      <c r="FK1276" s="123"/>
      <c r="FL1276" s="6"/>
      <c r="FM1276" s="6"/>
      <c r="FN1276" s="6"/>
      <c r="FO1276" s="138"/>
      <c r="FP1276" s="138"/>
      <c r="FQ1276" s="123"/>
      <c r="FR1276" s="6"/>
      <c r="FS1276" s="6"/>
      <c r="FT1276" s="139"/>
      <c r="FU1276" s="139"/>
      <c r="FV1276" s="76"/>
      <c r="FW1276" s="123"/>
      <c r="FX1276" s="6"/>
    </row>
    <row r="1277" spans="35:180">
      <c r="AI1277" s="125"/>
      <c r="AJ1277" s="16"/>
      <c r="AM1277" s="16"/>
      <c r="AN1277" s="16"/>
      <c r="AO1277" s="125"/>
      <c r="AP1277" s="16"/>
      <c r="AQ1277" s="125"/>
      <c r="AZ1277" s="125"/>
      <c r="BA1277" s="142"/>
      <c r="BB1277" s="125"/>
      <c r="BC1277" s="16"/>
      <c r="BD1277" s="125"/>
      <c r="BE1277" s="125"/>
      <c r="BF1277" s="16"/>
      <c r="BG1277" s="125"/>
      <c r="BQ1277" s="125"/>
      <c r="BR1277" s="16"/>
      <c r="BS1277" s="123"/>
      <c r="BT1277" s="19"/>
      <c r="BU1277" s="139"/>
      <c r="BV1277" s="139"/>
      <c r="BW1277" s="123"/>
      <c r="BX1277" s="123"/>
      <c r="BY1277" s="123"/>
      <c r="BZ1277" s="123"/>
      <c r="CA1277" s="123"/>
      <c r="CB1277" s="123"/>
      <c r="CC1277" s="6"/>
      <c r="CD1277" s="123"/>
      <c r="CE1277" s="6"/>
      <c r="CF1277" s="123"/>
      <c r="CG1277" s="6"/>
      <c r="CH1277" s="6"/>
      <c r="CI1277" s="6"/>
      <c r="CJ1277" s="6"/>
      <c r="CK1277" s="123"/>
      <c r="CL1277" s="6"/>
      <c r="CM1277" s="6"/>
      <c r="CN1277" s="6"/>
      <c r="CO1277" s="138"/>
      <c r="CP1277" s="138"/>
      <c r="CQ1277" s="123"/>
      <c r="CR1277" s="6"/>
      <c r="CS1277" s="6"/>
      <c r="CT1277" s="139"/>
      <c r="CU1277" s="139"/>
      <c r="CV1277" s="76"/>
      <c r="CW1277" s="123"/>
      <c r="CX1277" s="6"/>
      <c r="DI1277" s="125"/>
      <c r="DJ1277" s="16"/>
      <c r="DM1277" s="16"/>
      <c r="DN1277" s="16"/>
      <c r="DO1277" s="125"/>
      <c r="DP1277" s="16"/>
      <c r="DQ1277" s="125"/>
      <c r="DZ1277" s="125"/>
      <c r="EA1277" s="142"/>
      <c r="EB1277" s="125"/>
      <c r="EC1277" s="16"/>
      <c r="ED1277" s="125"/>
      <c r="EE1277" s="125"/>
      <c r="EF1277" s="16"/>
      <c r="EG1277" s="125"/>
      <c r="EQ1277" s="125"/>
      <c r="ER1277" s="16"/>
      <c r="ES1277" s="123"/>
      <c r="ET1277" s="19"/>
      <c r="EU1277" s="139"/>
      <c r="EV1277" s="139"/>
      <c r="EW1277" s="123"/>
      <c r="EX1277" s="123"/>
      <c r="EY1277" s="123"/>
      <c r="EZ1277" s="123"/>
      <c r="FA1277" s="123"/>
      <c r="FB1277" s="123"/>
      <c r="FC1277" s="6"/>
      <c r="FD1277" s="123"/>
      <c r="FE1277" s="6"/>
      <c r="FF1277" s="123"/>
      <c r="FG1277" s="6"/>
      <c r="FH1277" s="6"/>
      <c r="FI1277" s="6"/>
      <c r="FJ1277" s="6"/>
      <c r="FK1277" s="123"/>
      <c r="FL1277" s="6"/>
      <c r="FM1277" s="6"/>
      <c r="FN1277" s="6"/>
      <c r="FO1277" s="138"/>
      <c r="FP1277" s="138"/>
      <c r="FQ1277" s="123"/>
      <c r="FR1277" s="6"/>
      <c r="FS1277" s="6"/>
      <c r="FT1277" s="139"/>
      <c r="FU1277" s="139"/>
      <c r="FV1277" s="76"/>
      <c r="FW1277" s="123"/>
      <c r="FX1277" s="6"/>
    </row>
    <row r="1278" spans="35:180">
      <c r="AI1278" s="125"/>
      <c r="AJ1278" s="16"/>
      <c r="AM1278" s="16"/>
      <c r="AN1278" s="16"/>
      <c r="AO1278" s="125"/>
      <c r="AP1278" s="16"/>
      <c r="AQ1278" s="125"/>
      <c r="AZ1278" s="125"/>
      <c r="BA1278" s="142"/>
      <c r="BB1278" s="125"/>
      <c r="BC1278" s="16"/>
      <c r="BD1278" s="125"/>
      <c r="BE1278" s="125"/>
      <c r="BF1278" s="16"/>
      <c r="BG1278" s="125"/>
      <c r="BQ1278" s="125"/>
      <c r="BR1278" s="16"/>
      <c r="BS1278" s="123"/>
      <c r="BT1278" s="19"/>
      <c r="BU1278" s="139"/>
      <c r="BV1278" s="139"/>
      <c r="BW1278" s="123"/>
      <c r="BX1278" s="123"/>
      <c r="BY1278" s="123"/>
      <c r="BZ1278" s="123"/>
      <c r="CA1278" s="123"/>
      <c r="CB1278" s="123"/>
      <c r="CC1278" s="6"/>
      <c r="CD1278" s="123"/>
      <c r="CE1278" s="6"/>
      <c r="CF1278" s="123"/>
      <c r="CG1278" s="6"/>
      <c r="CH1278" s="6"/>
      <c r="CI1278" s="6"/>
      <c r="CJ1278" s="6"/>
      <c r="CK1278" s="123"/>
      <c r="CL1278" s="6"/>
      <c r="CM1278" s="6"/>
      <c r="CN1278" s="6"/>
      <c r="CO1278" s="138"/>
      <c r="CP1278" s="138"/>
      <c r="CQ1278" s="123"/>
      <c r="CR1278" s="6"/>
      <c r="CS1278" s="6"/>
      <c r="CT1278" s="139"/>
      <c r="CU1278" s="139"/>
      <c r="CV1278" s="76"/>
      <c r="CW1278" s="123"/>
      <c r="CX1278" s="6"/>
      <c r="DI1278" s="125"/>
      <c r="DJ1278" s="16"/>
      <c r="DM1278" s="16"/>
      <c r="DN1278" s="16"/>
      <c r="DO1278" s="125"/>
      <c r="DP1278" s="16"/>
      <c r="DQ1278" s="125"/>
      <c r="DZ1278" s="125"/>
      <c r="EA1278" s="142"/>
      <c r="EB1278" s="125"/>
      <c r="EC1278" s="16"/>
      <c r="ED1278" s="125"/>
      <c r="EE1278" s="125"/>
      <c r="EF1278" s="16"/>
      <c r="EG1278" s="125"/>
      <c r="EQ1278" s="125"/>
      <c r="ER1278" s="16"/>
      <c r="ES1278" s="123"/>
      <c r="ET1278" s="19"/>
      <c r="EU1278" s="139"/>
      <c r="EV1278" s="139"/>
      <c r="EW1278" s="123"/>
      <c r="EX1278" s="123"/>
      <c r="EY1278" s="123"/>
      <c r="EZ1278" s="123"/>
      <c r="FA1278" s="123"/>
      <c r="FB1278" s="123"/>
      <c r="FC1278" s="6"/>
      <c r="FD1278" s="123"/>
      <c r="FE1278" s="6"/>
      <c r="FF1278" s="123"/>
      <c r="FG1278" s="6"/>
      <c r="FH1278" s="6"/>
      <c r="FI1278" s="6"/>
      <c r="FJ1278" s="6"/>
      <c r="FK1278" s="123"/>
      <c r="FL1278" s="6"/>
      <c r="FM1278" s="6"/>
      <c r="FN1278" s="6"/>
      <c r="FO1278" s="138"/>
      <c r="FP1278" s="138"/>
      <c r="FQ1278" s="123"/>
      <c r="FR1278" s="6"/>
      <c r="FS1278" s="6"/>
      <c r="FT1278" s="139"/>
      <c r="FU1278" s="139"/>
      <c r="FV1278" s="76"/>
      <c r="FW1278" s="123"/>
      <c r="FX1278" s="6"/>
    </row>
    <row r="1279" spans="35:180">
      <c r="AI1279" s="125"/>
      <c r="AJ1279" s="16"/>
      <c r="AM1279" s="16"/>
      <c r="AN1279" s="16"/>
      <c r="AO1279" s="125"/>
      <c r="AP1279" s="16"/>
      <c r="AQ1279" s="125"/>
      <c r="AZ1279" s="125"/>
      <c r="BA1279" s="142"/>
      <c r="BB1279" s="125"/>
      <c r="BC1279" s="16"/>
      <c r="BD1279" s="125"/>
      <c r="BE1279" s="125"/>
      <c r="BF1279" s="16"/>
      <c r="BG1279" s="125"/>
      <c r="BQ1279" s="125"/>
      <c r="BR1279" s="16"/>
      <c r="BS1279" s="123"/>
      <c r="BT1279" s="19"/>
      <c r="BU1279" s="139"/>
      <c r="BV1279" s="139"/>
      <c r="BW1279" s="123"/>
      <c r="BX1279" s="123"/>
      <c r="BY1279" s="123"/>
      <c r="BZ1279" s="123"/>
      <c r="CA1279" s="123"/>
      <c r="CB1279" s="123"/>
      <c r="CC1279" s="6"/>
      <c r="CD1279" s="123"/>
      <c r="CE1279" s="6"/>
      <c r="CF1279" s="123"/>
      <c r="CG1279" s="6"/>
      <c r="CH1279" s="6"/>
      <c r="CI1279" s="6"/>
      <c r="CJ1279" s="6"/>
      <c r="CK1279" s="123"/>
      <c r="CL1279" s="6"/>
      <c r="CM1279" s="6"/>
      <c r="CN1279" s="6"/>
      <c r="CO1279" s="138"/>
      <c r="CP1279" s="138"/>
      <c r="CQ1279" s="123"/>
      <c r="CR1279" s="6"/>
      <c r="CS1279" s="6"/>
      <c r="CT1279" s="139"/>
      <c r="CU1279" s="139"/>
      <c r="CV1279" s="76"/>
      <c r="CW1279" s="123"/>
      <c r="CX1279" s="6"/>
      <c r="DI1279" s="125"/>
      <c r="DJ1279" s="16"/>
      <c r="DM1279" s="16"/>
      <c r="DN1279" s="16"/>
      <c r="DO1279" s="125"/>
      <c r="DP1279" s="16"/>
      <c r="DQ1279" s="125"/>
      <c r="DZ1279" s="125"/>
      <c r="EA1279" s="142"/>
      <c r="EB1279" s="125"/>
      <c r="EC1279" s="16"/>
      <c r="ED1279" s="125"/>
      <c r="EE1279" s="125"/>
      <c r="EF1279" s="16"/>
      <c r="EG1279" s="125"/>
      <c r="EQ1279" s="125"/>
      <c r="ER1279" s="16"/>
      <c r="ES1279" s="123"/>
      <c r="ET1279" s="19"/>
      <c r="EU1279" s="139"/>
      <c r="EV1279" s="139"/>
      <c r="EW1279" s="123"/>
      <c r="EX1279" s="123"/>
      <c r="EY1279" s="123"/>
      <c r="EZ1279" s="123"/>
      <c r="FA1279" s="123"/>
      <c r="FB1279" s="123"/>
      <c r="FC1279" s="6"/>
      <c r="FD1279" s="123"/>
      <c r="FE1279" s="6"/>
      <c r="FF1279" s="123"/>
      <c r="FG1279" s="6"/>
      <c r="FH1279" s="6"/>
      <c r="FI1279" s="6"/>
      <c r="FJ1279" s="6"/>
      <c r="FK1279" s="123"/>
      <c r="FL1279" s="6"/>
      <c r="FM1279" s="6"/>
      <c r="FN1279" s="6"/>
      <c r="FO1279" s="138"/>
      <c r="FP1279" s="138"/>
      <c r="FQ1279" s="123"/>
      <c r="FR1279" s="6"/>
      <c r="FS1279" s="6"/>
      <c r="FT1279" s="139"/>
      <c r="FU1279" s="139"/>
      <c r="FV1279" s="76"/>
      <c r="FW1279" s="123"/>
      <c r="FX1279" s="6"/>
    </row>
    <row r="1280" spans="35:180">
      <c r="AI1280" s="125"/>
      <c r="AJ1280" s="16"/>
      <c r="AM1280" s="16"/>
      <c r="AN1280" s="16"/>
      <c r="AO1280" s="125"/>
      <c r="AP1280" s="16"/>
      <c r="AQ1280" s="125"/>
      <c r="AZ1280" s="125"/>
      <c r="BA1280" s="142"/>
      <c r="BB1280" s="125"/>
      <c r="BC1280" s="16"/>
      <c r="BD1280" s="125"/>
      <c r="BE1280" s="125"/>
      <c r="BF1280" s="16"/>
      <c r="BG1280" s="125"/>
      <c r="BQ1280" s="125"/>
      <c r="BR1280" s="16"/>
      <c r="BS1280" s="123"/>
      <c r="BT1280" s="19"/>
      <c r="BU1280" s="139"/>
      <c r="BV1280" s="139"/>
      <c r="BW1280" s="123"/>
      <c r="BX1280" s="123"/>
      <c r="BY1280" s="123"/>
      <c r="BZ1280" s="123"/>
      <c r="CA1280" s="123"/>
      <c r="CB1280" s="123"/>
      <c r="CC1280" s="6"/>
      <c r="CD1280" s="123"/>
      <c r="CE1280" s="6"/>
      <c r="CF1280" s="123"/>
      <c r="CG1280" s="6"/>
      <c r="CH1280" s="6"/>
      <c r="CI1280" s="6"/>
      <c r="CJ1280" s="6"/>
      <c r="CK1280" s="123"/>
      <c r="CL1280" s="6"/>
      <c r="CM1280" s="6"/>
      <c r="CN1280" s="6"/>
      <c r="CO1280" s="138"/>
      <c r="CP1280" s="138"/>
      <c r="CQ1280" s="123"/>
      <c r="CR1280" s="6"/>
      <c r="CS1280" s="6"/>
      <c r="CT1280" s="139"/>
      <c r="CU1280" s="139"/>
      <c r="CV1280" s="76"/>
      <c r="CW1280" s="123"/>
      <c r="CX1280" s="6"/>
      <c r="DI1280" s="125"/>
      <c r="DJ1280" s="16"/>
      <c r="DM1280" s="16"/>
      <c r="DN1280" s="16"/>
      <c r="DO1280" s="125"/>
      <c r="DP1280" s="16"/>
      <c r="DQ1280" s="125"/>
      <c r="DZ1280" s="125"/>
      <c r="EA1280" s="142"/>
      <c r="EB1280" s="125"/>
      <c r="EC1280" s="16"/>
      <c r="ED1280" s="125"/>
      <c r="EE1280" s="125"/>
      <c r="EF1280" s="16"/>
      <c r="EG1280" s="125"/>
      <c r="EQ1280" s="125"/>
      <c r="ER1280" s="16"/>
      <c r="ES1280" s="123"/>
      <c r="ET1280" s="19"/>
      <c r="EU1280" s="139"/>
      <c r="EV1280" s="139"/>
      <c r="EW1280" s="123"/>
      <c r="EX1280" s="123"/>
      <c r="EY1280" s="123"/>
      <c r="EZ1280" s="123"/>
      <c r="FA1280" s="123"/>
      <c r="FB1280" s="123"/>
      <c r="FC1280" s="6"/>
      <c r="FD1280" s="123"/>
      <c r="FE1280" s="6"/>
      <c r="FF1280" s="123"/>
      <c r="FG1280" s="6"/>
      <c r="FH1280" s="6"/>
      <c r="FI1280" s="6"/>
      <c r="FJ1280" s="6"/>
      <c r="FK1280" s="123"/>
      <c r="FL1280" s="6"/>
      <c r="FM1280" s="6"/>
      <c r="FN1280" s="6"/>
      <c r="FO1280" s="138"/>
      <c r="FP1280" s="138"/>
      <c r="FQ1280" s="123"/>
      <c r="FR1280" s="6"/>
      <c r="FS1280" s="6"/>
      <c r="FT1280" s="139"/>
      <c r="FU1280" s="139"/>
      <c r="FV1280" s="76"/>
      <c r="FW1280" s="123"/>
      <c r="FX1280" s="6"/>
    </row>
    <row r="1281" spans="35:180">
      <c r="AI1281" s="125"/>
      <c r="AJ1281" s="16"/>
      <c r="AM1281" s="16"/>
      <c r="AN1281" s="16"/>
      <c r="AO1281" s="125"/>
      <c r="AP1281" s="16"/>
      <c r="AQ1281" s="125"/>
      <c r="AZ1281" s="125"/>
      <c r="BA1281" s="142"/>
      <c r="BB1281" s="125"/>
      <c r="BC1281" s="16"/>
      <c r="BD1281" s="125"/>
      <c r="BE1281" s="125"/>
      <c r="BF1281" s="16"/>
      <c r="BG1281" s="125"/>
      <c r="BQ1281" s="125"/>
      <c r="BR1281" s="16"/>
      <c r="BS1281" s="123"/>
      <c r="BT1281" s="19"/>
      <c r="BU1281" s="139"/>
      <c r="BV1281" s="139"/>
      <c r="BW1281" s="123"/>
      <c r="BX1281" s="123"/>
      <c r="BY1281" s="123"/>
      <c r="BZ1281" s="123"/>
      <c r="CA1281" s="123"/>
      <c r="CB1281" s="123"/>
      <c r="CC1281" s="6"/>
      <c r="CD1281" s="123"/>
      <c r="CE1281" s="6"/>
      <c r="CF1281" s="123"/>
      <c r="CG1281" s="6"/>
      <c r="CH1281" s="6"/>
      <c r="CI1281" s="6"/>
      <c r="CJ1281" s="6"/>
      <c r="CK1281" s="123"/>
      <c r="CL1281" s="6"/>
      <c r="CM1281" s="6"/>
      <c r="CN1281" s="6"/>
      <c r="CO1281" s="138"/>
      <c r="CP1281" s="138"/>
      <c r="CQ1281" s="123"/>
      <c r="CR1281" s="6"/>
      <c r="CS1281" s="6"/>
      <c r="CT1281" s="139"/>
      <c r="CU1281" s="139"/>
      <c r="CV1281" s="76"/>
      <c r="CW1281" s="123"/>
      <c r="CX1281" s="6"/>
      <c r="DI1281" s="125"/>
      <c r="DJ1281" s="16"/>
      <c r="DM1281" s="16"/>
      <c r="DN1281" s="16"/>
      <c r="DO1281" s="125"/>
      <c r="DP1281" s="16"/>
      <c r="DQ1281" s="125"/>
      <c r="DZ1281" s="125"/>
      <c r="EA1281" s="142"/>
      <c r="EB1281" s="125"/>
      <c r="EC1281" s="16"/>
      <c r="ED1281" s="125"/>
      <c r="EE1281" s="125"/>
      <c r="EF1281" s="16"/>
      <c r="EG1281" s="125"/>
      <c r="EQ1281" s="125"/>
      <c r="ER1281" s="16"/>
      <c r="ES1281" s="123"/>
      <c r="ET1281" s="19"/>
      <c r="EU1281" s="139"/>
      <c r="EV1281" s="139"/>
      <c r="EW1281" s="123"/>
      <c r="EX1281" s="123"/>
      <c r="EY1281" s="123"/>
      <c r="EZ1281" s="123"/>
      <c r="FA1281" s="123"/>
      <c r="FB1281" s="123"/>
      <c r="FC1281" s="6"/>
      <c r="FD1281" s="123"/>
      <c r="FE1281" s="6"/>
      <c r="FF1281" s="123"/>
      <c r="FG1281" s="6"/>
      <c r="FH1281" s="6"/>
      <c r="FI1281" s="6"/>
      <c r="FJ1281" s="6"/>
      <c r="FK1281" s="123"/>
      <c r="FL1281" s="6"/>
      <c r="FM1281" s="6"/>
      <c r="FN1281" s="6"/>
      <c r="FO1281" s="138"/>
      <c r="FP1281" s="138"/>
      <c r="FQ1281" s="123"/>
      <c r="FR1281" s="6"/>
      <c r="FS1281" s="6"/>
      <c r="FT1281" s="139"/>
      <c r="FU1281" s="139"/>
      <c r="FV1281" s="76"/>
      <c r="FW1281" s="123"/>
      <c r="FX1281" s="6"/>
    </row>
    <row r="1282" spans="35:180">
      <c r="AI1282" s="125"/>
      <c r="AJ1282" s="16"/>
      <c r="AM1282" s="16"/>
      <c r="AN1282" s="16"/>
      <c r="AO1282" s="125"/>
      <c r="AP1282" s="16"/>
      <c r="AQ1282" s="125"/>
      <c r="AZ1282" s="125"/>
      <c r="BA1282" s="142"/>
      <c r="BB1282" s="125"/>
      <c r="BC1282" s="16"/>
      <c r="BD1282" s="125"/>
      <c r="BE1282" s="125"/>
      <c r="BF1282" s="16"/>
      <c r="BG1282" s="125"/>
      <c r="BQ1282" s="125"/>
      <c r="BR1282" s="16"/>
      <c r="BS1282" s="123"/>
      <c r="BT1282" s="19"/>
      <c r="BU1282" s="139"/>
      <c r="BV1282" s="139"/>
      <c r="BW1282" s="123"/>
      <c r="BX1282" s="123"/>
      <c r="BY1282" s="123"/>
      <c r="BZ1282" s="123"/>
      <c r="CA1282" s="123"/>
      <c r="CB1282" s="123"/>
      <c r="CC1282" s="6"/>
      <c r="CD1282" s="123"/>
      <c r="CE1282" s="6"/>
      <c r="CF1282" s="123"/>
      <c r="CG1282" s="6"/>
      <c r="CH1282" s="6"/>
      <c r="CI1282" s="6"/>
      <c r="CJ1282" s="6"/>
      <c r="CK1282" s="123"/>
      <c r="CL1282" s="6"/>
      <c r="CM1282" s="6"/>
      <c r="CN1282" s="6"/>
      <c r="CO1282" s="138"/>
      <c r="CP1282" s="138"/>
      <c r="CQ1282" s="123"/>
      <c r="CR1282" s="6"/>
      <c r="CS1282" s="6"/>
      <c r="CT1282" s="139"/>
      <c r="CU1282" s="139"/>
      <c r="CV1282" s="76"/>
      <c r="CW1282" s="123"/>
      <c r="CX1282" s="6"/>
      <c r="DI1282" s="125"/>
      <c r="DJ1282" s="16"/>
      <c r="DM1282" s="16"/>
      <c r="DN1282" s="16"/>
      <c r="DO1282" s="125"/>
      <c r="DP1282" s="16"/>
      <c r="DQ1282" s="125"/>
      <c r="DZ1282" s="125"/>
      <c r="EA1282" s="142"/>
      <c r="EB1282" s="125"/>
      <c r="EC1282" s="16"/>
      <c r="ED1282" s="125"/>
      <c r="EE1282" s="125"/>
      <c r="EF1282" s="16"/>
      <c r="EG1282" s="125"/>
      <c r="EQ1282" s="125"/>
      <c r="ER1282" s="16"/>
      <c r="ES1282" s="123"/>
      <c r="ET1282" s="19"/>
      <c r="EU1282" s="139"/>
      <c r="EV1282" s="139"/>
      <c r="EW1282" s="123"/>
      <c r="EX1282" s="123"/>
      <c r="EY1282" s="123"/>
      <c r="EZ1282" s="123"/>
      <c r="FA1282" s="123"/>
      <c r="FB1282" s="123"/>
      <c r="FC1282" s="6"/>
      <c r="FD1282" s="123"/>
      <c r="FE1282" s="6"/>
      <c r="FF1282" s="123"/>
      <c r="FG1282" s="6"/>
      <c r="FH1282" s="6"/>
      <c r="FI1282" s="6"/>
      <c r="FJ1282" s="6"/>
      <c r="FK1282" s="123"/>
      <c r="FL1282" s="6"/>
      <c r="FM1282" s="6"/>
      <c r="FN1282" s="6"/>
      <c r="FO1282" s="138"/>
      <c r="FP1282" s="138"/>
      <c r="FQ1282" s="123"/>
      <c r="FR1282" s="6"/>
      <c r="FS1282" s="6"/>
      <c r="FT1282" s="139"/>
      <c r="FU1282" s="139"/>
      <c r="FV1282" s="76"/>
      <c r="FW1282" s="123"/>
      <c r="FX1282" s="6"/>
    </row>
    <row r="1283" spans="35:180">
      <c r="AI1283" s="125"/>
      <c r="AJ1283" s="16"/>
      <c r="AM1283" s="16"/>
      <c r="AN1283" s="16"/>
      <c r="AO1283" s="125"/>
      <c r="AP1283" s="16"/>
      <c r="AQ1283" s="125"/>
      <c r="AZ1283" s="125"/>
      <c r="BA1283" s="142"/>
      <c r="BB1283" s="125"/>
      <c r="BC1283" s="16"/>
      <c r="BD1283" s="125"/>
      <c r="BE1283" s="125"/>
      <c r="BF1283" s="16"/>
      <c r="BG1283" s="125"/>
      <c r="BQ1283" s="125"/>
      <c r="BR1283" s="16"/>
      <c r="BS1283" s="123"/>
      <c r="BT1283" s="19"/>
      <c r="BU1283" s="139"/>
      <c r="BV1283" s="139"/>
      <c r="BW1283" s="123"/>
      <c r="BX1283" s="123"/>
      <c r="BY1283" s="123"/>
      <c r="BZ1283" s="123"/>
      <c r="CA1283" s="123"/>
      <c r="CB1283" s="123"/>
      <c r="CC1283" s="6"/>
      <c r="CD1283" s="123"/>
      <c r="CE1283" s="6"/>
      <c r="CF1283" s="123"/>
      <c r="CG1283" s="6"/>
      <c r="CH1283" s="6"/>
      <c r="CI1283" s="6"/>
      <c r="CJ1283" s="6"/>
      <c r="CK1283" s="123"/>
      <c r="CL1283" s="6"/>
      <c r="CM1283" s="6"/>
      <c r="CN1283" s="6"/>
      <c r="CO1283" s="138"/>
      <c r="CP1283" s="138"/>
      <c r="CQ1283" s="123"/>
      <c r="CR1283" s="6"/>
      <c r="CS1283" s="6"/>
      <c r="CT1283" s="139"/>
      <c r="CU1283" s="139"/>
      <c r="CV1283" s="76"/>
      <c r="CW1283" s="123"/>
      <c r="CX1283" s="6"/>
      <c r="DI1283" s="125"/>
      <c r="DJ1283" s="16"/>
      <c r="DM1283" s="16"/>
      <c r="DN1283" s="16"/>
      <c r="DO1283" s="125"/>
      <c r="DP1283" s="16"/>
      <c r="DQ1283" s="125"/>
      <c r="DZ1283" s="125"/>
      <c r="EA1283" s="142"/>
      <c r="EB1283" s="125"/>
      <c r="EC1283" s="16"/>
      <c r="ED1283" s="125"/>
      <c r="EE1283" s="125"/>
      <c r="EF1283" s="16"/>
      <c r="EG1283" s="125"/>
      <c r="EQ1283" s="125"/>
      <c r="ER1283" s="16"/>
      <c r="ES1283" s="123"/>
      <c r="ET1283" s="19"/>
      <c r="EU1283" s="139"/>
      <c r="EV1283" s="139"/>
      <c r="EW1283" s="123"/>
      <c r="EX1283" s="123"/>
      <c r="EY1283" s="123"/>
      <c r="EZ1283" s="123"/>
      <c r="FA1283" s="123"/>
      <c r="FB1283" s="123"/>
      <c r="FC1283" s="6"/>
      <c r="FD1283" s="123"/>
      <c r="FE1283" s="6"/>
      <c r="FF1283" s="123"/>
      <c r="FG1283" s="6"/>
      <c r="FH1283" s="6"/>
      <c r="FI1283" s="6"/>
      <c r="FJ1283" s="6"/>
      <c r="FK1283" s="123"/>
      <c r="FL1283" s="6"/>
      <c r="FM1283" s="6"/>
      <c r="FN1283" s="6"/>
      <c r="FO1283" s="138"/>
      <c r="FP1283" s="138"/>
      <c r="FQ1283" s="123"/>
      <c r="FR1283" s="6"/>
      <c r="FS1283" s="6"/>
      <c r="FT1283" s="139"/>
      <c r="FU1283" s="139"/>
      <c r="FV1283" s="76"/>
      <c r="FW1283" s="123"/>
      <c r="FX1283" s="6"/>
    </row>
    <row r="1284" spans="35:180">
      <c r="AI1284" s="125"/>
      <c r="AJ1284" s="16"/>
      <c r="AM1284" s="16"/>
      <c r="AN1284" s="16"/>
      <c r="AO1284" s="125"/>
      <c r="AP1284" s="16"/>
      <c r="AQ1284" s="125"/>
      <c r="AZ1284" s="125"/>
      <c r="BA1284" s="142"/>
      <c r="BB1284" s="125"/>
      <c r="BC1284" s="16"/>
      <c r="BD1284" s="125"/>
      <c r="BE1284" s="125"/>
      <c r="BF1284" s="16"/>
      <c r="BG1284" s="125"/>
      <c r="BQ1284" s="125"/>
      <c r="BR1284" s="16"/>
      <c r="BS1284" s="123"/>
      <c r="BT1284" s="19"/>
      <c r="BU1284" s="139"/>
      <c r="BV1284" s="139"/>
      <c r="BW1284" s="123"/>
      <c r="BX1284" s="123"/>
      <c r="BY1284" s="123"/>
      <c r="BZ1284" s="123"/>
      <c r="CA1284" s="123"/>
      <c r="CB1284" s="123"/>
      <c r="CC1284" s="6"/>
      <c r="CD1284" s="123"/>
      <c r="CE1284" s="6"/>
      <c r="CF1284" s="123"/>
      <c r="CG1284" s="6"/>
      <c r="CH1284" s="6"/>
      <c r="CI1284" s="6"/>
      <c r="CJ1284" s="6"/>
      <c r="CK1284" s="123"/>
      <c r="CL1284" s="6"/>
      <c r="CM1284" s="6"/>
      <c r="CN1284" s="6"/>
      <c r="CO1284" s="138"/>
      <c r="CP1284" s="138"/>
      <c r="CQ1284" s="123"/>
      <c r="CR1284" s="6"/>
      <c r="CS1284" s="6"/>
      <c r="CT1284" s="139"/>
      <c r="CU1284" s="139"/>
      <c r="CV1284" s="76"/>
      <c r="CW1284" s="123"/>
      <c r="CX1284" s="6"/>
      <c r="DI1284" s="125"/>
      <c r="DJ1284" s="16"/>
      <c r="DM1284" s="16"/>
      <c r="DN1284" s="16"/>
      <c r="DO1284" s="125"/>
      <c r="DP1284" s="16"/>
      <c r="DQ1284" s="125"/>
      <c r="DZ1284" s="125"/>
      <c r="EA1284" s="142"/>
      <c r="EB1284" s="125"/>
      <c r="EC1284" s="16"/>
      <c r="ED1284" s="125"/>
      <c r="EE1284" s="125"/>
      <c r="EF1284" s="16"/>
      <c r="EG1284" s="125"/>
      <c r="EQ1284" s="125"/>
      <c r="ER1284" s="16"/>
      <c r="ES1284" s="123"/>
      <c r="ET1284" s="19"/>
      <c r="EU1284" s="139"/>
      <c r="EV1284" s="139"/>
      <c r="EW1284" s="123"/>
      <c r="EX1284" s="123"/>
      <c r="EY1284" s="123"/>
      <c r="EZ1284" s="123"/>
      <c r="FA1284" s="123"/>
      <c r="FB1284" s="123"/>
      <c r="FC1284" s="6"/>
      <c r="FD1284" s="123"/>
      <c r="FE1284" s="6"/>
      <c r="FF1284" s="123"/>
      <c r="FG1284" s="6"/>
      <c r="FH1284" s="6"/>
      <c r="FI1284" s="6"/>
      <c r="FJ1284" s="6"/>
      <c r="FK1284" s="123"/>
      <c r="FL1284" s="6"/>
      <c r="FM1284" s="6"/>
      <c r="FN1284" s="6"/>
      <c r="FO1284" s="138"/>
      <c r="FP1284" s="138"/>
      <c r="FQ1284" s="123"/>
      <c r="FR1284" s="6"/>
      <c r="FS1284" s="6"/>
      <c r="FT1284" s="139"/>
      <c r="FU1284" s="139"/>
      <c r="FV1284" s="76"/>
      <c r="FW1284" s="123"/>
      <c r="FX1284" s="6"/>
    </row>
    <row r="1285" spans="35:180">
      <c r="AI1285" s="125"/>
      <c r="AJ1285" s="16"/>
      <c r="AM1285" s="16"/>
      <c r="AN1285" s="16"/>
      <c r="AO1285" s="125"/>
      <c r="AP1285" s="16"/>
      <c r="AQ1285" s="125"/>
      <c r="AZ1285" s="125"/>
      <c r="BA1285" s="142"/>
      <c r="BB1285" s="125"/>
      <c r="BC1285" s="16"/>
      <c r="BD1285" s="125"/>
      <c r="BE1285" s="125"/>
      <c r="BF1285" s="16"/>
      <c r="BG1285" s="125"/>
      <c r="BQ1285" s="125"/>
      <c r="BR1285" s="16"/>
      <c r="BS1285" s="123"/>
      <c r="BT1285" s="19"/>
      <c r="BU1285" s="139"/>
      <c r="BV1285" s="139"/>
      <c r="BW1285" s="123"/>
      <c r="BX1285" s="123"/>
      <c r="BY1285" s="123"/>
      <c r="BZ1285" s="123"/>
      <c r="CA1285" s="123"/>
      <c r="CB1285" s="123"/>
      <c r="CC1285" s="6"/>
      <c r="CD1285" s="123"/>
      <c r="CE1285" s="6"/>
      <c r="CF1285" s="123"/>
      <c r="CG1285" s="6"/>
      <c r="CH1285" s="6"/>
      <c r="CI1285" s="6"/>
      <c r="CJ1285" s="6"/>
      <c r="CK1285" s="123"/>
      <c r="CL1285" s="6"/>
      <c r="CM1285" s="6"/>
      <c r="CN1285" s="6"/>
      <c r="CO1285" s="138"/>
      <c r="CP1285" s="138"/>
      <c r="CQ1285" s="123"/>
      <c r="CR1285" s="6"/>
      <c r="CS1285" s="6"/>
      <c r="CT1285" s="139"/>
      <c r="CU1285" s="139"/>
      <c r="CV1285" s="76"/>
      <c r="CW1285" s="123"/>
      <c r="CX1285" s="6"/>
      <c r="DI1285" s="125"/>
      <c r="DJ1285" s="16"/>
      <c r="DM1285" s="16"/>
      <c r="DN1285" s="16"/>
      <c r="DO1285" s="125"/>
      <c r="DP1285" s="16"/>
      <c r="DQ1285" s="125"/>
      <c r="DZ1285" s="125"/>
      <c r="EA1285" s="142"/>
      <c r="EB1285" s="125"/>
      <c r="EC1285" s="16"/>
      <c r="ED1285" s="125"/>
      <c r="EE1285" s="125"/>
      <c r="EF1285" s="16"/>
      <c r="EG1285" s="125"/>
      <c r="EQ1285" s="125"/>
      <c r="ER1285" s="16"/>
      <c r="ES1285" s="123"/>
      <c r="ET1285" s="19"/>
      <c r="EU1285" s="139"/>
      <c r="EV1285" s="139"/>
      <c r="EW1285" s="123"/>
      <c r="EX1285" s="123"/>
      <c r="EY1285" s="123"/>
      <c r="EZ1285" s="123"/>
      <c r="FA1285" s="123"/>
      <c r="FB1285" s="123"/>
      <c r="FC1285" s="6"/>
      <c r="FD1285" s="123"/>
      <c r="FE1285" s="6"/>
      <c r="FF1285" s="123"/>
      <c r="FG1285" s="6"/>
      <c r="FH1285" s="6"/>
      <c r="FI1285" s="6"/>
      <c r="FJ1285" s="6"/>
      <c r="FK1285" s="123"/>
      <c r="FL1285" s="6"/>
      <c r="FM1285" s="6"/>
      <c r="FN1285" s="6"/>
      <c r="FO1285" s="138"/>
      <c r="FP1285" s="138"/>
      <c r="FQ1285" s="123"/>
      <c r="FR1285" s="6"/>
      <c r="FS1285" s="6"/>
      <c r="FT1285" s="139"/>
      <c r="FU1285" s="139"/>
      <c r="FV1285" s="76"/>
      <c r="FW1285" s="123"/>
      <c r="FX1285" s="6"/>
    </row>
    <row r="1286" spans="35:180">
      <c r="AI1286" s="125"/>
      <c r="AJ1286" s="16"/>
      <c r="AM1286" s="16"/>
      <c r="AN1286" s="16"/>
      <c r="AO1286" s="125"/>
      <c r="AP1286" s="16"/>
      <c r="AQ1286" s="125"/>
      <c r="AZ1286" s="125"/>
      <c r="BA1286" s="142"/>
      <c r="BB1286" s="125"/>
      <c r="BC1286" s="16"/>
      <c r="BD1286" s="125"/>
      <c r="BE1286" s="125"/>
      <c r="BF1286" s="16"/>
      <c r="BG1286" s="125"/>
      <c r="BQ1286" s="125"/>
      <c r="BR1286" s="16"/>
      <c r="BS1286" s="123"/>
      <c r="BT1286" s="19"/>
      <c r="BU1286" s="139"/>
      <c r="BV1286" s="139"/>
      <c r="BW1286" s="123"/>
      <c r="BX1286" s="123"/>
      <c r="BY1286" s="123"/>
      <c r="BZ1286" s="123"/>
      <c r="CA1286" s="123"/>
      <c r="CB1286" s="123"/>
      <c r="CC1286" s="6"/>
      <c r="CD1286" s="123"/>
      <c r="CE1286" s="6"/>
      <c r="CF1286" s="123"/>
      <c r="CG1286" s="6"/>
      <c r="CH1286" s="6"/>
      <c r="CI1286" s="6"/>
      <c r="CJ1286" s="6"/>
      <c r="CK1286" s="123"/>
      <c r="CL1286" s="6"/>
      <c r="CM1286" s="6"/>
      <c r="CN1286" s="6"/>
      <c r="CO1286" s="138"/>
      <c r="CP1286" s="138"/>
      <c r="CQ1286" s="123"/>
      <c r="CR1286" s="6"/>
      <c r="CS1286" s="6"/>
      <c r="CT1286" s="139"/>
      <c r="CU1286" s="139"/>
      <c r="CV1286" s="76"/>
      <c r="CW1286" s="123"/>
      <c r="CX1286" s="6"/>
      <c r="DI1286" s="125"/>
      <c r="DJ1286" s="16"/>
      <c r="DM1286" s="16"/>
      <c r="DN1286" s="16"/>
      <c r="DO1286" s="125"/>
      <c r="DP1286" s="16"/>
      <c r="DQ1286" s="125"/>
      <c r="DZ1286" s="125"/>
      <c r="EA1286" s="142"/>
      <c r="EB1286" s="125"/>
      <c r="EC1286" s="16"/>
      <c r="ED1286" s="125"/>
      <c r="EE1286" s="125"/>
      <c r="EF1286" s="16"/>
      <c r="EG1286" s="125"/>
      <c r="EQ1286" s="125"/>
      <c r="ER1286" s="16"/>
      <c r="ES1286" s="123"/>
      <c r="ET1286" s="19"/>
      <c r="EU1286" s="139"/>
      <c r="EV1286" s="139"/>
      <c r="EW1286" s="123"/>
      <c r="EX1286" s="123"/>
      <c r="EY1286" s="123"/>
      <c r="EZ1286" s="123"/>
      <c r="FA1286" s="123"/>
      <c r="FB1286" s="123"/>
      <c r="FC1286" s="6"/>
      <c r="FD1286" s="123"/>
      <c r="FE1286" s="6"/>
      <c r="FF1286" s="123"/>
      <c r="FG1286" s="6"/>
      <c r="FH1286" s="6"/>
      <c r="FI1286" s="6"/>
      <c r="FJ1286" s="6"/>
      <c r="FK1286" s="123"/>
      <c r="FL1286" s="6"/>
      <c r="FM1286" s="6"/>
      <c r="FN1286" s="6"/>
      <c r="FO1286" s="138"/>
      <c r="FP1286" s="138"/>
      <c r="FQ1286" s="123"/>
      <c r="FR1286" s="6"/>
      <c r="FS1286" s="6"/>
      <c r="FT1286" s="139"/>
      <c r="FU1286" s="139"/>
      <c r="FV1286" s="76"/>
      <c r="FW1286" s="123"/>
      <c r="FX1286" s="6"/>
    </row>
    <row r="1287" spans="35:180">
      <c r="AI1287" s="125"/>
      <c r="AJ1287" s="16"/>
      <c r="AM1287" s="16"/>
      <c r="AN1287" s="16"/>
      <c r="AO1287" s="125"/>
      <c r="AP1287" s="16"/>
      <c r="AQ1287" s="125"/>
      <c r="AZ1287" s="125"/>
      <c r="BA1287" s="142"/>
      <c r="BB1287" s="125"/>
      <c r="BC1287" s="16"/>
      <c r="BD1287" s="125"/>
      <c r="BE1287" s="125"/>
      <c r="BF1287" s="16"/>
      <c r="BG1287" s="125"/>
      <c r="BQ1287" s="125"/>
      <c r="BR1287" s="16"/>
      <c r="BS1287" s="123"/>
      <c r="BT1287" s="19"/>
      <c r="BU1287" s="139"/>
      <c r="BV1287" s="139"/>
      <c r="BW1287" s="123"/>
      <c r="BX1287" s="123"/>
      <c r="BY1287" s="123"/>
      <c r="BZ1287" s="123"/>
      <c r="CA1287" s="123"/>
      <c r="CB1287" s="123"/>
      <c r="CC1287" s="6"/>
      <c r="CD1287" s="123"/>
      <c r="CE1287" s="6"/>
      <c r="CF1287" s="123"/>
      <c r="CG1287" s="6"/>
      <c r="CH1287" s="6"/>
      <c r="CI1287" s="6"/>
      <c r="CJ1287" s="6"/>
      <c r="CK1287" s="123"/>
      <c r="CL1287" s="6"/>
      <c r="CM1287" s="6"/>
      <c r="CN1287" s="6"/>
      <c r="CO1287" s="138"/>
      <c r="CP1287" s="138"/>
      <c r="CQ1287" s="123"/>
      <c r="CR1287" s="6"/>
      <c r="CS1287" s="6"/>
      <c r="CT1287" s="139"/>
      <c r="CU1287" s="139"/>
      <c r="CV1287" s="76"/>
      <c r="CW1287" s="123"/>
      <c r="CX1287" s="6"/>
      <c r="DI1287" s="125"/>
      <c r="DJ1287" s="16"/>
      <c r="DM1287" s="16"/>
      <c r="DN1287" s="16"/>
      <c r="DO1287" s="125"/>
      <c r="DP1287" s="16"/>
      <c r="DQ1287" s="125"/>
      <c r="DZ1287" s="125"/>
      <c r="EA1287" s="142"/>
      <c r="EB1287" s="125"/>
      <c r="EC1287" s="16"/>
      <c r="ED1287" s="125"/>
      <c r="EE1287" s="125"/>
      <c r="EF1287" s="16"/>
      <c r="EG1287" s="125"/>
      <c r="EQ1287" s="125"/>
      <c r="ER1287" s="16"/>
      <c r="ES1287" s="123"/>
      <c r="ET1287" s="19"/>
      <c r="EU1287" s="139"/>
      <c r="EV1287" s="139"/>
      <c r="EW1287" s="123"/>
      <c r="EX1287" s="123"/>
      <c r="EY1287" s="123"/>
      <c r="EZ1287" s="123"/>
      <c r="FA1287" s="123"/>
      <c r="FB1287" s="123"/>
      <c r="FC1287" s="6"/>
      <c r="FD1287" s="123"/>
      <c r="FE1287" s="6"/>
      <c r="FF1287" s="123"/>
      <c r="FG1287" s="6"/>
      <c r="FH1287" s="6"/>
      <c r="FI1287" s="6"/>
      <c r="FJ1287" s="6"/>
      <c r="FK1287" s="123"/>
      <c r="FL1287" s="6"/>
      <c r="FM1287" s="6"/>
      <c r="FN1287" s="6"/>
      <c r="FO1287" s="138"/>
      <c r="FP1287" s="138"/>
      <c r="FQ1287" s="123"/>
      <c r="FR1287" s="6"/>
      <c r="FS1287" s="6"/>
      <c r="FT1287" s="139"/>
      <c r="FU1287" s="139"/>
      <c r="FV1287" s="76"/>
      <c r="FW1287" s="123"/>
      <c r="FX1287" s="6"/>
    </row>
    <row r="1288" spans="35:180">
      <c r="AI1288" s="125"/>
      <c r="AJ1288" s="16"/>
      <c r="AM1288" s="16"/>
      <c r="AN1288" s="16"/>
      <c r="AO1288" s="125"/>
      <c r="AP1288" s="16"/>
      <c r="AQ1288" s="125"/>
      <c r="AZ1288" s="125"/>
      <c r="BA1288" s="142"/>
      <c r="BB1288" s="125"/>
      <c r="BC1288" s="16"/>
      <c r="BD1288" s="125"/>
      <c r="BE1288" s="125"/>
      <c r="BF1288" s="16"/>
      <c r="BG1288" s="125"/>
      <c r="BQ1288" s="125"/>
      <c r="BR1288" s="16"/>
      <c r="BS1288" s="123"/>
      <c r="BT1288" s="19"/>
      <c r="BU1288" s="139"/>
      <c r="BV1288" s="139"/>
      <c r="BW1288" s="123"/>
      <c r="BX1288" s="123"/>
      <c r="BY1288" s="123"/>
      <c r="BZ1288" s="123"/>
      <c r="CA1288" s="123"/>
      <c r="CB1288" s="123"/>
      <c r="CC1288" s="6"/>
      <c r="CD1288" s="123"/>
      <c r="CE1288" s="6"/>
      <c r="CF1288" s="123"/>
      <c r="CG1288" s="6"/>
      <c r="CH1288" s="6"/>
      <c r="CI1288" s="6"/>
      <c r="CJ1288" s="6"/>
      <c r="CK1288" s="123"/>
      <c r="CL1288" s="6"/>
      <c r="CM1288" s="6"/>
      <c r="CN1288" s="6"/>
      <c r="CO1288" s="138"/>
      <c r="CP1288" s="138"/>
      <c r="CQ1288" s="123"/>
      <c r="CR1288" s="6"/>
      <c r="CS1288" s="6"/>
      <c r="CT1288" s="139"/>
      <c r="CU1288" s="139"/>
      <c r="CV1288" s="76"/>
      <c r="CW1288" s="123"/>
      <c r="CX1288" s="6"/>
      <c r="DI1288" s="125"/>
      <c r="DJ1288" s="16"/>
      <c r="DM1288" s="16"/>
      <c r="DN1288" s="16"/>
      <c r="DO1288" s="125"/>
      <c r="DP1288" s="16"/>
      <c r="DQ1288" s="125"/>
      <c r="DZ1288" s="125"/>
      <c r="EA1288" s="142"/>
      <c r="EB1288" s="125"/>
      <c r="EC1288" s="16"/>
      <c r="ED1288" s="125"/>
      <c r="EE1288" s="125"/>
      <c r="EF1288" s="16"/>
      <c r="EG1288" s="125"/>
      <c r="EQ1288" s="125"/>
      <c r="ER1288" s="16"/>
      <c r="ES1288" s="123"/>
      <c r="ET1288" s="19"/>
      <c r="EU1288" s="139"/>
      <c r="EV1288" s="139"/>
      <c r="EW1288" s="123"/>
      <c r="EX1288" s="123"/>
      <c r="EY1288" s="123"/>
      <c r="EZ1288" s="123"/>
      <c r="FA1288" s="123"/>
      <c r="FB1288" s="123"/>
      <c r="FC1288" s="6"/>
      <c r="FD1288" s="123"/>
      <c r="FE1288" s="6"/>
      <c r="FF1288" s="123"/>
      <c r="FG1288" s="6"/>
      <c r="FH1288" s="6"/>
      <c r="FI1288" s="6"/>
      <c r="FJ1288" s="6"/>
      <c r="FK1288" s="123"/>
      <c r="FL1288" s="6"/>
      <c r="FM1288" s="6"/>
      <c r="FN1288" s="6"/>
      <c r="FO1288" s="138"/>
      <c r="FP1288" s="138"/>
      <c r="FQ1288" s="123"/>
      <c r="FR1288" s="6"/>
      <c r="FS1288" s="6"/>
      <c r="FT1288" s="139"/>
      <c r="FU1288" s="139"/>
      <c r="FV1288" s="76"/>
      <c r="FW1288" s="123"/>
      <c r="FX1288" s="6"/>
    </row>
    <row r="1289" spans="35:180">
      <c r="AI1289" s="125"/>
      <c r="AJ1289" s="16"/>
      <c r="AM1289" s="16"/>
      <c r="AN1289" s="16"/>
      <c r="AO1289" s="125"/>
      <c r="AP1289" s="16"/>
      <c r="AQ1289" s="125"/>
      <c r="AZ1289" s="125"/>
      <c r="BA1289" s="142"/>
      <c r="BB1289" s="125"/>
      <c r="BC1289" s="16"/>
      <c r="BD1289" s="125"/>
      <c r="BE1289" s="125"/>
      <c r="BF1289" s="16"/>
      <c r="BG1289" s="125"/>
      <c r="BQ1289" s="125"/>
      <c r="BR1289" s="16"/>
      <c r="BS1289" s="123"/>
      <c r="BT1289" s="19"/>
      <c r="BU1289" s="139"/>
      <c r="BV1289" s="139"/>
      <c r="BW1289" s="123"/>
      <c r="BX1289" s="123"/>
      <c r="BY1289" s="123"/>
      <c r="BZ1289" s="123"/>
      <c r="CA1289" s="123"/>
      <c r="CB1289" s="123"/>
      <c r="CC1289" s="6"/>
      <c r="CD1289" s="123"/>
      <c r="CE1289" s="6"/>
      <c r="CF1289" s="123"/>
      <c r="CG1289" s="6"/>
      <c r="CH1289" s="6"/>
      <c r="CI1289" s="6"/>
      <c r="CJ1289" s="6"/>
      <c r="CK1289" s="123"/>
      <c r="CL1289" s="6"/>
      <c r="CM1289" s="6"/>
      <c r="CN1289" s="6"/>
      <c r="CO1289" s="138"/>
      <c r="CP1289" s="138"/>
      <c r="CQ1289" s="123"/>
      <c r="CR1289" s="6"/>
      <c r="CS1289" s="6"/>
      <c r="CT1289" s="139"/>
      <c r="CU1289" s="139"/>
      <c r="CV1289" s="76"/>
      <c r="CW1289" s="123"/>
      <c r="CX1289" s="6"/>
      <c r="DI1289" s="125"/>
      <c r="DJ1289" s="16"/>
      <c r="DM1289" s="16"/>
      <c r="DN1289" s="16"/>
      <c r="DO1289" s="125"/>
      <c r="DP1289" s="16"/>
      <c r="DQ1289" s="125"/>
      <c r="DZ1289" s="125"/>
      <c r="EA1289" s="142"/>
      <c r="EB1289" s="125"/>
      <c r="EC1289" s="16"/>
      <c r="ED1289" s="125"/>
      <c r="EE1289" s="125"/>
      <c r="EF1289" s="16"/>
      <c r="EG1289" s="125"/>
      <c r="EQ1289" s="125"/>
      <c r="ER1289" s="16"/>
      <c r="ES1289" s="123"/>
      <c r="ET1289" s="19"/>
      <c r="EU1289" s="139"/>
      <c r="EV1289" s="139"/>
      <c r="EW1289" s="123"/>
      <c r="EX1289" s="123"/>
      <c r="EY1289" s="123"/>
      <c r="EZ1289" s="123"/>
      <c r="FA1289" s="123"/>
      <c r="FB1289" s="123"/>
      <c r="FC1289" s="6"/>
      <c r="FD1289" s="123"/>
      <c r="FE1289" s="6"/>
      <c r="FF1289" s="123"/>
      <c r="FG1289" s="6"/>
      <c r="FH1289" s="6"/>
      <c r="FI1289" s="6"/>
      <c r="FJ1289" s="6"/>
      <c r="FK1289" s="123"/>
      <c r="FL1289" s="6"/>
      <c r="FM1289" s="6"/>
      <c r="FN1289" s="6"/>
      <c r="FO1289" s="138"/>
      <c r="FP1289" s="138"/>
      <c r="FQ1289" s="123"/>
      <c r="FR1289" s="6"/>
      <c r="FS1289" s="6"/>
      <c r="FT1289" s="139"/>
      <c r="FU1289" s="139"/>
      <c r="FV1289" s="76"/>
      <c r="FW1289" s="123"/>
      <c r="FX1289" s="6"/>
    </row>
    <row r="1290" spans="35:180">
      <c r="AI1290" s="125"/>
      <c r="AJ1290" s="16"/>
      <c r="AM1290" s="16"/>
      <c r="AN1290" s="16"/>
      <c r="AO1290" s="125"/>
      <c r="AP1290" s="16"/>
      <c r="AQ1290" s="125"/>
      <c r="AZ1290" s="125"/>
      <c r="BA1290" s="142"/>
      <c r="BB1290" s="125"/>
      <c r="BC1290" s="16"/>
      <c r="BD1290" s="125"/>
      <c r="BE1290" s="125"/>
      <c r="BF1290" s="16"/>
      <c r="BG1290" s="125"/>
      <c r="BQ1290" s="125"/>
      <c r="BR1290" s="16"/>
      <c r="BS1290" s="123"/>
      <c r="BT1290" s="19"/>
      <c r="BU1290" s="139"/>
      <c r="BV1290" s="139"/>
      <c r="BW1290" s="123"/>
      <c r="BX1290" s="123"/>
      <c r="BY1290" s="123"/>
      <c r="BZ1290" s="123"/>
      <c r="CA1290" s="123"/>
      <c r="CB1290" s="123"/>
      <c r="CC1290" s="6"/>
      <c r="CD1290" s="123"/>
      <c r="CE1290" s="6"/>
      <c r="CF1290" s="123"/>
      <c r="CG1290" s="6"/>
      <c r="CH1290" s="6"/>
      <c r="CI1290" s="6"/>
      <c r="CJ1290" s="6"/>
      <c r="CK1290" s="123"/>
      <c r="CL1290" s="6"/>
      <c r="CM1290" s="6"/>
      <c r="CN1290" s="6"/>
      <c r="CO1290" s="138"/>
      <c r="CP1290" s="138"/>
      <c r="CQ1290" s="123"/>
      <c r="CR1290" s="6"/>
      <c r="CS1290" s="6"/>
      <c r="CT1290" s="139"/>
      <c r="CU1290" s="139"/>
      <c r="CV1290" s="76"/>
      <c r="CW1290" s="123"/>
      <c r="CX1290" s="6"/>
      <c r="DI1290" s="125"/>
      <c r="DJ1290" s="16"/>
      <c r="DM1290" s="16"/>
      <c r="DN1290" s="16"/>
      <c r="DO1290" s="125"/>
      <c r="DP1290" s="16"/>
      <c r="DQ1290" s="125"/>
      <c r="DZ1290" s="125"/>
      <c r="EA1290" s="142"/>
      <c r="EB1290" s="125"/>
      <c r="EC1290" s="16"/>
      <c r="ED1290" s="125"/>
      <c r="EE1290" s="125"/>
      <c r="EF1290" s="16"/>
      <c r="EG1290" s="125"/>
      <c r="EQ1290" s="125"/>
      <c r="ER1290" s="16"/>
      <c r="ES1290" s="123"/>
      <c r="ET1290" s="19"/>
      <c r="EU1290" s="139"/>
      <c r="EV1290" s="139"/>
      <c r="EW1290" s="123"/>
      <c r="EX1290" s="123"/>
      <c r="EY1290" s="123"/>
      <c r="EZ1290" s="123"/>
      <c r="FA1290" s="123"/>
      <c r="FB1290" s="123"/>
      <c r="FC1290" s="6"/>
      <c r="FD1290" s="123"/>
      <c r="FE1290" s="6"/>
      <c r="FF1290" s="123"/>
      <c r="FG1290" s="6"/>
      <c r="FH1290" s="6"/>
      <c r="FI1290" s="6"/>
      <c r="FJ1290" s="6"/>
      <c r="FK1290" s="123"/>
      <c r="FL1290" s="6"/>
      <c r="FM1290" s="6"/>
      <c r="FN1290" s="6"/>
      <c r="FO1290" s="138"/>
      <c r="FP1290" s="138"/>
      <c r="FQ1290" s="123"/>
      <c r="FR1290" s="6"/>
      <c r="FS1290" s="6"/>
      <c r="FT1290" s="139"/>
      <c r="FU1290" s="139"/>
      <c r="FV1290" s="76"/>
      <c r="FW1290" s="123"/>
      <c r="FX1290" s="6"/>
    </row>
    <row r="1291" spans="35:180">
      <c r="AI1291" s="125"/>
      <c r="AJ1291" s="16"/>
      <c r="AM1291" s="16"/>
      <c r="AN1291" s="16"/>
      <c r="AO1291" s="125"/>
      <c r="AP1291" s="16"/>
      <c r="AQ1291" s="125"/>
      <c r="AZ1291" s="125"/>
      <c r="BA1291" s="142"/>
      <c r="BB1291" s="125"/>
      <c r="BC1291" s="16"/>
      <c r="BD1291" s="125"/>
      <c r="BE1291" s="125"/>
      <c r="BF1291" s="16"/>
      <c r="BG1291" s="125"/>
      <c r="BQ1291" s="125"/>
      <c r="BR1291" s="16"/>
      <c r="BS1291" s="123"/>
      <c r="BT1291" s="19"/>
      <c r="BU1291" s="139"/>
      <c r="BV1291" s="139"/>
      <c r="BW1291" s="123"/>
      <c r="BX1291" s="123"/>
      <c r="BY1291" s="123"/>
      <c r="BZ1291" s="123"/>
      <c r="CA1291" s="123"/>
      <c r="CB1291" s="123"/>
      <c r="CC1291" s="6"/>
      <c r="CD1291" s="123"/>
      <c r="CE1291" s="6"/>
      <c r="CF1291" s="123"/>
      <c r="CG1291" s="6"/>
      <c r="CH1291" s="6"/>
      <c r="CI1291" s="6"/>
      <c r="CJ1291" s="6"/>
      <c r="CK1291" s="123"/>
      <c r="CL1291" s="6"/>
      <c r="CM1291" s="6"/>
      <c r="CN1291" s="6"/>
      <c r="CO1291" s="138"/>
      <c r="CP1291" s="138"/>
      <c r="CQ1291" s="123"/>
      <c r="CR1291" s="6"/>
      <c r="CS1291" s="6"/>
      <c r="CT1291" s="139"/>
      <c r="CU1291" s="139"/>
      <c r="CV1291" s="76"/>
      <c r="CW1291" s="123"/>
      <c r="CX1291" s="6"/>
      <c r="DI1291" s="125"/>
      <c r="DJ1291" s="16"/>
      <c r="DM1291" s="16"/>
      <c r="DN1291" s="16"/>
      <c r="DO1291" s="125"/>
      <c r="DP1291" s="16"/>
      <c r="DQ1291" s="125"/>
      <c r="DZ1291" s="125"/>
      <c r="EA1291" s="142"/>
      <c r="EB1291" s="125"/>
      <c r="EC1291" s="16"/>
      <c r="ED1291" s="125"/>
      <c r="EE1291" s="125"/>
      <c r="EF1291" s="16"/>
      <c r="EG1291" s="125"/>
      <c r="EQ1291" s="125"/>
      <c r="ER1291" s="16"/>
      <c r="ES1291" s="123"/>
      <c r="ET1291" s="19"/>
      <c r="EU1291" s="139"/>
      <c r="EV1291" s="139"/>
      <c r="EW1291" s="123"/>
      <c r="EX1291" s="123"/>
      <c r="EY1291" s="123"/>
      <c r="EZ1291" s="123"/>
      <c r="FA1291" s="123"/>
      <c r="FB1291" s="123"/>
      <c r="FC1291" s="6"/>
      <c r="FD1291" s="123"/>
      <c r="FE1291" s="6"/>
      <c r="FF1291" s="123"/>
      <c r="FG1291" s="6"/>
      <c r="FH1291" s="6"/>
      <c r="FI1291" s="6"/>
      <c r="FJ1291" s="6"/>
      <c r="FK1291" s="123"/>
      <c r="FL1291" s="6"/>
      <c r="FM1291" s="6"/>
      <c r="FN1291" s="6"/>
      <c r="FO1291" s="138"/>
      <c r="FP1291" s="138"/>
      <c r="FQ1291" s="123"/>
      <c r="FR1291" s="6"/>
      <c r="FS1291" s="6"/>
      <c r="FT1291" s="139"/>
      <c r="FU1291" s="139"/>
      <c r="FV1291" s="76"/>
      <c r="FW1291" s="123"/>
      <c r="FX1291" s="6"/>
    </row>
    <row r="1292" spans="35:180">
      <c r="AI1292" s="125"/>
      <c r="AJ1292" s="16"/>
      <c r="AM1292" s="16"/>
      <c r="AN1292" s="16"/>
      <c r="AO1292" s="125"/>
      <c r="AP1292" s="16"/>
      <c r="AQ1292" s="125"/>
      <c r="AZ1292" s="125"/>
      <c r="BA1292" s="142"/>
      <c r="BB1292" s="125"/>
      <c r="BC1292" s="16"/>
      <c r="BD1292" s="125"/>
      <c r="BE1292" s="125"/>
      <c r="BF1292" s="16"/>
      <c r="BG1292" s="125"/>
      <c r="BQ1292" s="125"/>
      <c r="BR1292" s="16"/>
      <c r="BS1292" s="123"/>
      <c r="BT1292" s="19"/>
      <c r="BU1292" s="139"/>
      <c r="BV1292" s="139"/>
      <c r="BW1292" s="123"/>
      <c r="BX1292" s="123"/>
      <c r="BY1292" s="123"/>
      <c r="BZ1292" s="123"/>
      <c r="CA1292" s="123"/>
      <c r="CB1292" s="123"/>
      <c r="CC1292" s="6"/>
      <c r="CD1292" s="123"/>
      <c r="CE1292" s="6"/>
      <c r="CF1292" s="123"/>
      <c r="CG1292" s="6"/>
      <c r="CH1292" s="6"/>
      <c r="CI1292" s="6"/>
      <c r="CJ1292" s="6"/>
      <c r="CK1292" s="123"/>
      <c r="CL1292" s="6"/>
      <c r="CM1292" s="6"/>
      <c r="CN1292" s="6"/>
      <c r="CO1292" s="138"/>
      <c r="CP1292" s="138"/>
      <c r="CQ1292" s="123"/>
      <c r="CR1292" s="6"/>
      <c r="CS1292" s="6"/>
      <c r="CT1292" s="139"/>
      <c r="CU1292" s="139"/>
      <c r="CV1292" s="76"/>
      <c r="CW1292" s="123"/>
      <c r="CX1292" s="6"/>
      <c r="DI1292" s="125"/>
      <c r="DJ1292" s="16"/>
      <c r="DM1292" s="16"/>
      <c r="DN1292" s="16"/>
      <c r="DO1292" s="125"/>
      <c r="DP1292" s="16"/>
      <c r="DQ1292" s="125"/>
      <c r="DZ1292" s="125"/>
      <c r="EA1292" s="142"/>
      <c r="EB1292" s="125"/>
      <c r="EC1292" s="16"/>
      <c r="ED1292" s="125"/>
      <c r="EE1292" s="125"/>
      <c r="EF1292" s="16"/>
      <c r="EG1292" s="125"/>
      <c r="EQ1292" s="125"/>
      <c r="ER1292" s="16"/>
      <c r="ES1292" s="123"/>
      <c r="ET1292" s="19"/>
      <c r="EU1292" s="139"/>
      <c r="EV1292" s="139"/>
      <c r="EW1292" s="123"/>
      <c r="EX1292" s="123"/>
      <c r="EY1292" s="123"/>
      <c r="EZ1292" s="123"/>
      <c r="FA1292" s="123"/>
      <c r="FB1292" s="123"/>
      <c r="FC1292" s="6"/>
      <c r="FD1292" s="123"/>
      <c r="FE1292" s="6"/>
      <c r="FF1292" s="123"/>
      <c r="FG1292" s="6"/>
      <c r="FH1292" s="6"/>
      <c r="FI1292" s="6"/>
      <c r="FJ1292" s="6"/>
      <c r="FK1292" s="123"/>
      <c r="FL1292" s="6"/>
      <c r="FM1292" s="6"/>
      <c r="FN1292" s="6"/>
      <c r="FO1292" s="138"/>
      <c r="FP1292" s="138"/>
      <c r="FQ1292" s="123"/>
      <c r="FR1292" s="6"/>
      <c r="FS1292" s="6"/>
      <c r="FT1292" s="139"/>
      <c r="FU1292" s="139"/>
      <c r="FV1292" s="76"/>
      <c r="FW1292" s="123"/>
      <c r="FX1292" s="6"/>
    </row>
    <row r="1293" spans="35:180">
      <c r="AI1293" s="125"/>
      <c r="AJ1293" s="16"/>
      <c r="AM1293" s="16"/>
      <c r="AN1293" s="16"/>
      <c r="AO1293" s="125"/>
      <c r="AP1293" s="16"/>
      <c r="AQ1293" s="125"/>
      <c r="AZ1293" s="125"/>
      <c r="BA1293" s="142"/>
      <c r="BB1293" s="125"/>
      <c r="BC1293" s="16"/>
      <c r="BD1293" s="125"/>
      <c r="BE1293" s="125"/>
      <c r="BF1293" s="16"/>
      <c r="BG1293" s="125"/>
      <c r="BQ1293" s="125"/>
      <c r="BR1293" s="16"/>
      <c r="BS1293" s="123"/>
      <c r="BT1293" s="19"/>
      <c r="BU1293" s="139"/>
      <c r="BV1293" s="139"/>
      <c r="BW1293" s="123"/>
      <c r="BX1293" s="123"/>
      <c r="BY1293" s="123"/>
      <c r="BZ1293" s="123"/>
      <c r="CA1293" s="123"/>
      <c r="CB1293" s="123"/>
      <c r="CC1293" s="6"/>
      <c r="CD1293" s="123"/>
      <c r="CE1293" s="6"/>
      <c r="CF1293" s="123"/>
      <c r="CG1293" s="6"/>
      <c r="CH1293" s="6"/>
      <c r="CI1293" s="6"/>
      <c r="CJ1293" s="6"/>
      <c r="CK1293" s="123"/>
      <c r="CL1293" s="6"/>
      <c r="CM1293" s="6"/>
      <c r="CN1293" s="6"/>
      <c r="CO1293" s="138"/>
      <c r="CP1293" s="138"/>
      <c r="CQ1293" s="123"/>
      <c r="CR1293" s="6"/>
      <c r="CS1293" s="6"/>
      <c r="CT1293" s="139"/>
      <c r="CU1293" s="139"/>
      <c r="CV1293" s="76"/>
      <c r="CW1293" s="123"/>
      <c r="CX1293" s="6"/>
      <c r="DI1293" s="125"/>
      <c r="DJ1293" s="16"/>
      <c r="DM1293" s="16"/>
      <c r="DN1293" s="16"/>
      <c r="DO1293" s="125"/>
      <c r="DP1293" s="16"/>
      <c r="DQ1293" s="125"/>
      <c r="DZ1293" s="125"/>
      <c r="EA1293" s="142"/>
      <c r="EB1293" s="125"/>
      <c r="EC1293" s="16"/>
      <c r="ED1293" s="125"/>
      <c r="EE1293" s="125"/>
      <c r="EF1293" s="16"/>
      <c r="EG1293" s="125"/>
      <c r="EQ1293" s="125"/>
      <c r="ER1293" s="16"/>
      <c r="ES1293" s="123"/>
      <c r="ET1293" s="19"/>
      <c r="EU1293" s="139"/>
      <c r="EV1293" s="139"/>
      <c r="EW1293" s="123"/>
      <c r="EX1293" s="123"/>
      <c r="EY1293" s="123"/>
      <c r="EZ1293" s="123"/>
      <c r="FA1293" s="123"/>
      <c r="FB1293" s="123"/>
      <c r="FC1293" s="6"/>
      <c r="FD1293" s="123"/>
      <c r="FE1293" s="6"/>
      <c r="FF1293" s="123"/>
      <c r="FG1293" s="6"/>
      <c r="FH1293" s="6"/>
      <c r="FI1293" s="6"/>
      <c r="FJ1293" s="6"/>
      <c r="FK1293" s="123"/>
      <c r="FL1293" s="6"/>
      <c r="FM1293" s="6"/>
      <c r="FN1293" s="6"/>
      <c r="FO1293" s="138"/>
      <c r="FP1293" s="138"/>
      <c r="FQ1293" s="123"/>
      <c r="FR1293" s="6"/>
      <c r="FS1293" s="6"/>
      <c r="FT1293" s="139"/>
      <c r="FU1293" s="139"/>
      <c r="FV1293" s="76"/>
      <c r="FW1293" s="123"/>
      <c r="FX1293" s="6"/>
    </row>
    <row r="1294" spans="35:180">
      <c r="AI1294" s="125"/>
      <c r="AJ1294" s="16"/>
      <c r="AM1294" s="16"/>
      <c r="AN1294" s="16"/>
      <c r="AO1294" s="125"/>
      <c r="AP1294" s="16"/>
      <c r="AQ1294" s="125"/>
      <c r="AZ1294" s="125"/>
      <c r="BA1294" s="142"/>
      <c r="BB1294" s="125"/>
      <c r="BC1294" s="16"/>
      <c r="BD1294" s="125"/>
      <c r="BE1294" s="125"/>
      <c r="BF1294" s="16"/>
      <c r="BG1294" s="125"/>
      <c r="BQ1294" s="125"/>
      <c r="BR1294" s="16"/>
      <c r="BS1294" s="123"/>
      <c r="BT1294" s="19"/>
      <c r="BU1294" s="139"/>
      <c r="BV1294" s="139"/>
      <c r="BW1294" s="123"/>
      <c r="BX1294" s="123"/>
      <c r="BY1294" s="123"/>
      <c r="BZ1294" s="123"/>
      <c r="CA1294" s="123"/>
      <c r="CB1294" s="123"/>
      <c r="CC1294" s="6"/>
      <c r="CD1294" s="123"/>
      <c r="CE1294" s="6"/>
      <c r="CF1294" s="123"/>
      <c r="CG1294" s="6"/>
      <c r="CH1294" s="6"/>
      <c r="CI1294" s="6"/>
      <c r="CJ1294" s="6"/>
      <c r="CK1294" s="123"/>
      <c r="CL1294" s="6"/>
      <c r="CM1294" s="6"/>
      <c r="CN1294" s="6"/>
      <c r="CO1294" s="138"/>
      <c r="CP1294" s="138"/>
      <c r="CQ1294" s="123"/>
      <c r="CR1294" s="6"/>
      <c r="CS1294" s="6"/>
      <c r="CT1294" s="139"/>
      <c r="CU1294" s="139"/>
      <c r="CV1294" s="76"/>
      <c r="CW1294" s="123"/>
      <c r="CX1294" s="6"/>
      <c r="DI1294" s="125"/>
      <c r="DJ1294" s="16"/>
      <c r="DM1294" s="16"/>
      <c r="DN1294" s="16"/>
      <c r="DO1294" s="125"/>
      <c r="DP1294" s="16"/>
      <c r="DQ1294" s="125"/>
      <c r="DZ1294" s="125"/>
      <c r="EA1294" s="142"/>
      <c r="EB1294" s="125"/>
      <c r="EC1294" s="16"/>
      <c r="ED1294" s="125"/>
      <c r="EE1294" s="125"/>
      <c r="EF1294" s="16"/>
      <c r="EG1294" s="125"/>
      <c r="EQ1294" s="125"/>
      <c r="ER1294" s="16"/>
      <c r="ES1294" s="123"/>
      <c r="ET1294" s="19"/>
      <c r="EU1294" s="139"/>
      <c r="EV1294" s="139"/>
      <c r="EW1294" s="123"/>
      <c r="EX1294" s="123"/>
      <c r="EY1294" s="123"/>
      <c r="EZ1294" s="123"/>
      <c r="FA1294" s="123"/>
      <c r="FB1294" s="123"/>
      <c r="FC1294" s="6"/>
      <c r="FD1294" s="123"/>
      <c r="FE1294" s="6"/>
      <c r="FF1294" s="123"/>
      <c r="FG1294" s="6"/>
      <c r="FH1294" s="6"/>
      <c r="FI1294" s="6"/>
      <c r="FJ1294" s="6"/>
      <c r="FK1294" s="123"/>
      <c r="FL1294" s="6"/>
      <c r="FM1294" s="6"/>
      <c r="FN1294" s="6"/>
      <c r="FO1294" s="138"/>
      <c r="FP1294" s="138"/>
      <c r="FQ1294" s="123"/>
      <c r="FR1294" s="6"/>
      <c r="FS1294" s="6"/>
      <c r="FT1294" s="139"/>
      <c r="FU1294" s="139"/>
      <c r="FV1294" s="76"/>
      <c r="FW1294" s="123"/>
      <c r="FX1294" s="6"/>
    </row>
    <row r="1295" spans="35:180">
      <c r="AI1295" s="125"/>
      <c r="AJ1295" s="16"/>
      <c r="AM1295" s="16"/>
      <c r="AN1295" s="16"/>
      <c r="AO1295" s="125"/>
      <c r="AP1295" s="16"/>
      <c r="AQ1295" s="125"/>
      <c r="AZ1295" s="125"/>
      <c r="BA1295" s="142"/>
      <c r="BB1295" s="125"/>
      <c r="BC1295" s="16"/>
      <c r="BD1295" s="125"/>
      <c r="BE1295" s="125"/>
      <c r="BF1295" s="16"/>
      <c r="BG1295" s="125"/>
      <c r="BQ1295" s="125"/>
      <c r="BR1295" s="16"/>
      <c r="BS1295" s="123"/>
      <c r="BT1295" s="19"/>
      <c r="BU1295" s="139"/>
      <c r="BV1295" s="139"/>
      <c r="BW1295" s="123"/>
      <c r="BX1295" s="123"/>
      <c r="BY1295" s="123"/>
      <c r="BZ1295" s="123"/>
      <c r="CA1295" s="123"/>
      <c r="CB1295" s="123"/>
      <c r="CC1295" s="6"/>
      <c r="CD1295" s="123"/>
      <c r="CE1295" s="6"/>
      <c r="CF1295" s="123"/>
      <c r="CG1295" s="6"/>
      <c r="CH1295" s="6"/>
      <c r="CI1295" s="6"/>
      <c r="CJ1295" s="6"/>
      <c r="CK1295" s="123"/>
      <c r="CL1295" s="6"/>
      <c r="CM1295" s="6"/>
      <c r="CN1295" s="6"/>
      <c r="CO1295" s="138"/>
      <c r="CP1295" s="138"/>
      <c r="CQ1295" s="123"/>
      <c r="CR1295" s="6"/>
      <c r="CS1295" s="6"/>
      <c r="CT1295" s="139"/>
      <c r="CU1295" s="139"/>
      <c r="CV1295" s="76"/>
      <c r="CW1295" s="123"/>
      <c r="CX1295" s="6"/>
      <c r="DI1295" s="125"/>
      <c r="DJ1295" s="16"/>
      <c r="DM1295" s="16"/>
      <c r="DN1295" s="16"/>
      <c r="DO1295" s="125"/>
      <c r="DP1295" s="16"/>
      <c r="DQ1295" s="125"/>
      <c r="DZ1295" s="125"/>
      <c r="EA1295" s="142"/>
      <c r="EB1295" s="125"/>
      <c r="EC1295" s="16"/>
      <c r="ED1295" s="125"/>
      <c r="EE1295" s="125"/>
      <c r="EF1295" s="16"/>
      <c r="EG1295" s="125"/>
      <c r="EQ1295" s="125"/>
      <c r="ER1295" s="16"/>
      <c r="ES1295" s="123"/>
      <c r="ET1295" s="19"/>
      <c r="EU1295" s="139"/>
      <c r="EV1295" s="139"/>
      <c r="EW1295" s="123"/>
      <c r="EX1295" s="123"/>
      <c r="EY1295" s="123"/>
      <c r="EZ1295" s="123"/>
      <c r="FA1295" s="123"/>
      <c r="FB1295" s="123"/>
      <c r="FC1295" s="6"/>
      <c r="FD1295" s="123"/>
      <c r="FE1295" s="6"/>
      <c r="FF1295" s="123"/>
      <c r="FG1295" s="6"/>
      <c r="FH1295" s="6"/>
      <c r="FI1295" s="6"/>
      <c r="FJ1295" s="6"/>
      <c r="FK1295" s="123"/>
      <c r="FL1295" s="6"/>
      <c r="FM1295" s="6"/>
      <c r="FN1295" s="6"/>
      <c r="FO1295" s="138"/>
      <c r="FP1295" s="138"/>
      <c r="FQ1295" s="123"/>
      <c r="FR1295" s="6"/>
      <c r="FS1295" s="6"/>
      <c r="FT1295" s="139"/>
      <c r="FU1295" s="139"/>
      <c r="FV1295" s="76"/>
      <c r="FW1295" s="123"/>
      <c r="FX1295" s="6"/>
    </row>
    <row r="1296" spans="35:180">
      <c r="AI1296" s="125"/>
      <c r="AJ1296" s="16"/>
      <c r="AM1296" s="16"/>
      <c r="AN1296" s="16"/>
      <c r="AO1296" s="125"/>
      <c r="AP1296" s="16"/>
      <c r="AQ1296" s="125"/>
      <c r="AZ1296" s="125"/>
      <c r="BA1296" s="142"/>
      <c r="BB1296" s="125"/>
      <c r="BC1296" s="16"/>
      <c r="BD1296" s="125"/>
      <c r="BE1296" s="125"/>
      <c r="BF1296" s="16"/>
      <c r="BG1296" s="125"/>
      <c r="BQ1296" s="125"/>
      <c r="BR1296" s="16"/>
      <c r="BS1296" s="123"/>
      <c r="BT1296" s="19"/>
      <c r="BU1296" s="139"/>
      <c r="BV1296" s="139"/>
      <c r="BW1296" s="123"/>
      <c r="BX1296" s="123"/>
      <c r="BY1296" s="123"/>
      <c r="BZ1296" s="123"/>
      <c r="CA1296" s="123"/>
      <c r="CB1296" s="123"/>
      <c r="CC1296" s="6"/>
      <c r="CD1296" s="123"/>
      <c r="CE1296" s="6"/>
      <c r="CF1296" s="123"/>
      <c r="CG1296" s="6"/>
      <c r="CH1296" s="6"/>
      <c r="CI1296" s="6"/>
      <c r="CJ1296" s="6"/>
      <c r="CK1296" s="123"/>
      <c r="CL1296" s="6"/>
      <c r="CM1296" s="6"/>
      <c r="CN1296" s="6"/>
      <c r="CO1296" s="138"/>
      <c r="CP1296" s="138"/>
      <c r="CQ1296" s="123"/>
      <c r="CR1296" s="6"/>
      <c r="CS1296" s="6"/>
      <c r="CT1296" s="139"/>
      <c r="CU1296" s="139"/>
      <c r="CV1296" s="76"/>
      <c r="CW1296" s="123"/>
      <c r="CX1296" s="6"/>
      <c r="DI1296" s="125"/>
      <c r="DJ1296" s="16"/>
      <c r="DM1296" s="16"/>
      <c r="DN1296" s="16"/>
      <c r="DO1296" s="125"/>
      <c r="DP1296" s="16"/>
      <c r="DQ1296" s="125"/>
      <c r="DZ1296" s="125"/>
      <c r="EA1296" s="142"/>
      <c r="EB1296" s="125"/>
      <c r="EC1296" s="16"/>
      <c r="ED1296" s="125"/>
      <c r="EE1296" s="125"/>
      <c r="EF1296" s="16"/>
      <c r="EG1296" s="125"/>
      <c r="EQ1296" s="125"/>
      <c r="ER1296" s="16"/>
      <c r="ES1296" s="123"/>
      <c r="ET1296" s="19"/>
      <c r="EU1296" s="139"/>
      <c r="EV1296" s="139"/>
      <c r="EW1296" s="123"/>
      <c r="EX1296" s="123"/>
      <c r="EY1296" s="123"/>
      <c r="EZ1296" s="123"/>
      <c r="FA1296" s="123"/>
      <c r="FB1296" s="123"/>
      <c r="FC1296" s="6"/>
      <c r="FD1296" s="123"/>
      <c r="FE1296" s="6"/>
      <c r="FF1296" s="123"/>
      <c r="FG1296" s="6"/>
      <c r="FH1296" s="6"/>
      <c r="FI1296" s="6"/>
      <c r="FJ1296" s="6"/>
      <c r="FK1296" s="123"/>
      <c r="FL1296" s="6"/>
      <c r="FM1296" s="6"/>
      <c r="FN1296" s="6"/>
      <c r="FO1296" s="138"/>
      <c r="FP1296" s="138"/>
      <c r="FQ1296" s="123"/>
      <c r="FR1296" s="6"/>
      <c r="FS1296" s="6"/>
      <c r="FT1296" s="139"/>
      <c r="FU1296" s="139"/>
      <c r="FV1296" s="76"/>
      <c r="FW1296" s="123"/>
      <c r="FX1296" s="6"/>
    </row>
    <row r="1297" spans="35:180">
      <c r="AI1297" s="125"/>
      <c r="AJ1297" s="16"/>
      <c r="AM1297" s="16"/>
      <c r="AN1297" s="16"/>
      <c r="AO1297" s="125"/>
      <c r="AP1297" s="16"/>
      <c r="AQ1297" s="125"/>
      <c r="AZ1297" s="125"/>
      <c r="BA1297" s="142"/>
      <c r="BB1297" s="125"/>
      <c r="BC1297" s="16"/>
      <c r="BD1297" s="125"/>
      <c r="BE1297" s="125"/>
      <c r="BF1297" s="16"/>
      <c r="BG1297" s="125"/>
      <c r="BQ1297" s="125"/>
      <c r="BR1297" s="16"/>
      <c r="BS1297" s="123"/>
      <c r="BT1297" s="19"/>
      <c r="BU1297" s="139"/>
      <c r="BV1297" s="139"/>
      <c r="BW1297" s="123"/>
      <c r="BX1297" s="123"/>
      <c r="BY1297" s="123"/>
      <c r="BZ1297" s="123"/>
      <c r="CA1297" s="123"/>
      <c r="CB1297" s="123"/>
      <c r="CC1297" s="6"/>
      <c r="CD1297" s="123"/>
      <c r="CE1297" s="6"/>
      <c r="CF1297" s="123"/>
      <c r="CG1297" s="6"/>
      <c r="CH1297" s="6"/>
      <c r="CI1297" s="6"/>
      <c r="CJ1297" s="6"/>
      <c r="CK1297" s="123"/>
      <c r="CL1297" s="6"/>
      <c r="CM1297" s="6"/>
      <c r="CN1297" s="6"/>
      <c r="CO1297" s="138"/>
      <c r="CP1297" s="138"/>
      <c r="CQ1297" s="123"/>
      <c r="CR1297" s="6"/>
      <c r="CS1297" s="6"/>
      <c r="CT1297" s="139"/>
      <c r="CU1297" s="139"/>
      <c r="CV1297" s="76"/>
      <c r="CW1297" s="123"/>
      <c r="CX1297" s="6"/>
      <c r="DI1297" s="125"/>
      <c r="DJ1297" s="16"/>
      <c r="DM1297" s="16"/>
      <c r="DN1297" s="16"/>
      <c r="DO1297" s="125"/>
      <c r="DP1297" s="16"/>
      <c r="DQ1297" s="125"/>
      <c r="DZ1297" s="125"/>
      <c r="EA1297" s="142"/>
      <c r="EB1297" s="125"/>
      <c r="EC1297" s="16"/>
      <c r="ED1297" s="125"/>
      <c r="EE1297" s="125"/>
      <c r="EF1297" s="16"/>
      <c r="EG1297" s="125"/>
      <c r="EQ1297" s="125"/>
      <c r="ER1297" s="16"/>
      <c r="ES1297" s="123"/>
      <c r="ET1297" s="19"/>
      <c r="EU1297" s="139"/>
      <c r="EV1297" s="139"/>
      <c r="EW1297" s="123"/>
      <c r="EX1297" s="123"/>
      <c r="EY1297" s="123"/>
      <c r="EZ1297" s="123"/>
      <c r="FA1297" s="123"/>
      <c r="FB1297" s="123"/>
      <c r="FC1297" s="6"/>
      <c r="FD1297" s="123"/>
      <c r="FE1297" s="6"/>
      <c r="FF1297" s="123"/>
      <c r="FG1297" s="6"/>
      <c r="FH1297" s="6"/>
      <c r="FI1297" s="6"/>
      <c r="FJ1297" s="6"/>
      <c r="FK1297" s="123"/>
      <c r="FL1297" s="6"/>
      <c r="FM1297" s="6"/>
      <c r="FN1297" s="6"/>
      <c r="FO1297" s="138"/>
      <c r="FP1297" s="138"/>
      <c r="FQ1297" s="123"/>
      <c r="FR1297" s="6"/>
      <c r="FS1297" s="6"/>
      <c r="FT1297" s="139"/>
      <c r="FU1297" s="139"/>
      <c r="FV1297" s="76"/>
      <c r="FW1297" s="123"/>
      <c r="FX1297" s="6"/>
    </row>
    <row r="1298" spans="35:180">
      <c r="AI1298" s="125"/>
      <c r="AJ1298" s="16"/>
      <c r="AM1298" s="16"/>
      <c r="AN1298" s="16"/>
      <c r="AO1298" s="125"/>
      <c r="AP1298" s="16"/>
      <c r="AQ1298" s="125"/>
      <c r="AZ1298" s="125"/>
      <c r="BA1298" s="142"/>
      <c r="BB1298" s="125"/>
      <c r="BC1298" s="16"/>
      <c r="BD1298" s="125"/>
      <c r="BE1298" s="125"/>
      <c r="BF1298" s="16"/>
      <c r="BG1298" s="125"/>
      <c r="BQ1298" s="125"/>
      <c r="BR1298" s="16"/>
      <c r="BS1298" s="123"/>
      <c r="BT1298" s="19"/>
      <c r="BU1298" s="139"/>
      <c r="BV1298" s="139"/>
      <c r="BW1298" s="123"/>
      <c r="BX1298" s="123"/>
      <c r="BY1298" s="123"/>
      <c r="BZ1298" s="123"/>
      <c r="CA1298" s="123"/>
      <c r="CB1298" s="123"/>
      <c r="CC1298" s="6"/>
      <c r="CD1298" s="123"/>
      <c r="CE1298" s="6"/>
      <c r="CF1298" s="123"/>
      <c r="CG1298" s="6"/>
      <c r="CH1298" s="6"/>
      <c r="CI1298" s="6"/>
      <c r="CJ1298" s="6"/>
      <c r="CK1298" s="123"/>
      <c r="CL1298" s="6"/>
      <c r="CM1298" s="6"/>
      <c r="CN1298" s="6"/>
      <c r="CO1298" s="138"/>
      <c r="CP1298" s="138"/>
      <c r="CQ1298" s="123"/>
      <c r="CR1298" s="6"/>
      <c r="CS1298" s="6"/>
      <c r="CT1298" s="139"/>
      <c r="CU1298" s="139"/>
      <c r="CV1298" s="76"/>
      <c r="CW1298" s="123"/>
      <c r="CX1298" s="6"/>
      <c r="DI1298" s="125"/>
      <c r="DJ1298" s="16"/>
      <c r="DM1298" s="16"/>
      <c r="DN1298" s="16"/>
      <c r="DO1298" s="125"/>
      <c r="DP1298" s="16"/>
      <c r="DQ1298" s="125"/>
      <c r="DZ1298" s="125"/>
      <c r="EA1298" s="142"/>
      <c r="EB1298" s="125"/>
      <c r="EC1298" s="16"/>
      <c r="ED1298" s="125"/>
      <c r="EE1298" s="125"/>
      <c r="EF1298" s="16"/>
      <c r="EG1298" s="125"/>
      <c r="EQ1298" s="125"/>
      <c r="ER1298" s="16"/>
      <c r="ES1298" s="123"/>
      <c r="ET1298" s="19"/>
      <c r="EU1298" s="139"/>
      <c r="EV1298" s="139"/>
      <c r="EW1298" s="123"/>
      <c r="EX1298" s="123"/>
      <c r="EY1298" s="123"/>
      <c r="EZ1298" s="123"/>
      <c r="FA1298" s="123"/>
      <c r="FB1298" s="123"/>
      <c r="FC1298" s="6"/>
      <c r="FD1298" s="123"/>
      <c r="FE1298" s="6"/>
      <c r="FF1298" s="123"/>
      <c r="FG1298" s="6"/>
      <c r="FH1298" s="6"/>
      <c r="FI1298" s="6"/>
      <c r="FJ1298" s="6"/>
      <c r="FK1298" s="123"/>
      <c r="FL1298" s="6"/>
      <c r="FM1298" s="6"/>
      <c r="FN1298" s="6"/>
      <c r="FO1298" s="138"/>
      <c r="FP1298" s="138"/>
      <c r="FQ1298" s="123"/>
      <c r="FR1298" s="6"/>
      <c r="FS1298" s="6"/>
      <c r="FT1298" s="139"/>
      <c r="FU1298" s="139"/>
      <c r="FV1298" s="76"/>
      <c r="FW1298" s="123"/>
      <c r="FX1298" s="6"/>
    </row>
    <row r="1299" spans="35:180">
      <c r="AI1299" s="125"/>
      <c r="AJ1299" s="16"/>
      <c r="AM1299" s="16"/>
      <c r="AN1299" s="16"/>
      <c r="AO1299" s="125"/>
      <c r="AP1299" s="16"/>
      <c r="AQ1299" s="125"/>
      <c r="AZ1299" s="125"/>
      <c r="BA1299" s="142"/>
      <c r="BB1299" s="125"/>
      <c r="BC1299" s="16"/>
      <c r="BD1299" s="125"/>
      <c r="BE1299" s="125"/>
      <c r="BF1299" s="16"/>
      <c r="BG1299" s="125"/>
      <c r="BQ1299" s="125"/>
      <c r="BR1299" s="16"/>
      <c r="BS1299" s="123"/>
      <c r="BT1299" s="19"/>
      <c r="BU1299" s="139"/>
      <c r="BV1299" s="139"/>
      <c r="BW1299" s="123"/>
      <c r="BX1299" s="123"/>
      <c r="BY1299" s="123"/>
      <c r="BZ1299" s="123"/>
      <c r="CA1299" s="123"/>
      <c r="CB1299" s="123"/>
      <c r="CC1299" s="6"/>
      <c r="CD1299" s="123"/>
      <c r="CE1299" s="6"/>
      <c r="CF1299" s="123"/>
      <c r="CG1299" s="6"/>
      <c r="CH1299" s="6"/>
      <c r="CI1299" s="6"/>
      <c r="CJ1299" s="6"/>
      <c r="CK1299" s="123"/>
      <c r="CL1299" s="6"/>
      <c r="CM1299" s="6"/>
      <c r="CN1299" s="6"/>
      <c r="CO1299" s="138"/>
      <c r="CP1299" s="138"/>
      <c r="CQ1299" s="123"/>
      <c r="CR1299" s="6"/>
      <c r="CS1299" s="6"/>
      <c r="CT1299" s="139"/>
      <c r="CU1299" s="139"/>
      <c r="CV1299" s="76"/>
      <c r="CW1299" s="123"/>
      <c r="CX1299" s="6"/>
      <c r="DI1299" s="125"/>
      <c r="DJ1299" s="16"/>
      <c r="DM1299" s="16"/>
      <c r="DN1299" s="16"/>
      <c r="DO1299" s="125"/>
      <c r="DP1299" s="16"/>
      <c r="DQ1299" s="125"/>
      <c r="DZ1299" s="125"/>
      <c r="EA1299" s="142"/>
      <c r="EB1299" s="125"/>
      <c r="EC1299" s="16"/>
      <c r="ED1299" s="125"/>
      <c r="EE1299" s="125"/>
      <c r="EF1299" s="16"/>
      <c r="EG1299" s="125"/>
      <c r="EQ1299" s="125"/>
      <c r="ER1299" s="16"/>
      <c r="ES1299" s="123"/>
      <c r="ET1299" s="19"/>
      <c r="EU1299" s="139"/>
      <c r="EV1299" s="139"/>
      <c r="EW1299" s="123"/>
      <c r="EX1299" s="123"/>
      <c r="EY1299" s="123"/>
      <c r="EZ1299" s="123"/>
      <c r="FA1299" s="123"/>
      <c r="FB1299" s="123"/>
      <c r="FC1299" s="6"/>
      <c r="FD1299" s="123"/>
      <c r="FE1299" s="6"/>
      <c r="FF1299" s="123"/>
      <c r="FG1299" s="6"/>
      <c r="FH1299" s="6"/>
      <c r="FI1299" s="6"/>
      <c r="FJ1299" s="6"/>
      <c r="FK1299" s="123"/>
      <c r="FL1299" s="6"/>
      <c r="FM1299" s="6"/>
      <c r="FN1299" s="6"/>
      <c r="FO1299" s="138"/>
      <c r="FP1299" s="138"/>
      <c r="FQ1299" s="123"/>
      <c r="FR1299" s="6"/>
      <c r="FS1299" s="6"/>
      <c r="FT1299" s="139"/>
      <c r="FU1299" s="139"/>
      <c r="FV1299" s="76"/>
      <c r="FW1299" s="123"/>
      <c r="FX1299" s="6"/>
    </row>
    <row r="1300" spans="35:180">
      <c r="AI1300" s="125"/>
      <c r="AJ1300" s="16"/>
      <c r="AM1300" s="16"/>
      <c r="AN1300" s="16"/>
      <c r="AO1300" s="125"/>
      <c r="AP1300" s="16"/>
      <c r="AQ1300" s="125"/>
      <c r="AZ1300" s="125"/>
      <c r="BA1300" s="142"/>
      <c r="BB1300" s="125"/>
      <c r="BC1300" s="16"/>
      <c r="BD1300" s="125"/>
      <c r="BE1300" s="125"/>
      <c r="BF1300" s="16"/>
      <c r="BG1300" s="125"/>
      <c r="BQ1300" s="125"/>
      <c r="BR1300" s="16"/>
      <c r="BS1300" s="123"/>
      <c r="BT1300" s="19"/>
      <c r="BU1300" s="139"/>
      <c r="BV1300" s="139"/>
      <c r="BW1300" s="123"/>
      <c r="BX1300" s="123"/>
      <c r="BY1300" s="123"/>
      <c r="BZ1300" s="123"/>
      <c r="CA1300" s="123"/>
      <c r="CB1300" s="123"/>
      <c r="CC1300" s="6"/>
      <c r="CD1300" s="123"/>
      <c r="CE1300" s="6"/>
      <c r="CF1300" s="123"/>
      <c r="CG1300" s="6"/>
      <c r="CH1300" s="6"/>
      <c r="CI1300" s="6"/>
      <c r="CJ1300" s="6"/>
      <c r="CK1300" s="123"/>
      <c r="CL1300" s="6"/>
      <c r="CM1300" s="6"/>
      <c r="CN1300" s="6"/>
      <c r="CO1300" s="138"/>
      <c r="CP1300" s="138"/>
      <c r="CQ1300" s="123"/>
      <c r="CR1300" s="6"/>
      <c r="CS1300" s="6"/>
      <c r="CT1300" s="139"/>
      <c r="CU1300" s="139"/>
      <c r="CV1300" s="76"/>
      <c r="CW1300" s="123"/>
      <c r="CX1300" s="6"/>
      <c r="DI1300" s="125"/>
      <c r="DJ1300" s="16"/>
      <c r="DM1300" s="16"/>
      <c r="DN1300" s="16"/>
      <c r="DO1300" s="125"/>
      <c r="DP1300" s="16"/>
      <c r="DQ1300" s="125"/>
      <c r="DZ1300" s="125"/>
      <c r="EA1300" s="142"/>
      <c r="EB1300" s="125"/>
      <c r="EC1300" s="16"/>
      <c r="ED1300" s="125"/>
      <c r="EE1300" s="125"/>
      <c r="EF1300" s="16"/>
      <c r="EG1300" s="125"/>
      <c r="EQ1300" s="125"/>
      <c r="ER1300" s="16"/>
      <c r="ES1300" s="123"/>
      <c r="ET1300" s="19"/>
      <c r="EU1300" s="139"/>
      <c r="EV1300" s="139"/>
      <c r="EW1300" s="123"/>
      <c r="EX1300" s="123"/>
      <c r="EY1300" s="123"/>
      <c r="EZ1300" s="123"/>
      <c r="FA1300" s="123"/>
      <c r="FB1300" s="123"/>
      <c r="FC1300" s="6"/>
      <c r="FD1300" s="123"/>
      <c r="FE1300" s="6"/>
      <c r="FF1300" s="123"/>
      <c r="FG1300" s="6"/>
      <c r="FH1300" s="6"/>
      <c r="FI1300" s="6"/>
      <c r="FJ1300" s="6"/>
      <c r="FK1300" s="123"/>
      <c r="FL1300" s="6"/>
      <c r="FM1300" s="6"/>
      <c r="FN1300" s="6"/>
      <c r="FO1300" s="138"/>
      <c r="FP1300" s="138"/>
      <c r="FQ1300" s="123"/>
      <c r="FR1300" s="6"/>
      <c r="FS1300" s="6"/>
      <c r="FT1300" s="139"/>
      <c r="FU1300" s="139"/>
      <c r="FV1300" s="76"/>
      <c r="FW1300" s="123"/>
      <c r="FX1300" s="6"/>
    </row>
    <row r="1301" spans="35:180">
      <c r="AI1301" s="125"/>
      <c r="AJ1301" s="16"/>
      <c r="AM1301" s="16"/>
      <c r="AN1301" s="16"/>
      <c r="AO1301" s="125"/>
      <c r="AP1301" s="16"/>
      <c r="AQ1301" s="125"/>
      <c r="AZ1301" s="125"/>
      <c r="BA1301" s="142"/>
      <c r="BB1301" s="125"/>
      <c r="BC1301" s="16"/>
      <c r="BD1301" s="125"/>
      <c r="BE1301" s="125"/>
      <c r="BF1301" s="16"/>
      <c r="BG1301" s="125"/>
      <c r="BQ1301" s="125"/>
      <c r="BR1301" s="16"/>
      <c r="BS1301" s="123"/>
      <c r="BT1301" s="19"/>
      <c r="BU1301" s="139"/>
      <c r="BV1301" s="139"/>
      <c r="BW1301" s="123"/>
      <c r="BX1301" s="123"/>
      <c r="BY1301" s="123"/>
      <c r="BZ1301" s="123"/>
      <c r="CA1301" s="123"/>
      <c r="CB1301" s="123"/>
      <c r="CC1301" s="6"/>
      <c r="CD1301" s="123"/>
      <c r="CE1301" s="6"/>
      <c r="CF1301" s="123"/>
      <c r="CG1301" s="6"/>
      <c r="CH1301" s="6"/>
      <c r="CI1301" s="6"/>
      <c r="CJ1301" s="6"/>
      <c r="CK1301" s="123"/>
      <c r="CL1301" s="6"/>
      <c r="CM1301" s="6"/>
      <c r="CN1301" s="6"/>
      <c r="CO1301" s="138"/>
      <c r="CP1301" s="138"/>
      <c r="CQ1301" s="123"/>
      <c r="CR1301" s="6"/>
      <c r="CS1301" s="6"/>
      <c r="CT1301" s="139"/>
      <c r="CU1301" s="139"/>
      <c r="CV1301" s="76"/>
      <c r="CW1301" s="123"/>
      <c r="CX1301" s="6"/>
      <c r="DI1301" s="125"/>
      <c r="DJ1301" s="16"/>
      <c r="DM1301" s="16"/>
      <c r="DN1301" s="16"/>
      <c r="DO1301" s="125"/>
      <c r="DP1301" s="16"/>
      <c r="DQ1301" s="125"/>
      <c r="DZ1301" s="125"/>
      <c r="EA1301" s="142"/>
      <c r="EB1301" s="125"/>
      <c r="EC1301" s="16"/>
      <c r="ED1301" s="125"/>
      <c r="EE1301" s="125"/>
      <c r="EF1301" s="16"/>
      <c r="EG1301" s="125"/>
      <c r="EQ1301" s="125"/>
      <c r="ER1301" s="16"/>
      <c r="ES1301" s="123"/>
      <c r="ET1301" s="19"/>
      <c r="EU1301" s="139"/>
      <c r="EV1301" s="139"/>
      <c r="EW1301" s="123"/>
      <c r="EX1301" s="123"/>
      <c r="EY1301" s="123"/>
      <c r="EZ1301" s="123"/>
      <c r="FA1301" s="123"/>
      <c r="FB1301" s="123"/>
      <c r="FC1301" s="6"/>
      <c r="FD1301" s="123"/>
      <c r="FE1301" s="6"/>
      <c r="FF1301" s="123"/>
      <c r="FG1301" s="6"/>
      <c r="FH1301" s="6"/>
      <c r="FI1301" s="6"/>
      <c r="FJ1301" s="6"/>
      <c r="FK1301" s="123"/>
      <c r="FL1301" s="6"/>
      <c r="FM1301" s="6"/>
      <c r="FN1301" s="6"/>
      <c r="FO1301" s="138"/>
      <c r="FP1301" s="138"/>
      <c r="FQ1301" s="123"/>
      <c r="FR1301" s="6"/>
      <c r="FS1301" s="6"/>
      <c r="FT1301" s="139"/>
      <c r="FU1301" s="139"/>
      <c r="FV1301" s="76"/>
      <c r="FW1301" s="123"/>
      <c r="FX1301" s="6"/>
    </row>
    <row r="1302" spans="35:180">
      <c r="AI1302" s="125"/>
      <c r="AJ1302" s="16"/>
      <c r="AM1302" s="16"/>
      <c r="AN1302" s="16"/>
      <c r="AO1302" s="125"/>
      <c r="AP1302" s="16"/>
      <c r="AQ1302" s="125"/>
      <c r="AZ1302" s="125"/>
      <c r="BA1302" s="142"/>
      <c r="BB1302" s="125"/>
      <c r="BC1302" s="16"/>
      <c r="BD1302" s="125"/>
      <c r="BE1302" s="125"/>
      <c r="BF1302" s="16"/>
      <c r="BG1302" s="125"/>
      <c r="BQ1302" s="125"/>
      <c r="BR1302" s="16"/>
      <c r="BS1302" s="123"/>
      <c r="BT1302" s="19"/>
      <c r="BU1302" s="139"/>
      <c r="BV1302" s="139"/>
      <c r="BW1302" s="123"/>
      <c r="BX1302" s="123"/>
      <c r="BY1302" s="123"/>
      <c r="BZ1302" s="123"/>
      <c r="CA1302" s="123"/>
      <c r="CB1302" s="123"/>
      <c r="CC1302" s="6"/>
      <c r="CD1302" s="123"/>
      <c r="CE1302" s="6"/>
      <c r="CF1302" s="123"/>
      <c r="CG1302" s="6"/>
      <c r="CH1302" s="6"/>
      <c r="CI1302" s="6"/>
      <c r="CJ1302" s="6"/>
      <c r="CK1302" s="123"/>
      <c r="CL1302" s="6"/>
      <c r="CM1302" s="6"/>
      <c r="CN1302" s="6"/>
      <c r="CO1302" s="138"/>
      <c r="CP1302" s="138"/>
      <c r="CQ1302" s="123"/>
      <c r="CR1302" s="6"/>
      <c r="CS1302" s="6"/>
      <c r="CT1302" s="139"/>
      <c r="CU1302" s="139"/>
      <c r="CV1302" s="76"/>
      <c r="CW1302" s="123"/>
      <c r="CX1302" s="6"/>
      <c r="DI1302" s="125"/>
      <c r="DJ1302" s="16"/>
      <c r="DM1302" s="16"/>
      <c r="DN1302" s="16"/>
      <c r="DO1302" s="125"/>
      <c r="DP1302" s="16"/>
      <c r="DQ1302" s="125"/>
      <c r="DZ1302" s="125"/>
      <c r="EA1302" s="142"/>
      <c r="EB1302" s="125"/>
      <c r="EC1302" s="16"/>
      <c r="ED1302" s="125"/>
      <c r="EE1302" s="125"/>
      <c r="EF1302" s="16"/>
      <c r="EG1302" s="125"/>
      <c r="EQ1302" s="125"/>
      <c r="ER1302" s="16"/>
      <c r="ES1302" s="123"/>
      <c r="ET1302" s="19"/>
      <c r="EU1302" s="139"/>
      <c r="EV1302" s="139"/>
      <c r="EW1302" s="123"/>
      <c r="EX1302" s="123"/>
      <c r="EY1302" s="123"/>
      <c r="EZ1302" s="123"/>
      <c r="FA1302" s="123"/>
      <c r="FB1302" s="123"/>
      <c r="FC1302" s="6"/>
      <c r="FD1302" s="123"/>
      <c r="FE1302" s="6"/>
      <c r="FF1302" s="123"/>
      <c r="FG1302" s="6"/>
      <c r="FH1302" s="6"/>
      <c r="FI1302" s="6"/>
      <c r="FJ1302" s="6"/>
      <c r="FK1302" s="123"/>
      <c r="FL1302" s="6"/>
      <c r="FM1302" s="6"/>
      <c r="FN1302" s="6"/>
      <c r="FO1302" s="138"/>
      <c r="FP1302" s="138"/>
      <c r="FQ1302" s="123"/>
      <c r="FR1302" s="6"/>
      <c r="FS1302" s="6"/>
      <c r="FT1302" s="139"/>
      <c r="FU1302" s="139"/>
      <c r="FV1302" s="76"/>
      <c r="FW1302" s="123"/>
      <c r="FX1302" s="6"/>
    </row>
    <row r="1303" spans="35:180">
      <c r="AI1303" s="125"/>
      <c r="AJ1303" s="16"/>
      <c r="AM1303" s="16"/>
      <c r="AN1303" s="16"/>
      <c r="AO1303" s="125"/>
      <c r="AP1303" s="16"/>
      <c r="AQ1303" s="125"/>
      <c r="AZ1303" s="125"/>
      <c r="BA1303" s="142"/>
      <c r="BB1303" s="125"/>
      <c r="BC1303" s="16"/>
      <c r="BD1303" s="125"/>
      <c r="BE1303" s="125"/>
      <c r="BF1303" s="16"/>
      <c r="BG1303" s="125"/>
      <c r="BQ1303" s="125"/>
      <c r="BR1303" s="16"/>
      <c r="BS1303" s="123"/>
      <c r="BT1303" s="19"/>
      <c r="BU1303" s="139"/>
      <c r="BV1303" s="139"/>
      <c r="BW1303" s="123"/>
      <c r="BX1303" s="123"/>
      <c r="BY1303" s="123"/>
      <c r="BZ1303" s="123"/>
      <c r="CA1303" s="123"/>
      <c r="CB1303" s="123"/>
      <c r="CC1303" s="6"/>
      <c r="CD1303" s="123"/>
      <c r="CE1303" s="6"/>
      <c r="CF1303" s="123"/>
      <c r="CG1303" s="6"/>
      <c r="CH1303" s="6"/>
      <c r="CI1303" s="6"/>
      <c r="CJ1303" s="6"/>
      <c r="CK1303" s="123"/>
      <c r="CL1303" s="6"/>
      <c r="CM1303" s="6"/>
      <c r="CN1303" s="6"/>
      <c r="CO1303" s="138"/>
      <c r="CP1303" s="138"/>
      <c r="CQ1303" s="123"/>
      <c r="CR1303" s="6"/>
      <c r="CS1303" s="6"/>
      <c r="CT1303" s="139"/>
      <c r="CU1303" s="139"/>
      <c r="CV1303" s="76"/>
      <c r="CW1303" s="123"/>
      <c r="CX1303" s="6"/>
      <c r="DI1303" s="125"/>
      <c r="DJ1303" s="16"/>
      <c r="DM1303" s="16"/>
      <c r="DN1303" s="16"/>
      <c r="DO1303" s="125"/>
      <c r="DP1303" s="16"/>
      <c r="DQ1303" s="125"/>
      <c r="DZ1303" s="125"/>
      <c r="EA1303" s="142"/>
      <c r="EB1303" s="125"/>
      <c r="EC1303" s="16"/>
      <c r="ED1303" s="125"/>
      <c r="EE1303" s="125"/>
      <c r="EF1303" s="16"/>
      <c r="EG1303" s="125"/>
      <c r="EQ1303" s="125"/>
      <c r="ER1303" s="16"/>
      <c r="ES1303" s="123"/>
      <c r="ET1303" s="19"/>
      <c r="EU1303" s="139"/>
      <c r="EV1303" s="139"/>
      <c r="EW1303" s="123"/>
      <c r="EX1303" s="123"/>
      <c r="EY1303" s="123"/>
      <c r="EZ1303" s="123"/>
      <c r="FA1303" s="123"/>
      <c r="FB1303" s="123"/>
      <c r="FC1303" s="6"/>
      <c r="FD1303" s="123"/>
      <c r="FE1303" s="6"/>
      <c r="FF1303" s="123"/>
      <c r="FG1303" s="6"/>
      <c r="FH1303" s="6"/>
      <c r="FI1303" s="6"/>
      <c r="FJ1303" s="6"/>
      <c r="FK1303" s="123"/>
      <c r="FL1303" s="6"/>
      <c r="FM1303" s="6"/>
      <c r="FN1303" s="6"/>
      <c r="FO1303" s="138"/>
      <c r="FP1303" s="138"/>
      <c r="FQ1303" s="123"/>
      <c r="FR1303" s="6"/>
      <c r="FS1303" s="6"/>
      <c r="FT1303" s="139"/>
      <c r="FU1303" s="139"/>
      <c r="FV1303" s="76"/>
      <c r="FW1303" s="123"/>
      <c r="FX1303" s="6"/>
    </row>
    <row r="1304" spans="35:180">
      <c r="AI1304" s="125"/>
      <c r="AJ1304" s="16"/>
      <c r="AM1304" s="16"/>
      <c r="AN1304" s="16"/>
      <c r="AO1304" s="125"/>
      <c r="AP1304" s="16"/>
      <c r="AQ1304" s="125"/>
      <c r="AZ1304" s="125"/>
      <c r="BA1304" s="142"/>
      <c r="BB1304" s="125"/>
      <c r="BC1304" s="16"/>
      <c r="BD1304" s="125"/>
      <c r="BE1304" s="125"/>
      <c r="BF1304" s="16"/>
      <c r="BG1304" s="125"/>
      <c r="BQ1304" s="125"/>
      <c r="BR1304" s="16"/>
      <c r="BS1304" s="123"/>
      <c r="BT1304" s="19"/>
      <c r="BU1304" s="139"/>
      <c r="BV1304" s="139"/>
      <c r="BW1304" s="123"/>
      <c r="BX1304" s="123"/>
      <c r="BY1304" s="123"/>
      <c r="BZ1304" s="123"/>
      <c r="CA1304" s="123"/>
      <c r="CB1304" s="123"/>
      <c r="CC1304" s="6"/>
      <c r="CD1304" s="123"/>
      <c r="CE1304" s="6"/>
      <c r="CF1304" s="123"/>
      <c r="CG1304" s="6"/>
      <c r="CH1304" s="6"/>
      <c r="CI1304" s="6"/>
      <c r="CJ1304" s="6"/>
      <c r="CK1304" s="123"/>
      <c r="CL1304" s="6"/>
      <c r="CM1304" s="6"/>
      <c r="CN1304" s="6"/>
      <c r="CO1304" s="138"/>
      <c r="CP1304" s="138"/>
      <c r="CQ1304" s="123"/>
      <c r="CR1304" s="6"/>
      <c r="CS1304" s="6"/>
      <c r="CT1304" s="139"/>
      <c r="CU1304" s="139"/>
      <c r="CV1304" s="76"/>
      <c r="CW1304" s="123"/>
      <c r="CX1304" s="6"/>
      <c r="DI1304" s="125"/>
      <c r="DJ1304" s="16"/>
      <c r="DM1304" s="16"/>
      <c r="DN1304" s="16"/>
      <c r="DO1304" s="125"/>
      <c r="DP1304" s="16"/>
      <c r="DQ1304" s="125"/>
      <c r="DZ1304" s="125"/>
      <c r="EA1304" s="142"/>
      <c r="EB1304" s="125"/>
      <c r="EC1304" s="16"/>
      <c r="ED1304" s="125"/>
      <c r="EE1304" s="125"/>
      <c r="EF1304" s="16"/>
      <c r="EG1304" s="125"/>
      <c r="EQ1304" s="125"/>
      <c r="ER1304" s="16"/>
      <c r="ES1304" s="123"/>
      <c r="ET1304" s="19"/>
      <c r="EU1304" s="139"/>
      <c r="EV1304" s="139"/>
      <c r="EW1304" s="123"/>
      <c r="EX1304" s="123"/>
      <c r="EY1304" s="123"/>
      <c r="EZ1304" s="123"/>
      <c r="FA1304" s="123"/>
      <c r="FB1304" s="123"/>
      <c r="FC1304" s="6"/>
      <c r="FD1304" s="123"/>
      <c r="FE1304" s="6"/>
      <c r="FF1304" s="123"/>
      <c r="FG1304" s="6"/>
      <c r="FH1304" s="6"/>
      <c r="FI1304" s="6"/>
      <c r="FJ1304" s="6"/>
      <c r="FK1304" s="123"/>
      <c r="FL1304" s="6"/>
      <c r="FM1304" s="6"/>
      <c r="FN1304" s="6"/>
      <c r="FO1304" s="138"/>
      <c r="FP1304" s="138"/>
      <c r="FQ1304" s="123"/>
      <c r="FR1304" s="6"/>
      <c r="FS1304" s="6"/>
      <c r="FT1304" s="139"/>
      <c r="FU1304" s="139"/>
      <c r="FV1304" s="76"/>
      <c r="FW1304" s="123"/>
      <c r="FX1304" s="6"/>
    </row>
    <row r="1305" spans="35:180">
      <c r="AI1305" s="125"/>
      <c r="AJ1305" s="16"/>
      <c r="AM1305" s="16"/>
      <c r="AN1305" s="16"/>
      <c r="AO1305" s="125"/>
      <c r="AP1305" s="16"/>
      <c r="AQ1305" s="125"/>
      <c r="AZ1305" s="125"/>
      <c r="BA1305" s="142"/>
      <c r="BB1305" s="125"/>
      <c r="BC1305" s="16"/>
      <c r="BD1305" s="125"/>
      <c r="BE1305" s="125"/>
      <c r="BF1305" s="16"/>
      <c r="BG1305" s="125"/>
      <c r="BQ1305" s="125"/>
      <c r="BR1305" s="16"/>
      <c r="BS1305" s="123"/>
      <c r="BT1305" s="19"/>
      <c r="BU1305" s="139"/>
      <c r="BV1305" s="139"/>
      <c r="BW1305" s="123"/>
      <c r="BX1305" s="123"/>
      <c r="BY1305" s="123"/>
      <c r="BZ1305" s="123"/>
      <c r="CA1305" s="123"/>
      <c r="CB1305" s="123"/>
      <c r="CC1305" s="6"/>
      <c r="CD1305" s="123"/>
      <c r="CE1305" s="6"/>
      <c r="CF1305" s="123"/>
      <c r="CG1305" s="6"/>
      <c r="CH1305" s="6"/>
      <c r="CI1305" s="6"/>
      <c r="CJ1305" s="6"/>
      <c r="CK1305" s="123"/>
      <c r="CL1305" s="6"/>
      <c r="CM1305" s="6"/>
      <c r="CN1305" s="6"/>
      <c r="CO1305" s="138"/>
      <c r="CP1305" s="138"/>
      <c r="CQ1305" s="123"/>
      <c r="CR1305" s="6"/>
      <c r="CS1305" s="6"/>
      <c r="CT1305" s="139"/>
      <c r="CU1305" s="139"/>
      <c r="CV1305" s="76"/>
      <c r="CW1305" s="123"/>
      <c r="CX1305" s="6"/>
      <c r="DI1305" s="125"/>
      <c r="DJ1305" s="16"/>
      <c r="DM1305" s="16"/>
      <c r="DN1305" s="16"/>
      <c r="DO1305" s="125"/>
      <c r="DP1305" s="16"/>
      <c r="DQ1305" s="125"/>
      <c r="DZ1305" s="125"/>
      <c r="EA1305" s="142"/>
      <c r="EB1305" s="125"/>
      <c r="EC1305" s="16"/>
      <c r="ED1305" s="125"/>
      <c r="EE1305" s="125"/>
      <c r="EF1305" s="16"/>
      <c r="EG1305" s="125"/>
      <c r="EQ1305" s="125"/>
      <c r="ER1305" s="16"/>
      <c r="ES1305" s="123"/>
      <c r="ET1305" s="19"/>
      <c r="EU1305" s="139"/>
      <c r="EV1305" s="139"/>
      <c r="EW1305" s="123"/>
      <c r="EX1305" s="123"/>
      <c r="EY1305" s="123"/>
      <c r="EZ1305" s="123"/>
      <c r="FA1305" s="123"/>
      <c r="FB1305" s="123"/>
      <c r="FC1305" s="6"/>
      <c r="FD1305" s="123"/>
      <c r="FE1305" s="6"/>
      <c r="FF1305" s="123"/>
      <c r="FG1305" s="6"/>
      <c r="FH1305" s="6"/>
      <c r="FI1305" s="6"/>
      <c r="FJ1305" s="6"/>
      <c r="FK1305" s="123"/>
      <c r="FL1305" s="6"/>
      <c r="FM1305" s="6"/>
      <c r="FN1305" s="6"/>
      <c r="FO1305" s="138"/>
      <c r="FP1305" s="138"/>
      <c r="FQ1305" s="123"/>
      <c r="FR1305" s="6"/>
      <c r="FS1305" s="6"/>
      <c r="FT1305" s="139"/>
      <c r="FU1305" s="139"/>
      <c r="FV1305" s="76"/>
      <c r="FW1305" s="123"/>
      <c r="FX1305" s="6"/>
    </row>
    <row r="1306" spans="35:180">
      <c r="AI1306" s="125"/>
      <c r="AJ1306" s="16"/>
      <c r="AM1306" s="16"/>
      <c r="AN1306" s="16"/>
      <c r="AO1306" s="125"/>
      <c r="AP1306" s="16"/>
      <c r="AQ1306" s="125"/>
      <c r="AZ1306" s="125"/>
      <c r="BA1306" s="142"/>
      <c r="BB1306" s="125"/>
      <c r="BC1306" s="16"/>
      <c r="BD1306" s="125"/>
      <c r="BE1306" s="125"/>
      <c r="BF1306" s="16"/>
      <c r="BG1306" s="125"/>
      <c r="BQ1306" s="125"/>
      <c r="BR1306" s="16"/>
      <c r="BS1306" s="123"/>
      <c r="BT1306" s="19"/>
      <c r="BU1306" s="139"/>
      <c r="BV1306" s="139"/>
      <c r="BW1306" s="123"/>
      <c r="BX1306" s="123"/>
      <c r="BY1306" s="123"/>
      <c r="BZ1306" s="123"/>
      <c r="CA1306" s="123"/>
      <c r="CB1306" s="123"/>
      <c r="CC1306" s="6"/>
      <c r="CD1306" s="123"/>
      <c r="CE1306" s="6"/>
      <c r="CF1306" s="123"/>
      <c r="CG1306" s="6"/>
      <c r="CH1306" s="6"/>
      <c r="CI1306" s="6"/>
      <c r="CJ1306" s="6"/>
      <c r="CK1306" s="123"/>
      <c r="CL1306" s="6"/>
      <c r="CM1306" s="6"/>
      <c r="CN1306" s="6"/>
      <c r="CO1306" s="138"/>
      <c r="CP1306" s="138"/>
      <c r="CQ1306" s="123"/>
      <c r="CR1306" s="6"/>
      <c r="CS1306" s="6"/>
      <c r="CT1306" s="139"/>
      <c r="CU1306" s="139"/>
      <c r="CV1306" s="76"/>
      <c r="CW1306" s="123"/>
      <c r="CX1306" s="6"/>
      <c r="DI1306" s="125"/>
      <c r="DJ1306" s="16"/>
      <c r="DM1306" s="16"/>
      <c r="DN1306" s="16"/>
      <c r="DO1306" s="125"/>
      <c r="DP1306" s="16"/>
      <c r="DQ1306" s="125"/>
      <c r="DZ1306" s="125"/>
      <c r="EA1306" s="142"/>
      <c r="EB1306" s="125"/>
      <c r="EC1306" s="16"/>
      <c r="ED1306" s="125"/>
      <c r="EE1306" s="125"/>
      <c r="EF1306" s="16"/>
      <c r="EG1306" s="125"/>
      <c r="EQ1306" s="125"/>
      <c r="ER1306" s="16"/>
      <c r="ES1306" s="123"/>
      <c r="ET1306" s="19"/>
      <c r="EU1306" s="139"/>
      <c r="EV1306" s="139"/>
      <c r="EW1306" s="123"/>
      <c r="EX1306" s="123"/>
      <c r="EY1306" s="123"/>
      <c r="EZ1306" s="123"/>
      <c r="FA1306" s="123"/>
      <c r="FB1306" s="123"/>
      <c r="FC1306" s="6"/>
      <c r="FD1306" s="123"/>
      <c r="FE1306" s="6"/>
      <c r="FF1306" s="123"/>
      <c r="FG1306" s="6"/>
      <c r="FH1306" s="6"/>
      <c r="FI1306" s="6"/>
      <c r="FJ1306" s="6"/>
      <c r="FK1306" s="123"/>
      <c r="FL1306" s="6"/>
      <c r="FM1306" s="6"/>
      <c r="FN1306" s="6"/>
      <c r="FO1306" s="138"/>
      <c r="FP1306" s="138"/>
      <c r="FQ1306" s="123"/>
      <c r="FR1306" s="6"/>
      <c r="FS1306" s="6"/>
      <c r="FT1306" s="139"/>
      <c r="FU1306" s="139"/>
      <c r="FV1306" s="76"/>
      <c r="FW1306" s="123"/>
      <c r="FX1306" s="6"/>
    </row>
    <row r="1307" spans="35:180">
      <c r="AI1307" s="125"/>
      <c r="AJ1307" s="16"/>
      <c r="AM1307" s="16"/>
      <c r="AN1307" s="16"/>
      <c r="AO1307" s="125"/>
      <c r="AP1307" s="16"/>
      <c r="AQ1307" s="125"/>
      <c r="AZ1307" s="125"/>
      <c r="BA1307" s="142"/>
      <c r="BB1307" s="125"/>
      <c r="BC1307" s="16"/>
      <c r="BD1307" s="125"/>
      <c r="BE1307" s="125"/>
      <c r="BF1307" s="16"/>
      <c r="BG1307" s="125"/>
      <c r="BQ1307" s="125"/>
      <c r="BR1307" s="16"/>
      <c r="BS1307" s="123"/>
      <c r="BT1307" s="19"/>
      <c r="BU1307" s="139"/>
      <c r="BV1307" s="139"/>
      <c r="BW1307" s="123"/>
      <c r="BX1307" s="123"/>
      <c r="BY1307" s="123"/>
      <c r="BZ1307" s="123"/>
      <c r="CA1307" s="123"/>
      <c r="CB1307" s="123"/>
      <c r="CC1307" s="6"/>
      <c r="CD1307" s="123"/>
      <c r="CE1307" s="6"/>
      <c r="CF1307" s="123"/>
      <c r="CG1307" s="6"/>
      <c r="CH1307" s="6"/>
      <c r="CI1307" s="6"/>
      <c r="CJ1307" s="6"/>
      <c r="CK1307" s="123"/>
      <c r="CL1307" s="6"/>
      <c r="CM1307" s="6"/>
      <c r="CN1307" s="6"/>
      <c r="CO1307" s="138"/>
      <c r="CP1307" s="138"/>
      <c r="CQ1307" s="123"/>
      <c r="CR1307" s="6"/>
      <c r="CS1307" s="6"/>
      <c r="CT1307" s="139"/>
      <c r="CU1307" s="139"/>
      <c r="CV1307" s="76"/>
      <c r="CW1307" s="123"/>
      <c r="CX1307" s="6"/>
      <c r="DI1307" s="125"/>
      <c r="DJ1307" s="16"/>
      <c r="DM1307" s="16"/>
      <c r="DN1307" s="16"/>
      <c r="DO1307" s="125"/>
      <c r="DP1307" s="16"/>
      <c r="DQ1307" s="125"/>
      <c r="DZ1307" s="125"/>
      <c r="EA1307" s="142"/>
      <c r="EB1307" s="125"/>
      <c r="EC1307" s="16"/>
      <c r="ED1307" s="125"/>
      <c r="EE1307" s="125"/>
      <c r="EF1307" s="16"/>
      <c r="EG1307" s="125"/>
      <c r="EQ1307" s="125"/>
      <c r="ER1307" s="16"/>
      <c r="ES1307" s="123"/>
      <c r="ET1307" s="19"/>
      <c r="EU1307" s="139"/>
      <c r="EV1307" s="139"/>
      <c r="EW1307" s="123"/>
      <c r="EX1307" s="123"/>
      <c r="EY1307" s="123"/>
      <c r="EZ1307" s="123"/>
      <c r="FA1307" s="123"/>
      <c r="FB1307" s="123"/>
      <c r="FC1307" s="6"/>
      <c r="FD1307" s="123"/>
      <c r="FE1307" s="6"/>
      <c r="FF1307" s="123"/>
      <c r="FG1307" s="6"/>
      <c r="FH1307" s="6"/>
      <c r="FI1307" s="6"/>
      <c r="FJ1307" s="6"/>
      <c r="FK1307" s="123"/>
      <c r="FL1307" s="6"/>
      <c r="FM1307" s="6"/>
      <c r="FN1307" s="6"/>
      <c r="FO1307" s="138"/>
      <c r="FP1307" s="138"/>
      <c r="FQ1307" s="123"/>
      <c r="FR1307" s="6"/>
      <c r="FS1307" s="6"/>
      <c r="FT1307" s="139"/>
      <c r="FU1307" s="139"/>
      <c r="FV1307" s="76"/>
      <c r="FW1307" s="123"/>
      <c r="FX1307" s="6"/>
    </row>
    <row r="1308" spans="35:180">
      <c r="AI1308" s="125"/>
      <c r="AJ1308" s="16"/>
      <c r="AM1308" s="16"/>
      <c r="AN1308" s="16"/>
      <c r="AO1308" s="125"/>
      <c r="AP1308" s="16"/>
      <c r="AQ1308" s="125"/>
      <c r="AZ1308" s="125"/>
      <c r="BA1308" s="142"/>
      <c r="BB1308" s="125"/>
      <c r="BC1308" s="16"/>
      <c r="BD1308" s="125"/>
      <c r="BE1308" s="125"/>
      <c r="BF1308" s="16"/>
      <c r="BG1308" s="125"/>
      <c r="BQ1308" s="125"/>
      <c r="BR1308" s="16"/>
      <c r="BS1308" s="123"/>
      <c r="BT1308" s="19"/>
      <c r="BU1308" s="139"/>
      <c r="BV1308" s="139"/>
      <c r="BW1308" s="123"/>
      <c r="BX1308" s="123"/>
      <c r="BY1308" s="123"/>
      <c r="BZ1308" s="123"/>
      <c r="CA1308" s="123"/>
      <c r="CB1308" s="123"/>
      <c r="CC1308" s="6"/>
      <c r="CD1308" s="123"/>
      <c r="CE1308" s="6"/>
      <c r="CF1308" s="123"/>
      <c r="CG1308" s="6"/>
      <c r="CH1308" s="6"/>
      <c r="CI1308" s="6"/>
      <c r="CJ1308" s="6"/>
      <c r="CK1308" s="123"/>
      <c r="CL1308" s="6"/>
      <c r="CM1308" s="6"/>
      <c r="CN1308" s="6"/>
      <c r="CO1308" s="138"/>
      <c r="CP1308" s="138"/>
      <c r="CQ1308" s="123"/>
      <c r="CR1308" s="6"/>
      <c r="CS1308" s="6"/>
      <c r="CT1308" s="139"/>
      <c r="CU1308" s="139"/>
      <c r="CV1308" s="76"/>
      <c r="CW1308" s="123"/>
      <c r="CX1308" s="6"/>
      <c r="DI1308" s="125"/>
      <c r="DJ1308" s="16"/>
      <c r="DM1308" s="16"/>
      <c r="DN1308" s="16"/>
      <c r="DO1308" s="125"/>
      <c r="DP1308" s="16"/>
      <c r="DQ1308" s="125"/>
      <c r="DZ1308" s="125"/>
      <c r="EA1308" s="142"/>
      <c r="EB1308" s="125"/>
      <c r="EC1308" s="16"/>
      <c r="ED1308" s="125"/>
      <c r="EE1308" s="125"/>
      <c r="EF1308" s="16"/>
      <c r="EG1308" s="125"/>
      <c r="EQ1308" s="125"/>
      <c r="ER1308" s="16"/>
      <c r="ES1308" s="123"/>
      <c r="ET1308" s="19"/>
      <c r="EU1308" s="139"/>
      <c r="EV1308" s="139"/>
      <c r="EW1308" s="123"/>
      <c r="EX1308" s="123"/>
      <c r="EY1308" s="123"/>
      <c r="EZ1308" s="123"/>
      <c r="FA1308" s="123"/>
      <c r="FB1308" s="123"/>
      <c r="FC1308" s="6"/>
      <c r="FD1308" s="123"/>
      <c r="FE1308" s="6"/>
      <c r="FF1308" s="123"/>
      <c r="FG1308" s="6"/>
      <c r="FH1308" s="6"/>
      <c r="FI1308" s="6"/>
      <c r="FJ1308" s="6"/>
      <c r="FK1308" s="123"/>
      <c r="FL1308" s="6"/>
      <c r="FM1308" s="6"/>
      <c r="FN1308" s="6"/>
      <c r="FO1308" s="138"/>
      <c r="FP1308" s="138"/>
      <c r="FQ1308" s="123"/>
      <c r="FR1308" s="6"/>
      <c r="FS1308" s="6"/>
      <c r="FT1308" s="139"/>
      <c r="FU1308" s="139"/>
      <c r="FV1308" s="76"/>
      <c r="FW1308" s="123"/>
      <c r="FX1308" s="6"/>
    </row>
    <row r="1309" spans="35:180">
      <c r="AI1309" s="125"/>
      <c r="AJ1309" s="16"/>
      <c r="AM1309" s="16"/>
      <c r="AN1309" s="16"/>
      <c r="AO1309" s="125"/>
      <c r="AP1309" s="16"/>
      <c r="AQ1309" s="125"/>
      <c r="AZ1309" s="125"/>
      <c r="BA1309" s="142"/>
      <c r="BB1309" s="125"/>
      <c r="BC1309" s="16"/>
      <c r="BD1309" s="125"/>
      <c r="BE1309" s="125"/>
      <c r="BF1309" s="16"/>
      <c r="BG1309" s="125"/>
      <c r="BQ1309" s="125"/>
      <c r="BR1309" s="16"/>
      <c r="BS1309" s="123"/>
      <c r="BT1309" s="19"/>
      <c r="BU1309" s="139"/>
      <c r="BV1309" s="139"/>
      <c r="BW1309" s="123"/>
      <c r="BX1309" s="123"/>
      <c r="BY1309" s="123"/>
      <c r="BZ1309" s="123"/>
      <c r="CA1309" s="123"/>
      <c r="CB1309" s="123"/>
      <c r="CC1309" s="6"/>
      <c r="CD1309" s="123"/>
      <c r="CE1309" s="6"/>
      <c r="CF1309" s="123"/>
      <c r="CG1309" s="6"/>
      <c r="CH1309" s="6"/>
      <c r="CI1309" s="6"/>
      <c r="CJ1309" s="6"/>
      <c r="CK1309" s="123"/>
      <c r="CL1309" s="6"/>
      <c r="CM1309" s="6"/>
      <c r="CN1309" s="6"/>
      <c r="CO1309" s="138"/>
      <c r="CP1309" s="138"/>
      <c r="CQ1309" s="123"/>
      <c r="CR1309" s="6"/>
      <c r="CS1309" s="6"/>
      <c r="CT1309" s="139"/>
      <c r="CU1309" s="139"/>
      <c r="CV1309" s="76"/>
      <c r="CW1309" s="123"/>
      <c r="CX1309" s="6"/>
      <c r="DI1309" s="125"/>
      <c r="DJ1309" s="16"/>
      <c r="DM1309" s="16"/>
      <c r="DN1309" s="16"/>
      <c r="DO1309" s="125"/>
      <c r="DP1309" s="16"/>
      <c r="DQ1309" s="125"/>
      <c r="DZ1309" s="125"/>
      <c r="EA1309" s="142"/>
      <c r="EB1309" s="125"/>
      <c r="EC1309" s="16"/>
      <c r="ED1309" s="125"/>
      <c r="EE1309" s="125"/>
      <c r="EF1309" s="16"/>
      <c r="EG1309" s="125"/>
      <c r="EQ1309" s="125"/>
      <c r="ER1309" s="16"/>
      <c r="ES1309" s="123"/>
      <c r="ET1309" s="19"/>
      <c r="EU1309" s="139"/>
      <c r="EV1309" s="139"/>
      <c r="EW1309" s="123"/>
      <c r="EX1309" s="123"/>
      <c r="EY1309" s="123"/>
      <c r="EZ1309" s="123"/>
      <c r="FA1309" s="123"/>
      <c r="FB1309" s="123"/>
      <c r="FC1309" s="6"/>
      <c r="FD1309" s="123"/>
      <c r="FE1309" s="6"/>
      <c r="FF1309" s="123"/>
      <c r="FG1309" s="6"/>
      <c r="FH1309" s="6"/>
      <c r="FI1309" s="6"/>
      <c r="FJ1309" s="6"/>
      <c r="FK1309" s="123"/>
      <c r="FL1309" s="6"/>
      <c r="FM1309" s="6"/>
      <c r="FN1309" s="6"/>
      <c r="FO1309" s="138"/>
      <c r="FP1309" s="138"/>
      <c r="FQ1309" s="123"/>
      <c r="FR1309" s="6"/>
      <c r="FS1309" s="6"/>
      <c r="FT1309" s="139"/>
      <c r="FU1309" s="139"/>
      <c r="FV1309" s="76"/>
      <c r="FW1309" s="123"/>
      <c r="FX1309" s="6"/>
    </row>
    <row r="1310" spans="35:180">
      <c r="AI1310" s="125"/>
      <c r="AJ1310" s="16"/>
      <c r="AM1310" s="16"/>
      <c r="AN1310" s="16"/>
      <c r="AO1310" s="125"/>
      <c r="AP1310" s="16"/>
      <c r="AQ1310" s="125"/>
      <c r="AZ1310" s="125"/>
      <c r="BA1310" s="142"/>
      <c r="BB1310" s="125"/>
      <c r="BC1310" s="16"/>
      <c r="BD1310" s="125"/>
      <c r="BE1310" s="125"/>
      <c r="BF1310" s="16"/>
      <c r="BG1310" s="125"/>
      <c r="BQ1310" s="125"/>
      <c r="BR1310" s="16"/>
      <c r="BS1310" s="123"/>
      <c r="BT1310" s="19"/>
      <c r="BU1310" s="139"/>
      <c r="BV1310" s="139"/>
      <c r="BW1310" s="123"/>
      <c r="BX1310" s="123"/>
      <c r="BY1310" s="123"/>
      <c r="BZ1310" s="123"/>
      <c r="CA1310" s="123"/>
      <c r="CB1310" s="123"/>
      <c r="CC1310" s="6"/>
      <c r="CD1310" s="123"/>
      <c r="CE1310" s="6"/>
      <c r="CF1310" s="123"/>
      <c r="CG1310" s="6"/>
      <c r="CH1310" s="6"/>
      <c r="CI1310" s="6"/>
      <c r="CJ1310" s="6"/>
      <c r="CK1310" s="123"/>
      <c r="CL1310" s="6"/>
      <c r="CM1310" s="6"/>
      <c r="CN1310" s="6"/>
      <c r="CO1310" s="138"/>
      <c r="CP1310" s="138"/>
      <c r="CQ1310" s="123"/>
      <c r="CR1310" s="6"/>
      <c r="CS1310" s="6"/>
      <c r="CT1310" s="139"/>
      <c r="CU1310" s="139"/>
      <c r="CV1310" s="76"/>
      <c r="CW1310" s="123"/>
      <c r="CX1310" s="6"/>
      <c r="DI1310" s="125"/>
      <c r="DJ1310" s="16"/>
      <c r="DM1310" s="16"/>
      <c r="DN1310" s="16"/>
      <c r="DO1310" s="125"/>
      <c r="DP1310" s="16"/>
      <c r="DQ1310" s="125"/>
      <c r="DZ1310" s="125"/>
      <c r="EA1310" s="142"/>
      <c r="EB1310" s="125"/>
      <c r="EC1310" s="16"/>
      <c r="ED1310" s="125"/>
      <c r="EE1310" s="125"/>
      <c r="EF1310" s="16"/>
      <c r="EG1310" s="125"/>
      <c r="EQ1310" s="125"/>
      <c r="ER1310" s="16"/>
      <c r="ES1310" s="123"/>
      <c r="ET1310" s="19"/>
      <c r="EU1310" s="139"/>
      <c r="EV1310" s="139"/>
      <c r="EW1310" s="123"/>
      <c r="EX1310" s="123"/>
      <c r="EY1310" s="123"/>
      <c r="EZ1310" s="123"/>
      <c r="FA1310" s="123"/>
      <c r="FB1310" s="123"/>
      <c r="FC1310" s="6"/>
      <c r="FD1310" s="123"/>
      <c r="FE1310" s="6"/>
      <c r="FF1310" s="123"/>
      <c r="FG1310" s="6"/>
      <c r="FH1310" s="6"/>
      <c r="FI1310" s="6"/>
      <c r="FJ1310" s="6"/>
      <c r="FK1310" s="123"/>
      <c r="FL1310" s="6"/>
      <c r="FM1310" s="6"/>
      <c r="FN1310" s="6"/>
      <c r="FO1310" s="138"/>
      <c r="FP1310" s="138"/>
      <c r="FQ1310" s="123"/>
      <c r="FR1310" s="6"/>
      <c r="FS1310" s="6"/>
      <c r="FT1310" s="139"/>
      <c r="FU1310" s="139"/>
      <c r="FV1310" s="76"/>
      <c r="FW1310" s="123"/>
      <c r="FX1310" s="6"/>
    </row>
    <row r="1311" spans="35:180">
      <c r="AI1311" s="125"/>
      <c r="AJ1311" s="16"/>
      <c r="AM1311" s="16"/>
      <c r="AN1311" s="16"/>
      <c r="AO1311" s="125"/>
      <c r="AP1311" s="16"/>
      <c r="AQ1311" s="125"/>
      <c r="AZ1311" s="125"/>
      <c r="BA1311" s="142"/>
      <c r="BB1311" s="125"/>
      <c r="BC1311" s="16"/>
      <c r="BD1311" s="125"/>
      <c r="BE1311" s="125"/>
      <c r="BF1311" s="16"/>
      <c r="BG1311" s="125"/>
      <c r="BQ1311" s="125"/>
      <c r="BR1311" s="16"/>
      <c r="BS1311" s="123"/>
      <c r="BT1311" s="19"/>
      <c r="BU1311" s="139"/>
      <c r="BV1311" s="139"/>
      <c r="BW1311" s="123"/>
      <c r="BX1311" s="123"/>
      <c r="BY1311" s="123"/>
      <c r="BZ1311" s="123"/>
      <c r="CA1311" s="123"/>
      <c r="CB1311" s="123"/>
      <c r="CC1311" s="6"/>
      <c r="CD1311" s="123"/>
      <c r="CE1311" s="6"/>
      <c r="CF1311" s="123"/>
      <c r="CG1311" s="6"/>
      <c r="CH1311" s="6"/>
      <c r="CI1311" s="6"/>
      <c r="CJ1311" s="6"/>
      <c r="CK1311" s="123"/>
      <c r="CL1311" s="6"/>
      <c r="CM1311" s="6"/>
      <c r="CN1311" s="6"/>
      <c r="CO1311" s="138"/>
      <c r="CP1311" s="138"/>
      <c r="CQ1311" s="123"/>
      <c r="CR1311" s="6"/>
      <c r="CS1311" s="6"/>
      <c r="CT1311" s="139"/>
      <c r="CU1311" s="139"/>
      <c r="CV1311" s="76"/>
      <c r="CW1311" s="123"/>
      <c r="CX1311" s="6"/>
      <c r="DI1311" s="125"/>
      <c r="DJ1311" s="16"/>
      <c r="DM1311" s="16"/>
      <c r="DN1311" s="16"/>
      <c r="DO1311" s="125"/>
      <c r="DP1311" s="16"/>
      <c r="DQ1311" s="125"/>
      <c r="DZ1311" s="125"/>
      <c r="EA1311" s="142"/>
      <c r="EB1311" s="125"/>
      <c r="EC1311" s="16"/>
      <c r="ED1311" s="125"/>
      <c r="EE1311" s="125"/>
      <c r="EF1311" s="16"/>
      <c r="EG1311" s="125"/>
      <c r="EQ1311" s="125"/>
      <c r="ER1311" s="16"/>
      <c r="ES1311" s="123"/>
      <c r="ET1311" s="19"/>
      <c r="EU1311" s="139"/>
      <c r="EV1311" s="139"/>
      <c r="EW1311" s="123"/>
      <c r="EX1311" s="123"/>
      <c r="EY1311" s="123"/>
      <c r="EZ1311" s="123"/>
      <c r="FA1311" s="123"/>
      <c r="FB1311" s="123"/>
      <c r="FC1311" s="6"/>
      <c r="FD1311" s="123"/>
      <c r="FE1311" s="6"/>
      <c r="FF1311" s="123"/>
      <c r="FG1311" s="6"/>
      <c r="FH1311" s="6"/>
      <c r="FI1311" s="6"/>
      <c r="FJ1311" s="6"/>
      <c r="FK1311" s="123"/>
      <c r="FL1311" s="6"/>
      <c r="FM1311" s="6"/>
      <c r="FN1311" s="6"/>
      <c r="FO1311" s="138"/>
      <c r="FP1311" s="138"/>
      <c r="FQ1311" s="123"/>
      <c r="FR1311" s="6"/>
      <c r="FS1311" s="6"/>
      <c r="FT1311" s="139"/>
      <c r="FU1311" s="139"/>
      <c r="FV1311" s="76"/>
      <c r="FW1311" s="123"/>
      <c r="FX1311" s="6"/>
    </row>
    <row r="1312" spans="35:180">
      <c r="AI1312" s="125"/>
      <c r="AJ1312" s="16"/>
      <c r="AM1312" s="16"/>
      <c r="AN1312" s="16"/>
      <c r="AO1312" s="125"/>
      <c r="AP1312" s="16"/>
      <c r="AQ1312" s="125"/>
      <c r="AZ1312" s="125"/>
      <c r="BA1312" s="142"/>
      <c r="BB1312" s="125"/>
      <c r="BC1312" s="16"/>
      <c r="BD1312" s="125"/>
      <c r="BE1312" s="125"/>
      <c r="BF1312" s="16"/>
      <c r="BG1312" s="125"/>
      <c r="BQ1312" s="125"/>
      <c r="BR1312" s="16"/>
      <c r="BS1312" s="123"/>
      <c r="BT1312" s="19"/>
      <c r="BU1312" s="139"/>
      <c r="BV1312" s="139"/>
      <c r="BW1312" s="123"/>
      <c r="BX1312" s="123"/>
      <c r="BY1312" s="123"/>
      <c r="BZ1312" s="123"/>
      <c r="CA1312" s="123"/>
      <c r="CB1312" s="123"/>
      <c r="CC1312" s="6"/>
      <c r="CD1312" s="123"/>
      <c r="CE1312" s="6"/>
      <c r="CF1312" s="123"/>
      <c r="CG1312" s="6"/>
      <c r="CH1312" s="6"/>
      <c r="CI1312" s="6"/>
      <c r="CJ1312" s="6"/>
      <c r="CK1312" s="123"/>
      <c r="CL1312" s="6"/>
      <c r="CM1312" s="6"/>
      <c r="CN1312" s="6"/>
      <c r="CO1312" s="138"/>
      <c r="CP1312" s="138"/>
      <c r="CQ1312" s="123"/>
      <c r="CR1312" s="6"/>
      <c r="CS1312" s="6"/>
      <c r="CT1312" s="139"/>
      <c r="CU1312" s="139"/>
      <c r="CV1312" s="76"/>
      <c r="CW1312" s="123"/>
      <c r="CX1312" s="6"/>
      <c r="DI1312" s="125"/>
      <c r="DJ1312" s="16"/>
      <c r="DM1312" s="16"/>
      <c r="DN1312" s="16"/>
      <c r="DO1312" s="125"/>
      <c r="DP1312" s="16"/>
      <c r="DQ1312" s="125"/>
      <c r="DZ1312" s="125"/>
      <c r="EA1312" s="142"/>
      <c r="EB1312" s="125"/>
      <c r="EC1312" s="16"/>
      <c r="ED1312" s="125"/>
      <c r="EE1312" s="125"/>
      <c r="EF1312" s="16"/>
      <c r="EG1312" s="125"/>
      <c r="EQ1312" s="125"/>
      <c r="ER1312" s="16"/>
      <c r="ES1312" s="123"/>
      <c r="ET1312" s="19"/>
      <c r="EU1312" s="139"/>
      <c r="EV1312" s="139"/>
      <c r="EW1312" s="123"/>
      <c r="EX1312" s="123"/>
      <c r="EY1312" s="123"/>
      <c r="EZ1312" s="123"/>
      <c r="FA1312" s="123"/>
      <c r="FB1312" s="123"/>
      <c r="FC1312" s="6"/>
      <c r="FD1312" s="123"/>
      <c r="FE1312" s="6"/>
      <c r="FF1312" s="123"/>
      <c r="FG1312" s="6"/>
      <c r="FH1312" s="6"/>
      <c r="FI1312" s="6"/>
      <c r="FJ1312" s="6"/>
      <c r="FK1312" s="123"/>
      <c r="FL1312" s="6"/>
      <c r="FM1312" s="6"/>
      <c r="FN1312" s="6"/>
      <c r="FO1312" s="138"/>
      <c r="FP1312" s="138"/>
      <c r="FQ1312" s="123"/>
      <c r="FR1312" s="6"/>
      <c r="FS1312" s="6"/>
      <c r="FT1312" s="139"/>
      <c r="FU1312" s="139"/>
      <c r="FV1312" s="76"/>
      <c r="FW1312" s="123"/>
      <c r="FX1312" s="6"/>
    </row>
    <row r="1313" spans="35:180">
      <c r="AI1313" s="125"/>
      <c r="AJ1313" s="16"/>
      <c r="AM1313" s="16"/>
      <c r="AN1313" s="16"/>
      <c r="AO1313" s="125"/>
      <c r="AP1313" s="16"/>
      <c r="AQ1313" s="125"/>
      <c r="AZ1313" s="125"/>
      <c r="BA1313" s="142"/>
      <c r="BB1313" s="125"/>
      <c r="BC1313" s="16"/>
      <c r="BD1313" s="125"/>
      <c r="BE1313" s="125"/>
      <c r="BF1313" s="16"/>
      <c r="BG1313" s="125"/>
      <c r="BQ1313" s="125"/>
      <c r="BR1313" s="16"/>
      <c r="BS1313" s="123"/>
      <c r="BT1313" s="19"/>
      <c r="BU1313" s="139"/>
      <c r="BV1313" s="139"/>
      <c r="BW1313" s="123"/>
      <c r="BX1313" s="123"/>
      <c r="BY1313" s="123"/>
      <c r="BZ1313" s="123"/>
      <c r="CA1313" s="123"/>
      <c r="CB1313" s="123"/>
      <c r="CC1313" s="6"/>
      <c r="CD1313" s="123"/>
      <c r="CE1313" s="6"/>
      <c r="CF1313" s="123"/>
      <c r="CG1313" s="6"/>
      <c r="CH1313" s="6"/>
      <c r="CI1313" s="6"/>
      <c r="CJ1313" s="6"/>
      <c r="CK1313" s="123"/>
      <c r="CL1313" s="6"/>
      <c r="CM1313" s="6"/>
      <c r="CN1313" s="6"/>
      <c r="CO1313" s="138"/>
      <c r="CP1313" s="138"/>
      <c r="CQ1313" s="123"/>
      <c r="CR1313" s="6"/>
      <c r="CS1313" s="6"/>
      <c r="CT1313" s="139"/>
      <c r="CU1313" s="139"/>
      <c r="CV1313" s="76"/>
      <c r="CW1313" s="123"/>
      <c r="CX1313" s="6"/>
      <c r="DI1313" s="125"/>
      <c r="DJ1313" s="16"/>
      <c r="DM1313" s="16"/>
      <c r="DN1313" s="16"/>
      <c r="DO1313" s="125"/>
      <c r="DP1313" s="16"/>
      <c r="DQ1313" s="125"/>
      <c r="DZ1313" s="125"/>
      <c r="EA1313" s="142"/>
      <c r="EB1313" s="125"/>
      <c r="EC1313" s="16"/>
      <c r="ED1313" s="125"/>
      <c r="EE1313" s="125"/>
      <c r="EF1313" s="16"/>
      <c r="EG1313" s="125"/>
      <c r="EQ1313" s="125"/>
      <c r="ER1313" s="16"/>
      <c r="ES1313" s="123"/>
      <c r="ET1313" s="19"/>
      <c r="EU1313" s="139"/>
      <c r="EV1313" s="139"/>
      <c r="EW1313" s="123"/>
      <c r="EX1313" s="123"/>
      <c r="EY1313" s="123"/>
      <c r="EZ1313" s="123"/>
      <c r="FA1313" s="123"/>
      <c r="FB1313" s="123"/>
      <c r="FC1313" s="6"/>
      <c r="FD1313" s="123"/>
      <c r="FE1313" s="6"/>
      <c r="FF1313" s="123"/>
      <c r="FG1313" s="6"/>
      <c r="FH1313" s="6"/>
      <c r="FI1313" s="6"/>
      <c r="FJ1313" s="6"/>
      <c r="FK1313" s="123"/>
      <c r="FL1313" s="6"/>
      <c r="FM1313" s="6"/>
      <c r="FN1313" s="6"/>
      <c r="FO1313" s="138"/>
      <c r="FP1313" s="138"/>
      <c r="FQ1313" s="123"/>
      <c r="FR1313" s="6"/>
      <c r="FS1313" s="6"/>
      <c r="FT1313" s="139"/>
      <c r="FU1313" s="139"/>
      <c r="FV1313" s="76"/>
      <c r="FW1313" s="123"/>
      <c r="FX1313" s="6"/>
    </row>
    <row r="1314" spans="35:180">
      <c r="AI1314" s="125"/>
      <c r="AJ1314" s="16"/>
      <c r="AM1314" s="16"/>
      <c r="AN1314" s="16"/>
      <c r="AO1314" s="125"/>
      <c r="AP1314" s="16"/>
      <c r="AQ1314" s="125"/>
      <c r="AZ1314" s="125"/>
      <c r="BA1314" s="142"/>
      <c r="BB1314" s="125"/>
      <c r="BC1314" s="16"/>
      <c r="BD1314" s="125"/>
      <c r="BE1314" s="125"/>
      <c r="BF1314" s="16"/>
      <c r="BG1314" s="125"/>
      <c r="BQ1314" s="125"/>
      <c r="BR1314" s="16"/>
      <c r="BS1314" s="123"/>
      <c r="BT1314" s="19"/>
      <c r="BU1314" s="139"/>
      <c r="BV1314" s="139"/>
      <c r="BW1314" s="123"/>
      <c r="BX1314" s="123"/>
      <c r="BY1314" s="123"/>
      <c r="BZ1314" s="123"/>
      <c r="CA1314" s="123"/>
      <c r="CB1314" s="123"/>
      <c r="CC1314" s="6"/>
      <c r="CD1314" s="123"/>
      <c r="CE1314" s="6"/>
      <c r="CF1314" s="123"/>
      <c r="CG1314" s="6"/>
      <c r="CH1314" s="6"/>
      <c r="CI1314" s="6"/>
      <c r="CJ1314" s="6"/>
      <c r="CK1314" s="123"/>
      <c r="CL1314" s="6"/>
      <c r="CM1314" s="6"/>
      <c r="CN1314" s="6"/>
      <c r="CO1314" s="138"/>
      <c r="CP1314" s="138"/>
      <c r="CQ1314" s="123"/>
      <c r="CR1314" s="6"/>
      <c r="CS1314" s="6"/>
      <c r="CT1314" s="139"/>
      <c r="CU1314" s="139"/>
      <c r="CV1314" s="76"/>
      <c r="CW1314" s="123"/>
      <c r="CX1314" s="6"/>
      <c r="DI1314" s="125"/>
      <c r="DJ1314" s="16"/>
      <c r="DM1314" s="16"/>
      <c r="DN1314" s="16"/>
      <c r="DO1314" s="125"/>
      <c r="DP1314" s="16"/>
      <c r="DQ1314" s="125"/>
      <c r="DZ1314" s="125"/>
      <c r="EA1314" s="142"/>
      <c r="EB1314" s="125"/>
      <c r="EC1314" s="16"/>
      <c r="ED1314" s="125"/>
      <c r="EE1314" s="125"/>
      <c r="EF1314" s="16"/>
      <c r="EG1314" s="125"/>
      <c r="EQ1314" s="125"/>
      <c r="ER1314" s="16"/>
      <c r="ES1314" s="123"/>
      <c r="ET1314" s="19"/>
      <c r="EU1314" s="139"/>
      <c r="EV1314" s="139"/>
      <c r="EW1314" s="123"/>
      <c r="EX1314" s="123"/>
      <c r="EY1314" s="123"/>
      <c r="EZ1314" s="123"/>
      <c r="FA1314" s="123"/>
      <c r="FB1314" s="123"/>
      <c r="FC1314" s="6"/>
      <c r="FD1314" s="123"/>
      <c r="FE1314" s="6"/>
      <c r="FF1314" s="123"/>
      <c r="FG1314" s="6"/>
      <c r="FH1314" s="6"/>
      <c r="FI1314" s="6"/>
      <c r="FJ1314" s="6"/>
      <c r="FK1314" s="123"/>
      <c r="FL1314" s="6"/>
      <c r="FM1314" s="6"/>
      <c r="FN1314" s="6"/>
      <c r="FO1314" s="138"/>
      <c r="FP1314" s="138"/>
      <c r="FQ1314" s="123"/>
      <c r="FR1314" s="6"/>
      <c r="FS1314" s="6"/>
      <c r="FT1314" s="139"/>
      <c r="FU1314" s="139"/>
      <c r="FV1314" s="76"/>
      <c r="FW1314" s="123"/>
      <c r="FX1314" s="6"/>
    </row>
    <row r="1315" spans="35:180">
      <c r="AI1315" s="125"/>
      <c r="AJ1315" s="16"/>
      <c r="AM1315" s="16"/>
      <c r="AN1315" s="16"/>
      <c r="AO1315" s="125"/>
      <c r="AP1315" s="16"/>
      <c r="AQ1315" s="125"/>
      <c r="AZ1315" s="125"/>
      <c r="BA1315" s="142"/>
      <c r="BB1315" s="125"/>
      <c r="BC1315" s="16"/>
      <c r="BD1315" s="125"/>
      <c r="BE1315" s="125"/>
      <c r="BF1315" s="16"/>
      <c r="BG1315" s="125"/>
      <c r="BQ1315" s="125"/>
      <c r="BR1315" s="16"/>
      <c r="BS1315" s="123"/>
      <c r="BT1315" s="19"/>
      <c r="BU1315" s="139"/>
      <c r="BV1315" s="139"/>
      <c r="BW1315" s="123"/>
      <c r="BX1315" s="123"/>
      <c r="BY1315" s="123"/>
      <c r="BZ1315" s="123"/>
      <c r="CA1315" s="123"/>
      <c r="CB1315" s="123"/>
      <c r="CC1315" s="6"/>
      <c r="CD1315" s="123"/>
      <c r="CE1315" s="6"/>
      <c r="CF1315" s="123"/>
      <c r="CG1315" s="6"/>
      <c r="CH1315" s="6"/>
      <c r="CI1315" s="6"/>
      <c r="CJ1315" s="6"/>
      <c r="CK1315" s="123"/>
      <c r="CL1315" s="6"/>
      <c r="CM1315" s="6"/>
      <c r="CN1315" s="6"/>
      <c r="CO1315" s="138"/>
      <c r="CP1315" s="138"/>
      <c r="CQ1315" s="123"/>
      <c r="CR1315" s="6"/>
      <c r="CS1315" s="6"/>
      <c r="CT1315" s="139"/>
      <c r="CU1315" s="139"/>
      <c r="CV1315" s="76"/>
      <c r="CW1315" s="123"/>
      <c r="CX1315" s="6"/>
      <c r="DI1315" s="125"/>
      <c r="DJ1315" s="16"/>
      <c r="DM1315" s="16"/>
      <c r="DN1315" s="16"/>
      <c r="DO1315" s="125"/>
      <c r="DP1315" s="16"/>
      <c r="DQ1315" s="125"/>
      <c r="DZ1315" s="125"/>
      <c r="EA1315" s="142"/>
      <c r="EB1315" s="125"/>
      <c r="EC1315" s="16"/>
      <c r="ED1315" s="125"/>
      <c r="EE1315" s="125"/>
      <c r="EF1315" s="16"/>
      <c r="EG1315" s="125"/>
      <c r="EQ1315" s="125"/>
      <c r="ER1315" s="16"/>
      <c r="ES1315" s="123"/>
      <c r="ET1315" s="19"/>
      <c r="EU1315" s="139"/>
      <c r="EV1315" s="139"/>
      <c r="EW1315" s="123"/>
      <c r="EX1315" s="123"/>
      <c r="EY1315" s="123"/>
      <c r="EZ1315" s="123"/>
      <c r="FA1315" s="123"/>
      <c r="FB1315" s="123"/>
      <c r="FC1315" s="6"/>
      <c r="FD1315" s="123"/>
      <c r="FE1315" s="6"/>
      <c r="FF1315" s="123"/>
      <c r="FG1315" s="6"/>
      <c r="FH1315" s="6"/>
      <c r="FI1315" s="6"/>
      <c r="FJ1315" s="6"/>
      <c r="FK1315" s="123"/>
      <c r="FL1315" s="6"/>
      <c r="FM1315" s="6"/>
      <c r="FN1315" s="6"/>
      <c r="FO1315" s="138"/>
      <c r="FP1315" s="138"/>
      <c r="FQ1315" s="123"/>
      <c r="FR1315" s="6"/>
      <c r="FS1315" s="6"/>
      <c r="FT1315" s="139"/>
      <c r="FU1315" s="139"/>
      <c r="FV1315" s="76"/>
      <c r="FW1315" s="123"/>
      <c r="FX1315" s="6"/>
    </row>
    <row r="1316" spans="35:180">
      <c r="AI1316" s="125"/>
      <c r="AJ1316" s="16"/>
      <c r="AM1316" s="16"/>
      <c r="AN1316" s="16"/>
      <c r="AO1316" s="125"/>
      <c r="AP1316" s="16"/>
      <c r="AQ1316" s="125"/>
      <c r="AZ1316" s="125"/>
      <c r="BA1316" s="142"/>
      <c r="BB1316" s="125"/>
      <c r="BC1316" s="16"/>
      <c r="BD1316" s="125"/>
      <c r="BE1316" s="125"/>
      <c r="BF1316" s="16"/>
      <c r="BG1316" s="125"/>
      <c r="BQ1316" s="125"/>
      <c r="BR1316" s="16"/>
      <c r="BS1316" s="123"/>
      <c r="BT1316" s="19"/>
      <c r="BU1316" s="139"/>
      <c r="BV1316" s="139"/>
      <c r="BW1316" s="123"/>
      <c r="BX1316" s="123"/>
      <c r="BY1316" s="123"/>
      <c r="BZ1316" s="123"/>
      <c r="CA1316" s="123"/>
      <c r="CB1316" s="123"/>
      <c r="CC1316" s="6"/>
      <c r="CD1316" s="123"/>
      <c r="CE1316" s="6"/>
      <c r="CF1316" s="123"/>
      <c r="CG1316" s="6"/>
      <c r="CH1316" s="6"/>
      <c r="CI1316" s="6"/>
      <c r="CJ1316" s="6"/>
      <c r="CK1316" s="123"/>
      <c r="CL1316" s="6"/>
      <c r="CM1316" s="6"/>
      <c r="CN1316" s="6"/>
      <c r="CO1316" s="138"/>
      <c r="CP1316" s="138"/>
      <c r="CQ1316" s="123"/>
      <c r="CR1316" s="6"/>
      <c r="CS1316" s="6"/>
      <c r="CT1316" s="139"/>
      <c r="CU1316" s="139"/>
      <c r="CV1316" s="76"/>
      <c r="CW1316" s="123"/>
      <c r="CX1316" s="6"/>
      <c r="DI1316" s="125"/>
      <c r="DJ1316" s="16"/>
      <c r="DM1316" s="16"/>
      <c r="DN1316" s="16"/>
      <c r="DO1316" s="125"/>
      <c r="DP1316" s="16"/>
      <c r="DQ1316" s="125"/>
      <c r="DZ1316" s="125"/>
      <c r="EA1316" s="142"/>
      <c r="EB1316" s="125"/>
      <c r="EC1316" s="16"/>
      <c r="ED1316" s="125"/>
      <c r="EE1316" s="125"/>
      <c r="EF1316" s="16"/>
      <c r="EG1316" s="125"/>
      <c r="EQ1316" s="125"/>
      <c r="ER1316" s="16"/>
      <c r="ES1316" s="123"/>
      <c r="ET1316" s="19"/>
      <c r="EU1316" s="139"/>
      <c r="EV1316" s="139"/>
      <c r="EW1316" s="123"/>
      <c r="EX1316" s="123"/>
      <c r="EY1316" s="123"/>
      <c r="EZ1316" s="123"/>
      <c r="FA1316" s="123"/>
      <c r="FB1316" s="123"/>
      <c r="FC1316" s="6"/>
      <c r="FD1316" s="123"/>
      <c r="FE1316" s="6"/>
      <c r="FF1316" s="123"/>
      <c r="FG1316" s="6"/>
      <c r="FH1316" s="6"/>
      <c r="FI1316" s="6"/>
      <c r="FJ1316" s="6"/>
      <c r="FK1316" s="123"/>
      <c r="FL1316" s="6"/>
      <c r="FM1316" s="6"/>
      <c r="FN1316" s="6"/>
      <c r="FO1316" s="138"/>
      <c r="FP1316" s="138"/>
      <c r="FQ1316" s="123"/>
      <c r="FR1316" s="6"/>
      <c r="FS1316" s="6"/>
      <c r="FT1316" s="139"/>
      <c r="FU1316" s="139"/>
      <c r="FV1316" s="76"/>
      <c r="FW1316" s="123"/>
      <c r="FX1316" s="6"/>
    </row>
    <row r="1317" spans="35:180">
      <c r="AI1317" s="125"/>
      <c r="AJ1317" s="16"/>
      <c r="AM1317" s="16"/>
      <c r="AN1317" s="16"/>
      <c r="AO1317" s="125"/>
      <c r="AP1317" s="16"/>
      <c r="AQ1317" s="125"/>
      <c r="AZ1317" s="125"/>
      <c r="BA1317" s="142"/>
      <c r="BB1317" s="125"/>
      <c r="BC1317" s="16"/>
      <c r="BD1317" s="125"/>
      <c r="BE1317" s="125"/>
      <c r="BF1317" s="16"/>
      <c r="BG1317" s="125"/>
      <c r="BQ1317" s="125"/>
      <c r="BR1317" s="16"/>
      <c r="BS1317" s="123"/>
      <c r="BT1317" s="19"/>
      <c r="BU1317" s="139"/>
      <c r="BV1317" s="139"/>
      <c r="BW1317" s="123"/>
      <c r="BX1317" s="123"/>
      <c r="BY1317" s="123"/>
      <c r="BZ1317" s="123"/>
      <c r="CA1317" s="123"/>
      <c r="CB1317" s="123"/>
      <c r="CC1317" s="6"/>
      <c r="CD1317" s="123"/>
      <c r="CE1317" s="6"/>
      <c r="CF1317" s="123"/>
      <c r="CG1317" s="6"/>
      <c r="CH1317" s="6"/>
      <c r="CI1317" s="6"/>
      <c r="CJ1317" s="6"/>
      <c r="CK1317" s="123"/>
      <c r="CL1317" s="6"/>
      <c r="CM1317" s="6"/>
      <c r="CN1317" s="6"/>
      <c r="CO1317" s="138"/>
      <c r="CP1317" s="138"/>
      <c r="CQ1317" s="123"/>
      <c r="CR1317" s="6"/>
      <c r="CS1317" s="6"/>
      <c r="CT1317" s="139"/>
      <c r="CU1317" s="139"/>
      <c r="CV1317" s="76"/>
      <c r="CW1317" s="123"/>
      <c r="CX1317" s="6"/>
      <c r="DI1317" s="125"/>
      <c r="DJ1317" s="16"/>
      <c r="DM1317" s="16"/>
      <c r="DN1317" s="16"/>
      <c r="DO1317" s="125"/>
      <c r="DP1317" s="16"/>
      <c r="DQ1317" s="125"/>
      <c r="DZ1317" s="125"/>
      <c r="EA1317" s="142"/>
      <c r="EB1317" s="125"/>
      <c r="EC1317" s="16"/>
      <c r="ED1317" s="125"/>
      <c r="EE1317" s="125"/>
      <c r="EF1317" s="16"/>
      <c r="EG1317" s="125"/>
      <c r="EQ1317" s="125"/>
      <c r="ER1317" s="16"/>
      <c r="ES1317" s="123"/>
      <c r="ET1317" s="19"/>
      <c r="EU1317" s="139"/>
      <c r="EV1317" s="139"/>
      <c r="EW1317" s="123"/>
      <c r="EX1317" s="123"/>
      <c r="EY1317" s="123"/>
      <c r="EZ1317" s="123"/>
      <c r="FA1317" s="123"/>
      <c r="FB1317" s="123"/>
      <c r="FC1317" s="6"/>
      <c r="FD1317" s="123"/>
      <c r="FE1317" s="6"/>
      <c r="FF1317" s="123"/>
      <c r="FG1317" s="6"/>
      <c r="FH1317" s="6"/>
      <c r="FI1317" s="6"/>
      <c r="FJ1317" s="6"/>
      <c r="FK1317" s="123"/>
      <c r="FL1317" s="6"/>
      <c r="FM1317" s="6"/>
      <c r="FN1317" s="6"/>
      <c r="FO1317" s="138"/>
      <c r="FP1317" s="138"/>
      <c r="FQ1317" s="123"/>
      <c r="FR1317" s="6"/>
      <c r="FS1317" s="6"/>
      <c r="FT1317" s="139"/>
      <c r="FU1317" s="139"/>
      <c r="FV1317" s="76"/>
      <c r="FW1317" s="123"/>
      <c r="FX1317" s="6"/>
    </row>
    <row r="1318" spans="35:180">
      <c r="AI1318" s="125"/>
      <c r="AJ1318" s="16"/>
      <c r="AM1318" s="16"/>
      <c r="AN1318" s="16"/>
      <c r="AO1318" s="125"/>
      <c r="AP1318" s="16"/>
      <c r="AQ1318" s="125"/>
      <c r="AZ1318" s="125"/>
      <c r="BA1318" s="142"/>
      <c r="BB1318" s="125"/>
      <c r="BC1318" s="16"/>
      <c r="BD1318" s="125"/>
      <c r="BE1318" s="125"/>
      <c r="BF1318" s="16"/>
      <c r="BG1318" s="125"/>
      <c r="BQ1318" s="125"/>
      <c r="BR1318" s="16"/>
      <c r="BS1318" s="123"/>
      <c r="BT1318" s="19"/>
      <c r="BU1318" s="139"/>
      <c r="BV1318" s="139"/>
      <c r="BW1318" s="123"/>
      <c r="BX1318" s="123"/>
      <c r="BY1318" s="123"/>
      <c r="BZ1318" s="123"/>
      <c r="CA1318" s="123"/>
      <c r="CB1318" s="123"/>
      <c r="CC1318" s="6"/>
      <c r="CD1318" s="123"/>
      <c r="CE1318" s="6"/>
      <c r="CF1318" s="123"/>
      <c r="CG1318" s="6"/>
      <c r="CH1318" s="6"/>
      <c r="CI1318" s="6"/>
      <c r="CJ1318" s="6"/>
      <c r="CK1318" s="123"/>
      <c r="CL1318" s="6"/>
      <c r="CM1318" s="6"/>
      <c r="CN1318" s="6"/>
      <c r="CO1318" s="138"/>
      <c r="CP1318" s="138"/>
      <c r="CQ1318" s="123"/>
      <c r="CR1318" s="6"/>
      <c r="CS1318" s="6"/>
      <c r="CT1318" s="139"/>
      <c r="CU1318" s="139"/>
      <c r="CV1318" s="76"/>
      <c r="CW1318" s="123"/>
      <c r="CX1318" s="6"/>
      <c r="DI1318" s="125"/>
      <c r="DJ1318" s="16"/>
      <c r="DM1318" s="16"/>
      <c r="DN1318" s="16"/>
      <c r="DO1318" s="125"/>
      <c r="DP1318" s="16"/>
      <c r="DQ1318" s="125"/>
      <c r="DZ1318" s="125"/>
      <c r="EA1318" s="142"/>
      <c r="EB1318" s="125"/>
      <c r="EC1318" s="16"/>
      <c r="ED1318" s="125"/>
      <c r="EE1318" s="125"/>
      <c r="EF1318" s="16"/>
      <c r="EG1318" s="125"/>
      <c r="EQ1318" s="125"/>
      <c r="ER1318" s="16"/>
      <c r="ES1318" s="123"/>
      <c r="ET1318" s="19"/>
      <c r="EU1318" s="139"/>
      <c r="EV1318" s="139"/>
      <c r="EW1318" s="123"/>
      <c r="EX1318" s="123"/>
      <c r="EY1318" s="123"/>
      <c r="EZ1318" s="123"/>
      <c r="FA1318" s="123"/>
      <c r="FB1318" s="123"/>
      <c r="FC1318" s="6"/>
      <c r="FD1318" s="123"/>
      <c r="FE1318" s="6"/>
      <c r="FF1318" s="123"/>
      <c r="FG1318" s="6"/>
      <c r="FH1318" s="6"/>
      <c r="FI1318" s="6"/>
      <c r="FJ1318" s="6"/>
      <c r="FK1318" s="123"/>
      <c r="FL1318" s="6"/>
      <c r="FM1318" s="6"/>
      <c r="FN1318" s="6"/>
      <c r="FO1318" s="138"/>
      <c r="FP1318" s="138"/>
      <c r="FQ1318" s="123"/>
      <c r="FR1318" s="6"/>
      <c r="FS1318" s="6"/>
      <c r="FT1318" s="139"/>
      <c r="FU1318" s="139"/>
      <c r="FV1318" s="76"/>
      <c r="FW1318" s="123"/>
      <c r="FX1318" s="6"/>
    </row>
    <row r="1319" spans="35:180">
      <c r="AI1319" s="125"/>
      <c r="AJ1319" s="16"/>
      <c r="AM1319" s="16"/>
      <c r="AN1319" s="16"/>
      <c r="AO1319" s="125"/>
      <c r="AP1319" s="16"/>
      <c r="AQ1319" s="125"/>
      <c r="AZ1319" s="125"/>
      <c r="BA1319" s="142"/>
      <c r="BB1319" s="125"/>
      <c r="BC1319" s="16"/>
      <c r="BD1319" s="125"/>
      <c r="BE1319" s="125"/>
      <c r="BF1319" s="16"/>
      <c r="BG1319" s="125"/>
      <c r="BQ1319" s="125"/>
      <c r="BR1319" s="16"/>
      <c r="BS1319" s="123"/>
      <c r="BT1319" s="19"/>
      <c r="BU1319" s="139"/>
      <c r="BV1319" s="139"/>
      <c r="BW1319" s="123"/>
      <c r="BX1319" s="123"/>
      <c r="BY1319" s="123"/>
      <c r="BZ1319" s="123"/>
      <c r="CA1319" s="123"/>
      <c r="CB1319" s="123"/>
      <c r="CC1319" s="6"/>
      <c r="CD1319" s="123"/>
      <c r="CE1319" s="6"/>
      <c r="CF1319" s="123"/>
      <c r="CG1319" s="6"/>
      <c r="CH1319" s="6"/>
      <c r="CI1319" s="6"/>
      <c r="CJ1319" s="6"/>
      <c r="CK1319" s="123"/>
      <c r="CL1319" s="6"/>
      <c r="CM1319" s="6"/>
      <c r="CN1319" s="6"/>
      <c r="CO1319" s="138"/>
      <c r="CP1319" s="138"/>
      <c r="CQ1319" s="123"/>
      <c r="CR1319" s="6"/>
      <c r="CS1319" s="6"/>
      <c r="CT1319" s="139"/>
      <c r="CU1319" s="139"/>
      <c r="CV1319" s="76"/>
      <c r="CW1319" s="123"/>
      <c r="CX1319" s="6"/>
      <c r="DI1319" s="125"/>
      <c r="DJ1319" s="16"/>
      <c r="DM1319" s="16"/>
      <c r="DN1319" s="16"/>
      <c r="DO1319" s="125"/>
      <c r="DP1319" s="16"/>
      <c r="DQ1319" s="125"/>
      <c r="DZ1319" s="125"/>
      <c r="EA1319" s="142"/>
      <c r="EB1319" s="125"/>
      <c r="EC1319" s="16"/>
      <c r="ED1319" s="125"/>
      <c r="EE1319" s="125"/>
      <c r="EF1319" s="16"/>
      <c r="EG1319" s="125"/>
      <c r="EQ1319" s="125"/>
      <c r="ER1319" s="16"/>
      <c r="ES1319" s="123"/>
      <c r="ET1319" s="19"/>
      <c r="EU1319" s="139"/>
      <c r="EV1319" s="139"/>
      <c r="EW1319" s="123"/>
      <c r="EX1319" s="123"/>
      <c r="EY1319" s="123"/>
      <c r="EZ1319" s="123"/>
      <c r="FA1319" s="123"/>
      <c r="FB1319" s="123"/>
      <c r="FC1319" s="6"/>
      <c r="FD1319" s="123"/>
      <c r="FE1319" s="6"/>
      <c r="FF1319" s="123"/>
      <c r="FG1319" s="6"/>
      <c r="FH1319" s="6"/>
      <c r="FI1319" s="6"/>
      <c r="FJ1319" s="6"/>
      <c r="FK1319" s="123"/>
      <c r="FL1319" s="6"/>
      <c r="FM1319" s="6"/>
      <c r="FN1319" s="6"/>
      <c r="FO1319" s="138"/>
      <c r="FP1319" s="138"/>
      <c r="FQ1319" s="123"/>
      <c r="FR1319" s="6"/>
      <c r="FS1319" s="6"/>
      <c r="FT1319" s="139"/>
      <c r="FU1319" s="139"/>
      <c r="FV1319" s="76"/>
      <c r="FW1319" s="123"/>
      <c r="FX1319" s="6"/>
    </row>
    <row r="1320" spans="35:180">
      <c r="AI1320" s="125"/>
      <c r="AJ1320" s="16"/>
      <c r="AM1320" s="16"/>
      <c r="AN1320" s="16"/>
      <c r="AO1320" s="125"/>
      <c r="AP1320" s="16"/>
      <c r="AQ1320" s="125"/>
      <c r="AZ1320" s="125"/>
      <c r="BA1320" s="142"/>
      <c r="BB1320" s="125"/>
      <c r="BC1320" s="16"/>
      <c r="BD1320" s="125"/>
      <c r="BE1320" s="125"/>
      <c r="BF1320" s="16"/>
      <c r="BG1320" s="125"/>
      <c r="BQ1320" s="125"/>
      <c r="BR1320" s="16"/>
      <c r="BS1320" s="123"/>
      <c r="BT1320" s="19"/>
      <c r="BU1320" s="139"/>
      <c r="BV1320" s="139"/>
      <c r="BW1320" s="123"/>
      <c r="BX1320" s="123"/>
      <c r="BY1320" s="123"/>
      <c r="BZ1320" s="123"/>
      <c r="CA1320" s="123"/>
      <c r="CB1320" s="123"/>
      <c r="CC1320" s="6"/>
      <c r="CD1320" s="123"/>
      <c r="CE1320" s="6"/>
      <c r="CF1320" s="123"/>
      <c r="CG1320" s="6"/>
      <c r="CH1320" s="6"/>
      <c r="CI1320" s="6"/>
      <c r="CJ1320" s="6"/>
      <c r="CK1320" s="123"/>
      <c r="CL1320" s="6"/>
      <c r="CM1320" s="6"/>
      <c r="CN1320" s="6"/>
      <c r="CO1320" s="138"/>
      <c r="CP1320" s="138"/>
      <c r="CQ1320" s="123"/>
      <c r="CR1320" s="6"/>
      <c r="CS1320" s="6"/>
      <c r="CT1320" s="139"/>
      <c r="CU1320" s="139"/>
      <c r="CV1320" s="76"/>
      <c r="CW1320" s="123"/>
      <c r="CX1320" s="6"/>
      <c r="DI1320" s="125"/>
      <c r="DJ1320" s="16"/>
      <c r="DM1320" s="16"/>
      <c r="DN1320" s="16"/>
      <c r="DO1320" s="125"/>
      <c r="DP1320" s="16"/>
      <c r="DQ1320" s="125"/>
      <c r="DZ1320" s="125"/>
      <c r="EA1320" s="142"/>
      <c r="EB1320" s="125"/>
      <c r="EC1320" s="16"/>
      <c r="ED1320" s="125"/>
      <c r="EE1320" s="125"/>
      <c r="EF1320" s="16"/>
      <c r="EG1320" s="125"/>
      <c r="EQ1320" s="125"/>
      <c r="ER1320" s="16"/>
      <c r="ES1320" s="123"/>
      <c r="ET1320" s="19"/>
      <c r="EU1320" s="139"/>
      <c r="EV1320" s="139"/>
      <c r="EW1320" s="123"/>
      <c r="EX1320" s="123"/>
      <c r="EY1320" s="123"/>
      <c r="EZ1320" s="123"/>
      <c r="FA1320" s="123"/>
      <c r="FB1320" s="123"/>
      <c r="FC1320" s="6"/>
      <c r="FD1320" s="123"/>
      <c r="FE1320" s="6"/>
      <c r="FF1320" s="123"/>
      <c r="FG1320" s="6"/>
      <c r="FH1320" s="6"/>
      <c r="FI1320" s="6"/>
      <c r="FJ1320" s="6"/>
      <c r="FK1320" s="123"/>
      <c r="FL1320" s="6"/>
      <c r="FM1320" s="6"/>
      <c r="FN1320" s="6"/>
      <c r="FO1320" s="138"/>
      <c r="FP1320" s="138"/>
      <c r="FQ1320" s="123"/>
      <c r="FR1320" s="6"/>
      <c r="FS1320" s="6"/>
      <c r="FT1320" s="139"/>
      <c r="FU1320" s="139"/>
      <c r="FV1320" s="76"/>
      <c r="FW1320" s="123"/>
      <c r="FX1320" s="6"/>
    </row>
    <row r="1321" spans="35:180">
      <c r="AI1321" s="125"/>
      <c r="AJ1321" s="16"/>
      <c r="AM1321" s="16"/>
      <c r="AN1321" s="16"/>
      <c r="AO1321" s="125"/>
      <c r="AP1321" s="16"/>
      <c r="AQ1321" s="125"/>
      <c r="AZ1321" s="125"/>
      <c r="BA1321" s="142"/>
      <c r="BB1321" s="125"/>
      <c r="BC1321" s="16"/>
      <c r="BD1321" s="125"/>
      <c r="BE1321" s="125"/>
      <c r="BF1321" s="16"/>
      <c r="BG1321" s="125"/>
      <c r="BQ1321" s="125"/>
      <c r="BR1321" s="16"/>
      <c r="BS1321" s="123"/>
      <c r="BT1321" s="19"/>
      <c r="BU1321" s="139"/>
      <c r="BV1321" s="139"/>
      <c r="BW1321" s="123"/>
      <c r="BX1321" s="123"/>
      <c r="BY1321" s="123"/>
      <c r="BZ1321" s="123"/>
      <c r="CA1321" s="123"/>
      <c r="CB1321" s="123"/>
      <c r="CC1321" s="6"/>
      <c r="CD1321" s="123"/>
      <c r="CE1321" s="6"/>
      <c r="CF1321" s="123"/>
      <c r="CG1321" s="6"/>
      <c r="CH1321" s="6"/>
      <c r="CI1321" s="6"/>
      <c r="CJ1321" s="6"/>
      <c r="CK1321" s="123"/>
      <c r="CL1321" s="6"/>
      <c r="CM1321" s="6"/>
      <c r="CN1321" s="6"/>
      <c r="CO1321" s="138"/>
      <c r="CP1321" s="138"/>
      <c r="CQ1321" s="123"/>
      <c r="CR1321" s="6"/>
      <c r="CS1321" s="6"/>
      <c r="CT1321" s="139"/>
      <c r="CU1321" s="139"/>
      <c r="CV1321" s="76"/>
      <c r="CW1321" s="123"/>
      <c r="CX1321" s="6"/>
      <c r="DI1321" s="125"/>
      <c r="DJ1321" s="16"/>
      <c r="DM1321" s="16"/>
      <c r="DN1321" s="16"/>
      <c r="DO1321" s="125"/>
      <c r="DP1321" s="16"/>
      <c r="DQ1321" s="125"/>
      <c r="DZ1321" s="125"/>
      <c r="EA1321" s="142"/>
      <c r="EB1321" s="125"/>
      <c r="EC1321" s="16"/>
      <c r="ED1321" s="125"/>
      <c r="EE1321" s="125"/>
      <c r="EF1321" s="16"/>
      <c r="EG1321" s="125"/>
      <c r="EQ1321" s="125"/>
      <c r="ER1321" s="16"/>
      <c r="ES1321" s="123"/>
      <c r="ET1321" s="19"/>
      <c r="EU1321" s="139"/>
      <c r="EV1321" s="139"/>
      <c r="EW1321" s="123"/>
      <c r="EX1321" s="123"/>
      <c r="EY1321" s="123"/>
      <c r="EZ1321" s="123"/>
      <c r="FA1321" s="123"/>
      <c r="FB1321" s="123"/>
      <c r="FC1321" s="6"/>
      <c r="FD1321" s="123"/>
      <c r="FE1321" s="6"/>
      <c r="FF1321" s="123"/>
      <c r="FG1321" s="6"/>
      <c r="FH1321" s="6"/>
      <c r="FI1321" s="6"/>
      <c r="FJ1321" s="6"/>
      <c r="FK1321" s="123"/>
      <c r="FL1321" s="6"/>
      <c r="FM1321" s="6"/>
      <c r="FN1321" s="6"/>
      <c r="FO1321" s="138"/>
      <c r="FP1321" s="138"/>
      <c r="FQ1321" s="123"/>
      <c r="FR1321" s="6"/>
      <c r="FS1321" s="6"/>
      <c r="FT1321" s="139"/>
      <c r="FU1321" s="139"/>
      <c r="FV1321" s="76"/>
      <c r="FW1321" s="123"/>
      <c r="FX1321" s="6"/>
    </row>
    <row r="1322" spans="35:180">
      <c r="AI1322" s="125"/>
      <c r="AJ1322" s="16"/>
      <c r="AM1322" s="16"/>
      <c r="AN1322" s="16"/>
      <c r="AO1322" s="125"/>
      <c r="AP1322" s="16"/>
      <c r="AQ1322" s="125"/>
      <c r="AZ1322" s="125"/>
      <c r="BA1322" s="142"/>
      <c r="BB1322" s="125"/>
      <c r="BC1322" s="16"/>
      <c r="BD1322" s="125"/>
      <c r="BE1322" s="125"/>
      <c r="BF1322" s="16"/>
      <c r="BG1322" s="125"/>
      <c r="BQ1322" s="125"/>
      <c r="BR1322" s="16"/>
      <c r="BS1322" s="123"/>
      <c r="BT1322" s="19"/>
      <c r="BU1322" s="139"/>
      <c r="BV1322" s="139"/>
      <c r="BW1322" s="123"/>
      <c r="BX1322" s="123"/>
      <c r="BY1322" s="123"/>
      <c r="BZ1322" s="123"/>
      <c r="CA1322" s="123"/>
      <c r="CB1322" s="123"/>
      <c r="CC1322" s="6"/>
      <c r="CD1322" s="123"/>
      <c r="CE1322" s="6"/>
      <c r="CF1322" s="123"/>
      <c r="CG1322" s="6"/>
      <c r="CH1322" s="6"/>
      <c r="CI1322" s="6"/>
      <c r="CJ1322" s="6"/>
      <c r="CK1322" s="123"/>
      <c r="CL1322" s="6"/>
      <c r="CM1322" s="6"/>
      <c r="CN1322" s="6"/>
      <c r="CO1322" s="138"/>
      <c r="CP1322" s="138"/>
      <c r="CQ1322" s="123"/>
      <c r="CR1322" s="6"/>
      <c r="CS1322" s="6"/>
      <c r="CT1322" s="139"/>
      <c r="CU1322" s="139"/>
      <c r="CV1322" s="76"/>
      <c r="CW1322" s="123"/>
      <c r="CX1322" s="6"/>
      <c r="DI1322" s="125"/>
      <c r="DJ1322" s="16"/>
      <c r="DM1322" s="16"/>
      <c r="DN1322" s="16"/>
      <c r="DO1322" s="125"/>
      <c r="DP1322" s="16"/>
      <c r="DQ1322" s="125"/>
      <c r="DZ1322" s="125"/>
      <c r="EA1322" s="142"/>
      <c r="EB1322" s="125"/>
      <c r="EC1322" s="16"/>
      <c r="ED1322" s="125"/>
      <c r="EE1322" s="125"/>
      <c r="EF1322" s="16"/>
      <c r="EG1322" s="125"/>
      <c r="EQ1322" s="125"/>
      <c r="ER1322" s="16"/>
      <c r="ES1322" s="123"/>
      <c r="ET1322" s="19"/>
      <c r="EU1322" s="139"/>
      <c r="EV1322" s="139"/>
      <c r="EW1322" s="123"/>
      <c r="EX1322" s="123"/>
      <c r="EY1322" s="123"/>
      <c r="EZ1322" s="123"/>
      <c r="FA1322" s="123"/>
      <c r="FB1322" s="123"/>
      <c r="FC1322" s="6"/>
      <c r="FD1322" s="123"/>
      <c r="FE1322" s="6"/>
      <c r="FF1322" s="123"/>
      <c r="FG1322" s="6"/>
      <c r="FH1322" s="6"/>
      <c r="FI1322" s="6"/>
      <c r="FJ1322" s="6"/>
      <c r="FK1322" s="123"/>
      <c r="FL1322" s="6"/>
      <c r="FM1322" s="6"/>
      <c r="FN1322" s="6"/>
      <c r="FO1322" s="138"/>
      <c r="FP1322" s="138"/>
      <c r="FQ1322" s="123"/>
      <c r="FR1322" s="6"/>
      <c r="FS1322" s="6"/>
      <c r="FT1322" s="139"/>
      <c r="FU1322" s="139"/>
      <c r="FV1322" s="76"/>
      <c r="FW1322" s="123"/>
      <c r="FX1322" s="6"/>
    </row>
    <row r="1323" spans="35:180">
      <c r="AI1323" s="125"/>
      <c r="AJ1323" s="16"/>
      <c r="AM1323" s="16"/>
      <c r="AN1323" s="16"/>
      <c r="AO1323" s="125"/>
      <c r="AP1323" s="16"/>
      <c r="AQ1323" s="125"/>
      <c r="AZ1323" s="125"/>
      <c r="BA1323" s="142"/>
      <c r="BB1323" s="125"/>
      <c r="BC1323" s="16"/>
      <c r="BD1323" s="125"/>
      <c r="BE1323" s="125"/>
      <c r="BF1323" s="16"/>
      <c r="BG1323" s="125"/>
      <c r="BQ1323" s="125"/>
      <c r="BR1323" s="16"/>
      <c r="BS1323" s="123"/>
      <c r="BT1323" s="19"/>
      <c r="BU1323" s="139"/>
      <c r="BV1323" s="139"/>
      <c r="BW1323" s="123"/>
      <c r="BX1323" s="123"/>
      <c r="BY1323" s="123"/>
      <c r="BZ1323" s="123"/>
      <c r="CA1323" s="123"/>
      <c r="CB1323" s="123"/>
      <c r="CC1323" s="6"/>
      <c r="CD1323" s="123"/>
      <c r="CE1323" s="6"/>
      <c r="CF1323" s="123"/>
      <c r="CG1323" s="6"/>
      <c r="CH1323" s="6"/>
      <c r="CI1323" s="6"/>
      <c r="CJ1323" s="6"/>
      <c r="CK1323" s="123"/>
      <c r="CL1323" s="6"/>
      <c r="CM1323" s="6"/>
      <c r="CN1323" s="6"/>
      <c r="CO1323" s="138"/>
      <c r="CP1323" s="138"/>
      <c r="CQ1323" s="123"/>
      <c r="CR1323" s="6"/>
      <c r="CS1323" s="6"/>
      <c r="CT1323" s="139"/>
      <c r="CU1323" s="139"/>
      <c r="CV1323" s="76"/>
      <c r="CW1323" s="123"/>
      <c r="CX1323" s="6"/>
      <c r="DI1323" s="125"/>
      <c r="DJ1323" s="16"/>
      <c r="DM1323" s="16"/>
      <c r="DN1323" s="16"/>
      <c r="DO1323" s="125"/>
      <c r="DP1323" s="16"/>
      <c r="DQ1323" s="125"/>
      <c r="DZ1323" s="125"/>
      <c r="EA1323" s="142"/>
      <c r="EB1323" s="125"/>
      <c r="EC1323" s="16"/>
      <c r="ED1323" s="125"/>
      <c r="EE1323" s="125"/>
      <c r="EF1323" s="16"/>
      <c r="EG1323" s="125"/>
      <c r="EQ1323" s="125"/>
      <c r="ER1323" s="16"/>
      <c r="ES1323" s="123"/>
      <c r="ET1323" s="19"/>
      <c r="EU1323" s="139"/>
      <c r="EV1323" s="139"/>
      <c r="EW1323" s="123"/>
      <c r="EX1323" s="123"/>
      <c r="EY1323" s="123"/>
      <c r="EZ1323" s="123"/>
      <c r="FA1323" s="123"/>
      <c r="FB1323" s="123"/>
      <c r="FC1323" s="6"/>
      <c r="FD1323" s="123"/>
      <c r="FE1323" s="6"/>
      <c r="FF1323" s="123"/>
      <c r="FG1323" s="6"/>
      <c r="FH1323" s="6"/>
      <c r="FI1323" s="6"/>
      <c r="FJ1323" s="6"/>
      <c r="FK1323" s="123"/>
      <c r="FL1323" s="6"/>
      <c r="FM1323" s="6"/>
      <c r="FN1323" s="6"/>
      <c r="FO1323" s="138"/>
      <c r="FP1323" s="138"/>
      <c r="FQ1323" s="123"/>
      <c r="FR1323" s="6"/>
      <c r="FS1323" s="6"/>
      <c r="FT1323" s="139"/>
      <c r="FU1323" s="139"/>
      <c r="FV1323" s="76"/>
      <c r="FW1323" s="123"/>
      <c r="FX1323" s="6"/>
    </row>
    <row r="1324" spans="35:180">
      <c r="AI1324" s="125"/>
      <c r="AJ1324" s="16"/>
      <c r="AM1324" s="16"/>
      <c r="AN1324" s="16"/>
      <c r="AO1324" s="125"/>
      <c r="AP1324" s="16"/>
      <c r="AQ1324" s="125"/>
      <c r="AZ1324" s="125"/>
      <c r="BA1324" s="142"/>
      <c r="BB1324" s="125"/>
      <c r="BC1324" s="16"/>
      <c r="BD1324" s="125"/>
      <c r="BE1324" s="125"/>
      <c r="BF1324" s="16"/>
      <c r="BG1324" s="125"/>
      <c r="BQ1324" s="125"/>
      <c r="BR1324" s="16"/>
      <c r="BS1324" s="123"/>
      <c r="BT1324" s="19"/>
      <c r="BU1324" s="139"/>
      <c r="BV1324" s="139"/>
      <c r="BW1324" s="123"/>
      <c r="BX1324" s="123"/>
      <c r="BY1324" s="123"/>
      <c r="BZ1324" s="123"/>
      <c r="CA1324" s="123"/>
      <c r="CB1324" s="123"/>
      <c r="CC1324" s="6"/>
      <c r="CD1324" s="123"/>
      <c r="CE1324" s="6"/>
      <c r="CF1324" s="123"/>
      <c r="CG1324" s="6"/>
      <c r="CH1324" s="6"/>
      <c r="CI1324" s="6"/>
      <c r="CJ1324" s="6"/>
      <c r="CK1324" s="123"/>
      <c r="CL1324" s="6"/>
      <c r="CM1324" s="6"/>
      <c r="CN1324" s="6"/>
      <c r="CO1324" s="138"/>
      <c r="CP1324" s="138"/>
      <c r="CQ1324" s="123"/>
      <c r="CR1324" s="6"/>
      <c r="CS1324" s="6"/>
      <c r="CT1324" s="139"/>
      <c r="CU1324" s="139"/>
      <c r="CV1324" s="76"/>
      <c r="CW1324" s="123"/>
      <c r="CX1324" s="6"/>
      <c r="DI1324" s="125"/>
      <c r="DJ1324" s="16"/>
      <c r="DM1324" s="16"/>
      <c r="DN1324" s="16"/>
      <c r="DO1324" s="125"/>
      <c r="DP1324" s="16"/>
      <c r="DQ1324" s="125"/>
      <c r="DZ1324" s="125"/>
      <c r="EA1324" s="142"/>
      <c r="EB1324" s="125"/>
      <c r="EC1324" s="16"/>
      <c r="ED1324" s="125"/>
      <c r="EE1324" s="125"/>
      <c r="EF1324" s="16"/>
      <c r="EG1324" s="125"/>
      <c r="EQ1324" s="125"/>
      <c r="ER1324" s="16"/>
      <c r="ES1324" s="123"/>
      <c r="ET1324" s="19"/>
      <c r="EU1324" s="139"/>
      <c r="EV1324" s="139"/>
      <c r="EW1324" s="123"/>
      <c r="EX1324" s="123"/>
      <c r="EY1324" s="123"/>
      <c r="EZ1324" s="123"/>
      <c r="FA1324" s="123"/>
      <c r="FB1324" s="123"/>
      <c r="FC1324" s="6"/>
      <c r="FD1324" s="123"/>
      <c r="FE1324" s="6"/>
      <c r="FF1324" s="123"/>
      <c r="FG1324" s="6"/>
      <c r="FH1324" s="6"/>
      <c r="FI1324" s="6"/>
      <c r="FJ1324" s="6"/>
      <c r="FK1324" s="123"/>
      <c r="FL1324" s="6"/>
      <c r="FM1324" s="6"/>
      <c r="FN1324" s="6"/>
      <c r="FO1324" s="138"/>
      <c r="FP1324" s="138"/>
      <c r="FQ1324" s="123"/>
      <c r="FR1324" s="6"/>
      <c r="FS1324" s="6"/>
      <c r="FT1324" s="139"/>
      <c r="FU1324" s="139"/>
      <c r="FV1324" s="76"/>
      <c r="FW1324" s="123"/>
      <c r="FX1324" s="6"/>
    </row>
    <row r="1325" spans="35:180">
      <c r="AI1325" s="125"/>
      <c r="AJ1325" s="16"/>
      <c r="AM1325" s="16"/>
      <c r="AN1325" s="16"/>
      <c r="AO1325" s="125"/>
      <c r="AP1325" s="16"/>
      <c r="AQ1325" s="125"/>
      <c r="AZ1325" s="125"/>
      <c r="BA1325" s="142"/>
      <c r="BB1325" s="125"/>
      <c r="BC1325" s="16"/>
      <c r="BD1325" s="125"/>
      <c r="BE1325" s="125"/>
      <c r="BF1325" s="16"/>
      <c r="BG1325" s="125"/>
      <c r="BQ1325" s="125"/>
      <c r="BR1325" s="16"/>
      <c r="BS1325" s="123"/>
      <c r="BT1325" s="19"/>
      <c r="BU1325" s="139"/>
      <c r="BV1325" s="139"/>
      <c r="BW1325" s="123"/>
      <c r="BX1325" s="123"/>
      <c r="BY1325" s="123"/>
      <c r="BZ1325" s="123"/>
      <c r="CA1325" s="123"/>
      <c r="CB1325" s="123"/>
      <c r="CC1325" s="6"/>
      <c r="CD1325" s="123"/>
      <c r="CE1325" s="6"/>
      <c r="CF1325" s="123"/>
      <c r="CG1325" s="6"/>
      <c r="CH1325" s="6"/>
      <c r="CI1325" s="6"/>
      <c r="CJ1325" s="6"/>
      <c r="CK1325" s="123"/>
      <c r="CL1325" s="6"/>
      <c r="CM1325" s="6"/>
      <c r="CN1325" s="6"/>
      <c r="CO1325" s="138"/>
      <c r="CP1325" s="138"/>
      <c r="CQ1325" s="123"/>
      <c r="CR1325" s="6"/>
      <c r="CS1325" s="6"/>
      <c r="CT1325" s="139"/>
      <c r="CU1325" s="139"/>
      <c r="CV1325" s="76"/>
      <c r="CW1325" s="123"/>
      <c r="CX1325" s="6"/>
      <c r="DI1325" s="125"/>
      <c r="DJ1325" s="16"/>
      <c r="DM1325" s="16"/>
      <c r="DN1325" s="16"/>
      <c r="DO1325" s="125"/>
      <c r="DP1325" s="16"/>
      <c r="DQ1325" s="125"/>
      <c r="DZ1325" s="125"/>
      <c r="EA1325" s="142"/>
      <c r="EB1325" s="125"/>
      <c r="EC1325" s="16"/>
      <c r="ED1325" s="125"/>
      <c r="EE1325" s="125"/>
      <c r="EF1325" s="16"/>
      <c r="EG1325" s="125"/>
      <c r="EQ1325" s="125"/>
      <c r="ER1325" s="16"/>
      <c r="ES1325" s="123"/>
      <c r="ET1325" s="19"/>
      <c r="EU1325" s="139"/>
      <c r="EV1325" s="139"/>
      <c r="EW1325" s="123"/>
      <c r="EX1325" s="123"/>
      <c r="EY1325" s="123"/>
      <c r="EZ1325" s="123"/>
      <c r="FA1325" s="123"/>
      <c r="FB1325" s="123"/>
      <c r="FC1325" s="6"/>
      <c r="FD1325" s="123"/>
      <c r="FE1325" s="6"/>
      <c r="FF1325" s="123"/>
      <c r="FG1325" s="6"/>
      <c r="FH1325" s="6"/>
      <c r="FI1325" s="6"/>
      <c r="FJ1325" s="6"/>
      <c r="FK1325" s="123"/>
      <c r="FL1325" s="6"/>
      <c r="FM1325" s="6"/>
      <c r="FN1325" s="6"/>
      <c r="FO1325" s="138"/>
      <c r="FP1325" s="138"/>
      <c r="FQ1325" s="123"/>
      <c r="FR1325" s="6"/>
      <c r="FS1325" s="6"/>
      <c r="FT1325" s="139"/>
      <c r="FU1325" s="139"/>
      <c r="FV1325" s="76"/>
      <c r="FW1325" s="123"/>
      <c r="FX1325" s="6"/>
    </row>
    <row r="1326" spans="35:180">
      <c r="AI1326" s="125"/>
      <c r="AJ1326" s="16"/>
      <c r="AM1326" s="16"/>
      <c r="AN1326" s="16"/>
      <c r="AO1326" s="125"/>
      <c r="AP1326" s="16"/>
      <c r="AQ1326" s="125"/>
      <c r="AZ1326" s="125"/>
      <c r="BA1326" s="142"/>
      <c r="BB1326" s="125"/>
      <c r="BC1326" s="16"/>
      <c r="BD1326" s="125"/>
      <c r="BE1326" s="125"/>
      <c r="BF1326" s="16"/>
      <c r="BG1326" s="125"/>
      <c r="BQ1326" s="125"/>
      <c r="BR1326" s="16"/>
      <c r="BS1326" s="123"/>
      <c r="BT1326" s="19"/>
      <c r="BU1326" s="139"/>
      <c r="BV1326" s="139"/>
      <c r="BW1326" s="123"/>
      <c r="BX1326" s="123"/>
      <c r="BY1326" s="123"/>
      <c r="BZ1326" s="123"/>
      <c r="CA1326" s="123"/>
      <c r="CB1326" s="123"/>
      <c r="CC1326" s="6"/>
      <c r="CD1326" s="123"/>
      <c r="CE1326" s="6"/>
      <c r="CF1326" s="123"/>
      <c r="CG1326" s="6"/>
      <c r="CH1326" s="6"/>
      <c r="CI1326" s="6"/>
      <c r="CJ1326" s="6"/>
      <c r="CK1326" s="123"/>
      <c r="CL1326" s="6"/>
      <c r="CM1326" s="6"/>
      <c r="CN1326" s="6"/>
      <c r="CO1326" s="138"/>
      <c r="CP1326" s="138"/>
      <c r="CQ1326" s="123"/>
      <c r="CR1326" s="6"/>
      <c r="CS1326" s="6"/>
      <c r="CT1326" s="139"/>
      <c r="CU1326" s="139"/>
      <c r="CV1326" s="76"/>
      <c r="CW1326" s="123"/>
      <c r="CX1326" s="6"/>
      <c r="DI1326" s="125"/>
      <c r="DJ1326" s="16"/>
      <c r="DM1326" s="16"/>
      <c r="DN1326" s="16"/>
      <c r="DO1326" s="125"/>
      <c r="DP1326" s="16"/>
      <c r="DQ1326" s="125"/>
      <c r="DZ1326" s="125"/>
      <c r="EA1326" s="142"/>
      <c r="EB1326" s="125"/>
      <c r="EC1326" s="16"/>
      <c r="ED1326" s="125"/>
      <c r="EE1326" s="125"/>
      <c r="EF1326" s="16"/>
      <c r="EG1326" s="125"/>
      <c r="EQ1326" s="125"/>
      <c r="ER1326" s="16"/>
      <c r="ES1326" s="123"/>
      <c r="ET1326" s="19"/>
      <c r="EU1326" s="139"/>
      <c r="EV1326" s="139"/>
      <c r="EW1326" s="123"/>
      <c r="EX1326" s="123"/>
      <c r="EY1326" s="123"/>
      <c r="EZ1326" s="123"/>
      <c r="FA1326" s="123"/>
      <c r="FB1326" s="123"/>
      <c r="FC1326" s="6"/>
      <c r="FD1326" s="123"/>
      <c r="FE1326" s="6"/>
      <c r="FF1326" s="123"/>
      <c r="FG1326" s="6"/>
      <c r="FH1326" s="6"/>
      <c r="FI1326" s="6"/>
      <c r="FJ1326" s="6"/>
      <c r="FK1326" s="123"/>
      <c r="FL1326" s="6"/>
      <c r="FM1326" s="6"/>
      <c r="FN1326" s="6"/>
      <c r="FO1326" s="138"/>
      <c r="FP1326" s="138"/>
      <c r="FQ1326" s="123"/>
      <c r="FR1326" s="6"/>
      <c r="FS1326" s="6"/>
      <c r="FT1326" s="139"/>
      <c r="FU1326" s="139"/>
      <c r="FV1326" s="76"/>
      <c r="FW1326" s="123"/>
      <c r="FX1326" s="6"/>
    </row>
    <row r="1327" spans="35:180">
      <c r="AI1327" s="125"/>
      <c r="AJ1327" s="16"/>
      <c r="AM1327" s="16"/>
      <c r="AN1327" s="16"/>
      <c r="AO1327" s="125"/>
      <c r="AP1327" s="16"/>
      <c r="AQ1327" s="125"/>
      <c r="AZ1327" s="125"/>
      <c r="BA1327" s="142"/>
      <c r="BB1327" s="125"/>
      <c r="BC1327" s="16"/>
      <c r="BD1327" s="125"/>
      <c r="BE1327" s="125"/>
      <c r="BF1327" s="16"/>
      <c r="BG1327" s="125"/>
      <c r="BQ1327" s="125"/>
      <c r="BR1327" s="16"/>
      <c r="BS1327" s="123"/>
      <c r="BT1327" s="19"/>
      <c r="BU1327" s="139"/>
      <c r="BV1327" s="139"/>
      <c r="BW1327" s="123"/>
      <c r="BX1327" s="123"/>
      <c r="BY1327" s="123"/>
      <c r="BZ1327" s="123"/>
      <c r="CA1327" s="123"/>
      <c r="CB1327" s="123"/>
      <c r="CC1327" s="6"/>
      <c r="CD1327" s="123"/>
      <c r="CE1327" s="6"/>
      <c r="CF1327" s="123"/>
      <c r="CG1327" s="6"/>
      <c r="CH1327" s="6"/>
      <c r="CI1327" s="6"/>
      <c r="CJ1327" s="6"/>
      <c r="CK1327" s="123"/>
      <c r="CL1327" s="6"/>
      <c r="CM1327" s="6"/>
      <c r="CN1327" s="6"/>
      <c r="CO1327" s="138"/>
      <c r="CP1327" s="138"/>
      <c r="CQ1327" s="123"/>
      <c r="CR1327" s="6"/>
      <c r="CS1327" s="6"/>
      <c r="CT1327" s="139"/>
      <c r="CU1327" s="139"/>
      <c r="CV1327" s="76"/>
      <c r="CW1327" s="123"/>
      <c r="CX1327" s="6"/>
      <c r="DI1327" s="125"/>
      <c r="DJ1327" s="16"/>
      <c r="DM1327" s="16"/>
      <c r="DN1327" s="16"/>
      <c r="DO1327" s="125"/>
      <c r="DP1327" s="16"/>
      <c r="DQ1327" s="125"/>
      <c r="DZ1327" s="125"/>
      <c r="EA1327" s="142"/>
      <c r="EB1327" s="125"/>
      <c r="EC1327" s="16"/>
      <c r="ED1327" s="125"/>
      <c r="EE1327" s="125"/>
      <c r="EF1327" s="16"/>
      <c r="EG1327" s="125"/>
      <c r="EQ1327" s="125"/>
      <c r="ER1327" s="16"/>
      <c r="ES1327" s="123"/>
      <c r="ET1327" s="19"/>
      <c r="EU1327" s="139"/>
      <c r="EV1327" s="139"/>
      <c r="EW1327" s="123"/>
      <c r="EX1327" s="123"/>
      <c r="EY1327" s="123"/>
      <c r="EZ1327" s="123"/>
      <c r="FA1327" s="123"/>
      <c r="FB1327" s="123"/>
      <c r="FC1327" s="6"/>
      <c r="FD1327" s="123"/>
      <c r="FE1327" s="6"/>
      <c r="FF1327" s="123"/>
      <c r="FG1327" s="6"/>
      <c r="FH1327" s="6"/>
      <c r="FI1327" s="6"/>
      <c r="FJ1327" s="6"/>
      <c r="FK1327" s="123"/>
      <c r="FL1327" s="6"/>
      <c r="FM1327" s="6"/>
      <c r="FN1327" s="6"/>
      <c r="FO1327" s="138"/>
      <c r="FP1327" s="138"/>
      <c r="FQ1327" s="123"/>
      <c r="FR1327" s="6"/>
      <c r="FS1327" s="6"/>
      <c r="FT1327" s="139"/>
      <c r="FU1327" s="139"/>
      <c r="FV1327" s="76"/>
      <c r="FW1327" s="123"/>
      <c r="FX1327" s="6"/>
    </row>
    <row r="1328" spans="35:180">
      <c r="AI1328" s="125"/>
      <c r="AJ1328" s="16"/>
      <c r="AM1328" s="16"/>
      <c r="AN1328" s="16"/>
      <c r="AO1328" s="125"/>
      <c r="AP1328" s="16"/>
      <c r="AQ1328" s="125"/>
      <c r="AZ1328" s="125"/>
      <c r="BA1328" s="142"/>
      <c r="BB1328" s="125"/>
      <c r="BC1328" s="16"/>
      <c r="BD1328" s="125"/>
      <c r="BE1328" s="125"/>
      <c r="BF1328" s="16"/>
      <c r="BG1328" s="125"/>
      <c r="BQ1328" s="125"/>
      <c r="BR1328" s="16"/>
      <c r="BS1328" s="123"/>
      <c r="BT1328" s="19"/>
      <c r="BU1328" s="139"/>
      <c r="BV1328" s="139"/>
      <c r="BW1328" s="123"/>
      <c r="BX1328" s="123"/>
      <c r="BY1328" s="123"/>
      <c r="BZ1328" s="123"/>
      <c r="CA1328" s="123"/>
      <c r="CB1328" s="123"/>
      <c r="CC1328" s="6"/>
      <c r="CD1328" s="123"/>
      <c r="CE1328" s="6"/>
      <c r="CF1328" s="123"/>
      <c r="CG1328" s="6"/>
      <c r="CH1328" s="6"/>
      <c r="CI1328" s="6"/>
      <c r="CJ1328" s="6"/>
      <c r="CK1328" s="123"/>
      <c r="CL1328" s="6"/>
      <c r="CM1328" s="6"/>
      <c r="CN1328" s="6"/>
      <c r="CO1328" s="138"/>
      <c r="CP1328" s="138"/>
      <c r="CQ1328" s="123"/>
      <c r="CR1328" s="6"/>
      <c r="CS1328" s="6"/>
      <c r="CT1328" s="139"/>
      <c r="CU1328" s="139"/>
      <c r="CV1328" s="76"/>
      <c r="CW1328" s="123"/>
      <c r="CX1328" s="6"/>
      <c r="DI1328" s="125"/>
      <c r="DJ1328" s="16"/>
      <c r="DM1328" s="16"/>
      <c r="DN1328" s="16"/>
      <c r="DO1328" s="125"/>
      <c r="DP1328" s="16"/>
      <c r="DQ1328" s="125"/>
      <c r="DZ1328" s="125"/>
      <c r="EA1328" s="142"/>
      <c r="EB1328" s="125"/>
      <c r="EC1328" s="16"/>
      <c r="ED1328" s="125"/>
      <c r="EE1328" s="125"/>
      <c r="EF1328" s="16"/>
      <c r="EG1328" s="125"/>
      <c r="EQ1328" s="125"/>
      <c r="ER1328" s="16"/>
      <c r="ES1328" s="123"/>
      <c r="ET1328" s="19"/>
      <c r="EU1328" s="139"/>
      <c r="EV1328" s="139"/>
      <c r="EW1328" s="123"/>
      <c r="EX1328" s="123"/>
      <c r="EY1328" s="123"/>
      <c r="EZ1328" s="123"/>
      <c r="FA1328" s="123"/>
      <c r="FB1328" s="123"/>
      <c r="FC1328" s="6"/>
      <c r="FD1328" s="123"/>
      <c r="FE1328" s="6"/>
      <c r="FF1328" s="123"/>
      <c r="FG1328" s="6"/>
      <c r="FH1328" s="6"/>
      <c r="FI1328" s="6"/>
      <c r="FJ1328" s="6"/>
      <c r="FK1328" s="123"/>
      <c r="FL1328" s="6"/>
      <c r="FM1328" s="6"/>
      <c r="FN1328" s="6"/>
      <c r="FO1328" s="138"/>
      <c r="FP1328" s="138"/>
      <c r="FQ1328" s="123"/>
      <c r="FR1328" s="6"/>
      <c r="FS1328" s="6"/>
      <c r="FT1328" s="139"/>
      <c r="FU1328" s="139"/>
      <c r="FV1328" s="76"/>
      <c r="FW1328" s="123"/>
      <c r="FX1328" s="6"/>
    </row>
    <row r="1329" spans="35:180">
      <c r="AI1329" s="125"/>
      <c r="AJ1329" s="16"/>
      <c r="AM1329" s="16"/>
      <c r="AN1329" s="16"/>
      <c r="AO1329" s="125"/>
      <c r="AP1329" s="16"/>
      <c r="AQ1329" s="125"/>
      <c r="AZ1329" s="125"/>
      <c r="BA1329" s="142"/>
      <c r="BB1329" s="125"/>
      <c r="BC1329" s="16"/>
      <c r="BD1329" s="125"/>
      <c r="BE1329" s="125"/>
      <c r="BF1329" s="16"/>
      <c r="BG1329" s="125"/>
      <c r="BQ1329" s="125"/>
      <c r="BR1329" s="16"/>
      <c r="BS1329" s="123"/>
      <c r="BT1329" s="19"/>
      <c r="BU1329" s="139"/>
      <c r="BV1329" s="139"/>
      <c r="BW1329" s="123"/>
      <c r="BX1329" s="123"/>
      <c r="BY1329" s="123"/>
      <c r="BZ1329" s="123"/>
      <c r="CA1329" s="123"/>
      <c r="CB1329" s="123"/>
      <c r="CC1329" s="6"/>
      <c r="CD1329" s="123"/>
      <c r="CE1329" s="6"/>
      <c r="CF1329" s="123"/>
      <c r="CG1329" s="6"/>
      <c r="CH1329" s="6"/>
      <c r="CI1329" s="6"/>
      <c r="CJ1329" s="6"/>
      <c r="CK1329" s="123"/>
      <c r="CL1329" s="6"/>
      <c r="CM1329" s="6"/>
      <c r="CN1329" s="6"/>
      <c r="CO1329" s="138"/>
      <c r="CP1329" s="138"/>
      <c r="CQ1329" s="123"/>
      <c r="CR1329" s="6"/>
      <c r="CS1329" s="6"/>
      <c r="CT1329" s="139"/>
      <c r="CU1329" s="139"/>
      <c r="CV1329" s="76"/>
      <c r="CW1329" s="123"/>
      <c r="CX1329" s="6"/>
      <c r="DI1329" s="125"/>
      <c r="DJ1329" s="16"/>
      <c r="DM1329" s="16"/>
      <c r="DN1329" s="16"/>
      <c r="DO1329" s="125"/>
      <c r="DP1329" s="16"/>
      <c r="DQ1329" s="125"/>
      <c r="DZ1329" s="125"/>
      <c r="EA1329" s="142"/>
      <c r="EB1329" s="125"/>
      <c r="EC1329" s="16"/>
      <c r="ED1329" s="125"/>
      <c r="EE1329" s="125"/>
      <c r="EF1329" s="16"/>
      <c r="EG1329" s="125"/>
      <c r="EQ1329" s="125"/>
      <c r="ER1329" s="16"/>
      <c r="ES1329" s="123"/>
      <c r="ET1329" s="19"/>
      <c r="EU1329" s="139"/>
      <c r="EV1329" s="139"/>
      <c r="EW1329" s="123"/>
      <c r="EX1329" s="123"/>
      <c r="EY1329" s="123"/>
      <c r="EZ1329" s="123"/>
      <c r="FA1329" s="123"/>
      <c r="FB1329" s="123"/>
      <c r="FC1329" s="6"/>
      <c r="FD1329" s="123"/>
      <c r="FE1329" s="6"/>
      <c r="FF1329" s="123"/>
      <c r="FG1329" s="6"/>
      <c r="FH1329" s="6"/>
      <c r="FI1329" s="6"/>
      <c r="FJ1329" s="6"/>
      <c r="FK1329" s="123"/>
      <c r="FL1329" s="6"/>
      <c r="FM1329" s="6"/>
      <c r="FN1329" s="6"/>
      <c r="FO1329" s="138"/>
      <c r="FP1329" s="138"/>
      <c r="FQ1329" s="123"/>
      <c r="FR1329" s="6"/>
      <c r="FS1329" s="6"/>
      <c r="FT1329" s="139"/>
      <c r="FU1329" s="139"/>
      <c r="FV1329" s="76"/>
      <c r="FW1329" s="123"/>
      <c r="FX1329" s="6"/>
    </row>
    <row r="1330" spans="35:180">
      <c r="AI1330" s="125"/>
      <c r="AJ1330" s="16"/>
      <c r="AM1330" s="16"/>
      <c r="AN1330" s="16"/>
      <c r="AO1330" s="125"/>
      <c r="AP1330" s="16"/>
      <c r="AQ1330" s="125"/>
      <c r="AZ1330" s="125"/>
      <c r="BA1330" s="142"/>
      <c r="BB1330" s="125"/>
      <c r="BC1330" s="16"/>
      <c r="BD1330" s="125"/>
      <c r="BE1330" s="125"/>
      <c r="BF1330" s="16"/>
      <c r="BG1330" s="125"/>
      <c r="BQ1330" s="125"/>
      <c r="BR1330" s="16"/>
      <c r="BS1330" s="123"/>
      <c r="BT1330" s="19"/>
      <c r="BU1330" s="139"/>
      <c r="BV1330" s="139"/>
      <c r="BW1330" s="123"/>
      <c r="BX1330" s="123"/>
      <c r="BY1330" s="123"/>
      <c r="BZ1330" s="123"/>
      <c r="CA1330" s="123"/>
      <c r="CB1330" s="123"/>
      <c r="CC1330" s="6"/>
      <c r="CD1330" s="123"/>
      <c r="CE1330" s="6"/>
      <c r="CF1330" s="123"/>
      <c r="CG1330" s="6"/>
      <c r="CH1330" s="6"/>
      <c r="CI1330" s="6"/>
      <c r="CJ1330" s="6"/>
      <c r="CK1330" s="123"/>
      <c r="CL1330" s="6"/>
      <c r="CM1330" s="6"/>
      <c r="CN1330" s="6"/>
      <c r="CO1330" s="138"/>
      <c r="CP1330" s="138"/>
      <c r="CQ1330" s="123"/>
      <c r="CR1330" s="6"/>
      <c r="CS1330" s="6"/>
      <c r="CT1330" s="139"/>
      <c r="CU1330" s="139"/>
      <c r="CV1330" s="76"/>
      <c r="CW1330" s="123"/>
      <c r="CX1330" s="6"/>
      <c r="DI1330" s="125"/>
      <c r="DJ1330" s="16"/>
      <c r="DM1330" s="16"/>
      <c r="DN1330" s="16"/>
      <c r="DO1330" s="125"/>
      <c r="DP1330" s="16"/>
      <c r="DQ1330" s="125"/>
      <c r="DZ1330" s="125"/>
      <c r="EA1330" s="142"/>
      <c r="EB1330" s="125"/>
      <c r="EC1330" s="16"/>
      <c r="ED1330" s="125"/>
      <c r="EE1330" s="125"/>
      <c r="EF1330" s="16"/>
      <c r="EG1330" s="125"/>
      <c r="EQ1330" s="125"/>
      <c r="ER1330" s="16"/>
      <c r="ES1330" s="123"/>
      <c r="ET1330" s="19"/>
      <c r="EU1330" s="139"/>
      <c r="EV1330" s="139"/>
      <c r="EW1330" s="123"/>
      <c r="EX1330" s="123"/>
      <c r="EY1330" s="123"/>
      <c r="EZ1330" s="123"/>
      <c r="FA1330" s="123"/>
      <c r="FB1330" s="123"/>
      <c r="FC1330" s="6"/>
      <c r="FD1330" s="123"/>
      <c r="FE1330" s="6"/>
      <c r="FF1330" s="123"/>
      <c r="FG1330" s="6"/>
      <c r="FH1330" s="6"/>
      <c r="FI1330" s="6"/>
      <c r="FJ1330" s="6"/>
      <c r="FK1330" s="123"/>
      <c r="FL1330" s="6"/>
      <c r="FM1330" s="6"/>
      <c r="FN1330" s="6"/>
      <c r="FO1330" s="138"/>
      <c r="FP1330" s="138"/>
      <c r="FQ1330" s="123"/>
      <c r="FR1330" s="6"/>
      <c r="FS1330" s="6"/>
      <c r="FT1330" s="139"/>
      <c r="FU1330" s="139"/>
      <c r="FV1330" s="76"/>
      <c r="FW1330" s="123"/>
      <c r="FX1330" s="6"/>
    </row>
    <row r="1331" spans="35:180">
      <c r="AI1331" s="125"/>
      <c r="AJ1331" s="16"/>
      <c r="AM1331" s="16"/>
      <c r="AN1331" s="16"/>
      <c r="AO1331" s="125"/>
      <c r="AP1331" s="16"/>
      <c r="AQ1331" s="125"/>
      <c r="AZ1331" s="125"/>
      <c r="BA1331" s="142"/>
      <c r="BB1331" s="125"/>
      <c r="BC1331" s="16"/>
      <c r="BD1331" s="125"/>
      <c r="BE1331" s="125"/>
      <c r="BF1331" s="16"/>
      <c r="BG1331" s="125"/>
      <c r="BQ1331" s="125"/>
      <c r="BR1331" s="16"/>
      <c r="BS1331" s="123"/>
      <c r="BT1331" s="19"/>
      <c r="BU1331" s="139"/>
      <c r="BV1331" s="139"/>
      <c r="BW1331" s="123"/>
      <c r="BX1331" s="123"/>
      <c r="BY1331" s="123"/>
      <c r="BZ1331" s="123"/>
      <c r="CA1331" s="123"/>
      <c r="CB1331" s="123"/>
      <c r="CC1331" s="6"/>
      <c r="CD1331" s="123"/>
      <c r="CE1331" s="6"/>
      <c r="CF1331" s="123"/>
      <c r="CG1331" s="6"/>
      <c r="CH1331" s="6"/>
      <c r="CI1331" s="6"/>
      <c r="CJ1331" s="6"/>
      <c r="CK1331" s="123"/>
      <c r="CL1331" s="6"/>
      <c r="CM1331" s="6"/>
      <c r="CN1331" s="6"/>
      <c r="CO1331" s="138"/>
      <c r="CP1331" s="138"/>
      <c r="CQ1331" s="123"/>
      <c r="CR1331" s="6"/>
      <c r="CS1331" s="6"/>
      <c r="CT1331" s="139"/>
      <c r="CU1331" s="139"/>
      <c r="CV1331" s="76"/>
      <c r="CW1331" s="123"/>
      <c r="CX1331" s="6"/>
      <c r="DI1331" s="125"/>
      <c r="DJ1331" s="16"/>
      <c r="DM1331" s="16"/>
      <c r="DN1331" s="16"/>
      <c r="DO1331" s="125"/>
      <c r="DP1331" s="16"/>
      <c r="DQ1331" s="125"/>
      <c r="DZ1331" s="125"/>
      <c r="EA1331" s="142"/>
      <c r="EB1331" s="125"/>
      <c r="EC1331" s="16"/>
      <c r="ED1331" s="125"/>
      <c r="EE1331" s="125"/>
      <c r="EF1331" s="16"/>
      <c r="EG1331" s="125"/>
      <c r="EQ1331" s="125"/>
      <c r="ER1331" s="16"/>
      <c r="ES1331" s="123"/>
      <c r="ET1331" s="19"/>
      <c r="EU1331" s="139"/>
      <c r="EV1331" s="139"/>
      <c r="EW1331" s="123"/>
      <c r="EX1331" s="123"/>
      <c r="EY1331" s="123"/>
      <c r="EZ1331" s="123"/>
      <c r="FA1331" s="123"/>
      <c r="FB1331" s="123"/>
      <c r="FC1331" s="6"/>
      <c r="FD1331" s="123"/>
      <c r="FE1331" s="6"/>
      <c r="FF1331" s="123"/>
      <c r="FG1331" s="6"/>
      <c r="FH1331" s="6"/>
      <c r="FI1331" s="6"/>
      <c r="FJ1331" s="6"/>
      <c r="FK1331" s="123"/>
      <c r="FL1331" s="6"/>
      <c r="FM1331" s="6"/>
      <c r="FN1331" s="6"/>
      <c r="FO1331" s="138"/>
      <c r="FP1331" s="138"/>
      <c r="FQ1331" s="123"/>
      <c r="FR1331" s="6"/>
      <c r="FS1331" s="6"/>
      <c r="FT1331" s="139"/>
      <c r="FU1331" s="139"/>
      <c r="FV1331" s="76"/>
      <c r="FW1331" s="123"/>
      <c r="FX1331" s="6"/>
    </row>
    <row r="1332" spans="35:180">
      <c r="AI1332" s="125"/>
      <c r="AJ1332" s="16"/>
      <c r="AM1332" s="16"/>
      <c r="AN1332" s="16"/>
      <c r="AO1332" s="125"/>
      <c r="AP1332" s="16"/>
      <c r="AQ1332" s="125"/>
      <c r="AZ1332" s="125"/>
      <c r="BA1332" s="142"/>
      <c r="BB1332" s="125"/>
      <c r="BC1332" s="16"/>
      <c r="BD1332" s="125"/>
      <c r="BE1332" s="125"/>
      <c r="BF1332" s="16"/>
      <c r="BG1332" s="125"/>
      <c r="BQ1332" s="125"/>
      <c r="BR1332" s="16"/>
      <c r="BS1332" s="123"/>
      <c r="BT1332" s="19"/>
      <c r="BU1332" s="139"/>
      <c r="BV1332" s="139"/>
      <c r="BW1332" s="123"/>
      <c r="BX1332" s="123"/>
      <c r="BY1332" s="123"/>
      <c r="BZ1332" s="123"/>
      <c r="CA1332" s="123"/>
      <c r="CB1332" s="123"/>
      <c r="CC1332" s="6"/>
      <c r="CD1332" s="123"/>
      <c r="CE1332" s="6"/>
      <c r="CF1332" s="123"/>
      <c r="CG1332" s="6"/>
      <c r="CH1332" s="6"/>
      <c r="CI1332" s="6"/>
      <c r="CJ1332" s="6"/>
      <c r="CK1332" s="123"/>
      <c r="CL1332" s="6"/>
      <c r="CM1332" s="6"/>
      <c r="CN1332" s="6"/>
      <c r="CO1332" s="138"/>
      <c r="CP1332" s="138"/>
      <c r="CQ1332" s="123"/>
      <c r="CR1332" s="6"/>
      <c r="CS1332" s="6"/>
      <c r="CT1332" s="139"/>
      <c r="CU1332" s="139"/>
      <c r="CV1332" s="76"/>
      <c r="CW1332" s="123"/>
      <c r="CX1332" s="6"/>
      <c r="DI1332" s="125"/>
      <c r="DJ1332" s="16"/>
      <c r="DM1332" s="16"/>
      <c r="DN1332" s="16"/>
      <c r="DO1332" s="125"/>
      <c r="DP1332" s="16"/>
      <c r="DQ1332" s="125"/>
      <c r="DZ1332" s="125"/>
      <c r="EA1332" s="142"/>
      <c r="EB1332" s="125"/>
      <c r="EC1332" s="16"/>
      <c r="ED1332" s="125"/>
      <c r="EE1332" s="125"/>
      <c r="EF1332" s="16"/>
      <c r="EG1332" s="125"/>
      <c r="EQ1332" s="125"/>
      <c r="ER1332" s="16"/>
      <c r="ES1332" s="123"/>
      <c r="ET1332" s="19"/>
      <c r="EU1332" s="139"/>
      <c r="EV1332" s="139"/>
      <c r="EW1332" s="123"/>
      <c r="EX1332" s="123"/>
      <c r="EY1332" s="123"/>
      <c r="EZ1332" s="123"/>
      <c r="FA1332" s="123"/>
      <c r="FB1332" s="123"/>
      <c r="FC1332" s="6"/>
      <c r="FD1332" s="123"/>
      <c r="FE1332" s="6"/>
      <c r="FF1332" s="123"/>
      <c r="FG1332" s="6"/>
      <c r="FH1332" s="6"/>
      <c r="FI1332" s="6"/>
      <c r="FJ1332" s="6"/>
      <c r="FK1332" s="123"/>
      <c r="FL1332" s="6"/>
      <c r="FM1332" s="6"/>
      <c r="FN1332" s="6"/>
      <c r="FO1332" s="138"/>
      <c r="FP1332" s="138"/>
      <c r="FQ1332" s="123"/>
      <c r="FR1332" s="6"/>
      <c r="FS1332" s="6"/>
      <c r="FT1332" s="139"/>
      <c r="FU1332" s="139"/>
      <c r="FV1332" s="76"/>
      <c r="FW1332" s="123"/>
      <c r="FX1332" s="6"/>
    </row>
    <row r="1333" spans="35:180">
      <c r="AI1333" s="125"/>
      <c r="AJ1333" s="16"/>
      <c r="AM1333" s="16"/>
      <c r="AN1333" s="16"/>
      <c r="AO1333" s="125"/>
      <c r="AP1333" s="16"/>
      <c r="AQ1333" s="125"/>
      <c r="AZ1333" s="125"/>
      <c r="BA1333" s="142"/>
      <c r="BB1333" s="125"/>
      <c r="BC1333" s="16"/>
      <c r="BD1333" s="125"/>
      <c r="BE1333" s="125"/>
      <c r="BF1333" s="16"/>
      <c r="BG1333" s="125"/>
      <c r="BQ1333" s="125"/>
      <c r="BR1333" s="16"/>
      <c r="BS1333" s="123"/>
      <c r="BT1333" s="19"/>
      <c r="BU1333" s="139"/>
      <c r="BV1333" s="139"/>
      <c r="BW1333" s="123"/>
      <c r="BX1333" s="123"/>
      <c r="BY1333" s="123"/>
      <c r="BZ1333" s="123"/>
      <c r="CA1333" s="123"/>
      <c r="CB1333" s="123"/>
      <c r="CC1333" s="6"/>
      <c r="CD1333" s="123"/>
      <c r="CE1333" s="6"/>
      <c r="CF1333" s="123"/>
      <c r="CG1333" s="6"/>
      <c r="CH1333" s="6"/>
      <c r="CI1333" s="6"/>
      <c r="CJ1333" s="6"/>
      <c r="CK1333" s="123"/>
      <c r="CL1333" s="6"/>
      <c r="CM1333" s="6"/>
      <c r="CN1333" s="6"/>
      <c r="CO1333" s="138"/>
      <c r="CP1333" s="138"/>
      <c r="CQ1333" s="123"/>
      <c r="CR1333" s="6"/>
      <c r="CS1333" s="6"/>
      <c r="CT1333" s="139"/>
      <c r="CU1333" s="139"/>
      <c r="CV1333" s="76"/>
      <c r="CW1333" s="123"/>
      <c r="CX1333" s="6"/>
      <c r="DI1333" s="125"/>
      <c r="DJ1333" s="16"/>
      <c r="DM1333" s="16"/>
      <c r="DN1333" s="16"/>
      <c r="DO1333" s="125"/>
      <c r="DP1333" s="16"/>
      <c r="DQ1333" s="125"/>
      <c r="DZ1333" s="125"/>
      <c r="EA1333" s="142"/>
      <c r="EB1333" s="125"/>
      <c r="EC1333" s="16"/>
      <c r="ED1333" s="125"/>
      <c r="EE1333" s="125"/>
      <c r="EF1333" s="16"/>
      <c r="EG1333" s="125"/>
      <c r="EQ1333" s="125"/>
      <c r="ER1333" s="16"/>
      <c r="ES1333" s="123"/>
      <c r="ET1333" s="19"/>
      <c r="EU1333" s="139"/>
      <c r="EV1333" s="139"/>
      <c r="EW1333" s="123"/>
      <c r="EX1333" s="123"/>
      <c r="EY1333" s="123"/>
      <c r="EZ1333" s="123"/>
      <c r="FA1333" s="123"/>
      <c r="FB1333" s="123"/>
      <c r="FC1333" s="6"/>
      <c r="FD1333" s="123"/>
      <c r="FE1333" s="6"/>
      <c r="FF1333" s="123"/>
      <c r="FG1333" s="6"/>
      <c r="FH1333" s="6"/>
      <c r="FI1333" s="6"/>
      <c r="FJ1333" s="6"/>
      <c r="FK1333" s="123"/>
      <c r="FL1333" s="6"/>
      <c r="FM1333" s="6"/>
      <c r="FN1333" s="6"/>
      <c r="FO1333" s="138"/>
      <c r="FP1333" s="138"/>
      <c r="FQ1333" s="123"/>
      <c r="FR1333" s="6"/>
      <c r="FS1333" s="6"/>
      <c r="FT1333" s="139"/>
      <c r="FU1333" s="139"/>
      <c r="FV1333" s="76"/>
      <c r="FW1333" s="123"/>
      <c r="FX1333" s="6"/>
    </row>
    <row r="1334" spans="35:180">
      <c r="AI1334" s="125"/>
      <c r="AJ1334" s="16"/>
      <c r="AM1334" s="16"/>
      <c r="AN1334" s="16"/>
      <c r="AO1334" s="125"/>
      <c r="AP1334" s="16"/>
      <c r="AQ1334" s="125"/>
      <c r="AZ1334" s="125"/>
      <c r="BA1334" s="142"/>
      <c r="BB1334" s="125"/>
      <c r="BC1334" s="16"/>
      <c r="BD1334" s="125"/>
      <c r="BE1334" s="125"/>
      <c r="BF1334" s="16"/>
      <c r="BG1334" s="125"/>
      <c r="BQ1334" s="125"/>
      <c r="BR1334" s="16"/>
      <c r="BS1334" s="123"/>
      <c r="BT1334" s="19"/>
      <c r="BU1334" s="139"/>
      <c r="BV1334" s="139"/>
      <c r="BW1334" s="123"/>
      <c r="BX1334" s="123"/>
      <c r="BY1334" s="123"/>
      <c r="BZ1334" s="123"/>
      <c r="CA1334" s="123"/>
      <c r="CB1334" s="123"/>
      <c r="CC1334" s="6"/>
      <c r="CD1334" s="123"/>
      <c r="CE1334" s="6"/>
      <c r="CF1334" s="123"/>
      <c r="CG1334" s="6"/>
      <c r="CH1334" s="6"/>
      <c r="CI1334" s="6"/>
      <c r="CJ1334" s="6"/>
      <c r="CK1334" s="123"/>
      <c r="CL1334" s="6"/>
      <c r="CM1334" s="6"/>
      <c r="CN1334" s="6"/>
      <c r="CO1334" s="138"/>
      <c r="CP1334" s="138"/>
      <c r="CQ1334" s="123"/>
      <c r="CR1334" s="6"/>
      <c r="CS1334" s="6"/>
      <c r="CT1334" s="139"/>
      <c r="CU1334" s="139"/>
      <c r="CV1334" s="76"/>
      <c r="CW1334" s="123"/>
      <c r="CX1334" s="6"/>
      <c r="DI1334" s="125"/>
      <c r="DJ1334" s="16"/>
      <c r="DM1334" s="16"/>
      <c r="DN1334" s="16"/>
      <c r="DO1334" s="125"/>
      <c r="DP1334" s="16"/>
      <c r="DQ1334" s="125"/>
      <c r="DZ1334" s="125"/>
      <c r="EA1334" s="142"/>
      <c r="EB1334" s="125"/>
      <c r="EC1334" s="16"/>
      <c r="ED1334" s="125"/>
      <c r="EE1334" s="125"/>
      <c r="EF1334" s="16"/>
      <c r="EG1334" s="125"/>
      <c r="EQ1334" s="125"/>
      <c r="ER1334" s="16"/>
      <c r="ES1334" s="123"/>
      <c r="ET1334" s="19"/>
      <c r="EU1334" s="139"/>
      <c r="EV1334" s="139"/>
      <c r="EW1334" s="123"/>
      <c r="EX1334" s="123"/>
      <c r="EY1334" s="123"/>
      <c r="EZ1334" s="123"/>
      <c r="FA1334" s="123"/>
      <c r="FB1334" s="123"/>
      <c r="FC1334" s="6"/>
      <c r="FD1334" s="123"/>
      <c r="FE1334" s="6"/>
      <c r="FF1334" s="123"/>
      <c r="FG1334" s="6"/>
      <c r="FH1334" s="6"/>
      <c r="FI1334" s="6"/>
      <c r="FJ1334" s="6"/>
      <c r="FK1334" s="123"/>
      <c r="FL1334" s="6"/>
      <c r="FM1334" s="6"/>
      <c r="FN1334" s="6"/>
      <c r="FO1334" s="138"/>
      <c r="FP1334" s="138"/>
      <c r="FQ1334" s="123"/>
      <c r="FR1334" s="6"/>
      <c r="FS1334" s="6"/>
      <c r="FT1334" s="139"/>
      <c r="FU1334" s="139"/>
      <c r="FV1334" s="76"/>
      <c r="FW1334" s="123"/>
      <c r="FX1334" s="6"/>
    </row>
    <row r="1335" spans="35:180">
      <c r="AI1335" s="125"/>
      <c r="AJ1335" s="16"/>
      <c r="AM1335" s="16"/>
      <c r="AN1335" s="16"/>
      <c r="AO1335" s="125"/>
      <c r="AP1335" s="16"/>
      <c r="AQ1335" s="125"/>
      <c r="AZ1335" s="125"/>
      <c r="BA1335" s="142"/>
      <c r="BB1335" s="125"/>
      <c r="BC1335" s="16"/>
      <c r="BD1335" s="125"/>
      <c r="BE1335" s="125"/>
      <c r="BF1335" s="16"/>
      <c r="BG1335" s="125"/>
      <c r="BQ1335" s="125"/>
      <c r="BR1335" s="16"/>
      <c r="BS1335" s="123"/>
      <c r="BT1335" s="19"/>
      <c r="BU1335" s="139"/>
      <c r="BV1335" s="139"/>
      <c r="BW1335" s="123"/>
      <c r="BX1335" s="123"/>
      <c r="BY1335" s="123"/>
      <c r="BZ1335" s="123"/>
      <c r="CA1335" s="123"/>
      <c r="CB1335" s="123"/>
      <c r="CC1335" s="6"/>
      <c r="CD1335" s="123"/>
      <c r="CE1335" s="6"/>
      <c r="CF1335" s="123"/>
      <c r="CG1335" s="6"/>
      <c r="CH1335" s="6"/>
      <c r="CI1335" s="6"/>
      <c r="CJ1335" s="6"/>
      <c r="CK1335" s="123"/>
      <c r="CL1335" s="6"/>
      <c r="CM1335" s="6"/>
      <c r="CN1335" s="6"/>
      <c r="CO1335" s="138"/>
      <c r="CP1335" s="138"/>
      <c r="CQ1335" s="123"/>
      <c r="CR1335" s="6"/>
      <c r="CS1335" s="6"/>
      <c r="CT1335" s="139"/>
      <c r="CU1335" s="139"/>
      <c r="CV1335" s="76"/>
      <c r="CW1335" s="123"/>
      <c r="CX1335" s="6"/>
      <c r="DI1335" s="125"/>
      <c r="DJ1335" s="16"/>
      <c r="DM1335" s="16"/>
      <c r="DN1335" s="16"/>
      <c r="DO1335" s="125"/>
      <c r="DP1335" s="16"/>
      <c r="DQ1335" s="125"/>
      <c r="DZ1335" s="125"/>
      <c r="EA1335" s="142"/>
      <c r="EB1335" s="125"/>
      <c r="EC1335" s="16"/>
      <c r="ED1335" s="125"/>
      <c r="EE1335" s="125"/>
      <c r="EF1335" s="16"/>
      <c r="EG1335" s="125"/>
      <c r="EQ1335" s="125"/>
      <c r="ER1335" s="16"/>
      <c r="ES1335" s="123"/>
      <c r="ET1335" s="19"/>
      <c r="EU1335" s="139"/>
      <c r="EV1335" s="139"/>
      <c r="EW1335" s="123"/>
      <c r="EX1335" s="123"/>
      <c r="EY1335" s="123"/>
      <c r="EZ1335" s="123"/>
      <c r="FA1335" s="123"/>
      <c r="FB1335" s="123"/>
      <c r="FC1335" s="6"/>
      <c r="FD1335" s="123"/>
      <c r="FE1335" s="6"/>
      <c r="FF1335" s="123"/>
      <c r="FG1335" s="6"/>
      <c r="FH1335" s="6"/>
      <c r="FI1335" s="6"/>
      <c r="FJ1335" s="6"/>
      <c r="FK1335" s="123"/>
      <c r="FL1335" s="6"/>
      <c r="FM1335" s="6"/>
      <c r="FN1335" s="6"/>
      <c r="FO1335" s="138"/>
      <c r="FP1335" s="138"/>
      <c r="FQ1335" s="123"/>
      <c r="FR1335" s="6"/>
      <c r="FS1335" s="6"/>
      <c r="FT1335" s="139"/>
      <c r="FU1335" s="139"/>
      <c r="FV1335" s="76"/>
      <c r="FW1335" s="123"/>
      <c r="FX1335" s="6"/>
    </row>
    <row r="1336" spans="35:180">
      <c r="AI1336" s="125"/>
      <c r="AJ1336" s="16"/>
      <c r="AM1336" s="16"/>
      <c r="AN1336" s="16"/>
      <c r="AO1336" s="125"/>
      <c r="AP1336" s="16"/>
      <c r="AQ1336" s="125"/>
      <c r="AZ1336" s="125"/>
      <c r="BA1336" s="142"/>
      <c r="BB1336" s="125"/>
      <c r="BC1336" s="16"/>
      <c r="BD1336" s="125"/>
      <c r="BE1336" s="125"/>
      <c r="BF1336" s="16"/>
      <c r="BG1336" s="125"/>
      <c r="BQ1336" s="125"/>
      <c r="BR1336" s="16"/>
      <c r="BS1336" s="123"/>
      <c r="BT1336" s="19"/>
      <c r="BU1336" s="139"/>
      <c r="BV1336" s="139"/>
      <c r="BW1336" s="123"/>
      <c r="BX1336" s="123"/>
      <c r="BY1336" s="123"/>
      <c r="BZ1336" s="123"/>
      <c r="CA1336" s="123"/>
      <c r="CB1336" s="123"/>
      <c r="CC1336" s="6"/>
      <c r="CD1336" s="123"/>
      <c r="CE1336" s="6"/>
      <c r="CF1336" s="123"/>
      <c r="CG1336" s="6"/>
      <c r="CH1336" s="6"/>
      <c r="CI1336" s="6"/>
      <c r="CJ1336" s="6"/>
      <c r="CK1336" s="123"/>
      <c r="CL1336" s="6"/>
      <c r="CM1336" s="6"/>
      <c r="CN1336" s="6"/>
      <c r="CO1336" s="138"/>
      <c r="CP1336" s="138"/>
      <c r="CQ1336" s="123"/>
      <c r="CR1336" s="6"/>
      <c r="CS1336" s="6"/>
      <c r="CT1336" s="139"/>
      <c r="CU1336" s="139"/>
      <c r="CV1336" s="76"/>
      <c r="CW1336" s="123"/>
      <c r="CX1336" s="6"/>
      <c r="DI1336" s="125"/>
      <c r="DJ1336" s="16"/>
      <c r="DM1336" s="16"/>
      <c r="DN1336" s="16"/>
      <c r="DO1336" s="125"/>
      <c r="DP1336" s="16"/>
      <c r="DQ1336" s="125"/>
      <c r="DZ1336" s="125"/>
      <c r="EA1336" s="142"/>
      <c r="EB1336" s="125"/>
      <c r="EC1336" s="16"/>
      <c r="ED1336" s="125"/>
      <c r="EE1336" s="125"/>
      <c r="EF1336" s="16"/>
      <c r="EG1336" s="125"/>
      <c r="EQ1336" s="125"/>
      <c r="ER1336" s="16"/>
      <c r="ES1336" s="123"/>
      <c r="ET1336" s="19"/>
      <c r="EU1336" s="139"/>
      <c r="EV1336" s="139"/>
      <c r="EW1336" s="123"/>
      <c r="EX1336" s="123"/>
      <c r="EY1336" s="123"/>
      <c r="EZ1336" s="123"/>
      <c r="FA1336" s="123"/>
      <c r="FB1336" s="123"/>
      <c r="FC1336" s="6"/>
      <c r="FD1336" s="123"/>
      <c r="FE1336" s="6"/>
      <c r="FF1336" s="123"/>
      <c r="FG1336" s="6"/>
      <c r="FH1336" s="6"/>
      <c r="FI1336" s="6"/>
      <c r="FJ1336" s="6"/>
      <c r="FK1336" s="123"/>
      <c r="FL1336" s="6"/>
      <c r="FM1336" s="6"/>
      <c r="FN1336" s="6"/>
      <c r="FO1336" s="138"/>
      <c r="FP1336" s="138"/>
      <c r="FQ1336" s="123"/>
      <c r="FR1336" s="6"/>
      <c r="FS1336" s="6"/>
      <c r="FT1336" s="139"/>
      <c r="FU1336" s="139"/>
      <c r="FV1336" s="76"/>
      <c r="FW1336" s="123"/>
      <c r="FX1336" s="6"/>
    </row>
    <row r="1337" spans="35:180">
      <c r="AI1337" s="125"/>
      <c r="AJ1337" s="16"/>
      <c r="AM1337" s="16"/>
      <c r="AN1337" s="16"/>
      <c r="AO1337" s="125"/>
      <c r="AP1337" s="16"/>
      <c r="AQ1337" s="125"/>
      <c r="AZ1337" s="125"/>
      <c r="BA1337" s="142"/>
      <c r="BB1337" s="125"/>
      <c r="BC1337" s="16"/>
      <c r="BD1337" s="125"/>
      <c r="BE1337" s="125"/>
      <c r="BF1337" s="16"/>
      <c r="BG1337" s="125"/>
      <c r="BQ1337" s="125"/>
      <c r="BR1337" s="16"/>
      <c r="BS1337" s="123"/>
      <c r="BT1337" s="19"/>
      <c r="BU1337" s="139"/>
      <c r="BV1337" s="139"/>
      <c r="BW1337" s="123"/>
      <c r="BX1337" s="123"/>
      <c r="BY1337" s="123"/>
      <c r="BZ1337" s="123"/>
      <c r="CA1337" s="123"/>
      <c r="CB1337" s="123"/>
      <c r="CC1337" s="6"/>
      <c r="CD1337" s="123"/>
      <c r="CE1337" s="6"/>
      <c r="CF1337" s="123"/>
      <c r="CG1337" s="6"/>
      <c r="CH1337" s="6"/>
      <c r="CI1337" s="6"/>
      <c r="CJ1337" s="6"/>
      <c r="CK1337" s="123"/>
      <c r="CL1337" s="6"/>
      <c r="CM1337" s="6"/>
      <c r="CN1337" s="6"/>
      <c r="CO1337" s="138"/>
      <c r="CP1337" s="138"/>
      <c r="CQ1337" s="123"/>
      <c r="CR1337" s="6"/>
      <c r="CS1337" s="6"/>
      <c r="CT1337" s="139"/>
      <c r="CU1337" s="139"/>
      <c r="CV1337" s="76"/>
      <c r="CW1337" s="123"/>
      <c r="CX1337" s="6"/>
      <c r="DI1337" s="125"/>
      <c r="DJ1337" s="16"/>
      <c r="DM1337" s="16"/>
      <c r="DN1337" s="16"/>
      <c r="DO1337" s="125"/>
      <c r="DP1337" s="16"/>
      <c r="DQ1337" s="125"/>
      <c r="DZ1337" s="125"/>
      <c r="EA1337" s="142"/>
      <c r="EB1337" s="125"/>
      <c r="EC1337" s="16"/>
      <c r="ED1337" s="125"/>
      <c r="EE1337" s="125"/>
      <c r="EF1337" s="16"/>
      <c r="EG1337" s="125"/>
      <c r="EQ1337" s="125"/>
      <c r="ER1337" s="16"/>
      <c r="ES1337" s="123"/>
      <c r="ET1337" s="19"/>
      <c r="EU1337" s="139"/>
      <c r="EV1337" s="139"/>
      <c r="EW1337" s="123"/>
      <c r="EX1337" s="123"/>
      <c r="EY1337" s="123"/>
      <c r="EZ1337" s="123"/>
      <c r="FA1337" s="123"/>
      <c r="FB1337" s="123"/>
      <c r="FC1337" s="6"/>
      <c r="FD1337" s="123"/>
      <c r="FE1337" s="6"/>
      <c r="FF1337" s="123"/>
      <c r="FG1337" s="6"/>
      <c r="FH1337" s="6"/>
      <c r="FI1337" s="6"/>
      <c r="FJ1337" s="6"/>
      <c r="FK1337" s="123"/>
      <c r="FL1337" s="6"/>
      <c r="FM1337" s="6"/>
      <c r="FN1337" s="6"/>
      <c r="FO1337" s="138"/>
      <c r="FP1337" s="138"/>
      <c r="FQ1337" s="123"/>
      <c r="FR1337" s="6"/>
      <c r="FS1337" s="6"/>
      <c r="FT1337" s="139"/>
      <c r="FU1337" s="139"/>
      <c r="FV1337" s="76"/>
      <c r="FW1337" s="123"/>
      <c r="FX1337" s="6"/>
    </row>
    <row r="1338" spans="35:180">
      <c r="AI1338" s="125"/>
      <c r="AJ1338" s="16"/>
      <c r="AM1338" s="16"/>
      <c r="AN1338" s="16"/>
      <c r="AO1338" s="125"/>
      <c r="AP1338" s="16"/>
      <c r="AQ1338" s="125"/>
      <c r="AZ1338" s="125"/>
      <c r="BA1338" s="142"/>
      <c r="BB1338" s="125"/>
      <c r="BC1338" s="16"/>
      <c r="BD1338" s="125"/>
      <c r="BE1338" s="125"/>
      <c r="BF1338" s="16"/>
      <c r="BG1338" s="125"/>
      <c r="BQ1338" s="125"/>
      <c r="BR1338" s="16"/>
      <c r="BS1338" s="123"/>
      <c r="BT1338" s="19"/>
      <c r="BU1338" s="139"/>
      <c r="BV1338" s="139"/>
      <c r="BW1338" s="123"/>
      <c r="BX1338" s="123"/>
      <c r="BY1338" s="123"/>
      <c r="BZ1338" s="123"/>
      <c r="CA1338" s="123"/>
      <c r="CB1338" s="123"/>
      <c r="CC1338" s="6"/>
      <c r="CD1338" s="123"/>
      <c r="CE1338" s="6"/>
      <c r="CF1338" s="123"/>
      <c r="CG1338" s="6"/>
      <c r="CH1338" s="6"/>
      <c r="CI1338" s="6"/>
      <c r="CJ1338" s="6"/>
      <c r="CK1338" s="123"/>
      <c r="CL1338" s="6"/>
      <c r="CM1338" s="6"/>
      <c r="CN1338" s="6"/>
      <c r="CO1338" s="138"/>
      <c r="CP1338" s="138"/>
      <c r="CQ1338" s="123"/>
      <c r="CR1338" s="6"/>
      <c r="CS1338" s="6"/>
      <c r="CT1338" s="139"/>
      <c r="CU1338" s="139"/>
      <c r="CV1338" s="76"/>
      <c r="CW1338" s="123"/>
      <c r="CX1338" s="6"/>
      <c r="DI1338" s="125"/>
      <c r="DJ1338" s="16"/>
      <c r="DM1338" s="16"/>
      <c r="DN1338" s="16"/>
      <c r="DO1338" s="125"/>
      <c r="DP1338" s="16"/>
      <c r="DQ1338" s="125"/>
      <c r="DZ1338" s="125"/>
      <c r="EA1338" s="142"/>
      <c r="EB1338" s="125"/>
      <c r="EC1338" s="16"/>
      <c r="ED1338" s="125"/>
      <c r="EE1338" s="125"/>
      <c r="EF1338" s="16"/>
      <c r="EG1338" s="125"/>
      <c r="EQ1338" s="125"/>
      <c r="ER1338" s="16"/>
      <c r="ES1338" s="123"/>
      <c r="ET1338" s="19"/>
      <c r="EU1338" s="139"/>
      <c r="EV1338" s="139"/>
      <c r="EW1338" s="123"/>
      <c r="EX1338" s="123"/>
      <c r="EY1338" s="123"/>
      <c r="EZ1338" s="123"/>
      <c r="FA1338" s="123"/>
      <c r="FB1338" s="123"/>
      <c r="FC1338" s="6"/>
      <c r="FD1338" s="123"/>
      <c r="FE1338" s="6"/>
      <c r="FF1338" s="123"/>
      <c r="FG1338" s="6"/>
      <c r="FH1338" s="6"/>
      <c r="FI1338" s="6"/>
      <c r="FJ1338" s="6"/>
      <c r="FK1338" s="123"/>
      <c r="FL1338" s="6"/>
      <c r="FM1338" s="6"/>
      <c r="FN1338" s="6"/>
      <c r="FO1338" s="138"/>
      <c r="FP1338" s="138"/>
      <c r="FQ1338" s="123"/>
      <c r="FR1338" s="6"/>
      <c r="FS1338" s="6"/>
      <c r="FT1338" s="139"/>
      <c r="FU1338" s="139"/>
      <c r="FV1338" s="76"/>
      <c r="FW1338" s="123"/>
      <c r="FX1338" s="6"/>
    </row>
    <row r="1339" spans="35:180">
      <c r="AI1339" s="125"/>
      <c r="AJ1339" s="16"/>
      <c r="AM1339" s="16"/>
      <c r="AN1339" s="16"/>
      <c r="AO1339" s="125"/>
      <c r="AP1339" s="16"/>
      <c r="AQ1339" s="125"/>
      <c r="AZ1339" s="125"/>
      <c r="BA1339" s="142"/>
      <c r="BB1339" s="125"/>
      <c r="BC1339" s="16"/>
      <c r="BD1339" s="125"/>
      <c r="BE1339" s="125"/>
      <c r="BF1339" s="16"/>
      <c r="BG1339" s="125"/>
      <c r="BQ1339" s="125"/>
      <c r="BR1339" s="16"/>
      <c r="BS1339" s="123"/>
      <c r="BT1339" s="19"/>
      <c r="BU1339" s="139"/>
      <c r="BV1339" s="139"/>
      <c r="BW1339" s="123"/>
      <c r="BX1339" s="123"/>
      <c r="BY1339" s="123"/>
      <c r="BZ1339" s="123"/>
      <c r="CA1339" s="123"/>
      <c r="CB1339" s="123"/>
      <c r="CC1339" s="6"/>
      <c r="CD1339" s="123"/>
      <c r="CE1339" s="6"/>
      <c r="CF1339" s="123"/>
      <c r="CG1339" s="6"/>
      <c r="CH1339" s="6"/>
      <c r="CI1339" s="6"/>
      <c r="CJ1339" s="6"/>
      <c r="CK1339" s="123"/>
      <c r="CL1339" s="6"/>
      <c r="CM1339" s="6"/>
      <c r="CN1339" s="6"/>
      <c r="CO1339" s="138"/>
      <c r="CP1339" s="138"/>
      <c r="CQ1339" s="123"/>
      <c r="CR1339" s="6"/>
      <c r="CS1339" s="6"/>
      <c r="CT1339" s="139"/>
      <c r="CU1339" s="139"/>
      <c r="CV1339" s="76"/>
      <c r="CW1339" s="123"/>
      <c r="CX1339" s="6"/>
      <c r="DI1339" s="125"/>
      <c r="DJ1339" s="16"/>
      <c r="DM1339" s="16"/>
      <c r="DN1339" s="16"/>
      <c r="DO1339" s="125"/>
      <c r="DP1339" s="16"/>
      <c r="DQ1339" s="125"/>
      <c r="DZ1339" s="125"/>
      <c r="EA1339" s="142"/>
      <c r="EB1339" s="125"/>
      <c r="EC1339" s="16"/>
      <c r="ED1339" s="125"/>
      <c r="EE1339" s="125"/>
      <c r="EF1339" s="16"/>
      <c r="EG1339" s="125"/>
      <c r="EQ1339" s="125"/>
      <c r="ER1339" s="16"/>
      <c r="ES1339" s="123"/>
      <c r="ET1339" s="19"/>
      <c r="EU1339" s="139"/>
      <c r="EV1339" s="139"/>
      <c r="EW1339" s="123"/>
      <c r="EX1339" s="123"/>
      <c r="EY1339" s="123"/>
      <c r="EZ1339" s="123"/>
      <c r="FA1339" s="123"/>
      <c r="FB1339" s="123"/>
      <c r="FC1339" s="6"/>
      <c r="FD1339" s="123"/>
      <c r="FE1339" s="6"/>
      <c r="FF1339" s="123"/>
      <c r="FG1339" s="6"/>
      <c r="FH1339" s="6"/>
      <c r="FI1339" s="6"/>
      <c r="FJ1339" s="6"/>
      <c r="FK1339" s="123"/>
      <c r="FL1339" s="6"/>
      <c r="FM1339" s="6"/>
      <c r="FN1339" s="6"/>
      <c r="FO1339" s="138"/>
      <c r="FP1339" s="138"/>
      <c r="FQ1339" s="123"/>
      <c r="FR1339" s="6"/>
      <c r="FS1339" s="6"/>
      <c r="FT1339" s="139"/>
      <c r="FU1339" s="139"/>
      <c r="FV1339" s="76"/>
      <c r="FW1339" s="123"/>
      <c r="FX1339" s="6"/>
    </row>
    <row r="1340" spans="35:180">
      <c r="AI1340" s="125"/>
      <c r="AJ1340" s="16"/>
      <c r="AM1340" s="16"/>
      <c r="AN1340" s="16"/>
      <c r="AO1340" s="125"/>
      <c r="AP1340" s="16"/>
      <c r="AQ1340" s="125"/>
      <c r="AZ1340" s="125"/>
      <c r="BA1340" s="142"/>
      <c r="BB1340" s="125"/>
      <c r="BC1340" s="16"/>
      <c r="BD1340" s="125"/>
      <c r="BE1340" s="125"/>
      <c r="BF1340" s="16"/>
      <c r="BG1340" s="125"/>
      <c r="BQ1340" s="125"/>
      <c r="BR1340" s="16"/>
      <c r="BS1340" s="123"/>
      <c r="BT1340" s="19"/>
      <c r="BU1340" s="139"/>
      <c r="BV1340" s="139"/>
      <c r="BW1340" s="123"/>
      <c r="BX1340" s="123"/>
      <c r="BY1340" s="123"/>
      <c r="BZ1340" s="123"/>
      <c r="CA1340" s="123"/>
      <c r="CB1340" s="123"/>
      <c r="CC1340" s="6"/>
      <c r="CD1340" s="123"/>
      <c r="CE1340" s="6"/>
      <c r="CF1340" s="123"/>
      <c r="CG1340" s="6"/>
      <c r="CH1340" s="6"/>
      <c r="CI1340" s="6"/>
      <c r="CJ1340" s="6"/>
      <c r="CK1340" s="123"/>
      <c r="CL1340" s="6"/>
      <c r="CM1340" s="6"/>
      <c r="CN1340" s="6"/>
      <c r="CO1340" s="138"/>
      <c r="CP1340" s="138"/>
      <c r="CQ1340" s="123"/>
      <c r="CR1340" s="6"/>
      <c r="CS1340" s="6"/>
      <c r="CT1340" s="139"/>
      <c r="CU1340" s="139"/>
      <c r="CV1340" s="76"/>
      <c r="CW1340" s="123"/>
      <c r="CX1340" s="6"/>
      <c r="DI1340" s="125"/>
      <c r="DJ1340" s="16"/>
      <c r="DM1340" s="16"/>
      <c r="DN1340" s="16"/>
      <c r="DO1340" s="125"/>
      <c r="DP1340" s="16"/>
      <c r="DQ1340" s="125"/>
      <c r="DZ1340" s="125"/>
      <c r="EA1340" s="142"/>
      <c r="EB1340" s="125"/>
      <c r="EC1340" s="16"/>
      <c r="ED1340" s="125"/>
      <c r="EE1340" s="125"/>
      <c r="EF1340" s="16"/>
      <c r="EG1340" s="125"/>
      <c r="EQ1340" s="125"/>
      <c r="ER1340" s="16"/>
      <c r="ES1340" s="123"/>
      <c r="ET1340" s="19"/>
      <c r="EU1340" s="139"/>
      <c r="EV1340" s="139"/>
      <c r="EW1340" s="123"/>
      <c r="EX1340" s="123"/>
      <c r="EY1340" s="123"/>
      <c r="EZ1340" s="123"/>
      <c r="FA1340" s="123"/>
      <c r="FB1340" s="123"/>
      <c r="FC1340" s="6"/>
      <c r="FD1340" s="123"/>
      <c r="FE1340" s="6"/>
      <c r="FF1340" s="123"/>
      <c r="FG1340" s="6"/>
      <c r="FH1340" s="6"/>
      <c r="FI1340" s="6"/>
      <c r="FJ1340" s="6"/>
      <c r="FK1340" s="123"/>
      <c r="FL1340" s="6"/>
      <c r="FM1340" s="6"/>
      <c r="FN1340" s="6"/>
      <c r="FO1340" s="138"/>
      <c r="FP1340" s="138"/>
      <c r="FQ1340" s="123"/>
      <c r="FR1340" s="6"/>
      <c r="FS1340" s="6"/>
      <c r="FT1340" s="139"/>
      <c r="FU1340" s="139"/>
      <c r="FV1340" s="76"/>
      <c r="FW1340" s="123"/>
      <c r="FX1340" s="6"/>
    </row>
    <row r="1341" spans="35:180">
      <c r="AI1341" s="125"/>
      <c r="AJ1341" s="16"/>
      <c r="AM1341" s="16"/>
      <c r="AN1341" s="16"/>
      <c r="AO1341" s="125"/>
      <c r="AP1341" s="16"/>
      <c r="AQ1341" s="125"/>
      <c r="AZ1341" s="125"/>
      <c r="BA1341" s="142"/>
      <c r="BB1341" s="125"/>
      <c r="BC1341" s="16"/>
      <c r="BD1341" s="125"/>
      <c r="BE1341" s="125"/>
      <c r="BF1341" s="16"/>
      <c r="BG1341" s="125"/>
      <c r="BQ1341" s="125"/>
      <c r="BR1341" s="16"/>
      <c r="BS1341" s="123"/>
      <c r="BT1341" s="19"/>
      <c r="BU1341" s="139"/>
      <c r="BV1341" s="139"/>
      <c r="BW1341" s="123"/>
      <c r="BX1341" s="123"/>
      <c r="BY1341" s="123"/>
      <c r="BZ1341" s="123"/>
      <c r="CA1341" s="123"/>
      <c r="CB1341" s="123"/>
      <c r="CC1341" s="6"/>
      <c r="CD1341" s="123"/>
      <c r="CE1341" s="6"/>
      <c r="CF1341" s="123"/>
      <c r="CG1341" s="6"/>
      <c r="CH1341" s="6"/>
      <c r="CI1341" s="6"/>
      <c r="CJ1341" s="6"/>
      <c r="CK1341" s="123"/>
      <c r="CL1341" s="6"/>
      <c r="CM1341" s="6"/>
      <c r="CN1341" s="6"/>
      <c r="CO1341" s="138"/>
      <c r="CP1341" s="138"/>
      <c r="CQ1341" s="123"/>
      <c r="CR1341" s="6"/>
      <c r="CS1341" s="6"/>
      <c r="CT1341" s="139"/>
      <c r="CU1341" s="139"/>
      <c r="CV1341" s="76"/>
      <c r="CW1341" s="123"/>
      <c r="CX1341" s="6"/>
      <c r="DI1341" s="125"/>
      <c r="DJ1341" s="16"/>
      <c r="DM1341" s="16"/>
      <c r="DN1341" s="16"/>
      <c r="DO1341" s="125"/>
      <c r="DP1341" s="16"/>
      <c r="DQ1341" s="125"/>
      <c r="DZ1341" s="125"/>
      <c r="EA1341" s="142"/>
      <c r="EB1341" s="125"/>
      <c r="EC1341" s="16"/>
      <c r="ED1341" s="125"/>
      <c r="EE1341" s="125"/>
      <c r="EF1341" s="16"/>
      <c r="EG1341" s="125"/>
      <c r="EQ1341" s="125"/>
      <c r="ER1341" s="16"/>
      <c r="ES1341" s="123"/>
      <c r="ET1341" s="19"/>
      <c r="EU1341" s="139"/>
      <c r="EV1341" s="139"/>
      <c r="EW1341" s="123"/>
      <c r="EX1341" s="123"/>
      <c r="EY1341" s="123"/>
      <c r="EZ1341" s="123"/>
      <c r="FA1341" s="123"/>
      <c r="FB1341" s="123"/>
      <c r="FC1341" s="6"/>
      <c r="FD1341" s="123"/>
      <c r="FE1341" s="6"/>
      <c r="FF1341" s="123"/>
      <c r="FG1341" s="6"/>
      <c r="FH1341" s="6"/>
      <c r="FI1341" s="6"/>
      <c r="FJ1341" s="6"/>
      <c r="FK1341" s="123"/>
      <c r="FL1341" s="6"/>
      <c r="FM1341" s="6"/>
      <c r="FN1341" s="6"/>
      <c r="FO1341" s="138"/>
      <c r="FP1341" s="138"/>
      <c r="FQ1341" s="123"/>
      <c r="FR1341" s="6"/>
      <c r="FS1341" s="6"/>
      <c r="FT1341" s="139"/>
      <c r="FU1341" s="139"/>
      <c r="FV1341" s="76"/>
      <c r="FW1341" s="123"/>
      <c r="FX1341" s="6"/>
    </row>
    <row r="1342" spans="35:180">
      <c r="AI1342" s="125"/>
      <c r="AJ1342" s="16"/>
      <c r="AM1342" s="16"/>
      <c r="AN1342" s="16"/>
      <c r="AO1342" s="125"/>
      <c r="AP1342" s="16"/>
      <c r="AQ1342" s="125"/>
      <c r="AZ1342" s="125"/>
      <c r="BA1342" s="142"/>
      <c r="BB1342" s="125"/>
      <c r="BC1342" s="16"/>
      <c r="BD1342" s="125"/>
      <c r="BE1342" s="125"/>
      <c r="BF1342" s="16"/>
      <c r="BG1342" s="125"/>
      <c r="BQ1342" s="125"/>
      <c r="BR1342" s="16"/>
      <c r="BS1342" s="123"/>
      <c r="BT1342" s="19"/>
      <c r="BU1342" s="139"/>
      <c r="BV1342" s="139"/>
      <c r="BW1342" s="123"/>
      <c r="BX1342" s="123"/>
      <c r="BY1342" s="123"/>
      <c r="BZ1342" s="123"/>
      <c r="CA1342" s="123"/>
      <c r="CB1342" s="123"/>
      <c r="CC1342" s="6"/>
      <c r="CD1342" s="123"/>
      <c r="CE1342" s="6"/>
      <c r="CF1342" s="123"/>
      <c r="CG1342" s="6"/>
      <c r="CH1342" s="6"/>
      <c r="CI1342" s="6"/>
      <c r="CJ1342" s="6"/>
      <c r="CK1342" s="123"/>
      <c r="CL1342" s="6"/>
      <c r="CM1342" s="6"/>
      <c r="CN1342" s="6"/>
      <c r="CO1342" s="138"/>
      <c r="CP1342" s="138"/>
      <c r="CQ1342" s="123"/>
      <c r="CR1342" s="6"/>
      <c r="CS1342" s="6"/>
      <c r="CT1342" s="139"/>
      <c r="CU1342" s="139"/>
      <c r="CV1342" s="76"/>
      <c r="CW1342" s="123"/>
      <c r="CX1342" s="6"/>
      <c r="DI1342" s="125"/>
      <c r="DJ1342" s="16"/>
      <c r="DM1342" s="16"/>
      <c r="DN1342" s="16"/>
      <c r="DO1342" s="125"/>
      <c r="DP1342" s="16"/>
      <c r="DQ1342" s="125"/>
      <c r="DZ1342" s="125"/>
      <c r="EA1342" s="142"/>
      <c r="EB1342" s="125"/>
      <c r="EC1342" s="16"/>
      <c r="ED1342" s="125"/>
      <c r="EE1342" s="125"/>
      <c r="EF1342" s="16"/>
      <c r="EG1342" s="125"/>
      <c r="EQ1342" s="125"/>
      <c r="ER1342" s="16"/>
      <c r="ES1342" s="123"/>
      <c r="ET1342" s="19"/>
      <c r="EU1342" s="139"/>
      <c r="EV1342" s="139"/>
      <c r="EW1342" s="123"/>
      <c r="EX1342" s="123"/>
      <c r="EY1342" s="123"/>
      <c r="EZ1342" s="123"/>
      <c r="FA1342" s="123"/>
      <c r="FB1342" s="123"/>
      <c r="FC1342" s="6"/>
      <c r="FD1342" s="123"/>
      <c r="FE1342" s="6"/>
      <c r="FF1342" s="123"/>
      <c r="FG1342" s="6"/>
      <c r="FH1342" s="6"/>
      <c r="FI1342" s="6"/>
      <c r="FJ1342" s="6"/>
      <c r="FK1342" s="123"/>
      <c r="FL1342" s="6"/>
      <c r="FM1342" s="6"/>
      <c r="FN1342" s="6"/>
      <c r="FO1342" s="138"/>
      <c r="FP1342" s="138"/>
      <c r="FQ1342" s="123"/>
      <c r="FR1342" s="6"/>
      <c r="FS1342" s="6"/>
      <c r="FT1342" s="139"/>
      <c r="FU1342" s="139"/>
      <c r="FV1342" s="76"/>
      <c r="FW1342" s="123"/>
      <c r="FX1342" s="6"/>
    </row>
    <row r="1343" spans="35:180">
      <c r="AI1343" s="125"/>
      <c r="AJ1343" s="16"/>
      <c r="AM1343" s="16"/>
      <c r="AN1343" s="16"/>
      <c r="AO1343" s="125"/>
      <c r="AP1343" s="16"/>
      <c r="AQ1343" s="125"/>
      <c r="AZ1343" s="125"/>
      <c r="BA1343" s="142"/>
      <c r="BB1343" s="125"/>
      <c r="BC1343" s="16"/>
      <c r="BD1343" s="125"/>
      <c r="BE1343" s="125"/>
      <c r="BF1343" s="16"/>
      <c r="BG1343" s="125"/>
      <c r="BQ1343" s="125"/>
      <c r="BR1343" s="16"/>
      <c r="BS1343" s="123"/>
      <c r="BT1343" s="19"/>
      <c r="BU1343" s="139"/>
      <c r="BV1343" s="139"/>
      <c r="BW1343" s="123"/>
      <c r="BX1343" s="123"/>
      <c r="BY1343" s="123"/>
      <c r="BZ1343" s="123"/>
      <c r="CA1343" s="123"/>
      <c r="CB1343" s="123"/>
      <c r="CC1343" s="6"/>
      <c r="CD1343" s="123"/>
      <c r="CE1343" s="6"/>
      <c r="CF1343" s="123"/>
      <c r="CG1343" s="6"/>
      <c r="CH1343" s="6"/>
      <c r="CI1343" s="6"/>
      <c r="CJ1343" s="6"/>
      <c r="CK1343" s="123"/>
      <c r="CL1343" s="6"/>
      <c r="CM1343" s="6"/>
      <c r="CN1343" s="6"/>
      <c r="CO1343" s="138"/>
      <c r="CP1343" s="138"/>
      <c r="CQ1343" s="123"/>
      <c r="CR1343" s="6"/>
      <c r="CS1343" s="6"/>
      <c r="CT1343" s="139"/>
      <c r="CU1343" s="139"/>
      <c r="CV1343" s="76"/>
      <c r="CW1343" s="123"/>
      <c r="CX1343" s="6"/>
      <c r="DI1343" s="125"/>
      <c r="DJ1343" s="16"/>
      <c r="DM1343" s="16"/>
      <c r="DN1343" s="16"/>
      <c r="DO1343" s="125"/>
      <c r="DP1343" s="16"/>
      <c r="DQ1343" s="125"/>
      <c r="DZ1343" s="125"/>
      <c r="EA1343" s="142"/>
      <c r="EB1343" s="125"/>
      <c r="EC1343" s="16"/>
      <c r="ED1343" s="125"/>
      <c r="EE1343" s="125"/>
      <c r="EF1343" s="16"/>
      <c r="EG1343" s="125"/>
      <c r="EQ1343" s="125"/>
      <c r="ER1343" s="16"/>
      <c r="ES1343" s="123"/>
      <c r="ET1343" s="19"/>
      <c r="EU1343" s="139"/>
      <c r="EV1343" s="139"/>
      <c r="EW1343" s="123"/>
      <c r="EX1343" s="123"/>
      <c r="EY1343" s="123"/>
      <c r="EZ1343" s="123"/>
      <c r="FA1343" s="123"/>
      <c r="FB1343" s="123"/>
      <c r="FC1343" s="6"/>
      <c r="FD1343" s="123"/>
      <c r="FE1343" s="6"/>
      <c r="FF1343" s="123"/>
      <c r="FG1343" s="6"/>
      <c r="FH1343" s="6"/>
      <c r="FI1343" s="6"/>
      <c r="FJ1343" s="6"/>
      <c r="FK1343" s="123"/>
      <c r="FL1343" s="6"/>
      <c r="FM1343" s="6"/>
      <c r="FN1343" s="6"/>
      <c r="FO1343" s="138"/>
      <c r="FP1343" s="138"/>
      <c r="FQ1343" s="123"/>
      <c r="FR1343" s="6"/>
      <c r="FS1343" s="6"/>
      <c r="FT1343" s="139"/>
      <c r="FU1343" s="139"/>
      <c r="FV1343" s="76"/>
      <c r="FW1343" s="123"/>
      <c r="FX1343" s="6"/>
    </row>
    <row r="1344" spans="35:180">
      <c r="AI1344" s="125"/>
      <c r="AJ1344" s="16"/>
      <c r="AM1344" s="16"/>
      <c r="AN1344" s="16"/>
      <c r="AO1344" s="125"/>
      <c r="AP1344" s="16"/>
      <c r="AQ1344" s="125"/>
      <c r="AZ1344" s="125"/>
      <c r="BA1344" s="142"/>
      <c r="BB1344" s="125"/>
      <c r="BC1344" s="16"/>
      <c r="BD1344" s="125"/>
      <c r="BE1344" s="125"/>
      <c r="BF1344" s="16"/>
      <c r="BG1344" s="125"/>
      <c r="BQ1344" s="125"/>
      <c r="BR1344" s="16"/>
      <c r="BS1344" s="123"/>
      <c r="BT1344" s="19"/>
      <c r="BU1344" s="139"/>
      <c r="BV1344" s="139"/>
      <c r="BW1344" s="123"/>
      <c r="BX1344" s="123"/>
      <c r="BY1344" s="123"/>
      <c r="BZ1344" s="123"/>
      <c r="CA1344" s="123"/>
      <c r="CB1344" s="123"/>
      <c r="CC1344" s="6"/>
      <c r="CD1344" s="123"/>
      <c r="CE1344" s="6"/>
      <c r="CF1344" s="123"/>
      <c r="CG1344" s="6"/>
      <c r="CH1344" s="6"/>
      <c r="CI1344" s="6"/>
      <c r="CJ1344" s="6"/>
      <c r="CK1344" s="123"/>
      <c r="CL1344" s="6"/>
      <c r="CM1344" s="6"/>
      <c r="CN1344" s="6"/>
      <c r="CO1344" s="138"/>
      <c r="CP1344" s="138"/>
      <c r="CQ1344" s="123"/>
      <c r="CR1344" s="6"/>
      <c r="CS1344" s="6"/>
      <c r="CT1344" s="139"/>
      <c r="CU1344" s="139"/>
      <c r="CV1344" s="76"/>
      <c r="CW1344" s="123"/>
      <c r="CX1344" s="6"/>
      <c r="DI1344" s="125"/>
      <c r="DJ1344" s="16"/>
      <c r="DM1344" s="16"/>
      <c r="DN1344" s="16"/>
      <c r="DO1344" s="125"/>
      <c r="DP1344" s="16"/>
      <c r="DQ1344" s="125"/>
      <c r="DZ1344" s="125"/>
      <c r="EA1344" s="142"/>
      <c r="EB1344" s="125"/>
      <c r="EC1344" s="16"/>
      <c r="ED1344" s="125"/>
      <c r="EE1344" s="125"/>
      <c r="EF1344" s="16"/>
      <c r="EG1344" s="125"/>
      <c r="EQ1344" s="125"/>
      <c r="ER1344" s="16"/>
      <c r="ES1344" s="123"/>
      <c r="ET1344" s="19"/>
      <c r="EU1344" s="139"/>
      <c r="EV1344" s="139"/>
      <c r="EW1344" s="123"/>
      <c r="EX1344" s="123"/>
      <c r="EY1344" s="123"/>
      <c r="EZ1344" s="123"/>
      <c r="FA1344" s="123"/>
      <c r="FB1344" s="123"/>
      <c r="FC1344" s="6"/>
      <c r="FD1344" s="123"/>
      <c r="FE1344" s="6"/>
      <c r="FF1344" s="123"/>
      <c r="FG1344" s="6"/>
      <c r="FH1344" s="6"/>
      <c r="FI1344" s="6"/>
      <c r="FJ1344" s="6"/>
      <c r="FK1344" s="123"/>
      <c r="FL1344" s="6"/>
      <c r="FM1344" s="6"/>
      <c r="FN1344" s="6"/>
      <c r="FO1344" s="138"/>
      <c r="FP1344" s="138"/>
      <c r="FQ1344" s="123"/>
      <c r="FR1344" s="6"/>
      <c r="FS1344" s="6"/>
      <c r="FT1344" s="139"/>
      <c r="FU1344" s="139"/>
      <c r="FV1344" s="76"/>
      <c r="FW1344" s="123"/>
      <c r="FX1344" s="6"/>
    </row>
    <row r="1345" spans="35:180">
      <c r="AI1345" s="125"/>
      <c r="AJ1345" s="16"/>
      <c r="AM1345" s="16"/>
      <c r="AN1345" s="16"/>
      <c r="AO1345" s="125"/>
      <c r="AP1345" s="16"/>
      <c r="AQ1345" s="125"/>
      <c r="AZ1345" s="125"/>
      <c r="BA1345" s="142"/>
      <c r="BB1345" s="125"/>
      <c r="BC1345" s="16"/>
      <c r="BD1345" s="125"/>
      <c r="BE1345" s="125"/>
      <c r="BF1345" s="16"/>
      <c r="BG1345" s="125"/>
      <c r="BQ1345" s="125"/>
      <c r="BR1345" s="16"/>
      <c r="BS1345" s="123"/>
      <c r="BT1345" s="19"/>
      <c r="BU1345" s="139"/>
      <c r="BV1345" s="139"/>
      <c r="BW1345" s="123"/>
      <c r="BX1345" s="123"/>
      <c r="BY1345" s="123"/>
      <c r="BZ1345" s="123"/>
      <c r="CA1345" s="123"/>
      <c r="CB1345" s="123"/>
      <c r="CC1345" s="6"/>
      <c r="CD1345" s="123"/>
      <c r="CE1345" s="6"/>
      <c r="CF1345" s="123"/>
      <c r="CG1345" s="6"/>
      <c r="CH1345" s="6"/>
      <c r="CI1345" s="6"/>
      <c r="CJ1345" s="6"/>
      <c r="CK1345" s="123"/>
      <c r="CL1345" s="6"/>
      <c r="CM1345" s="6"/>
      <c r="CN1345" s="6"/>
      <c r="CO1345" s="138"/>
      <c r="CP1345" s="138"/>
      <c r="CQ1345" s="123"/>
      <c r="CR1345" s="6"/>
      <c r="CS1345" s="6"/>
      <c r="CT1345" s="139"/>
      <c r="CU1345" s="139"/>
      <c r="CV1345" s="76"/>
      <c r="CW1345" s="123"/>
      <c r="CX1345" s="6"/>
      <c r="DI1345" s="125"/>
      <c r="DJ1345" s="16"/>
      <c r="DM1345" s="16"/>
      <c r="DN1345" s="16"/>
      <c r="DO1345" s="125"/>
      <c r="DP1345" s="16"/>
      <c r="DQ1345" s="125"/>
      <c r="DZ1345" s="125"/>
      <c r="EA1345" s="142"/>
      <c r="EB1345" s="125"/>
      <c r="EC1345" s="16"/>
      <c r="ED1345" s="125"/>
      <c r="EE1345" s="125"/>
      <c r="EF1345" s="16"/>
      <c r="EG1345" s="125"/>
      <c r="EQ1345" s="125"/>
      <c r="ER1345" s="16"/>
      <c r="ES1345" s="123"/>
      <c r="ET1345" s="19"/>
      <c r="EU1345" s="139"/>
      <c r="EV1345" s="139"/>
      <c r="EW1345" s="123"/>
      <c r="EX1345" s="123"/>
      <c r="EY1345" s="123"/>
      <c r="EZ1345" s="123"/>
      <c r="FA1345" s="123"/>
      <c r="FB1345" s="123"/>
      <c r="FC1345" s="6"/>
      <c r="FD1345" s="123"/>
      <c r="FE1345" s="6"/>
      <c r="FF1345" s="123"/>
      <c r="FG1345" s="6"/>
      <c r="FH1345" s="6"/>
      <c r="FI1345" s="6"/>
      <c r="FJ1345" s="6"/>
      <c r="FK1345" s="123"/>
      <c r="FL1345" s="6"/>
      <c r="FM1345" s="6"/>
      <c r="FN1345" s="6"/>
      <c r="FO1345" s="138"/>
      <c r="FP1345" s="138"/>
      <c r="FQ1345" s="123"/>
      <c r="FR1345" s="6"/>
      <c r="FS1345" s="6"/>
      <c r="FT1345" s="139"/>
      <c r="FU1345" s="139"/>
      <c r="FV1345" s="76"/>
      <c r="FW1345" s="123"/>
      <c r="FX1345" s="6"/>
    </row>
    <row r="1346" spans="35:180">
      <c r="AI1346" s="125"/>
      <c r="AJ1346" s="16"/>
      <c r="AM1346" s="16"/>
      <c r="AN1346" s="16"/>
      <c r="AO1346" s="125"/>
      <c r="AP1346" s="16"/>
      <c r="AQ1346" s="125"/>
      <c r="AZ1346" s="125"/>
      <c r="BA1346" s="142"/>
      <c r="BB1346" s="125"/>
      <c r="BC1346" s="16"/>
      <c r="BD1346" s="125"/>
      <c r="BE1346" s="125"/>
      <c r="BF1346" s="16"/>
      <c r="BG1346" s="125"/>
      <c r="BQ1346" s="125"/>
      <c r="BR1346" s="16"/>
      <c r="BS1346" s="123"/>
      <c r="BT1346" s="19"/>
      <c r="BU1346" s="139"/>
      <c r="BV1346" s="139"/>
      <c r="BW1346" s="123"/>
      <c r="BX1346" s="123"/>
      <c r="BY1346" s="123"/>
      <c r="BZ1346" s="123"/>
      <c r="CA1346" s="123"/>
      <c r="CB1346" s="123"/>
      <c r="CC1346" s="6"/>
      <c r="CD1346" s="123"/>
      <c r="CE1346" s="6"/>
      <c r="CF1346" s="123"/>
      <c r="CG1346" s="6"/>
      <c r="CH1346" s="6"/>
      <c r="CI1346" s="6"/>
      <c r="CJ1346" s="6"/>
      <c r="CK1346" s="123"/>
      <c r="CL1346" s="6"/>
      <c r="CM1346" s="6"/>
      <c r="CN1346" s="6"/>
      <c r="CO1346" s="138"/>
      <c r="CP1346" s="138"/>
      <c r="CQ1346" s="123"/>
      <c r="CR1346" s="6"/>
      <c r="CS1346" s="6"/>
      <c r="CT1346" s="139"/>
      <c r="CU1346" s="139"/>
      <c r="CV1346" s="76"/>
      <c r="CW1346" s="123"/>
      <c r="CX1346" s="6"/>
      <c r="DI1346" s="125"/>
      <c r="DJ1346" s="16"/>
      <c r="DM1346" s="16"/>
      <c r="DN1346" s="16"/>
      <c r="DO1346" s="125"/>
      <c r="DP1346" s="16"/>
      <c r="DQ1346" s="125"/>
      <c r="DZ1346" s="125"/>
      <c r="EA1346" s="142"/>
      <c r="EB1346" s="125"/>
      <c r="EC1346" s="16"/>
      <c r="ED1346" s="125"/>
      <c r="EE1346" s="125"/>
      <c r="EF1346" s="16"/>
      <c r="EG1346" s="125"/>
      <c r="EQ1346" s="125"/>
      <c r="ER1346" s="16"/>
      <c r="ES1346" s="123"/>
      <c r="ET1346" s="19"/>
      <c r="EU1346" s="139"/>
      <c r="EV1346" s="139"/>
      <c r="EW1346" s="123"/>
      <c r="EX1346" s="123"/>
      <c r="EY1346" s="123"/>
      <c r="EZ1346" s="123"/>
      <c r="FA1346" s="123"/>
      <c r="FB1346" s="123"/>
      <c r="FC1346" s="6"/>
      <c r="FD1346" s="123"/>
      <c r="FE1346" s="6"/>
      <c r="FF1346" s="123"/>
      <c r="FG1346" s="6"/>
      <c r="FH1346" s="6"/>
      <c r="FI1346" s="6"/>
      <c r="FJ1346" s="6"/>
      <c r="FK1346" s="123"/>
      <c r="FL1346" s="6"/>
      <c r="FM1346" s="6"/>
      <c r="FN1346" s="6"/>
      <c r="FO1346" s="138"/>
      <c r="FP1346" s="138"/>
      <c r="FQ1346" s="123"/>
      <c r="FR1346" s="6"/>
      <c r="FS1346" s="6"/>
      <c r="FT1346" s="139"/>
      <c r="FU1346" s="139"/>
      <c r="FV1346" s="76"/>
      <c r="FW1346" s="123"/>
      <c r="FX1346" s="6"/>
    </row>
    <row r="1347" spans="35:180">
      <c r="AI1347" s="125"/>
      <c r="AJ1347" s="16"/>
      <c r="AM1347" s="16"/>
      <c r="AN1347" s="16"/>
      <c r="AO1347" s="125"/>
      <c r="AP1347" s="16"/>
      <c r="AQ1347" s="125"/>
      <c r="AZ1347" s="125"/>
      <c r="BA1347" s="142"/>
      <c r="BB1347" s="125"/>
      <c r="BC1347" s="16"/>
      <c r="BD1347" s="125"/>
      <c r="BE1347" s="125"/>
      <c r="BF1347" s="16"/>
      <c r="BG1347" s="125"/>
      <c r="BQ1347" s="125"/>
      <c r="BR1347" s="16"/>
      <c r="BS1347" s="123"/>
      <c r="BT1347" s="19"/>
      <c r="BU1347" s="139"/>
      <c r="BV1347" s="139"/>
      <c r="BW1347" s="123"/>
      <c r="BX1347" s="123"/>
      <c r="BY1347" s="123"/>
      <c r="BZ1347" s="123"/>
      <c r="CA1347" s="123"/>
      <c r="CB1347" s="123"/>
      <c r="CC1347" s="6"/>
      <c r="CD1347" s="123"/>
      <c r="CE1347" s="6"/>
      <c r="CF1347" s="123"/>
      <c r="CG1347" s="6"/>
      <c r="CH1347" s="6"/>
      <c r="CI1347" s="6"/>
      <c r="CJ1347" s="6"/>
      <c r="CK1347" s="123"/>
      <c r="CL1347" s="6"/>
      <c r="CM1347" s="6"/>
      <c r="CN1347" s="6"/>
      <c r="CO1347" s="138"/>
      <c r="CP1347" s="138"/>
      <c r="CQ1347" s="123"/>
      <c r="CR1347" s="6"/>
      <c r="CS1347" s="6"/>
      <c r="CT1347" s="139"/>
      <c r="CU1347" s="139"/>
      <c r="CV1347" s="76"/>
      <c r="CW1347" s="123"/>
      <c r="CX1347" s="6"/>
      <c r="DI1347" s="125"/>
      <c r="DJ1347" s="16"/>
      <c r="DM1347" s="16"/>
      <c r="DN1347" s="16"/>
      <c r="DO1347" s="125"/>
      <c r="DP1347" s="16"/>
      <c r="DQ1347" s="125"/>
      <c r="DZ1347" s="125"/>
      <c r="EA1347" s="142"/>
      <c r="EB1347" s="125"/>
      <c r="EC1347" s="16"/>
      <c r="ED1347" s="125"/>
      <c r="EE1347" s="125"/>
      <c r="EF1347" s="16"/>
      <c r="EG1347" s="125"/>
      <c r="EQ1347" s="125"/>
      <c r="ER1347" s="16"/>
      <c r="ES1347" s="123"/>
      <c r="ET1347" s="19"/>
      <c r="EU1347" s="139"/>
      <c r="EV1347" s="139"/>
      <c r="EW1347" s="123"/>
      <c r="EX1347" s="123"/>
      <c r="EY1347" s="123"/>
      <c r="EZ1347" s="123"/>
      <c r="FA1347" s="123"/>
      <c r="FB1347" s="123"/>
      <c r="FC1347" s="6"/>
      <c r="FD1347" s="123"/>
      <c r="FE1347" s="6"/>
      <c r="FF1347" s="123"/>
      <c r="FG1347" s="6"/>
      <c r="FH1347" s="6"/>
      <c r="FI1347" s="6"/>
      <c r="FJ1347" s="6"/>
      <c r="FK1347" s="123"/>
      <c r="FL1347" s="6"/>
      <c r="FM1347" s="6"/>
      <c r="FN1347" s="6"/>
      <c r="FO1347" s="138"/>
      <c r="FP1347" s="138"/>
      <c r="FQ1347" s="123"/>
      <c r="FR1347" s="6"/>
      <c r="FS1347" s="6"/>
      <c r="FT1347" s="139"/>
      <c r="FU1347" s="139"/>
      <c r="FV1347" s="76"/>
      <c r="FW1347" s="123"/>
      <c r="FX1347" s="6"/>
    </row>
    <row r="1348" spans="35:180">
      <c r="AI1348" s="125"/>
      <c r="AJ1348" s="16"/>
      <c r="AM1348" s="16"/>
      <c r="AN1348" s="16"/>
      <c r="AO1348" s="125"/>
      <c r="AP1348" s="16"/>
      <c r="AQ1348" s="125"/>
      <c r="AZ1348" s="125"/>
      <c r="BA1348" s="142"/>
      <c r="BB1348" s="125"/>
      <c r="BC1348" s="16"/>
      <c r="BD1348" s="125"/>
      <c r="BE1348" s="125"/>
      <c r="BF1348" s="16"/>
      <c r="BG1348" s="125"/>
      <c r="BQ1348" s="125"/>
      <c r="BR1348" s="16"/>
      <c r="BS1348" s="123"/>
      <c r="BT1348" s="19"/>
      <c r="BU1348" s="139"/>
      <c r="BV1348" s="139"/>
      <c r="BW1348" s="123"/>
      <c r="BX1348" s="123"/>
      <c r="BY1348" s="123"/>
      <c r="BZ1348" s="123"/>
      <c r="CA1348" s="123"/>
      <c r="CB1348" s="123"/>
      <c r="CC1348" s="6"/>
      <c r="CD1348" s="123"/>
      <c r="CE1348" s="6"/>
      <c r="CF1348" s="123"/>
      <c r="CG1348" s="6"/>
      <c r="CH1348" s="6"/>
      <c r="CI1348" s="6"/>
      <c r="CJ1348" s="6"/>
      <c r="CK1348" s="123"/>
      <c r="CL1348" s="6"/>
      <c r="CM1348" s="6"/>
      <c r="CN1348" s="6"/>
      <c r="CO1348" s="138"/>
      <c r="CP1348" s="138"/>
      <c r="CQ1348" s="123"/>
      <c r="CR1348" s="6"/>
      <c r="CS1348" s="6"/>
      <c r="CT1348" s="139"/>
      <c r="CU1348" s="139"/>
      <c r="CV1348" s="76"/>
      <c r="CW1348" s="123"/>
      <c r="CX1348" s="6"/>
      <c r="DI1348" s="125"/>
      <c r="DJ1348" s="16"/>
      <c r="DM1348" s="16"/>
      <c r="DN1348" s="16"/>
      <c r="DO1348" s="125"/>
      <c r="DP1348" s="16"/>
      <c r="DQ1348" s="125"/>
      <c r="DZ1348" s="125"/>
      <c r="EA1348" s="142"/>
      <c r="EB1348" s="125"/>
      <c r="EC1348" s="16"/>
      <c r="ED1348" s="125"/>
      <c r="EE1348" s="125"/>
      <c r="EF1348" s="16"/>
      <c r="EG1348" s="125"/>
      <c r="EQ1348" s="125"/>
      <c r="ER1348" s="16"/>
      <c r="ES1348" s="123"/>
      <c r="ET1348" s="19"/>
      <c r="EU1348" s="139"/>
      <c r="EV1348" s="139"/>
      <c r="EW1348" s="123"/>
      <c r="EX1348" s="123"/>
      <c r="EY1348" s="123"/>
      <c r="EZ1348" s="123"/>
      <c r="FA1348" s="123"/>
      <c r="FB1348" s="123"/>
      <c r="FC1348" s="6"/>
      <c r="FD1348" s="123"/>
      <c r="FE1348" s="6"/>
      <c r="FF1348" s="123"/>
      <c r="FG1348" s="6"/>
      <c r="FH1348" s="6"/>
      <c r="FI1348" s="6"/>
      <c r="FJ1348" s="6"/>
      <c r="FK1348" s="123"/>
      <c r="FL1348" s="6"/>
      <c r="FM1348" s="6"/>
      <c r="FN1348" s="6"/>
      <c r="FO1348" s="138"/>
      <c r="FP1348" s="138"/>
      <c r="FQ1348" s="123"/>
      <c r="FR1348" s="6"/>
      <c r="FS1348" s="6"/>
      <c r="FT1348" s="139"/>
      <c r="FU1348" s="139"/>
      <c r="FV1348" s="76"/>
      <c r="FW1348" s="123"/>
      <c r="FX1348" s="6"/>
    </row>
    <row r="1349" spans="35:180">
      <c r="AI1349" s="125"/>
      <c r="AJ1349" s="16"/>
      <c r="AM1349" s="16"/>
      <c r="AN1349" s="16"/>
      <c r="AO1349" s="125"/>
      <c r="AP1349" s="16"/>
      <c r="AQ1349" s="125"/>
      <c r="AZ1349" s="125"/>
      <c r="BA1349" s="142"/>
      <c r="BB1349" s="125"/>
      <c r="BC1349" s="16"/>
      <c r="BD1349" s="125"/>
      <c r="BE1349" s="125"/>
      <c r="BF1349" s="16"/>
      <c r="BG1349" s="125"/>
      <c r="BQ1349" s="125"/>
      <c r="BR1349" s="16"/>
      <c r="BS1349" s="123"/>
      <c r="BT1349" s="19"/>
      <c r="BU1349" s="139"/>
      <c r="BV1349" s="139"/>
      <c r="BW1349" s="123"/>
      <c r="BX1349" s="123"/>
      <c r="BY1349" s="123"/>
      <c r="BZ1349" s="123"/>
      <c r="CA1349" s="123"/>
      <c r="CB1349" s="123"/>
      <c r="CC1349" s="6"/>
      <c r="CD1349" s="123"/>
      <c r="CE1349" s="6"/>
      <c r="CF1349" s="123"/>
      <c r="CG1349" s="6"/>
      <c r="CH1349" s="6"/>
      <c r="CI1349" s="6"/>
      <c r="CJ1349" s="6"/>
      <c r="CK1349" s="123"/>
      <c r="CL1349" s="6"/>
      <c r="CM1349" s="6"/>
      <c r="CN1349" s="6"/>
      <c r="CO1349" s="138"/>
      <c r="CP1349" s="138"/>
      <c r="CQ1349" s="123"/>
      <c r="CR1349" s="6"/>
      <c r="CS1349" s="6"/>
      <c r="CT1349" s="139"/>
      <c r="CU1349" s="139"/>
      <c r="CV1349" s="76"/>
      <c r="CW1349" s="123"/>
      <c r="CX1349" s="6"/>
      <c r="DI1349" s="125"/>
      <c r="DJ1349" s="16"/>
      <c r="DM1349" s="16"/>
      <c r="DN1349" s="16"/>
      <c r="DO1349" s="125"/>
      <c r="DP1349" s="16"/>
      <c r="DQ1349" s="125"/>
      <c r="DZ1349" s="125"/>
      <c r="EA1349" s="142"/>
      <c r="EB1349" s="125"/>
      <c r="EC1349" s="16"/>
      <c r="ED1349" s="125"/>
      <c r="EE1349" s="125"/>
      <c r="EF1349" s="16"/>
      <c r="EG1349" s="125"/>
      <c r="EQ1349" s="125"/>
      <c r="ER1349" s="16"/>
      <c r="ES1349" s="123"/>
      <c r="ET1349" s="19"/>
      <c r="EU1349" s="139"/>
      <c r="EV1349" s="139"/>
      <c r="EW1349" s="123"/>
      <c r="EX1349" s="123"/>
      <c r="EY1349" s="123"/>
      <c r="EZ1349" s="123"/>
      <c r="FA1349" s="123"/>
      <c r="FB1349" s="123"/>
      <c r="FC1349" s="6"/>
      <c r="FD1349" s="123"/>
      <c r="FE1349" s="6"/>
      <c r="FF1349" s="123"/>
      <c r="FG1349" s="6"/>
      <c r="FH1349" s="6"/>
      <c r="FI1349" s="6"/>
      <c r="FJ1349" s="6"/>
      <c r="FK1349" s="123"/>
      <c r="FL1349" s="6"/>
      <c r="FM1349" s="6"/>
      <c r="FN1349" s="6"/>
      <c r="FO1349" s="138"/>
      <c r="FP1349" s="138"/>
      <c r="FQ1349" s="123"/>
      <c r="FR1349" s="6"/>
      <c r="FS1349" s="6"/>
      <c r="FT1349" s="139"/>
      <c r="FU1349" s="139"/>
      <c r="FV1349" s="76"/>
      <c r="FW1349" s="123"/>
      <c r="FX1349" s="6"/>
    </row>
    <row r="1350" spans="35:180">
      <c r="AI1350" s="125"/>
      <c r="AJ1350" s="16"/>
      <c r="AM1350" s="16"/>
      <c r="AN1350" s="16"/>
      <c r="AO1350" s="125"/>
      <c r="AP1350" s="16"/>
      <c r="AQ1350" s="125"/>
      <c r="AZ1350" s="125"/>
      <c r="BA1350" s="142"/>
      <c r="BB1350" s="125"/>
      <c r="BC1350" s="16"/>
      <c r="BD1350" s="125"/>
      <c r="BE1350" s="125"/>
      <c r="BF1350" s="16"/>
      <c r="BG1350" s="125"/>
      <c r="BQ1350" s="125"/>
      <c r="BR1350" s="16"/>
      <c r="BS1350" s="123"/>
      <c r="BT1350" s="19"/>
      <c r="BU1350" s="139"/>
      <c r="BV1350" s="139"/>
      <c r="BW1350" s="123"/>
      <c r="BX1350" s="123"/>
      <c r="BY1350" s="123"/>
      <c r="BZ1350" s="123"/>
      <c r="CA1350" s="123"/>
      <c r="CB1350" s="123"/>
      <c r="CC1350" s="6"/>
      <c r="CD1350" s="123"/>
      <c r="CE1350" s="6"/>
      <c r="CF1350" s="123"/>
      <c r="CG1350" s="6"/>
      <c r="CH1350" s="6"/>
      <c r="CI1350" s="6"/>
      <c r="CJ1350" s="6"/>
      <c r="CK1350" s="123"/>
      <c r="CL1350" s="6"/>
      <c r="CM1350" s="6"/>
      <c r="CN1350" s="6"/>
      <c r="CO1350" s="138"/>
      <c r="CP1350" s="138"/>
      <c r="CQ1350" s="123"/>
      <c r="CR1350" s="6"/>
      <c r="CS1350" s="6"/>
      <c r="CT1350" s="139"/>
      <c r="CU1350" s="139"/>
      <c r="CV1350" s="76"/>
      <c r="CW1350" s="123"/>
      <c r="CX1350" s="6"/>
      <c r="DI1350" s="125"/>
      <c r="DJ1350" s="16"/>
      <c r="DM1350" s="16"/>
      <c r="DN1350" s="16"/>
      <c r="DO1350" s="125"/>
      <c r="DP1350" s="16"/>
      <c r="DQ1350" s="125"/>
      <c r="DZ1350" s="125"/>
      <c r="EA1350" s="142"/>
      <c r="EB1350" s="125"/>
      <c r="EC1350" s="16"/>
      <c r="ED1350" s="125"/>
      <c r="EE1350" s="125"/>
      <c r="EF1350" s="16"/>
      <c r="EG1350" s="125"/>
      <c r="EQ1350" s="125"/>
      <c r="ER1350" s="16"/>
      <c r="ES1350" s="123"/>
      <c r="ET1350" s="19"/>
      <c r="EU1350" s="139"/>
      <c r="EV1350" s="139"/>
      <c r="EW1350" s="123"/>
      <c r="EX1350" s="123"/>
      <c r="EY1350" s="123"/>
      <c r="EZ1350" s="123"/>
      <c r="FA1350" s="123"/>
      <c r="FB1350" s="123"/>
      <c r="FC1350" s="6"/>
      <c r="FD1350" s="123"/>
      <c r="FE1350" s="6"/>
      <c r="FF1350" s="123"/>
      <c r="FG1350" s="6"/>
      <c r="FH1350" s="6"/>
      <c r="FI1350" s="6"/>
      <c r="FJ1350" s="6"/>
      <c r="FK1350" s="123"/>
      <c r="FL1350" s="6"/>
      <c r="FM1350" s="6"/>
      <c r="FN1350" s="6"/>
      <c r="FO1350" s="138"/>
      <c r="FP1350" s="138"/>
      <c r="FQ1350" s="123"/>
      <c r="FR1350" s="6"/>
      <c r="FS1350" s="6"/>
      <c r="FT1350" s="139"/>
      <c r="FU1350" s="139"/>
      <c r="FV1350" s="76"/>
      <c r="FW1350" s="123"/>
      <c r="FX1350" s="6"/>
    </row>
    <row r="1351" spans="35:180">
      <c r="AI1351" s="125"/>
      <c r="AJ1351" s="16"/>
      <c r="AM1351" s="16"/>
      <c r="AN1351" s="16"/>
      <c r="AO1351" s="125"/>
      <c r="AP1351" s="16"/>
      <c r="AQ1351" s="125"/>
      <c r="AZ1351" s="125"/>
      <c r="BA1351" s="142"/>
      <c r="BB1351" s="125"/>
      <c r="BC1351" s="16"/>
      <c r="BD1351" s="125"/>
      <c r="BE1351" s="125"/>
      <c r="BF1351" s="16"/>
      <c r="BG1351" s="125"/>
      <c r="BQ1351" s="125"/>
      <c r="BR1351" s="16"/>
      <c r="BS1351" s="123"/>
      <c r="BT1351" s="19"/>
      <c r="BU1351" s="139"/>
      <c r="BV1351" s="139"/>
      <c r="BW1351" s="123"/>
      <c r="BX1351" s="123"/>
      <c r="BY1351" s="123"/>
      <c r="BZ1351" s="123"/>
      <c r="CA1351" s="123"/>
      <c r="CB1351" s="123"/>
      <c r="CC1351" s="6"/>
      <c r="CD1351" s="123"/>
      <c r="CE1351" s="6"/>
      <c r="CF1351" s="123"/>
      <c r="CG1351" s="6"/>
      <c r="CH1351" s="6"/>
      <c r="CI1351" s="6"/>
      <c r="CJ1351" s="6"/>
      <c r="CK1351" s="123"/>
      <c r="CL1351" s="6"/>
      <c r="CM1351" s="6"/>
      <c r="CN1351" s="6"/>
      <c r="CO1351" s="138"/>
      <c r="CP1351" s="138"/>
      <c r="CQ1351" s="123"/>
      <c r="CR1351" s="6"/>
      <c r="CS1351" s="6"/>
      <c r="CT1351" s="139"/>
      <c r="CU1351" s="139"/>
      <c r="CV1351" s="76"/>
      <c r="CW1351" s="123"/>
      <c r="CX1351" s="6"/>
      <c r="DI1351" s="125"/>
      <c r="DJ1351" s="16"/>
      <c r="DM1351" s="16"/>
      <c r="DN1351" s="16"/>
      <c r="DO1351" s="125"/>
      <c r="DP1351" s="16"/>
      <c r="DQ1351" s="125"/>
      <c r="DZ1351" s="125"/>
      <c r="EA1351" s="142"/>
      <c r="EB1351" s="125"/>
      <c r="EC1351" s="16"/>
      <c r="ED1351" s="125"/>
      <c r="EE1351" s="125"/>
      <c r="EF1351" s="16"/>
      <c r="EG1351" s="125"/>
      <c r="EQ1351" s="125"/>
      <c r="ER1351" s="16"/>
      <c r="ES1351" s="123"/>
      <c r="ET1351" s="19"/>
      <c r="EU1351" s="139"/>
      <c r="EV1351" s="139"/>
      <c r="EW1351" s="123"/>
      <c r="EX1351" s="123"/>
      <c r="EY1351" s="123"/>
      <c r="EZ1351" s="123"/>
      <c r="FA1351" s="123"/>
      <c r="FB1351" s="123"/>
      <c r="FC1351" s="6"/>
      <c r="FD1351" s="123"/>
      <c r="FE1351" s="6"/>
      <c r="FF1351" s="123"/>
      <c r="FG1351" s="6"/>
      <c r="FH1351" s="6"/>
      <c r="FI1351" s="6"/>
      <c r="FJ1351" s="6"/>
      <c r="FK1351" s="123"/>
      <c r="FL1351" s="6"/>
      <c r="FM1351" s="6"/>
      <c r="FN1351" s="6"/>
      <c r="FO1351" s="138"/>
      <c r="FP1351" s="138"/>
      <c r="FQ1351" s="123"/>
      <c r="FR1351" s="6"/>
      <c r="FS1351" s="6"/>
      <c r="FT1351" s="139"/>
      <c r="FU1351" s="139"/>
      <c r="FV1351" s="76"/>
      <c r="FW1351" s="123"/>
      <c r="FX1351" s="6"/>
    </row>
    <row r="1352" spans="35:180">
      <c r="AI1352" s="125"/>
      <c r="AJ1352" s="16"/>
      <c r="AM1352" s="16"/>
      <c r="AN1352" s="16"/>
      <c r="AO1352" s="125"/>
      <c r="AP1352" s="16"/>
      <c r="AQ1352" s="125"/>
      <c r="AZ1352" s="125"/>
      <c r="BA1352" s="142"/>
      <c r="BB1352" s="125"/>
      <c r="BC1352" s="16"/>
      <c r="BD1352" s="125"/>
      <c r="BE1352" s="125"/>
      <c r="BF1352" s="16"/>
      <c r="BG1352" s="125"/>
      <c r="BQ1352" s="125"/>
      <c r="BR1352" s="16"/>
      <c r="BS1352" s="123"/>
      <c r="BT1352" s="19"/>
      <c r="BU1352" s="139"/>
      <c r="BV1352" s="139"/>
      <c r="BW1352" s="123"/>
      <c r="BX1352" s="123"/>
      <c r="BY1352" s="123"/>
      <c r="BZ1352" s="123"/>
      <c r="CA1352" s="123"/>
      <c r="CB1352" s="123"/>
      <c r="CC1352" s="6"/>
      <c r="CD1352" s="123"/>
      <c r="CE1352" s="6"/>
      <c r="CF1352" s="123"/>
      <c r="CG1352" s="6"/>
      <c r="CH1352" s="6"/>
      <c r="CI1352" s="6"/>
      <c r="CJ1352" s="6"/>
      <c r="CK1352" s="123"/>
      <c r="CL1352" s="6"/>
      <c r="CM1352" s="6"/>
      <c r="CN1352" s="6"/>
      <c r="CO1352" s="138"/>
      <c r="CP1352" s="138"/>
      <c r="CQ1352" s="123"/>
      <c r="CR1352" s="6"/>
      <c r="CS1352" s="6"/>
      <c r="CT1352" s="139"/>
      <c r="CU1352" s="139"/>
      <c r="CV1352" s="76"/>
      <c r="CW1352" s="123"/>
      <c r="CX1352" s="6"/>
      <c r="DI1352" s="125"/>
      <c r="DJ1352" s="16"/>
      <c r="DM1352" s="16"/>
      <c r="DN1352" s="16"/>
      <c r="DO1352" s="125"/>
      <c r="DP1352" s="16"/>
      <c r="DQ1352" s="125"/>
      <c r="DZ1352" s="125"/>
      <c r="EA1352" s="142"/>
      <c r="EB1352" s="125"/>
      <c r="EC1352" s="16"/>
      <c r="ED1352" s="125"/>
      <c r="EE1352" s="125"/>
      <c r="EF1352" s="16"/>
      <c r="EG1352" s="125"/>
      <c r="EQ1352" s="125"/>
      <c r="ER1352" s="16"/>
      <c r="ES1352" s="123"/>
      <c r="ET1352" s="19"/>
      <c r="EU1352" s="139"/>
      <c r="EV1352" s="139"/>
      <c r="EW1352" s="123"/>
      <c r="EX1352" s="123"/>
      <c r="EY1352" s="123"/>
      <c r="EZ1352" s="123"/>
      <c r="FA1352" s="123"/>
      <c r="FB1352" s="123"/>
      <c r="FC1352" s="6"/>
      <c r="FD1352" s="123"/>
      <c r="FE1352" s="6"/>
      <c r="FF1352" s="123"/>
      <c r="FG1352" s="6"/>
      <c r="FH1352" s="6"/>
      <c r="FI1352" s="6"/>
      <c r="FJ1352" s="6"/>
      <c r="FK1352" s="123"/>
      <c r="FL1352" s="6"/>
      <c r="FM1352" s="6"/>
      <c r="FN1352" s="6"/>
      <c r="FO1352" s="138"/>
      <c r="FP1352" s="138"/>
      <c r="FQ1352" s="123"/>
      <c r="FR1352" s="6"/>
      <c r="FS1352" s="6"/>
      <c r="FT1352" s="139"/>
      <c r="FU1352" s="139"/>
      <c r="FV1352" s="76"/>
      <c r="FW1352" s="123"/>
      <c r="FX1352" s="6"/>
    </row>
    <row r="1353" spans="35:180">
      <c r="AI1353" s="125"/>
      <c r="AJ1353" s="16"/>
      <c r="AM1353" s="16"/>
      <c r="AN1353" s="16"/>
      <c r="AO1353" s="125"/>
      <c r="AP1353" s="16"/>
      <c r="AQ1353" s="125"/>
      <c r="AZ1353" s="125"/>
      <c r="BA1353" s="142"/>
      <c r="BB1353" s="125"/>
      <c r="BC1353" s="16"/>
      <c r="BD1353" s="125"/>
      <c r="BE1353" s="125"/>
      <c r="BF1353" s="16"/>
      <c r="BG1353" s="125"/>
      <c r="BQ1353" s="125"/>
      <c r="BR1353" s="16"/>
      <c r="BS1353" s="123"/>
      <c r="BT1353" s="19"/>
      <c r="BU1353" s="139"/>
      <c r="BV1353" s="139"/>
      <c r="BW1353" s="123"/>
      <c r="BX1353" s="123"/>
      <c r="BY1353" s="123"/>
      <c r="BZ1353" s="123"/>
      <c r="CA1353" s="123"/>
      <c r="CB1353" s="123"/>
      <c r="CC1353" s="6"/>
      <c r="CD1353" s="123"/>
      <c r="CE1353" s="6"/>
      <c r="CF1353" s="123"/>
      <c r="CG1353" s="6"/>
      <c r="CH1353" s="6"/>
      <c r="CI1353" s="6"/>
      <c r="CJ1353" s="6"/>
      <c r="CK1353" s="123"/>
      <c r="CL1353" s="6"/>
      <c r="CM1353" s="6"/>
      <c r="CN1353" s="6"/>
      <c r="CO1353" s="138"/>
      <c r="CP1353" s="138"/>
      <c r="CQ1353" s="123"/>
      <c r="CR1353" s="6"/>
      <c r="CS1353" s="6"/>
      <c r="CT1353" s="139"/>
      <c r="CU1353" s="139"/>
      <c r="CV1353" s="76"/>
      <c r="CW1353" s="123"/>
      <c r="CX1353" s="6"/>
      <c r="DI1353" s="125"/>
      <c r="DJ1353" s="16"/>
      <c r="DM1353" s="16"/>
      <c r="DN1353" s="16"/>
      <c r="DO1353" s="125"/>
      <c r="DP1353" s="16"/>
      <c r="DQ1353" s="125"/>
      <c r="DZ1353" s="125"/>
      <c r="EA1353" s="142"/>
      <c r="EB1353" s="125"/>
      <c r="EC1353" s="16"/>
      <c r="ED1353" s="125"/>
      <c r="EE1353" s="125"/>
      <c r="EF1353" s="16"/>
      <c r="EG1353" s="125"/>
      <c r="EQ1353" s="125"/>
      <c r="ER1353" s="16"/>
      <c r="ES1353" s="123"/>
      <c r="ET1353" s="19"/>
      <c r="EU1353" s="139"/>
      <c r="EV1353" s="139"/>
      <c r="EW1353" s="123"/>
      <c r="EX1353" s="123"/>
      <c r="EY1353" s="123"/>
      <c r="EZ1353" s="123"/>
      <c r="FA1353" s="123"/>
      <c r="FB1353" s="123"/>
      <c r="FC1353" s="6"/>
      <c r="FD1353" s="123"/>
      <c r="FE1353" s="6"/>
      <c r="FF1353" s="123"/>
      <c r="FG1353" s="6"/>
      <c r="FH1353" s="6"/>
      <c r="FI1353" s="6"/>
      <c r="FJ1353" s="6"/>
      <c r="FK1353" s="123"/>
      <c r="FL1353" s="6"/>
      <c r="FM1353" s="6"/>
      <c r="FN1353" s="6"/>
      <c r="FO1353" s="138"/>
      <c r="FP1353" s="138"/>
      <c r="FQ1353" s="123"/>
      <c r="FR1353" s="6"/>
      <c r="FS1353" s="6"/>
      <c r="FT1353" s="139"/>
      <c r="FU1353" s="139"/>
      <c r="FV1353" s="76"/>
      <c r="FW1353" s="123"/>
      <c r="FX1353" s="6"/>
    </row>
    <row r="1354" spans="35:180">
      <c r="AI1354" s="125"/>
      <c r="AJ1354" s="16"/>
      <c r="AM1354" s="16"/>
      <c r="AN1354" s="16"/>
      <c r="AO1354" s="125"/>
      <c r="AP1354" s="16"/>
      <c r="AQ1354" s="125"/>
      <c r="AZ1354" s="125"/>
      <c r="BA1354" s="142"/>
      <c r="BB1354" s="125"/>
      <c r="BC1354" s="16"/>
      <c r="BD1354" s="125"/>
      <c r="BE1354" s="125"/>
      <c r="BF1354" s="16"/>
      <c r="BG1354" s="125"/>
      <c r="BQ1354" s="125"/>
      <c r="BR1354" s="16"/>
      <c r="BS1354" s="123"/>
      <c r="BT1354" s="19"/>
      <c r="BU1354" s="139"/>
      <c r="BV1354" s="139"/>
      <c r="BW1354" s="123"/>
      <c r="BX1354" s="123"/>
      <c r="BY1354" s="123"/>
      <c r="BZ1354" s="123"/>
      <c r="CA1354" s="123"/>
      <c r="CB1354" s="123"/>
      <c r="CC1354" s="6"/>
      <c r="CD1354" s="123"/>
      <c r="CE1354" s="6"/>
      <c r="CF1354" s="123"/>
      <c r="CG1354" s="6"/>
      <c r="CH1354" s="6"/>
      <c r="CI1354" s="6"/>
      <c r="CJ1354" s="6"/>
      <c r="CK1354" s="123"/>
      <c r="CL1354" s="6"/>
      <c r="CM1354" s="6"/>
      <c r="CN1354" s="6"/>
      <c r="CO1354" s="138"/>
      <c r="CP1354" s="138"/>
      <c r="CQ1354" s="123"/>
      <c r="CR1354" s="6"/>
      <c r="CS1354" s="6"/>
      <c r="CT1354" s="139"/>
      <c r="CU1354" s="139"/>
      <c r="CV1354" s="76"/>
      <c r="CW1354" s="123"/>
      <c r="CX1354" s="6"/>
      <c r="DI1354" s="125"/>
      <c r="DJ1354" s="16"/>
      <c r="DM1354" s="16"/>
      <c r="DN1354" s="16"/>
      <c r="DO1354" s="125"/>
      <c r="DP1354" s="16"/>
      <c r="DQ1354" s="125"/>
      <c r="DZ1354" s="125"/>
      <c r="EA1354" s="142"/>
      <c r="EB1354" s="125"/>
      <c r="EC1354" s="16"/>
      <c r="ED1354" s="125"/>
      <c r="EE1354" s="125"/>
      <c r="EF1354" s="16"/>
      <c r="EG1354" s="125"/>
      <c r="EQ1354" s="125"/>
      <c r="ER1354" s="16"/>
      <c r="ES1354" s="123"/>
      <c r="ET1354" s="19"/>
      <c r="EU1354" s="139"/>
      <c r="EV1354" s="139"/>
      <c r="EW1354" s="123"/>
      <c r="EX1354" s="123"/>
      <c r="EY1354" s="123"/>
      <c r="EZ1354" s="123"/>
      <c r="FA1354" s="123"/>
      <c r="FB1354" s="123"/>
      <c r="FC1354" s="6"/>
      <c r="FD1354" s="123"/>
      <c r="FE1354" s="6"/>
      <c r="FF1354" s="123"/>
      <c r="FG1354" s="6"/>
      <c r="FH1354" s="6"/>
      <c r="FI1354" s="6"/>
      <c r="FJ1354" s="6"/>
      <c r="FK1354" s="123"/>
      <c r="FL1354" s="6"/>
      <c r="FM1354" s="6"/>
      <c r="FN1354" s="6"/>
      <c r="FO1354" s="138"/>
      <c r="FP1354" s="138"/>
      <c r="FQ1354" s="123"/>
      <c r="FR1354" s="6"/>
      <c r="FS1354" s="6"/>
      <c r="FT1354" s="139"/>
      <c r="FU1354" s="139"/>
      <c r="FV1354" s="76"/>
      <c r="FW1354" s="123"/>
      <c r="FX1354" s="6"/>
    </row>
    <row r="1355" spans="35:180">
      <c r="AI1355" s="125"/>
      <c r="AJ1355" s="16"/>
      <c r="AM1355" s="16"/>
      <c r="AN1355" s="16"/>
      <c r="AO1355" s="125"/>
      <c r="AP1355" s="16"/>
      <c r="AQ1355" s="125"/>
      <c r="AZ1355" s="125"/>
      <c r="BA1355" s="142"/>
      <c r="BB1355" s="125"/>
      <c r="BC1355" s="16"/>
      <c r="BD1355" s="125"/>
      <c r="BE1355" s="125"/>
      <c r="BF1355" s="16"/>
      <c r="BG1355" s="125"/>
      <c r="BQ1355" s="125"/>
      <c r="BR1355" s="16"/>
      <c r="BS1355" s="123"/>
      <c r="BT1355" s="19"/>
      <c r="BU1355" s="139"/>
      <c r="BV1355" s="139"/>
      <c r="BW1355" s="123"/>
      <c r="BX1355" s="123"/>
      <c r="BY1355" s="123"/>
      <c r="BZ1355" s="123"/>
      <c r="CA1355" s="123"/>
      <c r="CB1355" s="123"/>
      <c r="CC1355" s="6"/>
      <c r="CD1355" s="123"/>
      <c r="CE1355" s="6"/>
      <c r="CF1355" s="123"/>
      <c r="CG1355" s="6"/>
      <c r="CH1355" s="6"/>
      <c r="CI1355" s="6"/>
      <c r="CJ1355" s="6"/>
      <c r="CK1355" s="123"/>
      <c r="CL1355" s="6"/>
      <c r="CM1355" s="6"/>
      <c r="CN1355" s="6"/>
      <c r="CO1355" s="138"/>
      <c r="CP1355" s="138"/>
      <c r="CQ1355" s="123"/>
      <c r="CR1355" s="6"/>
      <c r="CS1355" s="6"/>
      <c r="CT1355" s="139"/>
      <c r="CU1355" s="139"/>
      <c r="CV1355" s="76"/>
      <c r="CW1355" s="123"/>
      <c r="CX1355" s="6"/>
      <c r="DI1355" s="125"/>
      <c r="DJ1355" s="16"/>
      <c r="DM1355" s="16"/>
      <c r="DN1355" s="16"/>
      <c r="DO1355" s="125"/>
      <c r="DP1355" s="16"/>
      <c r="DQ1355" s="125"/>
      <c r="DZ1355" s="125"/>
      <c r="EA1355" s="142"/>
      <c r="EB1355" s="125"/>
      <c r="EC1355" s="16"/>
      <c r="ED1355" s="125"/>
      <c r="EE1355" s="125"/>
      <c r="EF1355" s="16"/>
      <c r="EG1355" s="125"/>
      <c r="EQ1355" s="125"/>
      <c r="ER1355" s="16"/>
      <c r="ES1355" s="123"/>
      <c r="ET1355" s="19"/>
      <c r="EU1355" s="139"/>
      <c r="EV1355" s="139"/>
      <c r="EW1355" s="123"/>
      <c r="EX1355" s="123"/>
      <c r="EY1355" s="123"/>
      <c r="EZ1355" s="123"/>
      <c r="FA1355" s="123"/>
      <c r="FB1355" s="123"/>
      <c r="FC1355" s="6"/>
      <c r="FD1355" s="123"/>
      <c r="FE1355" s="6"/>
      <c r="FF1355" s="123"/>
      <c r="FG1355" s="6"/>
      <c r="FH1355" s="6"/>
      <c r="FI1355" s="6"/>
      <c r="FJ1355" s="6"/>
      <c r="FK1355" s="123"/>
      <c r="FL1355" s="6"/>
      <c r="FM1355" s="6"/>
      <c r="FN1355" s="6"/>
      <c r="FO1355" s="138"/>
      <c r="FP1355" s="138"/>
      <c r="FQ1355" s="123"/>
      <c r="FR1355" s="6"/>
      <c r="FS1355" s="6"/>
      <c r="FT1355" s="139"/>
      <c r="FU1355" s="139"/>
      <c r="FV1355" s="76"/>
      <c r="FW1355" s="123"/>
      <c r="FX1355" s="6"/>
    </row>
    <row r="1356" spans="35:180">
      <c r="AI1356" s="125"/>
      <c r="AJ1356" s="16"/>
      <c r="AM1356" s="16"/>
      <c r="AN1356" s="16"/>
      <c r="AO1356" s="125"/>
      <c r="AP1356" s="16"/>
      <c r="AQ1356" s="125"/>
      <c r="AZ1356" s="125"/>
      <c r="BA1356" s="142"/>
      <c r="BB1356" s="125"/>
      <c r="BC1356" s="16"/>
      <c r="BD1356" s="125"/>
      <c r="BE1356" s="125"/>
      <c r="BF1356" s="16"/>
      <c r="BG1356" s="125"/>
      <c r="BQ1356" s="125"/>
      <c r="BR1356" s="16"/>
      <c r="BS1356" s="123"/>
      <c r="BT1356" s="19"/>
      <c r="BU1356" s="139"/>
      <c r="BV1356" s="139"/>
      <c r="BW1356" s="123"/>
      <c r="BX1356" s="123"/>
      <c r="BY1356" s="123"/>
      <c r="BZ1356" s="123"/>
      <c r="CA1356" s="123"/>
      <c r="CB1356" s="123"/>
      <c r="CC1356" s="6"/>
      <c r="CD1356" s="123"/>
      <c r="CE1356" s="6"/>
      <c r="CF1356" s="123"/>
      <c r="CG1356" s="6"/>
      <c r="CH1356" s="6"/>
      <c r="CI1356" s="6"/>
      <c r="CJ1356" s="6"/>
      <c r="CK1356" s="123"/>
      <c r="CL1356" s="6"/>
      <c r="CM1356" s="6"/>
      <c r="CN1356" s="6"/>
      <c r="CO1356" s="138"/>
      <c r="CP1356" s="138"/>
      <c r="CQ1356" s="123"/>
      <c r="CR1356" s="6"/>
      <c r="CS1356" s="6"/>
      <c r="CT1356" s="139"/>
      <c r="CU1356" s="139"/>
      <c r="CV1356" s="76"/>
      <c r="CW1356" s="123"/>
      <c r="CX1356" s="6"/>
      <c r="DI1356" s="125"/>
      <c r="DJ1356" s="16"/>
      <c r="DM1356" s="16"/>
      <c r="DN1356" s="16"/>
      <c r="DO1356" s="125"/>
      <c r="DP1356" s="16"/>
      <c r="DQ1356" s="125"/>
      <c r="DZ1356" s="125"/>
      <c r="EA1356" s="142"/>
      <c r="EB1356" s="125"/>
      <c r="EC1356" s="16"/>
      <c r="ED1356" s="125"/>
      <c r="EE1356" s="125"/>
      <c r="EF1356" s="16"/>
      <c r="EG1356" s="125"/>
      <c r="EQ1356" s="125"/>
      <c r="ER1356" s="16"/>
      <c r="ES1356" s="123"/>
      <c r="ET1356" s="19"/>
      <c r="EU1356" s="139"/>
      <c r="EV1356" s="139"/>
      <c r="EW1356" s="123"/>
      <c r="EX1356" s="123"/>
      <c r="EY1356" s="123"/>
      <c r="EZ1356" s="123"/>
      <c r="FA1356" s="123"/>
      <c r="FB1356" s="123"/>
      <c r="FC1356" s="6"/>
      <c r="FD1356" s="123"/>
      <c r="FE1356" s="6"/>
      <c r="FF1356" s="123"/>
      <c r="FG1356" s="6"/>
      <c r="FH1356" s="6"/>
      <c r="FI1356" s="6"/>
      <c r="FJ1356" s="6"/>
      <c r="FK1356" s="123"/>
      <c r="FL1356" s="6"/>
      <c r="FM1356" s="6"/>
      <c r="FN1356" s="6"/>
      <c r="FO1356" s="138"/>
      <c r="FP1356" s="138"/>
      <c r="FQ1356" s="123"/>
      <c r="FR1356" s="6"/>
      <c r="FS1356" s="6"/>
      <c r="FT1356" s="139"/>
      <c r="FU1356" s="139"/>
      <c r="FV1356" s="76"/>
      <c r="FW1356" s="123"/>
      <c r="FX1356" s="6"/>
    </row>
    <row r="1357" spans="35:180">
      <c r="AI1357" s="125"/>
      <c r="AJ1357" s="16"/>
      <c r="AM1357" s="16"/>
      <c r="AN1357" s="16"/>
      <c r="AO1357" s="125"/>
      <c r="AP1357" s="16"/>
      <c r="AQ1357" s="125"/>
      <c r="AZ1357" s="125"/>
      <c r="BA1357" s="142"/>
      <c r="BB1357" s="125"/>
      <c r="BC1357" s="16"/>
      <c r="BD1357" s="125"/>
      <c r="BE1357" s="125"/>
      <c r="BF1357" s="16"/>
      <c r="BG1357" s="125"/>
      <c r="BQ1357" s="125"/>
      <c r="BR1357" s="16"/>
      <c r="BS1357" s="123"/>
      <c r="BT1357" s="19"/>
      <c r="BU1357" s="139"/>
      <c r="BV1357" s="139"/>
      <c r="BW1357" s="123"/>
      <c r="BX1357" s="123"/>
      <c r="BY1357" s="123"/>
      <c r="BZ1357" s="123"/>
      <c r="CA1357" s="123"/>
      <c r="CB1357" s="123"/>
      <c r="CC1357" s="6"/>
      <c r="CD1357" s="123"/>
      <c r="CE1357" s="6"/>
      <c r="CF1357" s="123"/>
      <c r="CG1357" s="6"/>
      <c r="CH1357" s="6"/>
      <c r="CI1357" s="6"/>
      <c r="CJ1357" s="6"/>
      <c r="CK1357" s="123"/>
      <c r="CL1357" s="6"/>
      <c r="CM1357" s="6"/>
      <c r="CN1357" s="6"/>
      <c r="CO1357" s="138"/>
      <c r="CP1357" s="138"/>
      <c r="CQ1357" s="123"/>
      <c r="CR1357" s="6"/>
      <c r="CS1357" s="6"/>
      <c r="CT1357" s="139"/>
      <c r="CU1357" s="139"/>
      <c r="CV1357" s="76"/>
      <c r="CW1357" s="123"/>
      <c r="CX1357" s="6"/>
      <c r="DI1357" s="125"/>
      <c r="DJ1357" s="16"/>
      <c r="DM1357" s="16"/>
      <c r="DN1357" s="16"/>
      <c r="DO1357" s="125"/>
      <c r="DP1357" s="16"/>
      <c r="DQ1357" s="125"/>
      <c r="DZ1357" s="125"/>
      <c r="EA1357" s="142"/>
      <c r="EB1357" s="125"/>
      <c r="EC1357" s="16"/>
      <c r="ED1357" s="125"/>
      <c r="EE1357" s="125"/>
      <c r="EF1357" s="16"/>
      <c r="EG1357" s="125"/>
      <c r="EQ1357" s="125"/>
      <c r="ER1357" s="16"/>
      <c r="ES1357" s="123"/>
      <c r="ET1357" s="19"/>
      <c r="EU1357" s="139"/>
      <c r="EV1357" s="139"/>
      <c r="EW1357" s="123"/>
      <c r="EX1357" s="123"/>
      <c r="EY1357" s="123"/>
      <c r="EZ1357" s="123"/>
      <c r="FA1357" s="123"/>
      <c r="FB1357" s="123"/>
      <c r="FC1357" s="6"/>
      <c r="FD1357" s="123"/>
      <c r="FE1357" s="6"/>
      <c r="FF1357" s="123"/>
      <c r="FG1357" s="6"/>
      <c r="FH1357" s="6"/>
      <c r="FI1357" s="6"/>
      <c r="FJ1357" s="6"/>
      <c r="FK1357" s="123"/>
      <c r="FL1357" s="6"/>
      <c r="FM1357" s="6"/>
      <c r="FN1357" s="6"/>
      <c r="FO1357" s="138"/>
      <c r="FP1357" s="138"/>
      <c r="FQ1357" s="123"/>
      <c r="FR1357" s="6"/>
      <c r="FS1357" s="6"/>
      <c r="FT1357" s="139"/>
      <c r="FU1357" s="139"/>
      <c r="FV1357" s="76"/>
      <c r="FW1357" s="123"/>
      <c r="FX1357" s="6"/>
    </row>
    <row r="1358" spans="35:180">
      <c r="AI1358" s="125"/>
      <c r="AJ1358" s="16"/>
      <c r="AM1358" s="16"/>
      <c r="AN1358" s="16"/>
      <c r="AO1358" s="125"/>
      <c r="AP1358" s="16"/>
      <c r="AQ1358" s="125"/>
      <c r="AZ1358" s="125"/>
      <c r="BA1358" s="142"/>
      <c r="BB1358" s="125"/>
      <c r="BC1358" s="16"/>
      <c r="BD1358" s="125"/>
      <c r="BE1358" s="125"/>
      <c r="BF1358" s="16"/>
      <c r="BG1358" s="125"/>
      <c r="BQ1358" s="125"/>
      <c r="BR1358" s="16"/>
      <c r="BS1358" s="123"/>
      <c r="BT1358" s="19"/>
      <c r="BU1358" s="139"/>
      <c r="BV1358" s="139"/>
      <c r="BW1358" s="123"/>
      <c r="BX1358" s="123"/>
      <c r="BY1358" s="123"/>
      <c r="BZ1358" s="123"/>
      <c r="CA1358" s="123"/>
      <c r="CB1358" s="123"/>
      <c r="CC1358" s="6"/>
      <c r="CD1358" s="123"/>
      <c r="CE1358" s="6"/>
      <c r="CF1358" s="123"/>
      <c r="CG1358" s="6"/>
      <c r="CH1358" s="6"/>
      <c r="CI1358" s="6"/>
      <c r="CJ1358" s="6"/>
      <c r="CK1358" s="123"/>
      <c r="CL1358" s="6"/>
      <c r="CM1358" s="6"/>
      <c r="CN1358" s="6"/>
      <c r="CO1358" s="138"/>
      <c r="CP1358" s="138"/>
      <c r="CQ1358" s="123"/>
      <c r="CR1358" s="6"/>
      <c r="CS1358" s="6"/>
      <c r="CT1358" s="139"/>
      <c r="CU1358" s="139"/>
      <c r="CV1358" s="76"/>
      <c r="CW1358" s="123"/>
      <c r="CX1358" s="6"/>
      <c r="DI1358" s="125"/>
      <c r="DJ1358" s="16"/>
      <c r="DM1358" s="16"/>
      <c r="DN1358" s="16"/>
      <c r="DO1358" s="125"/>
      <c r="DP1358" s="16"/>
      <c r="DQ1358" s="125"/>
      <c r="DZ1358" s="125"/>
      <c r="EA1358" s="142"/>
      <c r="EB1358" s="125"/>
      <c r="EC1358" s="16"/>
      <c r="ED1358" s="125"/>
      <c r="EE1358" s="125"/>
      <c r="EF1358" s="16"/>
      <c r="EG1358" s="125"/>
      <c r="EQ1358" s="125"/>
      <c r="ER1358" s="16"/>
      <c r="ES1358" s="123"/>
      <c r="ET1358" s="19"/>
      <c r="EU1358" s="139"/>
      <c r="EV1358" s="139"/>
      <c r="EW1358" s="123"/>
      <c r="EX1358" s="123"/>
      <c r="EY1358" s="123"/>
      <c r="EZ1358" s="123"/>
      <c r="FA1358" s="123"/>
      <c r="FB1358" s="123"/>
      <c r="FC1358" s="6"/>
      <c r="FD1358" s="123"/>
      <c r="FE1358" s="6"/>
      <c r="FF1358" s="123"/>
      <c r="FG1358" s="6"/>
      <c r="FH1358" s="6"/>
      <c r="FI1358" s="6"/>
      <c r="FJ1358" s="6"/>
      <c r="FK1358" s="123"/>
      <c r="FL1358" s="6"/>
      <c r="FM1358" s="6"/>
      <c r="FN1358" s="6"/>
      <c r="FO1358" s="138"/>
      <c r="FP1358" s="138"/>
      <c r="FQ1358" s="123"/>
      <c r="FR1358" s="6"/>
      <c r="FS1358" s="6"/>
      <c r="FT1358" s="139"/>
      <c r="FU1358" s="139"/>
      <c r="FV1358" s="76"/>
      <c r="FW1358" s="123"/>
      <c r="FX1358" s="6"/>
    </row>
    <row r="1359" spans="35:180">
      <c r="AI1359" s="125"/>
      <c r="AJ1359" s="16"/>
      <c r="AM1359" s="16"/>
      <c r="AN1359" s="16"/>
      <c r="AO1359" s="125"/>
      <c r="AP1359" s="16"/>
      <c r="AQ1359" s="125"/>
      <c r="AZ1359" s="125"/>
      <c r="BA1359" s="142"/>
      <c r="BB1359" s="125"/>
      <c r="BC1359" s="16"/>
      <c r="BD1359" s="125"/>
      <c r="BE1359" s="125"/>
      <c r="BF1359" s="16"/>
      <c r="BG1359" s="125"/>
      <c r="BQ1359" s="125"/>
      <c r="BR1359" s="16"/>
      <c r="BS1359" s="123"/>
      <c r="BT1359" s="19"/>
      <c r="BU1359" s="139"/>
      <c r="BV1359" s="139"/>
      <c r="BW1359" s="123"/>
      <c r="BX1359" s="123"/>
      <c r="BY1359" s="123"/>
      <c r="BZ1359" s="123"/>
      <c r="CA1359" s="123"/>
      <c r="CB1359" s="123"/>
      <c r="CC1359" s="6"/>
      <c r="CD1359" s="123"/>
      <c r="CE1359" s="6"/>
      <c r="CF1359" s="123"/>
      <c r="CG1359" s="6"/>
      <c r="CH1359" s="6"/>
      <c r="CI1359" s="6"/>
      <c r="CJ1359" s="6"/>
      <c r="CK1359" s="123"/>
      <c r="CL1359" s="6"/>
      <c r="CM1359" s="6"/>
      <c r="CN1359" s="6"/>
      <c r="CO1359" s="138"/>
      <c r="CP1359" s="138"/>
      <c r="CQ1359" s="123"/>
      <c r="CR1359" s="6"/>
      <c r="CS1359" s="6"/>
      <c r="CT1359" s="139"/>
      <c r="CU1359" s="139"/>
      <c r="CV1359" s="76"/>
      <c r="CW1359" s="123"/>
      <c r="CX1359" s="6"/>
      <c r="DI1359" s="125"/>
      <c r="DJ1359" s="16"/>
      <c r="DM1359" s="16"/>
      <c r="DN1359" s="16"/>
      <c r="DO1359" s="125"/>
      <c r="DP1359" s="16"/>
      <c r="DQ1359" s="125"/>
      <c r="DZ1359" s="125"/>
      <c r="EA1359" s="142"/>
      <c r="EB1359" s="125"/>
      <c r="EC1359" s="16"/>
      <c r="ED1359" s="125"/>
      <c r="EE1359" s="125"/>
      <c r="EF1359" s="16"/>
      <c r="EG1359" s="125"/>
      <c r="EQ1359" s="125"/>
      <c r="ER1359" s="16"/>
      <c r="ES1359" s="123"/>
      <c r="ET1359" s="19"/>
      <c r="EU1359" s="139"/>
      <c r="EV1359" s="139"/>
      <c r="EW1359" s="123"/>
      <c r="EX1359" s="123"/>
      <c r="EY1359" s="123"/>
      <c r="EZ1359" s="123"/>
      <c r="FA1359" s="123"/>
      <c r="FB1359" s="123"/>
      <c r="FC1359" s="6"/>
      <c r="FD1359" s="123"/>
      <c r="FE1359" s="6"/>
      <c r="FF1359" s="123"/>
      <c r="FG1359" s="6"/>
      <c r="FH1359" s="6"/>
      <c r="FI1359" s="6"/>
      <c r="FJ1359" s="6"/>
      <c r="FK1359" s="123"/>
      <c r="FL1359" s="6"/>
      <c r="FM1359" s="6"/>
      <c r="FN1359" s="6"/>
      <c r="FO1359" s="138"/>
      <c r="FP1359" s="138"/>
      <c r="FQ1359" s="123"/>
      <c r="FR1359" s="6"/>
      <c r="FS1359" s="6"/>
      <c r="FT1359" s="139"/>
      <c r="FU1359" s="139"/>
      <c r="FV1359" s="76"/>
      <c r="FW1359" s="123"/>
      <c r="FX1359" s="6"/>
    </row>
    <row r="1360" spans="35:180">
      <c r="AI1360" s="125"/>
      <c r="AJ1360" s="16"/>
      <c r="AM1360" s="16"/>
      <c r="AN1360" s="16"/>
      <c r="AO1360" s="125"/>
      <c r="AP1360" s="16"/>
      <c r="AQ1360" s="125"/>
      <c r="AZ1360" s="125"/>
      <c r="BA1360" s="142"/>
      <c r="BB1360" s="125"/>
      <c r="BC1360" s="16"/>
      <c r="BD1360" s="125"/>
      <c r="BE1360" s="125"/>
      <c r="BF1360" s="16"/>
      <c r="BG1360" s="125"/>
      <c r="BQ1360" s="125"/>
      <c r="BR1360" s="16"/>
      <c r="BS1360" s="123"/>
      <c r="BT1360" s="19"/>
      <c r="BU1360" s="139"/>
      <c r="BV1360" s="139"/>
      <c r="BW1360" s="123"/>
      <c r="BX1360" s="123"/>
      <c r="BY1360" s="123"/>
      <c r="BZ1360" s="123"/>
      <c r="CA1360" s="123"/>
      <c r="CB1360" s="123"/>
      <c r="CC1360" s="6"/>
      <c r="CD1360" s="123"/>
      <c r="CE1360" s="6"/>
      <c r="CF1360" s="123"/>
      <c r="CG1360" s="6"/>
      <c r="CH1360" s="6"/>
      <c r="CI1360" s="6"/>
      <c r="CJ1360" s="6"/>
      <c r="CK1360" s="123"/>
      <c r="CL1360" s="6"/>
      <c r="CM1360" s="6"/>
      <c r="CN1360" s="6"/>
      <c r="CO1360" s="138"/>
      <c r="CP1360" s="138"/>
      <c r="CQ1360" s="123"/>
      <c r="CR1360" s="6"/>
      <c r="CS1360" s="6"/>
      <c r="CT1360" s="139"/>
      <c r="CU1360" s="139"/>
      <c r="CV1360" s="76"/>
      <c r="CW1360" s="123"/>
      <c r="CX1360" s="6"/>
      <c r="DI1360" s="125"/>
      <c r="DJ1360" s="16"/>
      <c r="DM1360" s="16"/>
      <c r="DN1360" s="16"/>
      <c r="DO1360" s="125"/>
      <c r="DP1360" s="16"/>
      <c r="DQ1360" s="125"/>
      <c r="DZ1360" s="125"/>
      <c r="EA1360" s="142"/>
      <c r="EB1360" s="125"/>
      <c r="EC1360" s="16"/>
      <c r="ED1360" s="125"/>
      <c r="EE1360" s="125"/>
      <c r="EF1360" s="16"/>
      <c r="EG1360" s="125"/>
      <c r="EQ1360" s="125"/>
      <c r="ER1360" s="16"/>
      <c r="ES1360" s="123"/>
      <c r="ET1360" s="19"/>
      <c r="EU1360" s="139"/>
      <c r="EV1360" s="139"/>
      <c r="EW1360" s="123"/>
      <c r="EX1360" s="123"/>
      <c r="EY1360" s="123"/>
      <c r="EZ1360" s="123"/>
      <c r="FA1360" s="123"/>
      <c r="FB1360" s="123"/>
      <c r="FC1360" s="6"/>
      <c r="FD1360" s="123"/>
      <c r="FE1360" s="6"/>
      <c r="FF1360" s="123"/>
      <c r="FG1360" s="6"/>
      <c r="FH1360" s="6"/>
      <c r="FI1360" s="6"/>
      <c r="FJ1360" s="6"/>
      <c r="FK1360" s="123"/>
      <c r="FL1360" s="6"/>
      <c r="FM1360" s="6"/>
      <c r="FN1360" s="6"/>
      <c r="FO1360" s="138"/>
      <c r="FP1360" s="138"/>
      <c r="FQ1360" s="123"/>
      <c r="FR1360" s="6"/>
      <c r="FS1360" s="6"/>
      <c r="FT1360" s="139"/>
      <c r="FU1360" s="139"/>
      <c r="FV1360" s="76"/>
      <c r="FW1360" s="123"/>
      <c r="FX1360" s="6"/>
    </row>
    <row r="1361" spans="35:180">
      <c r="AI1361" s="125"/>
      <c r="AJ1361" s="16"/>
      <c r="AM1361" s="16"/>
      <c r="AN1361" s="16"/>
      <c r="AO1361" s="125"/>
      <c r="AP1361" s="16"/>
      <c r="AQ1361" s="125"/>
      <c r="AZ1361" s="125"/>
      <c r="BA1361" s="142"/>
      <c r="BB1361" s="125"/>
      <c r="BC1361" s="16"/>
      <c r="BD1361" s="125"/>
      <c r="BE1361" s="125"/>
      <c r="BF1361" s="16"/>
      <c r="BG1361" s="125"/>
      <c r="BQ1361" s="125"/>
      <c r="BR1361" s="16"/>
      <c r="BS1361" s="123"/>
      <c r="BT1361" s="19"/>
      <c r="BU1361" s="139"/>
      <c r="BV1361" s="139"/>
      <c r="BW1361" s="123"/>
      <c r="BX1361" s="123"/>
      <c r="BY1361" s="123"/>
      <c r="BZ1361" s="123"/>
      <c r="CA1361" s="123"/>
      <c r="CB1361" s="123"/>
      <c r="CC1361" s="6"/>
      <c r="CD1361" s="123"/>
      <c r="CE1361" s="6"/>
      <c r="CF1361" s="123"/>
      <c r="CG1361" s="6"/>
      <c r="CH1361" s="6"/>
      <c r="CI1361" s="6"/>
      <c r="CJ1361" s="6"/>
      <c r="CK1361" s="123"/>
      <c r="CL1361" s="6"/>
      <c r="CM1361" s="6"/>
      <c r="CN1361" s="6"/>
      <c r="CO1361" s="138"/>
      <c r="CP1361" s="138"/>
      <c r="CQ1361" s="123"/>
      <c r="CR1361" s="6"/>
      <c r="CS1361" s="6"/>
      <c r="CT1361" s="139"/>
      <c r="CU1361" s="139"/>
      <c r="CV1361" s="76"/>
      <c r="CW1361" s="123"/>
      <c r="CX1361" s="6"/>
      <c r="DI1361" s="125"/>
      <c r="DJ1361" s="16"/>
      <c r="DM1361" s="16"/>
      <c r="DN1361" s="16"/>
      <c r="DO1361" s="125"/>
      <c r="DP1361" s="16"/>
      <c r="DQ1361" s="125"/>
      <c r="DZ1361" s="125"/>
      <c r="EA1361" s="142"/>
      <c r="EB1361" s="125"/>
      <c r="EC1361" s="16"/>
      <c r="ED1361" s="125"/>
      <c r="EE1361" s="125"/>
      <c r="EF1361" s="16"/>
      <c r="EG1361" s="125"/>
      <c r="EQ1361" s="125"/>
      <c r="ER1361" s="16"/>
      <c r="ES1361" s="123"/>
      <c r="ET1361" s="19"/>
      <c r="EU1361" s="139"/>
      <c r="EV1361" s="139"/>
      <c r="EW1361" s="123"/>
      <c r="EX1361" s="123"/>
      <c r="EY1361" s="123"/>
      <c r="EZ1361" s="123"/>
      <c r="FA1361" s="123"/>
      <c r="FB1361" s="123"/>
      <c r="FC1361" s="6"/>
      <c r="FD1361" s="123"/>
      <c r="FE1361" s="6"/>
      <c r="FF1361" s="123"/>
      <c r="FG1361" s="6"/>
      <c r="FH1361" s="6"/>
      <c r="FI1361" s="6"/>
      <c r="FJ1361" s="6"/>
      <c r="FK1361" s="123"/>
      <c r="FL1361" s="6"/>
      <c r="FM1361" s="6"/>
      <c r="FN1361" s="6"/>
      <c r="FO1361" s="138"/>
      <c r="FP1361" s="138"/>
      <c r="FQ1361" s="123"/>
      <c r="FR1361" s="6"/>
      <c r="FS1361" s="6"/>
      <c r="FT1361" s="139"/>
      <c r="FU1361" s="139"/>
      <c r="FV1361" s="76"/>
      <c r="FW1361" s="123"/>
      <c r="FX1361" s="6"/>
    </row>
    <row r="1362" spans="35:180">
      <c r="AI1362" s="125"/>
      <c r="AJ1362" s="16"/>
      <c r="AM1362" s="16"/>
      <c r="AN1362" s="16"/>
      <c r="AO1362" s="125"/>
      <c r="AP1362" s="16"/>
      <c r="AQ1362" s="125"/>
      <c r="AZ1362" s="125"/>
      <c r="BA1362" s="142"/>
      <c r="BB1362" s="125"/>
      <c r="BC1362" s="16"/>
      <c r="BD1362" s="125"/>
      <c r="BE1362" s="125"/>
      <c r="BF1362" s="16"/>
      <c r="BG1362" s="125"/>
      <c r="BQ1362" s="125"/>
      <c r="BR1362" s="16"/>
      <c r="BS1362" s="123"/>
      <c r="BT1362" s="19"/>
      <c r="BU1362" s="139"/>
      <c r="BV1362" s="139"/>
      <c r="BW1362" s="123"/>
      <c r="BX1362" s="123"/>
      <c r="BY1362" s="123"/>
      <c r="BZ1362" s="123"/>
      <c r="CA1362" s="123"/>
      <c r="CB1362" s="123"/>
      <c r="CC1362" s="6"/>
      <c r="CD1362" s="123"/>
      <c r="CE1362" s="6"/>
      <c r="CF1362" s="123"/>
      <c r="CG1362" s="6"/>
      <c r="CH1362" s="6"/>
      <c r="CI1362" s="6"/>
      <c r="CJ1362" s="6"/>
      <c r="CK1362" s="123"/>
      <c r="CL1362" s="6"/>
      <c r="CM1362" s="6"/>
      <c r="CN1362" s="6"/>
      <c r="CO1362" s="138"/>
      <c r="CP1362" s="138"/>
      <c r="CQ1362" s="123"/>
      <c r="CR1362" s="6"/>
      <c r="CS1362" s="6"/>
      <c r="CT1362" s="139"/>
      <c r="CU1362" s="139"/>
      <c r="CV1362" s="76"/>
      <c r="CW1362" s="123"/>
      <c r="CX1362" s="6"/>
      <c r="DI1362" s="125"/>
      <c r="DJ1362" s="16"/>
      <c r="DM1362" s="16"/>
      <c r="DN1362" s="16"/>
      <c r="DO1362" s="125"/>
      <c r="DP1362" s="16"/>
      <c r="DQ1362" s="125"/>
      <c r="DZ1362" s="125"/>
      <c r="EA1362" s="142"/>
      <c r="EB1362" s="125"/>
      <c r="EC1362" s="16"/>
      <c r="ED1362" s="125"/>
      <c r="EE1362" s="125"/>
      <c r="EF1362" s="16"/>
      <c r="EG1362" s="125"/>
      <c r="EQ1362" s="125"/>
      <c r="ER1362" s="16"/>
      <c r="ES1362" s="123"/>
      <c r="ET1362" s="19"/>
      <c r="EU1362" s="139"/>
      <c r="EV1362" s="139"/>
      <c r="EW1362" s="123"/>
      <c r="EX1362" s="123"/>
      <c r="EY1362" s="123"/>
      <c r="EZ1362" s="123"/>
      <c r="FA1362" s="123"/>
      <c r="FB1362" s="123"/>
      <c r="FC1362" s="6"/>
      <c r="FD1362" s="123"/>
      <c r="FE1362" s="6"/>
      <c r="FF1362" s="123"/>
      <c r="FG1362" s="6"/>
      <c r="FH1362" s="6"/>
      <c r="FI1362" s="6"/>
      <c r="FJ1362" s="6"/>
      <c r="FK1362" s="123"/>
      <c r="FL1362" s="6"/>
      <c r="FM1362" s="6"/>
      <c r="FN1362" s="6"/>
      <c r="FO1362" s="138"/>
      <c r="FP1362" s="138"/>
      <c r="FQ1362" s="123"/>
      <c r="FR1362" s="6"/>
      <c r="FS1362" s="6"/>
      <c r="FT1362" s="139"/>
      <c r="FU1362" s="139"/>
      <c r="FV1362" s="76"/>
      <c r="FW1362" s="123"/>
      <c r="FX1362" s="6"/>
    </row>
    <row r="1363" spans="35:180">
      <c r="AI1363" s="125"/>
      <c r="AJ1363" s="16"/>
      <c r="AM1363" s="16"/>
      <c r="AN1363" s="16"/>
      <c r="AO1363" s="125"/>
      <c r="AP1363" s="16"/>
      <c r="AQ1363" s="125"/>
      <c r="AZ1363" s="125"/>
      <c r="BA1363" s="142"/>
      <c r="BB1363" s="125"/>
      <c r="BC1363" s="16"/>
      <c r="BD1363" s="125"/>
      <c r="BE1363" s="125"/>
      <c r="BF1363" s="16"/>
      <c r="BG1363" s="125"/>
      <c r="BQ1363" s="125"/>
      <c r="BR1363" s="16"/>
      <c r="BS1363" s="123"/>
      <c r="BT1363" s="19"/>
      <c r="BU1363" s="139"/>
      <c r="BV1363" s="139"/>
      <c r="BW1363" s="123"/>
      <c r="BX1363" s="123"/>
      <c r="BY1363" s="123"/>
      <c r="BZ1363" s="123"/>
      <c r="CA1363" s="123"/>
      <c r="CB1363" s="123"/>
      <c r="CC1363" s="6"/>
      <c r="CD1363" s="123"/>
      <c r="CE1363" s="6"/>
      <c r="CF1363" s="123"/>
      <c r="CG1363" s="6"/>
      <c r="CH1363" s="6"/>
      <c r="CI1363" s="6"/>
      <c r="CJ1363" s="6"/>
      <c r="CK1363" s="123"/>
      <c r="CL1363" s="6"/>
      <c r="CM1363" s="6"/>
      <c r="CN1363" s="6"/>
      <c r="CO1363" s="138"/>
      <c r="CP1363" s="138"/>
      <c r="CQ1363" s="123"/>
      <c r="CR1363" s="6"/>
      <c r="CS1363" s="6"/>
      <c r="CT1363" s="139"/>
      <c r="CU1363" s="139"/>
      <c r="CV1363" s="76"/>
      <c r="CW1363" s="123"/>
      <c r="CX1363" s="6"/>
      <c r="DI1363" s="125"/>
      <c r="DJ1363" s="16"/>
      <c r="DM1363" s="16"/>
      <c r="DN1363" s="16"/>
      <c r="DO1363" s="125"/>
      <c r="DP1363" s="16"/>
      <c r="DQ1363" s="125"/>
      <c r="DZ1363" s="125"/>
      <c r="EA1363" s="142"/>
      <c r="EB1363" s="125"/>
      <c r="EC1363" s="16"/>
      <c r="ED1363" s="125"/>
      <c r="EE1363" s="125"/>
      <c r="EF1363" s="16"/>
      <c r="EG1363" s="125"/>
      <c r="EQ1363" s="125"/>
      <c r="ER1363" s="16"/>
      <c r="ES1363" s="123"/>
      <c r="ET1363" s="19"/>
      <c r="EU1363" s="139"/>
      <c r="EV1363" s="139"/>
      <c r="EW1363" s="123"/>
      <c r="EX1363" s="123"/>
      <c r="EY1363" s="123"/>
      <c r="EZ1363" s="123"/>
      <c r="FA1363" s="123"/>
      <c r="FB1363" s="123"/>
      <c r="FC1363" s="6"/>
      <c r="FD1363" s="123"/>
      <c r="FE1363" s="6"/>
      <c r="FF1363" s="123"/>
      <c r="FG1363" s="6"/>
      <c r="FH1363" s="6"/>
      <c r="FI1363" s="6"/>
      <c r="FJ1363" s="6"/>
      <c r="FK1363" s="123"/>
      <c r="FL1363" s="6"/>
      <c r="FM1363" s="6"/>
      <c r="FN1363" s="6"/>
      <c r="FO1363" s="138"/>
      <c r="FP1363" s="138"/>
      <c r="FQ1363" s="123"/>
      <c r="FR1363" s="6"/>
      <c r="FS1363" s="6"/>
      <c r="FT1363" s="139"/>
      <c r="FU1363" s="139"/>
      <c r="FV1363" s="76"/>
      <c r="FW1363" s="123"/>
      <c r="FX1363" s="6"/>
    </row>
    <row r="1364" spans="35:180">
      <c r="AI1364" s="125"/>
      <c r="AJ1364" s="16"/>
      <c r="AM1364" s="16"/>
      <c r="AN1364" s="16"/>
      <c r="AO1364" s="125"/>
      <c r="AP1364" s="16"/>
      <c r="AQ1364" s="125"/>
      <c r="AZ1364" s="125"/>
      <c r="BA1364" s="142"/>
      <c r="BB1364" s="125"/>
      <c r="BC1364" s="16"/>
      <c r="BD1364" s="125"/>
      <c r="BE1364" s="125"/>
      <c r="BF1364" s="16"/>
      <c r="BG1364" s="125"/>
      <c r="BQ1364" s="125"/>
      <c r="BR1364" s="16"/>
      <c r="BS1364" s="123"/>
      <c r="BT1364" s="19"/>
      <c r="BU1364" s="139"/>
      <c r="BV1364" s="139"/>
      <c r="BW1364" s="123"/>
      <c r="BX1364" s="123"/>
      <c r="BY1364" s="123"/>
      <c r="BZ1364" s="123"/>
      <c r="CA1364" s="123"/>
      <c r="CB1364" s="123"/>
      <c r="CC1364" s="6"/>
      <c r="CD1364" s="123"/>
      <c r="CE1364" s="6"/>
      <c r="CF1364" s="123"/>
      <c r="CG1364" s="6"/>
      <c r="CH1364" s="6"/>
      <c r="CI1364" s="6"/>
      <c r="CJ1364" s="6"/>
      <c r="CK1364" s="123"/>
      <c r="CL1364" s="6"/>
      <c r="CM1364" s="6"/>
      <c r="CN1364" s="6"/>
      <c r="CO1364" s="138"/>
      <c r="CP1364" s="138"/>
      <c r="CQ1364" s="123"/>
      <c r="CR1364" s="6"/>
      <c r="CS1364" s="6"/>
      <c r="CT1364" s="139"/>
      <c r="CU1364" s="139"/>
      <c r="CV1364" s="76"/>
      <c r="CW1364" s="123"/>
      <c r="CX1364" s="6"/>
      <c r="DI1364" s="125"/>
      <c r="DJ1364" s="16"/>
      <c r="DM1364" s="16"/>
      <c r="DN1364" s="16"/>
      <c r="DO1364" s="125"/>
      <c r="DP1364" s="16"/>
      <c r="DQ1364" s="125"/>
      <c r="DZ1364" s="125"/>
      <c r="EA1364" s="142"/>
      <c r="EB1364" s="125"/>
      <c r="EC1364" s="16"/>
      <c r="ED1364" s="125"/>
      <c r="EE1364" s="125"/>
      <c r="EF1364" s="16"/>
      <c r="EG1364" s="125"/>
      <c r="EQ1364" s="125"/>
      <c r="ER1364" s="16"/>
      <c r="ES1364" s="123"/>
      <c r="ET1364" s="19"/>
      <c r="EU1364" s="139"/>
      <c r="EV1364" s="139"/>
      <c r="EW1364" s="123"/>
      <c r="EX1364" s="123"/>
      <c r="EY1364" s="123"/>
      <c r="EZ1364" s="123"/>
      <c r="FA1364" s="123"/>
      <c r="FB1364" s="123"/>
      <c r="FC1364" s="6"/>
      <c r="FD1364" s="123"/>
      <c r="FE1364" s="6"/>
      <c r="FF1364" s="123"/>
      <c r="FG1364" s="6"/>
      <c r="FH1364" s="6"/>
      <c r="FI1364" s="6"/>
      <c r="FJ1364" s="6"/>
      <c r="FK1364" s="123"/>
      <c r="FL1364" s="6"/>
      <c r="FM1364" s="6"/>
      <c r="FN1364" s="6"/>
      <c r="FO1364" s="138"/>
      <c r="FP1364" s="138"/>
      <c r="FQ1364" s="123"/>
      <c r="FR1364" s="6"/>
      <c r="FS1364" s="6"/>
      <c r="FT1364" s="139"/>
      <c r="FU1364" s="139"/>
      <c r="FV1364" s="76"/>
      <c r="FW1364" s="123"/>
      <c r="FX1364" s="6"/>
    </row>
    <row r="1365" spans="35:180">
      <c r="AI1365" s="125"/>
      <c r="AJ1365" s="16"/>
      <c r="AM1365" s="16"/>
      <c r="AN1365" s="16"/>
      <c r="AO1365" s="125"/>
      <c r="AP1365" s="16"/>
      <c r="AQ1365" s="125"/>
      <c r="AZ1365" s="125"/>
      <c r="BA1365" s="142"/>
      <c r="BB1365" s="125"/>
      <c r="BC1365" s="16"/>
      <c r="BD1365" s="125"/>
      <c r="BE1365" s="125"/>
      <c r="BF1365" s="16"/>
      <c r="BG1365" s="125"/>
      <c r="BQ1365" s="125"/>
      <c r="BR1365" s="16"/>
      <c r="BS1365" s="123"/>
      <c r="BT1365" s="19"/>
      <c r="BU1365" s="139"/>
      <c r="BV1365" s="139"/>
      <c r="BW1365" s="123"/>
      <c r="BX1365" s="123"/>
      <c r="BY1365" s="123"/>
      <c r="BZ1365" s="123"/>
      <c r="CA1365" s="123"/>
      <c r="CB1365" s="123"/>
      <c r="CC1365" s="6"/>
      <c r="CD1365" s="123"/>
      <c r="CE1365" s="6"/>
      <c r="CF1365" s="123"/>
      <c r="CG1365" s="6"/>
      <c r="CH1365" s="6"/>
      <c r="CI1365" s="6"/>
      <c r="CJ1365" s="6"/>
      <c r="CK1365" s="123"/>
      <c r="CL1365" s="6"/>
      <c r="CM1365" s="6"/>
      <c r="CN1365" s="6"/>
      <c r="CO1365" s="138"/>
      <c r="CP1365" s="138"/>
      <c r="CQ1365" s="123"/>
      <c r="CR1365" s="6"/>
      <c r="CS1365" s="6"/>
      <c r="CT1365" s="139"/>
      <c r="CU1365" s="139"/>
      <c r="CV1365" s="76"/>
      <c r="CW1365" s="123"/>
      <c r="CX1365" s="6"/>
      <c r="DI1365" s="125"/>
      <c r="DJ1365" s="16"/>
      <c r="DM1365" s="16"/>
      <c r="DN1365" s="16"/>
      <c r="DO1365" s="125"/>
      <c r="DP1365" s="16"/>
      <c r="DQ1365" s="125"/>
      <c r="DZ1365" s="125"/>
      <c r="EA1365" s="142"/>
      <c r="EB1365" s="125"/>
      <c r="EC1365" s="16"/>
      <c r="ED1365" s="125"/>
      <c r="EE1365" s="125"/>
      <c r="EF1365" s="16"/>
      <c r="EG1365" s="125"/>
      <c r="EQ1365" s="125"/>
      <c r="ER1365" s="16"/>
      <c r="ES1365" s="123"/>
      <c r="ET1365" s="19"/>
      <c r="EU1365" s="139"/>
      <c r="EV1365" s="139"/>
      <c r="EW1365" s="123"/>
      <c r="EX1365" s="123"/>
      <c r="EY1365" s="123"/>
      <c r="EZ1365" s="123"/>
      <c r="FA1365" s="123"/>
      <c r="FB1365" s="123"/>
      <c r="FC1365" s="6"/>
      <c r="FD1365" s="123"/>
      <c r="FE1365" s="6"/>
      <c r="FF1365" s="123"/>
      <c r="FG1365" s="6"/>
      <c r="FH1365" s="6"/>
      <c r="FI1365" s="6"/>
      <c r="FJ1365" s="6"/>
      <c r="FK1365" s="123"/>
      <c r="FL1365" s="6"/>
      <c r="FM1365" s="6"/>
      <c r="FN1365" s="6"/>
      <c r="FO1365" s="138"/>
      <c r="FP1365" s="138"/>
      <c r="FQ1365" s="123"/>
      <c r="FR1365" s="6"/>
      <c r="FS1365" s="6"/>
      <c r="FT1365" s="139"/>
      <c r="FU1365" s="139"/>
      <c r="FV1365" s="76"/>
      <c r="FW1365" s="123"/>
      <c r="FX1365" s="6"/>
    </row>
    <row r="1366" spans="35:180">
      <c r="AI1366" s="125"/>
      <c r="AJ1366" s="16"/>
      <c r="AM1366" s="16"/>
      <c r="AN1366" s="16"/>
      <c r="AO1366" s="125"/>
      <c r="AP1366" s="16"/>
      <c r="AQ1366" s="125"/>
      <c r="AZ1366" s="125"/>
      <c r="BA1366" s="142"/>
      <c r="BB1366" s="125"/>
      <c r="BC1366" s="16"/>
      <c r="BD1366" s="125"/>
      <c r="BE1366" s="125"/>
      <c r="BF1366" s="16"/>
      <c r="BG1366" s="125"/>
      <c r="BQ1366" s="125"/>
      <c r="BR1366" s="16"/>
      <c r="BS1366" s="123"/>
      <c r="BT1366" s="19"/>
      <c r="BU1366" s="139"/>
      <c r="BV1366" s="139"/>
      <c r="BW1366" s="123"/>
      <c r="BX1366" s="123"/>
      <c r="BY1366" s="123"/>
      <c r="BZ1366" s="123"/>
      <c r="CA1366" s="123"/>
      <c r="CB1366" s="123"/>
      <c r="CC1366" s="6"/>
      <c r="CD1366" s="123"/>
      <c r="CE1366" s="6"/>
      <c r="CF1366" s="123"/>
      <c r="CG1366" s="6"/>
      <c r="CH1366" s="6"/>
      <c r="CI1366" s="6"/>
      <c r="CJ1366" s="6"/>
      <c r="CK1366" s="123"/>
      <c r="CL1366" s="6"/>
      <c r="CM1366" s="6"/>
      <c r="CN1366" s="6"/>
      <c r="CO1366" s="138"/>
      <c r="CP1366" s="138"/>
      <c r="CQ1366" s="123"/>
      <c r="CR1366" s="6"/>
      <c r="CS1366" s="6"/>
      <c r="CT1366" s="139"/>
      <c r="CU1366" s="139"/>
      <c r="CV1366" s="76"/>
      <c r="CW1366" s="123"/>
      <c r="CX1366" s="6"/>
      <c r="DI1366" s="125"/>
      <c r="DJ1366" s="16"/>
      <c r="DM1366" s="16"/>
      <c r="DN1366" s="16"/>
      <c r="DO1366" s="125"/>
      <c r="DP1366" s="16"/>
      <c r="DQ1366" s="125"/>
      <c r="DZ1366" s="125"/>
      <c r="EA1366" s="142"/>
      <c r="EB1366" s="125"/>
      <c r="EC1366" s="16"/>
      <c r="ED1366" s="125"/>
      <c r="EE1366" s="125"/>
      <c r="EF1366" s="16"/>
      <c r="EG1366" s="125"/>
      <c r="EQ1366" s="125"/>
      <c r="ER1366" s="16"/>
      <c r="ES1366" s="123"/>
      <c r="ET1366" s="19"/>
      <c r="EU1366" s="139"/>
      <c r="EV1366" s="139"/>
      <c r="EW1366" s="123"/>
      <c r="EX1366" s="123"/>
      <c r="EY1366" s="123"/>
      <c r="EZ1366" s="123"/>
      <c r="FA1366" s="123"/>
      <c r="FB1366" s="123"/>
      <c r="FC1366" s="6"/>
      <c r="FD1366" s="123"/>
      <c r="FE1366" s="6"/>
      <c r="FF1366" s="123"/>
      <c r="FG1366" s="6"/>
      <c r="FH1366" s="6"/>
      <c r="FI1366" s="6"/>
      <c r="FJ1366" s="6"/>
      <c r="FK1366" s="123"/>
      <c r="FL1366" s="6"/>
      <c r="FM1366" s="6"/>
      <c r="FN1366" s="6"/>
      <c r="FO1366" s="138"/>
      <c r="FP1366" s="138"/>
      <c r="FQ1366" s="123"/>
      <c r="FR1366" s="6"/>
      <c r="FS1366" s="6"/>
      <c r="FT1366" s="139"/>
      <c r="FU1366" s="139"/>
      <c r="FV1366" s="76"/>
      <c r="FW1366" s="123"/>
      <c r="FX1366" s="6"/>
    </row>
    <row r="1367" spans="35:180">
      <c r="AI1367" s="125"/>
      <c r="AJ1367" s="16"/>
      <c r="AM1367" s="16"/>
      <c r="AN1367" s="16"/>
      <c r="AO1367" s="125"/>
      <c r="AP1367" s="16"/>
      <c r="AQ1367" s="125"/>
      <c r="AZ1367" s="125"/>
      <c r="BA1367" s="142"/>
      <c r="BB1367" s="125"/>
      <c r="BC1367" s="16"/>
      <c r="BD1367" s="125"/>
      <c r="BE1367" s="125"/>
      <c r="BF1367" s="16"/>
      <c r="BG1367" s="125"/>
      <c r="BQ1367" s="125"/>
      <c r="BR1367" s="16"/>
      <c r="BS1367" s="123"/>
      <c r="BT1367" s="19"/>
      <c r="BU1367" s="139"/>
      <c r="BV1367" s="139"/>
      <c r="BW1367" s="123"/>
      <c r="BX1367" s="123"/>
      <c r="BY1367" s="123"/>
      <c r="BZ1367" s="123"/>
      <c r="CA1367" s="123"/>
      <c r="CB1367" s="123"/>
      <c r="CC1367" s="6"/>
      <c r="CD1367" s="123"/>
      <c r="CE1367" s="6"/>
      <c r="CF1367" s="123"/>
      <c r="CG1367" s="6"/>
      <c r="CH1367" s="6"/>
      <c r="CI1367" s="6"/>
      <c r="CJ1367" s="6"/>
      <c r="CK1367" s="123"/>
      <c r="CL1367" s="6"/>
      <c r="CM1367" s="6"/>
      <c r="CN1367" s="6"/>
      <c r="CO1367" s="138"/>
      <c r="CP1367" s="138"/>
      <c r="CQ1367" s="123"/>
      <c r="CR1367" s="6"/>
      <c r="CS1367" s="6"/>
      <c r="CT1367" s="139"/>
      <c r="CU1367" s="139"/>
      <c r="CV1367" s="76"/>
      <c r="CW1367" s="123"/>
      <c r="CX1367" s="6"/>
      <c r="DI1367" s="125"/>
      <c r="DJ1367" s="16"/>
      <c r="DM1367" s="16"/>
      <c r="DN1367" s="16"/>
      <c r="DO1367" s="125"/>
      <c r="DP1367" s="16"/>
      <c r="DQ1367" s="125"/>
      <c r="DZ1367" s="125"/>
      <c r="EA1367" s="142"/>
      <c r="EB1367" s="125"/>
      <c r="EC1367" s="16"/>
      <c r="ED1367" s="125"/>
      <c r="EE1367" s="125"/>
      <c r="EF1367" s="16"/>
      <c r="EG1367" s="125"/>
      <c r="EQ1367" s="125"/>
      <c r="ER1367" s="16"/>
      <c r="ES1367" s="123"/>
      <c r="ET1367" s="19"/>
      <c r="EU1367" s="139"/>
      <c r="EV1367" s="139"/>
      <c r="EW1367" s="123"/>
      <c r="EX1367" s="123"/>
      <c r="EY1367" s="123"/>
      <c r="EZ1367" s="123"/>
      <c r="FA1367" s="123"/>
      <c r="FB1367" s="123"/>
      <c r="FC1367" s="6"/>
      <c r="FD1367" s="123"/>
      <c r="FE1367" s="6"/>
      <c r="FF1367" s="123"/>
      <c r="FG1367" s="6"/>
      <c r="FH1367" s="6"/>
      <c r="FI1367" s="6"/>
      <c r="FJ1367" s="6"/>
      <c r="FK1367" s="123"/>
      <c r="FL1367" s="6"/>
      <c r="FM1367" s="6"/>
      <c r="FN1367" s="6"/>
      <c r="FO1367" s="138"/>
      <c r="FP1367" s="138"/>
      <c r="FQ1367" s="123"/>
      <c r="FR1367" s="6"/>
      <c r="FS1367" s="6"/>
      <c r="FT1367" s="139"/>
      <c r="FU1367" s="139"/>
      <c r="FV1367" s="76"/>
      <c r="FW1367" s="123"/>
      <c r="FX1367" s="6"/>
    </row>
    <row r="1368" spans="35:180">
      <c r="AI1368" s="125"/>
      <c r="AJ1368" s="16"/>
      <c r="AM1368" s="16"/>
      <c r="AN1368" s="16"/>
      <c r="AO1368" s="125"/>
      <c r="AP1368" s="16"/>
      <c r="AQ1368" s="125"/>
      <c r="AZ1368" s="125"/>
      <c r="BA1368" s="142"/>
      <c r="BB1368" s="125"/>
      <c r="BC1368" s="16"/>
      <c r="BD1368" s="125"/>
      <c r="BE1368" s="125"/>
      <c r="BF1368" s="16"/>
      <c r="BG1368" s="125"/>
      <c r="BQ1368" s="125"/>
      <c r="BR1368" s="16"/>
      <c r="BS1368" s="123"/>
      <c r="BT1368" s="19"/>
      <c r="BU1368" s="139"/>
      <c r="BV1368" s="139"/>
      <c r="BW1368" s="123"/>
      <c r="BX1368" s="123"/>
      <c r="BY1368" s="123"/>
      <c r="BZ1368" s="123"/>
      <c r="CA1368" s="123"/>
      <c r="CB1368" s="123"/>
      <c r="CC1368" s="6"/>
      <c r="CD1368" s="123"/>
      <c r="CE1368" s="6"/>
      <c r="CF1368" s="123"/>
      <c r="CG1368" s="6"/>
      <c r="CH1368" s="6"/>
      <c r="CI1368" s="6"/>
      <c r="CJ1368" s="6"/>
      <c r="CK1368" s="123"/>
      <c r="CL1368" s="6"/>
      <c r="CM1368" s="6"/>
      <c r="CN1368" s="6"/>
      <c r="CO1368" s="138"/>
      <c r="CP1368" s="138"/>
      <c r="CQ1368" s="123"/>
      <c r="CR1368" s="6"/>
      <c r="CS1368" s="6"/>
      <c r="CT1368" s="139"/>
      <c r="CU1368" s="139"/>
      <c r="CV1368" s="76"/>
      <c r="CW1368" s="123"/>
      <c r="CX1368" s="6"/>
      <c r="DI1368" s="125"/>
      <c r="DJ1368" s="16"/>
      <c r="DM1368" s="16"/>
      <c r="DN1368" s="16"/>
      <c r="DO1368" s="125"/>
      <c r="DP1368" s="16"/>
      <c r="DQ1368" s="125"/>
      <c r="DZ1368" s="125"/>
      <c r="EA1368" s="142"/>
      <c r="EB1368" s="125"/>
      <c r="EC1368" s="16"/>
      <c r="ED1368" s="125"/>
      <c r="EE1368" s="125"/>
      <c r="EF1368" s="16"/>
      <c r="EG1368" s="125"/>
      <c r="EQ1368" s="125"/>
      <c r="ER1368" s="16"/>
      <c r="ES1368" s="123"/>
      <c r="ET1368" s="19"/>
      <c r="EU1368" s="139"/>
      <c r="EV1368" s="139"/>
      <c r="EW1368" s="123"/>
      <c r="EX1368" s="123"/>
      <c r="EY1368" s="123"/>
      <c r="EZ1368" s="123"/>
      <c r="FA1368" s="123"/>
      <c r="FB1368" s="123"/>
      <c r="FC1368" s="6"/>
      <c r="FD1368" s="123"/>
      <c r="FE1368" s="6"/>
      <c r="FF1368" s="123"/>
      <c r="FG1368" s="6"/>
      <c r="FH1368" s="6"/>
      <c r="FI1368" s="6"/>
      <c r="FJ1368" s="6"/>
      <c r="FK1368" s="123"/>
      <c r="FL1368" s="6"/>
      <c r="FM1368" s="6"/>
      <c r="FN1368" s="6"/>
      <c r="FO1368" s="138"/>
      <c r="FP1368" s="138"/>
      <c r="FQ1368" s="123"/>
      <c r="FR1368" s="6"/>
      <c r="FS1368" s="6"/>
      <c r="FT1368" s="139"/>
      <c r="FU1368" s="139"/>
      <c r="FV1368" s="76"/>
      <c r="FW1368" s="123"/>
      <c r="FX1368" s="6"/>
    </row>
    <row r="1369" spans="35:180">
      <c r="AI1369" s="125"/>
      <c r="AJ1369" s="16"/>
      <c r="AM1369" s="16"/>
      <c r="AN1369" s="16"/>
      <c r="AO1369" s="125"/>
      <c r="AP1369" s="16"/>
      <c r="AQ1369" s="125"/>
      <c r="AZ1369" s="125"/>
      <c r="BA1369" s="142"/>
      <c r="BB1369" s="125"/>
      <c r="BC1369" s="16"/>
      <c r="BD1369" s="125"/>
      <c r="BE1369" s="125"/>
      <c r="BF1369" s="16"/>
      <c r="BG1369" s="125"/>
      <c r="BQ1369" s="125"/>
      <c r="BR1369" s="16"/>
      <c r="BS1369" s="123"/>
      <c r="BT1369" s="19"/>
      <c r="BU1369" s="139"/>
      <c r="BV1369" s="139"/>
      <c r="BW1369" s="123"/>
      <c r="BX1369" s="123"/>
      <c r="BY1369" s="123"/>
      <c r="BZ1369" s="123"/>
      <c r="CA1369" s="123"/>
      <c r="CB1369" s="123"/>
      <c r="CC1369" s="6"/>
      <c r="CD1369" s="123"/>
      <c r="CE1369" s="6"/>
      <c r="CF1369" s="123"/>
      <c r="CG1369" s="6"/>
      <c r="CH1369" s="6"/>
      <c r="CI1369" s="6"/>
      <c r="CJ1369" s="6"/>
      <c r="CK1369" s="123"/>
      <c r="CL1369" s="6"/>
      <c r="CM1369" s="6"/>
      <c r="CN1369" s="6"/>
      <c r="CO1369" s="138"/>
      <c r="CP1369" s="138"/>
      <c r="CQ1369" s="123"/>
      <c r="CR1369" s="6"/>
      <c r="CS1369" s="6"/>
      <c r="CT1369" s="139"/>
      <c r="CU1369" s="139"/>
      <c r="CV1369" s="76"/>
      <c r="CW1369" s="123"/>
      <c r="CX1369" s="6"/>
      <c r="DI1369" s="125"/>
      <c r="DJ1369" s="16"/>
      <c r="DM1369" s="16"/>
      <c r="DN1369" s="16"/>
      <c r="DO1369" s="125"/>
      <c r="DP1369" s="16"/>
      <c r="DQ1369" s="125"/>
      <c r="DZ1369" s="125"/>
      <c r="EA1369" s="142"/>
      <c r="EB1369" s="125"/>
      <c r="EC1369" s="16"/>
      <c r="ED1369" s="125"/>
      <c r="EE1369" s="125"/>
      <c r="EF1369" s="16"/>
      <c r="EG1369" s="125"/>
      <c r="EQ1369" s="125"/>
      <c r="ER1369" s="16"/>
      <c r="ES1369" s="123"/>
      <c r="ET1369" s="19"/>
      <c r="EU1369" s="139"/>
      <c r="EV1369" s="139"/>
      <c r="EW1369" s="123"/>
      <c r="EX1369" s="123"/>
      <c r="EY1369" s="123"/>
      <c r="EZ1369" s="123"/>
      <c r="FA1369" s="123"/>
      <c r="FB1369" s="123"/>
      <c r="FC1369" s="6"/>
      <c r="FD1369" s="123"/>
      <c r="FE1369" s="6"/>
      <c r="FF1369" s="123"/>
      <c r="FG1369" s="6"/>
      <c r="FH1369" s="6"/>
      <c r="FI1369" s="6"/>
      <c r="FJ1369" s="6"/>
      <c r="FK1369" s="123"/>
      <c r="FL1369" s="6"/>
      <c r="FM1369" s="6"/>
      <c r="FN1369" s="6"/>
      <c r="FO1369" s="138"/>
      <c r="FP1369" s="138"/>
      <c r="FQ1369" s="123"/>
      <c r="FR1369" s="6"/>
      <c r="FS1369" s="6"/>
      <c r="FT1369" s="139"/>
      <c r="FU1369" s="139"/>
      <c r="FV1369" s="76"/>
      <c r="FW1369" s="123"/>
      <c r="FX1369" s="6"/>
    </row>
    <row r="1370" spans="35:180">
      <c r="AI1370" s="125"/>
      <c r="AJ1370" s="16"/>
      <c r="AM1370" s="16"/>
      <c r="AN1370" s="16"/>
      <c r="AO1370" s="125"/>
      <c r="AP1370" s="16"/>
      <c r="AQ1370" s="125"/>
      <c r="AZ1370" s="125"/>
      <c r="BA1370" s="142"/>
      <c r="BB1370" s="125"/>
      <c r="BC1370" s="16"/>
      <c r="BD1370" s="125"/>
      <c r="BE1370" s="125"/>
      <c r="BF1370" s="16"/>
      <c r="BG1370" s="125"/>
      <c r="BQ1370" s="125"/>
      <c r="BR1370" s="16"/>
      <c r="BS1370" s="123"/>
      <c r="BT1370" s="19"/>
      <c r="BU1370" s="139"/>
      <c r="BV1370" s="139"/>
      <c r="BW1370" s="123"/>
      <c r="BX1370" s="123"/>
      <c r="BY1370" s="123"/>
      <c r="BZ1370" s="123"/>
      <c r="CA1370" s="123"/>
      <c r="CB1370" s="123"/>
      <c r="CC1370" s="6"/>
      <c r="CD1370" s="123"/>
      <c r="CE1370" s="6"/>
      <c r="CF1370" s="123"/>
      <c r="CG1370" s="6"/>
      <c r="CH1370" s="6"/>
      <c r="CI1370" s="6"/>
      <c r="CJ1370" s="6"/>
      <c r="CK1370" s="123"/>
      <c r="CL1370" s="6"/>
      <c r="CM1370" s="6"/>
      <c r="CN1370" s="6"/>
      <c r="CO1370" s="138"/>
      <c r="CP1370" s="138"/>
      <c r="CQ1370" s="123"/>
      <c r="CR1370" s="6"/>
      <c r="CS1370" s="6"/>
      <c r="CT1370" s="139"/>
      <c r="CU1370" s="139"/>
      <c r="CV1370" s="76"/>
      <c r="CW1370" s="123"/>
      <c r="CX1370" s="6"/>
      <c r="DI1370" s="125"/>
      <c r="DJ1370" s="16"/>
      <c r="DM1370" s="16"/>
      <c r="DN1370" s="16"/>
      <c r="DO1370" s="125"/>
      <c r="DP1370" s="16"/>
      <c r="DQ1370" s="125"/>
      <c r="DZ1370" s="125"/>
      <c r="EA1370" s="142"/>
      <c r="EB1370" s="125"/>
      <c r="EC1370" s="16"/>
      <c r="ED1370" s="125"/>
      <c r="EE1370" s="125"/>
      <c r="EF1370" s="16"/>
      <c r="EG1370" s="125"/>
      <c r="EQ1370" s="125"/>
      <c r="ER1370" s="16"/>
      <c r="ES1370" s="123"/>
      <c r="ET1370" s="19"/>
      <c r="EU1370" s="139"/>
      <c r="EV1370" s="139"/>
      <c r="EW1370" s="123"/>
      <c r="EX1370" s="123"/>
      <c r="EY1370" s="123"/>
      <c r="EZ1370" s="123"/>
      <c r="FA1370" s="123"/>
      <c r="FB1370" s="123"/>
      <c r="FC1370" s="6"/>
      <c r="FD1370" s="123"/>
      <c r="FE1370" s="6"/>
      <c r="FF1370" s="123"/>
      <c r="FG1370" s="6"/>
      <c r="FH1370" s="6"/>
      <c r="FI1370" s="6"/>
      <c r="FJ1370" s="6"/>
      <c r="FK1370" s="123"/>
      <c r="FL1370" s="6"/>
      <c r="FM1370" s="6"/>
      <c r="FN1370" s="6"/>
      <c r="FO1370" s="138"/>
      <c r="FP1370" s="138"/>
      <c r="FQ1370" s="123"/>
      <c r="FR1370" s="6"/>
      <c r="FS1370" s="6"/>
      <c r="FT1370" s="139"/>
      <c r="FU1370" s="139"/>
      <c r="FV1370" s="76"/>
      <c r="FW1370" s="123"/>
      <c r="FX1370" s="6"/>
    </row>
    <row r="1371" spans="35:180">
      <c r="AI1371" s="125"/>
      <c r="AJ1371" s="16"/>
      <c r="AM1371" s="16"/>
      <c r="AN1371" s="16"/>
      <c r="AO1371" s="125"/>
      <c r="AP1371" s="16"/>
      <c r="AQ1371" s="125"/>
      <c r="AZ1371" s="125"/>
      <c r="BA1371" s="142"/>
      <c r="BB1371" s="125"/>
      <c r="BC1371" s="16"/>
      <c r="BD1371" s="125"/>
      <c r="BE1371" s="125"/>
      <c r="BF1371" s="16"/>
      <c r="BG1371" s="125"/>
      <c r="BQ1371" s="125"/>
      <c r="BR1371" s="16"/>
      <c r="BS1371" s="123"/>
      <c r="BT1371" s="19"/>
      <c r="BU1371" s="139"/>
      <c r="BV1371" s="139"/>
      <c r="BW1371" s="123"/>
      <c r="BX1371" s="123"/>
      <c r="BY1371" s="123"/>
      <c r="BZ1371" s="123"/>
      <c r="CA1371" s="123"/>
      <c r="CB1371" s="123"/>
      <c r="CC1371" s="6"/>
      <c r="CD1371" s="123"/>
      <c r="CE1371" s="6"/>
      <c r="CF1371" s="123"/>
      <c r="CG1371" s="6"/>
      <c r="CH1371" s="6"/>
      <c r="CI1371" s="6"/>
      <c r="CJ1371" s="6"/>
      <c r="CK1371" s="123"/>
      <c r="CL1371" s="6"/>
      <c r="CM1371" s="6"/>
      <c r="CN1371" s="6"/>
      <c r="CO1371" s="138"/>
      <c r="CP1371" s="138"/>
      <c r="CQ1371" s="123"/>
      <c r="CR1371" s="6"/>
      <c r="CS1371" s="6"/>
      <c r="CT1371" s="139"/>
      <c r="CU1371" s="139"/>
      <c r="CV1371" s="76"/>
      <c r="CW1371" s="123"/>
      <c r="CX1371" s="6"/>
      <c r="DI1371" s="125"/>
      <c r="DJ1371" s="16"/>
      <c r="DM1371" s="16"/>
      <c r="DN1371" s="16"/>
      <c r="DO1371" s="125"/>
      <c r="DP1371" s="16"/>
      <c r="DQ1371" s="125"/>
      <c r="DZ1371" s="125"/>
      <c r="EA1371" s="142"/>
      <c r="EB1371" s="125"/>
      <c r="EC1371" s="16"/>
      <c r="ED1371" s="125"/>
      <c r="EE1371" s="125"/>
      <c r="EF1371" s="16"/>
      <c r="EG1371" s="125"/>
      <c r="EQ1371" s="125"/>
      <c r="ER1371" s="16"/>
      <c r="ES1371" s="123"/>
      <c r="ET1371" s="19"/>
      <c r="EU1371" s="139"/>
      <c r="EV1371" s="139"/>
      <c r="EW1371" s="123"/>
      <c r="EX1371" s="123"/>
      <c r="EY1371" s="123"/>
      <c r="EZ1371" s="123"/>
      <c r="FA1371" s="123"/>
      <c r="FB1371" s="123"/>
      <c r="FC1371" s="6"/>
      <c r="FD1371" s="123"/>
      <c r="FE1371" s="6"/>
      <c r="FF1371" s="123"/>
      <c r="FG1371" s="6"/>
      <c r="FH1371" s="6"/>
      <c r="FI1371" s="6"/>
      <c r="FJ1371" s="6"/>
      <c r="FK1371" s="123"/>
      <c r="FL1371" s="6"/>
      <c r="FM1371" s="6"/>
      <c r="FN1371" s="6"/>
      <c r="FO1371" s="138"/>
      <c r="FP1371" s="138"/>
      <c r="FQ1371" s="123"/>
      <c r="FR1371" s="6"/>
      <c r="FS1371" s="6"/>
      <c r="FT1371" s="139"/>
      <c r="FU1371" s="139"/>
      <c r="FV1371" s="76"/>
      <c r="FW1371" s="123"/>
      <c r="FX1371" s="6"/>
    </row>
    <row r="1372" spans="35:180">
      <c r="AI1372" s="125"/>
      <c r="AJ1372" s="16"/>
      <c r="AM1372" s="16"/>
      <c r="AN1372" s="16"/>
      <c r="AO1372" s="125"/>
      <c r="AP1372" s="16"/>
      <c r="AQ1372" s="125"/>
      <c r="AZ1372" s="125"/>
      <c r="BA1372" s="142"/>
      <c r="BB1372" s="125"/>
      <c r="BC1372" s="16"/>
      <c r="BD1372" s="125"/>
      <c r="BE1372" s="125"/>
      <c r="BF1372" s="16"/>
      <c r="BG1372" s="125"/>
      <c r="BQ1372" s="125"/>
      <c r="BR1372" s="16"/>
      <c r="BS1372" s="123"/>
      <c r="BT1372" s="19"/>
      <c r="BU1372" s="139"/>
      <c r="BV1372" s="139"/>
      <c r="BW1372" s="123"/>
      <c r="BX1372" s="123"/>
      <c r="BY1372" s="123"/>
      <c r="BZ1372" s="123"/>
      <c r="CA1372" s="123"/>
      <c r="CB1372" s="123"/>
      <c r="CC1372" s="6"/>
      <c r="CD1372" s="123"/>
      <c r="CE1372" s="6"/>
      <c r="CF1372" s="123"/>
      <c r="CG1372" s="6"/>
      <c r="CH1372" s="6"/>
      <c r="CI1372" s="6"/>
      <c r="CJ1372" s="6"/>
      <c r="CK1372" s="123"/>
      <c r="CL1372" s="6"/>
      <c r="CM1372" s="6"/>
      <c r="CN1372" s="6"/>
      <c r="CO1372" s="138"/>
      <c r="CP1372" s="138"/>
      <c r="CQ1372" s="123"/>
      <c r="CR1372" s="6"/>
      <c r="CS1372" s="6"/>
      <c r="CT1372" s="139"/>
      <c r="CU1372" s="139"/>
      <c r="CV1372" s="76"/>
      <c r="CW1372" s="123"/>
      <c r="CX1372" s="6"/>
      <c r="DI1372" s="125"/>
      <c r="DJ1372" s="16"/>
      <c r="DM1372" s="16"/>
      <c r="DN1372" s="16"/>
      <c r="DO1372" s="125"/>
      <c r="DP1372" s="16"/>
      <c r="DQ1372" s="125"/>
      <c r="DZ1372" s="125"/>
      <c r="EA1372" s="142"/>
      <c r="EB1372" s="125"/>
      <c r="EC1372" s="16"/>
      <c r="ED1372" s="125"/>
      <c r="EE1372" s="125"/>
      <c r="EF1372" s="16"/>
      <c r="EG1372" s="125"/>
      <c r="EQ1372" s="125"/>
      <c r="ER1372" s="16"/>
      <c r="ES1372" s="123"/>
      <c r="ET1372" s="19"/>
      <c r="EU1372" s="139"/>
      <c r="EV1372" s="139"/>
      <c r="EW1372" s="123"/>
      <c r="EX1372" s="123"/>
      <c r="EY1372" s="123"/>
      <c r="EZ1372" s="123"/>
      <c r="FA1372" s="123"/>
      <c r="FB1372" s="123"/>
      <c r="FC1372" s="6"/>
      <c r="FD1372" s="123"/>
      <c r="FE1372" s="6"/>
      <c r="FF1372" s="123"/>
      <c r="FG1372" s="6"/>
      <c r="FH1372" s="6"/>
      <c r="FI1372" s="6"/>
      <c r="FJ1372" s="6"/>
      <c r="FK1372" s="123"/>
      <c r="FL1372" s="6"/>
      <c r="FM1372" s="6"/>
      <c r="FN1372" s="6"/>
      <c r="FO1372" s="138"/>
      <c r="FP1372" s="138"/>
      <c r="FQ1372" s="123"/>
      <c r="FR1372" s="6"/>
      <c r="FS1372" s="6"/>
      <c r="FT1372" s="139"/>
      <c r="FU1372" s="139"/>
      <c r="FV1372" s="76"/>
      <c r="FW1372" s="123"/>
      <c r="FX1372" s="6"/>
    </row>
    <row r="1373" spans="35:180">
      <c r="AI1373" s="125"/>
      <c r="AJ1373" s="16"/>
      <c r="AM1373" s="16"/>
      <c r="AN1373" s="16"/>
      <c r="AO1373" s="125"/>
      <c r="AP1373" s="16"/>
      <c r="AQ1373" s="125"/>
      <c r="AZ1373" s="125"/>
      <c r="BA1373" s="142"/>
      <c r="BB1373" s="125"/>
      <c r="BC1373" s="16"/>
      <c r="BD1373" s="125"/>
      <c r="BE1373" s="125"/>
      <c r="BF1373" s="16"/>
      <c r="BG1373" s="125"/>
      <c r="BQ1373" s="125"/>
      <c r="BR1373" s="16"/>
      <c r="BS1373" s="123"/>
      <c r="BT1373" s="19"/>
      <c r="BU1373" s="139"/>
      <c r="BV1373" s="139"/>
      <c r="BW1373" s="123"/>
      <c r="BX1373" s="123"/>
      <c r="BY1373" s="123"/>
      <c r="BZ1373" s="123"/>
      <c r="CA1373" s="123"/>
      <c r="CB1373" s="123"/>
      <c r="CC1373" s="6"/>
      <c r="CD1373" s="123"/>
      <c r="CE1373" s="6"/>
      <c r="CF1373" s="123"/>
      <c r="CG1373" s="6"/>
      <c r="CH1373" s="6"/>
      <c r="CI1373" s="6"/>
      <c r="CJ1373" s="6"/>
      <c r="CK1373" s="123"/>
      <c r="CL1373" s="6"/>
      <c r="CM1373" s="6"/>
      <c r="CN1373" s="6"/>
      <c r="CO1373" s="138"/>
      <c r="CP1373" s="138"/>
      <c r="CQ1373" s="123"/>
      <c r="CR1373" s="6"/>
      <c r="CS1373" s="6"/>
      <c r="CT1373" s="139"/>
      <c r="CU1373" s="139"/>
      <c r="CV1373" s="76"/>
      <c r="CW1373" s="123"/>
      <c r="CX1373" s="6"/>
      <c r="DI1373" s="125"/>
      <c r="DJ1373" s="16"/>
      <c r="DM1373" s="16"/>
      <c r="DN1373" s="16"/>
      <c r="DO1373" s="125"/>
      <c r="DP1373" s="16"/>
      <c r="DQ1373" s="125"/>
      <c r="DZ1373" s="125"/>
      <c r="EA1373" s="142"/>
      <c r="EB1373" s="125"/>
      <c r="EC1373" s="16"/>
      <c r="ED1373" s="125"/>
      <c r="EE1373" s="125"/>
      <c r="EF1373" s="16"/>
      <c r="EG1373" s="125"/>
      <c r="EQ1373" s="125"/>
      <c r="ER1373" s="16"/>
      <c r="ES1373" s="123"/>
      <c r="ET1373" s="19"/>
      <c r="EU1373" s="139"/>
      <c r="EV1373" s="139"/>
      <c r="EW1373" s="123"/>
      <c r="EX1373" s="123"/>
      <c r="EY1373" s="123"/>
      <c r="EZ1373" s="123"/>
      <c r="FA1373" s="123"/>
      <c r="FB1373" s="123"/>
      <c r="FC1373" s="6"/>
      <c r="FD1373" s="123"/>
      <c r="FE1373" s="6"/>
      <c r="FF1373" s="123"/>
      <c r="FG1373" s="6"/>
      <c r="FH1373" s="6"/>
      <c r="FI1373" s="6"/>
      <c r="FJ1373" s="6"/>
      <c r="FK1373" s="123"/>
      <c r="FL1373" s="6"/>
      <c r="FM1373" s="6"/>
      <c r="FN1373" s="6"/>
      <c r="FO1373" s="138"/>
      <c r="FP1373" s="138"/>
      <c r="FQ1373" s="123"/>
      <c r="FR1373" s="6"/>
      <c r="FS1373" s="6"/>
      <c r="FT1373" s="139"/>
      <c r="FU1373" s="139"/>
      <c r="FV1373" s="76"/>
      <c r="FW1373" s="123"/>
      <c r="FX1373" s="6"/>
    </row>
    <row r="1374" spans="35:180">
      <c r="AI1374" s="125"/>
      <c r="AJ1374" s="16"/>
      <c r="AM1374" s="16"/>
      <c r="AN1374" s="16"/>
      <c r="AO1374" s="125"/>
      <c r="AP1374" s="16"/>
      <c r="AQ1374" s="125"/>
      <c r="AZ1374" s="125"/>
      <c r="BA1374" s="142"/>
      <c r="BB1374" s="125"/>
      <c r="BC1374" s="16"/>
      <c r="BD1374" s="125"/>
      <c r="BE1374" s="125"/>
      <c r="BF1374" s="16"/>
      <c r="BG1374" s="125"/>
      <c r="BQ1374" s="125"/>
      <c r="BR1374" s="16"/>
      <c r="BS1374" s="123"/>
      <c r="BT1374" s="19"/>
      <c r="BU1374" s="139"/>
      <c r="BV1374" s="139"/>
      <c r="BW1374" s="123"/>
      <c r="BX1374" s="123"/>
      <c r="BY1374" s="123"/>
      <c r="BZ1374" s="123"/>
      <c r="CA1374" s="123"/>
      <c r="CB1374" s="123"/>
      <c r="CC1374" s="6"/>
      <c r="CD1374" s="123"/>
      <c r="CE1374" s="6"/>
      <c r="CF1374" s="123"/>
      <c r="CG1374" s="6"/>
      <c r="CH1374" s="6"/>
      <c r="CI1374" s="6"/>
      <c r="CJ1374" s="6"/>
      <c r="CK1374" s="123"/>
      <c r="CL1374" s="6"/>
      <c r="CM1374" s="6"/>
      <c r="CN1374" s="6"/>
      <c r="CO1374" s="138"/>
      <c r="CP1374" s="138"/>
      <c r="CQ1374" s="123"/>
      <c r="CR1374" s="6"/>
      <c r="CS1374" s="6"/>
      <c r="CT1374" s="139"/>
      <c r="CU1374" s="139"/>
      <c r="CV1374" s="76"/>
      <c r="CW1374" s="123"/>
      <c r="CX1374" s="6"/>
      <c r="DI1374" s="125"/>
      <c r="DJ1374" s="16"/>
      <c r="DM1374" s="16"/>
      <c r="DN1374" s="16"/>
      <c r="DO1374" s="125"/>
      <c r="DP1374" s="16"/>
      <c r="DQ1374" s="125"/>
      <c r="DZ1374" s="125"/>
      <c r="EA1374" s="142"/>
      <c r="EB1374" s="125"/>
      <c r="EC1374" s="16"/>
      <c r="ED1374" s="125"/>
      <c r="EE1374" s="125"/>
      <c r="EF1374" s="16"/>
      <c r="EG1374" s="125"/>
      <c r="EQ1374" s="125"/>
      <c r="ER1374" s="16"/>
      <c r="ES1374" s="123"/>
      <c r="ET1374" s="19"/>
      <c r="EU1374" s="139"/>
      <c r="EV1374" s="139"/>
      <c r="EW1374" s="123"/>
      <c r="EX1374" s="123"/>
      <c r="EY1374" s="123"/>
      <c r="EZ1374" s="123"/>
      <c r="FA1374" s="123"/>
      <c r="FB1374" s="123"/>
      <c r="FC1374" s="6"/>
      <c r="FD1374" s="123"/>
      <c r="FE1374" s="6"/>
      <c r="FF1374" s="123"/>
      <c r="FG1374" s="6"/>
      <c r="FH1374" s="6"/>
      <c r="FI1374" s="6"/>
      <c r="FJ1374" s="6"/>
      <c r="FK1374" s="123"/>
      <c r="FL1374" s="6"/>
      <c r="FM1374" s="6"/>
      <c r="FN1374" s="6"/>
      <c r="FO1374" s="138"/>
      <c r="FP1374" s="138"/>
      <c r="FQ1374" s="123"/>
      <c r="FR1374" s="6"/>
      <c r="FS1374" s="6"/>
      <c r="FT1374" s="139"/>
      <c r="FU1374" s="139"/>
      <c r="FV1374" s="76"/>
      <c r="FW1374" s="123"/>
      <c r="FX1374" s="6"/>
    </row>
    <row r="1375" spans="35:180">
      <c r="AI1375" s="125"/>
      <c r="AJ1375" s="16"/>
      <c r="AM1375" s="16"/>
      <c r="AN1375" s="16"/>
      <c r="AO1375" s="125"/>
      <c r="AP1375" s="16"/>
      <c r="AQ1375" s="125"/>
      <c r="AZ1375" s="125"/>
      <c r="BA1375" s="142"/>
      <c r="BB1375" s="125"/>
      <c r="BC1375" s="16"/>
      <c r="BD1375" s="125"/>
      <c r="BE1375" s="125"/>
      <c r="BF1375" s="16"/>
      <c r="BG1375" s="125"/>
      <c r="BQ1375" s="125"/>
      <c r="BR1375" s="16"/>
      <c r="BS1375" s="123"/>
      <c r="BT1375" s="19"/>
      <c r="BU1375" s="139"/>
      <c r="BV1375" s="139"/>
      <c r="BW1375" s="123"/>
      <c r="BX1375" s="123"/>
      <c r="BY1375" s="123"/>
      <c r="BZ1375" s="123"/>
      <c r="CA1375" s="123"/>
      <c r="CB1375" s="123"/>
      <c r="CC1375" s="6"/>
      <c r="CD1375" s="123"/>
      <c r="CE1375" s="6"/>
      <c r="CF1375" s="123"/>
      <c r="CG1375" s="6"/>
      <c r="CH1375" s="6"/>
      <c r="CI1375" s="6"/>
      <c r="CJ1375" s="6"/>
      <c r="CK1375" s="123"/>
      <c r="CL1375" s="6"/>
      <c r="CM1375" s="6"/>
      <c r="CN1375" s="6"/>
      <c r="CO1375" s="138"/>
      <c r="CP1375" s="138"/>
      <c r="CQ1375" s="123"/>
      <c r="CR1375" s="6"/>
      <c r="CS1375" s="6"/>
      <c r="CT1375" s="139"/>
      <c r="CU1375" s="139"/>
      <c r="CV1375" s="76"/>
      <c r="CW1375" s="123"/>
      <c r="CX1375" s="6"/>
      <c r="DI1375" s="125"/>
      <c r="DJ1375" s="16"/>
      <c r="DM1375" s="16"/>
      <c r="DN1375" s="16"/>
      <c r="DO1375" s="125"/>
      <c r="DP1375" s="16"/>
      <c r="DQ1375" s="125"/>
      <c r="DZ1375" s="125"/>
      <c r="EA1375" s="142"/>
      <c r="EB1375" s="125"/>
      <c r="EC1375" s="16"/>
      <c r="ED1375" s="125"/>
      <c r="EE1375" s="125"/>
      <c r="EF1375" s="16"/>
      <c r="EG1375" s="125"/>
      <c r="EQ1375" s="125"/>
      <c r="ER1375" s="16"/>
      <c r="ES1375" s="123"/>
      <c r="ET1375" s="19"/>
      <c r="EU1375" s="139"/>
      <c r="EV1375" s="139"/>
      <c r="EW1375" s="123"/>
      <c r="EX1375" s="123"/>
      <c r="EY1375" s="123"/>
      <c r="EZ1375" s="123"/>
      <c r="FA1375" s="123"/>
      <c r="FB1375" s="123"/>
      <c r="FC1375" s="6"/>
      <c r="FD1375" s="123"/>
      <c r="FE1375" s="6"/>
      <c r="FF1375" s="123"/>
      <c r="FG1375" s="6"/>
      <c r="FH1375" s="6"/>
      <c r="FI1375" s="6"/>
      <c r="FJ1375" s="6"/>
      <c r="FK1375" s="123"/>
      <c r="FL1375" s="6"/>
      <c r="FM1375" s="6"/>
      <c r="FN1375" s="6"/>
      <c r="FO1375" s="138"/>
      <c r="FP1375" s="138"/>
      <c r="FQ1375" s="123"/>
      <c r="FR1375" s="6"/>
      <c r="FS1375" s="6"/>
      <c r="FT1375" s="139"/>
      <c r="FU1375" s="139"/>
      <c r="FV1375" s="76"/>
      <c r="FW1375" s="123"/>
      <c r="FX1375" s="6"/>
    </row>
    <row r="1376" spans="35:180">
      <c r="AI1376" s="125"/>
      <c r="AJ1376" s="16"/>
      <c r="AM1376" s="16"/>
      <c r="AN1376" s="16"/>
      <c r="AO1376" s="125"/>
      <c r="AP1376" s="16"/>
      <c r="AQ1376" s="125"/>
      <c r="AZ1376" s="125"/>
      <c r="BA1376" s="142"/>
      <c r="BB1376" s="125"/>
      <c r="BC1376" s="16"/>
      <c r="BD1376" s="125"/>
      <c r="BE1376" s="125"/>
      <c r="BF1376" s="16"/>
      <c r="BG1376" s="125"/>
      <c r="BQ1376" s="125"/>
      <c r="BR1376" s="16"/>
      <c r="BS1376" s="123"/>
      <c r="BT1376" s="19"/>
      <c r="BU1376" s="139"/>
      <c r="BV1376" s="139"/>
      <c r="BW1376" s="123"/>
      <c r="BX1376" s="123"/>
      <c r="BY1376" s="123"/>
      <c r="BZ1376" s="123"/>
      <c r="CA1376" s="123"/>
      <c r="CB1376" s="123"/>
      <c r="CC1376" s="6"/>
      <c r="CD1376" s="123"/>
      <c r="CE1376" s="6"/>
      <c r="CF1376" s="123"/>
      <c r="CG1376" s="6"/>
      <c r="CH1376" s="6"/>
      <c r="CI1376" s="6"/>
      <c r="CJ1376" s="6"/>
      <c r="CK1376" s="123"/>
      <c r="CL1376" s="6"/>
      <c r="CM1376" s="6"/>
      <c r="CN1376" s="6"/>
      <c r="CO1376" s="138"/>
      <c r="CP1376" s="138"/>
      <c r="CQ1376" s="123"/>
      <c r="CR1376" s="6"/>
      <c r="CS1376" s="6"/>
      <c r="CT1376" s="139"/>
      <c r="CU1376" s="139"/>
      <c r="CV1376" s="76"/>
      <c r="CW1376" s="123"/>
      <c r="CX1376" s="6"/>
      <c r="DI1376" s="125"/>
      <c r="DJ1376" s="16"/>
      <c r="DM1376" s="16"/>
      <c r="DN1376" s="16"/>
      <c r="DO1376" s="125"/>
      <c r="DP1376" s="16"/>
      <c r="DQ1376" s="125"/>
      <c r="DZ1376" s="125"/>
      <c r="EA1376" s="142"/>
      <c r="EB1376" s="125"/>
      <c r="EC1376" s="16"/>
      <c r="ED1376" s="125"/>
      <c r="EE1376" s="125"/>
      <c r="EF1376" s="16"/>
      <c r="EG1376" s="125"/>
      <c r="EQ1376" s="125"/>
      <c r="ER1376" s="16"/>
      <c r="ES1376" s="123"/>
      <c r="ET1376" s="19"/>
      <c r="EU1376" s="139"/>
      <c r="EV1376" s="139"/>
      <c r="EW1376" s="123"/>
      <c r="EX1376" s="123"/>
      <c r="EY1376" s="123"/>
      <c r="EZ1376" s="123"/>
      <c r="FA1376" s="123"/>
      <c r="FB1376" s="123"/>
      <c r="FC1376" s="6"/>
      <c r="FD1376" s="123"/>
      <c r="FE1376" s="6"/>
      <c r="FF1376" s="123"/>
      <c r="FG1376" s="6"/>
      <c r="FH1376" s="6"/>
      <c r="FI1376" s="6"/>
      <c r="FJ1376" s="6"/>
      <c r="FK1376" s="123"/>
      <c r="FL1376" s="6"/>
      <c r="FM1376" s="6"/>
      <c r="FN1376" s="6"/>
      <c r="FO1376" s="138"/>
      <c r="FP1376" s="138"/>
      <c r="FQ1376" s="123"/>
      <c r="FR1376" s="6"/>
      <c r="FS1376" s="6"/>
      <c r="FT1376" s="139"/>
      <c r="FU1376" s="139"/>
      <c r="FV1376" s="76"/>
      <c r="FW1376" s="123"/>
      <c r="FX1376" s="6"/>
    </row>
    <row r="1377" spans="35:180">
      <c r="AI1377" s="125"/>
      <c r="AJ1377" s="16"/>
      <c r="AM1377" s="16"/>
      <c r="AN1377" s="16"/>
      <c r="AO1377" s="125"/>
      <c r="AP1377" s="16"/>
      <c r="AQ1377" s="125"/>
      <c r="AZ1377" s="125"/>
      <c r="BA1377" s="142"/>
      <c r="BB1377" s="125"/>
      <c r="BC1377" s="16"/>
      <c r="BD1377" s="125"/>
      <c r="BE1377" s="125"/>
      <c r="BF1377" s="16"/>
      <c r="BG1377" s="125"/>
      <c r="BQ1377" s="125"/>
      <c r="BR1377" s="16"/>
      <c r="BS1377" s="123"/>
      <c r="BT1377" s="19"/>
      <c r="BU1377" s="139"/>
      <c r="BV1377" s="139"/>
      <c r="BW1377" s="123"/>
      <c r="BX1377" s="123"/>
      <c r="BY1377" s="123"/>
      <c r="BZ1377" s="123"/>
      <c r="CA1377" s="123"/>
      <c r="CB1377" s="123"/>
      <c r="CC1377" s="6"/>
      <c r="CD1377" s="123"/>
      <c r="CE1377" s="6"/>
      <c r="CF1377" s="123"/>
      <c r="CG1377" s="6"/>
      <c r="CH1377" s="6"/>
      <c r="CI1377" s="6"/>
      <c r="CJ1377" s="6"/>
      <c r="CK1377" s="123"/>
      <c r="CL1377" s="6"/>
      <c r="CM1377" s="6"/>
      <c r="CN1377" s="6"/>
      <c r="CO1377" s="138"/>
      <c r="CP1377" s="138"/>
      <c r="CQ1377" s="123"/>
      <c r="CR1377" s="6"/>
      <c r="CS1377" s="6"/>
      <c r="CT1377" s="139"/>
      <c r="CU1377" s="139"/>
      <c r="CV1377" s="76"/>
      <c r="CW1377" s="123"/>
      <c r="CX1377" s="6"/>
      <c r="DI1377" s="125"/>
      <c r="DJ1377" s="16"/>
      <c r="DM1377" s="16"/>
      <c r="DN1377" s="16"/>
      <c r="DO1377" s="125"/>
      <c r="DP1377" s="16"/>
      <c r="DQ1377" s="125"/>
      <c r="DZ1377" s="125"/>
      <c r="EA1377" s="142"/>
      <c r="EB1377" s="125"/>
      <c r="EC1377" s="16"/>
      <c r="ED1377" s="125"/>
      <c r="EE1377" s="125"/>
      <c r="EF1377" s="16"/>
      <c r="EG1377" s="125"/>
      <c r="EQ1377" s="125"/>
      <c r="ER1377" s="16"/>
      <c r="ES1377" s="123"/>
      <c r="ET1377" s="19"/>
      <c r="EU1377" s="139"/>
      <c r="EV1377" s="139"/>
      <c r="EW1377" s="123"/>
      <c r="EX1377" s="123"/>
      <c r="EY1377" s="123"/>
      <c r="EZ1377" s="123"/>
      <c r="FA1377" s="123"/>
      <c r="FB1377" s="123"/>
      <c r="FC1377" s="6"/>
      <c r="FD1377" s="123"/>
      <c r="FE1377" s="6"/>
      <c r="FF1377" s="123"/>
      <c r="FG1377" s="6"/>
      <c r="FH1377" s="6"/>
      <c r="FI1377" s="6"/>
      <c r="FJ1377" s="6"/>
      <c r="FK1377" s="123"/>
      <c r="FL1377" s="6"/>
      <c r="FM1377" s="6"/>
      <c r="FN1377" s="6"/>
      <c r="FO1377" s="138"/>
      <c r="FP1377" s="138"/>
      <c r="FQ1377" s="123"/>
      <c r="FR1377" s="6"/>
      <c r="FS1377" s="6"/>
      <c r="FT1377" s="139"/>
      <c r="FU1377" s="139"/>
      <c r="FV1377" s="76"/>
      <c r="FW1377" s="123"/>
      <c r="FX1377" s="6"/>
    </row>
    <row r="1378" spans="35:180">
      <c r="AI1378" s="125"/>
      <c r="AJ1378" s="16"/>
      <c r="AM1378" s="16"/>
      <c r="AN1378" s="16"/>
      <c r="AO1378" s="125"/>
      <c r="AP1378" s="16"/>
      <c r="AQ1378" s="125"/>
      <c r="AZ1378" s="125"/>
      <c r="BA1378" s="142"/>
      <c r="BB1378" s="125"/>
      <c r="BC1378" s="16"/>
      <c r="BD1378" s="125"/>
      <c r="BE1378" s="125"/>
      <c r="BF1378" s="16"/>
      <c r="BG1378" s="125"/>
      <c r="BQ1378" s="125"/>
      <c r="BR1378" s="16"/>
      <c r="BS1378" s="123"/>
      <c r="BT1378" s="19"/>
      <c r="BU1378" s="139"/>
      <c r="BV1378" s="139"/>
      <c r="BW1378" s="123"/>
      <c r="BX1378" s="123"/>
      <c r="BY1378" s="123"/>
      <c r="BZ1378" s="123"/>
      <c r="CA1378" s="123"/>
      <c r="CB1378" s="123"/>
      <c r="CC1378" s="6"/>
      <c r="CD1378" s="123"/>
      <c r="CE1378" s="6"/>
      <c r="CF1378" s="123"/>
      <c r="CG1378" s="6"/>
      <c r="CH1378" s="6"/>
      <c r="CI1378" s="6"/>
      <c r="CJ1378" s="6"/>
      <c r="CK1378" s="123"/>
      <c r="CL1378" s="6"/>
      <c r="CM1378" s="6"/>
      <c r="CN1378" s="6"/>
      <c r="CO1378" s="138"/>
      <c r="CP1378" s="138"/>
      <c r="CQ1378" s="123"/>
      <c r="CR1378" s="6"/>
      <c r="CS1378" s="6"/>
      <c r="CT1378" s="139"/>
      <c r="CU1378" s="139"/>
      <c r="CV1378" s="76"/>
      <c r="CW1378" s="123"/>
      <c r="CX1378" s="6"/>
      <c r="DI1378" s="125"/>
      <c r="DJ1378" s="16"/>
      <c r="DM1378" s="16"/>
      <c r="DN1378" s="16"/>
      <c r="DO1378" s="125"/>
      <c r="DP1378" s="16"/>
      <c r="DQ1378" s="125"/>
      <c r="DZ1378" s="125"/>
      <c r="EA1378" s="142"/>
      <c r="EB1378" s="125"/>
      <c r="EC1378" s="16"/>
      <c r="ED1378" s="125"/>
      <c r="EE1378" s="125"/>
      <c r="EF1378" s="16"/>
      <c r="EG1378" s="125"/>
      <c r="EQ1378" s="125"/>
      <c r="ER1378" s="16"/>
      <c r="ES1378" s="123"/>
      <c r="ET1378" s="19"/>
      <c r="EU1378" s="139"/>
      <c r="EV1378" s="139"/>
      <c r="EW1378" s="123"/>
      <c r="EX1378" s="123"/>
      <c r="EY1378" s="123"/>
      <c r="EZ1378" s="123"/>
      <c r="FA1378" s="123"/>
      <c r="FB1378" s="123"/>
      <c r="FC1378" s="6"/>
      <c r="FD1378" s="123"/>
      <c r="FE1378" s="6"/>
      <c r="FF1378" s="123"/>
      <c r="FG1378" s="6"/>
      <c r="FH1378" s="6"/>
      <c r="FI1378" s="6"/>
      <c r="FJ1378" s="6"/>
      <c r="FK1378" s="123"/>
      <c r="FL1378" s="6"/>
      <c r="FM1378" s="6"/>
      <c r="FN1378" s="6"/>
      <c r="FO1378" s="138"/>
      <c r="FP1378" s="138"/>
      <c r="FQ1378" s="123"/>
      <c r="FR1378" s="6"/>
      <c r="FS1378" s="6"/>
      <c r="FT1378" s="139"/>
      <c r="FU1378" s="139"/>
      <c r="FV1378" s="76"/>
      <c r="FW1378" s="123"/>
      <c r="FX1378" s="6"/>
    </row>
    <row r="1379" spans="35:180">
      <c r="AI1379" s="125"/>
      <c r="AJ1379" s="16"/>
      <c r="AM1379" s="16"/>
      <c r="AN1379" s="16"/>
      <c r="AO1379" s="125"/>
      <c r="AP1379" s="16"/>
      <c r="AQ1379" s="125"/>
      <c r="AZ1379" s="125"/>
      <c r="BA1379" s="142"/>
      <c r="BB1379" s="125"/>
      <c r="BC1379" s="16"/>
      <c r="BD1379" s="125"/>
      <c r="BE1379" s="125"/>
      <c r="BF1379" s="16"/>
      <c r="BG1379" s="125"/>
      <c r="BQ1379" s="125"/>
      <c r="BR1379" s="16"/>
      <c r="BS1379" s="123"/>
      <c r="BT1379" s="19"/>
      <c r="BU1379" s="139"/>
      <c r="BV1379" s="139"/>
      <c r="BW1379" s="123"/>
      <c r="BX1379" s="123"/>
      <c r="BY1379" s="123"/>
      <c r="BZ1379" s="123"/>
      <c r="CA1379" s="123"/>
      <c r="CB1379" s="123"/>
      <c r="CC1379" s="6"/>
      <c r="CD1379" s="123"/>
      <c r="CE1379" s="6"/>
      <c r="CF1379" s="123"/>
      <c r="CG1379" s="6"/>
      <c r="CH1379" s="6"/>
      <c r="CI1379" s="6"/>
      <c r="CJ1379" s="6"/>
      <c r="CK1379" s="123"/>
      <c r="CL1379" s="6"/>
      <c r="CM1379" s="6"/>
      <c r="CN1379" s="6"/>
      <c r="CO1379" s="138"/>
      <c r="CP1379" s="138"/>
      <c r="CQ1379" s="123"/>
      <c r="CR1379" s="6"/>
      <c r="CS1379" s="6"/>
      <c r="CT1379" s="139"/>
      <c r="CU1379" s="139"/>
      <c r="CV1379" s="76"/>
      <c r="CW1379" s="123"/>
      <c r="CX1379" s="6"/>
      <c r="DI1379" s="125"/>
      <c r="DJ1379" s="16"/>
      <c r="DM1379" s="16"/>
      <c r="DN1379" s="16"/>
      <c r="DO1379" s="125"/>
      <c r="DP1379" s="16"/>
      <c r="DQ1379" s="125"/>
      <c r="DZ1379" s="125"/>
      <c r="EA1379" s="142"/>
      <c r="EB1379" s="125"/>
      <c r="EC1379" s="16"/>
      <c r="ED1379" s="125"/>
      <c r="EE1379" s="125"/>
      <c r="EF1379" s="16"/>
      <c r="EG1379" s="125"/>
      <c r="EQ1379" s="125"/>
      <c r="ER1379" s="16"/>
      <c r="ES1379" s="123"/>
      <c r="ET1379" s="19"/>
      <c r="EU1379" s="139"/>
      <c r="EV1379" s="139"/>
      <c r="EW1379" s="123"/>
      <c r="EX1379" s="123"/>
      <c r="EY1379" s="123"/>
      <c r="EZ1379" s="123"/>
      <c r="FA1379" s="123"/>
      <c r="FB1379" s="123"/>
      <c r="FC1379" s="6"/>
      <c r="FD1379" s="123"/>
      <c r="FE1379" s="6"/>
      <c r="FF1379" s="123"/>
      <c r="FG1379" s="6"/>
      <c r="FH1379" s="6"/>
      <c r="FI1379" s="6"/>
      <c r="FJ1379" s="6"/>
      <c r="FK1379" s="123"/>
      <c r="FL1379" s="6"/>
      <c r="FM1379" s="6"/>
      <c r="FN1379" s="6"/>
      <c r="FO1379" s="138"/>
      <c r="FP1379" s="138"/>
      <c r="FQ1379" s="123"/>
      <c r="FR1379" s="6"/>
      <c r="FS1379" s="6"/>
      <c r="FT1379" s="139"/>
      <c r="FU1379" s="139"/>
      <c r="FV1379" s="76"/>
      <c r="FW1379" s="123"/>
      <c r="FX1379" s="6"/>
    </row>
    <row r="1380" spans="35:180">
      <c r="AI1380" s="125"/>
      <c r="AJ1380" s="16"/>
      <c r="AM1380" s="16"/>
      <c r="AN1380" s="16"/>
      <c r="AO1380" s="125"/>
      <c r="AP1380" s="16"/>
      <c r="AQ1380" s="125"/>
      <c r="AZ1380" s="125"/>
      <c r="BA1380" s="142"/>
      <c r="BB1380" s="125"/>
      <c r="BC1380" s="16"/>
      <c r="BD1380" s="125"/>
      <c r="BE1380" s="125"/>
      <c r="BF1380" s="16"/>
      <c r="BG1380" s="125"/>
      <c r="BQ1380" s="125"/>
      <c r="BR1380" s="16"/>
      <c r="BS1380" s="123"/>
      <c r="BT1380" s="19"/>
      <c r="BU1380" s="139"/>
      <c r="BV1380" s="139"/>
      <c r="BW1380" s="123"/>
      <c r="BX1380" s="123"/>
      <c r="BY1380" s="123"/>
      <c r="BZ1380" s="123"/>
      <c r="CA1380" s="123"/>
      <c r="CB1380" s="123"/>
      <c r="CC1380" s="6"/>
      <c r="CD1380" s="123"/>
      <c r="CE1380" s="6"/>
      <c r="CF1380" s="123"/>
      <c r="CG1380" s="6"/>
      <c r="CH1380" s="6"/>
      <c r="CI1380" s="6"/>
      <c r="CJ1380" s="6"/>
      <c r="CK1380" s="123"/>
      <c r="CL1380" s="6"/>
      <c r="CM1380" s="6"/>
      <c r="CN1380" s="6"/>
      <c r="CO1380" s="138"/>
      <c r="CP1380" s="138"/>
      <c r="CQ1380" s="123"/>
      <c r="CR1380" s="6"/>
      <c r="CS1380" s="6"/>
      <c r="CT1380" s="139"/>
      <c r="CU1380" s="139"/>
      <c r="CV1380" s="76"/>
      <c r="CW1380" s="123"/>
      <c r="CX1380" s="6"/>
      <c r="DI1380" s="125"/>
      <c r="DJ1380" s="16"/>
      <c r="DM1380" s="16"/>
      <c r="DN1380" s="16"/>
      <c r="DO1380" s="125"/>
      <c r="DP1380" s="16"/>
      <c r="DQ1380" s="125"/>
      <c r="DZ1380" s="125"/>
      <c r="EA1380" s="142"/>
      <c r="EB1380" s="125"/>
      <c r="EC1380" s="16"/>
      <c r="ED1380" s="125"/>
      <c r="EE1380" s="125"/>
      <c r="EF1380" s="16"/>
      <c r="EG1380" s="125"/>
      <c r="EQ1380" s="125"/>
      <c r="ER1380" s="16"/>
      <c r="ES1380" s="123"/>
      <c r="ET1380" s="19"/>
      <c r="EU1380" s="139"/>
      <c r="EV1380" s="139"/>
      <c r="EW1380" s="123"/>
      <c r="EX1380" s="123"/>
      <c r="EY1380" s="123"/>
      <c r="EZ1380" s="123"/>
      <c r="FA1380" s="123"/>
      <c r="FB1380" s="123"/>
      <c r="FC1380" s="6"/>
      <c r="FD1380" s="123"/>
      <c r="FE1380" s="6"/>
      <c r="FF1380" s="123"/>
      <c r="FG1380" s="6"/>
      <c r="FH1380" s="6"/>
      <c r="FI1380" s="6"/>
      <c r="FJ1380" s="6"/>
      <c r="FK1380" s="123"/>
      <c r="FL1380" s="6"/>
      <c r="FM1380" s="6"/>
      <c r="FN1380" s="6"/>
      <c r="FO1380" s="138"/>
      <c r="FP1380" s="138"/>
      <c r="FQ1380" s="123"/>
      <c r="FR1380" s="6"/>
      <c r="FS1380" s="6"/>
      <c r="FT1380" s="139"/>
      <c r="FU1380" s="139"/>
      <c r="FV1380" s="76"/>
      <c r="FW1380" s="123"/>
      <c r="FX1380" s="6"/>
    </row>
    <row r="1381" spans="35:180">
      <c r="AI1381" s="125"/>
      <c r="AJ1381" s="16"/>
      <c r="AM1381" s="16"/>
      <c r="AN1381" s="16"/>
      <c r="AO1381" s="125"/>
      <c r="AP1381" s="16"/>
      <c r="AQ1381" s="125"/>
      <c r="AZ1381" s="125"/>
      <c r="BA1381" s="142"/>
      <c r="BB1381" s="125"/>
      <c r="BC1381" s="16"/>
      <c r="BD1381" s="125"/>
      <c r="BE1381" s="125"/>
      <c r="BF1381" s="16"/>
      <c r="BG1381" s="125"/>
      <c r="BQ1381" s="125"/>
      <c r="BR1381" s="16"/>
      <c r="BS1381" s="123"/>
      <c r="BT1381" s="19"/>
      <c r="BU1381" s="139"/>
      <c r="BV1381" s="139"/>
      <c r="BW1381" s="123"/>
      <c r="BX1381" s="123"/>
      <c r="BY1381" s="123"/>
      <c r="BZ1381" s="123"/>
      <c r="CA1381" s="123"/>
      <c r="CB1381" s="123"/>
      <c r="CC1381" s="6"/>
      <c r="CD1381" s="123"/>
      <c r="CE1381" s="6"/>
      <c r="CF1381" s="123"/>
      <c r="CG1381" s="6"/>
      <c r="CH1381" s="6"/>
      <c r="CI1381" s="6"/>
      <c r="CJ1381" s="6"/>
      <c r="CK1381" s="123"/>
      <c r="CL1381" s="6"/>
      <c r="CM1381" s="6"/>
      <c r="CN1381" s="6"/>
      <c r="CO1381" s="138"/>
      <c r="CP1381" s="138"/>
      <c r="CQ1381" s="123"/>
      <c r="CR1381" s="6"/>
      <c r="CS1381" s="6"/>
      <c r="CT1381" s="139"/>
      <c r="CU1381" s="139"/>
      <c r="CV1381" s="76"/>
      <c r="CW1381" s="123"/>
      <c r="CX1381" s="6"/>
      <c r="DI1381" s="125"/>
      <c r="DJ1381" s="16"/>
      <c r="DM1381" s="16"/>
      <c r="DN1381" s="16"/>
      <c r="DO1381" s="125"/>
      <c r="DP1381" s="16"/>
      <c r="DQ1381" s="125"/>
      <c r="DZ1381" s="125"/>
      <c r="EA1381" s="142"/>
      <c r="EB1381" s="125"/>
      <c r="EC1381" s="16"/>
      <c r="ED1381" s="125"/>
      <c r="EE1381" s="125"/>
      <c r="EF1381" s="16"/>
      <c r="EG1381" s="125"/>
      <c r="EQ1381" s="125"/>
      <c r="ER1381" s="16"/>
      <c r="ES1381" s="123"/>
      <c r="ET1381" s="19"/>
      <c r="EU1381" s="139"/>
      <c r="EV1381" s="139"/>
      <c r="EW1381" s="123"/>
      <c r="EX1381" s="123"/>
      <c r="EY1381" s="123"/>
      <c r="EZ1381" s="123"/>
      <c r="FA1381" s="123"/>
      <c r="FB1381" s="123"/>
      <c r="FC1381" s="6"/>
      <c r="FD1381" s="123"/>
      <c r="FE1381" s="6"/>
      <c r="FF1381" s="123"/>
      <c r="FG1381" s="6"/>
      <c r="FH1381" s="6"/>
      <c r="FI1381" s="6"/>
      <c r="FJ1381" s="6"/>
      <c r="FK1381" s="123"/>
      <c r="FL1381" s="6"/>
      <c r="FM1381" s="6"/>
      <c r="FN1381" s="6"/>
      <c r="FO1381" s="138"/>
      <c r="FP1381" s="138"/>
      <c r="FQ1381" s="123"/>
      <c r="FR1381" s="6"/>
      <c r="FS1381" s="6"/>
      <c r="FT1381" s="139"/>
      <c r="FU1381" s="139"/>
      <c r="FV1381" s="76"/>
      <c r="FW1381" s="123"/>
      <c r="FX1381" s="6"/>
    </row>
    <row r="1382" spans="35:180">
      <c r="AI1382" s="125"/>
      <c r="AJ1382" s="16"/>
      <c r="AM1382" s="16"/>
      <c r="AN1382" s="16"/>
      <c r="AO1382" s="125"/>
      <c r="AP1382" s="16"/>
      <c r="AQ1382" s="125"/>
      <c r="AZ1382" s="125"/>
      <c r="BA1382" s="142"/>
      <c r="BB1382" s="125"/>
      <c r="BC1382" s="16"/>
      <c r="BD1382" s="125"/>
      <c r="BE1382" s="125"/>
      <c r="BF1382" s="16"/>
      <c r="BG1382" s="125"/>
      <c r="BQ1382" s="125"/>
      <c r="BR1382" s="16"/>
      <c r="BS1382" s="123"/>
      <c r="BT1382" s="19"/>
      <c r="BU1382" s="139"/>
      <c r="BV1382" s="139"/>
      <c r="BW1382" s="123"/>
      <c r="BX1382" s="123"/>
      <c r="BY1382" s="123"/>
      <c r="BZ1382" s="123"/>
      <c r="CA1382" s="123"/>
      <c r="CB1382" s="123"/>
      <c r="CC1382" s="6"/>
      <c r="CD1382" s="123"/>
      <c r="CE1382" s="6"/>
      <c r="CF1382" s="123"/>
      <c r="CG1382" s="6"/>
      <c r="CH1382" s="6"/>
      <c r="CI1382" s="6"/>
      <c r="CJ1382" s="6"/>
      <c r="CK1382" s="123"/>
      <c r="CL1382" s="6"/>
      <c r="CM1382" s="6"/>
      <c r="CN1382" s="6"/>
      <c r="CO1382" s="138"/>
      <c r="CP1382" s="138"/>
      <c r="CQ1382" s="123"/>
      <c r="CR1382" s="6"/>
      <c r="CS1382" s="6"/>
      <c r="CT1382" s="139"/>
      <c r="CU1382" s="139"/>
      <c r="CV1382" s="76"/>
      <c r="CW1382" s="123"/>
      <c r="CX1382" s="6"/>
      <c r="DI1382" s="125"/>
      <c r="DJ1382" s="16"/>
      <c r="DM1382" s="16"/>
      <c r="DN1382" s="16"/>
      <c r="DO1382" s="125"/>
      <c r="DP1382" s="16"/>
      <c r="DQ1382" s="125"/>
      <c r="DZ1382" s="125"/>
      <c r="EA1382" s="142"/>
      <c r="EB1382" s="125"/>
      <c r="EC1382" s="16"/>
      <c r="ED1382" s="125"/>
      <c r="EE1382" s="125"/>
      <c r="EF1382" s="16"/>
      <c r="EG1382" s="125"/>
      <c r="EQ1382" s="125"/>
      <c r="ER1382" s="16"/>
      <c r="ES1382" s="123"/>
      <c r="ET1382" s="19"/>
      <c r="EU1382" s="139"/>
      <c r="EV1382" s="139"/>
      <c r="EW1382" s="123"/>
      <c r="EX1382" s="123"/>
      <c r="EY1382" s="123"/>
      <c r="EZ1382" s="123"/>
      <c r="FA1382" s="123"/>
      <c r="FB1382" s="123"/>
      <c r="FC1382" s="6"/>
      <c r="FD1382" s="123"/>
      <c r="FE1382" s="6"/>
      <c r="FF1382" s="123"/>
      <c r="FG1382" s="6"/>
      <c r="FH1382" s="6"/>
      <c r="FI1382" s="6"/>
      <c r="FJ1382" s="6"/>
      <c r="FK1382" s="123"/>
      <c r="FL1382" s="6"/>
      <c r="FM1382" s="6"/>
      <c r="FN1382" s="6"/>
      <c r="FO1382" s="138"/>
      <c r="FP1382" s="138"/>
      <c r="FQ1382" s="123"/>
      <c r="FR1382" s="6"/>
      <c r="FS1382" s="6"/>
      <c r="FT1382" s="139"/>
      <c r="FU1382" s="139"/>
      <c r="FV1382" s="76"/>
      <c r="FW1382" s="123"/>
      <c r="FX1382" s="6"/>
    </row>
    <row r="1383" spans="35:180">
      <c r="AI1383" s="125"/>
      <c r="AJ1383" s="16"/>
      <c r="AM1383" s="16"/>
      <c r="AN1383" s="16"/>
      <c r="AO1383" s="125"/>
      <c r="AP1383" s="16"/>
      <c r="AQ1383" s="125"/>
      <c r="AZ1383" s="125"/>
      <c r="BA1383" s="142"/>
      <c r="BB1383" s="125"/>
      <c r="BC1383" s="16"/>
      <c r="BD1383" s="125"/>
      <c r="BE1383" s="125"/>
      <c r="BF1383" s="16"/>
      <c r="BG1383" s="125"/>
      <c r="BQ1383" s="125"/>
      <c r="BR1383" s="16"/>
      <c r="BS1383" s="123"/>
      <c r="BT1383" s="19"/>
      <c r="BU1383" s="139"/>
      <c r="BV1383" s="139"/>
      <c r="BW1383" s="123"/>
      <c r="BX1383" s="123"/>
      <c r="BY1383" s="123"/>
      <c r="BZ1383" s="123"/>
      <c r="CA1383" s="123"/>
      <c r="CB1383" s="123"/>
      <c r="CC1383" s="6"/>
      <c r="CD1383" s="123"/>
      <c r="CE1383" s="6"/>
      <c r="CF1383" s="123"/>
      <c r="CG1383" s="6"/>
      <c r="CH1383" s="6"/>
      <c r="CI1383" s="6"/>
      <c r="CJ1383" s="6"/>
      <c r="CK1383" s="123"/>
      <c r="CL1383" s="6"/>
      <c r="CM1383" s="6"/>
      <c r="CN1383" s="6"/>
      <c r="CO1383" s="138"/>
      <c r="CP1383" s="138"/>
      <c r="CQ1383" s="123"/>
      <c r="CR1383" s="6"/>
      <c r="CS1383" s="6"/>
      <c r="CT1383" s="139"/>
      <c r="CU1383" s="139"/>
      <c r="CV1383" s="76"/>
      <c r="CW1383" s="123"/>
      <c r="CX1383" s="6"/>
      <c r="DI1383" s="125"/>
      <c r="DJ1383" s="16"/>
      <c r="DM1383" s="16"/>
      <c r="DN1383" s="16"/>
      <c r="DO1383" s="125"/>
      <c r="DP1383" s="16"/>
      <c r="DQ1383" s="125"/>
      <c r="DZ1383" s="125"/>
      <c r="EA1383" s="142"/>
      <c r="EB1383" s="125"/>
      <c r="EC1383" s="16"/>
      <c r="ED1383" s="125"/>
      <c r="EE1383" s="125"/>
      <c r="EF1383" s="16"/>
      <c r="EG1383" s="125"/>
      <c r="EQ1383" s="125"/>
      <c r="ER1383" s="16"/>
      <c r="ES1383" s="123"/>
      <c r="ET1383" s="19"/>
      <c r="EU1383" s="139"/>
      <c r="EV1383" s="139"/>
      <c r="EW1383" s="123"/>
      <c r="EX1383" s="123"/>
      <c r="EY1383" s="123"/>
      <c r="EZ1383" s="123"/>
      <c r="FA1383" s="123"/>
      <c r="FB1383" s="123"/>
      <c r="FC1383" s="6"/>
      <c r="FD1383" s="123"/>
      <c r="FE1383" s="6"/>
      <c r="FF1383" s="123"/>
      <c r="FG1383" s="6"/>
      <c r="FH1383" s="6"/>
      <c r="FI1383" s="6"/>
      <c r="FJ1383" s="6"/>
      <c r="FK1383" s="123"/>
      <c r="FL1383" s="6"/>
      <c r="FM1383" s="6"/>
      <c r="FN1383" s="6"/>
      <c r="FO1383" s="138"/>
      <c r="FP1383" s="138"/>
      <c r="FQ1383" s="123"/>
      <c r="FR1383" s="6"/>
      <c r="FS1383" s="6"/>
      <c r="FT1383" s="139"/>
      <c r="FU1383" s="139"/>
      <c r="FV1383" s="76"/>
      <c r="FW1383" s="123"/>
      <c r="FX1383" s="6"/>
    </row>
    <row r="1384" spans="35:180">
      <c r="AI1384" s="125"/>
      <c r="AJ1384" s="16"/>
      <c r="AM1384" s="16"/>
      <c r="AN1384" s="16"/>
      <c r="AO1384" s="125"/>
      <c r="AP1384" s="16"/>
      <c r="AQ1384" s="125"/>
      <c r="AZ1384" s="125"/>
      <c r="BA1384" s="142"/>
      <c r="BB1384" s="125"/>
      <c r="BC1384" s="16"/>
      <c r="BD1384" s="125"/>
      <c r="BE1384" s="125"/>
      <c r="BF1384" s="16"/>
      <c r="BG1384" s="125"/>
      <c r="BQ1384" s="125"/>
      <c r="BR1384" s="16"/>
      <c r="BS1384" s="123"/>
      <c r="BT1384" s="19"/>
      <c r="BU1384" s="139"/>
      <c r="BV1384" s="139"/>
      <c r="BW1384" s="123"/>
      <c r="BX1384" s="123"/>
      <c r="BY1384" s="123"/>
      <c r="BZ1384" s="123"/>
      <c r="CA1384" s="123"/>
      <c r="CB1384" s="123"/>
      <c r="CC1384" s="6"/>
      <c r="CD1384" s="123"/>
      <c r="CE1384" s="6"/>
      <c r="CF1384" s="123"/>
      <c r="CG1384" s="6"/>
      <c r="CH1384" s="6"/>
      <c r="CI1384" s="6"/>
      <c r="CJ1384" s="6"/>
      <c r="CK1384" s="123"/>
      <c r="CL1384" s="6"/>
      <c r="CM1384" s="6"/>
      <c r="CN1384" s="6"/>
      <c r="CO1384" s="138"/>
      <c r="CP1384" s="138"/>
      <c r="CQ1384" s="123"/>
      <c r="CR1384" s="6"/>
      <c r="CS1384" s="6"/>
      <c r="CT1384" s="139"/>
      <c r="CU1384" s="139"/>
      <c r="CV1384" s="76"/>
      <c r="CW1384" s="123"/>
      <c r="CX1384" s="6"/>
      <c r="DI1384" s="125"/>
      <c r="DJ1384" s="16"/>
      <c r="DM1384" s="16"/>
      <c r="DN1384" s="16"/>
      <c r="DO1384" s="125"/>
      <c r="DP1384" s="16"/>
      <c r="DQ1384" s="125"/>
      <c r="DZ1384" s="125"/>
      <c r="EA1384" s="142"/>
      <c r="EB1384" s="125"/>
      <c r="EC1384" s="16"/>
      <c r="ED1384" s="125"/>
      <c r="EE1384" s="125"/>
      <c r="EF1384" s="16"/>
      <c r="EG1384" s="125"/>
      <c r="EQ1384" s="125"/>
      <c r="ER1384" s="16"/>
      <c r="ES1384" s="123"/>
      <c r="ET1384" s="19"/>
      <c r="EU1384" s="139"/>
      <c r="EV1384" s="139"/>
      <c r="EW1384" s="123"/>
      <c r="EX1384" s="123"/>
      <c r="EY1384" s="123"/>
      <c r="EZ1384" s="123"/>
      <c r="FA1384" s="123"/>
      <c r="FB1384" s="123"/>
      <c r="FC1384" s="6"/>
      <c r="FD1384" s="123"/>
      <c r="FE1384" s="6"/>
      <c r="FF1384" s="123"/>
      <c r="FG1384" s="6"/>
      <c r="FH1384" s="6"/>
      <c r="FI1384" s="6"/>
      <c r="FJ1384" s="6"/>
      <c r="FK1384" s="123"/>
      <c r="FL1384" s="6"/>
      <c r="FM1384" s="6"/>
      <c r="FN1384" s="6"/>
      <c r="FO1384" s="138"/>
      <c r="FP1384" s="138"/>
      <c r="FQ1384" s="123"/>
      <c r="FR1384" s="6"/>
      <c r="FS1384" s="6"/>
      <c r="FT1384" s="139"/>
      <c r="FU1384" s="139"/>
      <c r="FV1384" s="76"/>
      <c r="FW1384" s="123"/>
      <c r="FX1384" s="6"/>
    </row>
    <row r="1385" spans="35:180">
      <c r="AI1385" s="125"/>
      <c r="AJ1385" s="16"/>
      <c r="AM1385" s="16"/>
      <c r="AN1385" s="16"/>
      <c r="AO1385" s="125"/>
      <c r="AP1385" s="16"/>
      <c r="AQ1385" s="125"/>
      <c r="AZ1385" s="125"/>
      <c r="BA1385" s="142"/>
      <c r="BB1385" s="125"/>
      <c r="BC1385" s="16"/>
      <c r="BD1385" s="125"/>
      <c r="BE1385" s="125"/>
      <c r="BF1385" s="16"/>
      <c r="BG1385" s="125"/>
      <c r="BQ1385" s="125"/>
      <c r="BR1385" s="16"/>
      <c r="BS1385" s="123"/>
      <c r="BT1385" s="19"/>
      <c r="BU1385" s="139"/>
      <c r="BV1385" s="139"/>
      <c r="BW1385" s="123"/>
      <c r="BX1385" s="123"/>
      <c r="BY1385" s="123"/>
      <c r="BZ1385" s="123"/>
      <c r="CA1385" s="123"/>
      <c r="CB1385" s="123"/>
      <c r="CC1385" s="6"/>
      <c r="CD1385" s="123"/>
      <c r="CE1385" s="6"/>
      <c r="CF1385" s="123"/>
      <c r="CG1385" s="6"/>
      <c r="CH1385" s="6"/>
      <c r="CI1385" s="6"/>
      <c r="CJ1385" s="6"/>
      <c r="CK1385" s="123"/>
      <c r="CL1385" s="6"/>
      <c r="CM1385" s="6"/>
      <c r="CN1385" s="6"/>
      <c r="CO1385" s="138"/>
      <c r="CP1385" s="138"/>
      <c r="CQ1385" s="123"/>
      <c r="CR1385" s="6"/>
      <c r="CS1385" s="6"/>
      <c r="CT1385" s="139"/>
      <c r="CU1385" s="139"/>
      <c r="CV1385" s="76"/>
      <c r="CW1385" s="123"/>
      <c r="CX1385" s="6"/>
      <c r="DI1385" s="125"/>
      <c r="DJ1385" s="16"/>
      <c r="DM1385" s="16"/>
      <c r="DN1385" s="16"/>
      <c r="DO1385" s="125"/>
      <c r="DP1385" s="16"/>
      <c r="DQ1385" s="125"/>
      <c r="DZ1385" s="125"/>
      <c r="EA1385" s="142"/>
      <c r="EB1385" s="125"/>
      <c r="EC1385" s="16"/>
      <c r="ED1385" s="125"/>
      <c r="EE1385" s="125"/>
      <c r="EF1385" s="16"/>
      <c r="EG1385" s="125"/>
      <c r="EQ1385" s="125"/>
      <c r="ER1385" s="16"/>
      <c r="ES1385" s="123"/>
      <c r="ET1385" s="19"/>
      <c r="EU1385" s="139"/>
      <c r="EV1385" s="139"/>
      <c r="EW1385" s="123"/>
      <c r="EX1385" s="123"/>
      <c r="EY1385" s="123"/>
      <c r="EZ1385" s="123"/>
      <c r="FA1385" s="123"/>
      <c r="FB1385" s="123"/>
      <c r="FC1385" s="6"/>
      <c r="FD1385" s="123"/>
      <c r="FE1385" s="6"/>
      <c r="FF1385" s="123"/>
      <c r="FG1385" s="6"/>
      <c r="FH1385" s="6"/>
      <c r="FI1385" s="6"/>
      <c r="FJ1385" s="6"/>
      <c r="FK1385" s="123"/>
      <c r="FL1385" s="6"/>
      <c r="FM1385" s="6"/>
      <c r="FN1385" s="6"/>
      <c r="FO1385" s="138"/>
      <c r="FP1385" s="138"/>
      <c r="FQ1385" s="123"/>
      <c r="FR1385" s="6"/>
      <c r="FS1385" s="6"/>
      <c r="FT1385" s="139"/>
      <c r="FU1385" s="139"/>
      <c r="FV1385" s="76"/>
      <c r="FW1385" s="123"/>
      <c r="FX1385" s="6"/>
    </row>
    <row r="1386" spans="35:180">
      <c r="AI1386" s="125"/>
      <c r="AJ1386" s="16"/>
      <c r="AM1386" s="16"/>
      <c r="AN1386" s="16"/>
      <c r="AO1386" s="125"/>
      <c r="AP1386" s="16"/>
      <c r="AQ1386" s="125"/>
      <c r="AZ1386" s="125"/>
      <c r="BA1386" s="142"/>
      <c r="BB1386" s="125"/>
      <c r="BC1386" s="16"/>
      <c r="BD1386" s="125"/>
      <c r="BE1386" s="125"/>
      <c r="BF1386" s="16"/>
      <c r="BG1386" s="125"/>
      <c r="BQ1386" s="125"/>
      <c r="BR1386" s="16"/>
      <c r="BS1386" s="123"/>
      <c r="BT1386" s="19"/>
      <c r="BU1386" s="139"/>
      <c r="BV1386" s="139"/>
      <c r="BW1386" s="123"/>
      <c r="BX1386" s="123"/>
      <c r="BY1386" s="123"/>
      <c r="BZ1386" s="123"/>
      <c r="CA1386" s="123"/>
      <c r="CB1386" s="123"/>
      <c r="CC1386" s="6"/>
      <c r="CD1386" s="123"/>
      <c r="CE1386" s="6"/>
      <c r="CF1386" s="123"/>
      <c r="CG1386" s="6"/>
      <c r="CH1386" s="6"/>
      <c r="CI1386" s="6"/>
      <c r="CJ1386" s="6"/>
      <c r="CK1386" s="123"/>
      <c r="CL1386" s="6"/>
      <c r="CM1386" s="6"/>
      <c r="CN1386" s="6"/>
      <c r="CO1386" s="138"/>
      <c r="CP1386" s="138"/>
      <c r="CQ1386" s="123"/>
      <c r="CR1386" s="6"/>
      <c r="CS1386" s="6"/>
      <c r="CT1386" s="139"/>
      <c r="CU1386" s="139"/>
      <c r="CV1386" s="76"/>
      <c r="CW1386" s="123"/>
      <c r="CX1386" s="6"/>
      <c r="DI1386" s="125"/>
      <c r="DJ1386" s="16"/>
      <c r="DM1386" s="16"/>
      <c r="DN1386" s="16"/>
      <c r="DO1386" s="125"/>
      <c r="DP1386" s="16"/>
      <c r="DQ1386" s="125"/>
      <c r="DZ1386" s="125"/>
      <c r="EA1386" s="142"/>
      <c r="EB1386" s="125"/>
      <c r="EC1386" s="16"/>
      <c r="ED1386" s="125"/>
      <c r="EE1386" s="125"/>
      <c r="EF1386" s="16"/>
      <c r="EG1386" s="125"/>
      <c r="EQ1386" s="125"/>
      <c r="ER1386" s="16"/>
      <c r="ES1386" s="123"/>
      <c r="ET1386" s="19"/>
      <c r="EU1386" s="139"/>
      <c r="EV1386" s="139"/>
      <c r="EW1386" s="123"/>
      <c r="EX1386" s="123"/>
      <c r="EY1386" s="123"/>
      <c r="EZ1386" s="123"/>
      <c r="FA1386" s="123"/>
      <c r="FB1386" s="123"/>
      <c r="FC1386" s="6"/>
      <c r="FD1386" s="123"/>
      <c r="FE1386" s="6"/>
      <c r="FF1386" s="123"/>
      <c r="FG1386" s="6"/>
      <c r="FH1386" s="6"/>
      <c r="FI1386" s="6"/>
      <c r="FJ1386" s="6"/>
      <c r="FK1386" s="123"/>
      <c r="FL1386" s="6"/>
      <c r="FM1386" s="6"/>
      <c r="FN1386" s="6"/>
      <c r="FO1386" s="138"/>
      <c r="FP1386" s="138"/>
      <c r="FQ1386" s="123"/>
      <c r="FR1386" s="6"/>
      <c r="FS1386" s="6"/>
      <c r="FT1386" s="139"/>
      <c r="FU1386" s="139"/>
      <c r="FV1386" s="76"/>
      <c r="FW1386" s="123"/>
      <c r="FX1386" s="6"/>
    </row>
    <row r="1387" spans="35:180">
      <c r="AI1387" s="125"/>
      <c r="AJ1387" s="16"/>
      <c r="AM1387" s="16"/>
      <c r="AN1387" s="16"/>
      <c r="AO1387" s="125"/>
      <c r="AP1387" s="16"/>
      <c r="AQ1387" s="125"/>
      <c r="AZ1387" s="125"/>
      <c r="BA1387" s="142"/>
      <c r="BB1387" s="125"/>
      <c r="BC1387" s="16"/>
      <c r="BD1387" s="125"/>
      <c r="BE1387" s="125"/>
      <c r="BF1387" s="16"/>
      <c r="BG1387" s="125"/>
      <c r="BQ1387" s="125"/>
      <c r="BR1387" s="16"/>
      <c r="BS1387" s="123"/>
      <c r="BT1387" s="19"/>
      <c r="BU1387" s="139"/>
      <c r="BV1387" s="139"/>
      <c r="BW1387" s="123"/>
      <c r="BX1387" s="123"/>
      <c r="BY1387" s="123"/>
      <c r="BZ1387" s="123"/>
      <c r="CA1387" s="123"/>
      <c r="CB1387" s="123"/>
      <c r="CC1387" s="6"/>
      <c r="CD1387" s="123"/>
      <c r="CE1387" s="6"/>
      <c r="CF1387" s="123"/>
      <c r="CG1387" s="6"/>
      <c r="CH1387" s="6"/>
      <c r="CI1387" s="6"/>
      <c r="CJ1387" s="6"/>
      <c r="CK1387" s="123"/>
      <c r="CL1387" s="6"/>
      <c r="CM1387" s="6"/>
      <c r="CN1387" s="6"/>
      <c r="CO1387" s="138"/>
      <c r="CP1387" s="138"/>
      <c r="CQ1387" s="123"/>
      <c r="CR1387" s="6"/>
      <c r="CS1387" s="6"/>
      <c r="CT1387" s="139"/>
      <c r="CU1387" s="139"/>
      <c r="CV1387" s="76"/>
      <c r="CW1387" s="123"/>
      <c r="CX1387" s="6"/>
      <c r="DI1387" s="125"/>
      <c r="DJ1387" s="16"/>
      <c r="DM1387" s="16"/>
      <c r="DN1387" s="16"/>
      <c r="DO1387" s="125"/>
      <c r="DP1387" s="16"/>
      <c r="DQ1387" s="125"/>
      <c r="DZ1387" s="125"/>
      <c r="EA1387" s="142"/>
      <c r="EB1387" s="125"/>
      <c r="EC1387" s="16"/>
      <c r="ED1387" s="125"/>
      <c r="EE1387" s="125"/>
      <c r="EF1387" s="16"/>
      <c r="EG1387" s="125"/>
      <c r="EQ1387" s="125"/>
      <c r="ER1387" s="16"/>
      <c r="ES1387" s="123"/>
      <c r="ET1387" s="19"/>
      <c r="EU1387" s="139"/>
      <c r="EV1387" s="139"/>
      <c r="EW1387" s="123"/>
      <c r="EX1387" s="123"/>
      <c r="EY1387" s="123"/>
      <c r="EZ1387" s="123"/>
      <c r="FA1387" s="123"/>
      <c r="FB1387" s="123"/>
      <c r="FC1387" s="6"/>
      <c r="FD1387" s="123"/>
      <c r="FE1387" s="6"/>
      <c r="FF1387" s="123"/>
      <c r="FG1387" s="6"/>
      <c r="FH1387" s="6"/>
      <c r="FI1387" s="6"/>
      <c r="FJ1387" s="6"/>
      <c r="FK1387" s="123"/>
      <c r="FL1387" s="6"/>
      <c r="FM1387" s="6"/>
      <c r="FN1387" s="6"/>
      <c r="FO1387" s="138"/>
      <c r="FP1387" s="138"/>
      <c r="FQ1387" s="123"/>
      <c r="FR1387" s="6"/>
      <c r="FS1387" s="6"/>
      <c r="FT1387" s="139"/>
      <c r="FU1387" s="139"/>
      <c r="FV1387" s="76"/>
      <c r="FW1387" s="123"/>
      <c r="FX1387" s="6"/>
    </row>
    <row r="1388" spans="35:180">
      <c r="AI1388" s="125"/>
      <c r="AJ1388" s="16"/>
      <c r="AM1388" s="16"/>
      <c r="AN1388" s="16"/>
      <c r="AO1388" s="125"/>
      <c r="AP1388" s="16"/>
      <c r="AQ1388" s="125"/>
      <c r="AZ1388" s="125"/>
      <c r="BA1388" s="142"/>
      <c r="BB1388" s="125"/>
      <c r="BC1388" s="16"/>
      <c r="BD1388" s="125"/>
      <c r="BE1388" s="125"/>
      <c r="BF1388" s="16"/>
      <c r="BG1388" s="125"/>
      <c r="BQ1388" s="125"/>
      <c r="BR1388" s="16"/>
      <c r="BS1388" s="123"/>
      <c r="BT1388" s="19"/>
      <c r="BU1388" s="139"/>
      <c r="BV1388" s="139"/>
      <c r="BW1388" s="123"/>
      <c r="BX1388" s="123"/>
      <c r="BY1388" s="123"/>
      <c r="BZ1388" s="123"/>
      <c r="CA1388" s="123"/>
      <c r="CB1388" s="123"/>
      <c r="CC1388" s="6"/>
      <c r="CD1388" s="123"/>
      <c r="CE1388" s="6"/>
      <c r="CF1388" s="123"/>
      <c r="CG1388" s="6"/>
      <c r="CH1388" s="6"/>
      <c r="CI1388" s="6"/>
      <c r="CJ1388" s="6"/>
      <c r="CK1388" s="123"/>
      <c r="CL1388" s="6"/>
      <c r="CM1388" s="6"/>
      <c r="CN1388" s="6"/>
      <c r="CO1388" s="138"/>
      <c r="CP1388" s="138"/>
      <c r="CQ1388" s="123"/>
      <c r="CR1388" s="6"/>
      <c r="CS1388" s="6"/>
      <c r="CT1388" s="139"/>
      <c r="CU1388" s="139"/>
      <c r="CV1388" s="76"/>
      <c r="CW1388" s="123"/>
      <c r="CX1388" s="6"/>
      <c r="DI1388" s="125"/>
      <c r="DJ1388" s="16"/>
      <c r="DM1388" s="16"/>
      <c r="DN1388" s="16"/>
      <c r="DO1388" s="125"/>
      <c r="DP1388" s="16"/>
      <c r="DQ1388" s="125"/>
      <c r="DZ1388" s="125"/>
      <c r="EA1388" s="142"/>
      <c r="EB1388" s="125"/>
      <c r="EC1388" s="16"/>
      <c r="ED1388" s="125"/>
      <c r="EE1388" s="125"/>
      <c r="EF1388" s="16"/>
      <c r="EG1388" s="125"/>
      <c r="EQ1388" s="125"/>
      <c r="ER1388" s="16"/>
      <c r="ES1388" s="123"/>
      <c r="ET1388" s="19"/>
      <c r="EU1388" s="139"/>
      <c r="EV1388" s="139"/>
      <c r="EW1388" s="123"/>
      <c r="EX1388" s="123"/>
      <c r="EY1388" s="123"/>
      <c r="EZ1388" s="123"/>
      <c r="FA1388" s="123"/>
      <c r="FB1388" s="123"/>
      <c r="FC1388" s="6"/>
      <c r="FD1388" s="123"/>
      <c r="FE1388" s="6"/>
      <c r="FF1388" s="123"/>
      <c r="FG1388" s="6"/>
      <c r="FH1388" s="6"/>
      <c r="FI1388" s="6"/>
      <c r="FJ1388" s="6"/>
      <c r="FK1388" s="123"/>
      <c r="FL1388" s="6"/>
      <c r="FM1388" s="6"/>
      <c r="FN1388" s="6"/>
      <c r="FO1388" s="138"/>
      <c r="FP1388" s="138"/>
      <c r="FQ1388" s="123"/>
      <c r="FR1388" s="6"/>
      <c r="FS1388" s="6"/>
      <c r="FT1388" s="139"/>
      <c r="FU1388" s="139"/>
      <c r="FV1388" s="76"/>
      <c r="FW1388" s="123"/>
      <c r="FX1388" s="6"/>
    </row>
    <row r="1389" spans="35:180">
      <c r="AI1389" s="125"/>
      <c r="AJ1389" s="16"/>
      <c r="AM1389" s="16"/>
      <c r="AN1389" s="16"/>
      <c r="AO1389" s="125"/>
      <c r="AP1389" s="16"/>
      <c r="AQ1389" s="125"/>
      <c r="AZ1389" s="125"/>
      <c r="BA1389" s="142"/>
      <c r="BB1389" s="125"/>
      <c r="BC1389" s="16"/>
      <c r="BD1389" s="125"/>
      <c r="BE1389" s="125"/>
      <c r="BF1389" s="16"/>
      <c r="BG1389" s="125"/>
      <c r="BQ1389" s="125"/>
      <c r="BR1389" s="16"/>
      <c r="BS1389" s="123"/>
      <c r="BT1389" s="19"/>
      <c r="BU1389" s="139"/>
      <c r="BV1389" s="139"/>
      <c r="BW1389" s="123"/>
      <c r="BX1389" s="123"/>
      <c r="BY1389" s="123"/>
      <c r="BZ1389" s="123"/>
      <c r="CA1389" s="123"/>
      <c r="CB1389" s="123"/>
      <c r="CC1389" s="6"/>
      <c r="CD1389" s="123"/>
      <c r="CE1389" s="6"/>
      <c r="CF1389" s="123"/>
      <c r="CG1389" s="6"/>
      <c r="CH1389" s="6"/>
      <c r="CI1389" s="6"/>
      <c r="CJ1389" s="6"/>
      <c r="CK1389" s="123"/>
      <c r="CL1389" s="6"/>
      <c r="CM1389" s="6"/>
      <c r="CN1389" s="6"/>
      <c r="CO1389" s="138"/>
      <c r="CP1389" s="138"/>
      <c r="CQ1389" s="123"/>
      <c r="CR1389" s="6"/>
      <c r="CS1389" s="6"/>
      <c r="CT1389" s="139"/>
      <c r="CU1389" s="139"/>
      <c r="CV1389" s="76"/>
      <c r="CW1389" s="123"/>
      <c r="CX1389" s="6"/>
      <c r="DI1389" s="125"/>
      <c r="DJ1389" s="16"/>
      <c r="DM1389" s="16"/>
      <c r="DN1389" s="16"/>
      <c r="DO1389" s="125"/>
      <c r="DP1389" s="16"/>
      <c r="DQ1389" s="125"/>
      <c r="DZ1389" s="125"/>
      <c r="EA1389" s="142"/>
      <c r="EB1389" s="125"/>
      <c r="EC1389" s="16"/>
      <c r="ED1389" s="125"/>
      <c r="EE1389" s="125"/>
      <c r="EF1389" s="16"/>
      <c r="EG1389" s="125"/>
      <c r="EQ1389" s="125"/>
      <c r="ER1389" s="16"/>
      <c r="ES1389" s="123"/>
      <c r="ET1389" s="19"/>
      <c r="EU1389" s="139"/>
      <c r="EV1389" s="139"/>
      <c r="EW1389" s="123"/>
      <c r="EX1389" s="123"/>
      <c r="EY1389" s="123"/>
      <c r="EZ1389" s="123"/>
      <c r="FA1389" s="123"/>
      <c r="FB1389" s="123"/>
      <c r="FC1389" s="6"/>
      <c r="FD1389" s="123"/>
      <c r="FE1389" s="6"/>
      <c r="FF1389" s="123"/>
      <c r="FG1389" s="6"/>
      <c r="FH1389" s="6"/>
      <c r="FI1389" s="6"/>
      <c r="FJ1389" s="6"/>
      <c r="FK1389" s="123"/>
      <c r="FL1389" s="6"/>
      <c r="FM1389" s="6"/>
      <c r="FN1389" s="6"/>
      <c r="FO1389" s="138"/>
      <c r="FP1389" s="138"/>
      <c r="FQ1389" s="123"/>
      <c r="FR1389" s="6"/>
      <c r="FS1389" s="6"/>
      <c r="FT1389" s="139"/>
      <c r="FU1389" s="139"/>
      <c r="FV1389" s="76"/>
      <c r="FW1389" s="123"/>
      <c r="FX1389" s="6"/>
    </row>
    <row r="1390" spans="35:180">
      <c r="AI1390" s="125"/>
      <c r="AJ1390" s="16"/>
      <c r="AM1390" s="16"/>
      <c r="AN1390" s="16"/>
      <c r="AO1390" s="125"/>
      <c r="AP1390" s="16"/>
      <c r="AQ1390" s="125"/>
      <c r="AZ1390" s="125"/>
      <c r="BA1390" s="142"/>
      <c r="BB1390" s="125"/>
      <c r="BC1390" s="16"/>
      <c r="BD1390" s="125"/>
      <c r="BE1390" s="125"/>
      <c r="BF1390" s="16"/>
      <c r="BG1390" s="125"/>
      <c r="BQ1390" s="125"/>
      <c r="BR1390" s="16"/>
      <c r="BS1390" s="123"/>
      <c r="BT1390" s="19"/>
      <c r="BU1390" s="139"/>
      <c r="BV1390" s="139"/>
      <c r="BW1390" s="123"/>
      <c r="BX1390" s="123"/>
      <c r="BY1390" s="123"/>
      <c r="BZ1390" s="123"/>
      <c r="CA1390" s="123"/>
      <c r="CB1390" s="123"/>
      <c r="CC1390" s="6"/>
      <c r="CD1390" s="123"/>
      <c r="CE1390" s="6"/>
      <c r="CF1390" s="123"/>
      <c r="CG1390" s="6"/>
      <c r="CH1390" s="6"/>
      <c r="CI1390" s="6"/>
      <c r="CJ1390" s="6"/>
      <c r="CK1390" s="123"/>
      <c r="CL1390" s="6"/>
      <c r="CM1390" s="6"/>
      <c r="CN1390" s="6"/>
      <c r="CO1390" s="138"/>
      <c r="CP1390" s="138"/>
      <c r="CQ1390" s="123"/>
      <c r="CR1390" s="6"/>
      <c r="CS1390" s="6"/>
      <c r="CT1390" s="139"/>
      <c r="CU1390" s="139"/>
      <c r="CV1390" s="76"/>
      <c r="CW1390" s="123"/>
      <c r="CX1390" s="6"/>
      <c r="DI1390" s="125"/>
      <c r="DJ1390" s="16"/>
      <c r="DM1390" s="16"/>
      <c r="DN1390" s="16"/>
      <c r="DO1390" s="125"/>
      <c r="DP1390" s="16"/>
      <c r="DQ1390" s="125"/>
      <c r="DZ1390" s="125"/>
      <c r="EA1390" s="142"/>
      <c r="EB1390" s="125"/>
      <c r="EC1390" s="16"/>
      <c r="ED1390" s="125"/>
      <c r="EE1390" s="125"/>
      <c r="EF1390" s="16"/>
      <c r="EG1390" s="125"/>
      <c r="EQ1390" s="125"/>
      <c r="ER1390" s="16"/>
      <c r="ES1390" s="123"/>
      <c r="ET1390" s="19"/>
      <c r="EU1390" s="139"/>
      <c r="EV1390" s="139"/>
      <c r="EW1390" s="123"/>
      <c r="EX1390" s="123"/>
      <c r="EY1390" s="123"/>
      <c r="EZ1390" s="123"/>
      <c r="FA1390" s="123"/>
      <c r="FB1390" s="123"/>
      <c r="FC1390" s="6"/>
      <c r="FD1390" s="123"/>
      <c r="FE1390" s="6"/>
      <c r="FF1390" s="123"/>
      <c r="FG1390" s="6"/>
      <c r="FH1390" s="6"/>
      <c r="FI1390" s="6"/>
      <c r="FJ1390" s="6"/>
      <c r="FK1390" s="123"/>
      <c r="FL1390" s="6"/>
      <c r="FM1390" s="6"/>
      <c r="FN1390" s="6"/>
      <c r="FO1390" s="138"/>
      <c r="FP1390" s="138"/>
      <c r="FQ1390" s="123"/>
      <c r="FR1390" s="6"/>
      <c r="FS1390" s="6"/>
      <c r="FT1390" s="139"/>
      <c r="FU1390" s="139"/>
      <c r="FV1390" s="76"/>
      <c r="FW1390" s="123"/>
      <c r="FX1390" s="6"/>
    </row>
    <row r="1391" spans="35:180">
      <c r="AI1391" s="125"/>
      <c r="AJ1391" s="16"/>
      <c r="AM1391" s="16"/>
      <c r="AN1391" s="16"/>
      <c r="AO1391" s="125"/>
      <c r="AP1391" s="16"/>
      <c r="AQ1391" s="125"/>
      <c r="AZ1391" s="125"/>
      <c r="BA1391" s="142"/>
      <c r="BB1391" s="125"/>
      <c r="BC1391" s="16"/>
      <c r="BD1391" s="125"/>
      <c r="BE1391" s="125"/>
      <c r="BF1391" s="16"/>
      <c r="BG1391" s="125"/>
      <c r="BQ1391" s="125"/>
      <c r="BR1391" s="16"/>
      <c r="BS1391" s="123"/>
      <c r="BT1391" s="19"/>
      <c r="BU1391" s="139"/>
      <c r="BV1391" s="139"/>
      <c r="BW1391" s="123"/>
      <c r="BX1391" s="123"/>
      <c r="BY1391" s="123"/>
      <c r="BZ1391" s="123"/>
      <c r="CA1391" s="123"/>
      <c r="CB1391" s="123"/>
      <c r="CC1391" s="6"/>
      <c r="CD1391" s="123"/>
      <c r="CE1391" s="6"/>
      <c r="CF1391" s="123"/>
      <c r="CG1391" s="6"/>
      <c r="CH1391" s="6"/>
      <c r="CI1391" s="6"/>
      <c r="CJ1391" s="6"/>
      <c r="CK1391" s="123"/>
      <c r="CL1391" s="6"/>
      <c r="CM1391" s="6"/>
      <c r="CN1391" s="6"/>
      <c r="CO1391" s="138"/>
      <c r="CP1391" s="138"/>
      <c r="CQ1391" s="123"/>
      <c r="CR1391" s="6"/>
      <c r="CS1391" s="6"/>
      <c r="CT1391" s="139"/>
      <c r="CU1391" s="139"/>
      <c r="CV1391" s="76"/>
      <c r="CW1391" s="123"/>
      <c r="CX1391" s="6"/>
      <c r="DI1391" s="125"/>
      <c r="DJ1391" s="16"/>
      <c r="DM1391" s="16"/>
      <c r="DN1391" s="16"/>
      <c r="DO1391" s="125"/>
      <c r="DP1391" s="16"/>
      <c r="DQ1391" s="125"/>
      <c r="DZ1391" s="125"/>
      <c r="EA1391" s="142"/>
      <c r="EB1391" s="125"/>
      <c r="EC1391" s="16"/>
      <c r="ED1391" s="125"/>
      <c r="EE1391" s="125"/>
      <c r="EF1391" s="16"/>
      <c r="EG1391" s="125"/>
      <c r="EQ1391" s="125"/>
      <c r="ER1391" s="16"/>
      <c r="ES1391" s="123"/>
      <c r="ET1391" s="19"/>
      <c r="EU1391" s="139"/>
      <c r="EV1391" s="139"/>
      <c r="EW1391" s="123"/>
      <c r="EX1391" s="123"/>
      <c r="EY1391" s="123"/>
      <c r="EZ1391" s="123"/>
      <c r="FA1391" s="123"/>
      <c r="FB1391" s="123"/>
      <c r="FC1391" s="6"/>
      <c r="FD1391" s="123"/>
      <c r="FE1391" s="6"/>
      <c r="FF1391" s="123"/>
      <c r="FG1391" s="6"/>
      <c r="FH1391" s="6"/>
      <c r="FI1391" s="6"/>
      <c r="FJ1391" s="6"/>
      <c r="FK1391" s="123"/>
      <c r="FL1391" s="6"/>
      <c r="FM1391" s="6"/>
      <c r="FN1391" s="6"/>
      <c r="FO1391" s="138"/>
      <c r="FP1391" s="138"/>
      <c r="FQ1391" s="123"/>
      <c r="FR1391" s="6"/>
      <c r="FS1391" s="6"/>
      <c r="FT1391" s="139"/>
      <c r="FU1391" s="139"/>
      <c r="FV1391" s="76"/>
      <c r="FW1391" s="123"/>
      <c r="FX1391" s="6"/>
    </row>
    <row r="1392" spans="35:180">
      <c r="AI1392" s="125"/>
      <c r="AJ1392" s="16"/>
      <c r="AM1392" s="16"/>
      <c r="AN1392" s="16"/>
      <c r="AO1392" s="125"/>
      <c r="AP1392" s="16"/>
      <c r="AQ1392" s="125"/>
      <c r="AZ1392" s="125"/>
      <c r="BA1392" s="142"/>
      <c r="BB1392" s="125"/>
      <c r="BC1392" s="16"/>
      <c r="BD1392" s="125"/>
      <c r="BE1392" s="125"/>
      <c r="BF1392" s="16"/>
      <c r="BG1392" s="125"/>
      <c r="BQ1392" s="125"/>
      <c r="BR1392" s="16"/>
      <c r="BS1392" s="123"/>
      <c r="BT1392" s="19"/>
      <c r="BU1392" s="139"/>
      <c r="BV1392" s="139"/>
      <c r="BW1392" s="123"/>
      <c r="BX1392" s="123"/>
      <c r="BY1392" s="123"/>
      <c r="BZ1392" s="123"/>
      <c r="CA1392" s="123"/>
      <c r="CB1392" s="123"/>
      <c r="CC1392" s="6"/>
      <c r="CD1392" s="123"/>
      <c r="CE1392" s="6"/>
      <c r="CF1392" s="123"/>
      <c r="CG1392" s="6"/>
      <c r="CH1392" s="6"/>
      <c r="CI1392" s="6"/>
      <c r="CJ1392" s="6"/>
      <c r="CK1392" s="123"/>
      <c r="CL1392" s="6"/>
      <c r="CM1392" s="6"/>
      <c r="CN1392" s="6"/>
      <c r="CO1392" s="138"/>
      <c r="CP1392" s="138"/>
      <c r="CQ1392" s="123"/>
      <c r="CR1392" s="6"/>
      <c r="CS1392" s="6"/>
      <c r="CT1392" s="139"/>
      <c r="CU1392" s="139"/>
      <c r="CV1392" s="76"/>
      <c r="CW1392" s="123"/>
      <c r="CX1392" s="6"/>
      <c r="DI1392" s="125"/>
      <c r="DJ1392" s="16"/>
      <c r="DM1392" s="16"/>
      <c r="DN1392" s="16"/>
      <c r="DO1392" s="125"/>
      <c r="DP1392" s="16"/>
      <c r="DQ1392" s="125"/>
      <c r="DZ1392" s="125"/>
      <c r="EA1392" s="142"/>
      <c r="EB1392" s="125"/>
      <c r="EC1392" s="16"/>
      <c r="ED1392" s="125"/>
      <c r="EE1392" s="125"/>
      <c r="EF1392" s="16"/>
      <c r="EG1392" s="125"/>
      <c r="EQ1392" s="125"/>
      <c r="ER1392" s="16"/>
      <c r="ES1392" s="123"/>
      <c r="ET1392" s="19"/>
      <c r="EU1392" s="139"/>
      <c r="EV1392" s="139"/>
      <c r="EW1392" s="123"/>
      <c r="EX1392" s="123"/>
      <c r="EY1392" s="123"/>
      <c r="EZ1392" s="123"/>
      <c r="FA1392" s="123"/>
      <c r="FB1392" s="123"/>
      <c r="FC1392" s="6"/>
      <c r="FD1392" s="123"/>
      <c r="FE1392" s="6"/>
      <c r="FF1392" s="123"/>
      <c r="FG1392" s="6"/>
      <c r="FH1392" s="6"/>
      <c r="FI1392" s="6"/>
      <c r="FJ1392" s="6"/>
      <c r="FK1392" s="123"/>
      <c r="FL1392" s="6"/>
      <c r="FM1392" s="6"/>
      <c r="FN1392" s="6"/>
      <c r="FO1392" s="138"/>
      <c r="FP1392" s="138"/>
      <c r="FQ1392" s="123"/>
      <c r="FR1392" s="6"/>
      <c r="FS1392" s="6"/>
      <c r="FT1392" s="139"/>
      <c r="FU1392" s="139"/>
      <c r="FV1392" s="76"/>
      <c r="FW1392" s="123"/>
      <c r="FX1392" s="6"/>
    </row>
    <row r="1393" spans="35:180">
      <c r="AI1393" s="125"/>
      <c r="AJ1393" s="16"/>
      <c r="AM1393" s="16"/>
      <c r="AN1393" s="16"/>
      <c r="AO1393" s="125"/>
      <c r="AP1393" s="16"/>
      <c r="AQ1393" s="125"/>
      <c r="AZ1393" s="125"/>
      <c r="BA1393" s="142"/>
      <c r="BB1393" s="125"/>
      <c r="BC1393" s="16"/>
      <c r="BD1393" s="125"/>
      <c r="BE1393" s="125"/>
      <c r="BF1393" s="16"/>
      <c r="BG1393" s="125"/>
      <c r="BQ1393" s="125"/>
      <c r="BR1393" s="16"/>
      <c r="BS1393" s="123"/>
      <c r="BT1393" s="19"/>
      <c r="BU1393" s="139"/>
      <c r="BV1393" s="139"/>
      <c r="BW1393" s="123"/>
      <c r="BX1393" s="123"/>
      <c r="BY1393" s="123"/>
      <c r="BZ1393" s="123"/>
      <c r="CA1393" s="123"/>
      <c r="CB1393" s="123"/>
      <c r="CC1393" s="6"/>
      <c r="CD1393" s="123"/>
      <c r="CE1393" s="6"/>
      <c r="CF1393" s="123"/>
      <c r="CG1393" s="6"/>
      <c r="CH1393" s="6"/>
      <c r="CI1393" s="6"/>
      <c r="CJ1393" s="6"/>
      <c r="CK1393" s="123"/>
      <c r="CL1393" s="6"/>
      <c r="CM1393" s="6"/>
      <c r="CN1393" s="6"/>
      <c r="CO1393" s="138"/>
      <c r="CP1393" s="138"/>
      <c r="CQ1393" s="123"/>
      <c r="CR1393" s="6"/>
      <c r="CS1393" s="6"/>
      <c r="CT1393" s="139"/>
      <c r="CU1393" s="139"/>
      <c r="CV1393" s="76"/>
      <c r="CW1393" s="123"/>
      <c r="CX1393" s="6"/>
      <c r="DI1393" s="125"/>
      <c r="DJ1393" s="16"/>
      <c r="DM1393" s="16"/>
      <c r="DN1393" s="16"/>
      <c r="DO1393" s="125"/>
      <c r="DP1393" s="16"/>
      <c r="DQ1393" s="125"/>
      <c r="DZ1393" s="125"/>
      <c r="EA1393" s="142"/>
      <c r="EB1393" s="125"/>
      <c r="EC1393" s="16"/>
      <c r="ED1393" s="125"/>
      <c r="EE1393" s="125"/>
      <c r="EF1393" s="16"/>
      <c r="EG1393" s="125"/>
      <c r="EQ1393" s="125"/>
      <c r="ER1393" s="16"/>
      <c r="ES1393" s="123"/>
      <c r="ET1393" s="19"/>
      <c r="EU1393" s="139"/>
      <c r="EV1393" s="139"/>
      <c r="EW1393" s="123"/>
      <c r="EX1393" s="123"/>
      <c r="EY1393" s="123"/>
      <c r="EZ1393" s="123"/>
      <c r="FA1393" s="123"/>
      <c r="FB1393" s="123"/>
      <c r="FC1393" s="6"/>
      <c r="FD1393" s="123"/>
      <c r="FE1393" s="6"/>
      <c r="FF1393" s="123"/>
      <c r="FG1393" s="6"/>
      <c r="FH1393" s="6"/>
      <c r="FI1393" s="6"/>
      <c r="FJ1393" s="6"/>
      <c r="FK1393" s="123"/>
      <c r="FL1393" s="6"/>
      <c r="FM1393" s="6"/>
      <c r="FN1393" s="6"/>
      <c r="FO1393" s="138"/>
      <c r="FP1393" s="138"/>
      <c r="FQ1393" s="123"/>
      <c r="FR1393" s="6"/>
      <c r="FS1393" s="6"/>
      <c r="FT1393" s="139"/>
      <c r="FU1393" s="139"/>
      <c r="FV1393" s="76"/>
      <c r="FW1393" s="123"/>
      <c r="FX1393" s="6"/>
    </row>
    <row r="1394" spans="35:180">
      <c r="AI1394" s="125"/>
      <c r="AJ1394" s="16"/>
      <c r="AM1394" s="16"/>
      <c r="AN1394" s="16"/>
      <c r="AO1394" s="125"/>
      <c r="AP1394" s="16"/>
      <c r="AQ1394" s="125"/>
      <c r="AZ1394" s="125"/>
      <c r="BA1394" s="142"/>
      <c r="BB1394" s="125"/>
      <c r="BC1394" s="16"/>
      <c r="BD1394" s="125"/>
      <c r="BE1394" s="125"/>
      <c r="BF1394" s="16"/>
      <c r="BG1394" s="125"/>
      <c r="BQ1394" s="125"/>
      <c r="BR1394" s="16"/>
      <c r="BS1394" s="123"/>
      <c r="BT1394" s="19"/>
      <c r="BU1394" s="139"/>
      <c r="BV1394" s="139"/>
      <c r="BW1394" s="123"/>
      <c r="BX1394" s="123"/>
      <c r="BY1394" s="123"/>
      <c r="BZ1394" s="123"/>
      <c r="CA1394" s="123"/>
      <c r="CB1394" s="123"/>
      <c r="CC1394" s="6"/>
      <c r="CD1394" s="123"/>
      <c r="CE1394" s="6"/>
      <c r="CF1394" s="123"/>
      <c r="CG1394" s="6"/>
      <c r="CH1394" s="6"/>
      <c r="CI1394" s="6"/>
      <c r="CJ1394" s="6"/>
      <c r="CK1394" s="123"/>
      <c r="CL1394" s="6"/>
      <c r="CM1394" s="6"/>
      <c r="CN1394" s="6"/>
      <c r="CO1394" s="138"/>
      <c r="CP1394" s="138"/>
      <c r="CQ1394" s="123"/>
      <c r="CR1394" s="6"/>
      <c r="CS1394" s="6"/>
      <c r="CT1394" s="139"/>
      <c r="CU1394" s="139"/>
      <c r="CV1394" s="76"/>
      <c r="CW1394" s="123"/>
      <c r="CX1394" s="6"/>
      <c r="DI1394" s="125"/>
      <c r="DJ1394" s="16"/>
      <c r="DM1394" s="16"/>
      <c r="DN1394" s="16"/>
      <c r="DO1394" s="125"/>
      <c r="DP1394" s="16"/>
      <c r="DQ1394" s="125"/>
      <c r="DZ1394" s="125"/>
      <c r="EA1394" s="142"/>
      <c r="EB1394" s="125"/>
      <c r="EC1394" s="16"/>
      <c r="ED1394" s="125"/>
      <c r="EE1394" s="125"/>
      <c r="EF1394" s="16"/>
      <c r="EG1394" s="125"/>
      <c r="EQ1394" s="125"/>
      <c r="ER1394" s="16"/>
      <c r="ES1394" s="123"/>
      <c r="ET1394" s="19"/>
      <c r="EU1394" s="139"/>
      <c r="EV1394" s="139"/>
      <c r="EW1394" s="123"/>
      <c r="EX1394" s="123"/>
      <c r="EY1394" s="123"/>
      <c r="EZ1394" s="123"/>
      <c r="FA1394" s="123"/>
      <c r="FB1394" s="123"/>
      <c r="FC1394" s="6"/>
      <c r="FD1394" s="123"/>
      <c r="FE1394" s="6"/>
      <c r="FF1394" s="123"/>
      <c r="FG1394" s="6"/>
      <c r="FH1394" s="6"/>
      <c r="FI1394" s="6"/>
      <c r="FJ1394" s="6"/>
      <c r="FK1394" s="123"/>
      <c r="FL1394" s="6"/>
      <c r="FM1394" s="6"/>
      <c r="FN1394" s="6"/>
      <c r="FO1394" s="138"/>
      <c r="FP1394" s="138"/>
      <c r="FQ1394" s="123"/>
      <c r="FR1394" s="6"/>
      <c r="FS1394" s="6"/>
      <c r="FT1394" s="139"/>
      <c r="FU1394" s="139"/>
      <c r="FV1394" s="76"/>
      <c r="FW1394" s="123"/>
      <c r="FX1394" s="6"/>
    </row>
    <row r="1395" spans="35:180">
      <c r="AI1395" s="125"/>
      <c r="AJ1395" s="16"/>
      <c r="AM1395" s="16"/>
      <c r="AN1395" s="16"/>
      <c r="AO1395" s="125"/>
      <c r="AP1395" s="16"/>
      <c r="AQ1395" s="125"/>
      <c r="AZ1395" s="125"/>
      <c r="BA1395" s="142"/>
      <c r="BB1395" s="125"/>
      <c r="BC1395" s="16"/>
      <c r="BD1395" s="125"/>
      <c r="BE1395" s="125"/>
      <c r="BF1395" s="16"/>
      <c r="BG1395" s="125"/>
      <c r="BQ1395" s="125"/>
      <c r="BR1395" s="16"/>
      <c r="BS1395" s="123"/>
      <c r="BT1395" s="19"/>
      <c r="BU1395" s="139"/>
      <c r="BV1395" s="139"/>
      <c r="BW1395" s="123"/>
      <c r="BX1395" s="123"/>
      <c r="BY1395" s="123"/>
      <c r="BZ1395" s="123"/>
      <c r="CA1395" s="123"/>
      <c r="CB1395" s="123"/>
      <c r="CC1395" s="6"/>
      <c r="CD1395" s="123"/>
      <c r="CE1395" s="6"/>
      <c r="CF1395" s="123"/>
      <c r="CG1395" s="6"/>
      <c r="CH1395" s="6"/>
      <c r="CI1395" s="6"/>
      <c r="CJ1395" s="6"/>
      <c r="CK1395" s="123"/>
      <c r="CL1395" s="6"/>
      <c r="CM1395" s="6"/>
      <c r="CN1395" s="6"/>
      <c r="CO1395" s="138"/>
      <c r="CP1395" s="138"/>
      <c r="CQ1395" s="123"/>
      <c r="CR1395" s="6"/>
      <c r="CS1395" s="6"/>
      <c r="CT1395" s="139"/>
      <c r="CU1395" s="139"/>
      <c r="CV1395" s="76"/>
      <c r="CW1395" s="123"/>
      <c r="CX1395" s="6"/>
      <c r="DI1395" s="125"/>
      <c r="DJ1395" s="16"/>
      <c r="DM1395" s="16"/>
      <c r="DN1395" s="16"/>
      <c r="DO1395" s="125"/>
      <c r="DP1395" s="16"/>
      <c r="DQ1395" s="125"/>
      <c r="DZ1395" s="125"/>
      <c r="EA1395" s="142"/>
      <c r="EB1395" s="125"/>
      <c r="EC1395" s="16"/>
      <c r="ED1395" s="125"/>
      <c r="EE1395" s="125"/>
      <c r="EF1395" s="16"/>
      <c r="EG1395" s="125"/>
      <c r="EQ1395" s="125"/>
      <c r="ER1395" s="16"/>
      <c r="ES1395" s="123"/>
      <c r="ET1395" s="19"/>
      <c r="EU1395" s="139"/>
      <c r="EV1395" s="139"/>
      <c r="EW1395" s="123"/>
      <c r="EX1395" s="123"/>
      <c r="EY1395" s="123"/>
      <c r="EZ1395" s="123"/>
      <c r="FA1395" s="123"/>
      <c r="FB1395" s="123"/>
      <c r="FC1395" s="6"/>
      <c r="FD1395" s="123"/>
      <c r="FE1395" s="6"/>
      <c r="FF1395" s="123"/>
      <c r="FG1395" s="6"/>
      <c r="FH1395" s="6"/>
      <c r="FI1395" s="6"/>
      <c r="FJ1395" s="6"/>
      <c r="FK1395" s="123"/>
      <c r="FL1395" s="6"/>
      <c r="FM1395" s="6"/>
      <c r="FN1395" s="6"/>
      <c r="FO1395" s="138"/>
      <c r="FP1395" s="138"/>
      <c r="FQ1395" s="123"/>
      <c r="FR1395" s="6"/>
      <c r="FS1395" s="6"/>
      <c r="FT1395" s="139"/>
      <c r="FU1395" s="139"/>
      <c r="FV1395" s="76"/>
      <c r="FW1395" s="123"/>
      <c r="FX1395" s="6"/>
    </row>
    <row r="1396" spans="35:180">
      <c r="AI1396" s="125"/>
      <c r="AJ1396" s="16"/>
      <c r="AM1396" s="16"/>
      <c r="AN1396" s="16"/>
      <c r="AO1396" s="125"/>
      <c r="AP1396" s="16"/>
      <c r="AQ1396" s="125"/>
      <c r="AZ1396" s="125"/>
      <c r="BA1396" s="142"/>
      <c r="BB1396" s="125"/>
      <c r="BC1396" s="16"/>
      <c r="BD1396" s="125"/>
      <c r="BE1396" s="125"/>
      <c r="BF1396" s="16"/>
      <c r="BG1396" s="125"/>
      <c r="BQ1396" s="125"/>
      <c r="BR1396" s="16"/>
      <c r="BS1396" s="123"/>
      <c r="BT1396" s="19"/>
      <c r="BU1396" s="139"/>
      <c r="BV1396" s="139"/>
      <c r="BW1396" s="123"/>
      <c r="BX1396" s="123"/>
      <c r="BY1396" s="123"/>
      <c r="BZ1396" s="123"/>
      <c r="CA1396" s="123"/>
      <c r="CB1396" s="123"/>
      <c r="CC1396" s="6"/>
      <c r="CD1396" s="123"/>
      <c r="CE1396" s="6"/>
      <c r="CF1396" s="123"/>
      <c r="CG1396" s="6"/>
      <c r="CH1396" s="6"/>
      <c r="CI1396" s="6"/>
      <c r="CJ1396" s="6"/>
      <c r="CK1396" s="123"/>
      <c r="CL1396" s="6"/>
      <c r="CM1396" s="6"/>
      <c r="CN1396" s="6"/>
      <c r="CO1396" s="138"/>
      <c r="CP1396" s="138"/>
      <c r="CQ1396" s="123"/>
      <c r="CR1396" s="6"/>
      <c r="CS1396" s="6"/>
      <c r="CT1396" s="139"/>
      <c r="CU1396" s="139"/>
      <c r="CV1396" s="76"/>
      <c r="CW1396" s="123"/>
      <c r="CX1396" s="6"/>
      <c r="DI1396" s="125"/>
      <c r="DJ1396" s="16"/>
      <c r="DM1396" s="16"/>
      <c r="DN1396" s="16"/>
      <c r="DO1396" s="125"/>
      <c r="DP1396" s="16"/>
      <c r="DQ1396" s="125"/>
      <c r="DZ1396" s="125"/>
      <c r="EA1396" s="142"/>
      <c r="EB1396" s="125"/>
      <c r="EC1396" s="16"/>
      <c r="ED1396" s="125"/>
      <c r="EE1396" s="125"/>
      <c r="EF1396" s="16"/>
      <c r="EG1396" s="125"/>
      <c r="EQ1396" s="125"/>
      <c r="ER1396" s="16"/>
      <c r="ES1396" s="123"/>
      <c r="ET1396" s="19"/>
      <c r="EU1396" s="139"/>
      <c r="EV1396" s="139"/>
      <c r="EW1396" s="123"/>
      <c r="EX1396" s="123"/>
      <c r="EY1396" s="123"/>
      <c r="EZ1396" s="123"/>
      <c r="FA1396" s="123"/>
      <c r="FB1396" s="123"/>
      <c r="FC1396" s="6"/>
      <c r="FD1396" s="123"/>
      <c r="FE1396" s="6"/>
      <c r="FF1396" s="123"/>
      <c r="FG1396" s="6"/>
      <c r="FH1396" s="6"/>
      <c r="FI1396" s="6"/>
      <c r="FJ1396" s="6"/>
      <c r="FK1396" s="123"/>
      <c r="FL1396" s="6"/>
      <c r="FM1396" s="6"/>
      <c r="FN1396" s="6"/>
      <c r="FO1396" s="138"/>
      <c r="FP1396" s="138"/>
      <c r="FQ1396" s="123"/>
      <c r="FR1396" s="6"/>
      <c r="FS1396" s="6"/>
      <c r="FT1396" s="139"/>
      <c r="FU1396" s="139"/>
      <c r="FV1396" s="76"/>
      <c r="FW1396" s="123"/>
      <c r="FX1396" s="6"/>
    </row>
    <row r="1397" spans="35:180">
      <c r="AI1397" s="125"/>
      <c r="AJ1397" s="16"/>
      <c r="AM1397" s="16"/>
      <c r="AN1397" s="16"/>
      <c r="AO1397" s="125"/>
      <c r="AP1397" s="16"/>
      <c r="AQ1397" s="125"/>
      <c r="AZ1397" s="125"/>
      <c r="BA1397" s="142"/>
      <c r="BB1397" s="125"/>
      <c r="BC1397" s="16"/>
      <c r="BD1397" s="125"/>
      <c r="BE1397" s="125"/>
      <c r="BF1397" s="16"/>
      <c r="BG1397" s="125"/>
      <c r="BQ1397" s="125"/>
      <c r="BR1397" s="16"/>
      <c r="BS1397" s="123"/>
      <c r="BT1397" s="19"/>
      <c r="BU1397" s="139"/>
      <c r="BV1397" s="139"/>
      <c r="BW1397" s="123"/>
      <c r="BX1397" s="123"/>
      <c r="BY1397" s="123"/>
      <c r="BZ1397" s="123"/>
      <c r="CA1397" s="123"/>
      <c r="CB1397" s="123"/>
      <c r="CC1397" s="6"/>
      <c r="CD1397" s="123"/>
      <c r="CE1397" s="6"/>
      <c r="CF1397" s="123"/>
      <c r="CG1397" s="6"/>
      <c r="CH1397" s="6"/>
      <c r="CI1397" s="6"/>
      <c r="CJ1397" s="6"/>
      <c r="CK1397" s="123"/>
      <c r="CL1397" s="6"/>
      <c r="CM1397" s="6"/>
      <c r="CN1397" s="6"/>
      <c r="CO1397" s="138"/>
      <c r="CP1397" s="138"/>
      <c r="CQ1397" s="123"/>
      <c r="CR1397" s="6"/>
      <c r="CS1397" s="6"/>
      <c r="CT1397" s="139"/>
      <c r="CU1397" s="139"/>
      <c r="CV1397" s="76"/>
      <c r="CW1397" s="123"/>
      <c r="CX1397" s="6"/>
      <c r="DI1397" s="125"/>
      <c r="DJ1397" s="16"/>
      <c r="DM1397" s="16"/>
      <c r="DN1397" s="16"/>
      <c r="DO1397" s="125"/>
      <c r="DP1397" s="16"/>
      <c r="DQ1397" s="125"/>
      <c r="DZ1397" s="125"/>
      <c r="EA1397" s="142"/>
      <c r="EB1397" s="125"/>
      <c r="EC1397" s="16"/>
      <c r="ED1397" s="125"/>
      <c r="EE1397" s="125"/>
      <c r="EF1397" s="16"/>
      <c r="EG1397" s="125"/>
      <c r="EQ1397" s="125"/>
      <c r="ER1397" s="16"/>
      <c r="ES1397" s="123"/>
      <c r="ET1397" s="19"/>
      <c r="EU1397" s="139"/>
      <c r="EV1397" s="139"/>
      <c r="EW1397" s="123"/>
      <c r="EX1397" s="123"/>
      <c r="EY1397" s="123"/>
      <c r="EZ1397" s="123"/>
      <c r="FA1397" s="123"/>
      <c r="FB1397" s="123"/>
      <c r="FC1397" s="6"/>
      <c r="FD1397" s="123"/>
      <c r="FE1397" s="6"/>
      <c r="FF1397" s="123"/>
      <c r="FG1397" s="6"/>
      <c r="FH1397" s="6"/>
      <c r="FI1397" s="6"/>
      <c r="FJ1397" s="6"/>
      <c r="FK1397" s="123"/>
      <c r="FL1397" s="6"/>
      <c r="FM1397" s="6"/>
      <c r="FN1397" s="6"/>
      <c r="FO1397" s="138"/>
      <c r="FP1397" s="138"/>
      <c r="FQ1397" s="123"/>
      <c r="FR1397" s="6"/>
      <c r="FS1397" s="6"/>
      <c r="FT1397" s="139"/>
      <c r="FU1397" s="139"/>
      <c r="FV1397" s="76"/>
      <c r="FW1397" s="123"/>
      <c r="FX1397" s="6"/>
    </row>
    <row r="1398" spans="35:180">
      <c r="AI1398" s="125"/>
      <c r="AJ1398" s="16"/>
      <c r="AM1398" s="16"/>
      <c r="AN1398" s="16"/>
      <c r="AO1398" s="125"/>
      <c r="AP1398" s="16"/>
      <c r="AQ1398" s="125"/>
      <c r="AZ1398" s="125"/>
      <c r="BA1398" s="142"/>
      <c r="BB1398" s="125"/>
      <c r="BC1398" s="16"/>
      <c r="BD1398" s="125"/>
      <c r="BE1398" s="125"/>
      <c r="BF1398" s="16"/>
      <c r="BG1398" s="125"/>
      <c r="BQ1398" s="125"/>
      <c r="BR1398" s="16"/>
      <c r="BS1398" s="123"/>
      <c r="BT1398" s="19"/>
      <c r="BU1398" s="139"/>
      <c r="BV1398" s="139"/>
      <c r="BW1398" s="123"/>
      <c r="BX1398" s="123"/>
      <c r="BY1398" s="123"/>
      <c r="BZ1398" s="123"/>
      <c r="CA1398" s="123"/>
      <c r="CB1398" s="123"/>
      <c r="CC1398" s="6"/>
      <c r="CD1398" s="123"/>
      <c r="CE1398" s="6"/>
      <c r="CF1398" s="123"/>
      <c r="CG1398" s="6"/>
      <c r="CH1398" s="6"/>
      <c r="CI1398" s="6"/>
      <c r="CJ1398" s="6"/>
      <c r="CK1398" s="123"/>
      <c r="CL1398" s="6"/>
      <c r="CM1398" s="6"/>
      <c r="CN1398" s="6"/>
      <c r="CO1398" s="138"/>
      <c r="CP1398" s="138"/>
      <c r="CQ1398" s="123"/>
      <c r="CR1398" s="6"/>
      <c r="CS1398" s="6"/>
      <c r="CT1398" s="139"/>
      <c r="CU1398" s="139"/>
      <c r="CV1398" s="76"/>
      <c r="CW1398" s="123"/>
      <c r="CX1398" s="6"/>
      <c r="DI1398" s="125"/>
      <c r="DJ1398" s="16"/>
      <c r="DM1398" s="16"/>
      <c r="DN1398" s="16"/>
      <c r="DO1398" s="125"/>
      <c r="DP1398" s="16"/>
      <c r="DQ1398" s="125"/>
      <c r="DZ1398" s="125"/>
      <c r="EA1398" s="142"/>
      <c r="EB1398" s="125"/>
      <c r="EC1398" s="16"/>
      <c r="ED1398" s="125"/>
      <c r="EE1398" s="125"/>
      <c r="EF1398" s="16"/>
      <c r="EG1398" s="125"/>
      <c r="EQ1398" s="125"/>
      <c r="ER1398" s="16"/>
      <c r="ES1398" s="123"/>
      <c r="ET1398" s="19"/>
      <c r="EU1398" s="139"/>
      <c r="EV1398" s="139"/>
      <c r="EW1398" s="123"/>
      <c r="EX1398" s="123"/>
      <c r="EY1398" s="123"/>
      <c r="EZ1398" s="123"/>
      <c r="FA1398" s="123"/>
      <c r="FB1398" s="123"/>
      <c r="FC1398" s="6"/>
      <c r="FD1398" s="123"/>
      <c r="FE1398" s="6"/>
      <c r="FF1398" s="123"/>
      <c r="FG1398" s="6"/>
      <c r="FH1398" s="6"/>
      <c r="FI1398" s="6"/>
      <c r="FJ1398" s="6"/>
      <c r="FK1398" s="123"/>
      <c r="FL1398" s="6"/>
      <c r="FM1398" s="6"/>
      <c r="FN1398" s="6"/>
      <c r="FO1398" s="138"/>
      <c r="FP1398" s="138"/>
      <c r="FQ1398" s="123"/>
      <c r="FR1398" s="6"/>
      <c r="FS1398" s="6"/>
      <c r="FT1398" s="139"/>
      <c r="FU1398" s="139"/>
      <c r="FV1398" s="76"/>
      <c r="FW1398" s="123"/>
      <c r="FX1398" s="6"/>
    </row>
    <row r="1399" spans="35:180">
      <c r="AI1399" s="125"/>
      <c r="AJ1399" s="16"/>
      <c r="AM1399" s="16"/>
      <c r="AN1399" s="16"/>
      <c r="AO1399" s="125"/>
      <c r="AP1399" s="16"/>
      <c r="AQ1399" s="125"/>
      <c r="AZ1399" s="125"/>
      <c r="BA1399" s="142"/>
      <c r="BB1399" s="125"/>
      <c r="BC1399" s="16"/>
      <c r="BD1399" s="125"/>
      <c r="BE1399" s="125"/>
      <c r="BF1399" s="16"/>
      <c r="BG1399" s="125"/>
      <c r="BQ1399" s="125"/>
      <c r="BR1399" s="16"/>
      <c r="BS1399" s="123"/>
      <c r="BT1399" s="19"/>
      <c r="BU1399" s="139"/>
      <c r="BV1399" s="139"/>
      <c r="BW1399" s="123"/>
      <c r="BX1399" s="123"/>
      <c r="BY1399" s="123"/>
      <c r="BZ1399" s="123"/>
      <c r="CA1399" s="123"/>
      <c r="CB1399" s="123"/>
      <c r="CC1399" s="6"/>
      <c r="CD1399" s="123"/>
      <c r="CE1399" s="6"/>
      <c r="CF1399" s="123"/>
      <c r="CG1399" s="6"/>
      <c r="CH1399" s="6"/>
      <c r="CI1399" s="6"/>
      <c r="CJ1399" s="6"/>
      <c r="CK1399" s="123"/>
      <c r="CL1399" s="6"/>
      <c r="CM1399" s="6"/>
      <c r="CN1399" s="6"/>
      <c r="CO1399" s="138"/>
      <c r="CP1399" s="138"/>
      <c r="CQ1399" s="123"/>
      <c r="CR1399" s="6"/>
      <c r="CS1399" s="6"/>
      <c r="CT1399" s="139"/>
      <c r="CU1399" s="139"/>
      <c r="CV1399" s="76"/>
      <c r="CW1399" s="123"/>
      <c r="CX1399" s="6"/>
      <c r="DI1399" s="125"/>
      <c r="DJ1399" s="16"/>
      <c r="DM1399" s="16"/>
      <c r="DN1399" s="16"/>
      <c r="DO1399" s="125"/>
      <c r="DP1399" s="16"/>
      <c r="DQ1399" s="125"/>
      <c r="DZ1399" s="125"/>
      <c r="EA1399" s="142"/>
      <c r="EB1399" s="125"/>
      <c r="EC1399" s="16"/>
      <c r="ED1399" s="125"/>
      <c r="EE1399" s="125"/>
      <c r="EF1399" s="16"/>
      <c r="EG1399" s="125"/>
      <c r="EQ1399" s="125"/>
      <c r="ER1399" s="16"/>
      <c r="ES1399" s="123"/>
      <c r="ET1399" s="19"/>
      <c r="EU1399" s="139"/>
      <c r="EV1399" s="139"/>
      <c r="EW1399" s="123"/>
      <c r="EX1399" s="123"/>
      <c r="EY1399" s="123"/>
      <c r="EZ1399" s="123"/>
      <c r="FA1399" s="123"/>
      <c r="FB1399" s="123"/>
      <c r="FC1399" s="6"/>
      <c r="FD1399" s="123"/>
      <c r="FE1399" s="6"/>
      <c r="FF1399" s="123"/>
      <c r="FG1399" s="6"/>
      <c r="FH1399" s="6"/>
      <c r="FI1399" s="6"/>
      <c r="FJ1399" s="6"/>
      <c r="FK1399" s="123"/>
      <c r="FL1399" s="6"/>
      <c r="FM1399" s="6"/>
      <c r="FN1399" s="6"/>
      <c r="FO1399" s="138"/>
      <c r="FP1399" s="138"/>
      <c r="FQ1399" s="123"/>
      <c r="FR1399" s="6"/>
      <c r="FS1399" s="6"/>
      <c r="FT1399" s="139"/>
      <c r="FU1399" s="139"/>
      <c r="FV1399" s="76"/>
      <c r="FW1399" s="123"/>
      <c r="FX1399" s="6"/>
    </row>
    <row r="1400" spans="35:180">
      <c r="AI1400" s="125"/>
      <c r="AJ1400" s="16"/>
      <c r="AM1400" s="16"/>
      <c r="AN1400" s="16"/>
      <c r="AO1400" s="125"/>
      <c r="AP1400" s="16"/>
      <c r="AQ1400" s="125"/>
      <c r="AZ1400" s="125"/>
      <c r="BA1400" s="142"/>
      <c r="BB1400" s="125"/>
      <c r="BC1400" s="16"/>
      <c r="BD1400" s="125"/>
      <c r="BE1400" s="125"/>
      <c r="BF1400" s="16"/>
      <c r="BG1400" s="125"/>
      <c r="BQ1400" s="125"/>
      <c r="BR1400" s="16"/>
      <c r="BS1400" s="123"/>
      <c r="BT1400" s="19"/>
      <c r="BU1400" s="139"/>
      <c r="BV1400" s="139"/>
      <c r="BW1400" s="123"/>
      <c r="BX1400" s="123"/>
      <c r="BY1400" s="123"/>
      <c r="BZ1400" s="123"/>
      <c r="CA1400" s="123"/>
      <c r="CB1400" s="123"/>
      <c r="CC1400" s="6"/>
      <c r="CD1400" s="123"/>
      <c r="CE1400" s="6"/>
      <c r="CF1400" s="123"/>
      <c r="CG1400" s="6"/>
      <c r="CH1400" s="6"/>
      <c r="CI1400" s="6"/>
      <c r="CJ1400" s="6"/>
      <c r="CK1400" s="123"/>
      <c r="CL1400" s="6"/>
      <c r="CM1400" s="6"/>
      <c r="CN1400" s="6"/>
      <c r="CO1400" s="138"/>
      <c r="CP1400" s="138"/>
      <c r="CQ1400" s="123"/>
      <c r="CR1400" s="6"/>
      <c r="CS1400" s="6"/>
      <c r="CT1400" s="139"/>
      <c r="CU1400" s="139"/>
      <c r="CV1400" s="76"/>
      <c r="CW1400" s="123"/>
      <c r="CX1400" s="6"/>
      <c r="DI1400" s="125"/>
      <c r="DJ1400" s="16"/>
      <c r="DM1400" s="16"/>
      <c r="DN1400" s="16"/>
      <c r="DO1400" s="125"/>
      <c r="DP1400" s="16"/>
      <c r="DQ1400" s="125"/>
      <c r="DZ1400" s="125"/>
      <c r="EA1400" s="142"/>
      <c r="EB1400" s="125"/>
      <c r="EC1400" s="16"/>
      <c r="ED1400" s="125"/>
      <c r="EE1400" s="125"/>
      <c r="EF1400" s="16"/>
      <c r="EG1400" s="125"/>
      <c r="EQ1400" s="125"/>
      <c r="ER1400" s="16"/>
      <c r="ES1400" s="123"/>
      <c r="ET1400" s="19"/>
      <c r="EU1400" s="139"/>
      <c r="EV1400" s="139"/>
      <c r="EW1400" s="123"/>
      <c r="EX1400" s="123"/>
      <c r="EY1400" s="123"/>
      <c r="EZ1400" s="123"/>
      <c r="FA1400" s="123"/>
      <c r="FB1400" s="123"/>
      <c r="FC1400" s="6"/>
      <c r="FD1400" s="123"/>
      <c r="FE1400" s="6"/>
      <c r="FF1400" s="123"/>
      <c r="FG1400" s="6"/>
      <c r="FH1400" s="6"/>
      <c r="FI1400" s="6"/>
      <c r="FJ1400" s="6"/>
      <c r="FK1400" s="123"/>
      <c r="FL1400" s="6"/>
      <c r="FM1400" s="6"/>
      <c r="FN1400" s="6"/>
      <c r="FO1400" s="138"/>
      <c r="FP1400" s="138"/>
      <c r="FQ1400" s="123"/>
      <c r="FR1400" s="6"/>
      <c r="FS1400" s="6"/>
      <c r="FT1400" s="139"/>
      <c r="FU1400" s="139"/>
      <c r="FV1400" s="76"/>
      <c r="FW1400" s="123"/>
      <c r="FX1400" s="6"/>
    </row>
    <row r="1401" spans="35:180">
      <c r="AI1401" s="125"/>
      <c r="AJ1401" s="16"/>
      <c r="AM1401" s="16"/>
      <c r="AN1401" s="16"/>
      <c r="AO1401" s="125"/>
      <c r="AP1401" s="16"/>
      <c r="AQ1401" s="125"/>
      <c r="AZ1401" s="125"/>
      <c r="BA1401" s="142"/>
      <c r="BB1401" s="125"/>
      <c r="BC1401" s="16"/>
      <c r="BD1401" s="125"/>
      <c r="BE1401" s="125"/>
      <c r="BF1401" s="16"/>
      <c r="BG1401" s="125"/>
      <c r="BQ1401" s="125"/>
      <c r="BR1401" s="16"/>
      <c r="BS1401" s="123"/>
      <c r="BT1401" s="19"/>
      <c r="BU1401" s="139"/>
      <c r="BV1401" s="139"/>
      <c r="BW1401" s="123"/>
      <c r="BX1401" s="123"/>
      <c r="BY1401" s="123"/>
      <c r="BZ1401" s="123"/>
      <c r="CA1401" s="123"/>
      <c r="CB1401" s="123"/>
      <c r="CC1401" s="6"/>
      <c r="CD1401" s="123"/>
      <c r="CE1401" s="6"/>
      <c r="CF1401" s="123"/>
      <c r="CG1401" s="6"/>
      <c r="CH1401" s="6"/>
      <c r="CI1401" s="6"/>
      <c r="CJ1401" s="6"/>
      <c r="CK1401" s="123"/>
      <c r="CL1401" s="6"/>
      <c r="CM1401" s="6"/>
      <c r="CN1401" s="6"/>
      <c r="CO1401" s="138"/>
      <c r="CP1401" s="138"/>
      <c r="CQ1401" s="123"/>
      <c r="CR1401" s="6"/>
      <c r="CS1401" s="6"/>
      <c r="CT1401" s="139"/>
      <c r="CU1401" s="139"/>
      <c r="CV1401" s="76"/>
      <c r="CW1401" s="123"/>
      <c r="CX1401" s="6"/>
      <c r="DI1401" s="125"/>
      <c r="DJ1401" s="16"/>
      <c r="DM1401" s="16"/>
      <c r="DN1401" s="16"/>
      <c r="DO1401" s="125"/>
      <c r="DP1401" s="16"/>
      <c r="DQ1401" s="125"/>
      <c r="DZ1401" s="125"/>
      <c r="EA1401" s="142"/>
      <c r="EB1401" s="125"/>
      <c r="EC1401" s="16"/>
      <c r="ED1401" s="125"/>
      <c r="EE1401" s="125"/>
      <c r="EF1401" s="16"/>
      <c r="EG1401" s="125"/>
      <c r="EQ1401" s="125"/>
      <c r="ER1401" s="16"/>
      <c r="ES1401" s="123"/>
      <c r="ET1401" s="19"/>
      <c r="EU1401" s="139"/>
      <c r="EV1401" s="139"/>
      <c r="EW1401" s="123"/>
      <c r="EX1401" s="123"/>
      <c r="EY1401" s="123"/>
      <c r="EZ1401" s="123"/>
      <c r="FA1401" s="123"/>
      <c r="FB1401" s="123"/>
      <c r="FC1401" s="6"/>
      <c r="FD1401" s="123"/>
      <c r="FE1401" s="6"/>
      <c r="FF1401" s="123"/>
      <c r="FG1401" s="6"/>
      <c r="FH1401" s="6"/>
      <c r="FI1401" s="6"/>
      <c r="FJ1401" s="6"/>
      <c r="FK1401" s="123"/>
      <c r="FL1401" s="6"/>
      <c r="FM1401" s="6"/>
      <c r="FN1401" s="6"/>
      <c r="FO1401" s="138"/>
      <c r="FP1401" s="138"/>
      <c r="FQ1401" s="123"/>
      <c r="FR1401" s="6"/>
      <c r="FS1401" s="6"/>
      <c r="FT1401" s="139"/>
      <c r="FU1401" s="139"/>
      <c r="FV1401" s="76"/>
      <c r="FW1401" s="123"/>
      <c r="FX1401" s="6"/>
    </row>
    <row r="1402" spans="35:180">
      <c r="AI1402" s="125"/>
      <c r="AJ1402" s="16"/>
      <c r="AM1402" s="16"/>
      <c r="AN1402" s="16"/>
      <c r="AO1402" s="125"/>
      <c r="AP1402" s="16"/>
      <c r="AQ1402" s="125"/>
      <c r="AZ1402" s="125"/>
      <c r="BA1402" s="142"/>
      <c r="BB1402" s="125"/>
      <c r="BC1402" s="16"/>
      <c r="BD1402" s="125"/>
      <c r="BE1402" s="125"/>
      <c r="BF1402" s="16"/>
      <c r="BG1402" s="125"/>
      <c r="BQ1402" s="125"/>
      <c r="BR1402" s="16"/>
      <c r="BS1402" s="123"/>
      <c r="BT1402" s="19"/>
      <c r="BU1402" s="139"/>
      <c r="BV1402" s="139"/>
      <c r="BW1402" s="123"/>
      <c r="BX1402" s="123"/>
      <c r="BY1402" s="123"/>
      <c r="BZ1402" s="123"/>
      <c r="CA1402" s="123"/>
      <c r="CB1402" s="123"/>
      <c r="CC1402" s="6"/>
      <c r="CD1402" s="123"/>
      <c r="CE1402" s="6"/>
      <c r="CF1402" s="123"/>
      <c r="CG1402" s="6"/>
      <c r="CH1402" s="6"/>
      <c r="CI1402" s="6"/>
      <c r="CJ1402" s="6"/>
      <c r="CK1402" s="123"/>
      <c r="CL1402" s="6"/>
      <c r="CM1402" s="6"/>
      <c r="CN1402" s="6"/>
      <c r="CO1402" s="138"/>
      <c r="CP1402" s="138"/>
      <c r="CQ1402" s="123"/>
      <c r="CR1402" s="6"/>
      <c r="CS1402" s="6"/>
      <c r="CT1402" s="139"/>
      <c r="CU1402" s="139"/>
      <c r="CV1402" s="76"/>
      <c r="CW1402" s="123"/>
      <c r="CX1402" s="6"/>
      <c r="DI1402" s="125"/>
      <c r="DJ1402" s="16"/>
      <c r="DM1402" s="16"/>
      <c r="DN1402" s="16"/>
      <c r="DO1402" s="125"/>
      <c r="DP1402" s="16"/>
      <c r="DQ1402" s="125"/>
      <c r="DZ1402" s="125"/>
      <c r="EA1402" s="142"/>
      <c r="EB1402" s="125"/>
      <c r="EC1402" s="16"/>
      <c r="ED1402" s="125"/>
      <c r="EE1402" s="125"/>
      <c r="EF1402" s="16"/>
      <c r="EG1402" s="125"/>
      <c r="EQ1402" s="125"/>
      <c r="ER1402" s="16"/>
      <c r="ES1402" s="123"/>
      <c r="ET1402" s="19"/>
      <c r="EU1402" s="139"/>
      <c r="EV1402" s="139"/>
      <c r="EW1402" s="123"/>
      <c r="EX1402" s="123"/>
      <c r="EY1402" s="123"/>
      <c r="EZ1402" s="123"/>
      <c r="FA1402" s="123"/>
      <c r="FB1402" s="123"/>
      <c r="FC1402" s="6"/>
      <c r="FD1402" s="123"/>
      <c r="FE1402" s="6"/>
      <c r="FF1402" s="123"/>
      <c r="FG1402" s="6"/>
      <c r="FH1402" s="6"/>
      <c r="FI1402" s="6"/>
      <c r="FJ1402" s="6"/>
      <c r="FK1402" s="123"/>
      <c r="FL1402" s="6"/>
      <c r="FM1402" s="6"/>
      <c r="FN1402" s="6"/>
      <c r="FO1402" s="138"/>
      <c r="FP1402" s="138"/>
      <c r="FQ1402" s="123"/>
      <c r="FR1402" s="6"/>
      <c r="FS1402" s="6"/>
      <c r="FT1402" s="139"/>
      <c r="FU1402" s="139"/>
      <c r="FV1402" s="76"/>
      <c r="FW1402" s="123"/>
      <c r="FX1402" s="6"/>
    </row>
    <row r="1403" spans="35:180">
      <c r="AI1403" s="125"/>
      <c r="AJ1403" s="16"/>
      <c r="AM1403" s="16"/>
      <c r="AN1403" s="16"/>
      <c r="AO1403" s="125"/>
      <c r="AP1403" s="16"/>
      <c r="AQ1403" s="125"/>
      <c r="AZ1403" s="125"/>
      <c r="BA1403" s="142"/>
      <c r="BB1403" s="125"/>
      <c r="BC1403" s="16"/>
      <c r="BD1403" s="125"/>
      <c r="BE1403" s="125"/>
      <c r="BF1403" s="16"/>
      <c r="BG1403" s="125"/>
      <c r="BQ1403" s="125"/>
      <c r="BR1403" s="16"/>
      <c r="BS1403" s="123"/>
      <c r="BT1403" s="19"/>
      <c r="BU1403" s="139"/>
      <c r="BV1403" s="139"/>
      <c r="BW1403" s="123"/>
      <c r="BX1403" s="123"/>
      <c r="BY1403" s="123"/>
      <c r="BZ1403" s="123"/>
      <c r="CA1403" s="123"/>
      <c r="CB1403" s="123"/>
      <c r="CC1403" s="6"/>
      <c r="CD1403" s="123"/>
      <c r="CE1403" s="6"/>
      <c r="CF1403" s="123"/>
      <c r="CG1403" s="6"/>
      <c r="CH1403" s="6"/>
      <c r="CI1403" s="6"/>
      <c r="CJ1403" s="6"/>
      <c r="CK1403" s="123"/>
      <c r="CL1403" s="6"/>
      <c r="CM1403" s="6"/>
      <c r="CN1403" s="6"/>
      <c r="CO1403" s="138"/>
      <c r="CP1403" s="138"/>
      <c r="CQ1403" s="123"/>
      <c r="CR1403" s="6"/>
      <c r="CS1403" s="6"/>
      <c r="CT1403" s="139"/>
      <c r="CU1403" s="139"/>
      <c r="CV1403" s="76"/>
      <c r="CW1403" s="123"/>
      <c r="CX1403" s="6"/>
      <c r="DI1403" s="125"/>
      <c r="DJ1403" s="16"/>
      <c r="DM1403" s="16"/>
      <c r="DN1403" s="16"/>
      <c r="DO1403" s="125"/>
      <c r="DP1403" s="16"/>
      <c r="DQ1403" s="125"/>
      <c r="DZ1403" s="125"/>
      <c r="EA1403" s="142"/>
      <c r="EB1403" s="125"/>
      <c r="EC1403" s="16"/>
      <c r="ED1403" s="125"/>
      <c r="EE1403" s="125"/>
      <c r="EF1403" s="16"/>
      <c r="EG1403" s="125"/>
      <c r="EQ1403" s="125"/>
      <c r="ER1403" s="16"/>
      <c r="ES1403" s="123"/>
      <c r="ET1403" s="19"/>
      <c r="EU1403" s="139"/>
      <c r="EV1403" s="139"/>
      <c r="EW1403" s="123"/>
      <c r="EX1403" s="123"/>
      <c r="EY1403" s="123"/>
      <c r="EZ1403" s="123"/>
      <c r="FA1403" s="123"/>
      <c r="FB1403" s="123"/>
      <c r="FC1403" s="6"/>
      <c r="FD1403" s="123"/>
      <c r="FE1403" s="6"/>
      <c r="FF1403" s="123"/>
      <c r="FG1403" s="6"/>
      <c r="FH1403" s="6"/>
      <c r="FI1403" s="6"/>
      <c r="FJ1403" s="6"/>
      <c r="FK1403" s="123"/>
      <c r="FL1403" s="6"/>
      <c r="FM1403" s="6"/>
      <c r="FN1403" s="6"/>
      <c r="FO1403" s="138"/>
      <c r="FP1403" s="138"/>
      <c r="FQ1403" s="123"/>
      <c r="FR1403" s="6"/>
      <c r="FS1403" s="6"/>
      <c r="FT1403" s="139"/>
      <c r="FU1403" s="139"/>
      <c r="FV1403" s="76"/>
      <c r="FW1403" s="123"/>
      <c r="FX1403" s="6"/>
    </row>
    <row r="1404" spans="35:180">
      <c r="AI1404" s="125"/>
      <c r="AJ1404" s="16"/>
      <c r="AM1404" s="16"/>
      <c r="AN1404" s="16"/>
      <c r="AO1404" s="125"/>
      <c r="AP1404" s="16"/>
      <c r="AQ1404" s="125"/>
      <c r="AZ1404" s="125"/>
      <c r="BA1404" s="142"/>
      <c r="BB1404" s="125"/>
      <c r="BC1404" s="16"/>
      <c r="BD1404" s="125"/>
      <c r="BE1404" s="125"/>
      <c r="BF1404" s="16"/>
      <c r="BG1404" s="125"/>
      <c r="BQ1404" s="125"/>
      <c r="BR1404" s="16"/>
      <c r="BS1404" s="123"/>
      <c r="BT1404" s="19"/>
      <c r="BU1404" s="139"/>
      <c r="BV1404" s="139"/>
      <c r="BW1404" s="123"/>
      <c r="BX1404" s="123"/>
      <c r="BY1404" s="123"/>
      <c r="BZ1404" s="123"/>
      <c r="CA1404" s="123"/>
      <c r="CB1404" s="123"/>
      <c r="CC1404" s="6"/>
      <c r="CD1404" s="123"/>
      <c r="CE1404" s="6"/>
      <c r="CF1404" s="123"/>
      <c r="CG1404" s="6"/>
      <c r="CH1404" s="6"/>
      <c r="CI1404" s="6"/>
      <c r="CJ1404" s="6"/>
      <c r="CK1404" s="123"/>
      <c r="CL1404" s="6"/>
      <c r="CM1404" s="6"/>
      <c r="CN1404" s="6"/>
      <c r="CO1404" s="138"/>
      <c r="CP1404" s="138"/>
      <c r="CQ1404" s="123"/>
      <c r="CR1404" s="6"/>
      <c r="CS1404" s="6"/>
      <c r="CT1404" s="139"/>
      <c r="CU1404" s="139"/>
      <c r="CV1404" s="76"/>
      <c r="CW1404" s="123"/>
      <c r="CX1404" s="6"/>
      <c r="DI1404" s="125"/>
      <c r="DJ1404" s="16"/>
      <c r="DM1404" s="16"/>
      <c r="DN1404" s="16"/>
      <c r="DO1404" s="125"/>
      <c r="DP1404" s="16"/>
      <c r="DQ1404" s="125"/>
      <c r="DZ1404" s="125"/>
      <c r="EA1404" s="142"/>
      <c r="EB1404" s="125"/>
      <c r="EC1404" s="16"/>
      <c r="ED1404" s="125"/>
      <c r="EE1404" s="125"/>
      <c r="EF1404" s="16"/>
      <c r="EG1404" s="125"/>
      <c r="EQ1404" s="125"/>
      <c r="ER1404" s="16"/>
      <c r="ES1404" s="123"/>
      <c r="ET1404" s="19"/>
      <c r="EU1404" s="139"/>
      <c r="EV1404" s="139"/>
      <c r="EW1404" s="123"/>
      <c r="EX1404" s="123"/>
      <c r="EY1404" s="123"/>
      <c r="EZ1404" s="123"/>
      <c r="FA1404" s="123"/>
      <c r="FB1404" s="123"/>
      <c r="FC1404" s="6"/>
      <c r="FD1404" s="123"/>
      <c r="FE1404" s="6"/>
      <c r="FF1404" s="123"/>
      <c r="FG1404" s="6"/>
      <c r="FH1404" s="6"/>
      <c r="FI1404" s="6"/>
      <c r="FJ1404" s="6"/>
      <c r="FK1404" s="123"/>
      <c r="FL1404" s="6"/>
      <c r="FM1404" s="6"/>
      <c r="FN1404" s="6"/>
      <c r="FO1404" s="138"/>
      <c r="FP1404" s="138"/>
      <c r="FQ1404" s="123"/>
      <c r="FR1404" s="6"/>
      <c r="FS1404" s="6"/>
      <c r="FT1404" s="139"/>
      <c r="FU1404" s="139"/>
      <c r="FV1404" s="76"/>
      <c r="FW1404" s="123"/>
      <c r="FX1404" s="6"/>
    </row>
    <row r="1405" spans="35:180">
      <c r="AI1405" s="125"/>
      <c r="AJ1405" s="16"/>
      <c r="AM1405" s="16"/>
      <c r="AN1405" s="16"/>
      <c r="AO1405" s="125"/>
      <c r="AP1405" s="16"/>
      <c r="AQ1405" s="125"/>
      <c r="AZ1405" s="125"/>
      <c r="BA1405" s="142"/>
      <c r="BB1405" s="125"/>
      <c r="BC1405" s="16"/>
      <c r="BD1405" s="125"/>
      <c r="BE1405" s="125"/>
      <c r="BF1405" s="16"/>
      <c r="BG1405" s="125"/>
      <c r="BQ1405" s="125"/>
      <c r="BR1405" s="16"/>
      <c r="BS1405" s="123"/>
      <c r="BT1405" s="19"/>
      <c r="BU1405" s="139"/>
      <c r="BV1405" s="139"/>
      <c r="BW1405" s="123"/>
      <c r="BX1405" s="123"/>
      <c r="BY1405" s="123"/>
      <c r="BZ1405" s="123"/>
      <c r="CA1405" s="123"/>
      <c r="CB1405" s="123"/>
      <c r="CC1405" s="6"/>
      <c r="CD1405" s="123"/>
      <c r="CE1405" s="6"/>
      <c r="CF1405" s="123"/>
      <c r="CG1405" s="6"/>
      <c r="CH1405" s="6"/>
      <c r="CI1405" s="6"/>
      <c r="CJ1405" s="6"/>
      <c r="CK1405" s="123"/>
      <c r="CL1405" s="6"/>
      <c r="CM1405" s="6"/>
      <c r="CN1405" s="6"/>
      <c r="CO1405" s="138"/>
      <c r="CP1405" s="138"/>
      <c r="CQ1405" s="123"/>
      <c r="CR1405" s="6"/>
      <c r="CS1405" s="6"/>
      <c r="CT1405" s="139"/>
      <c r="CU1405" s="139"/>
      <c r="CV1405" s="76"/>
      <c r="CW1405" s="123"/>
      <c r="CX1405" s="6"/>
      <c r="DI1405" s="125"/>
      <c r="DJ1405" s="16"/>
      <c r="DM1405" s="16"/>
      <c r="DN1405" s="16"/>
      <c r="DO1405" s="125"/>
      <c r="DP1405" s="16"/>
      <c r="DQ1405" s="125"/>
      <c r="DZ1405" s="125"/>
      <c r="EA1405" s="142"/>
      <c r="EB1405" s="125"/>
      <c r="EC1405" s="16"/>
      <c r="ED1405" s="125"/>
      <c r="EE1405" s="125"/>
      <c r="EF1405" s="16"/>
      <c r="EG1405" s="125"/>
      <c r="EQ1405" s="125"/>
      <c r="ER1405" s="16"/>
      <c r="ES1405" s="123"/>
      <c r="ET1405" s="19"/>
      <c r="EU1405" s="139"/>
      <c r="EV1405" s="139"/>
      <c r="EW1405" s="123"/>
      <c r="EX1405" s="123"/>
      <c r="EY1405" s="123"/>
      <c r="EZ1405" s="123"/>
      <c r="FA1405" s="123"/>
      <c r="FB1405" s="123"/>
      <c r="FC1405" s="6"/>
      <c r="FD1405" s="123"/>
      <c r="FE1405" s="6"/>
      <c r="FF1405" s="123"/>
      <c r="FG1405" s="6"/>
      <c r="FH1405" s="6"/>
      <c r="FI1405" s="6"/>
      <c r="FJ1405" s="6"/>
      <c r="FK1405" s="123"/>
      <c r="FL1405" s="6"/>
      <c r="FM1405" s="6"/>
      <c r="FN1405" s="6"/>
      <c r="FO1405" s="138"/>
      <c r="FP1405" s="138"/>
      <c r="FQ1405" s="123"/>
      <c r="FR1405" s="6"/>
      <c r="FS1405" s="6"/>
      <c r="FT1405" s="139"/>
      <c r="FU1405" s="139"/>
      <c r="FV1405" s="76"/>
      <c r="FW1405" s="123"/>
      <c r="FX1405" s="6"/>
    </row>
    <row r="1406" spans="35:180">
      <c r="AI1406" s="125"/>
      <c r="AJ1406" s="16"/>
      <c r="AM1406" s="16"/>
      <c r="AN1406" s="16"/>
      <c r="AO1406" s="125"/>
      <c r="AP1406" s="16"/>
      <c r="AQ1406" s="125"/>
      <c r="AZ1406" s="125"/>
      <c r="BA1406" s="142"/>
      <c r="BB1406" s="125"/>
      <c r="BC1406" s="16"/>
      <c r="BD1406" s="125"/>
      <c r="BE1406" s="125"/>
      <c r="BF1406" s="16"/>
      <c r="BG1406" s="125"/>
      <c r="BQ1406" s="125"/>
      <c r="BR1406" s="16"/>
      <c r="BS1406" s="123"/>
      <c r="BT1406" s="19"/>
      <c r="BU1406" s="139"/>
      <c r="BV1406" s="139"/>
      <c r="BW1406" s="123"/>
      <c r="BX1406" s="123"/>
      <c r="BY1406" s="123"/>
      <c r="BZ1406" s="123"/>
      <c r="CA1406" s="123"/>
      <c r="CB1406" s="123"/>
      <c r="CC1406" s="6"/>
      <c r="CD1406" s="123"/>
      <c r="CE1406" s="6"/>
      <c r="CF1406" s="123"/>
      <c r="CG1406" s="6"/>
      <c r="CH1406" s="6"/>
      <c r="CI1406" s="6"/>
      <c r="CJ1406" s="6"/>
      <c r="CK1406" s="123"/>
      <c r="CL1406" s="6"/>
      <c r="CM1406" s="6"/>
      <c r="CN1406" s="6"/>
      <c r="CO1406" s="138"/>
      <c r="CP1406" s="138"/>
      <c r="CQ1406" s="123"/>
      <c r="CR1406" s="6"/>
      <c r="CS1406" s="6"/>
      <c r="CT1406" s="139"/>
      <c r="CU1406" s="139"/>
      <c r="CV1406" s="76"/>
      <c r="CW1406" s="123"/>
      <c r="CX1406" s="6"/>
      <c r="DI1406" s="125"/>
      <c r="DJ1406" s="16"/>
      <c r="DM1406" s="16"/>
      <c r="DN1406" s="16"/>
      <c r="DO1406" s="125"/>
      <c r="DP1406" s="16"/>
      <c r="DQ1406" s="125"/>
      <c r="DZ1406" s="125"/>
      <c r="EA1406" s="142"/>
      <c r="EB1406" s="125"/>
      <c r="EC1406" s="16"/>
      <c r="ED1406" s="125"/>
      <c r="EE1406" s="125"/>
      <c r="EF1406" s="16"/>
      <c r="EG1406" s="125"/>
      <c r="EQ1406" s="125"/>
      <c r="ER1406" s="16"/>
      <c r="ES1406" s="123"/>
      <c r="ET1406" s="19"/>
      <c r="EU1406" s="139"/>
      <c r="EV1406" s="139"/>
      <c r="EW1406" s="123"/>
      <c r="EX1406" s="123"/>
      <c r="EY1406" s="123"/>
      <c r="EZ1406" s="123"/>
      <c r="FA1406" s="123"/>
      <c r="FB1406" s="123"/>
      <c r="FC1406" s="6"/>
      <c r="FD1406" s="123"/>
      <c r="FE1406" s="6"/>
      <c r="FF1406" s="123"/>
      <c r="FG1406" s="6"/>
      <c r="FH1406" s="6"/>
      <c r="FI1406" s="6"/>
      <c r="FJ1406" s="6"/>
      <c r="FK1406" s="123"/>
      <c r="FL1406" s="6"/>
      <c r="FM1406" s="6"/>
      <c r="FN1406" s="6"/>
      <c r="FO1406" s="138"/>
      <c r="FP1406" s="138"/>
      <c r="FQ1406" s="123"/>
      <c r="FR1406" s="6"/>
      <c r="FS1406" s="6"/>
      <c r="FT1406" s="139"/>
      <c r="FU1406" s="139"/>
      <c r="FV1406" s="76"/>
      <c r="FW1406" s="123"/>
      <c r="FX1406" s="6"/>
    </row>
    <row r="1407" spans="35:180">
      <c r="AI1407" s="125"/>
      <c r="AJ1407" s="16"/>
      <c r="AM1407" s="16"/>
      <c r="AN1407" s="16"/>
      <c r="AO1407" s="125"/>
      <c r="AP1407" s="16"/>
      <c r="AQ1407" s="125"/>
      <c r="AZ1407" s="125"/>
      <c r="BA1407" s="142"/>
      <c r="BB1407" s="125"/>
      <c r="BC1407" s="16"/>
      <c r="BD1407" s="125"/>
      <c r="BE1407" s="125"/>
      <c r="BF1407" s="16"/>
      <c r="BG1407" s="125"/>
      <c r="BQ1407" s="125"/>
      <c r="BR1407" s="16"/>
      <c r="BS1407" s="123"/>
      <c r="BT1407" s="19"/>
      <c r="BU1407" s="139"/>
      <c r="BV1407" s="139"/>
      <c r="BW1407" s="123"/>
      <c r="BX1407" s="123"/>
      <c r="BY1407" s="123"/>
      <c r="BZ1407" s="123"/>
      <c r="CA1407" s="123"/>
      <c r="CB1407" s="123"/>
      <c r="CC1407" s="6"/>
      <c r="CD1407" s="123"/>
      <c r="CE1407" s="6"/>
      <c r="CF1407" s="123"/>
      <c r="CG1407" s="6"/>
      <c r="CH1407" s="6"/>
      <c r="CI1407" s="6"/>
      <c r="CJ1407" s="6"/>
      <c r="CK1407" s="123"/>
      <c r="CL1407" s="6"/>
      <c r="CM1407" s="6"/>
      <c r="CN1407" s="6"/>
      <c r="CO1407" s="138"/>
      <c r="CP1407" s="138"/>
      <c r="CQ1407" s="123"/>
      <c r="CR1407" s="6"/>
      <c r="CS1407" s="6"/>
      <c r="CT1407" s="139"/>
      <c r="CU1407" s="139"/>
      <c r="CV1407" s="76"/>
      <c r="CW1407" s="123"/>
      <c r="CX1407" s="6"/>
      <c r="DI1407" s="125"/>
      <c r="DJ1407" s="16"/>
      <c r="DM1407" s="16"/>
      <c r="DN1407" s="16"/>
      <c r="DO1407" s="125"/>
      <c r="DP1407" s="16"/>
      <c r="DQ1407" s="125"/>
      <c r="DZ1407" s="125"/>
      <c r="EA1407" s="142"/>
      <c r="EB1407" s="125"/>
      <c r="EC1407" s="16"/>
      <c r="ED1407" s="125"/>
      <c r="EE1407" s="125"/>
      <c r="EF1407" s="16"/>
      <c r="EG1407" s="125"/>
      <c r="EQ1407" s="125"/>
      <c r="ER1407" s="16"/>
      <c r="ES1407" s="123"/>
      <c r="ET1407" s="19"/>
      <c r="EU1407" s="139"/>
      <c r="EV1407" s="139"/>
      <c r="EW1407" s="123"/>
      <c r="EX1407" s="123"/>
      <c r="EY1407" s="123"/>
      <c r="EZ1407" s="123"/>
      <c r="FA1407" s="123"/>
      <c r="FB1407" s="123"/>
      <c r="FC1407" s="6"/>
      <c r="FD1407" s="123"/>
      <c r="FE1407" s="6"/>
      <c r="FF1407" s="123"/>
      <c r="FG1407" s="6"/>
      <c r="FH1407" s="6"/>
      <c r="FI1407" s="6"/>
      <c r="FJ1407" s="6"/>
      <c r="FK1407" s="123"/>
      <c r="FL1407" s="6"/>
      <c r="FM1407" s="6"/>
      <c r="FN1407" s="6"/>
      <c r="FO1407" s="138"/>
      <c r="FP1407" s="138"/>
      <c r="FQ1407" s="123"/>
      <c r="FR1407" s="6"/>
      <c r="FS1407" s="6"/>
      <c r="FT1407" s="139"/>
      <c r="FU1407" s="139"/>
      <c r="FV1407" s="76"/>
      <c r="FW1407" s="123"/>
      <c r="FX1407" s="6"/>
    </row>
    <row r="1408" spans="35:180">
      <c r="AI1408" s="125"/>
      <c r="AJ1408" s="16"/>
      <c r="AM1408" s="16"/>
      <c r="AN1408" s="16"/>
      <c r="AO1408" s="125"/>
      <c r="AP1408" s="16"/>
      <c r="AQ1408" s="125"/>
      <c r="AZ1408" s="125"/>
      <c r="BA1408" s="142"/>
      <c r="BB1408" s="125"/>
      <c r="BC1408" s="16"/>
      <c r="BD1408" s="125"/>
      <c r="BE1408" s="125"/>
      <c r="BF1408" s="16"/>
      <c r="BG1408" s="125"/>
      <c r="BQ1408" s="125"/>
      <c r="BR1408" s="16"/>
      <c r="BS1408" s="123"/>
      <c r="BT1408" s="19"/>
      <c r="BU1408" s="139"/>
      <c r="BV1408" s="139"/>
      <c r="BW1408" s="123"/>
      <c r="BX1408" s="123"/>
      <c r="BY1408" s="123"/>
      <c r="BZ1408" s="123"/>
      <c r="CA1408" s="123"/>
      <c r="CB1408" s="123"/>
      <c r="CC1408" s="6"/>
      <c r="CD1408" s="123"/>
      <c r="CE1408" s="6"/>
      <c r="CF1408" s="123"/>
      <c r="CG1408" s="6"/>
      <c r="CH1408" s="6"/>
      <c r="CI1408" s="6"/>
      <c r="CJ1408" s="6"/>
      <c r="CK1408" s="123"/>
      <c r="CL1408" s="6"/>
      <c r="CM1408" s="6"/>
      <c r="CN1408" s="6"/>
      <c r="CO1408" s="138"/>
      <c r="CP1408" s="138"/>
      <c r="CQ1408" s="123"/>
      <c r="CR1408" s="6"/>
      <c r="CS1408" s="6"/>
      <c r="CT1408" s="139"/>
      <c r="CU1408" s="139"/>
      <c r="CV1408" s="76"/>
      <c r="CW1408" s="123"/>
      <c r="CX1408" s="6"/>
      <c r="DI1408" s="125"/>
      <c r="DJ1408" s="16"/>
      <c r="DM1408" s="16"/>
      <c r="DN1408" s="16"/>
      <c r="DO1408" s="125"/>
      <c r="DP1408" s="16"/>
      <c r="DQ1408" s="125"/>
      <c r="DZ1408" s="125"/>
      <c r="EA1408" s="142"/>
      <c r="EB1408" s="125"/>
      <c r="EC1408" s="16"/>
      <c r="ED1408" s="125"/>
      <c r="EE1408" s="125"/>
      <c r="EF1408" s="16"/>
      <c r="EG1408" s="125"/>
      <c r="EQ1408" s="125"/>
      <c r="ER1408" s="16"/>
      <c r="ES1408" s="123"/>
      <c r="ET1408" s="19"/>
      <c r="EU1408" s="139"/>
      <c r="EV1408" s="139"/>
      <c r="EW1408" s="123"/>
      <c r="EX1408" s="123"/>
      <c r="EY1408" s="123"/>
      <c r="EZ1408" s="123"/>
      <c r="FA1408" s="123"/>
      <c r="FB1408" s="123"/>
      <c r="FC1408" s="6"/>
      <c r="FD1408" s="123"/>
      <c r="FE1408" s="6"/>
      <c r="FF1408" s="123"/>
      <c r="FG1408" s="6"/>
      <c r="FH1408" s="6"/>
      <c r="FI1408" s="6"/>
      <c r="FJ1408" s="6"/>
      <c r="FK1408" s="123"/>
      <c r="FL1408" s="6"/>
      <c r="FM1408" s="6"/>
      <c r="FN1408" s="6"/>
      <c r="FO1408" s="138"/>
      <c r="FP1408" s="138"/>
      <c r="FQ1408" s="123"/>
      <c r="FR1408" s="6"/>
      <c r="FS1408" s="6"/>
      <c r="FT1408" s="139"/>
      <c r="FU1408" s="139"/>
      <c r="FV1408" s="76"/>
      <c r="FW1408" s="123"/>
      <c r="FX1408" s="6"/>
    </row>
    <row r="1409" spans="35:180">
      <c r="AI1409" s="125"/>
      <c r="AJ1409" s="16"/>
      <c r="AM1409" s="16"/>
      <c r="AN1409" s="16"/>
      <c r="AO1409" s="125"/>
      <c r="AP1409" s="16"/>
      <c r="AQ1409" s="125"/>
      <c r="AZ1409" s="125"/>
      <c r="BA1409" s="142"/>
      <c r="BB1409" s="125"/>
      <c r="BC1409" s="16"/>
      <c r="BD1409" s="125"/>
      <c r="BE1409" s="125"/>
      <c r="BF1409" s="16"/>
      <c r="BG1409" s="125"/>
      <c r="BQ1409" s="125"/>
      <c r="BR1409" s="16"/>
      <c r="BS1409" s="123"/>
      <c r="BT1409" s="19"/>
      <c r="BU1409" s="139"/>
      <c r="BV1409" s="139"/>
      <c r="BW1409" s="123"/>
      <c r="BX1409" s="123"/>
      <c r="BY1409" s="123"/>
      <c r="BZ1409" s="123"/>
      <c r="CA1409" s="123"/>
      <c r="CB1409" s="123"/>
      <c r="CC1409" s="6"/>
      <c r="CD1409" s="123"/>
      <c r="CE1409" s="6"/>
      <c r="CF1409" s="123"/>
      <c r="CG1409" s="6"/>
      <c r="CH1409" s="6"/>
      <c r="CI1409" s="6"/>
      <c r="CJ1409" s="6"/>
      <c r="CK1409" s="123"/>
      <c r="CL1409" s="6"/>
      <c r="CM1409" s="6"/>
      <c r="CN1409" s="6"/>
      <c r="CO1409" s="138"/>
      <c r="CP1409" s="138"/>
      <c r="CQ1409" s="123"/>
      <c r="CR1409" s="6"/>
      <c r="CS1409" s="6"/>
      <c r="CT1409" s="139"/>
      <c r="CU1409" s="139"/>
      <c r="CV1409" s="76"/>
      <c r="CW1409" s="123"/>
      <c r="CX1409" s="6"/>
      <c r="DI1409" s="125"/>
      <c r="DJ1409" s="16"/>
      <c r="DM1409" s="16"/>
      <c r="DN1409" s="16"/>
      <c r="DO1409" s="125"/>
      <c r="DP1409" s="16"/>
      <c r="DQ1409" s="125"/>
      <c r="DZ1409" s="125"/>
      <c r="EA1409" s="142"/>
      <c r="EB1409" s="125"/>
      <c r="EC1409" s="16"/>
      <c r="ED1409" s="125"/>
      <c r="EE1409" s="125"/>
      <c r="EF1409" s="16"/>
      <c r="EG1409" s="125"/>
      <c r="EQ1409" s="125"/>
      <c r="ER1409" s="16"/>
      <c r="ES1409" s="123"/>
      <c r="ET1409" s="19"/>
      <c r="EU1409" s="139"/>
      <c r="EV1409" s="139"/>
      <c r="EW1409" s="123"/>
      <c r="EX1409" s="123"/>
      <c r="EY1409" s="123"/>
      <c r="EZ1409" s="123"/>
      <c r="FA1409" s="123"/>
      <c r="FB1409" s="123"/>
      <c r="FC1409" s="6"/>
      <c r="FD1409" s="123"/>
      <c r="FE1409" s="6"/>
      <c r="FF1409" s="123"/>
      <c r="FG1409" s="6"/>
      <c r="FH1409" s="6"/>
      <c r="FI1409" s="6"/>
      <c r="FJ1409" s="6"/>
      <c r="FK1409" s="123"/>
      <c r="FL1409" s="6"/>
      <c r="FM1409" s="6"/>
      <c r="FN1409" s="6"/>
      <c r="FO1409" s="138"/>
      <c r="FP1409" s="138"/>
      <c r="FQ1409" s="123"/>
      <c r="FR1409" s="6"/>
      <c r="FS1409" s="6"/>
      <c r="FT1409" s="139"/>
      <c r="FU1409" s="139"/>
      <c r="FV1409" s="76"/>
      <c r="FW1409" s="123"/>
      <c r="FX1409" s="6"/>
    </row>
    <row r="1410" spans="35:180">
      <c r="AI1410" s="125"/>
      <c r="AJ1410" s="16"/>
      <c r="AM1410" s="16"/>
      <c r="AN1410" s="16"/>
      <c r="AO1410" s="125"/>
      <c r="AP1410" s="16"/>
      <c r="AQ1410" s="125"/>
      <c r="AZ1410" s="125"/>
      <c r="BA1410" s="142"/>
      <c r="BB1410" s="125"/>
      <c r="BC1410" s="16"/>
      <c r="BD1410" s="125"/>
      <c r="BE1410" s="125"/>
      <c r="BF1410" s="16"/>
      <c r="BG1410" s="125"/>
      <c r="BQ1410" s="125"/>
      <c r="BR1410" s="16"/>
      <c r="BS1410" s="123"/>
      <c r="BT1410" s="19"/>
      <c r="BU1410" s="139"/>
      <c r="BV1410" s="139"/>
      <c r="BW1410" s="123"/>
      <c r="BX1410" s="123"/>
      <c r="BY1410" s="123"/>
      <c r="BZ1410" s="123"/>
      <c r="CA1410" s="123"/>
      <c r="CB1410" s="123"/>
      <c r="CC1410" s="6"/>
      <c r="CD1410" s="123"/>
      <c r="CE1410" s="6"/>
      <c r="CF1410" s="123"/>
      <c r="CG1410" s="6"/>
      <c r="CH1410" s="6"/>
      <c r="CI1410" s="6"/>
      <c r="CJ1410" s="6"/>
      <c r="CK1410" s="123"/>
      <c r="CL1410" s="6"/>
      <c r="CM1410" s="6"/>
      <c r="CN1410" s="6"/>
      <c r="CO1410" s="138"/>
      <c r="CP1410" s="138"/>
      <c r="CQ1410" s="123"/>
      <c r="CR1410" s="6"/>
      <c r="CS1410" s="6"/>
      <c r="CT1410" s="139"/>
      <c r="CU1410" s="139"/>
      <c r="CV1410" s="76"/>
      <c r="CW1410" s="123"/>
      <c r="CX1410" s="6"/>
      <c r="DI1410" s="125"/>
      <c r="DJ1410" s="16"/>
      <c r="DM1410" s="16"/>
      <c r="DN1410" s="16"/>
      <c r="DO1410" s="125"/>
      <c r="DP1410" s="16"/>
      <c r="DQ1410" s="125"/>
      <c r="DZ1410" s="125"/>
      <c r="EA1410" s="142"/>
      <c r="EB1410" s="125"/>
      <c r="EC1410" s="16"/>
      <c r="ED1410" s="125"/>
      <c r="EE1410" s="125"/>
      <c r="EF1410" s="16"/>
      <c r="EG1410" s="125"/>
      <c r="EQ1410" s="125"/>
      <c r="ER1410" s="16"/>
      <c r="ES1410" s="123"/>
      <c r="ET1410" s="19"/>
      <c r="EU1410" s="139"/>
      <c r="EV1410" s="139"/>
      <c r="EW1410" s="123"/>
      <c r="EX1410" s="123"/>
      <c r="EY1410" s="123"/>
      <c r="EZ1410" s="123"/>
      <c r="FA1410" s="123"/>
      <c r="FB1410" s="123"/>
      <c r="FC1410" s="6"/>
      <c r="FD1410" s="123"/>
      <c r="FE1410" s="6"/>
      <c r="FF1410" s="123"/>
      <c r="FG1410" s="6"/>
      <c r="FH1410" s="6"/>
      <c r="FI1410" s="6"/>
      <c r="FJ1410" s="6"/>
      <c r="FK1410" s="123"/>
      <c r="FL1410" s="6"/>
      <c r="FM1410" s="6"/>
      <c r="FN1410" s="6"/>
      <c r="FO1410" s="138"/>
      <c r="FP1410" s="138"/>
      <c r="FQ1410" s="123"/>
      <c r="FR1410" s="6"/>
      <c r="FS1410" s="6"/>
      <c r="FT1410" s="139"/>
      <c r="FU1410" s="139"/>
      <c r="FV1410" s="76"/>
      <c r="FW1410" s="123"/>
      <c r="FX1410" s="6"/>
    </row>
    <row r="1411" spans="35:180">
      <c r="AI1411" s="125"/>
      <c r="AJ1411" s="16"/>
      <c r="AM1411" s="16"/>
      <c r="AN1411" s="16"/>
      <c r="AO1411" s="125"/>
      <c r="AP1411" s="16"/>
      <c r="AQ1411" s="125"/>
      <c r="AZ1411" s="125"/>
      <c r="BA1411" s="142"/>
      <c r="BB1411" s="125"/>
      <c r="BC1411" s="16"/>
      <c r="BD1411" s="125"/>
      <c r="BE1411" s="125"/>
      <c r="BF1411" s="16"/>
      <c r="BG1411" s="125"/>
      <c r="BQ1411" s="125"/>
      <c r="BR1411" s="16"/>
      <c r="BS1411" s="123"/>
      <c r="BT1411" s="19"/>
      <c r="BU1411" s="139"/>
      <c r="BV1411" s="139"/>
      <c r="BW1411" s="123"/>
      <c r="BX1411" s="123"/>
      <c r="BY1411" s="123"/>
      <c r="BZ1411" s="123"/>
      <c r="CA1411" s="123"/>
      <c r="CB1411" s="123"/>
      <c r="CC1411" s="6"/>
      <c r="CD1411" s="123"/>
      <c r="CE1411" s="6"/>
      <c r="CF1411" s="123"/>
      <c r="CG1411" s="6"/>
      <c r="CH1411" s="6"/>
      <c r="CI1411" s="6"/>
      <c r="CJ1411" s="6"/>
      <c r="CK1411" s="123"/>
      <c r="CL1411" s="6"/>
      <c r="CM1411" s="6"/>
      <c r="CN1411" s="6"/>
      <c r="CO1411" s="138"/>
      <c r="CP1411" s="138"/>
      <c r="CQ1411" s="123"/>
      <c r="CR1411" s="6"/>
      <c r="CS1411" s="6"/>
      <c r="CT1411" s="139"/>
      <c r="CU1411" s="139"/>
      <c r="CV1411" s="76"/>
      <c r="CW1411" s="123"/>
      <c r="CX1411" s="6"/>
      <c r="DI1411" s="125"/>
      <c r="DJ1411" s="16"/>
      <c r="DM1411" s="16"/>
      <c r="DN1411" s="16"/>
      <c r="DO1411" s="125"/>
      <c r="DP1411" s="16"/>
      <c r="DQ1411" s="125"/>
      <c r="DZ1411" s="125"/>
      <c r="EA1411" s="142"/>
      <c r="EB1411" s="125"/>
      <c r="EC1411" s="16"/>
      <c r="ED1411" s="125"/>
      <c r="EE1411" s="125"/>
      <c r="EF1411" s="16"/>
      <c r="EG1411" s="125"/>
      <c r="EQ1411" s="125"/>
      <c r="ER1411" s="16"/>
      <c r="ES1411" s="123"/>
      <c r="ET1411" s="19"/>
      <c r="EU1411" s="139"/>
      <c r="EV1411" s="139"/>
      <c r="EW1411" s="123"/>
      <c r="EX1411" s="123"/>
      <c r="EY1411" s="123"/>
      <c r="EZ1411" s="123"/>
      <c r="FA1411" s="123"/>
      <c r="FB1411" s="123"/>
      <c r="FC1411" s="6"/>
      <c r="FD1411" s="123"/>
      <c r="FE1411" s="6"/>
      <c r="FF1411" s="123"/>
      <c r="FG1411" s="6"/>
      <c r="FH1411" s="6"/>
      <c r="FI1411" s="6"/>
      <c r="FJ1411" s="6"/>
      <c r="FK1411" s="123"/>
      <c r="FL1411" s="6"/>
      <c r="FM1411" s="6"/>
      <c r="FN1411" s="6"/>
      <c r="FO1411" s="138"/>
      <c r="FP1411" s="138"/>
      <c r="FQ1411" s="123"/>
      <c r="FR1411" s="6"/>
      <c r="FS1411" s="6"/>
      <c r="FT1411" s="139"/>
      <c r="FU1411" s="139"/>
      <c r="FV1411" s="76"/>
      <c r="FW1411" s="123"/>
      <c r="FX1411" s="6"/>
    </row>
    <row r="1412" spans="35:180">
      <c r="AI1412" s="125"/>
      <c r="AJ1412" s="16"/>
      <c r="AM1412" s="16"/>
      <c r="AN1412" s="16"/>
      <c r="AO1412" s="125"/>
      <c r="AP1412" s="16"/>
      <c r="AQ1412" s="125"/>
      <c r="AZ1412" s="125"/>
      <c r="BA1412" s="142"/>
      <c r="BB1412" s="125"/>
      <c r="BC1412" s="16"/>
      <c r="BD1412" s="125"/>
      <c r="BE1412" s="125"/>
      <c r="BF1412" s="16"/>
      <c r="BG1412" s="125"/>
      <c r="BQ1412" s="125"/>
      <c r="BR1412" s="16"/>
      <c r="BS1412" s="123"/>
      <c r="BT1412" s="19"/>
      <c r="BU1412" s="139"/>
      <c r="BV1412" s="139"/>
      <c r="BW1412" s="123"/>
      <c r="BX1412" s="123"/>
      <c r="BY1412" s="123"/>
      <c r="BZ1412" s="123"/>
      <c r="CA1412" s="123"/>
      <c r="CB1412" s="123"/>
      <c r="CC1412" s="6"/>
      <c r="CD1412" s="123"/>
      <c r="CE1412" s="6"/>
      <c r="CF1412" s="123"/>
      <c r="CG1412" s="6"/>
      <c r="CH1412" s="6"/>
      <c r="CI1412" s="6"/>
      <c r="CJ1412" s="6"/>
      <c r="CK1412" s="123"/>
      <c r="CL1412" s="6"/>
      <c r="CM1412" s="6"/>
      <c r="CN1412" s="6"/>
      <c r="CO1412" s="138"/>
      <c r="CP1412" s="138"/>
      <c r="CQ1412" s="123"/>
      <c r="CR1412" s="6"/>
      <c r="CS1412" s="6"/>
      <c r="CT1412" s="139"/>
      <c r="CU1412" s="139"/>
      <c r="CV1412" s="76"/>
      <c r="CW1412" s="123"/>
      <c r="CX1412" s="6"/>
      <c r="DI1412" s="125"/>
      <c r="DJ1412" s="16"/>
      <c r="DM1412" s="16"/>
      <c r="DN1412" s="16"/>
      <c r="DO1412" s="125"/>
      <c r="DP1412" s="16"/>
      <c r="DQ1412" s="125"/>
      <c r="DZ1412" s="125"/>
      <c r="EA1412" s="142"/>
      <c r="EB1412" s="125"/>
      <c r="EC1412" s="16"/>
      <c r="ED1412" s="125"/>
      <c r="EE1412" s="125"/>
      <c r="EF1412" s="16"/>
      <c r="EG1412" s="125"/>
      <c r="EQ1412" s="125"/>
      <c r="ER1412" s="16"/>
      <c r="ES1412" s="123"/>
      <c r="ET1412" s="19"/>
      <c r="EU1412" s="139"/>
      <c r="EV1412" s="139"/>
      <c r="EW1412" s="123"/>
      <c r="EX1412" s="123"/>
      <c r="EY1412" s="123"/>
      <c r="EZ1412" s="123"/>
      <c r="FA1412" s="123"/>
      <c r="FB1412" s="123"/>
      <c r="FC1412" s="6"/>
      <c r="FD1412" s="123"/>
      <c r="FE1412" s="6"/>
      <c r="FF1412" s="123"/>
      <c r="FG1412" s="6"/>
      <c r="FH1412" s="6"/>
      <c r="FI1412" s="6"/>
      <c r="FJ1412" s="6"/>
      <c r="FK1412" s="123"/>
      <c r="FL1412" s="6"/>
      <c r="FM1412" s="6"/>
      <c r="FN1412" s="6"/>
      <c r="FO1412" s="138"/>
      <c r="FP1412" s="138"/>
      <c r="FQ1412" s="123"/>
      <c r="FR1412" s="6"/>
      <c r="FS1412" s="6"/>
      <c r="FT1412" s="139"/>
      <c r="FU1412" s="139"/>
      <c r="FV1412" s="76"/>
      <c r="FW1412" s="123"/>
      <c r="FX1412" s="6"/>
    </row>
    <row r="1413" spans="35:180">
      <c r="AI1413" s="125"/>
      <c r="AJ1413" s="16"/>
      <c r="AM1413" s="16"/>
      <c r="AN1413" s="16"/>
      <c r="AO1413" s="125"/>
      <c r="AP1413" s="16"/>
      <c r="AQ1413" s="125"/>
      <c r="AZ1413" s="125"/>
      <c r="BA1413" s="142"/>
      <c r="BB1413" s="125"/>
      <c r="BC1413" s="16"/>
      <c r="BD1413" s="125"/>
      <c r="BE1413" s="125"/>
      <c r="BF1413" s="16"/>
      <c r="BG1413" s="125"/>
      <c r="BQ1413" s="125"/>
      <c r="BR1413" s="16"/>
      <c r="BS1413" s="123"/>
      <c r="BT1413" s="19"/>
      <c r="BU1413" s="139"/>
      <c r="BV1413" s="139"/>
      <c r="BW1413" s="123"/>
      <c r="BX1413" s="123"/>
      <c r="BY1413" s="123"/>
      <c r="BZ1413" s="123"/>
      <c r="CA1413" s="123"/>
      <c r="CB1413" s="123"/>
      <c r="CC1413" s="6"/>
      <c r="CD1413" s="123"/>
      <c r="CE1413" s="6"/>
      <c r="CF1413" s="123"/>
      <c r="CG1413" s="6"/>
      <c r="CH1413" s="6"/>
      <c r="CI1413" s="6"/>
      <c r="CJ1413" s="6"/>
      <c r="CK1413" s="123"/>
      <c r="CL1413" s="6"/>
      <c r="CM1413" s="6"/>
      <c r="CN1413" s="6"/>
      <c r="CO1413" s="138"/>
      <c r="CP1413" s="138"/>
      <c r="CQ1413" s="123"/>
      <c r="CR1413" s="6"/>
      <c r="CS1413" s="6"/>
      <c r="CT1413" s="139"/>
      <c r="CU1413" s="139"/>
      <c r="CV1413" s="76"/>
      <c r="CW1413" s="123"/>
      <c r="CX1413" s="6"/>
      <c r="DI1413" s="125"/>
      <c r="DJ1413" s="16"/>
      <c r="DM1413" s="16"/>
      <c r="DN1413" s="16"/>
      <c r="DO1413" s="125"/>
      <c r="DP1413" s="16"/>
      <c r="DQ1413" s="125"/>
      <c r="DZ1413" s="125"/>
      <c r="EA1413" s="142"/>
      <c r="EB1413" s="125"/>
      <c r="EC1413" s="16"/>
      <c r="ED1413" s="125"/>
      <c r="EE1413" s="125"/>
      <c r="EF1413" s="16"/>
      <c r="EG1413" s="125"/>
      <c r="EQ1413" s="125"/>
      <c r="ER1413" s="16"/>
      <c r="ES1413" s="123"/>
      <c r="ET1413" s="19"/>
      <c r="EU1413" s="139"/>
      <c r="EV1413" s="139"/>
      <c r="EW1413" s="123"/>
      <c r="EX1413" s="123"/>
      <c r="EY1413" s="123"/>
      <c r="EZ1413" s="123"/>
      <c r="FA1413" s="123"/>
      <c r="FB1413" s="123"/>
      <c r="FC1413" s="6"/>
      <c r="FD1413" s="123"/>
      <c r="FE1413" s="6"/>
      <c r="FF1413" s="123"/>
      <c r="FG1413" s="6"/>
      <c r="FH1413" s="6"/>
      <c r="FI1413" s="6"/>
      <c r="FJ1413" s="6"/>
      <c r="FK1413" s="123"/>
      <c r="FL1413" s="6"/>
      <c r="FM1413" s="6"/>
      <c r="FN1413" s="6"/>
      <c r="FO1413" s="138"/>
      <c r="FP1413" s="138"/>
      <c r="FQ1413" s="123"/>
      <c r="FR1413" s="6"/>
      <c r="FS1413" s="6"/>
      <c r="FT1413" s="139"/>
      <c r="FU1413" s="139"/>
      <c r="FV1413" s="76"/>
      <c r="FW1413" s="123"/>
      <c r="FX1413" s="6"/>
    </row>
    <row r="1414" spans="35:180">
      <c r="AI1414" s="125"/>
      <c r="AJ1414" s="16"/>
      <c r="AM1414" s="16"/>
      <c r="AN1414" s="16"/>
      <c r="AO1414" s="125"/>
      <c r="AP1414" s="16"/>
      <c r="AQ1414" s="125"/>
      <c r="AZ1414" s="125"/>
      <c r="BA1414" s="142"/>
      <c r="BB1414" s="125"/>
      <c r="BC1414" s="16"/>
      <c r="BD1414" s="125"/>
      <c r="BE1414" s="125"/>
      <c r="BF1414" s="16"/>
      <c r="BG1414" s="125"/>
      <c r="BQ1414" s="125"/>
      <c r="BR1414" s="16"/>
      <c r="BS1414" s="123"/>
      <c r="BT1414" s="19"/>
      <c r="BU1414" s="139"/>
      <c r="BV1414" s="139"/>
      <c r="BW1414" s="123"/>
      <c r="BX1414" s="123"/>
      <c r="BY1414" s="123"/>
      <c r="BZ1414" s="123"/>
      <c r="CA1414" s="123"/>
      <c r="CB1414" s="123"/>
      <c r="CC1414" s="6"/>
      <c r="CD1414" s="123"/>
      <c r="CE1414" s="6"/>
      <c r="CF1414" s="123"/>
      <c r="CG1414" s="6"/>
      <c r="CH1414" s="6"/>
      <c r="CI1414" s="6"/>
      <c r="CJ1414" s="6"/>
      <c r="CK1414" s="123"/>
      <c r="CL1414" s="6"/>
      <c r="CM1414" s="6"/>
      <c r="CN1414" s="6"/>
      <c r="CO1414" s="138"/>
      <c r="CP1414" s="138"/>
      <c r="CQ1414" s="123"/>
      <c r="CR1414" s="6"/>
      <c r="CS1414" s="6"/>
      <c r="CT1414" s="139"/>
      <c r="CU1414" s="139"/>
      <c r="CV1414" s="76"/>
      <c r="CW1414" s="123"/>
      <c r="CX1414" s="6"/>
      <c r="DI1414" s="125"/>
      <c r="DJ1414" s="16"/>
      <c r="DM1414" s="16"/>
      <c r="DN1414" s="16"/>
      <c r="DO1414" s="125"/>
      <c r="DP1414" s="16"/>
      <c r="DQ1414" s="125"/>
      <c r="DZ1414" s="125"/>
      <c r="EA1414" s="142"/>
      <c r="EB1414" s="125"/>
      <c r="EC1414" s="16"/>
      <c r="ED1414" s="125"/>
      <c r="EE1414" s="125"/>
      <c r="EF1414" s="16"/>
      <c r="EG1414" s="125"/>
      <c r="EQ1414" s="125"/>
      <c r="ER1414" s="16"/>
      <c r="ES1414" s="123"/>
      <c r="ET1414" s="19"/>
      <c r="EU1414" s="139"/>
      <c r="EV1414" s="139"/>
      <c r="EW1414" s="123"/>
      <c r="EX1414" s="123"/>
      <c r="EY1414" s="123"/>
      <c r="EZ1414" s="123"/>
      <c r="FA1414" s="123"/>
      <c r="FB1414" s="123"/>
      <c r="FC1414" s="6"/>
      <c r="FD1414" s="123"/>
      <c r="FE1414" s="6"/>
      <c r="FF1414" s="123"/>
      <c r="FG1414" s="6"/>
      <c r="FH1414" s="6"/>
      <c r="FI1414" s="6"/>
      <c r="FJ1414" s="6"/>
      <c r="FK1414" s="123"/>
      <c r="FL1414" s="6"/>
      <c r="FM1414" s="6"/>
      <c r="FN1414" s="6"/>
      <c r="FO1414" s="138"/>
      <c r="FP1414" s="138"/>
      <c r="FQ1414" s="123"/>
      <c r="FR1414" s="6"/>
      <c r="FS1414" s="6"/>
      <c r="FT1414" s="139"/>
      <c r="FU1414" s="139"/>
      <c r="FV1414" s="76"/>
      <c r="FW1414" s="123"/>
      <c r="FX1414" s="6"/>
    </row>
    <row r="1415" spans="35:180">
      <c r="AI1415" s="125"/>
      <c r="AJ1415" s="16"/>
      <c r="AM1415" s="16"/>
      <c r="AN1415" s="16"/>
      <c r="AO1415" s="125"/>
      <c r="AP1415" s="16"/>
      <c r="AQ1415" s="125"/>
      <c r="AZ1415" s="125"/>
      <c r="BA1415" s="142"/>
      <c r="BB1415" s="125"/>
      <c r="BC1415" s="16"/>
      <c r="BD1415" s="125"/>
      <c r="BE1415" s="125"/>
      <c r="BF1415" s="16"/>
      <c r="BG1415" s="125"/>
      <c r="BQ1415" s="125"/>
      <c r="BR1415" s="16"/>
      <c r="BS1415" s="123"/>
      <c r="BT1415" s="19"/>
      <c r="BU1415" s="139"/>
      <c r="BV1415" s="139"/>
      <c r="BW1415" s="123"/>
      <c r="BX1415" s="123"/>
      <c r="BY1415" s="123"/>
      <c r="BZ1415" s="123"/>
      <c r="CA1415" s="123"/>
      <c r="CB1415" s="123"/>
      <c r="CC1415" s="6"/>
      <c r="CD1415" s="123"/>
      <c r="CE1415" s="6"/>
      <c r="CF1415" s="123"/>
      <c r="CG1415" s="6"/>
      <c r="CH1415" s="6"/>
      <c r="CI1415" s="6"/>
      <c r="CJ1415" s="6"/>
      <c r="CK1415" s="123"/>
      <c r="CL1415" s="6"/>
      <c r="CM1415" s="6"/>
      <c r="CN1415" s="6"/>
      <c r="CO1415" s="138"/>
      <c r="CP1415" s="138"/>
      <c r="CQ1415" s="123"/>
      <c r="CR1415" s="6"/>
      <c r="CS1415" s="6"/>
      <c r="CT1415" s="139"/>
      <c r="CU1415" s="139"/>
      <c r="CV1415" s="76"/>
      <c r="CW1415" s="123"/>
      <c r="CX1415" s="6"/>
      <c r="DI1415" s="125"/>
      <c r="DJ1415" s="16"/>
      <c r="DM1415" s="16"/>
      <c r="DN1415" s="16"/>
      <c r="DO1415" s="125"/>
      <c r="DP1415" s="16"/>
      <c r="DQ1415" s="125"/>
      <c r="DZ1415" s="125"/>
      <c r="EA1415" s="142"/>
      <c r="EB1415" s="125"/>
      <c r="EC1415" s="16"/>
      <c r="ED1415" s="125"/>
      <c r="EE1415" s="125"/>
      <c r="EF1415" s="16"/>
      <c r="EG1415" s="125"/>
      <c r="EQ1415" s="125"/>
      <c r="ER1415" s="16"/>
      <c r="ES1415" s="123"/>
      <c r="ET1415" s="19"/>
      <c r="EU1415" s="139"/>
      <c r="EV1415" s="139"/>
      <c r="EW1415" s="123"/>
      <c r="EX1415" s="123"/>
      <c r="EY1415" s="123"/>
      <c r="EZ1415" s="123"/>
      <c r="FA1415" s="123"/>
      <c r="FB1415" s="123"/>
      <c r="FC1415" s="6"/>
      <c r="FD1415" s="123"/>
      <c r="FE1415" s="6"/>
      <c r="FF1415" s="123"/>
      <c r="FG1415" s="6"/>
      <c r="FH1415" s="6"/>
      <c r="FI1415" s="6"/>
      <c r="FJ1415" s="6"/>
      <c r="FK1415" s="123"/>
      <c r="FL1415" s="6"/>
      <c r="FM1415" s="6"/>
      <c r="FN1415" s="6"/>
      <c r="FO1415" s="138"/>
      <c r="FP1415" s="138"/>
      <c r="FQ1415" s="123"/>
      <c r="FR1415" s="6"/>
      <c r="FS1415" s="6"/>
      <c r="FT1415" s="139"/>
      <c r="FU1415" s="139"/>
      <c r="FV1415" s="76"/>
      <c r="FW1415" s="123"/>
      <c r="FX1415" s="6"/>
    </row>
    <row r="1416" spans="35:180">
      <c r="AI1416" s="125"/>
      <c r="AJ1416" s="16"/>
      <c r="AM1416" s="16"/>
      <c r="AN1416" s="16"/>
      <c r="AO1416" s="125"/>
      <c r="AP1416" s="16"/>
      <c r="AQ1416" s="125"/>
      <c r="AZ1416" s="125"/>
      <c r="BA1416" s="142"/>
      <c r="BB1416" s="125"/>
      <c r="BC1416" s="16"/>
      <c r="BD1416" s="125"/>
      <c r="BE1416" s="125"/>
      <c r="BF1416" s="16"/>
      <c r="BG1416" s="125"/>
      <c r="BQ1416" s="125"/>
      <c r="BR1416" s="16"/>
      <c r="BS1416" s="123"/>
      <c r="BT1416" s="19"/>
      <c r="BU1416" s="139"/>
      <c r="BV1416" s="139"/>
      <c r="BW1416" s="123"/>
      <c r="BX1416" s="123"/>
      <c r="BY1416" s="123"/>
      <c r="BZ1416" s="123"/>
      <c r="CA1416" s="123"/>
      <c r="CB1416" s="123"/>
      <c r="CC1416" s="6"/>
      <c r="CD1416" s="123"/>
      <c r="CE1416" s="6"/>
      <c r="CF1416" s="123"/>
      <c r="CG1416" s="6"/>
      <c r="CH1416" s="6"/>
      <c r="CI1416" s="6"/>
      <c r="CJ1416" s="6"/>
      <c r="CK1416" s="123"/>
      <c r="CL1416" s="6"/>
      <c r="CM1416" s="6"/>
      <c r="CN1416" s="6"/>
      <c r="CO1416" s="138"/>
      <c r="CP1416" s="138"/>
      <c r="CQ1416" s="123"/>
      <c r="CR1416" s="6"/>
      <c r="CS1416" s="6"/>
      <c r="CT1416" s="139"/>
      <c r="CU1416" s="139"/>
      <c r="CV1416" s="76"/>
      <c r="CW1416" s="123"/>
      <c r="CX1416" s="6"/>
      <c r="DI1416" s="125"/>
      <c r="DJ1416" s="16"/>
      <c r="DM1416" s="16"/>
      <c r="DN1416" s="16"/>
      <c r="DO1416" s="125"/>
      <c r="DP1416" s="16"/>
      <c r="DQ1416" s="125"/>
      <c r="DZ1416" s="125"/>
      <c r="EA1416" s="142"/>
      <c r="EB1416" s="125"/>
      <c r="EC1416" s="16"/>
      <c r="ED1416" s="125"/>
      <c r="EE1416" s="125"/>
      <c r="EF1416" s="16"/>
      <c r="EG1416" s="125"/>
      <c r="EQ1416" s="125"/>
      <c r="ER1416" s="16"/>
      <c r="ES1416" s="123"/>
      <c r="ET1416" s="19"/>
      <c r="EU1416" s="139"/>
      <c r="EV1416" s="139"/>
      <c r="EW1416" s="123"/>
      <c r="EX1416" s="123"/>
      <c r="EY1416" s="123"/>
      <c r="EZ1416" s="123"/>
      <c r="FA1416" s="123"/>
      <c r="FB1416" s="123"/>
      <c r="FC1416" s="6"/>
      <c r="FD1416" s="123"/>
      <c r="FE1416" s="6"/>
      <c r="FF1416" s="123"/>
      <c r="FG1416" s="6"/>
      <c r="FH1416" s="6"/>
      <c r="FI1416" s="6"/>
      <c r="FJ1416" s="6"/>
      <c r="FK1416" s="123"/>
      <c r="FL1416" s="6"/>
      <c r="FM1416" s="6"/>
      <c r="FN1416" s="6"/>
      <c r="FO1416" s="138"/>
      <c r="FP1416" s="138"/>
      <c r="FQ1416" s="123"/>
      <c r="FR1416" s="6"/>
      <c r="FS1416" s="6"/>
      <c r="FT1416" s="139"/>
      <c r="FU1416" s="139"/>
      <c r="FV1416" s="76"/>
      <c r="FW1416" s="123"/>
      <c r="FX1416" s="6"/>
    </row>
    <row r="1417" spans="35:180">
      <c r="AI1417" s="125"/>
      <c r="AJ1417" s="16"/>
      <c r="AM1417" s="16"/>
      <c r="AN1417" s="16"/>
      <c r="AO1417" s="125"/>
      <c r="AP1417" s="16"/>
      <c r="AQ1417" s="125"/>
      <c r="AZ1417" s="125"/>
      <c r="BA1417" s="142"/>
      <c r="BB1417" s="125"/>
      <c r="BC1417" s="16"/>
      <c r="BD1417" s="125"/>
      <c r="BE1417" s="125"/>
      <c r="BF1417" s="16"/>
      <c r="BG1417" s="125"/>
      <c r="BQ1417" s="125"/>
      <c r="BR1417" s="16"/>
      <c r="BS1417" s="123"/>
      <c r="BT1417" s="19"/>
      <c r="BU1417" s="139"/>
      <c r="BV1417" s="139"/>
      <c r="BW1417" s="123"/>
      <c r="BX1417" s="123"/>
      <c r="BY1417" s="123"/>
      <c r="BZ1417" s="123"/>
      <c r="CA1417" s="123"/>
      <c r="CB1417" s="123"/>
      <c r="CC1417" s="6"/>
      <c r="CD1417" s="123"/>
      <c r="CE1417" s="6"/>
      <c r="CF1417" s="123"/>
      <c r="CG1417" s="6"/>
      <c r="CH1417" s="6"/>
      <c r="CI1417" s="6"/>
      <c r="CJ1417" s="6"/>
      <c r="CK1417" s="123"/>
      <c r="CL1417" s="6"/>
      <c r="CM1417" s="6"/>
      <c r="CN1417" s="6"/>
      <c r="CO1417" s="138"/>
      <c r="CP1417" s="138"/>
      <c r="CQ1417" s="123"/>
      <c r="CR1417" s="6"/>
      <c r="CS1417" s="6"/>
      <c r="CT1417" s="139"/>
      <c r="CU1417" s="139"/>
      <c r="CV1417" s="76"/>
      <c r="CW1417" s="123"/>
      <c r="CX1417" s="6"/>
      <c r="DI1417" s="125"/>
      <c r="DJ1417" s="16"/>
      <c r="DM1417" s="16"/>
      <c r="DN1417" s="16"/>
      <c r="DO1417" s="125"/>
      <c r="DP1417" s="16"/>
      <c r="DQ1417" s="125"/>
      <c r="DZ1417" s="125"/>
      <c r="EA1417" s="142"/>
      <c r="EB1417" s="125"/>
      <c r="EC1417" s="16"/>
      <c r="ED1417" s="125"/>
      <c r="EE1417" s="125"/>
      <c r="EF1417" s="16"/>
      <c r="EG1417" s="125"/>
      <c r="EQ1417" s="125"/>
      <c r="ER1417" s="16"/>
      <c r="ES1417" s="123"/>
      <c r="ET1417" s="19"/>
      <c r="EU1417" s="139"/>
      <c r="EV1417" s="139"/>
      <c r="EW1417" s="123"/>
      <c r="EX1417" s="123"/>
      <c r="EY1417" s="123"/>
      <c r="EZ1417" s="123"/>
      <c r="FA1417" s="123"/>
      <c r="FB1417" s="123"/>
      <c r="FC1417" s="6"/>
      <c r="FD1417" s="123"/>
      <c r="FE1417" s="6"/>
      <c r="FF1417" s="123"/>
      <c r="FG1417" s="6"/>
      <c r="FH1417" s="6"/>
      <c r="FI1417" s="6"/>
      <c r="FJ1417" s="6"/>
      <c r="FK1417" s="123"/>
      <c r="FL1417" s="6"/>
      <c r="FM1417" s="6"/>
      <c r="FN1417" s="6"/>
      <c r="FO1417" s="138"/>
      <c r="FP1417" s="138"/>
      <c r="FQ1417" s="123"/>
      <c r="FR1417" s="6"/>
      <c r="FS1417" s="6"/>
      <c r="FT1417" s="139"/>
      <c r="FU1417" s="139"/>
      <c r="FV1417" s="76"/>
      <c r="FW1417" s="123"/>
      <c r="FX1417" s="6"/>
    </row>
    <row r="1418" spans="35:180">
      <c r="AI1418" s="125"/>
      <c r="AJ1418" s="16"/>
      <c r="AM1418" s="16"/>
      <c r="AN1418" s="16"/>
      <c r="AO1418" s="125"/>
      <c r="AP1418" s="16"/>
      <c r="AQ1418" s="125"/>
      <c r="AZ1418" s="125"/>
      <c r="BA1418" s="142"/>
      <c r="BB1418" s="125"/>
      <c r="BC1418" s="16"/>
      <c r="BD1418" s="125"/>
      <c r="BE1418" s="125"/>
      <c r="BF1418" s="16"/>
      <c r="BG1418" s="125"/>
      <c r="BQ1418" s="125"/>
      <c r="BR1418" s="16"/>
      <c r="BS1418" s="123"/>
      <c r="BT1418" s="19"/>
      <c r="BU1418" s="139"/>
      <c r="BV1418" s="139"/>
      <c r="BW1418" s="123"/>
      <c r="BX1418" s="123"/>
      <c r="BY1418" s="123"/>
      <c r="BZ1418" s="123"/>
      <c r="CA1418" s="123"/>
      <c r="CB1418" s="123"/>
      <c r="CC1418" s="6"/>
      <c r="CD1418" s="123"/>
      <c r="CE1418" s="6"/>
      <c r="CF1418" s="123"/>
      <c r="CG1418" s="6"/>
      <c r="CH1418" s="6"/>
      <c r="CI1418" s="6"/>
      <c r="CJ1418" s="6"/>
      <c r="CK1418" s="123"/>
      <c r="CL1418" s="6"/>
      <c r="CM1418" s="6"/>
      <c r="CN1418" s="6"/>
      <c r="CO1418" s="138"/>
      <c r="CP1418" s="138"/>
      <c r="CQ1418" s="123"/>
      <c r="CR1418" s="6"/>
      <c r="CS1418" s="6"/>
      <c r="CT1418" s="139"/>
      <c r="CU1418" s="139"/>
      <c r="CV1418" s="76"/>
      <c r="CW1418" s="123"/>
      <c r="CX1418" s="6"/>
      <c r="DI1418" s="125"/>
      <c r="DJ1418" s="16"/>
      <c r="DM1418" s="16"/>
      <c r="DN1418" s="16"/>
      <c r="DO1418" s="125"/>
      <c r="DP1418" s="16"/>
      <c r="DQ1418" s="125"/>
      <c r="DZ1418" s="125"/>
      <c r="EA1418" s="142"/>
      <c r="EB1418" s="125"/>
      <c r="EC1418" s="16"/>
      <c r="ED1418" s="125"/>
      <c r="EE1418" s="125"/>
      <c r="EF1418" s="16"/>
      <c r="EG1418" s="125"/>
      <c r="EQ1418" s="125"/>
      <c r="ER1418" s="16"/>
      <c r="ES1418" s="123"/>
      <c r="ET1418" s="19"/>
      <c r="EU1418" s="139"/>
      <c r="EV1418" s="139"/>
      <c r="EW1418" s="123"/>
      <c r="EX1418" s="123"/>
      <c r="EY1418" s="123"/>
      <c r="EZ1418" s="123"/>
      <c r="FA1418" s="123"/>
      <c r="FB1418" s="123"/>
      <c r="FC1418" s="6"/>
      <c r="FD1418" s="123"/>
      <c r="FE1418" s="6"/>
      <c r="FF1418" s="123"/>
      <c r="FG1418" s="6"/>
      <c r="FH1418" s="6"/>
      <c r="FI1418" s="6"/>
      <c r="FJ1418" s="6"/>
      <c r="FK1418" s="123"/>
      <c r="FL1418" s="6"/>
      <c r="FM1418" s="6"/>
      <c r="FN1418" s="6"/>
      <c r="FO1418" s="138"/>
      <c r="FP1418" s="138"/>
      <c r="FQ1418" s="123"/>
      <c r="FR1418" s="6"/>
      <c r="FS1418" s="6"/>
      <c r="FT1418" s="139"/>
      <c r="FU1418" s="139"/>
      <c r="FV1418" s="76"/>
      <c r="FW1418" s="123"/>
      <c r="FX1418" s="6"/>
    </row>
    <row r="1419" spans="35:180">
      <c r="AI1419" s="125"/>
      <c r="AJ1419" s="16"/>
      <c r="AM1419" s="16"/>
      <c r="AN1419" s="16"/>
      <c r="AO1419" s="125"/>
      <c r="AP1419" s="16"/>
      <c r="AQ1419" s="125"/>
      <c r="AZ1419" s="125"/>
      <c r="BA1419" s="142"/>
      <c r="BB1419" s="125"/>
      <c r="BC1419" s="16"/>
      <c r="BD1419" s="125"/>
      <c r="BE1419" s="125"/>
      <c r="BF1419" s="16"/>
      <c r="BG1419" s="125"/>
      <c r="BQ1419" s="125"/>
      <c r="BR1419" s="16"/>
      <c r="BS1419" s="123"/>
      <c r="BT1419" s="19"/>
      <c r="BU1419" s="139"/>
      <c r="BV1419" s="139"/>
      <c r="BW1419" s="123"/>
      <c r="BX1419" s="123"/>
      <c r="BY1419" s="123"/>
      <c r="BZ1419" s="123"/>
      <c r="CA1419" s="123"/>
      <c r="CB1419" s="123"/>
      <c r="CC1419" s="6"/>
      <c r="CD1419" s="123"/>
      <c r="CE1419" s="6"/>
      <c r="CF1419" s="123"/>
      <c r="CG1419" s="6"/>
      <c r="CH1419" s="6"/>
      <c r="CI1419" s="6"/>
      <c r="CJ1419" s="6"/>
      <c r="CK1419" s="123"/>
      <c r="CL1419" s="6"/>
      <c r="CM1419" s="6"/>
      <c r="CN1419" s="6"/>
      <c r="CO1419" s="138"/>
      <c r="CP1419" s="138"/>
      <c r="CQ1419" s="123"/>
      <c r="CR1419" s="6"/>
      <c r="CS1419" s="6"/>
      <c r="CT1419" s="139"/>
      <c r="CU1419" s="139"/>
      <c r="CV1419" s="76"/>
      <c r="CW1419" s="123"/>
      <c r="CX1419" s="6"/>
      <c r="DI1419" s="125"/>
      <c r="DJ1419" s="16"/>
      <c r="DM1419" s="16"/>
      <c r="DN1419" s="16"/>
      <c r="DO1419" s="125"/>
      <c r="DP1419" s="16"/>
      <c r="DQ1419" s="125"/>
      <c r="DZ1419" s="125"/>
      <c r="EA1419" s="142"/>
      <c r="EB1419" s="125"/>
      <c r="EC1419" s="16"/>
      <c r="ED1419" s="125"/>
      <c r="EE1419" s="125"/>
      <c r="EF1419" s="16"/>
      <c r="EG1419" s="125"/>
      <c r="EQ1419" s="125"/>
      <c r="ER1419" s="16"/>
      <c r="ES1419" s="123"/>
      <c r="ET1419" s="19"/>
      <c r="EU1419" s="139"/>
      <c r="EV1419" s="139"/>
      <c r="EW1419" s="123"/>
      <c r="EX1419" s="123"/>
      <c r="EY1419" s="123"/>
      <c r="EZ1419" s="123"/>
      <c r="FA1419" s="123"/>
      <c r="FB1419" s="123"/>
      <c r="FC1419" s="6"/>
      <c r="FD1419" s="123"/>
      <c r="FE1419" s="6"/>
      <c r="FF1419" s="123"/>
      <c r="FG1419" s="6"/>
      <c r="FH1419" s="6"/>
      <c r="FI1419" s="6"/>
      <c r="FJ1419" s="6"/>
      <c r="FK1419" s="123"/>
      <c r="FL1419" s="6"/>
      <c r="FM1419" s="6"/>
      <c r="FN1419" s="6"/>
      <c r="FO1419" s="138"/>
      <c r="FP1419" s="138"/>
      <c r="FQ1419" s="123"/>
      <c r="FR1419" s="6"/>
      <c r="FS1419" s="6"/>
      <c r="FT1419" s="139"/>
      <c r="FU1419" s="139"/>
      <c r="FV1419" s="76"/>
      <c r="FW1419" s="123"/>
      <c r="FX1419" s="6"/>
    </row>
    <row r="1420" spans="35:180">
      <c r="AI1420" s="125"/>
      <c r="AJ1420" s="16"/>
      <c r="AM1420" s="16"/>
      <c r="AN1420" s="16"/>
      <c r="AO1420" s="125"/>
      <c r="AP1420" s="16"/>
      <c r="AQ1420" s="125"/>
      <c r="AZ1420" s="125"/>
      <c r="BA1420" s="142"/>
      <c r="BB1420" s="125"/>
      <c r="BC1420" s="16"/>
      <c r="BD1420" s="125"/>
      <c r="BE1420" s="125"/>
      <c r="BF1420" s="16"/>
      <c r="BG1420" s="125"/>
      <c r="BQ1420" s="125"/>
      <c r="BR1420" s="16"/>
      <c r="BS1420" s="123"/>
      <c r="BT1420" s="19"/>
      <c r="BU1420" s="139"/>
      <c r="BV1420" s="139"/>
      <c r="BW1420" s="123"/>
      <c r="BX1420" s="123"/>
      <c r="BY1420" s="123"/>
      <c r="BZ1420" s="123"/>
      <c r="CA1420" s="123"/>
      <c r="CB1420" s="123"/>
      <c r="CC1420" s="6"/>
      <c r="CD1420" s="123"/>
      <c r="CE1420" s="6"/>
      <c r="CF1420" s="123"/>
      <c r="CG1420" s="6"/>
      <c r="CH1420" s="6"/>
      <c r="CI1420" s="6"/>
      <c r="CJ1420" s="6"/>
      <c r="CK1420" s="123"/>
      <c r="CL1420" s="6"/>
      <c r="CM1420" s="6"/>
      <c r="CN1420" s="6"/>
      <c r="CO1420" s="138"/>
      <c r="CP1420" s="138"/>
      <c r="CQ1420" s="123"/>
      <c r="CR1420" s="6"/>
      <c r="CS1420" s="6"/>
      <c r="CT1420" s="139"/>
      <c r="CU1420" s="139"/>
      <c r="CV1420" s="76"/>
      <c r="CW1420" s="123"/>
      <c r="CX1420" s="6"/>
      <c r="DI1420" s="125"/>
      <c r="DJ1420" s="16"/>
      <c r="DM1420" s="16"/>
      <c r="DN1420" s="16"/>
      <c r="DO1420" s="125"/>
      <c r="DP1420" s="16"/>
      <c r="DQ1420" s="125"/>
      <c r="DZ1420" s="125"/>
      <c r="EA1420" s="142"/>
      <c r="EB1420" s="125"/>
      <c r="EC1420" s="16"/>
      <c r="ED1420" s="125"/>
      <c r="EE1420" s="125"/>
      <c r="EF1420" s="16"/>
      <c r="EG1420" s="125"/>
      <c r="EQ1420" s="125"/>
      <c r="ER1420" s="16"/>
      <c r="ES1420" s="123"/>
      <c r="ET1420" s="19"/>
      <c r="EU1420" s="139"/>
      <c r="EV1420" s="139"/>
      <c r="EW1420" s="123"/>
      <c r="EX1420" s="123"/>
      <c r="EY1420" s="123"/>
      <c r="EZ1420" s="123"/>
      <c r="FA1420" s="123"/>
      <c r="FB1420" s="123"/>
      <c r="FC1420" s="6"/>
      <c r="FD1420" s="123"/>
      <c r="FE1420" s="6"/>
      <c r="FF1420" s="123"/>
      <c r="FG1420" s="6"/>
      <c r="FH1420" s="6"/>
      <c r="FI1420" s="6"/>
      <c r="FJ1420" s="6"/>
      <c r="FK1420" s="123"/>
      <c r="FL1420" s="6"/>
      <c r="FM1420" s="6"/>
      <c r="FN1420" s="6"/>
      <c r="FO1420" s="138"/>
      <c r="FP1420" s="138"/>
      <c r="FQ1420" s="123"/>
      <c r="FR1420" s="6"/>
      <c r="FS1420" s="6"/>
      <c r="FT1420" s="139"/>
      <c r="FU1420" s="139"/>
      <c r="FV1420" s="76"/>
      <c r="FW1420" s="123"/>
      <c r="FX1420" s="6"/>
    </row>
    <row r="1421" spans="35:180">
      <c r="AI1421" s="125"/>
      <c r="AJ1421" s="16"/>
      <c r="AM1421" s="16"/>
      <c r="AN1421" s="16"/>
      <c r="AO1421" s="125"/>
      <c r="AP1421" s="16"/>
      <c r="AQ1421" s="125"/>
      <c r="AZ1421" s="125"/>
      <c r="BA1421" s="142"/>
      <c r="BB1421" s="125"/>
      <c r="BC1421" s="16"/>
      <c r="BD1421" s="125"/>
      <c r="BE1421" s="125"/>
      <c r="BF1421" s="16"/>
      <c r="BG1421" s="125"/>
      <c r="BQ1421" s="125"/>
      <c r="BR1421" s="16"/>
      <c r="BS1421" s="123"/>
      <c r="BT1421" s="19"/>
      <c r="BU1421" s="139"/>
      <c r="BV1421" s="139"/>
      <c r="BW1421" s="123"/>
      <c r="BX1421" s="123"/>
      <c r="BY1421" s="123"/>
      <c r="BZ1421" s="123"/>
      <c r="CA1421" s="123"/>
      <c r="CB1421" s="123"/>
      <c r="CC1421" s="6"/>
      <c r="CD1421" s="123"/>
      <c r="CE1421" s="6"/>
      <c r="CF1421" s="123"/>
      <c r="CG1421" s="6"/>
      <c r="CH1421" s="6"/>
      <c r="CI1421" s="6"/>
      <c r="CJ1421" s="6"/>
      <c r="CK1421" s="123"/>
      <c r="CL1421" s="6"/>
      <c r="CM1421" s="6"/>
      <c r="CN1421" s="6"/>
      <c r="CO1421" s="138"/>
      <c r="CP1421" s="138"/>
      <c r="CQ1421" s="123"/>
      <c r="CR1421" s="6"/>
      <c r="CS1421" s="6"/>
      <c r="CT1421" s="139"/>
      <c r="CU1421" s="139"/>
      <c r="CV1421" s="76"/>
      <c r="CW1421" s="123"/>
      <c r="CX1421" s="6"/>
      <c r="DI1421" s="125"/>
      <c r="DJ1421" s="16"/>
      <c r="DM1421" s="16"/>
      <c r="DN1421" s="16"/>
      <c r="DO1421" s="125"/>
      <c r="DP1421" s="16"/>
      <c r="DQ1421" s="125"/>
      <c r="DZ1421" s="125"/>
      <c r="EA1421" s="142"/>
      <c r="EB1421" s="125"/>
      <c r="EC1421" s="16"/>
      <c r="ED1421" s="125"/>
      <c r="EE1421" s="125"/>
      <c r="EF1421" s="16"/>
      <c r="EG1421" s="125"/>
      <c r="EQ1421" s="125"/>
      <c r="ER1421" s="16"/>
      <c r="ES1421" s="123"/>
      <c r="ET1421" s="19"/>
      <c r="EU1421" s="139"/>
      <c r="EV1421" s="139"/>
      <c r="EW1421" s="123"/>
      <c r="EX1421" s="123"/>
      <c r="EY1421" s="123"/>
      <c r="EZ1421" s="123"/>
      <c r="FA1421" s="123"/>
      <c r="FB1421" s="123"/>
      <c r="FC1421" s="6"/>
      <c r="FD1421" s="123"/>
      <c r="FE1421" s="6"/>
      <c r="FF1421" s="123"/>
      <c r="FG1421" s="6"/>
      <c r="FH1421" s="6"/>
      <c r="FI1421" s="6"/>
      <c r="FJ1421" s="6"/>
      <c r="FK1421" s="123"/>
      <c r="FL1421" s="6"/>
      <c r="FM1421" s="6"/>
      <c r="FN1421" s="6"/>
      <c r="FO1421" s="138"/>
      <c r="FP1421" s="138"/>
      <c r="FQ1421" s="123"/>
      <c r="FR1421" s="6"/>
      <c r="FS1421" s="6"/>
      <c r="FT1421" s="139"/>
      <c r="FU1421" s="139"/>
      <c r="FV1421" s="76"/>
      <c r="FW1421" s="123"/>
      <c r="FX1421" s="6"/>
    </row>
    <row r="1422" spans="35:180">
      <c r="AI1422" s="125"/>
      <c r="AJ1422" s="16"/>
      <c r="AM1422" s="16"/>
      <c r="AN1422" s="16"/>
      <c r="AO1422" s="125"/>
      <c r="AP1422" s="16"/>
      <c r="AQ1422" s="125"/>
      <c r="AZ1422" s="125"/>
      <c r="BA1422" s="142"/>
      <c r="BB1422" s="125"/>
      <c r="BC1422" s="16"/>
      <c r="BD1422" s="125"/>
      <c r="BE1422" s="125"/>
      <c r="BF1422" s="16"/>
      <c r="BG1422" s="125"/>
      <c r="BQ1422" s="125"/>
      <c r="BR1422" s="16"/>
      <c r="BS1422" s="123"/>
      <c r="BT1422" s="19"/>
      <c r="BU1422" s="139"/>
      <c r="BV1422" s="139"/>
      <c r="BW1422" s="123"/>
      <c r="BX1422" s="123"/>
      <c r="BY1422" s="123"/>
      <c r="BZ1422" s="123"/>
      <c r="CA1422" s="123"/>
      <c r="CB1422" s="123"/>
      <c r="CC1422" s="6"/>
      <c r="CD1422" s="123"/>
      <c r="CE1422" s="6"/>
      <c r="CF1422" s="123"/>
      <c r="CG1422" s="6"/>
      <c r="CH1422" s="6"/>
      <c r="CI1422" s="6"/>
      <c r="CJ1422" s="6"/>
      <c r="CK1422" s="123"/>
      <c r="CL1422" s="6"/>
      <c r="CM1422" s="6"/>
      <c r="CN1422" s="6"/>
      <c r="CO1422" s="138"/>
      <c r="CP1422" s="138"/>
      <c r="CQ1422" s="123"/>
      <c r="CR1422" s="6"/>
      <c r="CS1422" s="6"/>
      <c r="CT1422" s="139"/>
      <c r="CU1422" s="139"/>
      <c r="CV1422" s="76"/>
      <c r="CW1422" s="123"/>
      <c r="CX1422" s="6"/>
      <c r="DI1422" s="125"/>
      <c r="DJ1422" s="16"/>
      <c r="DM1422" s="16"/>
      <c r="DN1422" s="16"/>
      <c r="DO1422" s="125"/>
      <c r="DP1422" s="16"/>
      <c r="DQ1422" s="125"/>
      <c r="DZ1422" s="125"/>
      <c r="EA1422" s="142"/>
      <c r="EB1422" s="125"/>
      <c r="EC1422" s="16"/>
      <c r="ED1422" s="125"/>
      <c r="EE1422" s="125"/>
      <c r="EF1422" s="16"/>
      <c r="EG1422" s="125"/>
      <c r="EQ1422" s="125"/>
      <c r="ER1422" s="16"/>
      <c r="ES1422" s="123"/>
      <c r="ET1422" s="19"/>
      <c r="EU1422" s="139"/>
      <c r="EV1422" s="139"/>
      <c r="EW1422" s="123"/>
      <c r="EX1422" s="123"/>
      <c r="EY1422" s="123"/>
      <c r="EZ1422" s="123"/>
      <c r="FA1422" s="123"/>
      <c r="FB1422" s="123"/>
      <c r="FC1422" s="6"/>
      <c r="FD1422" s="123"/>
      <c r="FE1422" s="6"/>
      <c r="FF1422" s="123"/>
      <c r="FG1422" s="6"/>
      <c r="FH1422" s="6"/>
      <c r="FI1422" s="6"/>
      <c r="FJ1422" s="6"/>
      <c r="FK1422" s="123"/>
      <c r="FL1422" s="6"/>
      <c r="FM1422" s="6"/>
      <c r="FN1422" s="6"/>
      <c r="FO1422" s="138"/>
      <c r="FP1422" s="138"/>
      <c r="FQ1422" s="123"/>
      <c r="FR1422" s="6"/>
      <c r="FS1422" s="6"/>
      <c r="FT1422" s="139"/>
      <c r="FU1422" s="139"/>
      <c r="FV1422" s="76"/>
      <c r="FW1422" s="123"/>
      <c r="FX1422" s="6"/>
    </row>
    <row r="1423" spans="35:180">
      <c r="AI1423" s="125"/>
      <c r="AJ1423" s="16"/>
      <c r="AM1423" s="16"/>
      <c r="AN1423" s="16"/>
      <c r="AO1423" s="125"/>
      <c r="AP1423" s="16"/>
      <c r="AQ1423" s="125"/>
      <c r="AZ1423" s="125"/>
      <c r="BA1423" s="142"/>
      <c r="BB1423" s="125"/>
      <c r="BC1423" s="16"/>
      <c r="BD1423" s="125"/>
      <c r="BE1423" s="125"/>
      <c r="BF1423" s="16"/>
      <c r="BG1423" s="125"/>
      <c r="BQ1423" s="125"/>
      <c r="BR1423" s="16"/>
      <c r="BS1423" s="123"/>
      <c r="BT1423" s="19"/>
      <c r="BU1423" s="139"/>
      <c r="BV1423" s="139"/>
      <c r="BW1423" s="123"/>
      <c r="BX1423" s="123"/>
      <c r="BY1423" s="123"/>
      <c r="BZ1423" s="123"/>
      <c r="CA1423" s="123"/>
      <c r="CB1423" s="123"/>
      <c r="CC1423" s="6"/>
      <c r="CD1423" s="123"/>
      <c r="CE1423" s="6"/>
      <c r="CF1423" s="123"/>
      <c r="CG1423" s="6"/>
      <c r="CH1423" s="6"/>
      <c r="CI1423" s="6"/>
      <c r="CJ1423" s="6"/>
      <c r="CK1423" s="123"/>
      <c r="CL1423" s="6"/>
      <c r="CM1423" s="6"/>
      <c r="CN1423" s="6"/>
      <c r="CO1423" s="138"/>
      <c r="CP1423" s="138"/>
      <c r="CQ1423" s="123"/>
      <c r="CR1423" s="6"/>
      <c r="CS1423" s="6"/>
      <c r="CT1423" s="139"/>
      <c r="CU1423" s="139"/>
      <c r="CV1423" s="76"/>
      <c r="CW1423" s="123"/>
      <c r="CX1423" s="6"/>
      <c r="DI1423" s="125"/>
      <c r="DJ1423" s="16"/>
      <c r="DM1423" s="16"/>
      <c r="DN1423" s="16"/>
      <c r="DO1423" s="125"/>
      <c r="DP1423" s="16"/>
      <c r="DQ1423" s="125"/>
      <c r="DZ1423" s="125"/>
      <c r="EA1423" s="142"/>
      <c r="EB1423" s="125"/>
      <c r="EC1423" s="16"/>
      <c r="ED1423" s="125"/>
      <c r="EE1423" s="125"/>
      <c r="EF1423" s="16"/>
      <c r="EG1423" s="125"/>
      <c r="EQ1423" s="125"/>
      <c r="ER1423" s="16"/>
      <c r="ES1423" s="123"/>
      <c r="ET1423" s="19"/>
      <c r="EU1423" s="139"/>
      <c r="EV1423" s="139"/>
      <c r="EW1423" s="123"/>
      <c r="EX1423" s="123"/>
      <c r="EY1423" s="123"/>
      <c r="EZ1423" s="123"/>
      <c r="FA1423" s="123"/>
      <c r="FB1423" s="123"/>
      <c r="FC1423" s="6"/>
      <c r="FD1423" s="123"/>
      <c r="FE1423" s="6"/>
      <c r="FF1423" s="123"/>
      <c r="FG1423" s="6"/>
      <c r="FH1423" s="6"/>
      <c r="FI1423" s="6"/>
      <c r="FJ1423" s="6"/>
      <c r="FK1423" s="123"/>
      <c r="FL1423" s="6"/>
      <c r="FM1423" s="6"/>
      <c r="FN1423" s="6"/>
      <c r="FO1423" s="138"/>
      <c r="FP1423" s="138"/>
      <c r="FQ1423" s="123"/>
      <c r="FR1423" s="6"/>
      <c r="FS1423" s="6"/>
      <c r="FT1423" s="139"/>
      <c r="FU1423" s="139"/>
      <c r="FV1423" s="76"/>
      <c r="FW1423" s="123"/>
      <c r="FX1423" s="6"/>
    </row>
    <row r="1424" spans="35:180">
      <c r="AI1424" s="125"/>
      <c r="AJ1424" s="16"/>
      <c r="AM1424" s="16"/>
      <c r="AN1424" s="16"/>
      <c r="AO1424" s="125"/>
      <c r="AP1424" s="16"/>
      <c r="AQ1424" s="125"/>
      <c r="AZ1424" s="125"/>
      <c r="BA1424" s="142"/>
      <c r="BB1424" s="125"/>
      <c r="BC1424" s="16"/>
      <c r="BD1424" s="125"/>
      <c r="BE1424" s="125"/>
      <c r="BF1424" s="16"/>
      <c r="BG1424" s="125"/>
      <c r="BQ1424" s="125"/>
      <c r="BR1424" s="16"/>
      <c r="BS1424" s="123"/>
      <c r="BT1424" s="19"/>
      <c r="BU1424" s="139"/>
      <c r="BV1424" s="139"/>
      <c r="BW1424" s="123"/>
      <c r="BX1424" s="123"/>
      <c r="BY1424" s="123"/>
      <c r="BZ1424" s="123"/>
      <c r="CA1424" s="123"/>
      <c r="CB1424" s="123"/>
      <c r="CC1424" s="6"/>
      <c r="CD1424" s="123"/>
      <c r="CE1424" s="6"/>
      <c r="CF1424" s="123"/>
      <c r="CG1424" s="6"/>
      <c r="CH1424" s="6"/>
      <c r="CI1424" s="6"/>
      <c r="CJ1424" s="6"/>
      <c r="CK1424" s="123"/>
      <c r="CL1424" s="6"/>
      <c r="CM1424" s="6"/>
      <c r="CN1424" s="6"/>
      <c r="CO1424" s="138"/>
      <c r="CP1424" s="138"/>
      <c r="CQ1424" s="123"/>
      <c r="CR1424" s="6"/>
      <c r="CS1424" s="6"/>
      <c r="CT1424" s="139"/>
      <c r="CU1424" s="139"/>
      <c r="CV1424" s="76"/>
      <c r="CW1424" s="123"/>
      <c r="CX1424" s="6"/>
      <c r="DI1424" s="125"/>
      <c r="DJ1424" s="16"/>
      <c r="DM1424" s="16"/>
      <c r="DN1424" s="16"/>
      <c r="DO1424" s="125"/>
      <c r="DP1424" s="16"/>
      <c r="DQ1424" s="125"/>
      <c r="DZ1424" s="125"/>
      <c r="EA1424" s="142"/>
      <c r="EB1424" s="125"/>
      <c r="EC1424" s="16"/>
      <c r="ED1424" s="125"/>
      <c r="EE1424" s="125"/>
      <c r="EF1424" s="16"/>
      <c r="EG1424" s="125"/>
      <c r="EQ1424" s="125"/>
      <c r="ER1424" s="16"/>
      <c r="ES1424" s="123"/>
      <c r="ET1424" s="19"/>
      <c r="EU1424" s="139"/>
      <c r="EV1424" s="139"/>
      <c r="EW1424" s="123"/>
      <c r="EX1424" s="123"/>
      <c r="EY1424" s="123"/>
      <c r="EZ1424" s="123"/>
      <c r="FA1424" s="123"/>
      <c r="FB1424" s="123"/>
      <c r="FC1424" s="6"/>
      <c r="FD1424" s="123"/>
      <c r="FE1424" s="6"/>
      <c r="FF1424" s="123"/>
      <c r="FG1424" s="6"/>
      <c r="FH1424" s="6"/>
      <c r="FI1424" s="6"/>
      <c r="FJ1424" s="6"/>
      <c r="FK1424" s="123"/>
      <c r="FL1424" s="6"/>
      <c r="FM1424" s="6"/>
      <c r="FN1424" s="6"/>
      <c r="FO1424" s="138"/>
      <c r="FP1424" s="138"/>
      <c r="FQ1424" s="123"/>
      <c r="FR1424" s="6"/>
      <c r="FS1424" s="6"/>
      <c r="FT1424" s="139"/>
      <c r="FU1424" s="139"/>
      <c r="FV1424" s="76"/>
      <c r="FW1424" s="123"/>
      <c r="FX1424" s="6"/>
    </row>
    <row r="1425" spans="35:180">
      <c r="AI1425" s="125"/>
      <c r="AJ1425" s="16"/>
      <c r="AM1425" s="16"/>
      <c r="AN1425" s="16"/>
      <c r="AO1425" s="125"/>
      <c r="AP1425" s="16"/>
      <c r="AQ1425" s="125"/>
      <c r="AZ1425" s="125"/>
      <c r="BA1425" s="142"/>
      <c r="BB1425" s="125"/>
      <c r="BC1425" s="16"/>
      <c r="BD1425" s="125"/>
      <c r="BE1425" s="125"/>
      <c r="BF1425" s="16"/>
      <c r="BG1425" s="125"/>
      <c r="BQ1425" s="125"/>
      <c r="BR1425" s="16"/>
      <c r="BS1425" s="123"/>
      <c r="BT1425" s="19"/>
      <c r="BU1425" s="139"/>
      <c r="BV1425" s="139"/>
      <c r="BW1425" s="123"/>
      <c r="BX1425" s="123"/>
      <c r="BY1425" s="123"/>
      <c r="BZ1425" s="123"/>
      <c r="CA1425" s="123"/>
      <c r="CB1425" s="123"/>
      <c r="CC1425" s="6"/>
      <c r="CD1425" s="123"/>
      <c r="CE1425" s="6"/>
      <c r="CF1425" s="123"/>
      <c r="CG1425" s="6"/>
      <c r="CH1425" s="6"/>
      <c r="CI1425" s="6"/>
      <c r="CJ1425" s="6"/>
      <c r="CK1425" s="123"/>
      <c r="CL1425" s="6"/>
      <c r="CM1425" s="6"/>
      <c r="CN1425" s="6"/>
      <c r="CO1425" s="138"/>
      <c r="CP1425" s="138"/>
      <c r="CQ1425" s="123"/>
      <c r="CR1425" s="6"/>
      <c r="CS1425" s="6"/>
      <c r="CT1425" s="139"/>
      <c r="CU1425" s="139"/>
      <c r="CV1425" s="76"/>
      <c r="CW1425" s="123"/>
      <c r="CX1425" s="6"/>
      <c r="DI1425" s="125"/>
      <c r="DJ1425" s="16"/>
      <c r="DM1425" s="16"/>
      <c r="DN1425" s="16"/>
      <c r="DO1425" s="125"/>
      <c r="DP1425" s="16"/>
      <c r="DQ1425" s="125"/>
      <c r="DZ1425" s="125"/>
      <c r="EA1425" s="142"/>
      <c r="EB1425" s="125"/>
      <c r="EC1425" s="16"/>
      <c r="ED1425" s="125"/>
      <c r="EE1425" s="125"/>
      <c r="EF1425" s="16"/>
      <c r="EG1425" s="125"/>
      <c r="EQ1425" s="125"/>
      <c r="ER1425" s="16"/>
      <c r="ES1425" s="123"/>
      <c r="ET1425" s="19"/>
      <c r="EU1425" s="139"/>
      <c r="EV1425" s="139"/>
      <c r="EW1425" s="123"/>
      <c r="EX1425" s="123"/>
      <c r="EY1425" s="123"/>
      <c r="EZ1425" s="123"/>
      <c r="FA1425" s="123"/>
      <c r="FB1425" s="123"/>
      <c r="FC1425" s="6"/>
      <c r="FD1425" s="123"/>
      <c r="FE1425" s="6"/>
      <c r="FF1425" s="123"/>
      <c r="FG1425" s="6"/>
      <c r="FH1425" s="6"/>
      <c r="FI1425" s="6"/>
      <c r="FJ1425" s="6"/>
      <c r="FK1425" s="123"/>
      <c r="FL1425" s="6"/>
      <c r="FM1425" s="6"/>
      <c r="FN1425" s="6"/>
      <c r="FO1425" s="138"/>
      <c r="FP1425" s="138"/>
      <c r="FQ1425" s="123"/>
      <c r="FR1425" s="6"/>
      <c r="FS1425" s="6"/>
      <c r="FT1425" s="139"/>
      <c r="FU1425" s="139"/>
      <c r="FV1425" s="76"/>
      <c r="FW1425" s="123"/>
      <c r="FX1425" s="6"/>
    </row>
    <row r="1426" spans="35:180">
      <c r="AI1426" s="125"/>
      <c r="AJ1426" s="16"/>
      <c r="AM1426" s="16"/>
      <c r="AN1426" s="16"/>
      <c r="AO1426" s="125"/>
      <c r="AP1426" s="16"/>
      <c r="AQ1426" s="125"/>
      <c r="AZ1426" s="125"/>
      <c r="BA1426" s="142"/>
      <c r="BB1426" s="125"/>
      <c r="BC1426" s="16"/>
      <c r="BD1426" s="125"/>
      <c r="BE1426" s="125"/>
      <c r="BF1426" s="16"/>
      <c r="BG1426" s="125"/>
      <c r="BQ1426" s="125"/>
      <c r="BR1426" s="16"/>
      <c r="BS1426" s="123"/>
      <c r="BT1426" s="19"/>
      <c r="BU1426" s="139"/>
      <c r="BV1426" s="139"/>
      <c r="BW1426" s="123"/>
      <c r="BX1426" s="123"/>
      <c r="BY1426" s="123"/>
      <c r="BZ1426" s="123"/>
      <c r="CA1426" s="123"/>
      <c r="CB1426" s="123"/>
      <c r="CC1426" s="6"/>
      <c r="CD1426" s="123"/>
      <c r="CE1426" s="6"/>
      <c r="CF1426" s="123"/>
      <c r="CG1426" s="6"/>
      <c r="CH1426" s="6"/>
      <c r="CI1426" s="6"/>
      <c r="CJ1426" s="6"/>
      <c r="CK1426" s="123"/>
      <c r="CL1426" s="6"/>
      <c r="CM1426" s="6"/>
      <c r="CN1426" s="6"/>
      <c r="CO1426" s="138"/>
      <c r="CP1426" s="138"/>
      <c r="CQ1426" s="123"/>
      <c r="CR1426" s="6"/>
      <c r="CS1426" s="6"/>
      <c r="CT1426" s="139"/>
      <c r="CU1426" s="139"/>
      <c r="CV1426" s="76"/>
      <c r="CW1426" s="123"/>
      <c r="CX1426" s="6"/>
      <c r="DI1426" s="125"/>
      <c r="DJ1426" s="16"/>
      <c r="DM1426" s="16"/>
      <c r="DN1426" s="16"/>
      <c r="DO1426" s="125"/>
      <c r="DP1426" s="16"/>
      <c r="DQ1426" s="125"/>
      <c r="DZ1426" s="125"/>
      <c r="EA1426" s="142"/>
      <c r="EB1426" s="125"/>
      <c r="EC1426" s="16"/>
      <c r="ED1426" s="125"/>
      <c r="EE1426" s="125"/>
      <c r="EF1426" s="16"/>
      <c r="EG1426" s="125"/>
      <c r="EQ1426" s="125"/>
      <c r="ER1426" s="16"/>
      <c r="ES1426" s="123"/>
      <c r="ET1426" s="19"/>
      <c r="EU1426" s="139"/>
      <c r="EV1426" s="139"/>
      <c r="EW1426" s="123"/>
      <c r="EX1426" s="123"/>
      <c r="EY1426" s="123"/>
      <c r="EZ1426" s="123"/>
      <c r="FA1426" s="123"/>
      <c r="FB1426" s="123"/>
      <c r="FC1426" s="6"/>
      <c r="FD1426" s="123"/>
      <c r="FE1426" s="6"/>
      <c r="FF1426" s="123"/>
      <c r="FG1426" s="6"/>
      <c r="FH1426" s="6"/>
      <c r="FI1426" s="6"/>
      <c r="FJ1426" s="6"/>
      <c r="FK1426" s="123"/>
      <c r="FL1426" s="6"/>
      <c r="FM1426" s="6"/>
      <c r="FN1426" s="6"/>
      <c r="FO1426" s="138"/>
      <c r="FP1426" s="138"/>
      <c r="FQ1426" s="123"/>
      <c r="FR1426" s="6"/>
      <c r="FS1426" s="6"/>
      <c r="FT1426" s="139"/>
      <c r="FU1426" s="139"/>
      <c r="FV1426" s="76"/>
      <c r="FW1426" s="123"/>
      <c r="FX1426" s="6"/>
    </row>
    <row r="1427" spans="35:180">
      <c r="AI1427" s="125"/>
      <c r="AJ1427" s="16"/>
      <c r="AM1427" s="16"/>
      <c r="AN1427" s="16"/>
      <c r="AO1427" s="125"/>
      <c r="AP1427" s="16"/>
      <c r="AQ1427" s="125"/>
      <c r="AZ1427" s="125"/>
      <c r="BA1427" s="142"/>
      <c r="BB1427" s="125"/>
      <c r="BC1427" s="16"/>
      <c r="BD1427" s="125"/>
      <c r="BE1427" s="125"/>
      <c r="BF1427" s="16"/>
      <c r="BG1427" s="125"/>
      <c r="BQ1427" s="125"/>
      <c r="BR1427" s="16"/>
      <c r="BS1427" s="123"/>
      <c r="BT1427" s="19"/>
      <c r="BU1427" s="139"/>
      <c r="BV1427" s="139"/>
      <c r="BW1427" s="123"/>
      <c r="BX1427" s="123"/>
      <c r="BY1427" s="123"/>
      <c r="BZ1427" s="123"/>
      <c r="CA1427" s="123"/>
      <c r="CB1427" s="123"/>
      <c r="CC1427" s="6"/>
      <c r="CD1427" s="123"/>
      <c r="CE1427" s="6"/>
      <c r="CF1427" s="123"/>
      <c r="CG1427" s="6"/>
      <c r="CH1427" s="6"/>
      <c r="CI1427" s="6"/>
      <c r="CJ1427" s="6"/>
      <c r="CK1427" s="123"/>
      <c r="CL1427" s="6"/>
      <c r="CM1427" s="6"/>
      <c r="CN1427" s="6"/>
      <c r="CO1427" s="138"/>
      <c r="CP1427" s="138"/>
      <c r="CQ1427" s="123"/>
      <c r="CR1427" s="6"/>
      <c r="CS1427" s="6"/>
      <c r="CT1427" s="139"/>
      <c r="CU1427" s="139"/>
      <c r="CV1427" s="76"/>
      <c r="CW1427" s="123"/>
      <c r="CX1427" s="6"/>
      <c r="DI1427" s="125"/>
      <c r="DJ1427" s="16"/>
      <c r="DM1427" s="16"/>
      <c r="DN1427" s="16"/>
      <c r="DO1427" s="125"/>
      <c r="DP1427" s="16"/>
      <c r="DQ1427" s="125"/>
      <c r="DZ1427" s="125"/>
      <c r="EA1427" s="142"/>
      <c r="EB1427" s="125"/>
      <c r="EC1427" s="16"/>
      <c r="ED1427" s="125"/>
      <c r="EE1427" s="125"/>
      <c r="EF1427" s="16"/>
      <c r="EG1427" s="125"/>
      <c r="EQ1427" s="125"/>
      <c r="ER1427" s="16"/>
      <c r="ES1427" s="123"/>
      <c r="ET1427" s="19"/>
      <c r="EU1427" s="139"/>
      <c r="EV1427" s="139"/>
      <c r="EW1427" s="123"/>
      <c r="EX1427" s="123"/>
      <c r="EY1427" s="123"/>
      <c r="EZ1427" s="123"/>
      <c r="FA1427" s="123"/>
      <c r="FB1427" s="123"/>
      <c r="FC1427" s="6"/>
      <c r="FD1427" s="123"/>
      <c r="FE1427" s="6"/>
      <c r="FF1427" s="123"/>
      <c r="FG1427" s="6"/>
      <c r="FH1427" s="6"/>
      <c r="FI1427" s="6"/>
      <c r="FJ1427" s="6"/>
      <c r="FK1427" s="123"/>
      <c r="FL1427" s="6"/>
      <c r="FM1427" s="6"/>
      <c r="FN1427" s="6"/>
      <c r="FO1427" s="138"/>
      <c r="FP1427" s="138"/>
      <c r="FQ1427" s="123"/>
      <c r="FR1427" s="6"/>
      <c r="FS1427" s="6"/>
      <c r="FT1427" s="139"/>
      <c r="FU1427" s="139"/>
      <c r="FV1427" s="76"/>
      <c r="FW1427" s="123"/>
      <c r="FX1427" s="6"/>
    </row>
    <row r="1428" spans="35:180">
      <c r="AI1428" s="125"/>
      <c r="AJ1428" s="16"/>
      <c r="AM1428" s="16"/>
      <c r="AN1428" s="16"/>
      <c r="AO1428" s="125"/>
      <c r="AP1428" s="16"/>
      <c r="AQ1428" s="125"/>
      <c r="AZ1428" s="125"/>
      <c r="BA1428" s="142"/>
      <c r="BB1428" s="125"/>
      <c r="BC1428" s="16"/>
      <c r="BD1428" s="125"/>
      <c r="BE1428" s="125"/>
      <c r="BF1428" s="16"/>
      <c r="BG1428" s="125"/>
      <c r="BQ1428" s="125"/>
      <c r="BR1428" s="16"/>
      <c r="BS1428" s="123"/>
      <c r="BT1428" s="19"/>
      <c r="BU1428" s="139"/>
      <c r="BV1428" s="139"/>
      <c r="BW1428" s="123"/>
      <c r="BX1428" s="123"/>
      <c r="BY1428" s="123"/>
      <c r="BZ1428" s="123"/>
      <c r="CA1428" s="123"/>
      <c r="CB1428" s="123"/>
      <c r="CC1428" s="6"/>
      <c r="CD1428" s="123"/>
      <c r="CE1428" s="6"/>
      <c r="CF1428" s="123"/>
      <c r="CG1428" s="6"/>
      <c r="CH1428" s="6"/>
      <c r="CI1428" s="6"/>
      <c r="CJ1428" s="6"/>
      <c r="CK1428" s="123"/>
      <c r="CL1428" s="6"/>
      <c r="CM1428" s="6"/>
      <c r="CN1428" s="6"/>
      <c r="CO1428" s="138"/>
      <c r="CP1428" s="138"/>
      <c r="CQ1428" s="123"/>
      <c r="CR1428" s="6"/>
      <c r="CS1428" s="6"/>
      <c r="CT1428" s="139"/>
      <c r="CU1428" s="139"/>
      <c r="CV1428" s="76"/>
      <c r="CW1428" s="123"/>
      <c r="CX1428" s="6"/>
      <c r="DI1428" s="125"/>
      <c r="DJ1428" s="16"/>
      <c r="DM1428" s="16"/>
      <c r="DN1428" s="16"/>
      <c r="DO1428" s="125"/>
      <c r="DP1428" s="16"/>
      <c r="DQ1428" s="125"/>
      <c r="DZ1428" s="125"/>
      <c r="EA1428" s="142"/>
      <c r="EB1428" s="125"/>
      <c r="EC1428" s="16"/>
      <c r="ED1428" s="125"/>
      <c r="EE1428" s="125"/>
      <c r="EF1428" s="16"/>
      <c r="EG1428" s="125"/>
      <c r="EQ1428" s="125"/>
      <c r="ER1428" s="16"/>
      <c r="ES1428" s="123"/>
      <c r="ET1428" s="19"/>
      <c r="EU1428" s="139"/>
      <c r="EV1428" s="139"/>
      <c r="EW1428" s="123"/>
      <c r="EX1428" s="123"/>
      <c r="EY1428" s="123"/>
      <c r="EZ1428" s="123"/>
      <c r="FA1428" s="123"/>
      <c r="FB1428" s="123"/>
      <c r="FC1428" s="6"/>
      <c r="FD1428" s="123"/>
      <c r="FE1428" s="6"/>
      <c r="FF1428" s="123"/>
      <c r="FG1428" s="6"/>
      <c r="FH1428" s="6"/>
      <c r="FI1428" s="6"/>
      <c r="FJ1428" s="6"/>
      <c r="FK1428" s="123"/>
      <c r="FL1428" s="6"/>
      <c r="FM1428" s="6"/>
      <c r="FN1428" s="6"/>
      <c r="FO1428" s="138"/>
      <c r="FP1428" s="138"/>
      <c r="FQ1428" s="123"/>
      <c r="FR1428" s="6"/>
      <c r="FS1428" s="6"/>
      <c r="FT1428" s="139"/>
      <c r="FU1428" s="139"/>
      <c r="FV1428" s="76"/>
      <c r="FW1428" s="123"/>
      <c r="FX1428" s="6"/>
    </row>
    <row r="1429" spans="35:180">
      <c r="AI1429" s="125"/>
      <c r="AJ1429" s="16"/>
      <c r="AM1429" s="16"/>
      <c r="AN1429" s="16"/>
      <c r="AO1429" s="125"/>
      <c r="AP1429" s="16"/>
      <c r="AQ1429" s="125"/>
      <c r="AZ1429" s="125"/>
      <c r="BA1429" s="142"/>
      <c r="BB1429" s="125"/>
      <c r="BC1429" s="16"/>
      <c r="BD1429" s="125"/>
      <c r="BE1429" s="125"/>
      <c r="BF1429" s="16"/>
      <c r="BG1429" s="125"/>
      <c r="BQ1429" s="125"/>
      <c r="BR1429" s="16"/>
      <c r="BS1429" s="123"/>
      <c r="BT1429" s="19"/>
      <c r="BU1429" s="139"/>
      <c r="BV1429" s="139"/>
      <c r="BW1429" s="123"/>
      <c r="BX1429" s="123"/>
      <c r="BY1429" s="123"/>
      <c r="BZ1429" s="123"/>
      <c r="CA1429" s="123"/>
      <c r="CB1429" s="123"/>
      <c r="CC1429" s="6"/>
      <c r="CD1429" s="123"/>
      <c r="CE1429" s="6"/>
      <c r="CF1429" s="123"/>
      <c r="CG1429" s="6"/>
      <c r="CH1429" s="6"/>
      <c r="CI1429" s="6"/>
      <c r="CJ1429" s="6"/>
      <c r="CK1429" s="123"/>
      <c r="CL1429" s="6"/>
      <c r="CM1429" s="6"/>
      <c r="CN1429" s="6"/>
      <c r="CO1429" s="138"/>
      <c r="CP1429" s="138"/>
      <c r="CQ1429" s="123"/>
      <c r="CR1429" s="6"/>
      <c r="CS1429" s="6"/>
      <c r="CT1429" s="139"/>
      <c r="CU1429" s="139"/>
      <c r="CV1429" s="76"/>
      <c r="CW1429" s="123"/>
      <c r="CX1429" s="6"/>
      <c r="DI1429" s="125"/>
      <c r="DJ1429" s="16"/>
      <c r="DM1429" s="16"/>
      <c r="DN1429" s="16"/>
      <c r="DO1429" s="125"/>
      <c r="DP1429" s="16"/>
      <c r="DQ1429" s="125"/>
      <c r="DZ1429" s="125"/>
      <c r="EA1429" s="142"/>
      <c r="EB1429" s="125"/>
      <c r="EC1429" s="16"/>
      <c r="ED1429" s="125"/>
      <c r="EE1429" s="125"/>
      <c r="EF1429" s="16"/>
      <c r="EG1429" s="125"/>
      <c r="EQ1429" s="125"/>
      <c r="ER1429" s="16"/>
      <c r="ES1429" s="123"/>
      <c r="ET1429" s="19"/>
      <c r="EU1429" s="139"/>
      <c r="EV1429" s="139"/>
      <c r="EW1429" s="123"/>
      <c r="EX1429" s="123"/>
      <c r="EY1429" s="123"/>
      <c r="EZ1429" s="123"/>
      <c r="FA1429" s="123"/>
      <c r="FB1429" s="123"/>
      <c r="FC1429" s="6"/>
      <c r="FD1429" s="123"/>
      <c r="FE1429" s="6"/>
      <c r="FF1429" s="123"/>
      <c r="FG1429" s="6"/>
      <c r="FH1429" s="6"/>
      <c r="FI1429" s="6"/>
      <c r="FJ1429" s="6"/>
      <c r="FK1429" s="123"/>
      <c r="FL1429" s="6"/>
      <c r="FM1429" s="6"/>
      <c r="FN1429" s="6"/>
      <c r="FO1429" s="138"/>
      <c r="FP1429" s="138"/>
      <c r="FQ1429" s="123"/>
      <c r="FR1429" s="6"/>
      <c r="FS1429" s="6"/>
      <c r="FT1429" s="139"/>
      <c r="FU1429" s="139"/>
      <c r="FV1429" s="76"/>
      <c r="FW1429" s="123"/>
      <c r="FX1429" s="6"/>
    </row>
    <row r="1430" spans="35:180">
      <c r="AI1430" s="125"/>
      <c r="AJ1430" s="16"/>
      <c r="AM1430" s="16"/>
      <c r="AN1430" s="16"/>
      <c r="AO1430" s="125"/>
      <c r="AP1430" s="16"/>
      <c r="AQ1430" s="125"/>
      <c r="AZ1430" s="125"/>
      <c r="BA1430" s="142"/>
      <c r="BB1430" s="125"/>
      <c r="BC1430" s="16"/>
      <c r="BD1430" s="125"/>
      <c r="BE1430" s="125"/>
      <c r="BF1430" s="16"/>
      <c r="BG1430" s="125"/>
      <c r="BQ1430" s="125"/>
      <c r="BR1430" s="16"/>
      <c r="BS1430" s="123"/>
      <c r="BT1430" s="19"/>
      <c r="BU1430" s="139"/>
      <c r="BV1430" s="139"/>
      <c r="BW1430" s="123"/>
      <c r="BX1430" s="123"/>
      <c r="BY1430" s="123"/>
      <c r="BZ1430" s="123"/>
      <c r="CA1430" s="123"/>
      <c r="CB1430" s="123"/>
      <c r="CC1430" s="6"/>
      <c r="CD1430" s="123"/>
      <c r="CE1430" s="6"/>
      <c r="CF1430" s="123"/>
      <c r="CG1430" s="6"/>
      <c r="CH1430" s="6"/>
      <c r="CI1430" s="6"/>
      <c r="CJ1430" s="6"/>
      <c r="CK1430" s="123"/>
      <c r="CL1430" s="6"/>
      <c r="CM1430" s="6"/>
      <c r="CN1430" s="6"/>
      <c r="CO1430" s="138"/>
      <c r="CP1430" s="138"/>
      <c r="CQ1430" s="123"/>
      <c r="CR1430" s="6"/>
      <c r="CS1430" s="6"/>
      <c r="CT1430" s="139"/>
      <c r="CU1430" s="139"/>
      <c r="CV1430" s="76"/>
      <c r="CW1430" s="123"/>
      <c r="CX1430" s="6"/>
      <c r="DI1430" s="125"/>
      <c r="DJ1430" s="16"/>
      <c r="DM1430" s="16"/>
      <c r="DN1430" s="16"/>
      <c r="DO1430" s="125"/>
      <c r="DP1430" s="16"/>
      <c r="DQ1430" s="125"/>
      <c r="DZ1430" s="125"/>
      <c r="EA1430" s="142"/>
      <c r="EB1430" s="125"/>
      <c r="EC1430" s="16"/>
      <c r="ED1430" s="125"/>
      <c r="EE1430" s="125"/>
      <c r="EF1430" s="16"/>
      <c r="EG1430" s="125"/>
      <c r="EQ1430" s="125"/>
      <c r="ER1430" s="16"/>
      <c r="ES1430" s="123"/>
      <c r="ET1430" s="19"/>
      <c r="EU1430" s="139"/>
      <c r="EV1430" s="139"/>
      <c r="EW1430" s="123"/>
      <c r="EX1430" s="123"/>
      <c r="EY1430" s="123"/>
      <c r="EZ1430" s="123"/>
      <c r="FA1430" s="123"/>
      <c r="FB1430" s="123"/>
      <c r="FC1430" s="6"/>
      <c r="FD1430" s="123"/>
      <c r="FE1430" s="6"/>
      <c r="FF1430" s="123"/>
      <c r="FG1430" s="6"/>
      <c r="FH1430" s="6"/>
      <c r="FI1430" s="6"/>
      <c r="FJ1430" s="6"/>
      <c r="FK1430" s="123"/>
      <c r="FL1430" s="6"/>
      <c r="FM1430" s="6"/>
      <c r="FN1430" s="6"/>
      <c r="FO1430" s="138"/>
      <c r="FP1430" s="138"/>
      <c r="FQ1430" s="123"/>
      <c r="FR1430" s="6"/>
      <c r="FS1430" s="6"/>
      <c r="FT1430" s="139"/>
      <c r="FU1430" s="139"/>
      <c r="FV1430" s="76"/>
      <c r="FW1430" s="123"/>
      <c r="FX1430" s="6"/>
    </row>
    <row r="1431" spans="35:180">
      <c r="AI1431" s="125"/>
      <c r="AJ1431" s="16"/>
      <c r="AM1431" s="16"/>
      <c r="AN1431" s="16"/>
      <c r="AO1431" s="125"/>
      <c r="AP1431" s="16"/>
      <c r="AQ1431" s="125"/>
      <c r="AZ1431" s="125"/>
      <c r="BA1431" s="142"/>
      <c r="BB1431" s="125"/>
      <c r="BC1431" s="16"/>
      <c r="BD1431" s="125"/>
      <c r="BE1431" s="125"/>
      <c r="BF1431" s="16"/>
      <c r="BG1431" s="125"/>
      <c r="BQ1431" s="125"/>
      <c r="BR1431" s="16"/>
      <c r="BS1431" s="123"/>
      <c r="BT1431" s="19"/>
      <c r="BU1431" s="139"/>
      <c r="BV1431" s="139"/>
      <c r="BW1431" s="123"/>
      <c r="BX1431" s="123"/>
      <c r="BY1431" s="123"/>
      <c r="BZ1431" s="123"/>
      <c r="CA1431" s="123"/>
      <c r="CB1431" s="123"/>
      <c r="CC1431" s="6"/>
      <c r="CD1431" s="123"/>
      <c r="CE1431" s="6"/>
      <c r="CF1431" s="123"/>
      <c r="CG1431" s="6"/>
      <c r="CH1431" s="6"/>
      <c r="CI1431" s="6"/>
      <c r="CJ1431" s="6"/>
      <c r="CK1431" s="123"/>
      <c r="CL1431" s="6"/>
      <c r="CM1431" s="6"/>
      <c r="CN1431" s="6"/>
      <c r="CO1431" s="138"/>
      <c r="CP1431" s="138"/>
      <c r="CQ1431" s="123"/>
      <c r="CR1431" s="6"/>
      <c r="CS1431" s="6"/>
      <c r="CT1431" s="139"/>
      <c r="CU1431" s="139"/>
      <c r="CV1431" s="76"/>
      <c r="CW1431" s="123"/>
      <c r="CX1431" s="6"/>
      <c r="DI1431" s="125"/>
      <c r="DJ1431" s="16"/>
      <c r="DM1431" s="16"/>
      <c r="DN1431" s="16"/>
      <c r="DO1431" s="125"/>
      <c r="DP1431" s="16"/>
      <c r="DQ1431" s="125"/>
      <c r="DZ1431" s="125"/>
      <c r="EA1431" s="142"/>
      <c r="EB1431" s="125"/>
      <c r="EC1431" s="16"/>
      <c r="ED1431" s="125"/>
      <c r="EE1431" s="125"/>
      <c r="EF1431" s="16"/>
      <c r="EG1431" s="125"/>
      <c r="EQ1431" s="125"/>
      <c r="ER1431" s="16"/>
      <c r="ES1431" s="123"/>
      <c r="ET1431" s="19"/>
      <c r="EU1431" s="139"/>
      <c r="EV1431" s="139"/>
      <c r="EW1431" s="123"/>
      <c r="EX1431" s="123"/>
      <c r="EY1431" s="123"/>
      <c r="EZ1431" s="123"/>
      <c r="FA1431" s="123"/>
      <c r="FB1431" s="123"/>
      <c r="FC1431" s="6"/>
      <c r="FD1431" s="123"/>
      <c r="FE1431" s="6"/>
      <c r="FF1431" s="123"/>
      <c r="FG1431" s="6"/>
      <c r="FH1431" s="6"/>
      <c r="FI1431" s="6"/>
      <c r="FJ1431" s="6"/>
      <c r="FK1431" s="123"/>
      <c r="FL1431" s="6"/>
      <c r="FM1431" s="6"/>
      <c r="FN1431" s="6"/>
      <c r="FO1431" s="138"/>
      <c r="FP1431" s="138"/>
      <c r="FQ1431" s="123"/>
      <c r="FR1431" s="6"/>
      <c r="FS1431" s="6"/>
      <c r="FT1431" s="139"/>
      <c r="FU1431" s="139"/>
      <c r="FV1431" s="76"/>
      <c r="FW1431" s="123"/>
      <c r="FX1431" s="6"/>
    </row>
    <row r="1432" spans="35:180">
      <c r="AI1432" s="125"/>
      <c r="AJ1432" s="16"/>
      <c r="AM1432" s="16"/>
      <c r="AN1432" s="16"/>
      <c r="AO1432" s="125"/>
      <c r="AP1432" s="16"/>
      <c r="AQ1432" s="125"/>
      <c r="AZ1432" s="125"/>
      <c r="BA1432" s="142"/>
      <c r="BB1432" s="125"/>
      <c r="BC1432" s="16"/>
      <c r="BD1432" s="125"/>
      <c r="BE1432" s="125"/>
      <c r="BF1432" s="16"/>
      <c r="BG1432" s="125"/>
      <c r="BQ1432" s="125"/>
      <c r="BR1432" s="16"/>
      <c r="BS1432" s="123"/>
      <c r="BT1432" s="19"/>
      <c r="BU1432" s="139"/>
      <c r="BV1432" s="139"/>
      <c r="BW1432" s="123"/>
      <c r="BX1432" s="123"/>
      <c r="BY1432" s="123"/>
      <c r="BZ1432" s="123"/>
      <c r="CA1432" s="123"/>
      <c r="CB1432" s="123"/>
      <c r="CC1432" s="6"/>
      <c r="CD1432" s="123"/>
      <c r="CE1432" s="6"/>
      <c r="CF1432" s="123"/>
      <c r="CG1432" s="6"/>
      <c r="CH1432" s="6"/>
      <c r="CI1432" s="6"/>
      <c r="CJ1432" s="6"/>
      <c r="CK1432" s="123"/>
      <c r="CL1432" s="6"/>
      <c r="CM1432" s="6"/>
      <c r="CN1432" s="6"/>
      <c r="CO1432" s="138"/>
      <c r="CP1432" s="138"/>
      <c r="CQ1432" s="123"/>
      <c r="CR1432" s="6"/>
      <c r="CS1432" s="6"/>
      <c r="CT1432" s="139"/>
      <c r="CU1432" s="139"/>
      <c r="CV1432" s="76"/>
      <c r="CW1432" s="123"/>
      <c r="CX1432" s="6"/>
      <c r="DI1432" s="125"/>
      <c r="DJ1432" s="16"/>
      <c r="DM1432" s="16"/>
      <c r="DN1432" s="16"/>
      <c r="DO1432" s="125"/>
      <c r="DP1432" s="16"/>
      <c r="DQ1432" s="125"/>
      <c r="DZ1432" s="125"/>
      <c r="EA1432" s="142"/>
      <c r="EB1432" s="125"/>
      <c r="EC1432" s="16"/>
      <c r="ED1432" s="125"/>
      <c r="EE1432" s="125"/>
      <c r="EF1432" s="16"/>
      <c r="EG1432" s="125"/>
      <c r="EQ1432" s="125"/>
      <c r="ER1432" s="16"/>
      <c r="ES1432" s="123"/>
      <c r="ET1432" s="19"/>
      <c r="EU1432" s="139"/>
      <c r="EV1432" s="139"/>
      <c r="EW1432" s="123"/>
      <c r="EX1432" s="123"/>
      <c r="EY1432" s="123"/>
      <c r="EZ1432" s="123"/>
      <c r="FA1432" s="123"/>
      <c r="FB1432" s="123"/>
      <c r="FC1432" s="6"/>
      <c r="FD1432" s="123"/>
      <c r="FE1432" s="6"/>
      <c r="FF1432" s="123"/>
      <c r="FG1432" s="6"/>
      <c r="FH1432" s="6"/>
      <c r="FI1432" s="6"/>
      <c r="FJ1432" s="6"/>
      <c r="FK1432" s="123"/>
      <c r="FL1432" s="6"/>
      <c r="FM1432" s="6"/>
      <c r="FN1432" s="6"/>
      <c r="FO1432" s="138"/>
      <c r="FP1432" s="138"/>
      <c r="FQ1432" s="123"/>
      <c r="FR1432" s="6"/>
      <c r="FS1432" s="6"/>
      <c r="FT1432" s="139"/>
      <c r="FU1432" s="139"/>
      <c r="FV1432" s="76"/>
      <c r="FW1432" s="123"/>
      <c r="FX1432" s="6"/>
    </row>
    <row r="1433" spans="35:180">
      <c r="AI1433" s="125"/>
      <c r="AJ1433" s="16"/>
      <c r="AM1433" s="16"/>
      <c r="AN1433" s="16"/>
      <c r="AO1433" s="125"/>
      <c r="AP1433" s="16"/>
      <c r="AQ1433" s="125"/>
      <c r="AZ1433" s="125"/>
      <c r="BA1433" s="142"/>
      <c r="BB1433" s="125"/>
      <c r="BC1433" s="16"/>
      <c r="BD1433" s="125"/>
      <c r="BE1433" s="125"/>
      <c r="BF1433" s="16"/>
      <c r="BG1433" s="125"/>
      <c r="BQ1433" s="125"/>
      <c r="BR1433" s="16"/>
      <c r="BS1433" s="123"/>
      <c r="BT1433" s="19"/>
      <c r="BU1433" s="139"/>
      <c r="BV1433" s="139"/>
      <c r="BW1433" s="123"/>
      <c r="BX1433" s="123"/>
      <c r="BY1433" s="123"/>
      <c r="BZ1433" s="123"/>
      <c r="CA1433" s="123"/>
      <c r="CB1433" s="123"/>
      <c r="CC1433" s="6"/>
      <c r="CD1433" s="123"/>
      <c r="CE1433" s="6"/>
      <c r="CF1433" s="123"/>
      <c r="CG1433" s="6"/>
      <c r="CH1433" s="6"/>
      <c r="CI1433" s="6"/>
      <c r="CJ1433" s="6"/>
      <c r="CK1433" s="123"/>
      <c r="CL1433" s="6"/>
      <c r="CM1433" s="6"/>
      <c r="CN1433" s="6"/>
      <c r="CO1433" s="138"/>
      <c r="CP1433" s="138"/>
      <c r="CQ1433" s="123"/>
      <c r="CR1433" s="6"/>
      <c r="CS1433" s="6"/>
      <c r="CT1433" s="139"/>
      <c r="CU1433" s="139"/>
      <c r="CV1433" s="76"/>
      <c r="CW1433" s="123"/>
      <c r="CX1433" s="6"/>
      <c r="DI1433" s="125"/>
      <c r="DJ1433" s="16"/>
      <c r="DM1433" s="16"/>
      <c r="DN1433" s="16"/>
      <c r="DO1433" s="125"/>
      <c r="DP1433" s="16"/>
      <c r="DQ1433" s="125"/>
      <c r="DZ1433" s="125"/>
      <c r="EA1433" s="142"/>
      <c r="EB1433" s="125"/>
      <c r="EC1433" s="16"/>
      <c r="ED1433" s="125"/>
      <c r="EE1433" s="125"/>
      <c r="EF1433" s="16"/>
      <c r="EG1433" s="125"/>
      <c r="EQ1433" s="125"/>
      <c r="ER1433" s="16"/>
      <c r="ES1433" s="123"/>
      <c r="ET1433" s="19"/>
      <c r="EU1433" s="139"/>
      <c r="EV1433" s="139"/>
      <c r="EW1433" s="123"/>
      <c r="EX1433" s="123"/>
      <c r="EY1433" s="123"/>
      <c r="EZ1433" s="123"/>
      <c r="FA1433" s="123"/>
      <c r="FB1433" s="123"/>
      <c r="FC1433" s="6"/>
      <c r="FD1433" s="123"/>
      <c r="FE1433" s="6"/>
      <c r="FF1433" s="123"/>
      <c r="FG1433" s="6"/>
      <c r="FH1433" s="6"/>
      <c r="FI1433" s="6"/>
      <c r="FJ1433" s="6"/>
      <c r="FK1433" s="123"/>
      <c r="FL1433" s="6"/>
      <c r="FM1433" s="6"/>
      <c r="FN1433" s="6"/>
      <c r="FO1433" s="138"/>
      <c r="FP1433" s="138"/>
      <c r="FQ1433" s="123"/>
      <c r="FR1433" s="6"/>
      <c r="FS1433" s="6"/>
      <c r="FT1433" s="139"/>
      <c r="FU1433" s="139"/>
      <c r="FV1433" s="76"/>
      <c r="FW1433" s="123"/>
      <c r="FX1433" s="6"/>
    </row>
    <row r="1434" spans="35:180">
      <c r="AI1434" s="125"/>
      <c r="AJ1434" s="16"/>
      <c r="AM1434" s="16"/>
      <c r="AN1434" s="16"/>
      <c r="AO1434" s="125"/>
      <c r="AP1434" s="16"/>
      <c r="AQ1434" s="125"/>
      <c r="AZ1434" s="125"/>
      <c r="BA1434" s="142"/>
      <c r="BB1434" s="125"/>
      <c r="BC1434" s="16"/>
      <c r="BD1434" s="125"/>
      <c r="BE1434" s="125"/>
      <c r="BF1434" s="16"/>
      <c r="BG1434" s="125"/>
      <c r="BQ1434" s="125"/>
      <c r="BR1434" s="16"/>
      <c r="BS1434" s="123"/>
      <c r="BT1434" s="19"/>
      <c r="BU1434" s="139"/>
      <c r="BV1434" s="139"/>
      <c r="BW1434" s="123"/>
      <c r="BX1434" s="123"/>
      <c r="BY1434" s="123"/>
      <c r="BZ1434" s="123"/>
      <c r="CA1434" s="123"/>
      <c r="CB1434" s="123"/>
      <c r="CC1434" s="6"/>
      <c r="CD1434" s="123"/>
      <c r="CE1434" s="6"/>
      <c r="CF1434" s="123"/>
      <c r="CG1434" s="6"/>
      <c r="CH1434" s="6"/>
      <c r="CI1434" s="6"/>
      <c r="CJ1434" s="6"/>
      <c r="CK1434" s="123"/>
      <c r="CL1434" s="6"/>
      <c r="CM1434" s="6"/>
      <c r="CN1434" s="6"/>
      <c r="CO1434" s="138"/>
      <c r="CP1434" s="138"/>
      <c r="CQ1434" s="123"/>
      <c r="CR1434" s="6"/>
      <c r="CS1434" s="6"/>
      <c r="CT1434" s="139"/>
      <c r="CU1434" s="139"/>
      <c r="CV1434" s="76"/>
      <c r="CW1434" s="123"/>
      <c r="CX1434" s="6"/>
      <c r="DI1434" s="125"/>
      <c r="DJ1434" s="16"/>
      <c r="DM1434" s="16"/>
      <c r="DN1434" s="16"/>
      <c r="DO1434" s="125"/>
      <c r="DP1434" s="16"/>
      <c r="DQ1434" s="125"/>
      <c r="DZ1434" s="125"/>
      <c r="EA1434" s="142"/>
      <c r="EB1434" s="125"/>
      <c r="EC1434" s="16"/>
      <c r="ED1434" s="125"/>
      <c r="EE1434" s="125"/>
      <c r="EF1434" s="16"/>
      <c r="EG1434" s="125"/>
      <c r="EQ1434" s="125"/>
      <c r="ER1434" s="16"/>
      <c r="ES1434" s="123"/>
      <c r="ET1434" s="19"/>
      <c r="EU1434" s="139"/>
      <c r="EV1434" s="139"/>
      <c r="EW1434" s="123"/>
      <c r="EX1434" s="123"/>
      <c r="EY1434" s="123"/>
      <c r="EZ1434" s="123"/>
      <c r="FA1434" s="123"/>
      <c r="FB1434" s="123"/>
      <c r="FC1434" s="6"/>
      <c r="FD1434" s="123"/>
      <c r="FE1434" s="6"/>
      <c r="FF1434" s="123"/>
      <c r="FG1434" s="6"/>
      <c r="FH1434" s="6"/>
      <c r="FI1434" s="6"/>
      <c r="FJ1434" s="6"/>
      <c r="FK1434" s="123"/>
      <c r="FL1434" s="6"/>
      <c r="FM1434" s="6"/>
      <c r="FN1434" s="6"/>
      <c r="FO1434" s="138"/>
      <c r="FP1434" s="138"/>
      <c r="FQ1434" s="123"/>
      <c r="FR1434" s="6"/>
      <c r="FS1434" s="6"/>
      <c r="FT1434" s="139"/>
      <c r="FU1434" s="139"/>
      <c r="FV1434" s="76"/>
      <c r="FW1434" s="123"/>
      <c r="FX1434" s="6"/>
    </row>
    <row r="1435" spans="35:180">
      <c r="AI1435" s="125"/>
      <c r="AJ1435" s="16"/>
      <c r="AM1435" s="16"/>
      <c r="AN1435" s="16"/>
      <c r="AO1435" s="125"/>
      <c r="AP1435" s="16"/>
      <c r="AQ1435" s="125"/>
      <c r="AZ1435" s="125"/>
      <c r="BA1435" s="142"/>
      <c r="BB1435" s="125"/>
      <c r="BC1435" s="16"/>
      <c r="BD1435" s="125"/>
      <c r="BE1435" s="125"/>
      <c r="BF1435" s="16"/>
      <c r="BG1435" s="125"/>
      <c r="BQ1435" s="125"/>
      <c r="BR1435" s="16"/>
      <c r="BS1435" s="123"/>
      <c r="BT1435" s="19"/>
      <c r="BU1435" s="139"/>
      <c r="BV1435" s="139"/>
      <c r="BW1435" s="123"/>
      <c r="BX1435" s="123"/>
      <c r="BY1435" s="123"/>
      <c r="BZ1435" s="123"/>
      <c r="CA1435" s="123"/>
      <c r="CB1435" s="123"/>
      <c r="CC1435" s="6"/>
      <c r="CD1435" s="123"/>
      <c r="CE1435" s="6"/>
      <c r="CF1435" s="123"/>
      <c r="CG1435" s="6"/>
      <c r="CH1435" s="6"/>
      <c r="CI1435" s="6"/>
      <c r="CJ1435" s="6"/>
      <c r="CK1435" s="123"/>
      <c r="CL1435" s="6"/>
      <c r="CM1435" s="6"/>
      <c r="CN1435" s="6"/>
      <c r="CO1435" s="138"/>
      <c r="CP1435" s="138"/>
      <c r="CQ1435" s="123"/>
      <c r="CR1435" s="6"/>
      <c r="CS1435" s="6"/>
      <c r="CT1435" s="139"/>
      <c r="CU1435" s="139"/>
      <c r="CV1435" s="76"/>
      <c r="CW1435" s="123"/>
      <c r="CX1435" s="6"/>
      <c r="DI1435" s="125"/>
      <c r="DJ1435" s="16"/>
      <c r="DM1435" s="16"/>
      <c r="DN1435" s="16"/>
      <c r="DO1435" s="125"/>
      <c r="DP1435" s="16"/>
      <c r="DQ1435" s="125"/>
      <c r="DZ1435" s="125"/>
      <c r="EA1435" s="142"/>
      <c r="EB1435" s="125"/>
      <c r="EC1435" s="16"/>
      <c r="ED1435" s="125"/>
      <c r="EE1435" s="125"/>
      <c r="EF1435" s="16"/>
      <c r="EG1435" s="125"/>
      <c r="EQ1435" s="125"/>
      <c r="ER1435" s="16"/>
      <c r="ES1435" s="123"/>
      <c r="ET1435" s="19"/>
      <c r="EU1435" s="139"/>
      <c r="EV1435" s="139"/>
      <c r="EW1435" s="123"/>
      <c r="EX1435" s="123"/>
      <c r="EY1435" s="123"/>
      <c r="EZ1435" s="123"/>
      <c r="FA1435" s="123"/>
      <c r="FB1435" s="123"/>
      <c r="FC1435" s="6"/>
      <c r="FD1435" s="123"/>
      <c r="FE1435" s="6"/>
      <c r="FF1435" s="123"/>
      <c r="FG1435" s="6"/>
      <c r="FH1435" s="6"/>
      <c r="FI1435" s="6"/>
      <c r="FJ1435" s="6"/>
      <c r="FK1435" s="123"/>
      <c r="FL1435" s="6"/>
      <c r="FM1435" s="6"/>
      <c r="FN1435" s="6"/>
      <c r="FO1435" s="138"/>
      <c r="FP1435" s="138"/>
      <c r="FQ1435" s="123"/>
      <c r="FR1435" s="6"/>
      <c r="FS1435" s="6"/>
      <c r="FT1435" s="139"/>
      <c r="FU1435" s="139"/>
      <c r="FV1435" s="76"/>
      <c r="FW1435" s="123"/>
      <c r="FX1435" s="6"/>
    </row>
    <row r="1436" spans="35:180">
      <c r="AI1436" s="125"/>
      <c r="AJ1436" s="16"/>
      <c r="AM1436" s="16"/>
      <c r="AN1436" s="16"/>
      <c r="AO1436" s="125"/>
      <c r="AP1436" s="16"/>
      <c r="AQ1436" s="125"/>
      <c r="AZ1436" s="125"/>
      <c r="BA1436" s="142"/>
      <c r="BB1436" s="125"/>
      <c r="BC1436" s="16"/>
      <c r="BD1436" s="125"/>
      <c r="BE1436" s="125"/>
      <c r="BF1436" s="16"/>
      <c r="BG1436" s="125"/>
      <c r="BQ1436" s="125"/>
      <c r="BR1436" s="16"/>
      <c r="BS1436" s="123"/>
      <c r="BT1436" s="19"/>
      <c r="BU1436" s="139"/>
      <c r="BV1436" s="139"/>
      <c r="BW1436" s="123"/>
      <c r="BX1436" s="123"/>
      <c r="BY1436" s="123"/>
      <c r="BZ1436" s="123"/>
      <c r="CA1436" s="123"/>
      <c r="CB1436" s="123"/>
      <c r="CC1436" s="6"/>
      <c r="CD1436" s="123"/>
      <c r="CE1436" s="6"/>
      <c r="CF1436" s="123"/>
      <c r="CG1436" s="6"/>
      <c r="CH1436" s="6"/>
      <c r="CI1436" s="6"/>
      <c r="CJ1436" s="6"/>
      <c r="CK1436" s="123"/>
      <c r="CL1436" s="6"/>
      <c r="CM1436" s="6"/>
      <c r="CN1436" s="6"/>
      <c r="CO1436" s="138"/>
      <c r="CP1436" s="138"/>
      <c r="CQ1436" s="123"/>
      <c r="CR1436" s="6"/>
      <c r="CS1436" s="6"/>
      <c r="CT1436" s="139"/>
      <c r="CU1436" s="139"/>
      <c r="CV1436" s="76"/>
      <c r="CW1436" s="123"/>
      <c r="CX1436" s="6"/>
      <c r="DI1436" s="125"/>
      <c r="DJ1436" s="16"/>
      <c r="DM1436" s="16"/>
      <c r="DN1436" s="16"/>
      <c r="DO1436" s="125"/>
      <c r="DP1436" s="16"/>
      <c r="DQ1436" s="125"/>
      <c r="DZ1436" s="125"/>
      <c r="EA1436" s="142"/>
      <c r="EB1436" s="125"/>
      <c r="EC1436" s="16"/>
      <c r="ED1436" s="125"/>
      <c r="EE1436" s="125"/>
      <c r="EF1436" s="16"/>
      <c r="EG1436" s="125"/>
      <c r="EQ1436" s="125"/>
      <c r="ER1436" s="16"/>
      <c r="ES1436" s="123"/>
      <c r="ET1436" s="19"/>
      <c r="EU1436" s="139"/>
      <c r="EV1436" s="139"/>
      <c r="EW1436" s="123"/>
      <c r="EX1436" s="123"/>
      <c r="EY1436" s="123"/>
      <c r="EZ1436" s="123"/>
      <c r="FA1436" s="123"/>
      <c r="FB1436" s="123"/>
      <c r="FC1436" s="6"/>
      <c r="FD1436" s="123"/>
      <c r="FE1436" s="6"/>
      <c r="FF1436" s="123"/>
      <c r="FG1436" s="6"/>
      <c r="FH1436" s="6"/>
      <c r="FI1436" s="6"/>
      <c r="FJ1436" s="6"/>
      <c r="FK1436" s="123"/>
      <c r="FL1436" s="6"/>
      <c r="FM1436" s="6"/>
      <c r="FN1436" s="6"/>
      <c r="FO1436" s="138"/>
      <c r="FP1436" s="138"/>
      <c r="FQ1436" s="123"/>
      <c r="FR1436" s="6"/>
      <c r="FS1436" s="6"/>
      <c r="FT1436" s="139"/>
      <c r="FU1436" s="139"/>
      <c r="FV1436" s="76"/>
      <c r="FW1436" s="123"/>
      <c r="FX1436" s="6"/>
    </row>
    <row r="1437" spans="35:180">
      <c r="AI1437" s="125"/>
      <c r="AJ1437" s="16"/>
      <c r="AM1437" s="16"/>
      <c r="AN1437" s="16"/>
      <c r="AO1437" s="125"/>
      <c r="AP1437" s="16"/>
      <c r="AQ1437" s="125"/>
      <c r="AZ1437" s="125"/>
      <c r="BA1437" s="142"/>
      <c r="BB1437" s="125"/>
      <c r="BC1437" s="16"/>
      <c r="BD1437" s="125"/>
      <c r="BE1437" s="125"/>
      <c r="BF1437" s="16"/>
      <c r="BG1437" s="125"/>
      <c r="BQ1437" s="125"/>
      <c r="BR1437" s="16"/>
      <c r="BS1437" s="123"/>
      <c r="BT1437" s="19"/>
      <c r="BU1437" s="139"/>
      <c r="BV1437" s="139"/>
      <c r="BW1437" s="123"/>
      <c r="BX1437" s="123"/>
      <c r="BY1437" s="123"/>
      <c r="BZ1437" s="123"/>
      <c r="CA1437" s="123"/>
      <c r="CB1437" s="123"/>
      <c r="CC1437" s="6"/>
      <c r="CD1437" s="123"/>
      <c r="CE1437" s="6"/>
      <c r="CF1437" s="123"/>
      <c r="CG1437" s="6"/>
      <c r="CH1437" s="6"/>
      <c r="CI1437" s="6"/>
      <c r="CJ1437" s="6"/>
      <c r="CK1437" s="123"/>
      <c r="CL1437" s="6"/>
      <c r="CM1437" s="6"/>
      <c r="CN1437" s="6"/>
      <c r="CO1437" s="138"/>
      <c r="CP1437" s="138"/>
      <c r="CQ1437" s="123"/>
      <c r="CR1437" s="6"/>
      <c r="CS1437" s="6"/>
      <c r="CT1437" s="139"/>
      <c r="CU1437" s="139"/>
      <c r="CV1437" s="76"/>
      <c r="CW1437" s="123"/>
      <c r="CX1437" s="6"/>
      <c r="DI1437" s="125"/>
      <c r="DJ1437" s="16"/>
      <c r="DM1437" s="16"/>
      <c r="DN1437" s="16"/>
      <c r="DO1437" s="125"/>
      <c r="DP1437" s="16"/>
      <c r="DQ1437" s="125"/>
      <c r="DZ1437" s="125"/>
      <c r="EA1437" s="142"/>
      <c r="EB1437" s="125"/>
      <c r="EC1437" s="16"/>
      <c r="ED1437" s="125"/>
      <c r="EE1437" s="125"/>
      <c r="EF1437" s="16"/>
      <c r="EG1437" s="125"/>
      <c r="EQ1437" s="125"/>
      <c r="ER1437" s="16"/>
      <c r="ES1437" s="123"/>
      <c r="ET1437" s="19"/>
      <c r="EU1437" s="139"/>
      <c r="EV1437" s="139"/>
      <c r="EW1437" s="123"/>
      <c r="EX1437" s="123"/>
      <c r="EY1437" s="123"/>
      <c r="EZ1437" s="123"/>
      <c r="FA1437" s="123"/>
      <c r="FB1437" s="123"/>
      <c r="FC1437" s="6"/>
      <c r="FD1437" s="123"/>
      <c r="FE1437" s="6"/>
      <c r="FF1437" s="123"/>
      <c r="FG1437" s="6"/>
      <c r="FH1437" s="6"/>
      <c r="FI1437" s="6"/>
      <c r="FJ1437" s="6"/>
      <c r="FK1437" s="123"/>
      <c r="FL1437" s="6"/>
      <c r="FM1437" s="6"/>
      <c r="FN1437" s="6"/>
      <c r="FO1437" s="138"/>
      <c r="FP1437" s="138"/>
      <c r="FQ1437" s="123"/>
      <c r="FR1437" s="6"/>
      <c r="FS1437" s="6"/>
      <c r="FT1437" s="139"/>
      <c r="FU1437" s="139"/>
      <c r="FV1437" s="76"/>
      <c r="FW1437" s="123"/>
      <c r="FX1437" s="6"/>
    </row>
    <row r="1438" spans="35:180">
      <c r="AI1438" s="125"/>
      <c r="AJ1438" s="16"/>
      <c r="AM1438" s="16"/>
      <c r="AN1438" s="16"/>
      <c r="AO1438" s="125"/>
      <c r="AP1438" s="16"/>
      <c r="AQ1438" s="125"/>
      <c r="AZ1438" s="125"/>
      <c r="BA1438" s="142"/>
      <c r="BB1438" s="125"/>
      <c r="BC1438" s="16"/>
      <c r="BD1438" s="125"/>
      <c r="BE1438" s="125"/>
      <c r="BF1438" s="16"/>
      <c r="BG1438" s="125"/>
      <c r="BQ1438" s="125"/>
      <c r="BR1438" s="16"/>
      <c r="BS1438" s="123"/>
      <c r="BT1438" s="19"/>
      <c r="BU1438" s="139"/>
      <c r="BV1438" s="139"/>
      <c r="BW1438" s="123"/>
      <c r="BX1438" s="123"/>
      <c r="BY1438" s="123"/>
      <c r="BZ1438" s="123"/>
      <c r="CA1438" s="123"/>
      <c r="CB1438" s="123"/>
      <c r="CC1438" s="6"/>
      <c r="CD1438" s="123"/>
      <c r="CE1438" s="6"/>
      <c r="CF1438" s="123"/>
      <c r="CG1438" s="6"/>
      <c r="CH1438" s="6"/>
      <c r="CI1438" s="6"/>
      <c r="CJ1438" s="6"/>
      <c r="CK1438" s="123"/>
      <c r="CL1438" s="6"/>
      <c r="CM1438" s="6"/>
      <c r="CN1438" s="6"/>
      <c r="CO1438" s="138"/>
      <c r="CP1438" s="138"/>
      <c r="CQ1438" s="123"/>
      <c r="CR1438" s="6"/>
      <c r="CS1438" s="6"/>
      <c r="CT1438" s="139"/>
      <c r="CU1438" s="139"/>
      <c r="CV1438" s="76"/>
      <c r="CW1438" s="123"/>
      <c r="CX1438" s="6"/>
      <c r="DI1438" s="125"/>
      <c r="DJ1438" s="16"/>
      <c r="DM1438" s="16"/>
      <c r="DN1438" s="16"/>
      <c r="DO1438" s="125"/>
      <c r="DP1438" s="16"/>
      <c r="DQ1438" s="125"/>
      <c r="DZ1438" s="125"/>
      <c r="EA1438" s="142"/>
      <c r="EB1438" s="125"/>
      <c r="EC1438" s="16"/>
      <c r="ED1438" s="125"/>
      <c r="EE1438" s="125"/>
      <c r="EF1438" s="16"/>
      <c r="EG1438" s="125"/>
      <c r="EQ1438" s="125"/>
      <c r="ER1438" s="16"/>
      <c r="ES1438" s="123"/>
      <c r="ET1438" s="19"/>
      <c r="EU1438" s="139"/>
      <c r="EV1438" s="139"/>
      <c r="EW1438" s="123"/>
      <c r="EX1438" s="123"/>
      <c r="EY1438" s="123"/>
      <c r="EZ1438" s="123"/>
      <c r="FA1438" s="123"/>
      <c r="FB1438" s="123"/>
      <c r="FC1438" s="6"/>
      <c r="FD1438" s="123"/>
      <c r="FE1438" s="6"/>
      <c r="FF1438" s="123"/>
      <c r="FG1438" s="6"/>
      <c r="FH1438" s="6"/>
      <c r="FI1438" s="6"/>
      <c r="FJ1438" s="6"/>
      <c r="FK1438" s="123"/>
      <c r="FL1438" s="6"/>
      <c r="FM1438" s="6"/>
      <c r="FN1438" s="6"/>
      <c r="FO1438" s="138"/>
      <c r="FP1438" s="138"/>
      <c r="FQ1438" s="123"/>
      <c r="FR1438" s="6"/>
      <c r="FS1438" s="6"/>
      <c r="FT1438" s="139"/>
      <c r="FU1438" s="139"/>
      <c r="FV1438" s="76"/>
      <c r="FW1438" s="123"/>
      <c r="FX1438" s="6"/>
    </row>
    <row r="1439" spans="35:180">
      <c r="AI1439" s="125"/>
      <c r="AJ1439" s="16"/>
      <c r="AM1439" s="16"/>
      <c r="AN1439" s="16"/>
      <c r="AO1439" s="125"/>
      <c r="AP1439" s="16"/>
      <c r="AQ1439" s="125"/>
      <c r="AZ1439" s="125"/>
      <c r="BA1439" s="142"/>
      <c r="BB1439" s="125"/>
      <c r="BC1439" s="16"/>
      <c r="BD1439" s="125"/>
      <c r="BE1439" s="125"/>
      <c r="BF1439" s="16"/>
      <c r="BG1439" s="125"/>
      <c r="BQ1439" s="125"/>
      <c r="BR1439" s="16"/>
      <c r="BS1439" s="123"/>
      <c r="BT1439" s="19"/>
      <c r="BU1439" s="139"/>
      <c r="BV1439" s="139"/>
      <c r="BW1439" s="123"/>
      <c r="BX1439" s="123"/>
      <c r="BY1439" s="123"/>
      <c r="BZ1439" s="123"/>
      <c r="CA1439" s="123"/>
      <c r="CB1439" s="123"/>
      <c r="CC1439" s="6"/>
      <c r="CD1439" s="123"/>
      <c r="CE1439" s="6"/>
      <c r="CF1439" s="123"/>
      <c r="CG1439" s="6"/>
      <c r="CH1439" s="6"/>
      <c r="CI1439" s="6"/>
      <c r="CJ1439" s="6"/>
      <c r="CK1439" s="123"/>
      <c r="CL1439" s="6"/>
      <c r="CM1439" s="6"/>
      <c r="CN1439" s="6"/>
      <c r="CO1439" s="138"/>
      <c r="CP1439" s="138"/>
      <c r="CQ1439" s="123"/>
      <c r="CR1439" s="6"/>
      <c r="CS1439" s="6"/>
      <c r="CT1439" s="139"/>
      <c r="CU1439" s="139"/>
      <c r="CV1439" s="76"/>
      <c r="CW1439" s="123"/>
      <c r="CX1439" s="6"/>
      <c r="DI1439" s="125"/>
      <c r="DJ1439" s="16"/>
      <c r="DM1439" s="16"/>
      <c r="DN1439" s="16"/>
      <c r="DO1439" s="125"/>
      <c r="DP1439" s="16"/>
      <c r="DQ1439" s="125"/>
      <c r="DZ1439" s="125"/>
      <c r="EA1439" s="142"/>
      <c r="EB1439" s="125"/>
      <c r="EC1439" s="16"/>
      <c r="ED1439" s="125"/>
      <c r="EE1439" s="125"/>
      <c r="EF1439" s="16"/>
      <c r="EG1439" s="125"/>
      <c r="EQ1439" s="125"/>
      <c r="ER1439" s="16"/>
      <c r="ES1439" s="123"/>
      <c r="ET1439" s="19"/>
      <c r="EU1439" s="139"/>
      <c r="EV1439" s="139"/>
      <c r="EW1439" s="123"/>
      <c r="EX1439" s="123"/>
      <c r="EY1439" s="123"/>
      <c r="EZ1439" s="123"/>
      <c r="FA1439" s="123"/>
      <c r="FB1439" s="123"/>
      <c r="FC1439" s="6"/>
      <c r="FD1439" s="123"/>
      <c r="FE1439" s="6"/>
      <c r="FF1439" s="123"/>
      <c r="FG1439" s="6"/>
      <c r="FH1439" s="6"/>
      <c r="FI1439" s="6"/>
      <c r="FJ1439" s="6"/>
      <c r="FK1439" s="123"/>
      <c r="FL1439" s="6"/>
      <c r="FM1439" s="6"/>
      <c r="FN1439" s="6"/>
      <c r="FO1439" s="138"/>
      <c r="FP1439" s="138"/>
      <c r="FQ1439" s="123"/>
      <c r="FR1439" s="6"/>
      <c r="FS1439" s="6"/>
      <c r="FT1439" s="139"/>
      <c r="FU1439" s="139"/>
      <c r="FV1439" s="76"/>
      <c r="FW1439" s="123"/>
      <c r="FX1439" s="6"/>
    </row>
    <row r="1440" spans="35:180">
      <c r="AI1440" s="125"/>
      <c r="AJ1440" s="16"/>
      <c r="AM1440" s="16"/>
      <c r="AN1440" s="16"/>
      <c r="AO1440" s="125"/>
      <c r="AP1440" s="16"/>
      <c r="AQ1440" s="125"/>
      <c r="AZ1440" s="125"/>
      <c r="BA1440" s="142"/>
      <c r="BB1440" s="125"/>
      <c r="BC1440" s="16"/>
      <c r="BD1440" s="125"/>
      <c r="BE1440" s="125"/>
      <c r="BF1440" s="16"/>
      <c r="BG1440" s="125"/>
      <c r="BQ1440" s="125"/>
      <c r="BR1440" s="16"/>
      <c r="BS1440" s="123"/>
      <c r="BT1440" s="19"/>
      <c r="BU1440" s="139"/>
      <c r="BV1440" s="139"/>
      <c r="BW1440" s="123"/>
      <c r="BX1440" s="123"/>
      <c r="BY1440" s="123"/>
      <c r="BZ1440" s="123"/>
      <c r="CA1440" s="123"/>
      <c r="CB1440" s="123"/>
      <c r="CC1440" s="6"/>
      <c r="CD1440" s="123"/>
      <c r="CE1440" s="6"/>
      <c r="CF1440" s="123"/>
      <c r="CG1440" s="6"/>
      <c r="CH1440" s="6"/>
      <c r="CI1440" s="6"/>
      <c r="CJ1440" s="6"/>
      <c r="CK1440" s="123"/>
      <c r="CL1440" s="6"/>
      <c r="CM1440" s="6"/>
      <c r="CN1440" s="6"/>
      <c r="CO1440" s="138"/>
      <c r="CP1440" s="138"/>
      <c r="CQ1440" s="123"/>
      <c r="CR1440" s="6"/>
      <c r="CS1440" s="6"/>
      <c r="CT1440" s="139"/>
      <c r="CU1440" s="139"/>
      <c r="CV1440" s="76"/>
      <c r="CW1440" s="123"/>
      <c r="CX1440" s="6"/>
      <c r="DI1440" s="125"/>
      <c r="DJ1440" s="16"/>
      <c r="DM1440" s="16"/>
      <c r="DN1440" s="16"/>
      <c r="DO1440" s="125"/>
      <c r="DP1440" s="16"/>
      <c r="DQ1440" s="125"/>
      <c r="DZ1440" s="125"/>
      <c r="EA1440" s="142"/>
      <c r="EB1440" s="125"/>
      <c r="EC1440" s="16"/>
      <c r="ED1440" s="125"/>
      <c r="EE1440" s="125"/>
      <c r="EF1440" s="16"/>
      <c r="EG1440" s="125"/>
      <c r="EQ1440" s="125"/>
      <c r="ER1440" s="16"/>
      <c r="ES1440" s="123"/>
      <c r="ET1440" s="19"/>
      <c r="EU1440" s="139"/>
      <c r="EV1440" s="139"/>
      <c r="EW1440" s="123"/>
      <c r="EX1440" s="123"/>
      <c r="EY1440" s="123"/>
      <c r="EZ1440" s="123"/>
      <c r="FA1440" s="123"/>
      <c r="FB1440" s="123"/>
      <c r="FC1440" s="6"/>
      <c r="FD1440" s="123"/>
      <c r="FE1440" s="6"/>
      <c r="FF1440" s="123"/>
      <c r="FG1440" s="6"/>
      <c r="FH1440" s="6"/>
      <c r="FI1440" s="6"/>
      <c r="FJ1440" s="6"/>
      <c r="FK1440" s="123"/>
      <c r="FL1440" s="6"/>
      <c r="FM1440" s="6"/>
      <c r="FN1440" s="6"/>
      <c r="FO1440" s="138"/>
      <c r="FP1440" s="138"/>
      <c r="FQ1440" s="123"/>
      <c r="FR1440" s="6"/>
      <c r="FS1440" s="6"/>
      <c r="FT1440" s="139"/>
      <c r="FU1440" s="139"/>
      <c r="FV1440" s="76"/>
      <c r="FW1440" s="123"/>
      <c r="FX1440" s="6"/>
    </row>
    <row r="1441" spans="35:180">
      <c r="AI1441" s="125"/>
      <c r="AJ1441" s="16"/>
      <c r="AM1441" s="16"/>
      <c r="AN1441" s="16"/>
      <c r="AO1441" s="125"/>
      <c r="AP1441" s="16"/>
      <c r="AQ1441" s="125"/>
      <c r="AZ1441" s="125"/>
      <c r="BA1441" s="142"/>
      <c r="BB1441" s="125"/>
      <c r="BC1441" s="16"/>
      <c r="BD1441" s="125"/>
      <c r="BE1441" s="125"/>
      <c r="BF1441" s="16"/>
      <c r="BG1441" s="125"/>
      <c r="BQ1441" s="125"/>
      <c r="BR1441" s="16"/>
      <c r="BS1441" s="123"/>
      <c r="BT1441" s="19"/>
      <c r="BU1441" s="139"/>
      <c r="BV1441" s="139"/>
      <c r="BW1441" s="123"/>
      <c r="BX1441" s="123"/>
      <c r="BY1441" s="123"/>
      <c r="BZ1441" s="123"/>
      <c r="CA1441" s="123"/>
      <c r="CB1441" s="123"/>
      <c r="CC1441" s="6"/>
      <c r="CD1441" s="123"/>
      <c r="CE1441" s="6"/>
      <c r="CF1441" s="123"/>
      <c r="CG1441" s="6"/>
      <c r="CH1441" s="6"/>
      <c r="CI1441" s="6"/>
      <c r="CJ1441" s="6"/>
      <c r="CK1441" s="123"/>
      <c r="CL1441" s="6"/>
      <c r="CM1441" s="6"/>
      <c r="CN1441" s="6"/>
      <c r="CO1441" s="138"/>
      <c r="CP1441" s="138"/>
      <c r="CQ1441" s="123"/>
      <c r="CR1441" s="6"/>
      <c r="CS1441" s="6"/>
      <c r="CT1441" s="139"/>
      <c r="CU1441" s="139"/>
      <c r="CV1441" s="76"/>
      <c r="CW1441" s="123"/>
      <c r="CX1441" s="6"/>
      <c r="DI1441" s="125"/>
      <c r="DJ1441" s="16"/>
      <c r="DM1441" s="16"/>
      <c r="DN1441" s="16"/>
      <c r="DO1441" s="125"/>
      <c r="DP1441" s="16"/>
      <c r="DQ1441" s="125"/>
      <c r="DZ1441" s="125"/>
      <c r="EA1441" s="142"/>
      <c r="EB1441" s="125"/>
      <c r="EC1441" s="16"/>
      <c r="ED1441" s="125"/>
      <c r="EE1441" s="125"/>
      <c r="EF1441" s="16"/>
      <c r="EG1441" s="125"/>
      <c r="EQ1441" s="125"/>
      <c r="ER1441" s="16"/>
      <c r="ES1441" s="123"/>
      <c r="ET1441" s="19"/>
      <c r="EU1441" s="139"/>
      <c r="EV1441" s="139"/>
      <c r="EW1441" s="123"/>
      <c r="EX1441" s="123"/>
      <c r="EY1441" s="123"/>
      <c r="EZ1441" s="123"/>
      <c r="FA1441" s="123"/>
      <c r="FB1441" s="123"/>
      <c r="FC1441" s="6"/>
      <c r="FD1441" s="123"/>
      <c r="FE1441" s="6"/>
      <c r="FF1441" s="123"/>
      <c r="FG1441" s="6"/>
      <c r="FH1441" s="6"/>
      <c r="FI1441" s="6"/>
      <c r="FJ1441" s="6"/>
      <c r="FK1441" s="123"/>
      <c r="FL1441" s="6"/>
      <c r="FM1441" s="6"/>
      <c r="FN1441" s="6"/>
      <c r="FO1441" s="138"/>
      <c r="FP1441" s="138"/>
      <c r="FQ1441" s="123"/>
      <c r="FR1441" s="6"/>
      <c r="FS1441" s="6"/>
      <c r="FT1441" s="139"/>
      <c r="FU1441" s="139"/>
      <c r="FV1441" s="76"/>
      <c r="FW1441" s="123"/>
      <c r="FX1441" s="6"/>
    </row>
    <row r="1442" spans="35:180">
      <c r="AI1442" s="125"/>
      <c r="AJ1442" s="16"/>
      <c r="AM1442" s="16"/>
      <c r="AN1442" s="16"/>
      <c r="AO1442" s="125"/>
      <c r="AP1442" s="16"/>
      <c r="AQ1442" s="125"/>
      <c r="AZ1442" s="125"/>
      <c r="BA1442" s="142"/>
      <c r="BB1442" s="125"/>
      <c r="BC1442" s="16"/>
      <c r="BD1442" s="125"/>
      <c r="BE1442" s="125"/>
      <c r="BF1442" s="16"/>
      <c r="BG1442" s="125"/>
      <c r="BQ1442" s="125"/>
      <c r="BR1442" s="16"/>
      <c r="BS1442" s="123"/>
      <c r="BT1442" s="19"/>
      <c r="BU1442" s="139"/>
      <c r="BV1442" s="139"/>
      <c r="BW1442" s="123"/>
      <c r="BX1442" s="123"/>
      <c r="BY1442" s="123"/>
      <c r="BZ1442" s="123"/>
      <c r="CA1442" s="123"/>
      <c r="CB1442" s="123"/>
      <c r="CC1442" s="6"/>
      <c r="CD1442" s="123"/>
      <c r="CE1442" s="6"/>
      <c r="CF1442" s="123"/>
      <c r="CG1442" s="6"/>
      <c r="CH1442" s="6"/>
      <c r="CI1442" s="6"/>
      <c r="CJ1442" s="6"/>
      <c r="CK1442" s="123"/>
      <c r="CL1442" s="6"/>
      <c r="CM1442" s="6"/>
      <c r="CN1442" s="6"/>
      <c r="CO1442" s="138"/>
      <c r="CP1442" s="138"/>
      <c r="CQ1442" s="123"/>
      <c r="CR1442" s="6"/>
      <c r="CS1442" s="6"/>
      <c r="CT1442" s="139"/>
      <c r="CU1442" s="139"/>
      <c r="CV1442" s="76"/>
      <c r="CW1442" s="123"/>
      <c r="CX1442" s="6"/>
      <c r="DI1442" s="125"/>
      <c r="DJ1442" s="16"/>
      <c r="DM1442" s="16"/>
      <c r="DN1442" s="16"/>
      <c r="DO1442" s="125"/>
      <c r="DP1442" s="16"/>
      <c r="DQ1442" s="125"/>
      <c r="DZ1442" s="125"/>
      <c r="EA1442" s="142"/>
      <c r="EB1442" s="125"/>
      <c r="EC1442" s="16"/>
      <c r="ED1442" s="125"/>
      <c r="EE1442" s="125"/>
      <c r="EF1442" s="16"/>
      <c r="EG1442" s="125"/>
      <c r="EQ1442" s="125"/>
      <c r="ER1442" s="16"/>
      <c r="ES1442" s="123"/>
      <c r="ET1442" s="19"/>
      <c r="EU1442" s="139"/>
      <c r="EV1442" s="139"/>
      <c r="EW1442" s="123"/>
      <c r="EX1442" s="123"/>
      <c r="EY1442" s="123"/>
      <c r="EZ1442" s="123"/>
      <c r="FA1442" s="123"/>
      <c r="FB1442" s="123"/>
      <c r="FC1442" s="6"/>
      <c r="FD1442" s="123"/>
      <c r="FE1442" s="6"/>
      <c r="FF1442" s="123"/>
      <c r="FG1442" s="6"/>
      <c r="FH1442" s="6"/>
      <c r="FI1442" s="6"/>
      <c r="FJ1442" s="6"/>
      <c r="FK1442" s="123"/>
      <c r="FL1442" s="6"/>
      <c r="FM1442" s="6"/>
      <c r="FN1442" s="6"/>
      <c r="FO1442" s="138"/>
      <c r="FP1442" s="138"/>
      <c r="FQ1442" s="123"/>
      <c r="FR1442" s="6"/>
      <c r="FS1442" s="6"/>
      <c r="FT1442" s="139"/>
      <c r="FU1442" s="139"/>
      <c r="FV1442" s="76"/>
      <c r="FW1442" s="123"/>
      <c r="FX1442" s="6"/>
    </row>
    <row r="1443" spans="35:180">
      <c r="AI1443" s="125"/>
      <c r="AJ1443" s="16"/>
      <c r="AM1443" s="16"/>
      <c r="AN1443" s="16"/>
      <c r="AO1443" s="125"/>
      <c r="AP1443" s="16"/>
      <c r="AQ1443" s="125"/>
      <c r="AZ1443" s="125"/>
      <c r="BA1443" s="142"/>
      <c r="BB1443" s="125"/>
      <c r="BC1443" s="16"/>
      <c r="BD1443" s="125"/>
      <c r="BE1443" s="125"/>
      <c r="BF1443" s="16"/>
      <c r="BG1443" s="125"/>
      <c r="BQ1443" s="125"/>
      <c r="BR1443" s="16"/>
      <c r="BS1443" s="123"/>
      <c r="BT1443" s="19"/>
      <c r="BU1443" s="139"/>
      <c r="BV1443" s="139"/>
      <c r="BW1443" s="123"/>
      <c r="BX1443" s="123"/>
      <c r="BY1443" s="123"/>
      <c r="BZ1443" s="123"/>
      <c r="CA1443" s="123"/>
      <c r="CB1443" s="123"/>
      <c r="CC1443" s="6"/>
      <c r="CD1443" s="123"/>
      <c r="CE1443" s="6"/>
      <c r="CF1443" s="123"/>
      <c r="CG1443" s="6"/>
      <c r="CH1443" s="6"/>
      <c r="CI1443" s="6"/>
      <c r="CJ1443" s="6"/>
      <c r="CK1443" s="123"/>
      <c r="CL1443" s="6"/>
      <c r="CM1443" s="6"/>
      <c r="CN1443" s="6"/>
      <c r="CO1443" s="138"/>
      <c r="CP1443" s="138"/>
      <c r="CQ1443" s="123"/>
      <c r="CR1443" s="6"/>
      <c r="CS1443" s="6"/>
      <c r="CT1443" s="139"/>
      <c r="CU1443" s="139"/>
      <c r="CV1443" s="76"/>
      <c r="CW1443" s="123"/>
      <c r="CX1443" s="6"/>
      <c r="DI1443" s="125"/>
      <c r="DJ1443" s="16"/>
      <c r="DM1443" s="16"/>
      <c r="DN1443" s="16"/>
      <c r="DO1443" s="125"/>
      <c r="DP1443" s="16"/>
      <c r="DQ1443" s="125"/>
      <c r="DZ1443" s="125"/>
      <c r="EA1443" s="142"/>
      <c r="EB1443" s="125"/>
      <c r="EC1443" s="16"/>
      <c r="ED1443" s="125"/>
      <c r="EE1443" s="125"/>
      <c r="EF1443" s="16"/>
      <c r="EG1443" s="125"/>
      <c r="EQ1443" s="125"/>
      <c r="ER1443" s="16"/>
      <c r="ES1443" s="123"/>
      <c r="ET1443" s="19"/>
      <c r="EU1443" s="139"/>
      <c r="EV1443" s="139"/>
      <c r="EW1443" s="123"/>
      <c r="EX1443" s="123"/>
      <c r="EY1443" s="123"/>
      <c r="EZ1443" s="123"/>
      <c r="FA1443" s="123"/>
      <c r="FB1443" s="123"/>
      <c r="FC1443" s="6"/>
      <c r="FD1443" s="123"/>
      <c r="FE1443" s="6"/>
      <c r="FF1443" s="123"/>
      <c r="FG1443" s="6"/>
      <c r="FH1443" s="6"/>
      <c r="FI1443" s="6"/>
      <c r="FJ1443" s="6"/>
      <c r="FK1443" s="123"/>
      <c r="FL1443" s="6"/>
      <c r="FM1443" s="6"/>
      <c r="FN1443" s="6"/>
      <c r="FO1443" s="138"/>
      <c r="FP1443" s="138"/>
      <c r="FQ1443" s="123"/>
      <c r="FR1443" s="6"/>
      <c r="FS1443" s="6"/>
      <c r="FT1443" s="139"/>
      <c r="FU1443" s="139"/>
      <c r="FV1443" s="76"/>
      <c r="FW1443" s="123"/>
      <c r="FX1443" s="6"/>
    </row>
    <row r="1444" spans="35:180">
      <c r="AI1444" s="125"/>
      <c r="AJ1444" s="16"/>
      <c r="AM1444" s="16"/>
      <c r="AN1444" s="16"/>
      <c r="AO1444" s="125"/>
      <c r="AP1444" s="16"/>
      <c r="AQ1444" s="125"/>
      <c r="AZ1444" s="125"/>
      <c r="BA1444" s="142"/>
      <c r="BB1444" s="125"/>
      <c r="BC1444" s="16"/>
      <c r="BD1444" s="125"/>
      <c r="BE1444" s="125"/>
      <c r="BF1444" s="16"/>
      <c r="BG1444" s="125"/>
      <c r="BQ1444" s="125"/>
      <c r="BR1444" s="16"/>
      <c r="BS1444" s="123"/>
      <c r="BT1444" s="19"/>
      <c r="BU1444" s="139"/>
      <c r="BV1444" s="139"/>
      <c r="BW1444" s="123"/>
      <c r="BX1444" s="123"/>
      <c r="BY1444" s="123"/>
      <c r="BZ1444" s="123"/>
      <c r="CA1444" s="123"/>
      <c r="CB1444" s="123"/>
      <c r="CC1444" s="6"/>
      <c r="CD1444" s="123"/>
      <c r="CE1444" s="6"/>
      <c r="CF1444" s="123"/>
      <c r="CG1444" s="6"/>
      <c r="CH1444" s="6"/>
      <c r="CI1444" s="6"/>
      <c r="CJ1444" s="6"/>
      <c r="CK1444" s="123"/>
      <c r="CL1444" s="6"/>
      <c r="CM1444" s="6"/>
      <c r="CN1444" s="6"/>
      <c r="CO1444" s="138"/>
      <c r="CP1444" s="138"/>
      <c r="CQ1444" s="123"/>
      <c r="CR1444" s="6"/>
      <c r="CS1444" s="6"/>
      <c r="CT1444" s="139"/>
      <c r="CU1444" s="139"/>
      <c r="CV1444" s="76"/>
      <c r="CW1444" s="123"/>
      <c r="CX1444" s="6"/>
      <c r="DI1444" s="125"/>
      <c r="DJ1444" s="16"/>
      <c r="DM1444" s="16"/>
      <c r="DN1444" s="16"/>
      <c r="DO1444" s="125"/>
      <c r="DP1444" s="16"/>
      <c r="DQ1444" s="125"/>
      <c r="DZ1444" s="125"/>
      <c r="EA1444" s="142"/>
      <c r="EB1444" s="125"/>
      <c r="EC1444" s="16"/>
      <c r="ED1444" s="125"/>
      <c r="EE1444" s="125"/>
      <c r="EF1444" s="16"/>
      <c r="EG1444" s="125"/>
      <c r="EQ1444" s="125"/>
      <c r="ER1444" s="16"/>
      <c r="ES1444" s="123"/>
      <c r="ET1444" s="19"/>
      <c r="EU1444" s="139"/>
      <c r="EV1444" s="139"/>
      <c r="EW1444" s="123"/>
      <c r="EX1444" s="123"/>
      <c r="EY1444" s="123"/>
      <c r="EZ1444" s="123"/>
      <c r="FA1444" s="123"/>
      <c r="FB1444" s="123"/>
      <c r="FC1444" s="6"/>
      <c r="FD1444" s="123"/>
      <c r="FE1444" s="6"/>
      <c r="FF1444" s="123"/>
      <c r="FG1444" s="6"/>
      <c r="FH1444" s="6"/>
      <c r="FI1444" s="6"/>
      <c r="FJ1444" s="6"/>
      <c r="FK1444" s="123"/>
      <c r="FL1444" s="6"/>
      <c r="FM1444" s="6"/>
      <c r="FN1444" s="6"/>
      <c r="FO1444" s="138"/>
      <c r="FP1444" s="138"/>
      <c r="FQ1444" s="123"/>
      <c r="FR1444" s="6"/>
      <c r="FS1444" s="6"/>
      <c r="FT1444" s="139"/>
      <c r="FU1444" s="139"/>
      <c r="FV1444" s="76"/>
      <c r="FW1444" s="123"/>
      <c r="FX1444" s="6"/>
    </row>
    <row r="1445" spans="35:180">
      <c r="AI1445" s="125"/>
      <c r="AJ1445" s="16"/>
      <c r="AM1445" s="16"/>
      <c r="AN1445" s="16"/>
      <c r="AO1445" s="125"/>
      <c r="AP1445" s="16"/>
      <c r="AQ1445" s="125"/>
      <c r="AZ1445" s="125"/>
      <c r="BA1445" s="142"/>
      <c r="BB1445" s="125"/>
      <c r="BC1445" s="16"/>
      <c r="BD1445" s="125"/>
      <c r="BE1445" s="125"/>
      <c r="BF1445" s="16"/>
      <c r="BG1445" s="125"/>
      <c r="BQ1445" s="125"/>
      <c r="BR1445" s="16"/>
      <c r="BS1445" s="123"/>
      <c r="BT1445" s="19"/>
      <c r="BU1445" s="139"/>
      <c r="BV1445" s="139"/>
      <c r="BW1445" s="123"/>
      <c r="BX1445" s="123"/>
      <c r="BY1445" s="123"/>
      <c r="BZ1445" s="123"/>
      <c r="CA1445" s="123"/>
      <c r="CB1445" s="123"/>
      <c r="CC1445" s="6"/>
      <c r="CD1445" s="123"/>
      <c r="CE1445" s="6"/>
      <c r="CF1445" s="123"/>
      <c r="CG1445" s="6"/>
      <c r="CH1445" s="6"/>
      <c r="CI1445" s="6"/>
      <c r="CJ1445" s="6"/>
      <c r="CK1445" s="123"/>
      <c r="CL1445" s="6"/>
      <c r="CM1445" s="6"/>
      <c r="CN1445" s="6"/>
      <c r="CO1445" s="138"/>
      <c r="CP1445" s="138"/>
      <c r="CQ1445" s="123"/>
      <c r="CR1445" s="6"/>
      <c r="CS1445" s="6"/>
      <c r="CT1445" s="139"/>
      <c r="CU1445" s="139"/>
      <c r="CV1445" s="76"/>
      <c r="CW1445" s="123"/>
      <c r="CX1445" s="6"/>
      <c r="DI1445" s="125"/>
      <c r="DJ1445" s="16"/>
      <c r="DM1445" s="16"/>
      <c r="DN1445" s="16"/>
      <c r="DO1445" s="125"/>
      <c r="DP1445" s="16"/>
      <c r="DQ1445" s="125"/>
      <c r="DZ1445" s="125"/>
      <c r="EA1445" s="142"/>
      <c r="EB1445" s="125"/>
      <c r="EC1445" s="16"/>
      <c r="ED1445" s="125"/>
      <c r="EE1445" s="125"/>
      <c r="EF1445" s="16"/>
      <c r="EG1445" s="125"/>
      <c r="EQ1445" s="125"/>
      <c r="ER1445" s="16"/>
      <c r="ES1445" s="123"/>
      <c r="ET1445" s="19"/>
      <c r="EU1445" s="139"/>
      <c r="EV1445" s="139"/>
      <c r="EW1445" s="123"/>
      <c r="EX1445" s="123"/>
      <c r="EY1445" s="123"/>
      <c r="EZ1445" s="123"/>
      <c r="FA1445" s="123"/>
      <c r="FB1445" s="123"/>
      <c r="FC1445" s="6"/>
      <c r="FD1445" s="123"/>
      <c r="FE1445" s="6"/>
      <c r="FF1445" s="123"/>
      <c r="FG1445" s="6"/>
      <c r="FH1445" s="6"/>
      <c r="FI1445" s="6"/>
      <c r="FJ1445" s="6"/>
      <c r="FK1445" s="123"/>
      <c r="FL1445" s="6"/>
      <c r="FM1445" s="6"/>
      <c r="FN1445" s="6"/>
      <c r="FO1445" s="138"/>
      <c r="FP1445" s="138"/>
      <c r="FQ1445" s="123"/>
      <c r="FR1445" s="6"/>
      <c r="FS1445" s="6"/>
      <c r="FT1445" s="139"/>
      <c r="FU1445" s="139"/>
      <c r="FV1445" s="76"/>
      <c r="FW1445" s="123"/>
      <c r="FX1445" s="6"/>
    </row>
    <row r="1446" spans="35:180">
      <c r="AI1446" s="125"/>
      <c r="AJ1446" s="16"/>
      <c r="AM1446" s="16"/>
      <c r="AN1446" s="16"/>
      <c r="AO1446" s="125"/>
      <c r="AP1446" s="16"/>
      <c r="AQ1446" s="125"/>
      <c r="AZ1446" s="125"/>
      <c r="BA1446" s="142"/>
      <c r="BB1446" s="125"/>
      <c r="BC1446" s="16"/>
      <c r="BD1446" s="125"/>
      <c r="BE1446" s="125"/>
      <c r="BF1446" s="16"/>
      <c r="BG1446" s="125"/>
      <c r="BQ1446" s="125"/>
      <c r="BR1446" s="16"/>
      <c r="BS1446" s="123"/>
      <c r="BT1446" s="19"/>
      <c r="BU1446" s="139"/>
      <c r="BV1446" s="139"/>
      <c r="BW1446" s="123"/>
      <c r="BX1446" s="123"/>
      <c r="BY1446" s="123"/>
      <c r="BZ1446" s="123"/>
      <c r="CA1446" s="123"/>
      <c r="CB1446" s="123"/>
      <c r="CC1446" s="6"/>
      <c r="CD1446" s="123"/>
      <c r="CE1446" s="6"/>
      <c r="CF1446" s="123"/>
      <c r="CG1446" s="6"/>
      <c r="CH1446" s="6"/>
      <c r="CI1446" s="6"/>
      <c r="CJ1446" s="6"/>
      <c r="CK1446" s="123"/>
      <c r="CL1446" s="6"/>
      <c r="CM1446" s="6"/>
      <c r="CN1446" s="6"/>
      <c r="CO1446" s="138"/>
      <c r="CP1446" s="138"/>
      <c r="CQ1446" s="123"/>
      <c r="CR1446" s="6"/>
      <c r="CS1446" s="6"/>
      <c r="CT1446" s="139"/>
      <c r="CU1446" s="139"/>
      <c r="CV1446" s="76"/>
      <c r="CW1446" s="123"/>
      <c r="CX1446" s="6"/>
      <c r="DI1446" s="125"/>
      <c r="DJ1446" s="16"/>
      <c r="DM1446" s="16"/>
      <c r="DN1446" s="16"/>
      <c r="DO1446" s="125"/>
      <c r="DP1446" s="16"/>
      <c r="DQ1446" s="125"/>
      <c r="DZ1446" s="125"/>
      <c r="EA1446" s="142"/>
      <c r="EB1446" s="125"/>
      <c r="EC1446" s="16"/>
      <c r="ED1446" s="125"/>
      <c r="EE1446" s="125"/>
      <c r="EF1446" s="16"/>
      <c r="EG1446" s="125"/>
      <c r="EQ1446" s="125"/>
      <c r="ER1446" s="16"/>
      <c r="ES1446" s="123"/>
      <c r="ET1446" s="19"/>
      <c r="EU1446" s="139"/>
      <c r="EV1446" s="139"/>
      <c r="EW1446" s="123"/>
      <c r="EX1446" s="123"/>
      <c r="EY1446" s="123"/>
      <c r="EZ1446" s="123"/>
      <c r="FA1446" s="123"/>
      <c r="FB1446" s="123"/>
      <c r="FC1446" s="6"/>
      <c r="FD1446" s="123"/>
      <c r="FE1446" s="6"/>
      <c r="FF1446" s="123"/>
      <c r="FG1446" s="6"/>
      <c r="FH1446" s="6"/>
      <c r="FI1446" s="6"/>
      <c r="FJ1446" s="6"/>
      <c r="FK1446" s="123"/>
      <c r="FL1446" s="6"/>
      <c r="FM1446" s="6"/>
      <c r="FN1446" s="6"/>
      <c r="FO1446" s="138"/>
      <c r="FP1446" s="138"/>
      <c r="FQ1446" s="123"/>
      <c r="FR1446" s="6"/>
      <c r="FS1446" s="6"/>
      <c r="FT1446" s="139"/>
      <c r="FU1446" s="139"/>
      <c r="FV1446" s="76"/>
      <c r="FW1446" s="123"/>
      <c r="FX1446" s="6"/>
    </row>
    <row r="1447" spans="35:180">
      <c r="AI1447" s="125"/>
      <c r="AJ1447" s="16"/>
      <c r="AM1447" s="16"/>
      <c r="AN1447" s="16"/>
      <c r="AO1447" s="125"/>
      <c r="AP1447" s="16"/>
      <c r="AQ1447" s="125"/>
      <c r="AZ1447" s="125"/>
      <c r="BA1447" s="142"/>
      <c r="BB1447" s="125"/>
      <c r="BC1447" s="16"/>
      <c r="BD1447" s="125"/>
      <c r="BE1447" s="125"/>
      <c r="BF1447" s="16"/>
      <c r="BG1447" s="125"/>
      <c r="BQ1447" s="125"/>
      <c r="BR1447" s="16"/>
      <c r="BS1447" s="123"/>
      <c r="BT1447" s="19"/>
      <c r="BU1447" s="139"/>
      <c r="BV1447" s="139"/>
      <c r="BW1447" s="123"/>
      <c r="BX1447" s="123"/>
      <c r="BY1447" s="123"/>
      <c r="BZ1447" s="123"/>
      <c r="CA1447" s="123"/>
      <c r="CB1447" s="123"/>
      <c r="CC1447" s="6"/>
      <c r="CD1447" s="123"/>
      <c r="CE1447" s="6"/>
      <c r="CF1447" s="123"/>
      <c r="CG1447" s="6"/>
      <c r="CH1447" s="6"/>
      <c r="CI1447" s="6"/>
      <c r="CJ1447" s="6"/>
      <c r="CK1447" s="123"/>
      <c r="CL1447" s="6"/>
      <c r="CM1447" s="6"/>
      <c r="CN1447" s="6"/>
      <c r="CO1447" s="138"/>
      <c r="CP1447" s="138"/>
      <c r="CQ1447" s="123"/>
      <c r="CR1447" s="6"/>
      <c r="CS1447" s="6"/>
      <c r="CT1447" s="139"/>
      <c r="CU1447" s="139"/>
      <c r="CV1447" s="76"/>
      <c r="CW1447" s="123"/>
      <c r="CX1447" s="6"/>
      <c r="DI1447" s="125"/>
      <c r="DJ1447" s="16"/>
      <c r="DM1447" s="16"/>
      <c r="DN1447" s="16"/>
      <c r="DO1447" s="125"/>
      <c r="DP1447" s="16"/>
      <c r="DQ1447" s="125"/>
      <c r="DZ1447" s="125"/>
      <c r="EA1447" s="142"/>
      <c r="EB1447" s="125"/>
      <c r="EC1447" s="16"/>
      <c r="ED1447" s="125"/>
      <c r="EE1447" s="125"/>
      <c r="EF1447" s="16"/>
      <c r="EG1447" s="125"/>
      <c r="EQ1447" s="125"/>
      <c r="ER1447" s="16"/>
      <c r="ES1447" s="123"/>
      <c r="ET1447" s="19"/>
      <c r="EU1447" s="139"/>
      <c r="EV1447" s="139"/>
      <c r="EW1447" s="123"/>
      <c r="EX1447" s="123"/>
      <c r="EY1447" s="123"/>
      <c r="EZ1447" s="123"/>
      <c r="FA1447" s="123"/>
      <c r="FB1447" s="123"/>
      <c r="FC1447" s="6"/>
      <c r="FD1447" s="123"/>
      <c r="FE1447" s="6"/>
      <c r="FF1447" s="123"/>
      <c r="FG1447" s="6"/>
      <c r="FH1447" s="6"/>
      <c r="FI1447" s="6"/>
      <c r="FJ1447" s="6"/>
      <c r="FK1447" s="123"/>
      <c r="FL1447" s="6"/>
      <c r="FM1447" s="6"/>
      <c r="FN1447" s="6"/>
      <c r="FO1447" s="138"/>
      <c r="FP1447" s="138"/>
      <c r="FQ1447" s="123"/>
      <c r="FR1447" s="6"/>
      <c r="FS1447" s="6"/>
      <c r="FT1447" s="139"/>
      <c r="FU1447" s="139"/>
      <c r="FV1447" s="76"/>
      <c r="FW1447" s="123"/>
      <c r="FX1447" s="6"/>
    </row>
    <row r="1448" spans="35:180">
      <c r="AI1448" s="125"/>
      <c r="AJ1448" s="16"/>
      <c r="AM1448" s="16"/>
      <c r="AN1448" s="16"/>
      <c r="AO1448" s="125"/>
      <c r="AP1448" s="16"/>
      <c r="AQ1448" s="125"/>
      <c r="AZ1448" s="125"/>
      <c r="BA1448" s="142"/>
      <c r="BB1448" s="125"/>
      <c r="BC1448" s="16"/>
      <c r="BD1448" s="125"/>
      <c r="BE1448" s="125"/>
      <c r="BF1448" s="16"/>
      <c r="BG1448" s="125"/>
      <c r="BQ1448" s="125"/>
      <c r="BR1448" s="16"/>
      <c r="BS1448" s="123"/>
      <c r="BT1448" s="19"/>
      <c r="BU1448" s="139"/>
      <c r="BV1448" s="139"/>
      <c r="BW1448" s="123"/>
      <c r="BX1448" s="123"/>
      <c r="BY1448" s="123"/>
      <c r="BZ1448" s="123"/>
      <c r="CA1448" s="123"/>
      <c r="CB1448" s="123"/>
      <c r="CC1448" s="6"/>
      <c r="CD1448" s="123"/>
      <c r="CE1448" s="6"/>
      <c r="CF1448" s="123"/>
      <c r="CG1448" s="6"/>
      <c r="CH1448" s="6"/>
      <c r="CI1448" s="6"/>
      <c r="CJ1448" s="6"/>
      <c r="CK1448" s="123"/>
      <c r="CL1448" s="6"/>
      <c r="CM1448" s="6"/>
      <c r="CN1448" s="6"/>
      <c r="CO1448" s="138"/>
      <c r="CP1448" s="138"/>
      <c r="CQ1448" s="123"/>
      <c r="CR1448" s="6"/>
      <c r="CS1448" s="6"/>
      <c r="CT1448" s="139"/>
      <c r="CU1448" s="139"/>
      <c r="CV1448" s="76"/>
      <c r="CW1448" s="123"/>
      <c r="CX1448" s="6"/>
      <c r="DI1448" s="125"/>
      <c r="DJ1448" s="16"/>
      <c r="DM1448" s="16"/>
      <c r="DN1448" s="16"/>
      <c r="DO1448" s="125"/>
      <c r="DP1448" s="16"/>
      <c r="DQ1448" s="125"/>
      <c r="DZ1448" s="125"/>
      <c r="EA1448" s="142"/>
      <c r="EB1448" s="125"/>
      <c r="EC1448" s="16"/>
      <c r="ED1448" s="125"/>
      <c r="EE1448" s="125"/>
      <c r="EF1448" s="16"/>
      <c r="EG1448" s="125"/>
      <c r="EQ1448" s="125"/>
      <c r="ER1448" s="16"/>
      <c r="ES1448" s="123"/>
      <c r="ET1448" s="19"/>
      <c r="EU1448" s="139"/>
      <c r="EV1448" s="139"/>
      <c r="EW1448" s="123"/>
      <c r="EX1448" s="123"/>
      <c r="EY1448" s="123"/>
      <c r="EZ1448" s="123"/>
      <c r="FA1448" s="123"/>
      <c r="FB1448" s="123"/>
      <c r="FC1448" s="6"/>
      <c r="FD1448" s="123"/>
      <c r="FE1448" s="6"/>
      <c r="FF1448" s="123"/>
      <c r="FG1448" s="6"/>
      <c r="FH1448" s="6"/>
      <c r="FI1448" s="6"/>
      <c r="FJ1448" s="6"/>
      <c r="FK1448" s="123"/>
      <c r="FL1448" s="6"/>
      <c r="FM1448" s="6"/>
      <c r="FN1448" s="6"/>
      <c r="FO1448" s="138"/>
      <c r="FP1448" s="138"/>
      <c r="FQ1448" s="123"/>
      <c r="FR1448" s="6"/>
      <c r="FS1448" s="6"/>
      <c r="FT1448" s="139"/>
      <c r="FU1448" s="139"/>
      <c r="FV1448" s="76"/>
      <c r="FW1448" s="123"/>
      <c r="FX1448" s="6"/>
    </row>
    <row r="1449" spans="35:180">
      <c r="AI1449" s="125"/>
      <c r="AJ1449" s="16"/>
      <c r="AM1449" s="16"/>
      <c r="AN1449" s="16"/>
      <c r="AO1449" s="125"/>
      <c r="AP1449" s="16"/>
      <c r="AQ1449" s="125"/>
      <c r="AZ1449" s="125"/>
      <c r="BA1449" s="142"/>
      <c r="BB1449" s="125"/>
      <c r="BC1449" s="16"/>
      <c r="BD1449" s="125"/>
      <c r="BE1449" s="125"/>
      <c r="BF1449" s="16"/>
      <c r="BG1449" s="125"/>
      <c r="BQ1449" s="125"/>
      <c r="BR1449" s="16"/>
      <c r="BS1449" s="123"/>
      <c r="BT1449" s="19"/>
      <c r="BU1449" s="139"/>
      <c r="BV1449" s="139"/>
      <c r="BW1449" s="123"/>
      <c r="BX1449" s="123"/>
      <c r="BY1449" s="123"/>
      <c r="BZ1449" s="123"/>
      <c r="CA1449" s="123"/>
      <c r="CB1449" s="123"/>
      <c r="CC1449" s="6"/>
      <c r="CD1449" s="123"/>
      <c r="CE1449" s="6"/>
      <c r="CF1449" s="123"/>
      <c r="CG1449" s="6"/>
      <c r="CH1449" s="6"/>
      <c r="CI1449" s="6"/>
      <c r="CJ1449" s="6"/>
      <c r="CK1449" s="123"/>
      <c r="CL1449" s="6"/>
      <c r="CM1449" s="6"/>
      <c r="CN1449" s="6"/>
      <c r="CO1449" s="138"/>
      <c r="CP1449" s="138"/>
      <c r="CQ1449" s="123"/>
      <c r="CR1449" s="6"/>
      <c r="CS1449" s="6"/>
      <c r="CT1449" s="139"/>
      <c r="CU1449" s="139"/>
      <c r="CV1449" s="76"/>
      <c r="CW1449" s="123"/>
      <c r="CX1449" s="6"/>
      <c r="DI1449" s="125"/>
      <c r="DJ1449" s="16"/>
      <c r="DM1449" s="16"/>
      <c r="DN1449" s="16"/>
      <c r="DO1449" s="125"/>
      <c r="DP1449" s="16"/>
      <c r="DQ1449" s="125"/>
      <c r="DZ1449" s="125"/>
      <c r="EA1449" s="142"/>
      <c r="EB1449" s="125"/>
      <c r="EC1449" s="16"/>
      <c r="ED1449" s="125"/>
      <c r="EE1449" s="125"/>
      <c r="EF1449" s="16"/>
      <c r="EG1449" s="125"/>
      <c r="EQ1449" s="125"/>
      <c r="ER1449" s="16"/>
      <c r="ES1449" s="123"/>
      <c r="ET1449" s="19"/>
      <c r="EU1449" s="139"/>
      <c r="EV1449" s="139"/>
      <c r="EW1449" s="123"/>
      <c r="EX1449" s="123"/>
      <c r="EY1449" s="123"/>
      <c r="EZ1449" s="123"/>
      <c r="FA1449" s="123"/>
      <c r="FB1449" s="123"/>
      <c r="FC1449" s="6"/>
      <c r="FD1449" s="123"/>
      <c r="FE1449" s="6"/>
      <c r="FF1449" s="123"/>
      <c r="FG1449" s="6"/>
      <c r="FH1449" s="6"/>
      <c r="FI1449" s="6"/>
      <c r="FJ1449" s="6"/>
      <c r="FK1449" s="123"/>
      <c r="FL1449" s="6"/>
      <c r="FM1449" s="6"/>
      <c r="FN1449" s="6"/>
      <c r="FO1449" s="138"/>
      <c r="FP1449" s="138"/>
      <c r="FQ1449" s="123"/>
      <c r="FR1449" s="6"/>
      <c r="FS1449" s="6"/>
      <c r="FT1449" s="139"/>
      <c r="FU1449" s="139"/>
      <c r="FV1449" s="76"/>
      <c r="FW1449" s="123"/>
      <c r="FX1449" s="6"/>
    </row>
    <row r="1450" spans="35:180">
      <c r="AI1450" s="125"/>
      <c r="AJ1450" s="16"/>
      <c r="AM1450" s="16"/>
      <c r="AN1450" s="16"/>
      <c r="AO1450" s="125"/>
      <c r="AP1450" s="16"/>
      <c r="AQ1450" s="125"/>
      <c r="AZ1450" s="125"/>
      <c r="BA1450" s="142"/>
      <c r="BB1450" s="125"/>
      <c r="BC1450" s="16"/>
      <c r="BD1450" s="125"/>
      <c r="BE1450" s="125"/>
      <c r="BF1450" s="16"/>
      <c r="BG1450" s="125"/>
      <c r="BQ1450" s="125"/>
      <c r="BR1450" s="16"/>
      <c r="BS1450" s="123"/>
      <c r="BT1450" s="19"/>
      <c r="BU1450" s="139"/>
      <c r="BV1450" s="139"/>
      <c r="BW1450" s="123"/>
      <c r="BX1450" s="123"/>
      <c r="BY1450" s="123"/>
      <c r="BZ1450" s="123"/>
      <c r="CA1450" s="123"/>
      <c r="CB1450" s="123"/>
      <c r="CC1450" s="6"/>
      <c r="CD1450" s="123"/>
      <c r="CE1450" s="6"/>
      <c r="CF1450" s="123"/>
      <c r="CG1450" s="6"/>
      <c r="CH1450" s="6"/>
      <c r="CI1450" s="6"/>
      <c r="CJ1450" s="6"/>
      <c r="CK1450" s="123"/>
      <c r="CL1450" s="6"/>
      <c r="CM1450" s="6"/>
      <c r="CN1450" s="6"/>
      <c r="CO1450" s="138"/>
      <c r="CP1450" s="138"/>
      <c r="CQ1450" s="123"/>
      <c r="CR1450" s="6"/>
      <c r="CS1450" s="6"/>
      <c r="CT1450" s="139"/>
      <c r="CU1450" s="139"/>
      <c r="CV1450" s="76"/>
      <c r="CW1450" s="123"/>
      <c r="CX1450" s="6"/>
      <c r="DI1450" s="125"/>
      <c r="DJ1450" s="16"/>
      <c r="DM1450" s="16"/>
      <c r="DN1450" s="16"/>
      <c r="DO1450" s="125"/>
      <c r="DP1450" s="16"/>
      <c r="DQ1450" s="125"/>
      <c r="DZ1450" s="125"/>
      <c r="EA1450" s="142"/>
      <c r="EB1450" s="125"/>
      <c r="EC1450" s="16"/>
      <c r="ED1450" s="125"/>
      <c r="EE1450" s="125"/>
      <c r="EF1450" s="16"/>
      <c r="EG1450" s="125"/>
      <c r="EQ1450" s="125"/>
      <c r="ER1450" s="16"/>
      <c r="ES1450" s="123"/>
      <c r="ET1450" s="19"/>
      <c r="EU1450" s="139"/>
      <c r="EV1450" s="139"/>
      <c r="EW1450" s="123"/>
      <c r="EX1450" s="123"/>
      <c r="EY1450" s="123"/>
      <c r="EZ1450" s="123"/>
      <c r="FA1450" s="123"/>
      <c r="FB1450" s="123"/>
      <c r="FC1450" s="6"/>
      <c r="FD1450" s="123"/>
      <c r="FE1450" s="6"/>
      <c r="FF1450" s="123"/>
      <c r="FG1450" s="6"/>
      <c r="FH1450" s="6"/>
      <c r="FI1450" s="6"/>
      <c r="FJ1450" s="6"/>
      <c r="FK1450" s="123"/>
      <c r="FL1450" s="6"/>
      <c r="FM1450" s="6"/>
      <c r="FN1450" s="6"/>
      <c r="FO1450" s="138"/>
      <c r="FP1450" s="138"/>
      <c r="FQ1450" s="123"/>
      <c r="FR1450" s="6"/>
      <c r="FS1450" s="6"/>
      <c r="FT1450" s="139"/>
      <c r="FU1450" s="139"/>
      <c r="FV1450" s="76"/>
      <c r="FW1450" s="123"/>
      <c r="FX1450" s="6"/>
    </row>
    <row r="1451" spans="35:180">
      <c r="AI1451" s="125"/>
      <c r="AJ1451" s="16"/>
      <c r="AM1451" s="16"/>
      <c r="AN1451" s="16"/>
      <c r="AO1451" s="125"/>
      <c r="AP1451" s="16"/>
      <c r="AQ1451" s="125"/>
      <c r="AZ1451" s="125"/>
      <c r="BA1451" s="142"/>
      <c r="BB1451" s="125"/>
      <c r="BC1451" s="16"/>
      <c r="BD1451" s="125"/>
      <c r="BE1451" s="125"/>
      <c r="BF1451" s="16"/>
      <c r="BG1451" s="125"/>
      <c r="BQ1451" s="125"/>
      <c r="BR1451" s="16"/>
      <c r="BS1451" s="123"/>
      <c r="BT1451" s="19"/>
      <c r="BU1451" s="139"/>
      <c r="BV1451" s="139"/>
      <c r="BW1451" s="123"/>
      <c r="BX1451" s="123"/>
      <c r="BY1451" s="123"/>
      <c r="BZ1451" s="123"/>
      <c r="CA1451" s="123"/>
      <c r="CB1451" s="123"/>
      <c r="CC1451" s="6"/>
      <c r="CD1451" s="123"/>
      <c r="CE1451" s="6"/>
      <c r="CF1451" s="123"/>
      <c r="CG1451" s="6"/>
      <c r="CH1451" s="6"/>
      <c r="CI1451" s="6"/>
      <c r="CJ1451" s="6"/>
      <c r="CK1451" s="123"/>
      <c r="CL1451" s="6"/>
      <c r="CM1451" s="6"/>
      <c r="CN1451" s="6"/>
      <c r="CO1451" s="138"/>
      <c r="CP1451" s="138"/>
      <c r="CQ1451" s="123"/>
      <c r="CR1451" s="6"/>
      <c r="CS1451" s="6"/>
      <c r="CT1451" s="139"/>
      <c r="CU1451" s="139"/>
      <c r="CV1451" s="76"/>
      <c r="CW1451" s="123"/>
      <c r="CX1451" s="6"/>
      <c r="DI1451" s="125"/>
      <c r="DJ1451" s="16"/>
      <c r="DM1451" s="16"/>
      <c r="DN1451" s="16"/>
      <c r="DO1451" s="125"/>
      <c r="DP1451" s="16"/>
      <c r="DQ1451" s="125"/>
      <c r="DZ1451" s="125"/>
      <c r="EA1451" s="142"/>
      <c r="EB1451" s="125"/>
      <c r="EC1451" s="16"/>
      <c r="ED1451" s="125"/>
      <c r="EE1451" s="125"/>
      <c r="EF1451" s="16"/>
      <c r="EG1451" s="125"/>
      <c r="EQ1451" s="125"/>
      <c r="ER1451" s="16"/>
      <c r="ES1451" s="123"/>
      <c r="ET1451" s="19"/>
      <c r="EU1451" s="139"/>
      <c r="EV1451" s="139"/>
      <c r="EW1451" s="123"/>
      <c r="EX1451" s="123"/>
      <c r="EY1451" s="123"/>
      <c r="EZ1451" s="123"/>
      <c r="FA1451" s="123"/>
      <c r="FB1451" s="123"/>
      <c r="FC1451" s="6"/>
      <c r="FD1451" s="123"/>
      <c r="FE1451" s="6"/>
      <c r="FF1451" s="123"/>
      <c r="FG1451" s="6"/>
      <c r="FH1451" s="6"/>
      <c r="FI1451" s="6"/>
      <c r="FJ1451" s="6"/>
      <c r="FK1451" s="123"/>
      <c r="FL1451" s="6"/>
      <c r="FM1451" s="6"/>
      <c r="FN1451" s="6"/>
      <c r="FO1451" s="138"/>
      <c r="FP1451" s="138"/>
      <c r="FQ1451" s="123"/>
      <c r="FR1451" s="6"/>
      <c r="FS1451" s="6"/>
      <c r="FT1451" s="139"/>
      <c r="FU1451" s="139"/>
      <c r="FV1451" s="76"/>
      <c r="FW1451" s="123"/>
      <c r="FX1451" s="6"/>
    </row>
    <row r="1452" spans="35:180">
      <c r="AI1452" s="125"/>
      <c r="AJ1452" s="16"/>
      <c r="AM1452" s="16"/>
      <c r="AN1452" s="16"/>
      <c r="AO1452" s="125"/>
      <c r="AP1452" s="16"/>
      <c r="AQ1452" s="125"/>
      <c r="AZ1452" s="125"/>
      <c r="BA1452" s="142"/>
      <c r="BB1452" s="125"/>
      <c r="BC1452" s="16"/>
      <c r="BD1452" s="125"/>
      <c r="BE1452" s="125"/>
      <c r="BF1452" s="16"/>
      <c r="BG1452" s="125"/>
      <c r="BQ1452" s="125"/>
      <c r="BR1452" s="16"/>
      <c r="BS1452" s="123"/>
      <c r="BT1452" s="19"/>
      <c r="BU1452" s="139"/>
      <c r="BV1452" s="139"/>
      <c r="BW1452" s="123"/>
      <c r="BX1452" s="123"/>
      <c r="BY1452" s="123"/>
      <c r="BZ1452" s="123"/>
      <c r="CA1452" s="123"/>
      <c r="CB1452" s="123"/>
      <c r="CC1452" s="6"/>
      <c r="CD1452" s="123"/>
      <c r="CE1452" s="6"/>
      <c r="CF1452" s="123"/>
      <c r="CG1452" s="6"/>
      <c r="CH1452" s="6"/>
      <c r="CI1452" s="6"/>
      <c r="CJ1452" s="6"/>
      <c r="CK1452" s="123"/>
      <c r="CL1452" s="6"/>
      <c r="CM1452" s="6"/>
      <c r="CN1452" s="6"/>
      <c r="CO1452" s="138"/>
      <c r="CP1452" s="138"/>
      <c r="CQ1452" s="123"/>
      <c r="CR1452" s="6"/>
      <c r="CS1452" s="6"/>
      <c r="CT1452" s="139"/>
      <c r="CU1452" s="139"/>
      <c r="CV1452" s="76"/>
      <c r="CW1452" s="123"/>
      <c r="CX1452" s="6"/>
      <c r="DI1452" s="125"/>
      <c r="DJ1452" s="16"/>
      <c r="DM1452" s="16"/>
      <c r="DN1452" s="16"/>
      <c r="DO1452" s="125"/>
      <c r="DP1452" s="16"/>
      <c r="DQ1452" s="125"/>
      <c r="DZ1452" s="125"/>
      <c r="EA1452" s="142"/>
      <c r="EB1452" s="125"/>
      <c r="EC1452" s="16"/>
      <c r="ED1452" s="125"/>
      <c r="EE1452" s="125"/>
      <c r="EF1452" s="16"/>
      <c r="EG1452" s="125"/>
      <c r="EQ1452" s="125"/>
      <c r="ER1452" s="16"/>
      <c r="ES1452" s="123"/>
      <c r="ET1452" s="19"/>
      <c r="EU1452" s="139"/>
      <c r="EV1452" s="139"/>
      <c r="EW1452" s="123"/>
      <c r="EX1452" s="123"/>
      <c r="EY1452" s="123"/>
      <c r="EZ1452" s="123"/>
      <c r="FA1452" s="123"/>
      <c r="FB1452" s="123"/>
      <c r="FC1452" s="6"/>
      <c r="FD1452" s="123"/>
      <c r="FE1452" s="6"/>
      <c r="FF1452" s="123"/>
      <c r="FG1452" s="6"/>
      <c r="FH1452" s="6"/>
      <c r="FI1452" s="6"/>
      <c r="FJ1452" s="6"/>
      <c r="FK1452" s="123"/>
      <c r="FL1452" s="6"/>
      <c r="FM1452" s="6"/>
      <c r="FN1452" s="6"/>
      <c r="FO1452" s="138"/>
      <c r="FP1452" s="138"/>
      <c r="FQ1452" s="123"/>
      <c r="FR1452" s="6"/>
      <c r="FS1452" s="6"/>
      <c r="FT1452" s="139"/>
      <c r="FU1452" s="139"/>
      <c r="FV1452" s="76"/>
      <c r="FW1452" s="123"/>
      <c r="FX1452" s="6"/>
    </row>
    <row r="1453" spans="35:180">
      <c r="AI1453" s="125"/>
      <c r="AJ1453" s="16"/>
      <c r="AM1453" s="16"/>
      <c r="AN1453" s="16"/>
      <c r="AO1453" s="125"/>
      <c r="AP1453" s="16"/>
      <c r="AQ1453" s="125"/>
      <c r="AZ1453" s="125"/>
      <c r="BA1453" s="142"/>
      <c r="BB1453" s="125"/>
      <c r="BC1453" s="16"/>
      <c r="BD1453" s="125"/>
      <c r="BE1453" s="125"/>
      <c r="BF1453" s="16"/>
      <c r="BG1453" s="125"/>
      <c r="BQ1453" s="125"/>
      <c r="BR1453" s="16"/>
      <c r="BS1453" s="123"/>
      <c r="BT1453" s="19"/>
      <c r="BU1453" s="139"/>
      <c r="BV1453" s="139"/>
      <c r="BW1453" s="123"/>
      <c r="BX1453" s="123"/>
      <c r="BY1453" s="123"/>
      <c r="BZ1453" s="123"/>
      <c r="CA1453" s="123"/>
      <c r="CB1453" s="123"/>
      <c r="CC1453" s="6"/>
      <c r="CD1453" s="123"/>
      <c r="CE1453" s="6"/>
      <c r="CF1453" s="123"/>
      <c r="CG1453" s="6"/>
      <c r="CH1453" s="6"/>
      <c r="CI1453" s="6"/>
      <c r="CJ1453" s="6"/>
      <c r="CK1453" s="123"/>
      <c r="CL1453" s="6"/>
      <c r="CM1453" s="6"/>
      <c r="CN1453" s="6"/>
      <c r="CO1453" s="138"/>
      <c r="CP1453" s="138"/>
      <c r="CQ1453" s="123"/>
      <c r="CR1453" s="6"/>
      <c r="CS1453" s="6"/>
      <c r="CT1453" s="139"/>
      <c r="CU1453" s="139"/>
      <c r="CV1453" s="76"/>
      <c r="CW1453" s="123"/>
      <c r="CX1453" s="6"/>
      <c r="DI1453" s="125"/>
      <c r="DJ1453" s="16"/>
      <c r="DM1453" s="16"/>
      <c r="DN1453" s="16"/>
      <c r="DO1453" s="125"/>
      <c r="DP1453" s="16"/>
      <c r="DQ1453" s="125"/>
      <c r="DZ1453" s="125"/>
      <c r="EA1453" s="142"/>
      <c r="EB1453" s="125"/>
      <c r="EC1453" s="16"/>
      <c r="ED1453" s="125"/>
      <c r="EE1453" s="125"/>
      <c r="EF1453" s="16"/>
      <c r="EG1453" s="125"/>
      <c r="EQ1453" s="125"/>
      <c r="ER1453" s="16"/>
      <c r="ES1453" s="123"/>
      <c r="ET1453" s="19"/>
      <c r="EU1453" s="139"/>
      <c r="EV1453" s="139"/>
      <c r="EW1453" s="123"/>
      <c r="EX1453" s="123"/>
      <c r="EY1453" s="123"/>
      <c r="EZ1453" s="123"/>
      <c r="FA1453" s="123"/>
      <c r="FB1453" s="123"/>
      <c r="FC1453" s="6"/>
      <c r="FD1453" s="123"/>
      <c r="FE1453" s="6"/>
      <c r="FF1453" s="123"/>
      <c r="FG1453" s="6"/>
      <c r="FH1453" s="6"/>
      <c r="FI1453" s="6"/>
      <c r="FJ1453" s="6"/>
      <c r="FK1453" s="123"/>
      <c r="FL1453" s="6"/>
      <c r="FM1453" s="6"/>
      <c r="FN1453" s="6"/>
      <c r="FO1453" s="138"/>
      <c r="FP1453" s="138"/>
      <c r="FQ1453" s="123"/>
      <c r="FR1453" s="6"/>
      <c r="FS1453" s="6"/>
      <c r="FT1453" s="139"/>
      <c r="FU1453" s="139"/>
      <c r="FV1453" s="76"/>
      <c r="FW1453" s="123"/>
      <c r="FX1453" s="6"/>
    </row>
    <row r="1454" spans="35:180">
      <c r="AI1454" s="125"/>
      <c r="AJ1454" s="16"/>
      <c r="AM1454" s="16"/>
      <c r="AN1454" s="16"/>
      <c r="AO1454" s="125"/>
      <c r="AP1454" s="16"/>
      <c r="AQ1454" s="125"/>
      <c r="AZ1454" s="125"/>
      <c r="BA1454" s="142"/>
      <c r="BB1454" s="125"/>
      <c r="BC1454" s="16"/>
      <c r="BD1454" s="125"/>
      <c r="BE1454" s="125"/>
      <c r="BF1454" s="16"/>
      <c r="BG1454" s="125"/>
      <c r="BQ1454" s="125"/>
      <c r="BR1454" s="16"/>
      <c r="BS1454" s="123"/>
      <c r="BT1454" s="19"/>
      <c r="BU1454" s="139"/>
      <c r="BV1454" s="139"/>
      <c r="BW1454" s="123"/>
      <c r="BX1454" s="123"/>
      <c r="BY1454" s="123"/>
      <c r="BZ1454" s="123"/>
      <c r="CA1454" s="123"/>
      <c r="CB1454" s="123"/>
      <c r="CC1454" s="6"/>
      <c r="CD1454" s="123"/>
      <c r="CE1454" s="6"/>
      <c r="CF1454" s="123"/>
      <c r="CG1454" s="6"/>
      <c r="CH1454" s="6"/>
      <c r="CI1454" s="6"/>
      <c r="CJ1454" s="6"/>
      <c r="CK1454" s="123"/>
      <c r="CL1454" s="6"/>
      <c r="CM1454" s="6"/>
      <c r="CN1454" s="6"/>
      <c r="CO1454" s="138"/>
      <c r="CP1454" s="138"/>
      <c r="CQ1454" s="123"/>
      <c r="CR1454" s="6"/>
      <c r="CS1454" s="6"/>
      <c r="CT1454" s="139"/>
      <c r="CU1454" s="139"/>
      <c r="CV1454" s="76"/>
      <c r="CW1454" s="123"/>
      <c r="CX1454" s="6"/>
      <c r="DI1454" s="125"/>
      <c r="DJ1454" s="16"/>
      <c r="DM1454" s="16"/>
      <c r="DN1454" s="16"/>
      <c r="DO1454" s="125"/>
      <c r="DP1454" s="16"/>
      <c r="DQ1454" s="125"/>
      <c r="DZ1454" s="125"/>
      <c r="EA1454" s="142"/>
      <c r="EB1454" s="125"/>
      <c r="EC1454" s="16"/>
      <c r="ED1454" s="125"/>
      <c r="EE1454" s="125"/>
      <c r="EF1454" s="16"/>
      <c r="EG1454" s="125"/>
      <c r="EQ1454" s="125"/>
      <c r="ER1454" s="16"/>
      <c r="ES1454" s="123"/>
      <c r="ET1454" s="19"/>
      <c r="EU1454" s="139"/>
      <c r="EV1454" s="139"/>
      <c r="EW1454" s="123"/>
      <c r="EX1454" s="123"/>
      <c r="EY1454" s="123"/>
      <c r="EZ1454" s="123"/>
      <c r="FA1454" s="123"/>
      <c r="FB1454" s="123"/>
      <c r="FC1454" s="6"/>
      <c r="FD1454" s="123"/>
      <c r="FE1454" s="6"/>
      <c r="FF1454" s="123"/>
      <c r="FG1454" s="6"/>
      <c r="FH1454" s="6"/>
      <c r="FI1454" s="6"/>
      <c r="FJ1454" s="6"/>
      <c r="FK1454" s="123"/>
      <c r="FL1454" s="6"/>
      <c r="FM1454" s="6"/>
      <c r="FN1454" s="6"/>
      <c r="FO1454" s="138"/>
      <c r="FP1454" s="138"/>
      <c r="FQ1454" s="123"/>
      <c r="FR1454" s="6"/>
      <c r="FS1454" s="6"/>
      <c r="FT1454" s="139"/>
      <c r="FU1454" s="139"/>
      <c r="FV1454" s="76"/>
      <c r="FW1454" s="123"/>
      <c r="FX1454" s="6"/>
    </row>
    <row r="1455" spans="35:180">
      <c r="AI1455" s="125"/>
      <c r="AJ1455" s="16"/>
      <c r="AM1455" s="16"/>
      <c r="AN1455" s="16"/>
      <c r="AO1455" s="125"/>
      <c r="AP1455" s="16"/>
      <c r="AQ1455" s="125"/>
      <c r="AZ1455" s="125"/>
      <c r="BA1455" s="142"/>
      <c r="BB1455" s="125"/>
      <c r="BC1455" s="16"/>
      <c r="BD1455" s="125"/>
      <c r="BE1455" s="125"/>
      <c r="BF1455" s="16"/>
      <c r="BG1455" s="125"/>
      <c r="BQ1455" s="125"/>
      <c r="BR1455" s="16"/>
      <c r="BS1455" s="123"/>
      <c r="BT1455" s="19"/>
      <c r="BU1455" s="139"/>
      <c r="BV1455" s="139"/>
      <c r="BW1455" s="123"/>
      <c r="BX1455" s="123"/>
      <c r="BY1455" s="123"/>
      <c r="BZ1455" s="123"/>
      <c r="CA1455" s="123"/>
      <c r="CB1455" s="123"/>
      <c r="CC1455" s="6"/>
      <c r="CD1455" s="123"/>
      <c r="CE1455" s="6"/>
      <c r="CF1455" s="123"/>
      <c r="CG1455" s="6"/>
      <c r="CH1455" s="6"/>
      <c r="CI1455" s="6"/>
      <c r="CJ1455" s="6"/>
      <c r="CK1455" s="123"/>
      <c r="CL1455" s="6"/>
      <c r="CM1455" s="6"/>
      <c r="CN1455" s="6"/>
      <c r="CO1455" s="138"/>
      <c r="CP1455" s="138"/>
      <c r="CQ1455" s="123"/>
      <c r="CR1455" s="6"/>
      <c r="CS1455" s="6"/>
      <c r="CT1455" s="139"/>
      <c r="CU1455" s="139"/>
      <c r="CV1455" s="76"/>
      <c r="CW1455" s="123"/>
      <c r="CX1455" s="6"/>
      <c r="DI1455" s="125"/>
      <c r="DJ1455" s="16"/>
      <c r="DM1455" s="16"/>
      <c r="DN1455" s="16"/>
      <c r="DO1455" s="125"/>
      <c r="DP1455" s="16"/>
      <c r="DQ1455" s="125"/>
      <c r="DZ1455" s="125"/>
      <c r="EA1455" s="142"/>
      <c r="EB1455" s="125"/>
      <c r="EC1455" s="16"/>
      <c r="ED1455" s="125"/>
      <c r="EE1455" s="125"/>
      <c r="EF1455" s="16"/>
      <c r="EG1455" s="125"/>
      <c r="EQ1455" s="125"/>
      <c r="ER1455" s="16"/>
      <c r="ES1455" s="123"/>
      <c r="ET1455" s="19"/>
      <c r="EU1455" s="139"/>
      <c r="EV1455" s="139"/>
      <c r="EW1455" s="123"/>
      <c r="EX1455" s="123"/>
      <c r="EY1455" s="123"/>
      <c r="EZ1455" s="123"/>
      <c r="FA1455" s="123"/>
      <c r="FB1455" s="123"/>
      <c r="FC1455" s="6"/>
      <c r="FD1455" s="123"/>
      <c r="FE1455" s="6"/>
      <c r="FF1455" s="123"/>
      <c r="FG1455" s="6"/>
      <c r="FH1455" s="6"/>
      <c r="FI1455" s="6"/>
      <c r="FJ1455" s="6"/>
      <c r="FK1455" s="123"/>
      <c r="FL1455" s="6"/>
      <c r="FM1455" s="6"/>
      <c r="FN1455" s="6"/>
      <c r="FO1455" s="138"/>
      <c r="FP1455" s="138"/>
      <c r="FQ1455" s="123"/>
      <c r="FR1455" s="6"/>
      <c r="FS1455" s="6"/>
      <c r="FT1455" s="139"/>
      <c r="FU1455" s="139"/>
      <c r="FV1455" s="76"/>
      <c r="FW1455" s="123"/>
      <c r="FX1455" s="6"/>
    </row>
    <row r="1456" spans="35:180">
      <c r="AI1456" s="125"/>
      <c r="AJ1456" s="16"/>
      <c r="AM1456" s="16"/>
      <c r="AN1456" s="16"/>
      <c r="AO1456" s="125"/>
      <c r="AP1456" s="16"/>
      <c r="AQ1456" s="125"/>
      <c r="AZ1456" s="125"/>
      <c r="BA1456" s="142"/>
      <c r="BB1456" s="125"/>
      <c r="BC1456" s="16"/>
      <c r="BD1456" s="125"/>
      <c r="BE1456" s="125"/>
      <c r="BF1456" s="16"/>
      <c r="BG1456" s="125"/>
      <c r="BQ1456" s="125"/>
      <c r="BR1456" s="16"/>
      <c r="BS1456" s="123"/>
      <c r="BT1456" s="19"/>
      <c r="BU1456" s="139"/>
      <c r="BV1456" s="139"/>
      <c r="BW1456" s="123"/>
      <c r="BX1456" s="123"/>
      <c r="BY1456" s="123"/>
      <c r="BZ1456" s="123"/>
      <c r="CA1456" s="123"/>
      <c r="CB1456" s="123"/>
      <c r="CC1456" s="6"/>
      <c r="CD1456" s="123"/>
      <c r="CE1456" s="6"/>
      <c r="CF1456" s="123"/>
      <c r="CG1456" s="6"/>
      <c r="CH1456" s="6"/>
      <c r="CI1456" s="6"/>
      <c r="CJ1456" s="6"/>
      <c r="CK1456" s="123"/>
      <c r="CL1456" s="6"/>
      <c r="CM1456" s="6"/>
      <c r="CN1456" s="6"/>
      <c r="CO1456" s="138"/>
      <c r="CP1456" s="138"/>
      <c r="CQ1456" s="123"/>
      <c r="CR1456" s="6"/>
      <c r="CS1456" s="6"/>
      <c r="CT1456" s="139"/>
      <c r="CU1456" s="139"/>
      <c r="CV1456" s="76"/>
      <c r="CW1456" s="123"/>
      <c r="CX1456" s="6"/>
      <c r="DI1456" s="125"/>
      <c r="DJ1456" s="16"/>
      <c r="DM1456" s="16"/>
      <c r="DN1456" s="16"/>
      <c r="DO1456" s="125"/>
      <c r="DP1456" s="16"/>
      <c r="DQ1456" s="125"/>
      <c r="DZ1456" s="125"/>
      <c r="EA1456" s="142"/>
      <c r="EB1456" s="125"/>
      <c r="EC1456" s="16"/>
      <c r="ED1456" s="125"/>
      <c r="EE1456" s="125"/>
      <c r="EF1456" s="16"/>
      <c r="EG1456" s="125"/>
      <c r="EQ1456" s="125"/>
      <c r="ER1456" s="16"/>
      <c r="ES1456" s="123"/>
      <c r="ET1456" s="19"/>
      <c r="EU1456" s="139"/>
      <c r="EV1456" s="139"/>
      <c r="EW1456" s="123"/>
      <c r="EX1456" s="123"/>
      <c r="EY1456" s="123"/>
      <c r="EZ1456" s="123"/>
      <c r="FA1456" s="123"/>
      <c r="FB1456" s="123"/>
      <c r="FC1456" s="6"/>
      <c r="FD1456" s="123"/>
      <c r="FE1456" s="6"/>
      <c r="FF1456" s="123"/>
      <c r="FG1456" s="6"/>
      <c r="FH1456" s="6"/>
      <c r="FI1456" s="6"/>
      <c r="FJ1456" s="6"/>
      <c r="FK1456" s="123"/>
      <c r="FL1456" s="6"/>
      <c r="FM1456" s="6"/>
      <c r="FN1456" s="6"/>
      <c r="FO1456" s="138"/>
      <c r="FP1456" s="138"/>
      <c r="FQ1456" s="123"/>
      <c r="FR1456" s="6"/>
      <c r="FS1456" s="6"/>
      <c r="FT1456" s="139"/>
      <c r="FU1456" s="139"/>
      <c r="FV1456" s="76"/>
      <c r="FW1456" s="123"/>
      <c r="FX1456" s="6"/>
    </row>
    <row r="1457" spans="35:180">
      <c r="AI1457" s="125"/>
      <c r="AJ1457" s="16"/>
      <c r="AM1457" s="16"/>
      <c r="AN1457" s="16"/>
      <c r="AO1457" s="125"/>
      <c r="AP1457" s="16"/>
      <c r="AQ1457" s="125"/>
      <c r="AZ1457" s="125"/>
      <c r="BA1457" s="142"/>
      <c r="BB1457" s="125"/>
      <c r="BC1457" s="16"/>
      <c r="BD1457" s="125"/>
      <c r="BE1457" s="125"/>
      <c r="BF1457" s="16"/>
      <c r="BG1457" s="125"/>
      <c r="BQ1457" s="125"/>
      <c r="BR1457" s="16"/>
      <c r="BS1457" s="123"/>
      <c r="BT1457" s="19"/>
      <c r="BU1457" s="139"/>
      <c r="BV1457" s="139"/>
      <c r="BW1457" s="123"/>
      <c r="BX1457" s="123"/>
      <c r="BY1457" s="123"/>
      <c r="BZ1457" s="123"/>
      <c r="CA1457" s="123"/>
      <c r="CB1457" s="123"/>
      <c r="CC1457" s="6"/>
      <c r="CD1457" s="123"/>
      <c r="CE1457" s="6"/>
      <c r="CF1457" s="123"/>
      <c r="CG1457" s="6"/>
      <c r="CH1457" s="6"/>
      <c r="CI1457" s="6"/>
      <c r="CJ1457" s="6"/>
      <c r="CK1457" s="123"/>
      <c r="CL1457" s="6"/>
      <c r="CM1457" s="6"/>
      <c r="CN1457" s="6"/>
      <c r="CO1457" s="138"/>
      <c r="CP1457" s="138"/>
      <c r="CQ1457" s="123"/>
      <c r="CR1457" s="6"/>
      <c r="CS1457" s="6"/>
      <c r="CT1457" s="139"/>
      <c r="CU1457" s="139"/>
      <c r="CV1457" s="76"/>
      <c r="CW1457" s="123"/>
      <c r="CX1457" s="6"/>
      <c r="DI1457" s="125"/>
      <c r="DJ1457" s="16"/>
      <c r="DM1457" s="16"/>
      <c r="DN1457" s="16"/>
      <c r="DO1457" s="125"/>
      <c r="DP1457" s="16"/>
      <c r="DQ1457" s="125"/>
      <c r="DZ1457" s="125"/>
      <c r="EA1457" s="142"/>
      <c r="EB1457" s="125"/>
      <c r="EC1457" s="16"/>
      <c r="ED1457" s="125"/>
      <c r="EE1457" s="125"/>
      <c r="EF1457" s="16"/>
      <c r="EG1457" s="125"/>
      <c r="EQ1457" s="125"/>
      <c r="ER1457" s="16"/>
      <c r="ES1457" s="123"/>
      <c r="ET1457" s="19"/>
      <c r="EU1457" s="139"/>
      <c r="EV1457" s="139"/>
      <c r="EW1457" s="123"/>
      <c r="EX1457" s="123"/>
      <c r="EY1457" s="123"/>
      <c r="EZ1457" s="123"/>
      <c r="FA1457" s="123"/>
      <c r="FB1457" s="123"/>
      <c r="FC1457" s="6"/>
      <c r="FD1457" s="123"/>
      <c r="FE1457" s="6"/>
      <c r="FF1457" s="123"/>
      <c r="FG1457" s="6"/>
      <c r="FH1457" s="6"/>
      <c r="FI1457" s="6"/>
      <c r="FJ1457" s="6"/>
      <c r="FK1457" s="123"/>
      <c r="FL1457" s="6"/>
      <c r="FM1457" s="6"/>
      <c r="FN1457" s="6"/>
      <c r="FO1457" s="138"/>
      <c r="FP1457" s="138"/>
      <c r="FQ1457" s="123"/>
      <c r="FR1457" s="6"/>
      <c r="FS1457" s="6"/>
      <c r="FT1457" s="139"/>
      <c r="FU1457" s="139"/>
      <c r="FV1457" s="76"/>
      <c r="FW1457" s="123"/>
      <c r="FX1457" s="6"/>
    </row>
    <row r="1458" spans="35:180">
      <c r="AI1458" s="125"/>
      <c r="AJ1458" s="16"/>
      <c r="AM1458" s="16"/>
      <c r="AN1458" s="16"/>
      <c r="AO1458" s="125"/>
      <c r="AP1458" s="16"/>
      <c r="AQ1458" s="125"/>
      <c r="AZ1458" s="125"/>
      <c r="BA1458" s="142"/>
      <c r="BB1458" s="125"/>
      <c r="BC1458" s="16"/>
      <c r="BD1458" s="125"/>
      <c r="BE1458" s="125"/>
      <c r="BF1458" s="16"/>
      <c r="BG1458" s="125"/>
      <c r="BQ1458" s="125"/>
      <c r="BR1458" s="16"/>
      <c r="BS1458" s="123"/>
      <c r="BT1458" s="19"/>
      <c r="BU1458" s="139"/>
      <c r="BV1458" s="139"/>
      <c r="BW1458" s="123"/>
      <c r="BX1458" s="123"/>
      <c r="BY1458" s="123"/>
      <c r="BZ1458" s="123"/>
      <c r="CA1458" s="123"/>
      <c r="CB1458" s="123"/>
      <c r="CC1458" s="6"/>
      <c r="CD1458" s="123"/>
      <c r="CE1458" s="6"/>
      <c r="CF1458" s="123"/>
      <c r="CG1458" s="6"/>
      <c r="CH1458" s="6"/>
      <c r="CI1458" s="6"/>
      <c r="CJ1458" s="6"/>
      <c r="CK1458" s="123"/>
      <c r="CL1458" s="6"/>
      <c r="CM1458" s="6"/>
      <c r="CN1458" s="6"/>
      <c r="CO1458" s="138"/>
      <c r="CP1458" s="138"/>
      <c r="CQ1458" s="123"/>
      <c r="CR1458" s="6"/>
      <c r="CS1458" s="6"/>
      <c r="CT1458" s="139"/>
      <c r="CU1458" s="139"/>
      <c r="CV1458" s="76"/>
      <c r="CW1458" s="123"/>
      <c r="CX1458" s="6"/>
      <c r="DI1458" s="125"/>
      <c r="DJ1458" s="16"/>
      <c r="DM1458" s="16"/>
      <c r="DN1458" s="16"/>
      <c r="DO1458" s="125"/>
      <c r="DP1458" s="16"/>
      <c r="DQ1458" s="125"/>
      <c r="DZ1458" s="125"/>
      <c r="EA1458" s="142"/>
      <c r="EB1458" s="125"/>
      <c r="EC1458" s="16"/>
      <c r="ED1458" s="125"/>
      <c r="EE1458" s="125"/>
      <c r="EF1458" s="16"/>
      <c r="EG1458" s="125"/>
      <c r="EQ1458" s="125"/>
      <c r="ER1458" s="16"/>
      <c r="ES1458" s="123"/>
      <c r="ET1458" s="19"/>
      <c r="EU1458" s="139"/>
      <c r="EV1458" s="139"/>
      <c r="EW1458" s="123"/>
      <c r="EX1458" s="123"/>
      <c r="EY1458" s="123"/>
      <c r="EZ1458" s="123"/>
      <c r="FA1458" s="123"/>
      <c r="FB1458" s="123"/>
      <c r="FC1458" s="6"/>
      <c r="FD1458" s="123"/>
      <c r="FE1458" s="6"/>
      <c r="FF1458" s="123"/>
      <c r="FG1458" s="6"/>
      <c r="FH1458" s="6"/>
      <c r="FI1458" s="6"/>
      <c r="FJ1458" s="6"/>
      <c r="FK1458" s="123"/>
      <c r="FL1458" s="6"/>
      <c r="FM1458" s="6"/>
      <c r="FN1458" s="6"/>
      <c r="FO1458" s="138"/>
      <c r="FP1458" s="138"/>
      <c r="FQ1458" s="123"/>
      <c r="FR1458" s="6"/>
      <c r="FS1458" s="6"/>
      <c r="FT1458" s="139"/>
      <c r="FU1458" s="139"/>
      <c r="FV1458" s="76"/>
      <c r="FW1458" s="123"/>
      <c r="FX1458" s="6"/>
    </row>
    <row r="1459" spans="35:180">
      <c r="AI1459" s="125"/>
      <c r="AJ1459" s="16"/>
      <c r="AM1459" s="16"/>
      <c r="AN1459" s="16"/>
      <c r="AO1459" s="125"/>
      <c r="AP1459" s="16"/>
      <c r="AQ1459" s="125"/>
      <c r="AZ1459" s="125"/>
      <c r="BA1459" s="142"/>
      <c r="BB1459" s="125"/>
      <c r="BC1459" s="16"/>
      <c r="BD1459" s="125"/>
      <c r="BE1459" s="125"/>
      <c r="BF1459" s="16"/>
      <c r="BG1459" s="125"/>
      <c r="BQ1459" s="125"/>
      <c r="BR1459" s="16"/>
      <c r="BS1459" s="123"/>
      <c r="BT1459" s="19"/>
      <c r="BU1459" s="139"/>
      <c r="BV1459" s="139"/>
      <c r="BW1459" s="123"/>
      <c r="BX1459" s="123"/>
      <c r="BY1459" s="123"/>
      <c r="BZ1459" s="123"/>
      <c r="CA1459" s="123"/>
      <c r="CB1459" s="123"/>
      <c r="CC1459" s="6"/>
      <c r="CD1459" s="123"/>
      <c r="CE1459" s="6"/>
      <c r="CF1459" s="123"/>
      <c r="CG1459" s="6"/>
      <c r="CH1459" s="6"/>
      <c r="CI1459" s="6"/>
      <c r="CJ1459" s="6"/>
      <c r="CK1459" s="123"/>
      <c r="CL1459" s="6"/>
      <c r="CM1459" s="6"/>
      <c r="CN1459" s="6"/>
      <c r="CO1459" s="138"/>
      <c r="CP1459" s="138"/>
      <c r="CQ1459" s="123"/>
      <c r="CR1459" s="6"/>
      <c r="CS1459" s="6"/>
      <c r="CT1459" s="139"/>
      <c r="CU1459" s="139"/>
      <c r="CV1459" s="76"/>
      <c r="CW1459" s="123"/>
      <c r="CX1459" s="6"/>
      <c r="DI1459" s="125"/>
      <c r="DJ1459" s="16"/>
      <c r="DM1459" s="16"/>
      <c r="DN1459" s="16"/>
      <c r="DO1459" s="125"/>
      <c r="DP1459" s="16"/>
      <c r="DQ1459" s="125"/>
      <c r="DZ1459" s="125"/>
      <c r="EA1459" s="142"/>
      <c r="EB1459" s="125"/>
      <c r="EC1459" s="16"/>
      <c r="ED1459" s="125"/>
      <c r="EE1459" s="125"/>
      <c r="EF1459" s="16"/>
      <c r="EG1459" s="125"/>
      <c r="EQ1459" s="125"/>
      <c r="ER1459" s="16"/>
      <c r="ES1459" s="123"/>
      <c r="ET1459" s="19"/>
      <c r="EU1459" s="139"/>
      <c r="EV1459" s="139"/>
      <c r="EW1459" s="123"/>
      <c r="EX1459" s="123"/>
      <c r="EY1459" s="123"/>
      <c r="EZ1459" s="123"/>
      <c r="FA1459" s="123"/>
      <c r="FB1459" s="123"/>
      <c r="FC1459" s="6"/>
      <c r="FD1459" s="123"/>
      <c r="FE1459" s="6"/>
      <c r="FF1459" s="123"/>
      <c r="FG1459" s="6"/>
      <c r="FH1459" s="6"/>
      <c r="FI1459" s="6"/>
      <c r="FJ1459" s="6"/>
      <c r="FK1459" s="123"/>
      <c r="FL1459" s="6"/>
      <c r="FM1459" s="6"/>
      <c r="FN1459" s="6"/>
      <c r="FO1459" s="138"/>
      <c r="FP1459" s="138"/>
      <c r="FQ1459" s="123"/>
      <c r="FR1459" s="6"/>
      <c r="FS1459" s="6"/>
      <c r="FT1459" s="139"/>
      <c r="FU1459" s="139"/>
      <c r="FV1459" s="76"/>
      <c r="FW1459" s="123"/>
      <c r="FX1459" s="6"/>
    </row>
    <row r="1460" spans="35:180">
      <c r="AI1460" s="125"/>
      <c r="AJ1460" s="16"/>
      <c r="AM1460" s="16"/>
      <c r="AN1460" s="16"/>
      <c r="AO1460" s="125"/>
      <c r="AP1460" s="16"/>
      <c r="AQ1460" s="125"/>
      <c r="AZ1460" s="125"/>
      <c r="BA1460" s="142"/>
      <c r="BB1460" s="125"/>
      <c r="BC1460" s="16"/>
      <c r="BD1460" s="125"/>
      <c r="BE1460" s="125"/>
      <c r="BF1460" s="16"/>
      <c r="BG1460" s="125"/>
      <c r="BQ1460" s="125"/>
      <c r="BR1460" s="16"/>
      <c r="BS1460" s="123"/>
      <c r="BT1460" s="19"/>
      <c r="BU1460" s="139"/>
      <c r="BV1460" s="139"/>
      <c r="BW1460" s="123"/>
      <c r="BX1460" s="123"/>
      <c r="BY1460" s="123"/>
      <c r="BZ1460" s="123"/>
      <c r="CA1460" s="123"/>
      <c r="CB1460" s="123"/>
      <c r="CC1460" s="6"/>
      <c r="CD1460" s="123"/>
      <c r="CE1460" s="6"/>
      <c r="CF1460" s="123"/>
      <c r="CG1460" s="6"/>
      <c r="CH1460" s="6"/>
      <c r="CI1460" s="6"/>
      <c r="CJ1460" s="6"/>
      <c r="CK1460" s="123"/>
      <c r="CL1460" s="6"/>
      <c r="CM1460" s="6"/>
      <c r="CN1460" s="6"/>
      <c r="CO1460" s="138"/>
      <c r="CP1460" s="138"/>
      <c r="CQ1460" s="123"/>
      <c r="CR1460" s="6"/>
      <c r="CS1460" s="6"/>
      <c r="CT1460" s="139"/>
      <c r="CU1460" s="139"/>
      <c r="CV1460" s="76"/>
      <c r="CW1460" s="123"/>
      <c r="CX1460" s="6"/>
      <c r="DI1460" s="125"/>
      <c r="DJ1460" s="16"/>
      <c r="DM1460" s="16"/>
      <c r="DN1460" s="16"/>
      <c r="DO1460" s="125"/>
      <c r="DP1460" s="16"/>
      <c r="DQ1460" s="125"/>
      <c r="DZ1460" s="125"/>
      <c r="EA1460" s="142"/>
      <c r="EB1460" s="125"/>
      <c r="EC1460" s="16"/>
      <c r="ED1460" s="125"/>
      <c r="EE1460" s="125"/>
      <c r="EF1460" s="16"/>
      <c r="EG1460" s="125"/>
      <c r="EQ1460" s="125"/>
      <c r="ER1460" s="16"/>
      <c r="ES1460" s="123"/>
      <c r="ET1460" s="19"/>
      <c r="EU1460" s="139"/>
      <c r="EV1460" s="139"/>
      <c r="EW1460" s="123"/>
      <c r="EX1460" s="123"/>
      <c r="EY1460" s="123"/>
      <c r="EZ1460" s="123"/>
      <c r="FA1460" s="123"/>
      <c r="FB1460" s="123"/>
      <c r="FC1460" s="6"/>
      <c r="FD1460" s="123"/>
      <c r="FE1460" s="6"/>
      <c r="FF1460" s="123"/>
      <c r="FG1460" s="6"/>
      <c r="FH1460" s="6"/>
      <c r="FI1460" s="6"/>
      <c r="FJ1460" s="6"/>
      <c r="FK1460" s="123"/>
      <c r="FL1460" s="6"/>
      <c r="FM1460" s="6"/>
      <c r="FN1460" s="6"/>
      <c r="FO1460" s="138"/>
      <c r="FP1460" s="138"/>
      <c r="FQ1460" s="123"/>
      <c r="FR1460" s="6"/>
      <c r="FS1460" s="6"/>
      <c r="FT1460" s="139"/>
      <c r="FU1460" s="139"/>
      <c r="FV1460" s="76"/>
      <c r="FW1460" s="123"/>
      <c r="FX1460" s="6"/>
    </row>
    <row r="1461" spans="35:180">
      <c r="AI1461" s="125"/>
      <c r="AJ1461" s="16"/>
      <c r="AM1461" s="16"/>
      <c r="AN1461" s="16"/>
      <c r="AO1461" s="125"/>
      <c r="AP1461" s="16"/>
      <c r="AQ1461" s="125"/>
      <c r="AZ1461" s="125"/>
      <c r="BA1461" s="142"/>
      <c r="BB1461" s="125"/>
      <c r="BC1461" s="16"/>
      <c r="BD1461" s="125"/>
      <c r="BE1461" s="125"/>
      <c r="BF1461" s="16"/>
      <c r="BG1461" s="125"/>
      <c r="BQ1461" s="125"/>
      <c r="BR1461" s="16"/>
      <c r="BS1461" s="123"/>
      <c r="BT1461" s="19"/>
      <c r="BU1461" s="139"/>
      <c r="BV1461" s="139"/>
      <c r="BW1461" s="123"/>
      <c r="BX1461" s="123"/>
      <c r="BY1461" s="123"/>
      <c r="BZ1461" s="123"/>
      <c r="CA1461" s="123"/>
      <c r="CB1461" s="123"/>
      <c r="CC1461" s="6"/>
      <c r="CD1461" s="123"/>
      <c r="CE1461" s="6"/>
      <c r="CF1461" s="123"/>
      <c r="CG1461" s="6"/>
      <c r="CH1461" s="6"/>
      <c r="CI1461" s="6"/>
      <c r="CJ1461" s="6"/>
      <c r="CK1461" s="123"/>
      <c r="CL1461" s="6"/>
      <c r="CM1461" s="6"/>
      <c r="CN1461" s="6"/>
      <c r="CO1461" s="138"/>
      <c r="CP1461" s="138"/>
      <c r="CQ1461" s="123"/>
      <c r="CR1461" s="6"/>
      <c r="CS1461" s="6"/>
      <c r="CT1461" s="139"/>
      <c r="CU1461" s="139"/>
      <c r="CV1461" s="76"/>
      <c r="CW1461" s="123"/>
      <c r="CX1461" s="6"/>
      <c r="DI1461" s="125"/>
      <c r="DJ1461" s="16"/>
      <c r="DM1461" s="16"/>
      <c r="DN1461" s="16"/>
      <c r="DO1461" s="125"/>
      <c r="DP1461" s="16"/>
      <c r="DQ1461" s="125"/>
      <c r="DZ1461" s="125"/>
      <c r="EA1461" s="142"/>
      <c r="EB1461" s="125"/>
      <c r="EC1461" s="16"/>
      <c r="ED1461" s="125"/>
      <c r="EE1461" s="125"/>
      <c r="EF1461" s="16"/>
      <c r="EG1461" s="125"/>
      <c r="EQ1461" s="125"/>
      <c r="ER1461" s="16"/>
      <c r="ES1461" s="123"/>
      <c r="ET1461" s="19"/>
      <c r="EU1461" s="139"/>
      <c r="EV1461" s="139"/>
      <c r="EW1461" s="123"/>
      <c r="EX1461" s="123"/>
      <c r="EY1461" s="123"/>
      <c r="EZ1461" s="123"/>
      <c r="FA1461" s="123"/>
      <c r="FB1461" s="123"/>
      <c r="FC1461" s="6"/>
      <c r="FD1461" s="123"/>
      <c r="FE1461" s="6"/>
      <c r="FF1461" s="123"/>
      <c r="FG1461" s="6"/>
      <c r="FH1461" s="6"/>
      <c r="FI1461" s="6"/>
      <c r="FJ1461" s="6"/>
      <c r="FK1461" s="123"/>
      <c r="FL1461" s="6"/>
      <c r="FM1461" s="6"/>
      <c r="FN1461" s="6"/>
      <c r="FO1461" s="138"/>
      <c r="FP1461" s="138"/>
      <c r="FQ1461" s="123"/>
      <c r="FR1461" s="6"/>
      <c r="FS1461" s="6"/>
      <c r="FT1461" s="139"/>
      <c r="FU1461" s="139"/>
      <c r="FV1461" s="76"/>
      <c r="FW1461" s="123"/>
      <c r="FX1461" s="6"/>
    </row>
    <row r="1462" spans="35:180">
      <c r="AI1462" s="125"/>
      <c r="AJ1462" s="16"/>
      <c r="AM1462" s="16"/>
      <c r="AN1462" s="16"/>
      <c r="AO1462" s="125"/>
      <c r="AP1462" s="16"/>
      <c r="AQ1462" s="125"/>
      <c r="AZ1462" s="125"/>
      <c r="BA1462" s="142"/>
      <c r="BB1462" s="125"/>
      <c r="BC1462" s="16"/>
      <c r="BD1462" s="125"/>
      <c r="BE1462" s="125"/>
      <c r="BF1462" s="16"/>
      <c r="BG1462" s="125"/>
      <c r="BQ1462" s="125"/>
      <c r="BR1462" s="16"/>
      <c r="BS1462" s="123"/>
      <c r="BT1462" s="19"/>
      <c r="BU1462" s="139"/>
      <c r="BV1462" s="139"/>
      <c r="BW1462" s="123"/>
      <c r="BX1462" s="123"/>
      <c r="BY1462" s="123"/>
      <c r="BZ1462" s="123"/>
      <c r="CA1462" s="123"/>
      <c r="CB1462" s="123"/>
      <c r="CC1462" s="6"/>
      <c r="CD1462" s="123"/>
      <c r="CE1462" s="6"/>
      <c r="CF1462" s="123"/>
      <c r="CG1462" s="6"/>
      <c r="CH1462" s="6"/>
      <c r="CI1462" s="6"/>
      <c r="CJ1462" s="6"/>
      <c r="CK1462" s="123"/>
      <c r="CL1462" s="6"/>
      <c r="CM1462" s="6"/>
      <c r="CN1462" s="6"/>
      <c r="CO1462" s="138"/>
      <c r="CP1462" s="138"/>
      <c r="CQ1462" s="123"/>
      <c r="CR1462" s="6"/>
      <c r="CS1462" s="6"/>
      <c r="CT1462" s="139"/>
      <c r="CU1462" s="139"/>
      <c r="CV1462" s="76"/>
      <c r="CW1462" s="123"/>
      <c r="CX1462" s="6"/>
      <c r="DI1462" s="125"/>
      <c r="DJ1462" s="16"/>
      <c r="DM1462" s="16"/>
      <c r="DN1462" s="16"/>
      <c r="DO1462" s="125"/>
      <c r="DP1462" s="16"/>
      <c r="DQ1462" s="125"/>
      <c r="DZ1462" s="125"/>
      <c r="EA1462" s="142"/>
      <c r="EB1462" s="125"/>
      <c r="EC1462" s="16"/>
      <c r="ED1462" s="125"/>
      <c r="EE1462" s="125"/>
      <c r="EF1462" s="16"/>
      <c r="EG1462" s="125"/>
      <c r="EQ1462" s="125"/>
      <c r="ER1462" s="16"/>
      <c r="ES1462" s="123"/>
      <c r="ET1462" s="19"/>
      <c r="EU1462" s="139"/>
      <c r="EV1462" s="139"/>
      <c r="EW1462" s="123"/>
      <c r="EX1462" s="123"/>
      <c r="EY1462" s="123"/>
      <c r="EZ1462" s="123"/>
      <c r="FA1462" s="123"/>
      <c r="FB1462" s="123"/>
      <c r="FC1462" s="6"/>
      <c r="FD1462" s="123"/>
      <c r="FE1462" s="6"/>
      <c r="FF1462" s="123"/>
      <c r="FG1462" s="6"/>
      <c r="FH1462" s="6"/>
      <c r="FI1462" s="6"/>
      <c r="FJ1462" s="6"/>
      <c r="FK1462" s="123"/>
      <c r="FL1462" s="6"/>
      <c r="FM1462" s="6"/>
      <c r="FN1462" s="6"/>
      <c r="FO1462" s="138"/>
      <c r="FP1462" s="138"/>
      <c r="FQ1462" s="123"/>
      <c r="FR1462" s="6"/>
      <c r="FS1462" s="6"/>
      <c r="FT1462" s="139"/>
      <c r="FU1462" s="139"/>
      <c r="FV1462" s="76"/>
      <c r="FW1462" s="123"/>
      <c r="FX1462" s="6"/>
    </row>
    <row r="1463" spans="35:180">
      <c r="AI1463" s="125"/>
      <c r="AJ1463" s="16"/>
      <c r="AM1463" s="16"/>
      <c r="AN1463" s="16"/>
      <c r="AO1463" s="125"/>
      <c r="AP1463" s="16"/>
      <c r="AQ1463" s="125"/>
      <c r="AZ1463" s="125"/>
      <c r="BA1463" s="142"/>
      <c r="BB1463" s="125"/>
      <c r="BC1463" s="16"/>
      <c r="BD1463" s="125"/>
      <c r="BE1463" s="125"/>
      <c r="BF1463" s="16"/>
      <c r="BG1463" s="125"/>
      <c r="BQ1463" s="125"/>
      <c r="BR1463" s="16"/>
      <c r="BS1463" s="123"/>
      <c r="BT1463" s="19"/>
      <c r="BU1463" s="139"/>
      <c r="BV1463" s="139"/>
      <c r="BW1463" s="123"/>
      <c r="BX1463" s="123"/>
      <c r="BY1463" s="123"/>
      <c r="BZ1463" s="123"/>
      <c r="CA1463" s="123"/>
      <c r="CB1463" s="123"/>
      <c r="CC1463" s="6"/>
      <c r="CD1463" s="123"/>
      <c r="CE1463" s="6"/>
      <c r="CF1463" s="123"/>
      <c r="CG1463" s="6"/>
      <c r="CH1463" s="6"/>
      <c r="CI1463" s="6"/>
      <c r="CJ1463" s="6"/>
      <c r="CK1463" s="123"/>
      <c r="CL1463" s="6"/>
      <c r="CM1463" s="6"/>
      <c r="CN1463" s="6"/>
      <c r="CO1463" s="138"/>
      <c r="CP1463" s="138"/>
      <c r="CQ1463" s="123"/>
      <c r="CR1463" s="6"/>
      <c r="CS1463" s="6"/>
      <c r="CT1463" s="139"/>
      <c r="CU1463" s="139"/>
      <c r="CV1463" s="76"/>
      <c r="CW1463" s="123"/>
      <c r="CX1463" s="6"/>
      <c r="DI1463" s="125"/>
      <c r="DJ1463" s="16"/>
      <c r="DM1463" s="16"/>
      <c r="DN1463" s="16"/>
      <c r="DO1463" s="125"/>
      <c r="DP1463" s="16"/>
      <c r="DQ1463" s="125"/>
      <c r="DZ1463" s="125"/>
      <c r="EA1463" s="142"/>
      <c r="EB1463" s="125"/>
      <c r="EC1463" s="16"/>
      <c r="ED1463" s="125"/>
      <c r="EE1463" s="125"/>
      <c r="EF1463" s="16"/>
      <c r="EG1463" s="125"/>
      <c r="EQ1463" s="125"/>
      <c r="ER1463" s="16"/>
      <c r="ES1463" s="123"/>
      <c r="ET1463" s="19"/>
      <c r="EU1463" s="139"/>
      <c r="EV1463" s="139"/>
      <c r="EW1463" s="123"/>
      <c r="EX1463" s="123"/>
      <c r="EY1463" s="123"/>
      <c r="EZ1463" s="123"/>
      <c r="FA1463" s="123"/>
      <c r="FB1463" s="123"/>
      <c r="FC1463" s="6"/>
      <c r="FD1463" s="123"/>
      <c r="FE1463" s="6"/>
      <c r="FF1463" s="123"/>
      <c r="FG1463" s="6"/>
      <c r="FH1463" s="6"/>
      <c r="FI1463" s="6"/>
      <c r="FJ1463" s="6"/>
      <c r="FK1463" s="123"/>
      <c r="FL1463" s="6"/>
      <c r="FM1463" s="6"/>
      <c r="FN1463" s="6"/>
      <c r="FO1463" s="138"/>
      <c r="FP1463" s="138"/>
      <c r="FQ1463" s="123"/>
      <c r="FR1463" s="6"/>
      <c r="FS1463" s="6"/>
      <c r="FT1463" s="139"/>
      <c r="FU1463" s="139"/>
      <c r="FV1463" s="76"/>
      <c r="FW1463" s="123"/>
      <c r="FX1463" s="6"/>
    </row>
    <row r="1464" spans="35:180">
      <c r="AI1464" s="125"/>
      <c r="AJ1464" s="16"/>
      <c r="AM1464" s="16"/>
      <c r="AN1464" s="16"/>
      <c r="AO1464" s="125"/>
      <c r="AP1464" s="16"/>
      <c r="AQ1464" s="125"/>
      <c r="AZ1464" s="125"/>
      <c r="BA1464" s="142"/>
      <c r="BB1464" s="125"/>
      <c r="BC1464" s="16"/>
      <c r="BD1464" s="125"/>
      <c r="BE1464" s="125"/>
      <c r="BF1464" s="16"/>
      <c r="BG1464" s="125"/>
      <c r="BQ1464" s="125"/>
      <c r="BR1464" s="16"/>
      <c r="BS1464" s="123"/>
      <c r="BT1464" s="19"/>
      <c r="BU1464" s="139"/>
      <c r="BV1464" s="139"/>
      <c r="BW1464" s="123"/>
      <c r="BX1464" s="123"/>
      <c r="BY1464" s="123"/>
      <c r="BZ1464" s="123"/>
      <c r="CA1464" s="123"/>
      <c r="CB1464" s="123"/>
      <c r="CC1464" s="6"/>
      <c r="CD1464" s="123"/>
      <c r="CE1464" s="6"/>
      <c r="CF1464" s="123"/>
      <c r="CG1464" s="6"/>
      <c r="CH1464" s="6"/>
      <c r="CI1464" s="6"/>
      <c r="CJ1464" s="6"/>
      <c r="CK1464" s="123"/>
      <c r="CL1464" s="6"/>
      <c r="CM1464" s="6"/>
      <c r="CN1464" s="6"/>
      <c r="CO1464" s="138"/>
      <c r="CP1464" s="138"/>
      <c r="CQ1464" s="123"/>
      <c r="CR1464" s="6"/>
      <c r="CS1464" s="6"/>
      <c r="CT1464" s="139"/>
      <c r="CU1464" s="139"/>
      <c r="CV1464" s="76"/>
      <c r="CW1464" s="123"/>
      <c r="CX1464" s="6"/>
      <c r="DI1464" s="125"/>
      <c r="DJ1464" s="16"/>
      <c r="DM1464" s="16"/>
      <c r="DN1464" s="16"/>
      <c r="DO1464" s="125"/>
      <c r="DP1464" s="16"/>
      <c r="DQ1464" s="125"/>
      <c r="DZ1464" s="125"/>
      <c r="EA1464" s="142"/>
      <c r="EB1464" s="125"/>
      <c r="EC1464" s="16"/>
      <c r="ED1464" s="125"/>
      <c r="EE1464" s="125"/>
      <c r="EF1464" s="16"/>
      <c r="EG1464" s="125"/>
      <c r="EQ1464" s="125"/>
      <c r="ER1464" s="16"/>
      <c r="ES1464" s="123"/>
      <c r="ET1464" s="19"/>
      <c r="EU1464" s="139"/>
      <c r="EV1464" s="139"/>
      <c r="EW1464" s="123"/>
      <c r="EX1464" s="123"/>
      <c r="EY1464" s="123"/>
      <c r="EZ1464" s="123"/>
      <c r="FA1464" s="123"/>
      <c r="FB1464" s="123"/>
      <c r="FC1464" s="6"/>
      <c r="FD1464" s="123"/>
      <c r="FE1464" s="6"/>
      <c r="FF1464" s="123"/>
      <c r="FG1464" s="6"/>
      <c r="FH1464" s="6"/>
      <c r="FI1464" s="6"/>
      <c r="FJ1464" s="6"/>
      <c r="FK1464" s="123"/>
      <c r="FL1464" s="6"/>
      <c r="FM1464" s="6"/>
      <c r="FN1464" s="6"/>
      <c r="FO1464" s="138"/>
      <c r="FP1464" s="138"/>
      <c r="FQ1464" s="123"/>
      <c r="FR1464" s="6"/>
      <c r="FS1464" s="6"/>
      <c r="FT1464" s="139"/>
      <c r="FU1464" s="139"/>
      <c r="FV1464" s="76"/>
      <c r="FW1464" s="123"/>
      <c r="FX1464" s="6"/>
    </row>
    <row r="1465" spans="35:180">
      <c r="AI1465" s="125"/>
      <c r="AJ1465" s="16"/>
      <c r="AM1465" s="16"/>
      <c r="AN1465" s="16"/>
      <c r="AO1465" s="125"/>
      <c r="AP1465" s="16"/>
      <c r="AQ1465" s="125"/>
      <c r="AZ1465" s="125"/>
      <c r="BA1465" s="142"/>
      <c r="BB1465" s="125"/>
      <c r="BC1465" s="16"/>
      <c r="BD1465" s="125"/>
      <c r="BE1465" s="125"/>
      <c r="BF1465" s="16"/>
      <c r="BG1465" s="125"/>
      <c r="BQ1465" s="125"/>
      <c r="BR1465" s="16"/>
      <c r="BS1465" s="123"/>
      <c r="BT1465" s="19"/>
      <c r="BU1465" s="139"/>
      <c r="BV1465" s="139"/>
      <c r="BW1465" s="123"/>
      <c r="BX1465" s="123"/>
      <c r="BY1465" s="123"/>
      <c r="BZ1465" s="123"/>
      <c r="CA1465" s="123"/>
      <c r="CB1465" s="123"/>
      <c r="CC1465" s="6"/>
      <c r="CD1465" s="123"/>
      <c r="CE1465" s="6"/>
      <c r="CF1465" s="123"/>
      <c r="CG1465" s="6"/>
      <c r="CH1465" s="6"/>
      <c r="CI1465" s="6"/>
      <c r="CJ1465" s="6"/>
      <c r="CK1465" s="123"/>
      <c r="CL1465" s="6"/>
      <c r="CM1465" s="6"/>
      <c r="CN1465" s="6"/>
      <c r="CO1465" s="138"/>
      <c r="CP1465" s="138"/>
      <c r="CQ1465" s="123"/>
      <c r="CR1465" s="6"/>
      <c r="CS1465" s="6"/>
      <c r="CT1465" s="139"/>
      <c r="CU1465" s="139"/>
      <c r="CV1465" s="76"/>
      <c r="CW1465" s="123"/>
      <c r="CX1465" s="6"/>
      <c r="DI1465" s="125"/>
      <c r="DJ1465" s="16"/>
      <c r="DM1465" s="16"/>
      <c r="DN1465" s="16"/>
      <c r="DO1465" s="125"/>
      <c r="DP1465" s="16"/>
      <c r="DQ1465" s="125"/>
      <c r="DZ1465" s="125"/>
      <c r="EA1465" s="142"/>
      <c r="EB1465" s="125"/>
      <c r="EC1465" s="16"/>
      <c r="ED1465" s="125"/>
      <c r="EE1465" s="125"/>
      <c r="EF1465" s="16"/>
      <c r="EG1465" s="125"/>
      <c r="EQ1465" s="125"/>
      <c r="ER1465" s="16"/>
      <c r="ES1465" s="123"/>
      <c r="ET1465" s="19"/>
      <c r="EU1465" s="139"/>
      <c r="EV1465" s="139"/>
      <c r="EW1465" s="123"/>
      <c r="EX1465" s="123"/>
      <c r="EY1465" s="123"/>
      <c r="EZ1465" s="123"/>
      <c r="FA1465" s="123"/>
      <c r="FB1465" s="123"/>
      <c r="FC1465" s="6"/>
      <c r="FD1465" s="123"/>
      <c r="FE1465" s="6"/>
      <c r="FF1465" s="123"/>
      <c r="FG1465" s="6"/>
      <c r="FH1465" s="6"/>
      <c r="FI1465" s="6"/>
      <c r="FJ1465" s="6"/>
      <c r="FK1465" s="123"/>
      <c r="FL1465" s="6"/>
      <c r="FM1465" s="6"/>
      <c r="FN1465" s="6"/>
      <c r="FO1465" s="138"/>
      <c r="FP1465" s="138"/>
      <c r="FQ1465" s="123"/>
      <c r="FR1465" s="6"/>
      <c r="FS1465" s="6"/>
      <c r="FT1465" s="139"/>
      <c r="FU1465" s="139"/>
      <c r="FV1465" s="76"/>
      <c r="FW1465" s="123"/>
      <c r="FX1465" s="6"/>
    </row>
    <row r="1466" spans="35:180">
      <c r="AI1466" s="125"/>
      <c r="AJ1466" s="16"/>
      <c r="AM1466" s="16"/>
      <c r="AN1466" s="16"/>
      <c r="AO1466" s="125"/>
      <c r="AP1466" s="16"/>
      <c r="AQ1466" s="125"/>
      <c r="AZ1466" s="125"/>
      <c r="BA1466" s="142"/>
      <c r="BB1466" s="125"/>
      <c r="BC1466" s="16"/>
      <c r="BD1466" s="125"/>
      <c r="BE1466" s="125"/>
      <c r="BF1466" s="16"/>
      <c r="BG1466" s="125"/>
      <c r="BQ1466" s="125"/>
      <c r="BR1466" s="16"/>
      <c r="BS1466" s="123"/>
      <c r="BT1466" s="19"/>
      <c r="BU1466" s="139"/>
      <c r="BV1466" s="139"/>
      <c r="BW1466" s="123"/>
      <c r="BX1466" s="123"/>
      <c r="BY1466" s="123"/>
      <c r="BZ1466" s="123"/>
      <c r="CA1466" s="123"/>
      <c r="CB1466" s="123"/>
      <c r="CC1466" s="6"/>
      <c r="CD1466" s="123"/>
      <c r="CE1466" s="6"/>
      <c r="CF1466" s="123"/>
      <c r="CG1466" s="6"/>
      <c r="CH1466" s="6"/>
      <c r="CI1466" s="6"/>
      <c r="CJ1466" s="6"/>
      <c r="CK1466" s="123"/>
      <c r="CL1466" s="6"/>
      <c r="CM1466" s="6"/>
      <c r="CN1466" s="6"/>
      <c r="CO1466" s="138"/>
      <c r="CP1466" s="138"/>
      <c r="CQ1466" s="123"/>
      <c r="CR1466" s="6"/>
      <c r="CS1466" s="6"/>
      <c r="CT1466" s="139"/>
      <c r="CU1466" s="139"/>
      <c r="CV1466" s="76"/>
      <c r="CW1466" s="123"/>
      <c r="CX1466" s="6"/>
      <c r="DI1466" s="125"/>
      <c r="DJ1466" s="16"/>
      <c r="DM1466" s="16"/>
      <c r="DN1466" s="16"/>
      <c r="DO1466" s="125"/>
      <c r="DP1466" s="16"/>
      <c r="DQ1466" s="125"/>
      <c r="DZ1466" s="125"/>
      <c r="EA1466" s="142"/>
      <c r="EB1466" s="125"/>
      <c r="EC1466" s="16"/>
      <c r="ED1466" s="125"/>
      <c r="EE1466" s="125"/>
      <c r="EF1466" s="16"/>
      <c r="EG1466" s="125"/>
      <c r="EQ1466" s="125"/>
      <c r="ER1466" s="16"/>
      <c r="ES1466" s="123"/>
      <c r="ET1466" s="19"/>
      <c r="EU1466" s="139"/>
      <c r="EV1466" s="139"/>
      <c r="EW1466" s="123"/>
      <c r="EX1466" s="123"/>
      <c r="EY1466" s="123"/>
      <c r="EZ1466" s="123"/>
      <c r="FA1466" s="123"/>
      <c r="FB1466" s="123"/>
      <c r="FC1466" s="6"/>
      <c r="FD1466" s="123"/>
      <c r="FE1466" s="6"/>
      <c r="FF1466" s="123"/>
      <c r="FG1466" s="6"/>
      <c r="FH1466" s="6"/>
      <c r="FI1466" s="6"/>
      <c r="FJ1466" s="6"/>
      <c r="FK1466" s="123"/>
      <c r="FL1466" s="6"/>
      <c r="FM1466" s="6"/>
      <c r="FN1466" s="6"/>
      <c r="FO1466" s="138"/>
      <c r="FP1466" s="138"/>
      <c r="FQ1466" s="123"/>
      <c r="FR1466" s="6"/>
      <c r="FS1466" s="6"/>
      <c r="FT1466" s="139"/>
      <c r="FU1466" s="139"/>
      <c r="FV1466" s="76"/>
      <c r="FW1466" s="123"/>
      <c r="FX1466" s="6"/>
    </row>
    <row r="1467" spans="35:180">
      <c r="AI1467" s="125"/>
      <c r="AJ1467" s="16"/>
      <c r="AM1467" s="16"/>
      <c r="AN1467" s="16"/>
      <c r="AO1467" s="125"/>
      <c r="AP1467" s="16"/>
      <c r="AQ1467" s="125"/>
      <c r="AZ1467" s="125"/>
      <c r="BA1467" s="142"/>
      <c r="BB1467" s="125"/>
      <c r="BC1467" s="16"/>
      <c r="BD1467" s="125"/>
      <c r="BE1467" s="125"/>
      <c r="BF1467" s="16"/>
      <c r="BG1467" s="125"/>
      <c r="BQ1467" s="125"/>
      <c r="BR1467" s="16"/>
      <c r="BS1467" s="123"/>
      <c r="BT1467" s="19"/>
      <c r="BU1467" s="139"/>
      <c r="BV1467" s="139"/>
      <c r="BW1467" s="123"/>
      <c r="BX1467" s="123"/>
      <c r="BY1467" s="123"/>
      <c r="BZ1467" s="123"/>
      <c r="CA1467" s="123"/>
      <c r="CB1467" s="123"/>
      <c r="CC1467" s="6"/>
      <c r="CD1467" s="123"/>
      <c r="CE1467" s="6"/>
      <c r="CF1467" s="123"/>
      <c r="CG1467" s="6"/>
      <c r="CH1467" s="6"/>
      <c r="CI1467" s="6"/>
      <c r="CJ1467" s="6"/>
      <c r="CK1467" s="123"/>
      <c r="CL1467" s="6"/>
      <c r="CM1467" s="6"/>
      <c r="CN1467" s="6"/>
      <c r="CO1467" s="138"/>
      <c r="CP1467" s="138"/>
      <c r="CQ1467" s="123"/>
      <c r="CR1467" s="6"/>
      <c r="CS1467" s="6"/>
      <c r="CT1467" s="139"/>
      <c r="CU1467" s="139"/>
      <c r="CV1467" s="76"/>
      <c r="CW1467" s="123"/>
      <c r="CX1467" s="6"/>
      <c r="DI1467" s="125"/>
      <c r="DJ1467" s="16"/>
      <c r="DM1467" s="16"/>
      <c r="DN1467" s="16"/>
      <c r="DO1467" s="125"/>
      <c r="DP1467" s="16"/>
      <c r="DQ1467" s="125"/>
      <c r="DZ1467" s="125"/>
      <c r="EA1467" s="142"/>
      <c r="EB1467" s="125"/>
      <c r="EC1467" s="16"/>
      <c r="ED1467" s="125"/>
      <c r="EE1467" s="125"/>
      <c r="EF1467" s="16"/>
      <c r="EG1467" s="125"/>
      <c r="EQ1467" s="125"/>
      <c r="ER1467" s="16"/>
      <c r="ES1467" s="123"/>
      <c r="ET1467" s="19"/>
      <c r="EU1467" s="139"/>
      <c r="EV1467" s="139"/>
      <c r="EW1467" s="123"/>
      <c r="EX1467" s="123"/>
      <c r="EY1467" s="123"/>
      <c r="EZ1467" s="123"/>
      <c r="FA1467" s="123"/>
      <c r="FB1467" s="123"/>
      <c r="FC1467" s="6"/>
      <c r="FD1467" s="123"/>
      <c r="FE1467" s="6"/>
      <c r="FF1467" s="123"/>
      <c r="FG1467" s="6"/>
      <c r="FH1467" s="6"/>
      <c r="FI1467" s="6"/>
      <c r="FJ1467" s="6"/>
      <c r="FK1467" s="123"/>
      <c r="FL1467" s="6"/>
      <c r="FM1467" s="6"/>
      <c r="FN1467" s="6"/>
      <c r="FO1467" s="138"/>
      <c r="FP1467" s="138"/>
      <c r="FQ1467" s="123"/>
      <c r="FR1467" s="6"/>
      <c r="FS1467" s="6"/>
      <c r="FT1467" s="139"/>
      <c r="FU1467" s="139"/>
      <c r="FV1467" s="76"/>
      <c r="FW1467" s="123"/>
      <c r="FX1467" s="6"/>
    </row>
    <row r="1468" spans="35:180">
      <c r="AI1468" s="125"/>
      <c r="AJ1468" s="16"/>
      <c r="AM1468" s="16"/>
      <c r="AN1468" s="16"/>
      <c r="AO1468" s="125"/>
      <c r="AP1468" s="16"/>
      <c r="AQ1468" s="125"/>
      <c r="AZ1468" s="125"/>
      <c r="BA1468" s="142"/>
      <c r="BB1468" s="125"/>
      <c r="BC1468" s="16"/>
      <c r="BD1468" s="125"/>
      <c r="BE1468" s="125"/>
      <c r="BF1468" s="16"/>
      <c r="BG1468" s="125"/>
      <c r="BQ1468" s="125"/>
      <c r="BR1468" s="16"/>
      <c r="BS1468" s="123"/>
      <c r="BT1468" s="19"/>
      <c r="BU1468" s="139"/>
      <c r="BV1468" s="139"/>
      <c r="BW1468" s="123"/>
      <c r="BX1468" s="123"/>
      <c r="BY1468" s="123"/>
      <c r="BZ1468" s="123"/>
      <c r="CA1468" s="123"/>
      <c r="CB1468" s="123"/>
      <c r="CC1468" s="6"/>
      <c r="CD1468" s="123"/>
      <c r="CE1468" s="6"/>
      <c r="CF1468" s="123"/>
      <c r="CG1468" s="6"/>
      <c r="CH1468" s="6"/>
      <c r="CI1468" s="6"/>
      <c r="CJ1468" s="6"/>
      <c r="CK1468" s="123"/>
      <c r="CL1468" s="6"/>
      <c r="CM1468" s="6"/>
      <c r="CN1468" s="6"/>
      <c r="CO1468" s="138"/>
      <c r="CP1468" s="138"/>
      <c r="CQ1468" s="123"/>
      <c r="CR1468" s="6"/>
      <c r="CS1468" s="6"/>
      <c r="CT1468" s="139"/>
      <c r="CU1468" s="139"/>
      <c r="CV1468" s="76"/>
      <c r="CW1468" s="123"/>
      <c r="CX1468" s="6"/>
      <c r="DI1468" s="125"/>
      <c r="DJ1468" s="16"/>
      <c r="DM1468" s="16"/>
      <c r="DN1468" s="16"/>
      <c r="DO1468" s="125"/>
      <c r="DP1468" s="16"/>
      <c r="DQ1468" s="125"/>
      <c r="DZ1468" s="125"/>
      <c r="EA1468" s="142"/>
      <c r="EB1468" s="125"/>
      <c r="EC1468" s="16"/>
      <c r="ED1468" s="125"/>
      <c r="EE1468" s="125"/>
      <c r="EF1468" s="16"/>
      <c r="EG1468" s="125"/>
      <c r="EQ1468" s="125"/>
      <c r="ER1468" s="16"/>
      <c r="ES1468" s="123"/>
      <c r="ET1468" s="19"/>
      <c r="EU1468" s="139"/>
      <c r="EV1468" s="139"/>
      <c r="EW1468" s="123"/>
      <c r="EX1468" s="123"/>
      <c r="EY1468" s="123"/>
      <c r="EZ1468" s="123"/>
      <c r="FA1468" s="123"/>
      <c r="FB1468" s="123"/>
      <c r="FC1468" s="6"/>
      <c r="FD1468" s="123"/>
      <c r="FE1468" s="6"/>
      <c r="FF1468" s="123"/>
      <c r="FG1468" s="6"/>
      <c r="FH1468" s="6"/>
      <c r="FI1468" s="6"/>
      <c r="FJ1468" s="6"/>
      <c r="FK1468" s="123"/>
      <c r="FL1468" s="6"/>
      <c r="FM1468" s="6"/>
      <c r="FN1468" s="6"/>
      <c r="FO1468" s="138"/>
      <c r="FP1468" s="138"/>
      <c r="FQ1468" s="123"/>
      <c r="FR1468" s="6"/>
      <c r="FS1468" s="6"/>
      <c r="FT1468" s="139"/>
      <c r="FU1468" s="139"/>
      <c r="FV1468" s="76"/>
      <c r="FW1468" s="123"/>
      <c r="FX1468" s="6"/>
    </row>
    <row r="1469" spans="35:180">
      <c r="AI1469" s="125"/>
      <c r="AJ1469" s="16"/>
      <c r="AM1469" s="16"/>
      <c r="AN1469" s="16"/>
      <c r="AO1469" s="125"/>
      <c r="AP1469" s="16"/>
      <c r="AQ1469" s="125"/>
      <c r="AZ1469" s="125"/>
      <c r="BA1469" s="142"/>
      <c r="BB1469" s="125"/>
      <c r="BC1469" s="16"/>
      <c r="BD1469" s="125"/>
      <c r="BE1469" s="125"/>
      <c r="BF1469" s="16"/>
      <c r="BG1469" s="125"/>
      <c r="BQ1469" s="125"/>
      <c r="BR1469" s="16"/>
      <c r="BS1469" s="123"/>
      <c r="BT1469" s="19"/>
      <c r="BU1469" s="139"/>
      <c r="BV1469" s="139"/>
      <c r="BW1469" s="123"/>
      <c r="BX1469" s="123"/>
      <c r="BY1469" s="123"/>
      <c r="BZ1469" s="123"/>
      <c r="CA1469" s="123"/>
      <c r="CB1469" s="123"/>
      <c r="CC1469" s="6"/>
      <c r="CD1469" s="123"/>
      <c r="CE1469" s="6"/>
      <c r="CF1469" s="123"/>
      <c r="CG1469" s="6"/>
      <c r="CH1469" s="6"/>
      <c r="CI1469" s="6"/>
      <c r="CJ1469" s="6"/>
      <c r="CK1469" s="123"/>
      <c r="CL1469" s="6"/>
      <c r="CM1469" s="6"/>
      <c r="CN1469" s="6"/>
      <c r="CO1469" s="138"/>
      <c r="CP1469" s="138"/>
      <c r="CQ1469" s="123"/>
      <c r="CR1469" s="6"/>
      <c r="CS1469" s="6"/>
      <c r="CT1469" s="139"/>
      <c r="CU1469" s="139"/>
      <c r="CV1469" s="76"/>
      <c r="CW1469" s="123"/>
      <c r="CX1469" s="6"/>
      <c r="DI1469" s="125"/>
      <c r="DJ1469" s="16"/>
      <c r="DM1469" s="16"/>
      <c r="DN1469" s="16"/>
      <c r="DO1469" s="125"/>
      <c r="DP1469" s="16"/>
      <c r="DQ1469" s="125"/>
      <c r="DZ1469" s="125"/>
      <c r="EA1469" s="142"/>
      <c r="EB1469" s="125"/>
      <c r="EC1469" s="16"/>
      <c r="ED1469" s="125"/>
      <c r="EE1469" s="125"/>
      <c r="EF1469" s="16"/>
      <c r="EG1469" s="125"/>
      <c r="EQ1469" s="125"/>
      <c r="ER1469" s="16"/>
      <c r="ES1469" s="123"/>
      <c r="ET1469" s="19"/>
      <c r="EU1469" s="139"/>
      <c r="EV1469" s="139"/>
      <c r="EW1469" s="123"/>
      <c r="EX1469" s="123"/>
      <c r="EY1469" s="123"/>
      <c r="EZ1469" s="123"/>
      <c r="FA1469" s="123"/>
      <c r="FB1469" s="123"/>
      <c r="FC1469" s="6"/>
      <c r="FD1469" s="123"/>
      <c r="FE1469" s="6"/>
      <c r="FF1469" s="123"/>
      <c r="FG1469" s="6"/>
      <c r="FH1469" s="6"/>
      <c r="FI1469" s="6"/>
      <c r="FJ1469" s="6"/>
      <c r="FK1469" s="123"/>
      <c r="FL1469" s="6"/>
      <c r="FM1469" s="6"/>
      <c r="FN1469" s="6"/>
      <c r="FO1469" s="138"/>
      <c r="FP1469" s="138"/>
      <c r="FQ1469" s="123"/>
      <c r="FR1469" s="6"/>
      <c r="FS1469" s="6"/>
      <c r="FT1469" s="139"/>
      <c r="FU1469" s="139"/>
      <c r="FV1469" s="76"/>
      <c r="FW1469" s="123"/>
      <c r="FX1469" s="6"/>
    </row>
    <row r="1470" spans="35:180">
      <c r="AI1470" s="125"/>
      <c r="AJ1470" s="16"/>
      <c r="AM1470" s="16"/>
      <c r="AN1470" s="16"/>
      <c r="AO1470" s="125"/>
      <c r="AP1470" s="16"/>
      <c r="AQ1470" s="125"/>
      <c r="AZ1470" s="125"/>
      <c r="BA1470" s="142"/>
      <c r="BB1470" s="125"/>
      <c r="BC1470" s="16"/>
      <c r="BD1470" s="125"/>
      <c r="BE1470" s="125"/>
      <c r="BF1470" s="16"/>
      <c r="BG1470" s="125"/>
      <c r="BQ1470" s="125"/>
      <c r="BR1470" s="16"/>
      <c r="BS1470" s="123"/>
      <c r="BT1470" s="19"/>
      <c r="BU1470" s="139"/>
      <c r="BV1470" s="139"/>
      <c r="BW1470" s="123"/>
      <c r="BX1470" s="123"/>
      <c r="BY1470" s="123"/>
      <c r="BZ1470" s="123"/>
      <c r="CA1470" s="123"/>
      <c r="CB1470" s="123"/>
      <c r="CC1470" s="6"/>
      <c r="CD1470" s="123"/>
      <c r="CE1470" s="6"/>
      <c r="CF1470" s="123"/>
      <c r="CG1470" s="6"/>
      <c r="CH1470" s="6"/>
      <c r="CI1470" s="6"/>
      <c r="CJ1470" s="6"/>
      <c r="CK1470" s="123"/>
      <c r="CL1470" s="6"/>
      <c r="CM1470" s="6"/>
      <c r="CN1470" s="6"/>
      <c r="CO1470" s="138"/>
      <c r="CP1470" s="138"/>
      <c r="CQ1470" s="123"/>
      <c r="CR1470" s="6"/>
      <c r="CS1470" s="6"/>
      <c r="CT1470" s="139"/>
      <c r="CU1470" s="139"/>
      <c r="CV1470" s="76"/>
      <c r="CW1470" s="123"/>
      <c r="CX1470" s="6"/>
      <c r="DI1470" s="125"/>
      <c r="DJ1470" s="16"/>
      <c r="DM1470" s="16"/>
      <c r="DN1470" s="16"/>
      <c r="DO1470" s="125"/>
      <c r="DP1470" s="16"/>
      <c r="DQ1470" s="125"/>
      <c r="DZ1470" s="125"/>
      <c r="EA1470" s="142"/>
      <c r="EB1470" s="125"/>
      <c r="EC1470" s="16"/>
      <c r="ED1470" s="125"/>
      <c r="EE1470" s="125"/>
      <c r="EF1470" s="16"/>
      <c r="EG1470" s="125"/>
      <c r="EQ1470" s="125"/>
      <c r="ER1470" s="16"/>
      <c r="ES1470" s="123"/>
      <c r="ET1470" s="19"/>
      <c r="EU1470" s="139"/>
      <c r="EV1470" s="139"/>
      <c r="EW1470" s="123"/>
      <c r="EX1470" s="123"/>
      <c r="EY1470" s="123"/>
      <c r="EZ1470" s="123"/>
      <c r="FA1470" s="123"/>
      <c r="FB1470" s="123"/>
      <c r="FC1470" s="6"/>
      <c r="FD1470" s="123"/>
      <c r="FE1470" s="6"/>
      <c r="FF1470" s="123"/>
      <c r="FG1470" s="6"/>
      <c r="FH1470" s="6"/>
      <c r="FI1470" s="6"/>
      <c r="FJ1470" s="6"/>
      <c r="FK1470" s="123"/>
      <c r="FL1470" s="6"/>
      <c r="FM1470" s="6"/>
      <c r="FN1470" s="6"/>
      <c r="FO1470" s="138"/>
      <c r="FP1470" s="138"/>
      <c r="FQ1470" s="123"/>
      <c r="FR1470" s="6"/>
      <c r="FS1470" s="6"/>
      <c r="FT1470" s="139"/>
      <c r="FU1470" s="139"/>
      <c r="FV1470" s="76"/>
      <c r="FW1470" s="123"/>
      <c r="FX1470" s="6"/>
    </row>
    <row r="1471" spans="35:180">
      <c r="AI1471" s="125"/>
      <c r="AJ1471" s="16"/>
      <c r="AM1471" s="16"/>
      <c r="AN1471" s="16"/>
      <c r="AO1471" s="125"/>
      <c r="AP1471" s="16"/>
      <c r="AQ1471" s="125"/>
      <c r="AZ1471" s="125"/>
      <c r="BA1471" s="142"/>
      <c r="BB1471" s="125"/>
      <c r="BC1471" s="16"/>
      <c r="BD1471" s="125"/>
      <c r="BE1471" s="125"/>
      <c r="BF1471" s="16"/>
      <c r="BG1471" s="125"/>
      <c r="BQ1471" s="125"/>
      <c r="BR1471" s="16"/>
      <c r="BS1471" s="123"/>
      <c r="BT1471" s="19"/>
      <c r="BU1471" s="139"/>
      <c r="BV1471" s="139"/>
      <c r="BW1471" s="123"/>
      <c r="BX1471" s="123"/>
      <c r="BY1471" s="123"/>
      <c r="BZ1471" s="123"/>
      <c r="CA1471" s="123"/>
      <c r="CB1471" s="123"/>
      <c r="CC1471" s="6"/>
      <c r="CD1471" s="123"/>
      <c r="CE1471" s="6"/>
      <c r="CF1471" s="123"/>
      <c r="CG1471" s="6"/>
      <c r="CH1471" s="6"/>
      <c r="CI1471" s="6"/>
      <c r="CJ1471" s="6"/>
      <c r="CK1471" s="123"/>
      <c r="CL1471" s="6"/>
      <c r="CM1471" s="6"/>
      <c r="CN1471" s="6"/>
      <c r="CO1471" s="138"/>
      <c r="CP1471" s="138"/>
      <c r="CQ1471" s="123"/>
      <c r="CR1471" s="6"/>
      <c r="CS1471" s="6"/>
      <c r="CT1471" s="139"/>
      <c r="CU1471" s="139"/>
      <c r="CV1471" s="76"/>
      <c r="CW1471" s="123"/>
      <c r="CX1471" s="6"/>
      <c r="DI1471" s="125"/>
      <c r="DJ1471" s="16"/>
      <c r="DM1471" s="16"/>
      <c r="DN1471" s="16"/>
      <c r="DO1471" s="125"/>
      <c r="DP1471" s="16"/>
      <c r="DQ1471" s="125"/>
      <c r="DZ1471" s="125"/>
      <c r="EA1471" s="142"/>
      <c r="EB1471" s="125"/>
      <c r="EC1471" s="16"/>
      <c r="ED1471" s="125"/>
      <c r="EE1471" s="125"/>
      <c r="EF1471" s="16"/>
      <c r="EG1471" s="125"/>
      <c r="EQ1471" s="125"/>
      <c r="ER1471" s="16"/>
      <c r="ES1471" s="123"/>
      <c r="ET1471" s="19"/>
      <c r="EU1471" s="139"/>
      <c r="EV1471" s="139"/>
      <c r="EW1471" s="123"/>
      <c r="EX1471" s="123"/>
      <c r="EY1471" s="123"/>
      <c r="EZ1471" s="123"/>
      <c r="FA1471" s="123"/>
      <c r="FB1471" s="123"/>
      <c r="FC1471" s="6"/>
      <c r="FD1471" s="123"/>
      <c r="FE1471" s="6"/>
      <c r="FF1471" s="123"/>
      <c r="FG1471" s="6"/>
      <c r="FH1471" s="6"/>
      <c r="FI1471" s="6"/>
      <c r="FJ1471" s="6"/>
      <c r="FK1471" s="123"/>
      <c r="FL1471" s="6"/>
      <c r="FM1471" s="6"/>
      <c r="FN1471" s="6"/>
      <c r="FO1471" s="138"/>
      <c r="FP1471" s="138"/>
      <c r="FQ1471" s="123"/>
      <c r="FR1471" s="6"/>
      <c r="FS1471" s="6"/>
      <c r="FT1471" s="139"/>
      <c r="FU1471" s="139"/>
      <c r="FV1471" s="76"/>
      <c r="FW1471" s="123"/>
      <c r="FX1471" s="6"/>
    </row>
    <row r="1472" spans="35:180">
      <c r="AI1472" s="125"/>
      <c r="AJ1472" s="16"/>
      <c r="AM1472" s="16"/>
      <c r="AN1472" s="16"/>
      <c r="AO1472" s="125"/>
      <c r="AP1472" s="16"/>
      <c r="AQ1472" s="125"/>
      <c r="AZ1472" s="125"/>
      <c r="BA1472" s="142"/>
      <c r="BB1472" s="125"/>
      <c r="BC1472" s="16"/>
      <c r="BD1472" s="125"/>
      <c r="BE1472" s="125"/>
      <c r="BF1472" s="16"/>
      <c r="BG1472" s="125"/>
      <c r="BQ1472" s="125"/>
      <c r="BR1472" s="16"/>
      <c r="BS1472" s="123"/>
      <c r="BT1472" s="19"/>
      <c r="BU1472" s="139"/>
      <c r="BV1472" s="139"/>
      <c r="BW1472" s="123"/>
      <c r="BX1472" s="123"/>
      <c r="BY1472" s="123"/>
      <c r="BZ1472" s="123"/>
      <c r="CA1472" s="123"/>
      <c r="CB1472" s="123"/>
      <c r="CC1472" s="6"/>
      <c r="CD1472" s="123"/>
      <c r="CE1472" s="6"/>
      <c r="CF1472" s="123"/>
      <c r="CG1472" s="6"/>
      <c r="CH1472" s="6"/>
      <c r="CI1472" s="6"/>
      <c r="CJ1472" s="6"/>
      <c r="CK1472" s="123"/>
      <c r="CL1472" s="6"/>
      <c r="CM1472" s="6"/>
      <c r="CN1472" s="6"/>
      <c r="CO1472" s="138"/>
      <c r="CP1472" s="138"/>
      <c r="CQ1472" s="123"/>
      <c r="CR1472" s="6"/>
      <c r="CS1472" s="6"/>
      <c r="CT1472" s="139"/>
      <c r="CU1472" s="139"/>
      <c r="CV1472" s="76"/>
      <c r="CW1472" s="123"/>
      <c r="CX1472" s="6"/>
      <c r="DI1472" s="125"/>
      <c r="DJ1472" s="16"/>
      <c r="DM1472" s="16"/>
      <c r="DN1472" s="16"/>
      <c r="DO1472" s="125"/>
      <c r="DP1472" s="16"/>
      <c r="DQ1472" s="125"/>
      <c r="DZ1472" s="125"/>
      <c r="EA1472" s="142"/>
      <c r="EB1472" s="125"/>
      <c r="EC1472" s="16"/>
      <c r="ED1472" s="125"/>
      <c r="EE1472" s="125"/>
      <c r="EF1472" s="16"/>
      <c r="EG1472" s="125"/>
      <c r="EQ1472" s="125"/>
      <c r="ER1472" s="16"/>
      <c r="ES1472" s="123"/>
      <c r="ET1472" s="19"/>
      <c r="EU1472" s="139"/>
      <c r="EV1472" s="139"/>
      <c r="EW1472" s="123"/>
      <c r="EX1472" s="123"/>
      <c r="EY1472" s="123"/>
      <c r="EZ1472" s="123"/>
      <c r="FA1472" s="123"/>
      <c r="FB1472" s="123"/>
      <c r="FC1472" s="6"/>
      <c r="FD1472" s="123"/>
      <c r="FE1472" s="6"/>
      <c r="FF1472" s="123"/>
      <c r="FG1472" s="6"/>
      <c r="FH1472" s="6"/>
      <c r="FI1472" s="6"/>
      <c r="FJ1472" s="6"/>
      <c r="FK1472" s="123"/>
      <c r="FL1472" s="6"/>
      <c r="FM1472" s="6"/>
      <c r="FN1472" s="6"/>
      <c r="FO1472" s="138"/>
      <c r="FP1472" s="138"/>
      <c r="FQ1472" s="123"/>
      <c r="FR1472" s="6"/>
      <c r="FS1472" s="6"/>
      <c r="FT1472" s="139"/>
      <c r="FU1472" s="139"/>
      <c r="FV1472" s="76"/>
      <c r="FW1472" s="123"/>
      <c r="FX1472" s="6"/>
    </row>
    <row r="1473" spans="35:180">
      <c r="AI1473" s="125"/>
      <c r="AJ1473" s="16"/>
      <c r="AM1473" s="16"/>
      <c r="AN1473" s="16"/>
      <c r="AO1473" s="125"/>
      <c r="AP1473" s="16"/>
      <c r="AQ1473" s="125"/>
      <c r="AZ1473" s="125"/>
      <c r="BA1473" s="142"/>
      <c r="BB1473" s="125"/>
      <c r="BC1473" s="16"/>
      <c r="BD1473" s="125"/>
      <c r="BE1473" s="125"/>
      <c r="BF1473" s="16"/>
      <c r="BG1473" s="125"/>
      <c r="BQ1473" s="125"/>
      <c r="BR1473" s="16"/>
      <c r="BS1473" s="123"/>
      <c r="BT1473" s="19"/>
      <c r="BU1473" s="139"/>
      <c r="BV1473" s="139"/>
      <c r="BW1473" s="123"/>
      <c r="BX1473" s="123"/>
      <c r="BY1473" s="123"/>
      <c r="BZ1473" s="123"/>
      <c r="CA1473" s="123"/>
      <c r="CB1473" s="123"/>
      <c r="CC1473" s="6"/>
      <c r="CD1473" s="123"/>
      <c r="CE1473" s="6"/>
      <c r="CF1473" s="123"/>
      <c r="CG1473" s="6"/>
      <c r="CH1473" s="6"/>
      <c r="CI1473" s="6"/>
      <c r="CJ1473" s="6"/>
      <c r="CK1473" s="123"/>
      <c r="CL1473" s="6"/>
      <c r="CM1473" s="6"/>
      <c r="CN1473" s="6"/>
      <c r="CO1473" s="138"/>
      <c r="CP1473" s="138"/>
      <c r="CQ1473" s="123"/>
      <c r="CR1473" s="6"/>
      <c r="CS1473" s="6"/>
      <c r="CT1473" s="139"/>
      <c r="CU1473" s="139"/>
      <c r="CV1473" s="76"/>
      <c r="CW1473" s="123"/>
      <c r="CX1473" s="6"/>
      <c r="DI1473" s="125"/>
      <c r="DJ1473" s="16"/>
      <c r="DM1473" s="16"/>
      <c r="DN1473" s="16"/>
      <c r="DO1473" s="125"/>
      <c r="DP1473" s="16"/>
      <c r="DQ1473" s="125"/>
      <c r="DZ1473" s="125"/>
      <c r="EA1473" s="142"/>
      <c r="EB1473" s="125"/>
      <c r="EC1473" s="16"/>
      <c r="ED1473" s="125"/>
      <c r="EE1473" s="125"/>
      <c r="EF1473" s="16"/>
      <c r="EG1473" s="125"/>
      <c r="EQ1473" s="125"/>
      <c r="ER1473" s="16"/>
      <c r="ES1473" s="123"/>
      <c r="ET1473" s="19"/>
      <c r="EU1473" s="139"/>
      <c r="EV1473" s="139"/>
      <c r="EW1473" s="123"/>
      <c r="EX1473" s="123"/>
      <c r="EY1473" s="123"/>
      <c r="EZ1473" s="123"/>
      <c r="FA1473" s="123"/>
      <c r="FB1473" s="123"/>
      <c r="FC1473" s="6"/>
      <c r="FD1473" s="123"/>
      <c r="FE1473" s="6"/>
      <c r="FF1473" s="123"/>
      <c r="FG1473" s="6"/>
      <c r="FH1473" s="6"/>
      <c r="FI1473" s="6"/>
      <c r="FJ1473" s="6"/>
      <c r="FK1473" s="123"/>
      <c r="FL1473" s="6"/>
      <c r="FM1473" s="6"/>
      <c r="FN1473" s="6"/>
      <c r="FO1473" s="138"/>
      <c r="FP1473" s="138"/>
      <c r="FQ1473" s="123"/>
      <c r="FR1473" s="6"/>
      <c r="FS1473" s="6"/>
      <c r="FT1473" s="139"/>
      <c r="FU1473" s="139"/>
      <c r="FV1473" s="76"/>
      <c r="FW1473" s="123"/>
      <c r="FX1473" s="6"/>
    </row>
    <row r="1474" spans="35:180">
      <c r="AI1474" s="125"/>
      <c r="AJ1474" s="16"/>
      <c r="AM1474" s="16"/>
      <c r="AN1474" s="16"/>
      <c r="AO1474" s="125"/>
      <c r="AP1474" s="16"/>
      <c r="AQ1474" s="125"/>
      <c r="AZ1474" s="125"/>
      <c r="BA1474" s="142"/>
      <c r="BB1474" s="125"/>
      <c r="BC1474" s="16"/>
      <c r="BD1474" s="125"/>
      <c r="BE1474" s="125"/>
      <c r="BF1474" s="16"/>
      <c r="BG1474" s="125"/>
      <c r="BQ1474" s="125"/>
      <c r="BR1474" s="16"/>
      <c r="BS1474" s="123"/>
      <c r="BT1474" s="19"/>
      <c r="BU1474" s="139"/>
      <c r="BV1474" s="139"/>
      <c r="BW1474" s="123"/>
      <c r="BX1474" s="123"/>
      <c r="BY1474" s="123"/>
      <c r="BZ1474" s="123"/>
      <c r="CA1474" s="123"/>
      <c r="CB1474" s="123"/>
      <c r="CC1474" s="6"/>
      <c r="CD1474" s="123"/>
      <c r="CE1474" s="6"/>
      <c r="CF1474" s="123"/>
      <c r="CG1474" s="6"/>
      <c r="CH1474" s="6"/>
      <c r="CI1474" s="6"/>
      <c r="CJ1474" s="6"/>
      <c r="CK1474" s="123"/>
      <c r="CL1474" s="6"/>
      <c r="CM1474" s="6"/>
      <c r="CN1474" s="6"/>
      <c r="CO1474" s="138"/>
      <c r="CP1474" s="138"/>
      <c r="CQ1474" s="123"/>
      <c r="CR1474" s="6"/>
      <c r="CS1474" s="6"/>
      <c r="CT1474" s="139"/>
      <c r="CU1474" s="139"/>
      <c r="CV1474" s="76"/>
      <c r="CW1474" s="123"/>
      <c r="CX1474" s="6"/>
      <c r="DI1474" s="125"/>
      <c r="DJ1474" s="16"/>
      <c r="DM1474" s="16"/>
      <c r="DN1474" s="16"/>
      <c r="DO1474" s="125"/>
      <c r="DP1474" s="16"/>
      <c r="DQ1474" s="125"/>
      <c r="DZ1474" s="125"/>
      <c r="EA1474" s="142"/>
      <c r="EB1474" s="125"/>
      <c r="EC1474" s="16"/>
      <c r="ED1474" s="125"/>
      <c r="EE1474" s="125"/>
      <c r="EF1474" s="16"/>
      <c r="EG1474" s="125"/>
      <c r="EQ1474" s="125"/>
      <c r="ER1474" s="16"/>
      <c r="ES1474" s="123"/>
      <c r="ET1474" s="19"/>
      <c r="EU1474" s="139"/>
      <c r="EV1474" s="139"/>
      <c r="EW1474" s="123"/>
      <c r="EX1474" s="123"/>
      <c r="EY1474" s="123"/>
      <c r="EZ1474" s="123"/>
      <c r="FA1474" s="123"/>
      <c r="FB1474" s="123"/>
      <c r="FC1474" s="6"/>
      <c r="FD1474" s="123"/>
      <c r="FE1474" s="6"/>
      <c r="FF1474" s="123"/>
      <c r="FG1474" s="6"/>
      <c r="FH1474" s="6"/>
      <c r="FI1474" s="6"/>
      <c r="FJ1474" s="6"/>
      <c r="FK1474" s="123"/>
      <c r="FL1474" s="6"/>
      <c r="FM1474" s="6"/>
      <c r="FN1474" s="6"/>
      <c r="FO1474" s="138"/>
      <c r="FP1474" s="138"/>
      <c r="FQ1474" s="123"/>
      <c r="FR1474" s="6"/>
      <c r="FS1474" s="6"/>
      <c r="FT1474" s="139"/>
      <c r="FU1474" s="139"/>
      <c r="FV1474" s="76"/>
      <c r="FW1474" s="123"/>
      <c r="FX1474" s="6"/>
    </row>
    <row r="1475" spans="35:180">
      <c r="AI1475" s="125"/>
      <c r="AJ1475" s="16"/>
      <c r="AM1475" s="16"/>
      <c r="AN1475" s="16"/>
      <c r="AO1475" s="125"/>
      <c r="AP1475" s="16"/>
      <c r="AQ1475" s="125"/>
      <c r="AZ1475" s="125"/>
      <c r="BA1475" s="142"/>
      <c r="BB1475" s="125"/>
      <c r="BC1475" s="16"/>
      <c r="BD1475" s="125"/>
      <c r="BE1475" s="125"/>
      <c r="BF1475" s="16"/>
      <c r="BG1475" s="125"/>
      <c r="BQ1475" s="125"/>
      <c r="BR1475" s="16"/>
      <c r="BS1475" s="123"/>
      <c r="BT1475" s="19"/>
      <c r="BU1475" s="139"/>
      <c r="BV1475" s="139"/>
      <c r="BW1475" s="123"/>
      <c r="BX1475" s="123"/>
      <c r="BY1475" s="123"/>
      <c r="BZ1475" s="123"/>
      <c r="CA1475" s="123"/>
      <c r="CB1475" s="123"/>
      <c r="CC1475" s="6"/>
      <c r="CD1475" s="123"/>
      <c r="CE1475" s="6"/>
      <c r="CF1475" s="123"/>
      <c r="CG1475" s="6"/>
      <c r="CH1475" s="6"/>
      <c r="CI1475" s="6"/>
      <c r="CJ1475" s="6"/>
      <c r="CK1475" s="123"/>
      <c r="CL1475" s="6"/>
      <c r="CM1475" s="6"/>
      <c r="CN1475" s="6"/>
      <c r="CO1475" s="138"/>
      <c r="CP1475" s="138"/>
      <c r="CQ1475" s="123"/>
      <c r="CR1475" s="6"/>
      <c r="CS1475" s="6"/>
      <c r="CT1475" s="139"/>
      <c r="CU1475" s="139"/>
      <c r="CV1475" s="76"/>
      <c r="CW1475" s="123"/>
      <c r="CX1475" s="6"/>
      <c r="DI1475" s="125"/>
      <c r="DJ1475" s="16"/>
      <c r="DM1475" s="16"/>
      <c r="DN1475" s="16"/>
      <c r="DO1475" s="125"/>
      <c r="DP1475" s="16"/>
      <c r="DQ1475" s="125"/>
      <c r="DZ1475" s="125"/>
      <c r="EA1475" s="142"/>
      <c r="EB1475" s="125"/>
      <c r="EC1475" s="16"/>
      <c r="ED1475" s="125"/>
      <c r="EE1475" s="125"/>
      <c r="EF1475" s="16"/>
      <c r="EG1475" s="125"/>
      <c r="EQ1475" s="125"/>
      <c r="ER1475" s="16"/>
      <c r="ES1475" s="123"/>
      <c r="ET1475" s="19"/>
      <c r="EU1475" s="139"/>
      <c r="EV1475" s="139"/>
      <c r="EW1475" s="123"/>
      <c r="EX1475" s="123"/>
      <c r="EY1475" s="123"/>
      <c r="EZ1475" s="123"/>
      <c r="FA1475" s="123"/>
      <c r="FB1475" s="123"/>
      <c r="FC1475" s="6"/>
      <c r="FD1475" s="123"/>
      <c r="FE1475" s="6"/>
      <c r="FF1475" s="123"/>
      <c r="FG1475" s="6"/>
      <c r="FH1475" s="6"/>
      <c r="FI1475" s="6"/>
      <c r="FJ1475" s="6"/>
      <c r="FK1475" s="123"/>
      <c r="FL1475" s="6"/>
      <c r="FM1475" s="6"/>
      <c r="FN1475" s="6"/>
      <c r="FO1475" s="138"/>
      <c r="FP1475" s="138"/>
      <c r="FQ1475" s="123"/>
      <c r="FR1475" s="6"/>
      <c r="FS1475" s="6"/>
      <c r="FT1475" s="139"/>
      <c r="FU1475" s="139"/>
      <c r="FV1475" s="76"/>
      <c r="FW1475" s="123"/>
      <c r="FX1475" s="6"/>
    </row>
    <row r="1476" spans="35:180">
      <c r="AI1476" s="125"/>
      <c r="AJ1476" s="16"/>
      <c r="AM1476" s="16"/>
      <c r="AN1476" s="16"/>
      <c r="AO1476" s="125"/>
      <c r="AP1476" s="16"/>
      <c r="AQ1476" s="125"/>
      <c r="AZ1476" s="125"/>
      <c r="BA1476" s="142"/>
      <c r="BB1476" s="125"/>
      <c r="BC1476" s="16"/>
      <c r="BD1476" s="125"/>
      <c r="BE1476" s="125"/>
      <c r="BF1476" s="16"/>
      <c r="BG1476" s="125"/>
      <c r="BQ1476" s="125"/>
      <c r="BR1476" s="16"/>
      <c r="BS1476" s="123"/>
      <c r="BT1476" s="19"/>
      <c r="BU1476" s="139"/>
      <c r="BV1476" s="139"/>
      <c r="BW1476" s="123"/>
      <c r="BX1476" s="123"/>
      <c r="BY1476" s="123"/>
      <c r="BZ1476" s="123"/>
      <c r="CA1476" s="123"/>
      <c r="CB1476" s="123"/>
      <c r="CC1476" s="6"/>
      <c r="CD1476" s="123"/>
      <c r="CE1476" s="6"/>
      <c r="CF1476" s="123"/>
      <c r="CG1476" s="6"/>
      <c r="CH1476" s="6"/>
      <c r="CI1476" s="6"/>
      <c r="CJ1476" s="6"/>
      <c r="CK1476" s="123"/>
      <c r="CL1476" s="6"/>
      <c r="CM1476" s="6"/>
      <c r="CN1476" s="6"/>
      <c r="CO1476" s="138"/>
      <c r="CP1476" s="138"/>
      <c r="CQ1476" s="123"/>
      <c r="CR1476" s="6"/>
      <c r="CS1476" s="6"/>
      <c r="CT1476" s="139"/>
      <c r="CU1476" s="139"/>
      <c r="CV1476" s="76"/>
      <c r="CW1476" s="123"/>
      <c r="CX1476" s="6"/>
      <c r="DI1476" s="125"/>
      <c r="DJ1476" s="16"/>
      <c r="DM1476" s="16"/>
      <c r="DN1476" s="16"/>
      <c r="DO1476" s="125"/>
      <c r="DP1476" s="16"/>
      <c r="DQ1476" s="125"/>
      <c r="DZ1476" s="125"/>
      <c r="EA1476" s="142"/>
      <c r="EB1476" s="125"/>
      <c r="EC1476" s="16"/>
      <c r="ED1476" s="125"/>
      <c r="EE1476" s="125"/>
      <c r="EF1476" s="16"/>
      <c r="EG1476" s="125"/>
      <c r="EQ1476" s="125"/>
      <c r="ER1476" s="16"/>
      <c r="ES1476" s="123"/>
      <c r="ET1476" s="19"/>
      <c r="EU1476" s="139"/>
      <c r="EV1476" s="139"/>
      <c r="EW1476" s="123"/>
      <c r="EX1476" s="123"/>
      <c r="EY1476" s="123"/>
      <c r="EZ1476" s="123"/>
      <c r="FA1476" s="123"/>
      <c r="FB1476" s="123"/>
      <c r="FC1476" s="6"/>
      <c r="FD1476" s="123"/>
      <c r="FE1476" s="6"/>
      <c r="FF1476" s="123"/>
      <c r="FG1476" s="6"/>
      <c r="FH1476" s="6"/>
      <c r="FI1476" s="6"/>
      <c r="FJ1476" s="6"/>
      <c r="FK1476" s="123"/>
      <c r="FL1476" s="6"/>
      <c r="FM1476" s="6"/>
      <c r="FN1476" s="6"/>
      <c r="FO1476" s="138"/>
      <c r="FP1476" s="138"/>
      <c r="FQ1476" s="123"/>
      <c r="FR1476" s="6"/>
      <c r="FS1476" s="6"/>
      <c r="FT1476" s="139"/>
      <c r="FU1476" s="139"/>
      <c r="FV1476" s="76"/>
      <c r="FW1476" s="123"/>
      <c r="FX1476" s="6"/>
    </row>
    <row r="1477" spans="35:180">
      <c r="AI1477" s="125"/>
      <c r="AJ1477" s="16"/>
      <c r="AM1477" s="16"/>
      <c r="AN1477" s="16"/>
      <c r="AO1477" s="125"/>
      <c r="AP1477" s="16"/>
      <c r="AQ1477" s="125"/>
      <c r="AZ1477" s="125"/>
      <c r="BA1477" s="142"/>
      <c r="BB1477" s="125"/>
      <c r="BC1477" s="16"/>
      <c r="BD1477" s="125"/>
      <c r="BE1477" s="125"/>
      <c r="BF1477" s="16"/>
      <c r="BG1477" s="125"/>
      <c r="BQ1477" s="125"/>
      <c r="BR1477" s="16"/>
      <c r="BS1477" s="123"/>
      <c r="BT1477" s="19"/>
      <c r="BU1477" s="139"/>
      <c r="BV1477" s="139"/>
      <c r="BW1477" s="123"/>
      <c r="BX1477" s="123"/>
      <c r="BY1477" s="123"/>
      <c r="BZ1477" s="123"/>
      <c r="CA1477" s="123"/>
      <c r="CB1477" s="123"/>
      <c r="CC1477" s="6"/>
      <c r="CD1477" s="123"/>
      <c r="CE1477" s="6"/>
      <c r="CF1477" s="123"/>
      <c r="CG1477" s="6"/>
      <c r="CH1477" s="6"/>
      <c r="CI1477" s="6"/>
      <c r="CJ1477" s="6"/>
      <c r="CK1477" s="123"/>
      <c r="CL1477" s="6"/>
      <c r="CM1477" s="6"/>
      <c r="CN1477" s="6"/>
      <c r="CO1477" s="138"/>
      <c r="CP1477" s="138"/>
      <c r="CQ1477" s="123"/>
      <c r="CR1477" s="6"/>
      <c r="CS1477" s="6"/>
      <c r="CT1477" s="139"/>
      <c r="CU1477" s="139"/>
      <c r="CV1477" s="76"/>
      <c r="CW1477" s="123"/>
      <c r="CX1477" s="6"/>
      <c r="DI1477" s="125"/>
      <c r="DJ1477" s="16"/>
      <c r="DM1477" s="16"/>
      <c r="DN1477" s="16"/>
      <c r="DO1477" s="125"/>
      <c r="DP1477" s="16"/>
      <c r="DQ1477" s="125"/>
      <c r="DZ1477" s="125"/>
      <c r="EA1477" s="142"/>
      <c r="EB1477" s="125"/>
      <c r="EC1477" s="16"/>
      <c r="ED1477" s="125"/>
      <c r="EE1477" s="125"/>
      <c r="EF1477" s="16"/>
      <c r="EG1477" s="125"/>
      <c r="EQ1477" s="125"/>
      <c r="ER1477" s="16"/>
      <c r="ES1477" s="123"/>
      <c r="ET1477" s="19"/>
      <c r="EU1477" s="139"/>
      <c r="EV1477" s="139"/>
      <c r="EW1477" s="123"/>
      <c r="EX1477" s="123"/>
      <c r="EY1477" s="123"/>
      <c r="EZ1477" s="123"/>
      <c r="FA1477" s="123"/>
      <c r="FB1477" s="123"/>
      <c r="FC1477" s="6"/>
      <c r="FD1477" s="123"/>
      <c r="FE1477" s="6"/>
      <c r="FF1477" s="123"/>
      <c r="FG1477" s="6"/>
      <c r="FH1477" s="6"/>
      <c r="FI1477" s="6"/>
      <c r="FJ1477" s="6"/>
      <c r="FK1477" s="123"/>
      <c r="FL1477" s="6"/>
      <c r="FM1477" s="6"/>
      <c r="FN1477" s="6"/>
      <c r="FO1477" s="138"/>
      <c r="FP1477" s="138"/>
      <c r="FQ1477" s="123"/>
      <c r="FR1477" s="6"/>
      <c r="FS1477" s="6"/>
      <c r="FT1477" s="139"/>
      <c r="FU1477" s="139"/>
      <c r="FV1477" s="76"/>
      <c r="FW1477" s="123"/>
      <c r="FX1477" s="6"/>
    </row>
    <row r="1478" spans="35:180">
      <c r="AI1478" s="125"/>
      <c r="AJ1478" s="16"/>
      <c r="AM1478" s="16"/>
      <c r="AN1478" s="16"/>
      <c r="AO1478" s="125"/>
      <c r="AP1478" s="16"/>
      <c r="AQ1478" s="125"/>
      <c r="AZ1478" s="125"/>
      <c r="BA1478" s="142"/>
      <c r="BB1478" s="125"/>
      <c r="BC1478" s="16"/>
      <c r="BD1478" s="125"/>
      <c r="BE1478" s="125"/>
      <c r="BF1478" s="16"/>
      <c r="BG1478" s="125"/>
      <c r="BQ1478" s="125"/>
      <c r="BR1478" s="16"/>
      <c r="BS1478" s="123"/>
      <c r="BT1478" s="19"/>
      <c r="BU1478" s="139"/>
      <c r="BV1478" s="139"/>
      <c r="BW1478" s="123"/>
      <c r="BX1478" s="123"/>
      <c r="BY1478" s="123"/>
      <c r="BZ1478" s="123"/>
      <c r="CA1478" s="123"/>
      <c r="CB1478" s="123"/>
      <c r="CC1478" s="6"/>
      <c r="CD1478" s="123"/>
      <c r="CE1478" s="6"/>
      <c r="CF1478" s="123"/>
      <c r="CG1478" s="6"/>
      <c r="CH1478" s="6"/>
      <c r="CI1478" s="6"/>
      <c r="CJ1478" s="6"/>
      <c r="CK1478" s="123"/>
      <c r="CL1478" s="6"/>
      <c r="CM1478" s="6"/>
      <c r="CN1478" s="6"/>
      <c r="CO1478" s="138"/>
      <c r="CP1478" s="138"/>
      <c r="CQ1478" s="123"/>
      <c r="CR1478" s="6"/>
      <c r="CS1478" s="6"/>
      <c r="CT1478" s="139"/>
      <c r="CU1478" s="139"/>
      <c r="CV1478" s="76"/>
      <c r="CW1478" s="123"/>
      <c r="CX1478" s="6"/>
      <c r="DI1478" s="125"/>
      <c r="DJ1478" s="16"/>
      <c r="DM1478" s="16"/>
      <c r="DN1478" s="16"/>
      <c r="DO1478" s="125"/>
      <c r="DP1478" s="16"/>
      <c r="DQ1478" s="125"/>
      <c r="DZ1478" s="125"/>
      <c r="EA1478" s="142"/>
      <c r="EB1478" s="125"/>
      <c r="EC1478" s="16"/>
      <c r="ED1478" s="125"/>
      <c r="EE1478" s="125"/>
      <c r="EF1478" s="16"/>
      <c r="EG1478" s="125"/>
      <c r="EQ1478" s="125"/>
      <c r="ER1478" s="16"/>
      <c r="ES1478" s="123"/>
      <c r="ET1478" s="19"/>
      <c r="EU1478" s="139"/>
      <c r="EV1478" s="139"/>
      <c r="EW1478" s="123"/>
      <c r="EX1478" s="123"/>
      <c r="EY1478" s="123"/>
      <c r="EZ1478" s="123"/>
      <c r="FA1478" s="123"/>
      <c r="FB1478" s="123"/>
      <c r="FC1478" s="6"/>
      <c r="FD1478" s="123"/>
      <c r="FE1478" s="6"/>
      <c r="FF1478" s="123"/>
      <c r="FG1478" s="6"/>
      <c r="FH1478" s="6"/>
      <c r="FI1478" s="6"/>
      <c r="FJ1478" s="6"/>
      <c r="FK1478" s="123"/>
      <c r="FL1478" s="6"/>
      <c r="FM1478" s="6"/>
      <c r="FN1478" s="6"/>
      <c r="FO1478" s="138"/>
      <c r="FP1478" s="138"/>
      <c r="FQ1478" s="123"/>
      <c r="FR1478" s="6"/>
      <c r="FS1478" s="6"/>
      <c r="FT1478" s="139"/>
      <c r="FU1478" s="139"/>
      <c r="FV1478" s="76"/>
      <c r="FW1478" s="123"/>
      <c r="FX1478" s="6"/>
    </row>
    <row r="1479" spans="35:180">
      <c r="AI1479" s="125"/>
      <c r="AJ1479" s="16"/>
      <c r="AM1479" s="16"/>
      <c r="AN1479" s="16"/>
      <c r="AO1479" s="125"/>
      <c r="AP1479" s="16"/>
      <c r="AQ1479" s="125"/>
      <c r="AZ1479" s="125"/>
      <c r="BA1479" s="142"/>
      <c r="BB1479" s="125"/>
      <c r="BC1479" s="16"/>
      <c r="BD1479" s="125"/>
      <c r="BE1479" s="125"/>
      <c r="BF1479" s="16"/>
      <c r="BG1479" s="125"/>
      <c r="BQ1479" s="125"/>
      <c r="BR1479" s="16"/>
      <c r="BS1479" s="123"/>
      <c r="BT1479" s="19"/>
      <c r="BU1479" s="139"/>
      <c r="BV1479" s="139"/>
      <c r="BW1479" s="123"/>
      <c r="BX1479" s="123"/>
      <c r="BY1479" s="123"/>
      <c r="BZ1479" s="123"/>
      <c r="CA1479" s="123"/>
      <c r="CB1479" s="123"/>
      <c r="CC1479" s="6"/>
      <c r="CD1479" s="123"/>
      <c r="CE1479" s="6"/>
      <c r="CF1479" s="123"/>
      <c r="CG1479" s="6"/>
      <c r="CH1479" s="6"/>
      <c r="CI1479" s="6"/>
      <c r="CJ1479" s="6"/>
      <c r="CK1479" s="123"/>
      <c r="CL1479" s="6"/>
      <c r="CM1479" s="6"/>
      <c r="CN1479" s="6"/>
      <c r="CO1479" s="138"/>
      <c r="CP1479" s="138"/>
      <c r="CQ1479" s="123"/>
      <c r="CR1479" s="6"/>
      <c r="CS1479" s="6"/>
      <c r="CT1479" s="139"/>
      <c r="CU1479" s="139"/>
      <c r="CV1479" s="76"/>
      <c r="CW1479" s="123"/>
      <c r="CX1479" s="6"/>
      <c r="DI1479" s="125"/>
      <c r="DJ1479" s="16"/>
      <c r="DM1479" s="16"/>
      <c r="DN1479" s="16"/>
      <c r="DO1479" s="125"/>
      <c r="DP1479" s="16"/>
      <c r="DQ1479" s="125"/>
      <c r="DZ1479" s="125"/>
      <c r="EA1479" s="142"/>
      <c r="EB1479" s="125"/>
      <c r="EC1479" s="16"/>
      <c r="ED1479" s="125"/>
      <c r="EE1479" s="125"/>
      <c r="EF1479" s="16"/>
      <c r="EG1479" s="125"/>
      <c r="EQ1479" s="125"/>
      <c r="ER1479" s="16"/>
      <c r="ES1479" s="123"/>
      <c r="ET1479" s="19"/>
      <c r="EU1479" s="139"/>
      <c r="EV1479" s="139"/>
      <c r="EW1479" s="123"/>
      <c r="EX1479" s="123"/>
      <c r="EY1479" s="123"/>
      <c r="EZ1479" s="123"/>
      <c r="FA1479" s="123"/>
      <c r="FB1479" s="123"/>
      <c r="FC1479" s="6"/>
      <c r="FD1479" s="123"/>
      <c r="FE1479" s="6"/>
      <c r="FF1479" s="123"/>
      <c r="FG1479" s="6"/>
      <c r="FH1479" s="6"/>
      <c r="FI1479" s="6"/>
      <c r="FJ1479" s="6"/>
      <c r="FK1479" s="123"/>
      <c r="FL1479" s="6"/>
      <c r="FM1479" s="6"/>
      <c r="FN1479" s="6"/>
      <c r="FO1479" s="138"/>
      <c r="FP1479" s="138"/>
      <c r="FQ1479" s="123"/>
      <c r="FR1479" s="6"/>
      <c r="FS1479" s="6"/>
      <c r="FT1479" s="139"/>
      <c r="FU1479" s="139"/>
      <c r="FV1479" s="76"/>
      <c r="FW1479" s="123"/>
      <c r="FX1479" s="6"/>
    </row>
    <row r="1480" spans="35:180">
      <c r="AI1480" s="125"/>
      <c r="AJ1480" s="16"/>
      <c r="AM1480" s="16"/>
      <c r="AN1480" s="16"/>
      <c r="AO1480" s="125"/>
      <c r="AP1480" s="16"/>
      <c r="AQ1480" s="125"/>
      <c r="AZ1480" s="125"/>
      <c r="BA1480" s="142"/>
      <c r="BB1480" s="125"/>
      <c r="BC1480" s="16"/>
      <c r="BD1480" s="125"/>
      <c r="BE1480" s="125"/>
      <c r="BF1480" s="16"/>
      <c r="BG1480" s="125"/>
      <c r="BQ1480" s="125"/>
      <c r="BR1480" s="16"/>
      <c r="BS1480" s="123"/>
      <c r="BT1480" s="19"/>
      <c r="BU1480" s="139"/>
      <c r="BV1480" s="139"/>
      <c r="BW1480" s="123"/>
      <c r="BX1480" s="123"/>
      <c r="BY1480" s="123"/>
      <c r="BZ1480" s="123"/>
      <c r="CA1480" s="123"/>
      <c r="CB1480" s="123"/>
      <c r="CC1480" s="6"/>
      <c r="CD1480" s="123"/>
      <c r="CE1480" s="6"/>
      <c r="CF1480" s="123"/>
      <c r="CG1480" s="6"/>
      <c r="CH1480" s="6"/>
      <c r="CI1480" s="6"/>
      <c r="CJ1480" s="6"/>
      <c r="CK1480" s="123"/>
      <c r="CL1480" s="6"/>
      <c r="CM1480" s="6"/>
      <c r="CN1480" s="6"/>
      <c r="CO1480" s="138"/>
      <c r="CP1480" s="138"/>
      <c r="CQ1480" s="123"/>
      <c r="CR1480" s="6"/>
      <c r="CS1480" s="6"/>
      <c r="CT1480" s="139"/>
      <c r="CU1480" s="139"/>
      <c r="CV1480" s="76"/>
      <c r="CW1480" s="123"/>
      <c r="CX1480" s="6"/>
      <c r="DI1480" s="125"/>
      <c r="DJ1480" s="16"/>
      <c r="DM1480" s="16"/>
      <c r="DN1480" s="16"/>
      <c r="DO1480" s="125"/>
      <c r="DP1480" s="16"/>
      <c r="DQ1480" s="125"/>
      <c r="DZ1480" s="125"/>
      <c r="EA1480" s="142"/>
      <c r="EB1480" s="125"/>
      <c r="EC1480" s="16"/>
      <c r="ED1480" s="125"/>
      <c r="EE1480" s="125"/>
      <c r="EF1480" s="16"/>
      <c r="EG1480" s="125"/>
      <c r="EQ1480" s="125"/>
      <c r="ER1480" s="16"/>
      <c r="ES1480" s="123"/>
      <c r="ET1480" s="19"/>
      <c r="EU1480" s="139"/>
      <c r="EV1480" s="139"/>
      <c r="EW1480" s="123"/>
      <c r="EX1480" s="123"/>
      <c r="EY1480" s="123"/>
      <c r="EZ1480" s="123"/>
      <c r="FA1480" s="123"/>
      <c r="FB1480" s="123"/>
      <c r="FC1480" s="6"/>
      <c r="FD1480" s="123"/>
      <c r="FE1480" s="6"/>
      <c r="FF1480" s="123"/>
      <c r="FG1480" s="6"/>
      <c r="FH1480" s="6"/>
      <c r="FI1480" s="6"/>
      <c r="FJ1480" s="6"/>
      <c r="FK1480" s="123"/>
      <c r="FL1480" s="6"/>
      <c r="FM1480" s="6"/>
      <c r="FN1480" s="6"/>
      <c r="FO1480" s="138"/>
      <c r="FP1480" s="138"/>
      <c r="FQ1480" s="123"/>
      <c r="FR1480" s="6"/>
      <c r="FS1480" s="6"/>
      <c r="FT1480" s="139"/>
      <c r="FU1480" s="139"/>
      <c r="FV1480" s="76"/>
      <c r="FW1480" s="123"/>
      <c r="FX1480" s="6"/>
    </row>
    <row r="1481" spans="35:180">
      <c r="AI1481" s="125"/>
      <c r="AJ1481" s="16"/>
      <c r="AM1481" s="16"/>
      <c r="AN1481" s="16"/>
      <c r="AO1481" s="125"/>
      <c r="AP1481" s="16"/>
      <c r="AQ1481" s="125"/>
      <c r="AZ1481" s="125"/>
      <c r="BA1481" s="142"/>
      <c r="BB1481" s="125"/>
      <c r="BC1481" s="16"/>
      <c r="BD1481" s="125"/>
      <c r="BE1481" s="125"/>
      <c r="BF1481" s="16"/>
      <c r="BG1481" s="125"/>
      <c r="BQ1481" s="125"/>
      <c r="BR1481" s="16"/>
      <c r="BS1481" s="123"/>
      <c r="BT1481" s="19"/>
      <c r="BU1481" s="139"/>
      <c r="BV1481" s="139"/>
      <c r="BW1481" s="123"/>
      <c r="BX1481" s="123"/>
      <c r="BY1481" s="123"/>
      <c r="BZ1481" s="123"/>
      <c r="CA1481" s="123"/>
      <c r="CB1481" s="123"/>
      <c r="CC1481" s="6"/>
      <c r="CD1481" s="123"/>
      <c r="CE1481" s="6"/>
      <c r="CF1481" s="123"/>
      <c r="CG1481" s="6"/>
      <c r="CH1481" s="6"/>
      <c r="CI1481" s="6"/>
      <c r="CJ1481" s="6"/>
      <c r="CK1481" s="123"/>
      <c r="CL1481" s="6"/>
      <c r="CM1481" s="6"/>
      <c r="CN1481" s="6"/>
      <c r="CO1481" s="138"/>
      <c r="CP1481" s="138"/>
      <c r="CQ1481" s="123"/>
      <c r="CR1481" s="6"/>
      <c r="CS1481" s="6"/>
      <c r="CT1481" s="139"/>
      <c r="CU1481" s="139"/>
      <c r="CV1481" s="76"/>
      <c r="CW1481" s="123"/>
      <c r="CX1481" s="6"/>
      <c r="DI1481" s="125"/>
      <c r="DJ1481" s="16"/>
      <c r="DM1481" s="16"/>
      <c r="DN1481" s="16"/>
      <c r="DO1481" s="125"/>
      <c r="DP1481" s="16"/>
      <c r="DQ1481" s="125"/>
      <c r="DZ1481" s="125"/>
      <c r="EA1481" s="142"/>
      <c r="EB1481" s="125"/>
      <c r="EC1481" s="16"/>
      <c r="ED1481" s="125"/>
      <c r="EE1481" s="125"/>
      <c r="EF1481" s="16"/>
      <c r="EG1481" s="125"/>
      <c r="EQ1481" s="125"/>
      <c r="ER1481" s="16"/>
      <c r="ES1481" s="123"/>
      <c r="ET1481" s="19"/>
      <c r="EU1481" s="139"/>
      <c r="EV1481" s="139"/>
      <c r="EW1481" s="123"/>
      <c r="EX1481" s="123"/>
      <c r="EY1481" s="123"/>
      <c r="EZ1481" s="123"/>
      <c r="FA1481" s="123"/>
      <c r="FB1481" s="123"/>
      <c r="FC1481" s="6"/>
      <c r="FD1481" s="123"/>
      <c r="FE1481" s="6"/>
      <c r="FF1481" s="123"/>
      <c r="FG1481" s="6"/>
      <c r="FH1481" s="6"/>
      <c r="FI1481" s="6"/>
      <c r="FJ1481" s="6"/>
      <c r="FK1481" s="123"/>
      <c r="FL1481" s="6"/>
      <c r="FM1481" s="6"/>
      <c r="FN1481" s="6"/>
      <c r="FO1481" s="138"/>
      <c r="FP1481" s="138"/>
      <c r="FQ1481" s="123"/>
      <c r="FR1481" s="6"/>
      <c r="FS1481" s="6"/>
      <c r="FT1481" s="139"/>
      <c r="FU1481" s="139"/>
      <c r="FV1481" s="76"/>
      <c r="FW1481" s="123"/>
      <c r="FX1481" s="6"/>
    </row>
    <row r="1482" spans="35:180">
      <c r="AI1482" s="125"/>
      <c r="AJ1482" s="16"/>
      <c r="AM1482" s="16"/>
      <c r="AN1482" s="16"/>
      <c r="AO1482" s="125"/>
      <c r="AP1482" s="16"/>
      <c r="AQ1482" s="125"/>
      <c r="AZ1482" s="125"/>
      <c r="BA1482" s="142"/>
      <c r="BB1482" s="125"/>
      <c r="BC1482" s="16"/>
      <c r="BD1482" s="125"/>
      <c r="BE1482" s="125"/>
      <c r="BF1482" s="16"/>
      <c r="BG1482" s="125"/>
      <c r="BQ1482" s="125"/>
      <c r="BR1482" s="16"/>
      <c r="BS1482" s="123"/>
      <c r="BT1482" s="19"/>
      <c r="BU1482" s="139"/>
      <c r="BV1482" s="139"/>
      <c r="BW1482" s="123"/>
      <c r="BX1482" s="123"/>
      <c r="BY1482" s="123"/>
      <c r="BZ1482" s="123"/>
      <c r="CA1482" s="123"/>
      <c r="CB1482" s="123"/>
      <c r="CC1482" s="6"/>
      <c r="CD1482" s="123"/>
      <c r="CE1482" s="6"/>
      <c r="CF1482" s="123"/>
      <c r="CG1482" s="6"/>
      <c r="CH1482" s="6"/>
      <c r="CI1482" s="6"/>
      <c r="CJ1482" s="6"/>
      <c r="CK1482" s="123"/>
      <c r="CL1482" s="6"/>
      <c r="CM1482" s="6"/>
      <c r="CN1482" s="6"/>
      <c r="CO1482" s="138"/>
      <c r="CP1482" s="138"/>
      <c r="CQ1482" s="123"/>
      <c r="CR1482" s="6"/>
      <c r="CS1482" s="6"/>
      <c r="CT1482" s="139"/>
      <c r="CU1482" s="139"/>
      <c r="CV1482" s="76"/>
      <c r="CW1482" s="123"/>
      <c r="CX1482" s="6"/>
      <c r="DI1482" s="125"/>
      <c r="DJ1482" s="16"/>
      <c r="DM1482" s="16"/>
      <c r="DN1482" s="16"/>
      <c r="DO1482" s="125"/>
      <c r="DP1482" s="16"/>
      <c r="DQ1482" s="125"/>
      <c r="DZ1482" s="125"/>
      <c r="EA1482" s="142"/>
      <c r="EB1482" s="125"/>
      <c r="EC1482" s="16"/>
      <c r="ED1482" s="125"/>
      <c r="EE1482" s="125"/>
      <c r="EF1482" s="16"/>
      <c r="EG1482" s="125"/>
      <c r="EQ1482" s="125"/>
      <c r="ER1482" s="16"/>
      <c r="ES1482" s="123"/>
      <c r="ET1482" s="19"/>
      <c r="EU1482" s="139"/>
      <c r="EV1482" s="139"/>
      <c r="EW1482" s="123"/>
      <c r="EX1482" s="123"/>
      <c r="EY1482" s="123"/>
      <c r="EZ1482" s="123"/>
      <c r="FA1482" s="123"/>
      <c r="FB1482" s="123"/>
      <c r="FC1482" s="6"/>
      <c r="FD1482" s="123"/>
      <c r="FE1482" s="6"/>
      <c r="FF1482" s="123"/>
      <c r="FG1482" s="6"/>
      <c r="FH1482" s="6"/>
      <c r="FI1482" s="6"/>
      <c r="FJ1482" s="6"/>
      <c r="FK1482" s="123"/>
      <c r="FL1482" s="6"/>
      <c r="FM1482" s="6"/>
      <c r="FN1482" s="6"/>
      <c r="FO1482" s="138"/>
      <c r="FP1482" s="138"/>
      <c r="FQ1482" s="123"/>
      <c r="FR1482" s="6"/>
      <c r="FS1482" s="6"/>
      <c r="FT1482" s="139"/>
      <c r="FU1482" s="139"/>
      <c r="FV1482" s="76"/>
      <c r="FW1482" s="123"/>
      <c r="FX1482" s="6"/>
    </row>
    <row r="1483" spans="35:180">
      <c r="AI1483" s="125"/>
      <c r="AJ1483" s="16"/>
      <c r="AM1483" s="16"/>
      <c r="AN1483" s="16"/>
      <c r="AO1483" s="125"/>
      <c r="AP1483" s="16"/>
      <c r="AQ1483" s="125"/>
      <c r="AZ1483" s="125"/>
      <c r="BA1483" s="142"/>
      <c r="BB1483" s="125"/>
      <c r="BC1483" s="16"/>
      <c r="BD1483" s="125"/>
      <c r="BE1483" s="125"/>
      <c r="BF1483" s="16"/>
      <c r="BG1483" s="125"/>
      <c r="BQ1483" s="125"/>
      <c r="BR1483" s="16"/>
      <c r="BS1483" s="123"/>
      <c r="BT1483" s="19"/>
      <c r="BU1483" s="139"/>
      <c r="BV1483" s="139"/>
      <c r="BW1483" s="123"/>
      <c r="BX1483" s="123"/>
      <c r="BY1483" s="123"/>
      <c r="BZ1483" s="123"/>
      <c r="CA1483" s="123"/>
      <c r="CB1483" s="123"/>
      <c r="CC1483" s="6"/>
      <c r="CD1483" s="123"/>
      <c r="CE1483" s="6"/>
      <c r="CF1483" s="123"/>
      <c r="CG1483" s="6"/>
      <c r="CH1483" s="6"/>
      <c r="CI1483" s="6"/>
      <c r="CJ1483" s="6"/>
      <c r="CK1483" s="123"/>
      <c r="CL1483" s="6"/>
      <c r="CM1483" s="6"/>
      <c r="CN1483" s="6"/>
      <c r="CO1483" s="138"/>
      <c r="CP1483" s="138"/>
      <c r="CQ1483" s="123"/>
      <c r="CR1483" s="6"/>
      <c r="CS1483" s="6"/>
      <c r="CT1483" s="139"/>
      <c r="CU1483" s="139"/>
      <c r="CV1483" s="76"/>
      <c r="CW1483" s="123"/>
      <c r="CX1483" s="6"/>
      <c r="DI1483" s="125"/>
      <c r="DJ1483" s="16"/>
      <c r="DM1483" s="16"/>
      <c r="DN1483" s="16"/>
      <c r="DO1483" s="125"/>
      <c r="DP1483" s="16"/>
      <c r="DQ1483" s="125"/>
      <c r="DZ1483" s="125"/>
      <c r="EA1483" s="142"/>
      <c r="EB1483" s="125"/>
      <c r="EC1483" s="16"/>
      <c r="ED1483" s="125"/>
      <c r="EE1483" s="125"/>
      <c r="EF1483" s="16"/>
      <c r="EG1483" s="125"/>
      <c r="EQ1483" s="125"/>
      <c r="ER1483" s="16"/>
      <c r="ES1483" s="123"/>
      <c r="ET1483" s="19"/>
      <c r="EU1483" s="139"/>
      <c r="EV1483" s="139"/>
      <c r="EW1483" s="123"/>
      <c r="EX1483" s="123"/>
      <c r="EY1483" s="123"/>
      <c r="EZ1483" s="123"/>
      <c r="FA1483" s="123"/>
      <c r="FB1483" s="123"/>
      <c r="FC1483" s="6"/>
      <c r="FD1483" s="123"/>
      <c r="FE1483" s="6"/>
      <c r="FF1483" s="123"/>
      <c r="FG1483" s="6"/>
      <c r="FH1483" s="6"/>
      <c r="FI1483" s="6"/>
      <c r="FJ1483" s="6"/>
      <c r="FK1483" s="123"/>
      <c r="FL1483" s="6"/>
      <c r="FM1483" s="6"/>
      <c r="FN1483" s="6"/>
      <c r="FO1483" s="138"/>
      <c r="FP1483" s="138"/>
      <c r="FQ1483" s="123"/>
      <c r="FR1483" s="6"/>
      <c r="FS1483" s="6"/>
      <c r="FT1483" s="139"/>
      <c r="FU1483" s="139"/>
      <c r="FV1483" s="76"/>
      <c r="FW1483" s="123"/>
      <c r="FX1483" s="6"/>
    </row>
    <row r="1484" spans="35:180">
      <c r="AI1484" s="125"/>
      <c r="AJ1484" s="16"/>
      <c r="AM1484" s="16"/>
      <c r="AN1484" s="16"/>
      <c r="AO1484" s="125"/>
      <c r="AP1484" s="16"/>
      <c r="AQ1484" s="125"/>
      <c r="AZ1484" s="125"/>
      <c r="BA1484" s="142"/>
      <c r="BB1484" s="125"/>
      <c r="BC1484" s="16"/>
      <c r="BD1484" s="125"/>
      <c r="BE1484" s="125"/>
      <c r="BF1484" s="16"/>
      <c r="BG1484" s="125"/>
      <c r="BQ1484" s="125"/>
      <c r="BR1484" s="16"/>
      <c r="BS1484" s="123"/>
      <c r="BT1484" s="19"/>
      <c r="BU1484" s="139"/>
      <c r="BV1484" s="139"/>
      <c r="BW1484" s="123"/>
      <c r="BX1484" s="123"/>
      <c r="BY1484" s="123"/>
      <c r="BZ1484" s="123"/>
      <c r="CA1484" s="123"/>
      <c r="CB1484" s="123"/>
      <c r="CC1484" s="6"/>
      <c r="CD1484" s="123"/>
      <c r="CE1484" s="6"/>
      <c r="CF1484" s="123"/>
      <c r="CG1484" s="6"/>
      <c r="CH1484" s="6"/>
      <c r="CI1484" s="6"/>
      <c r="CJ1484" s="6"/>
      <c r="CK1484" s="123"/>
      <c r="CL1484" s="6"/>
      <c r="CM1484" s="6"/>
      <c r="CN1484" s="6"/>
      <c r="CO1484" s="138"/>
      <c r="CP1484" s="138"/>
      <c r="CQ1484" s="123"/>
      <c r="CR1484" s="6"/>
      <c r="CS1484" s="6"/>
      <c r="CT1484" s="139"/>
      <c r="CU1484" s="139"/>
      <c r="CV1484" s="76"/>
      <c r="CW1484" s="123"/>
      <c r="CX1484" s="6"/>
      <c r="DI1484" s="125"/>
      <c r="DJ1484" s="16"/>
      <c r="DM1484" s="16"/>
      <c r="DN1484" s="16"/>
      <c r="DO1484" s="125"/>
      <c r="DP1484" s="16"/>
      <c r="DQ1484" s="125"/>
      <c r="DZ1484" s="125"/>
      <c r="EA1484" s="142"/>
      <c r="EB1484" s="125"/>
      <c r="EC1484" s="16"/>
      <c r="ED1484" s="125"/>
      <c r="EE1484" s="125"/>
      <c r="EF1484" s="16"/>
      <c r="EG1484" s="125"/>
      <c r="EQ1484" s="125"/>
      <c r="ER1484" s="16"/>
      <c r="ES1484" s="123"/>
      <c r="ET1484" s="19"/>
      <c r="EU1484" s="139"/>
      <c r="EV1484" s="139"/>
      <c r="EW1484" s="123"/>
      <c r="EX1484" s="123"/>
      <c r="EY1484" s="123"/>
      <c r="EZ1484" s="123"/>
      <c r="FA1484" s="123"/>
      <c r="FB1484" s="123"/>
      <c r="FC1484" s="6"/>
      <c r="FD1484" s="123"/>
      <c r="FE1484" s="6"/>
      <c r="FF1484" s="123"/>
      <c r="FG1484" s="6"/>
      <c r="FH1484" s="6"/>
      <c r="FI1484" s="6"/>
      <c r="FJ1484" s="6"/>
      <c r="FK1484" s="123"/>
      <c r="FL1484" s="6"/>
      <c r="FM1484" s="6"/>
      <c r="FN1484" s="6"/>
      <c r="FO1484" s="138"/>
      <c r="FP1484" s="138"/>
      <c r="FQ1484" s="123"/>
      <c r="FR1484" s="6"/>
      <c r="FS1484" s="6"/>
      <c r="FT1484" s="139"/>
      <c r="FU1484" s="139"/>
      <c r="FV1484" s="76"/>
      <c r="FW1484" s="123"/>
      <c r="FX1484" s="6"/>
    </row>
    <row r="1485" spans="35:180">
      <c r="AI1485" s="125"/>
      <c r="AJ1485" s="16"/>
      <c r="AM1485" s="16"/>
      <c r="AN1485" s="16"/>
      <c r="AO1485" s="125"/>
      <c r="AP1485" s="16"/>
      <c r="AQ1485" s="125"/>
      <c r="AZ1485" s="125"/>
      <c r="BA1485" s="142"/>
      <c r="BB1485" s="125"/>
      <c r="BC1485" s="16"/>
      <c r="BD1485" s="125"/>
      <c r="BE1485" s="125"/>
      <c r="BF1485" s="16"/>
      <c r="BG1485" s="125"/>
      <c r="BQ1485" s="125"/>
      <c r="BR1485" s="16"/>
      <c r="BS1485" s="123"/>
      <c r="BT1485" s="19"/>
      <c r="BU1485" s="139"/>
      <c r="BV1485" s="139"/>
      <c r="BW1485" s="123"/>
      <c r="BX1485" s="123"/>
      <c r="BY1485" s="123"/>
      <c r="BZ1485" s="123"/>
      <c r="CA1485" s="123"/>
      <c r="CB1485" s="123"/>
      <c r="CC1485" s="6"/>
      <c r="CD1485" s="123"/>
      <c r="CE1485" s="6"/>
      <c r="CF1485" s="123"/>
      <c r="CG1485" s="6"/>
      <c r="CH1485" s="6"/>
      <c r="CI1485" s="6"/>
      <c r="CJ1485" s="6"/>
      <c r="CK1485" s="123"/>
      <c r="CL1485" s="6"/>
      <c r="CM1485" s="6"/>
      <c r="CN1485" s="6"/>
      <c r="CO1485" s="138"/>
      <c r="CP1485" s="138"/>
      <c r="CQ1485" s="123"/>
      <c r="CR1485" s="6"/>
      <c r="CS1485" s="6"/>
      <c r="CT1485" s="139"/>
      <c r="CU1485" s="139"/>
      <c r="CV1485" s="76"/>
      <c r="CW1485" s="123"/>
      <c r="CX1485" s="6"/>
      <c r="DI1485" s="125"/>
      <c r="DJ1485" s="16"/>
      <c r="DM1485" s="16"/>
      <c r="DN1485" s="16"/>
      <c r="DO1485" s="125"/>
      <c r="DP1485" s="16"/>
      <c r="DQ1485" s="125"/>
      <c r="DZ1485" s="125"/>
      <c r="EA1485" s="142"/>
      <c r="EB1485" s="125"/>
      <c r="EC1485" s="16"/>
      <c r="ED1485" s="125"/>
      <c r="EE1485" s="125"/>
      <c r="EF1485" s="16"/>
      <c r="EG1485" s="125"/>
      <c r="EQ1485" s="125"/>
      <c r="ER1485" s="16"/>
      <c r="ES1485" s="123"/>
      <c r="ET1485" s="19"/>
      <c r="EU1485" s="139"/>
      <c r="EV1485" s="139"/>
      <c r="EW1485" s="123"/>
      <c r="EX1485" s="123"/>
      <c r="EY1485" s="123"/>
      <c r="EZ1485" s="123"/>
      <c r="FA1485" s="123"/>
      <c r="FB1485" s="123"/>
      <c r="FC1485" s="6"/>
      <c r="FD1485" s="123"/>
      <c r="FE1485" s="6"/>
      <c r="FF1485" s="123"/>
      <c r="FG1485" s="6"/>
      <c r="FH1485" s="6"/>
      <c r="FI1485" s="6"/>
      <c r="FJ1485" s="6"/>
      <c r="FK1485" s="123"/>
      <c r="FL1485" s="6"/>
      <c r="FM1485" s="6"/>
      <c r="FN1485" s="6"/>
      <c r="FO1485" s="138"/>
      <c r="FP1485" s="138"/>
      <c r="FQ1485" s="123"/>
      <c r="FR1485" s="6"/>
      <c r="FS1485" s="6"/>
      <c r="FT1485" s="139"/>
      <c r="FU1485" s="139"/>
      <c r="FV1485" s="76"/>
      <c r="FW1485" s="123"/>
      <c r="FX1485" s="6"/>
    </row>
    <row r="1486" spans="35:180">
      <c r="AI1486" s="125"/>
      <c r="AJ1486" s="16"/>
      <c r="AM1486" s="16"/>
      <c r="AN1486" s="16"/>
      <c r="AO1486" s="125"/>
      <c r="AP1486" s="16"/>
      <c r="AQ1486" s="125"/>
      <c r="AZ1486" s="125"/>
      <c r="BA1486" s="142"/>
      <c r="BB1486" s="125"/>
      <c r="BC1486" s="16"/>
      <c r="BD1486" s="125"/>
      <c r="BE1486" s="125"/>
      <c r="BF1486" s="16"/>
      <c r="BG1486" s="125"/>
      <c r="BQ1486" s="125"/>
      <c r="BR1486" s="16"/>
      <c r="BS1486" s="123"/>
      <c r="BT1486" s="19"/>
      <c r="BU1486" s="139"/>
      <c r="BV1486" s="139"/>
      <c r="BW1486" s="123"/>
      <c r="BX1486" s="123"/>
      <c r="BY1486" s="123"/>
      <c r="BZ1486" s="123"/>
      <c r="CA1486" s="123"/>
      <c r="CB1486" s="123"/>
      <c r="CC1486" s="6"/>
      <c r="CD1486" s="123"/>
      <c r="CE1486" s="6"/>
      <c r="CF1486" s="123"/>
      <c r="CG1486" s="6"/>
      <c r="CH1486" s="6"/>
      <c r="CI1486" s="6"/>
      <c r="CJ1486" s="6"/>
      <c r="CK1486" s="123"/>
      <c r="CL1486" s="6"/>
      <c r="CM1486" s="6"/>
      <c r="CN1486" s="6"/>
      <c r="CO1486" s="138"/>
      <c r="CP1486" s="138"/>
      <c r="CQ1486" s="123"/>
      <c r="CR1486" s="6"/>
      <c r="CS1486" s="6"/>
      <c r="CT1486" s="139"/>
      <c r="CU1486" s="139"/>
      <c r="CV1486" s="76"/>
      <c r="CW1486" s="123"/>
      <c r="CX1486" s="6"/>
      <c r="DI1486" s="125"/>
      <c r="DJ1486" s="16"/>
      <c r="DM1486" s="16"/>
      <c r="DN1486" s="16"/>
      <c r="DO1486" s="125"/>
      <c r="DP1486" s="16"/>
      <c r="DQ1486" s="125"/>
      <c r="DZ1486" s="125"/>
      <c r="EA1486" s="142"/>
      <c r="EB1486" s="125"/>
      <c r="EC1486" s="16"/>
      <c r="ED1486" s="125"/>
      <c r="EE1486" s="125"/>
      <c r="EF1486" s="16"/>
      <c r="EG1486" s="125"/>
      <c r="EQ1486" s="125"/>
      <c r="ER1486" s="16"/>
      <c r="ES1486" s="123"/>
      <c r="ET1486" s="19"/>
      <c r="EU1486" s="139"/>
      <c r="EV1486" s="139"/>
      <c r="EW1486" s="123"/>
      <c r="EX1486" s="123"/>
      <c r="EY1486" s="123"/>
      <c r="EZ1486" s="123"/>
      <c r="FA1486" s="123"/>
      <c r="FB1486" s="123"/>
      <c r="FC1486" s="6"/>
      <c r="FD1486" s="123"/>
      <c r="FE1486" s="6"/>
      <c r="FF1486" s="123"/>
      <c r="FG1486" s="6"/>
      <c r="FH1486" s="6"/>
      <c r="FI1486" s="6"/>
      <c r="FJ1486" s="6"/>
      <c r="FK1486" s="123"/>
      <c r="FL1486" s="6"/>
      <c r="FM1486" s="6"/>
      <c r="FN1486" s="6"/>
      <c r="FO1486" s="138"/>
      <c r="FP1486" s="138"/>
      <c r="FQ1486" s="123"/>
      <c r="FR1486" s="6"/>
      <c r="FS1486" s="6"/>
      <c r="FT1486" s="139"/>
      <c r="FU1486" s="139"/>
      <c r="FV1486" s="76"/>
      <c r="FW1486" s="123"/>
      <c r="FX1486" s="6"/>
    </row>
    <row r="1487" spans="35:180">
      <c r="AI1487" s="125"/>
      <c r="AJ1487" s="16"/>
      <c r="AM1487" s="16"/>
      <c r="AN1487" s="16"/>
      <c r="AO1487" s="125"/>
      <c r="AP1487" s="16"/>
      <c r="AQ1487" s="125"/>
      <c r="AZ1487" s="125"/>
      <c r="BA1487" s="142"/>
      <c r="BB1487" s="125"/>
      <c r="BC1487" s="16"/>
      <c r="BD1487" s="125"/>
      <c r="BE1487" s="125"/>
      <c r="BF1487" s="16"/>
      <c r="BG1487" s="125"/>
      <c r="BQ1487" s="125"/>
      <c r="BR1487" s="16"/>
      <c r="BS1487" s="123"/>
      <c r="BT1487" s="19"/>
      <c r="BU1487" s="139"/>
      <c r="BV1487" s="139"/>
      <c r="BW1487" s="123"/>
      <c r="BX1487" s="123"/>
      <c r="BY1487" s="123"/>
      <c r="BZ1487" s="123"/>
      <c r="CA1487" s="123"/>
      <c r="CB1487" s="123"/>
      <c r="CC1487" s="6"/>
      <c r="CD1487" s="123"/>
      <c r="CE1487" s="6"/>
      <c r="CF1487" s="123"/>
      <c r="CG1487" s="6"/>
      <c r="CH1487" s="6"/>
      <c r="CI1487" s="6"/>
      <c r="CJ1487" s="6"/>
      <c r="CK1487" s="123"/>
      <c r="CL1487" s="6"/>
      <c r="CM1487" s="6"/>
      <c r="CN1487" s="6"/>
      <c r="CO1487" s="138"/>
      <c r="CP1487" s="138"/>
      <c r="CQ1487" s="123"/>
      <c r="CR1487" s="6"/>
      <c r="CS1487" s="6"/>
      <c r="CT1487" s="139"/>
      <c r="CU1487" s="139"/>
      <c r="CV1487" s="76"/>
      <c r="CW1487" s="123"/>
      <c r="CX1487" s="6"/>
      <c r="DI1487" s="125"/>
      <c r="DJ1487" s="16"/>
      <c r="DM1487" s="16"/>
      <c r="DN1487" s="16"/>
      <c r="DO1487" s="125"/>
      <c r="DP1487" s="16"/>
      <c r="DQ1487" s="125"/>
      <c r="DZ1487" s="125"/>
      <c r="EA1487" s="142"/>
      <c r="EB1487" s="125"/>
      <c r="EC1487" s="16"/>
      <c r="ED1487" s="125"/>
      <c r="EE1487" s="125"/>
      <c r="EF1487" s="16"/>
      <c r="EG1487" s="125"/>
      <c r="EQ1487" s="125"/>
      <c r="ER1487" s="16"/>
      <c r="ES1487" s="123"/>
      <c r="ET1487" s="19"/>
      <c r="EU1487" s="139"/>
      <c r="EV1487" s="139"/>
      <c r="EW1487" s="123"/>
      <c r="EX1487" s="123"/>
      <c r="EY1487" s="123"/>
      <c r="EZ1487" s="123"/>
      <c r="FA1487" s="123"/>
      <c r="FB1487" s="123"/>
      <c r="FC1487" s="6"/>
      <c r="FD1487" s="123"/>
      <c r="FE1487" s="6"/>
      <c r="FF1487" s="123"/>
      <c r="FG1487" s="6"/>
      <c r="FH1487" s="6"/>
      <c r="FI1487" s="6"/>
      <c r="FJ1487" s="6"/>
      <c r="FK1487" s="123"/>
      <c r="FL1487" s="6"/>
      <c r="FM1487" s="6"/>
      <c r="FN1487" s="6"/>
      <c r="FO1487" s="138"/>
      <c r="FP1487" s="138"/>
      <c r="FQ1487" s="123"/>
      <c r="FR1487" s="6"/>
      <c r="FS1487" s="6"/>
      <c r="FT1487" s="139"/>
      <c r="FU1487" s="139"/>
      <c r="FV1487" s="76"/>
      <c r="FW1487" s="123"/>
      <c r="FX1487" s="6"/>
    </row>
    <row r="1488" spans="35:180">
      <c r="AI1488" s="125"/>
      <c r="AJ1488" s="16"/>
      <c r="AM1488" s="16"/>
      <c r="AN1488" s="16"/>
      <c r="AO1488" s="125"/>
      <c r="AP1488" s="16"/>
      <c r="AQ1488" s="125"/>
      <c r="AZ1488" s="125"/>
      <c r="BA1488" s="142"/>
      <c r="BB1488" s="125"/>
      <c r="BC1488" s="16"/>
      <c r="BD1488" s="125"/>
      <c r="BE1488" s="125"/>
      <c r="BF1488" s="16"/>
      <c r="BG1488" s="125"/>
      <c r="BQ1488" s="125"/>
      <c r="BR1488" s="16"/>
      <c r="BS1488" s="123"/>
      <c r="BT1488" s="19"/>
      <c r="BU1488" s="139"/>
      <c r="BV1488" s="139"/>
      <c r="BW1488" s="123"/>
      <c r="BX1488" s="123"/>
      <c r="BY1488" s="123"/>
      <c r="BZ1488" s="123"/>
      <c r="CA1488" s="123"/>
      <c r="CB1488" s="123"/>
      <c r="CC1488" s="6"/>
      <c r="CD1488" s="123"/>
      <c r="CE1488" s="6"/>
      <c r="CF1488" s="123"/>
      <c r="CG1488" s="6"/>
      <c r="CH1488" s="6"/>
      <c r="CI1488" s="6"/>
      <c r="CJ1488" s="6"/>
      <c r="CK1488" s="123"/>
      <c r="CL1488" s="6"/>
      <c r="CM1488" s="6"/>
      <c r="CN1488" s="6"/>
      <c r="CO1488" s="138"/>
      <c r="CP1488" s="138"/>
      <c r="CQ1488" s="123"/>
      <c r="CR1488" s="6"/>
      <c r="CS1488" s="6"/>
      <c r="CT1488" s="139"/>
      <c r="CU1488" s="139"/>
      <c r="CV1488" s="76"/>
      <c r="CW1488" s="123"/>
      <c r="CX1488" s="6"/>
      <c r="DI1488" s="125"/>
      <c r="DJ1488" s="16"/>
      <c r="DM1488" s="16"/>
      <c r="DN1488" s="16"/>
      <c r="DO1488" s="125"/>
      <c r="DP1488" s="16"/>
      <c r="DQ1488" s="125"/>
      <c r="DZ1488" s="125"/>
      <c r="EA1488" s="142"/>
      <c r="EB1488" s="125"/>
      <c r="EC1488" s="16"/>
      <c r="ED1488" s="125"/>
      <c r="EE1488" s="125"/>
      <c r="EF1488" s="16"/>
      <c r="EG1488" s="125"/>
      <c r="EQ1488" s="125"/>
      <c r="ER1488" s="16"/>
      <c r="ES1488" s="123"/>
      <c r="ET1488" s="19"/>
      <c r="EU1488" s="139"/>
      <c r="EV1488" s="139"/>
      <c r="EW1488" s="123"/>
      <c r="EX1488" s="123"/>
      <c r="EY1488" s="123"/>
      <c r="EZ1488" s="123"/>
      <c r="FA1488" s="123"/>
      <c r="FB1488" s="123"/>
      <c r="FC1488" s="6"/>
      <c r="FD1488" s="123"/>
      <c r="FE1488" s="6"/>
      <c r="FF1488" s="123"/>
      <c r="FG1488" s="6"/>
      <c r="FH1488" s="6"/>
      <c r="FI1488" s="6"/>
      <c r="FJ1488" s="6"/>
      <c r="FK1488" s="123"/>
      <c r="FL1488" s="6"/>
      <c r="FM1488" s="6"/>
      <c r="FN1488" s="6"/>
      <c r="FO1488" s="138"/>
      <c r="FP1488" s="138"/>
      <c r="FQ1488" s="123"/>
      <c r="FR1488" s="6"/>
      <c r="FS1488" s="6"/>
      <c r="FT1488" s="139"/>
      <c r="FU1488" s="139"/>
      <c r="FV1488" s="76"/>
      <c r="FW1488" s="123"/>
      <c r="FX1488" s="6"/>
    </row>
    <row r="1489" spans="35:180">
      <c r="AI1489" s="125"/>
      <c r="AJ1489" s="16"/>
      <c r="AM1489" s="16"/>
      <c r="AN1489" s="16"/>
      <c r="AO1489" s="125"/>
      <c r="AP1489" s="16"/>
      <c r="AQ1489" s="125"/>
      <c r="AZ1489" s="125"/>
      <c r="BA1489" s="142"/>
      <c r="BB1489" s="125"/>
      <c r="BC1489" s="16"/>
      <c r="BD1489" s="125"/>
      <c r="BE1489" s="125"/>
      <c r="BF1489" s="16"/>
      <c r="BG1489" s="125"/>
      <c r="BQ1489" s="125"/>
      <c r="BR1489" s="16"/>
      <c r="BS1489" s="123"/>
      <c r="BT1489" s="19"/>
      <c r="BU1489" s="139"/>
      <c r="BV1489" s="139"/>
      <c r="BW1489" s="123"/>
      <c r="BX1489" s="123"/>
      <c r="BY1489" s="123"/>
      <c r="BZ1489" s="123"/>
      <c r="CA1489" s="123"/>
      <c r="CB1489" s="123"/>
      <c r="CC1489" s="6"/>
      <c r="CD1489" s="123"/>
      <c r="CE1489" s="6"/>
      <c r="CF1489" s="123"/>
      <c r="CG1489" s="6"/>
      <c r="CH1489" s="6"/>
      <c r="CI1489" s="6"/>
      <c r="CJ1489" s="6"/>
      <c r="CK1489" s="123"/>
      <c r="CL1489" s="6"/>
      <c r="CM1489" s="6"/>
      <c r="CN1489" s="6"/>
      <c r="CO1489" s="138"/>
      <c r="CP1489" s="138"/>
      <c r="CQ1489" s="123"/>
      <c r="CR1489" s="6"/>
      <c r="CS1489" s="6"/>
      <c r="CT1489" s="139"/>
      <c r="CU1489" s="139"/>
      <c r="CV1489" s="76"/>
      <c r="CW1489" s="123"/>
      <c r="CX1489" s="6"/>
      <c r="DI1489" s="125"/>
      <c r="DJ1489" s="16"/>
      <c r="DM1489" s="16"/>
      <c r="DN1489" s="16"/>
      <c r="DO1489" s="125"/>
      <c r="DP1489" s="16"/>
      <c r="DQ1489" s="125"/>
      <c r="DZ1489" s="125"/>
      <c r="EA1489" s="142"/>
      <c r="EB1489" s="125"/>
      <c r="EC1489" s="16"/>
      <c r="ED1489" s="125"/>
      <c r="EE1489" s="125"/>
      <c r="EF1489" s="16"/>
      <c r="EG1489" s="125"/>
      <c r="EQ1489" s="125"/>
      <c r="ER1489" s="16"/>
      <c r="ES1489" s="123"/>
      <c r="ET1489" s="19"/>
      <c r="EU1489" s="139"/>
      <c r="EV1489" s="139"/>
      <c r="EW1489" s="123"/>
      <c r="EX1489" s="123"/>
      <c r="EY1489" s="123"/>
      <c r="EZ1489" s="123"/>
      <c r="FA1489" s="123"/>
      <c r="FB1489" s="123"/>
      <c r="FC1489" s="6"/>
      <c r="FD1489" s="123"/>
      <c r="FE1489" s="6"/>
      <c r="FF1489" s="123"/>
      <c r="FG1489" s="6"/>
      <c r="FH1489" s="6"/>
      <c r="FI1489" s="6"/>
      <c r="FJ1489" s="6"/>
      <c r="FK1489" s="123"/>
      <c r="FL1489" s="6"/>
      <c r="FM1489" s="6"/>
      <c r="FN1489" s="6"/>
      <c r="FO1489" s="138"/>
      <c r="FP1489" s="138"/>
      <c r="FQ1489" s="123"/>
      <c r="FR1489" s="6"/>
      <c r="FS1489" s="6"/>
      <c r="FT1489" s="139"/>
      <c r="FU1489" s="139"/>
      <c r="FV1489" s="76"/>
      <c r="FW1489" s="123"/>
      <c r="FX1489" s="6"/>
    </row>
    <row r="1490" spans="35:180">
      <c r="AI1490" s="125"/>
      <c r="AJ1490" s="16"/>
      <c r="AM1490" s="16"/>
      <c r="AN1490" s="16"/>
      <c r="AO1490" s="125"/>
      <c r="AP1490" s="16"/>
      <c r="AQ1490" s="125"/>
      <c r="AZ1490" s="125"/>
      <c r="BA1490" s="142"/>
      <c r="BB1490" s="125"/>
      <c r="BC1490" s="16"/>
      <c r="BD1490" s="125"/>
      <c r="BE1490" s="125"/>
      <c r="BF1490" s="16"/>
      <c r="BG1490" s="125"/>
      <c r="BQ1490" s="125"/>
      <c r="BR1490" s="16"/>
      <c r="BS1490" s="123"/>
      <c r="BT1490" s="19"/>
      <c r="BU1490" s="139"/>
      <c r="BV1490" s="139"/>
      <c r="BW1490" s="123"/>
      <c r="BX1490" s="123"/>
      <c r="BY1490" s="123"/>
      <c r="BZ1490" s="123"/>
      <c r="CA1490" s="123"/>
      <c r="CB1490" s="123"/>
      <c r="CC1490" s="6"/>
      <c r="CD1490" s="123"/>
      <c r="CE1490" s="6"/>
      <c r="CF1490" s="123"/>
      <c r="CG1490" s="6"/>
      <c r="CH1490" s="6"/>
      <c r="CI1490" s="6"/>
      <c r="CJ1490" s="6"/>
      <c r="CK1490" s="123"/>
      <c r="CL1490" s="6"/>
      <c r="CM1490" s="6"/>
      <c r="CN1490" s="6"/>
      <c r="CO1490" s="138"/>
      <c r="CP1490" s="138"/>
      <c r="CQ1490" s="123"/>
      <c r="CR1490" s="6"/>
      <c r="CS1490" s="6"/>
      <c r="CT1490" s="139"/>
      <c r="CU1490" s="139"/>
      <c r="CV1490" s="76"/>
      <c r="CW1490" s="123"/>
      <c r="CX1490" s="6"/>
      <c r="DI1490" s="125"/>
      <c r="DJ1490" s="16"/>
      <c r="DM1490" s="16"/>
      <c r="DN1490" s="16"/>
      <c r="DO1490" s="125"/>
      <c r="DP1490" s="16"/>
      <c r="DQ1490" s="125"/>
      <c r="DZ1490" s="125"/>
      <c r="EA1490" s="142"/>
      <c r="EB1490" s="125"/>
      <c r="EC1490" s="16"/>
      <c r="ED1490" s="125"/>
      <c r="EE1490" s="125"/>
      <c r="EF1490" s="16"/>
      <c r="EG1490" s="125"/>
      <c r="EQ1490" s="125"/>
      <c r="ER1490" s="16"/>
      <c r="ES1490" s="123"/>
      <c r="ET1490" s="19"/>
      <c r="EU1490" s="139"/>
      <c r="EV1490" s="139"/>
      <c r="EW1490" s="123"/>
      <c r="EX1490" s="123"/>
      <c r="EY1490" s="123"/>
      <c r="EZ1490" s="123"/>
      <c r="FA1490" s="123"/>
      <c r="FB1490" s="123"/>
      <c r="FC1490" s="6"/>
      <c r="FD1490" s="123"/>
      <c r="FE1490" s="6"/>
      <c r="FF1490" s="123"/>
      <c r="FG1490" s="6"/>
      <c r="FH1490" s="6"/>
      <c r="FI1490" s="6"/>
      <c r="FJ1490" s="6"/>
      <c r="FK1490" s="123"/>
      <c r="FL1490" s="6"/>
      <c r="FM1490" s="6"/>
      <c r="FN1490" s="6"/>
      <c r="FO1490" s="138"/>
      <c r="FP1490" s="138"/>
      <c r="FQ1490" s="123"/>
      <c r="FR1490" s="6"/>
      <c r="FS1490" s="6"/>
      <c r="FT1490" s="139"/>
      <c r="FU1490" s="139"/>
      <c r="FV1490" s="76"/>
      <c r="FW1490" s="123"/>
      <c r="FX1490" s="6"/>
    </row>
    <row r="1491" spans="35:180">
      <c r="AI1491" s="125"/>
      <c r="AJ1491" s="16"/>
      <c r="AM1491" s="16"/>
      <c r="AN1491" s="16"/>
      <c r="AO1491" s="125"/>
      <c r="AP1491" s="16"/>
      <c r="AQ1491" s="125"/>
      <c r="AZ1491" s="125"/>
      <c r="BA1491" s="142"/>
      <c r="BB1491" s="125"/>
      <c r="BC1491" s="16"/>
      <c r="BD1491" s="125"/>
      <c r="BE1491" s="125"/>
      <c r="BF1491" s="16"/>
      <c r="BG1491" s="125"/>
      <c r="BQ1491" s="125"/>
      <c r="BR1491" s="16"/>
      <c r="BS1491" s="123"/>
      <c r="BT1491" s="19"/>
      <c r="BU1491" s="139"/>
      <c r="BV1491" s="139"/>
      <c r="BW1491" s="123"/>
      <c r="BX1491" s="123"/>
      <c r="BY1491" s="123"/>
      <c r="BZ1491" s="123"/>
      <c r="CA1491" s="123"/>
      <c r="CB1491" s="123"/>
      <c r="CC1491" s="6"/>
      <c r="CD1491" s="123"/>
      <c r="CE1491" s="6"/>
      <c r="CF1491" s="123"/>
      <c r="CG1491" s="6"/>
      <c r="CH1491" s="6"/>
      <c r="CI1491" s="6"/>
      <c r="CJ1491" s="6"/>
      <c r="CK1491" s="123"/>
      <c r="CL1491" s="6"/>
      <c r="CM1491" s="6"/>
      <c r="CN1491" s="6"/>
      <c r="CO1491" s="138"/>
      <c r="CP1491" s="138"/>
      <c r="CQ1491" s="123"/>
      <c r="CR1491" s="6"/>
      <c r="CS1491" s="6"/>
      <c r="CT1491" s="139"/>
      <c r="CU1491" s="139"/>
      <c r="CV1491" s="76"/>
      <c r="CW1491" s="123"/>
      <c r="CX1491" s="6"/>
      <c r="DI1491" s="125"/>
      <c r="DJ1491" s="16"/>
      <c r="DM1491" s="16"/>
      <c r="DN1491" s="16"/>
      <c r="DO1491" s="125"/>
      <c r="DP1491" s="16"/>
      <c r="DQ1491" s="125"/>
      <c r="DZ1491" s="125"/>
      <c r="EA1491" s="142"/>
      <c r="EB1491" s="125"/>
      <c r="EC1491" s="16"/>
      <c r="ED1491" s="125"/>
      <c r="EE1491" s="125"/>
      <c r="EF1491" s="16"/>
      <c r="EG1491" s="125"/>
      <c r="EQ1491" s="125"/>
      <c r="ER1491" s="16"/>
      <c r="ES1491" s="123"/>
      <c r="ET1491" s="19"/>
      <c r="EU1491" s="139"/>
      <c r="EV1491" s="139"/>
      <c r="EW1491" s="123"/>
      <c r="EX1491" s="123"/>
      <c r="EY1491" s="123"/>
      <c r="EZ1491" s="123"/>
      <c r="FA1491" s="123"/>
      <c r="FB1491" s="123"/>
      <c r="FC1491" s="6"/>
      <c r="FD1491" s="123"/>
      <c r="FE1491" s="6"/>
      <c r="FF1491" s="123"/>
      <c r="FG1491" s="6"/>
      <c r="FH1491" s="6"/>
      <c r="FI1491" s="6"/>
      <c r="FJ1491" s="6"/>
      <c r="FK1491" s="123"/>
      <c r="FL1491" s="6"/>
      <c r="FM1491" s="6"/>
      <c r="FN1491" s="6"/>
      <c r="FO1491" s="138"/>
      <c r="FP1491" s="138"/>
      <c r="FQ1491" s="123"/>
      <c r="FR1491" s="6"/>
      <c r="FS1491" s="6"/>
      <c r="FT1491" s="139"/>
      <c r="FU1491" s="139"/>
      <c r="FV1491" s="76"/>
      <c r="FW1491" s="123"/>
      <c r="FX1491" s="6"/>
    </row>
    <row r="1492" spans="35:180">
      <c r="AI1492" s="125"/>
      <c r="AJ1492" s="16"/>
      <c r="AM1492" s="16"/>
      <c r="AN1492" s="16"/>
      <c r="AO1492" s="125"/>
      <c r="AP1492" s="16"/>
      <c r="AQ1492" s="125"/>
      <c r="AZ1492" s="125"/>
      <c r="BA1492" s="142"/>
      <c r="BB1492" s="125"/>
      <c r="BC1492" s="16"/>
      <c r="BD1492" s="125"/>
      <c r="BE1492" s="125"/>
      <c r="BF1492" s="16"/>
      <c r="BG1492" s="125"/>
      <c r="BQ1492" s="125"/>
      <c r="BR1492" s="16"/>
      <c r="BS1492" s="123"/>
      <c r="BT1492" s="19"/>
      <c r="BU1492" s="139"/>
      <c r="BV1492" s="139"/>
      <c r="BW1492" s="123"/>
      <c r="BX1492" s="123"/>
      <c r="BY1492" s="123"/>
      <c r="BZ1492" s="123"/>
      <c r="CA1492" s="123"/>
      <c r="CB1492" s="123"/>
      <c r="CC1492" s="6"/>
      <c r="CD1492" s="123"/>
      <c r="CE1492" s="6"/>
      <c r="CF1492" s="123"/>
      <c r="CG1492" s="6"/>
      <c r="CH1492" s="6"/>
      <c r="CI1492" s="6"/>
      <c r="CJ1492" s="6"/>
      <c r="CK1492" s="123"/>
      <c r="CL1492" s="6"/>
      <c r="CM1492" s="6"/>
      <c r="CN1492" s="6"/>
      <c r="CO1492" s="138"/>
      <c r="CP1492" s="138"/>
      <c r="CQ1492" s="123"/>
      <c r="CR1492" s="6"/>
      <c r="CS1492" s="6"/>
      <c r="CT1492" s="139"/>
      <c r="CU1492" s="139"/>
      <c r="CV1492" s="76"/>
      <c r="CW1492" s="123"/>
      <c r="CX1492" s="6"/>
      <c r="DI1492" s="125"/>
      <c r="DJ1492" s="16"/>
      <c r="DM1492" s="16"/>
      <c r="DN1492" s="16"/>
      <c r="DO1492" s="125"/>
      <c r="DP1492" s="16"/>
      <c r="DQ1492" s="125"/>
      <c r="DZ1492" s="125"/>
      <c r="EA1492" s="142"/>
      <c r="EB1492" s="125"/>
      <c r="EC1492" s="16"/>
      <c r="ED1492" s="125"/>
      <c r="EE1492" s="125"/>
      <c r="EF1492" s="16"/>
      <c r="EG1492" s="125"/>
      <c r="EQ1492" s="125"/>
      <c r="ER1492" s="16"/>
      <c r="ES1492" s="123"/>
      <c r="ET1492" s="19"/>
      <c r="EU1492" s="139"/>
      <c r="EV1492" s="139"/>
      <c r="EW1492" s="123"/>
      <c r="EX1492" s="123"/>
      <c r="EY1492" s="123"/>
      <c r="EZ1492" s="123"/>
      <c r="FA1492" s="123"/>
      <c r="FB1492" s="123"/>
      <c r="FC1492" s="6"/>
      <c r="FD1492" s="123"/>
      <c r="FE1492" s="6"/>
      <c r="FF1492" s="123"/>
      <c r="FG1492" s="6"/>
      <c r="FH1492" s="6"/>
      <c r="FI1492" s="6"/>
      <c r="FJ1492" s="6"/>
      <c r="FK1492" s="123"/>
      <c r="FL1492" s="6"/>
      <c r="FM1492" s="6"/>
      <c r="FN1492" s="6"/>
      <c r="FO1492" s="138"/>
      <c r="FP1492" s="138"/>
      <c r="FQ1492" s="123"/>
      <c r="FR1492" s="6"/>
      <c r="FS1492" s="6"/>
      <c r="FT1492" s="139"/>
      <c r="FU1492" s="139"/>
      <c r="FV1492" s="76"/>
      <c r="FW1492" s="123"/>
      <c r="FX1492" s="6"/>
    </row>
    <row r="1493" spans="35:180">
      <c r="AI1493" s="125"/>
      <c r="AJ1493" s="16"/>
      <c r="AM1493" s="16"/>
      <c r="AN1493" s="16"/>
      <c r="AO1493" s="125"/>
      <c r="AP1493" s="16"/>
      <c r="AQ1493" s="125"/>
      <c r="AZ1493" s="125"/>
      <c r="BA1493" s="142"/>
      <c r="BB1493" s="125"/>
      <c r="BC1493" s="16"/>
      <c r="BD1493" s="125"/>
      <c r="BE1493" s="125"/>
      <c r="BF1493" s="16"/>
      <c r="BG1493" s="125"/>
      <c r="BQ1493" s="125"/>
      <c r="BR1493" s="16"/>
      <c r="BS1493" s="123"/>
      <c r="BT1493" s="19"/>
      <c r="BU1493" s="139"/>
      <c r="BV1493" s="139"/>
      <c r="BW1493" s="123"/>
      <c r="BX1493" s="123"/>
      <c r="BY1493" s="123"/>
      <c r="BZ1493" s="123"/>
      <c r="CA1493" s="123"/>
      <c r="CB1493" s="123"/>
      <c r="CC1493" s="6"/>
      <c r="CD1493" s="123"/>
      <c r="CE1493" s="6"/>
      <c r="CF1493" s="123"/>
      <c r="CG1493" s="6"/>
      <c r="CH1493" s="6"/>
      <c r="CI1493" s="6"/>
      <c r="CJ1493" s="6"/>
      <c r="CK1493" s="123"/>
      <c r="CL1493" s="6"/>
      <c r="CM1493" s="6"/>
      <c r="CN1493" s="6"/>
      <c r="CO1493" s="138"/>
      <c r="CP1493" s="138"/>
      <c r="CQ1493" s="123"/>
      <c r="CR1493" s="6"/>
      <c r="CS1493" s="6"/>
      <c r="CT1493" s="139"/>
      <c r="CU1493" s="139"/>
      <c r="CV1493" s="76"/>
      <c r="CW1493" s="123"/>
      <c r="CX1493" s="6"/>
      <c r="DI1493" s="125"/>
      <c r="DJ1493" s="16"/>
      <c r="DM1493" s="16"/>
      <c r="DN1493" s="16"/>
      <c r="DO1493" s="125"/>
      <c r="DP1493" s="16"/>
      <c r="DQ1493" s="125"/>
      <c r="DZ1493" s="125"/>
      <c r="EA1493" s="142"/>
      <c r="EB1493" s="125"/>
      <c r="EC1493" s="16"/>
      <c r="ED1493" s="125"/>
      <c r="EE1493" s="125"/>
      <c r="EF1493" s="16"/>
      <c r="EG1493" s="125"/>
      <c r="EQ1493" s="125"/>
      <c r="ER1493" s="16"/>
      <c r="ES1493" s="123"/>
      <c r="ET1493" s="19"/>
      <c r="EU1493" s="139"/>
      <c r="EV1493" s="139"/>
      <c r="EW1493" s="123"/>
      <c r="EX1493" s="123"/>
      <c r="EY1493" s="123"/>
      <c r="EZ1493" s="123"/>
      <c r="FA1493" s="123"/>
      <c r="FB1493" s="123"/>
      <c r="FC1493" s="6"/>
      <c r="FD1493" s="123"/>
      <c r="FE1493" s="6"/>
      <c r="FF1493" s="123"/>
      <c r="FG1493" s="6"/>
      <c r="FH1493" s="6"/>
      <c r="FI1493" s="6"/>
      <c r="FJ1493" s="6"/>
      <c r="FK1493" s="123"/>
      <c r="FL1493" s="6"/>
      <c r="FM1493" s="6"/>
      <c r="FN1493" s="6"/>
      <c r="FO1493" s="138"/>
      <c r="FP1493" s="138"/>
      <c r="FQ1493" s="123"/>
      <c r="FR1493" s="6"/>
      <c r="FS1493" s="6"/>
      <c r="FT1493" s="139"/>
      <c r="FU1493" s="139"/>
      <c r="FV1493" s="76"/>
      <c r="FW1493" s="123"/>
      <c r="FX1493" s="6"/>
    </row>
    <row r="1494" spans="35:180">
      <c r="AI1494" s="125"/>
      <c r="AJ1494" s="16"/>
      <c r="AM1494" s="16"/>
      <c r="AN1494" s="16"/>
      <c r="AO1494" s="125"/>
      <c r="AP1494" s="16"/>
      <c r="AQ1494" s="125"/>
      <c r="AZ1494" s="125"/>
      <c r="BA1494" s="142"/>
      <c r="BB1494" s="125"/>
      <c r="BC1494" s="16"/>
      <c r="BD1494" s="125"/>
      <c r="BE1494" s="125"/>
      <c r="BF1494" s="16"/>
      <c r="BG1494" s="125"/>
      <c r="BQ1494" s="125"/>
      <c r="BR1494" s="16"/>
      <c r="BS1494" s="123"/>
      <c r="BT1494" s="19"/>
      <c r="BU1494" s="139"/>
      <c r="BV1494" s="139"/>
      <c r="BW1494" s="123"/>
      <c r="BX1494" s="123"/>
      <c r="BY1494" s="123"/>
      <c r="BZ1494" s="123"/>
      <c r="CA1494" s="123"/>
      <c r="CB1494" s="123"/>
      <c r="CC1494" s="6"/>
      <c r="CD1494" s="123"/>
      <c r="CE1494" s="6"/>
      <c r="CF1494" s="123"/>
      <c r="CG1494" s="6"/>
      <c r="CH1494" s="6"/>
      <c r="CI1494" s="6"/>
      <c r="CJ1494" s="6"/>
      <c r="CK1494" s="123"/>
      <c r="CL1494" s="6"/>
      <c r="CM1494" s="6"/>
      <c r="CN1494" s="6"/>
      <c r="CO1494" s="138"/>
      <c r="CP1494" s="138"/>
      <c r="CQ1494" s="123"/>
      <c r="CR1494" s="6"/>
      <c r="CS1494" s="6"/>
      <c r="CT1494" s="139"/>
      <c r="CU1494" s="139"/>
      <c r="CV1494" s="76"/>
      <c r="CW1494" s="123"/>
      <c r="CX1494" s="6"/>
      <c r="DI1494" s="125"/>
      <c r="DJ1494" s="16"/>
      <c r="DM1494" s="16"/>
      <c r="DN1494" s="16"/>
      <c r="DO1494" s="125"/>
      <c r="DP1494" s="16"/>
      <c r="DQ1494" s="125"/>
      <c r="DZ1494" s="125"/>
      <c r="EA1494" s="142"/>
      <c r="EB1494" s="125"/>
      <c r="EC1494" s="16"/>
      <c r="ED1494" s="125"/>
      <c r="EE1494" s="125"/>
      <c r="EF1494" s="16"/>
      <c r="EG1494" s="125"/>
      <c r="EQ1494" s="125"/>
      <c r="ER1494" s="16"/>
      <c r="ES1494" s="123"/>
      <c r="ET1494" s="19"/>
      <c r="EU1494" s="139"/>
      <c r="EV1494" s="139"/>
      <c r="EW1494" s="123"/>
      <c r="EX1494" s="123"/>
      <c r="EY1494" s="123"/>
      <c r="EZ1494" s="123"/>
      <c r="FA1494" s="123"/>
      <c r="FB1494" s="123"/>
      <c r="FC1494" s="6"/>
      <c r="FD1494" s="123"/>
      <c r="FE1494" s="6"/>
      <c r="FF1494" s="123"/>
      <c r="FG1494" s="6"/>
      <c r="FH1494" s="6"/>
      <c r="FI1494" s="6"/>
      <c r="FJ1494" s="6"/>
      <c r="FK1494" s="123"/>
      <c r="FL1494" s="6"/>
      <c r="FM1494" s="6"/>
      <c r="FN1494" s="6"/>
      <c r="FO1494" s="138"/>
      <c r="FP1494" s="138"/>
      <c r="FQ1494" s="123"/>
      <c r="FR1494" s="6"/>
      <c r="FS1494" s="6"/>
      <c r="FT1494" s="139"/>
      <c r="FU1494" s="139"/>
      <c r="FV1494" s="76"/>
      <c r="FW1494" s="123"/>
      <c r="FX1494" s="6"/>
    </row>
    <row r="1495" spans="35:180">
      <c r="AI1495" s="125"/>
      <c r="AJ1495" s="16"/>
      <c r="AM1495" s="16"/>
      <c r="AN1495" s="16"/>
      <c r="AO1495" s="125"/>
      <c r="AP1495" s="16"/>
      <c r="AQ1495" s="125"/>
      <c r="AZ1495" s="125"/>
      <c r="BA1495" s="142"/>
      <c r="BB1495" s="125"/>
      <c r="BC1495" s="16"/>
      <c r="BD1495" s="125"/>
      <c r="BE1495" s="125"/>
      <c r="BF1495" s="16"/>
      <c r="BG1495" s="125"/>
      <c r="BQ1495" s="125"/>
      <c r="BR1495" s="16"/>
      <c r="BS1495" s="123"/>
      <c r="BT1495" s="19"/>
      <c r="BU1495" s="139"/>
      <c r="BV1495" s="139"/>
      <c r="BW1495" s="123"/>
      <c r="BX1495" s="123"/>
      <c r="BY1495" s="123"/>
      <c r="BZ1495" s="123"/>
      <c r="CA1495" s="123"/>
      <c r="CB1495" s="123"/>
      <c r="CC1495" s="6"/>
      <c r="CD1495" s="123"/>
      <c r="CE1495" s="6"/>
      <c r="CF1495" s="123"/>
      <c r="CG1495" s="6"/>
      <c r="CH1495" s="6"/>
      <c r="CI1495" s="6"/>
      <c r="CJ1495" s="6"/>
      <c r="CK1495" s="123"/>
      <c r="CL1495" s="6"/>
      <c r="CM1495" s="6"/>
      <c r="CN1495" s="6"/>
      <c r="CO1495" s="138"/>
      <c r="CP1495" s="138"/>
      <c r="CQ1495" s="123"/>
      <c r="CR1495" s="6"/>
      <c r="CS1495" s="6"/>
      <c r="CT1495" s="139"/>
      <c r="CU1495" s="139"/>
      <c r="CV1495" s="76"/>
      <c r="CW1495" s="123"/>
      <c r="CX1495" s="6"/>
      <c r="DI1495" s="125"/>
      <c r="DJ1495" s="16"/>
      <c r="DM1495" s="16"/>
      <c r="DN1495" s="16"/>
      <c r="DO1495" s="125"/>
      <c r="DP1495" s="16"/>
      <c r="DQ1495" s="125"/>
      <c r="DZ1495" s="125"/>
      <c r="EA1495" s="142"/>
      <c r="EB1495" s="125"/>
      <c r="EC1495" s="16"/>
      <c r="ED1495" s="125"/>
      <c r="EE1495" s="125"/>
      <c r="EF1495" s="16"/>
      <c r="EG1495" s="125"/>
      <c r="EQ1495" s="125"/>
      <c r="ER1495" s="16"/>
      <c r="ES1495" s="123"/>
      <c r="ET1495" s="19"/>
      <c r="EU1495" s="139"/>
      <c r="EV1495" s="139"/>
      <c r="EW1495" s="123"/>
      <c r="EX1495" s="123"/>
      <c r="EY1495" s="123"/>
      <c r="EZ1495" s="123"/>
      <c r="FA1495" s="123"/>
      <c r="FB1495" s="123"/>
      <c r="FC1495" s="6"/>
      <c r="FD1495" s="123"/>
      <c r="FE1495" s="6"/>
      <c r="FF1495" s="123"/>
      <c r="FG1495" s="6"/>
      <c r="FH1495" s="6"/>
      <c r="FI1495" s="6"/>
      <c r="FJ1495" s="6"/>
      <c r="FK1495" s="123"/>
      <c r="FL1495" s="6"/>
      <c r="FM1495" s="6"/>
      <c r="FN1495" s="6"/>
      <c r="FO1495" s="138"/>
      <c r="FP1495" s="138"/>
      <c r="FQ1495" s="123"/>
      <c r="FR1495" s="6"/>
      <c r="FS1495" s="6"/>
      <c r="FT1495" s="139"/>
      <c r="FU1495" s="139"/>
      <c r="FV1495" s="76"/>
      <c r="FW1495" s="123"/>
      <c r="FX1495" s="6"/>
    </row>
    <row r="1496" spans="35:180">
      <c r="AI1496" s="125"/>
      <c r="AJ1496" s="16"/>
      <c r="AM1496" s="16"/>
      <c r="AN1496" s="16"/>
      <c r="AO1496" s="125"/>
      <c r="AP1496" s="16"/>
      <c r="AQ1496" s="125"/>
      <c r="AZ1496" s="125"/>
      <c r="BA1496" s="142"/>
      <c r="BB1496" s="125"/>
      <c r="BC1496" s="16"/>
      <c r="BD1496" s="125"/>
      <c r="BE1496" s="125"/>
      <c r="BF1496" s="16"/>
      <c r="BG1496" s="125"/>
      <c r="BQ1496" s="125"/>
      <c r="BR1496" s="16"/>
      <c r="BS1496" s="123"/>
      <c r="BT1496" s="19"/>
      <c r="BU1496" s="139"/>
      <c r="BV1496" s="139"/>
      <c r="BW1496" s="123"/>
      <c r="BX1496" s="123"/>
      <c r="BY1496" s="123"/>
      <c r="BZ1496" s="123"/>
      <c r="CA1496" s="123"/>
      <c r="CB1496" s="123"/>
      <c r="CC1496" s="6"/>
      <c r="CD1496" s="123"/>
      <c r="CE1496" s="6"/>
      <c r="CF1496" s="123"/>
      <c r="CG1496" s="6"/>
      <c r="CH1496" s="6"/>
      <c r="CI1496" s="6"/>
      <c r="CJ1496" s="6"/>
      <c r="CK1496" s="123"/>
      <c r="CL1496" s="6"/>
      <c r="CM1496" s="6"/>
      <c r="CN1496" s="6"/>
      <c r="CO1496" s="138"/>
      <c r="CP1496" s="138"/>
      <c r="CQ1496" s="123"/>
      <c r="CR1496" s="6"/>
      <c r="CS1496" s="6"/>
      <c r="CT1496" s="139"/>
      <c r="CU1496" s="139"/>
      <c r="CV1496" s="76"/>
      <c r="CW1496" s="123"/>
      <c r="CX1496" s="6"/>
      <c r="DI1496" s="125"/>
      <c r="DJ1496" s="16"/>
      <c r="DM1496" s="16"/>
      <c r="DN1496" s="16"/>
      <c r="DO1496" s="125"/>
      <c r="DP1496" s="16"/>
      <c r="DQ1496" s="125"/>
      <c r="DZ1496" s="125"/>
      <c r="EA1496" s="142"/>
      <c r="EB1496" s="125"/>
      <c r="EC1496" s="16"/>
      <c r="ED1496" s="125"/>
      <c r="EE1496" s="125"/>
      <c r="EF1496" s="16"/>
      <c r="EG1496" s="125"/>
      <c r="EQ1496" s="125"/>
      <c r="ER1496" s="16"/>
      <c r="ES1496" s="123"/>
      <c r="ET1496" s="19"/>
      <c r="EU1496" s="139"/>
      <c r="EV1496" s="139"/>
      <c r="EW1496" s="123"/>
      <c r="EX1496" s="123"/>
      <c r="EY1496" s="123"/>
      <c r="EZ1496" s="123"/>
      <c r="FA1496" s="123"/>
      <c r="FB1496" s="123"/>
      <c r="FC1496" s="6"/>
      <c r="FD1496" s="123"/>
      <c r="FE1496" s="6"/>
      <c r="FF1496" s="123"/>
      <c r="FG1496" s="6"/>
      <c r="FH1496" s="6"/>
      <c r="FI1496" s="6"/>
      <c r="FJ1496" s="6"/>
      <c r="FK1496" s="123"/>
      <c r="FL1496" s="6"/>
      <c r="FM1496" s="6"/>
      <c r="FN1496" s="6"/>
      <c r="FO1496" s="138"/>
      <c r="FP1496" s="138"/>
      <c r="FQ1496" s="123"/>
      <c r="FR1496" s="6"/>
      <c r="FS1496" s="6"/>
      <c r="FT1496" s="139"/>
      <c r="FU1496" s="139"/>
      <c r="FV1496" s="76"/>
      <c r="FW1496" s="123"/>
      <c r="FX1496" s="6"/>
    </row>
    <row r="1497" spans="35:180">
      <c r="AI1497" s="125"/>
      <c r="AJ1497" s="16"/>
      <c r="AM1497" s="16"/>
      <c r="AN1497" s="16"/>
      <c r="AO1497" s="125"/>
      <c r="AP1497" s="16"/>
      <c r="AQ1497" s="125"/>
      <c r="AZ1497" s="125"/>
      <c r="BA1497" s="142"/>
      <c r="BB1497" s="125"/>
      <c r="BC1497" s="16"/>
      <c r="BD1497" s="125"/>
      <c r="BE1497" s="125"/>
      <c r="BF1497" s="16"/>
      <c r="BG1497" s="125"/>
      <c r="BQ1497" s="125"/>
      <c r="BR1497" s="16"/>
      <c r="BS1497" s="123"/>
      <c r="BT1497" s="19"/>
      <c r="BU1497" s="139"/>
      <c r="BV1497" s="139"/>
      <c r="BW1497" s="123"/>
      <c r="BX1497" s="123"/>
      <c r="BY1497" s="123"/>
      <c r="BZ1497" s="123"/>
      <c r="CA1497" s="123"/>
      <c r="CB1497" s="123"/>
      <c r="CC1497" s="6"/>
      <c r="CD1497" s="123"/>
      <c r="CE1497" s="6"/>
      <c r="CF1497" s="123"/>
      <c r="CG1497" s="6"/>
      <c r="CH1497" s="6"/>
      <c r="CI1497" s="6"/>
      <c r="CJ1497" s="6"/>
      <c r="CK1497" s="123"/>
      <c r="CL1497" s="6"/>
      <c r="CM1497" s="6"/>
      <c r="CN1497" s="6"/>
      <c r="CO1497" s="138"/>
      <c r="CP1497" s="138"/>
      <c r="CQ1497" s="123"/>
      <c r="CR1497" s="6"/>
      <c r="CS1497" s="6"/>
      <c r="CT1497" s="139"/>
      <c r="CU1497" s="139"/>
      <c r="CV1497" s="76"/>
      <c r="CW1497" s="123"/>
      <c r="CX1497" s="6"/>
      <c r="DI1497" s="125"/>
      <c r="DJ1497" s="16"/>
      <c r="DM1497" s="16"/>
      <c r="DN1497" s="16"/>
      <c r="DO1497" s="125"/>
      <c r="DP1497" s="16"/>
      <c r="DQ1497" s="125"/>
      <c r="DZ1497" s="125"/>
      <c r="EA1497" s="142"/>
      <c r="EB1497" s="125"/>
      <c r="EC1497" s="16"/>
      <c r="ED1497" s="125"/>
      <c r="EE1497" s="125"/>
      <c r="EF1497" s="16"/>
      <c r="EG1497" s="125"/>
      <c r="EQ1497" s="125"/>
      <c r="ER1497" s="16"/>
      <c r="ES1497" s="123"/>
      <c r="ET1497" s="19"/>
      <c r="EU1497" s="139"/>
      <c r="EV1497" s="139"/>
      <c r="EW1497" s="123"/>
      <c r="EX1497" s="123"/>
      <c r="EY1497" s="123"/>
      <c r="EZ1497" s="123"/>
      <c r="FA1497" s="123"/>
      <c r="FB1497" s="123"/>
      <c r="FC1497" s="6"/>
      <c r="FD1497" s="123"/>
      <c r="FE1497" s="6"/>
      <c r="FF1497" s="123"/>
      <c r="FG1497" s="6"/>
      <c r="FH1497" s="6"/>
      <c r="FI1497" s="6"/>
      <c r="FJ1497" s="6"/>
      <c r="FK1497" s="123"/>
      <c r="FL1497" s="6"/>
      <c r="FM1497" s="6"/>
      <c r="FN1497" s="6"/>
      <c r="FO1497" s="138"/>
      <c r="FP1497" s="138"/>
      <c r="FQ1497" s="123"/>
      <c r="FR1497" s="6"/>
      <c r="FS1497" s="6"/>
      <c r="FT1497" s="139"/>
      <c r="FU1497" s="139"/>
      <c r="FV1497" s="76"/>
      <c r="FW1497" s="123"/>
      <c r="FX1497" s="6"/>
    </row>
    <row r="1498" spans="35:180">
      <c r="AI1498" s="125"/>
      <c r="AJ1498" s="16"/>
      <c r="AM1498" s="16"/>
      <c r="AN1498" s="16"/>
      <c r="AO1498" s="125"/>
      <c r="AP1498" s="16"/>
      <c r="AQ1498" s="125"/>
      <c r="AZ1498" s="125"/>
      <c r="BA1498" s="142"/>
      <c r="BB1498" s="125"/>
      <c r="BC1498" s="16"/>
      <c r="BD1498" s="125"/>
      <c r="BE1498" s="125"/>
      <c r="BF1498" s="16"/>
      <c r="BG1498" s="125"/>
      <c r="BQ1498" s="125"/>
      <c r="BR1498" s="16"/>
      <c r="BS1498" s="123"/>
      <c r="BT1498" s="19"/>
      <c r="BU1498" s="139"/>
      <c r="BV1498" s="139"/>
      <c r="BW1498" s="123"/>
      <c r="BX1498" s="123"/>
      <c r="BY1498" s="123"/>
      <c r="BZ1498" s="123"/>
      <c r="CA1498" s="123"/>
      <c r="CB1498" s="123"/>
      <c r="CC1498" s="6"/>
      <c r="CD1498" s="123"/>
      <c r="CE1498" s="6"/>
      <c r="CF1498" s="123"/>
      <c r="CG1498" s="6"/>
      <c r="CH1498" s="6"/>
      <c r="CI1498" s="6"/>
      <c r="CJ1498" s="6"/>
      <c r="CK1498" s="123"/>
      <c r="CL1498" s="6"/>
      <c r="CM1498" s="6"/>
      <c r="CN1498" s="6"/>
      <c r="CO1498" s="138"/>
      <c r="CP1498" s="138"/>
      <c r="CQ1498" s="123"/>
      <c r="CR1498" s="6"/>
      <c r="CS1498" s="6"/>
      <c r="CT1498" s="139"/>
      <c r="CU1498" s="139"/>
      <c r="CV1498" s="76"/>
      <c r="CW1498" s="123"/>
      <c r="CX1498" s="6"/>
      <c r="DI1498" s="125"/>
      <c r="DJ1498" s="16"/>
      <c r="DM1498" s="16"/>
      <c r="DN1498" s="16"/>
      <c r="DO1498" s="125"/>
      <c r="DP1498" s="16"/>
      <c r="DQ1498" s="125"/>
      <c r="DZ1498" s="125"/>
      <c r="EA1498" s="142"/>
      <c r="EB1498" s="125"/>
      <c r="EC1498" s="16"/>
      <c r="ED1498" s="125"/>
      <c r="EE1498" s="125"/>
      <c r="EF1498" s="16"/>
      <c r="EG1498" s="125"/>
      <c r="EQ1498" s="125"/>
      <c r="ER1498" s="16"/>
      <c r="ES1498" s="123"/>
      <c r="ET1498" s="19"/>
      <c r="EU1498" s="139"/>
      <c r="EV1498" s="139"/>
      <c r="EW1498" s="123"/>
      <c r="EX1498" s="123"/>
      <c r="EY1498" s="123"/>
      <c r="EZ1498" s="123"/>
      <c r="FA1498" s="123"/>
      <c r="FB1498" s="123"/>
      <c r="FC1498" s="6"/>
      <c r="FD1498" s="123"/>
      <c r="FE1498" s="6"/>
      <c r="FF1498" s="123"/>
      <c r="FG1498" s="6"/>
      <c r="FH1498" s="6"/>
      <c r="FI1498" s="6"/>
      <c r="FJ1498" s="6"/>
      <c r="FK1498" s="123"/>
      <c r="FL1498" s="6"/>
      <c r="FM1498" s="6"/>
      <c r="FN1498" s="6"/>
      <c r="FO1498" s="138"/>
      <c r="FP1498" s="138"/>
      <c r="FQ1498" s="123"/>
      <c r="FR1498" s="6"/>
      <c r="FS1498" s="6"/>
      <c r="FT1498" s="139"/>
      <c r="FU1498" s="139"/>
      <c r="FV1498" s="76"/>
      <c r="FW1498" s="123"/>
      <c r="FX1498" s="6"/>
    </row>
    <row r="1499" spans="35:180">
      <c r="AI1499" s="125"/>
      <c r="AJ1499" s="16"/>
      <c r="AM1499" s="16"/>
      <c r="AN1499" s="16"/>
      <c r="AO1499" s="125"/>
      <c r="AP1499" s="16"/>
      <c r="AQ1499" s="125"/>
      <c r="AZ1499" s="125"/>
      <c r="BA1499" s="142"/>
      <c r="BB1499" s="125"/>
      <c r="BC1499" s="16"/>
      <c r="BD1499" s="125"/>
      <c r="BE1499" s="125"/>
      <c r="BF1499" s="16"/>
      <c r="BG1499" s="125"/>
      <c r="BQ1499" s="125"/>
      <c r="BR1499" s="16"/>
      <c r="BS1499" s="123"/>
      <c r="BT1499" s="19"/>
      <c r="BU1499" s="139"/>
      <c r="BV1499" s="139"/>
      <c r="BW1499" s="123"/>
      <c r="BX1499" s="123"/>
      <c r="BY1499" s="123"/>
      <c r="BZ1499" s="123"/>
      <c r="CA1499" s="123"/>
      <c r="CB1499" s="123"/>
      <c r="CC1499" s="6"/>
      <c r="CD1499" s="123"/>
      <c r="CE1499" s="6"/>
      <c r="CF1499" s="123"/>
      <c r="CG1499" s="6"/>
      <c r="CH1499" s="6"/>
      <c r="CI1499" s="6"/>
      <c r="CJ1499" s="6"/>
      <c r="CK1499" s="123"/>
      <c r="CL1499" s="6"/>
      <c r="CM1499" s="6"/>
      <c r="CN1499" s="6"/>
      <c r="CO1499" s="138"/>
      <c r="CP1499" s="138"/>
      <c r="CQ1499" s="123"/>
      <c r="CR1499" s="6"/>
      <c r="CS1499" s="6"/>
      <c r="CT1499" s="139"/>
      <c r="CU1499" s="139"/>
      <c r="CV1499" s="76"/>
      <c r="CW1499" s="123"/>
      <c r="CX1499" s="6"/>
      <c r="DI1499" s="125"/>
      <c r="DJ1499" s="16"/>
      <c r="DM1499" s="16"/>
      <c r="DN1499" s="16"/>
      <c r="DO1499" s="125"/>
      <c r="DP1499" s="16"/>
      <c r="DQ1499" s="125"/>
      <c r="DZ1499" s="125"/>
      <c r="EA1499" s="142"/>
      <c r="EB1499" s="125"/>
      <c r="EC1499" s="16"/>
      <c r="ED1499" s="125"/>
      <c r="EE1499" s="125"/>
      <c r="EF1499" s="16"/>
      <c r="EG1499" s="125"/>
      <c r="EQ1499" s="125"/>
      <c r="ER1499" s="16"/>
      <c r="ES1499" s="123"/>
      <c r="ET1499" s="19"/>
      <c r="EU1499" s="139"/>
      <c r="EV1499" s="139"/>
      <c r="EW1499" s="123"/>
      <c r="EX1499" s="123"/>
      <c r="EY1499" s="123"/>
      <c r="EZ1499" s="123"/>
      <c r="FA1499" s="123"/>
      <c r="FB1499" s="123"/>
      <c r="FC1499" s="6"/>
      <c r="FD1499" s="123"/>
      <c r="FE1499" s="6"/>
      <c r="FF1499" s="123"/>
      <c r="FG1499" s="6"/>
      <c r="FH1499" s="6"/>
      <c r="FI1499" s="6"/>
      <c r="FJ1499" s="6"/>
      <c r="FK1499" s="123"/>
      <c r="FL1499" s="6"/>
      <c r="FM1499" s="6"/>
      <c r="FN1499" s="6"/>
      <c r="FO1499" s="138"/>
      <c r="FP1499" s="138"/>
      <c r="FQ1499" s="123"/>
      <c r="FR1499" s="6"/>
      <c r="FS1499" s="6"/>
      <c r="FT1499" s="139"/>
      <c r="FU1499" s="139"/>
      <c r="FV1499" s="76"/>
      <c r="FW1499" s="123"/>
      <c r="FX1499" s="6"/>
    </row>
    <row r="1500" spans="35:180">
      <c r="AI1500" s="125"/>
      <c r="AJ1500" s="16"/>
      <c r="AM1500" s="16"/>
      <c r="AN1500" s="16"/>
      <c r="AO1500" s="125"/>
      <c r="AP1500" s="16"/>
      <c r="AQ1500" s="125"/>
      <c r="AZ1500" s="125"/>
      <c r="BA1500" s="142"/>
      <c r="BB1500" s="125"/>
      <c r="BC1500" s="16"/>
      <c r="BD1500" s="125"/>
      <c r="BE1500" s="125"/>
      <c r="BF1500" s="16"/>
      <c r="BG1500" s="125"/>
      <c r="BQ1500" s="125"/>
      <c r="BR1500" s="16"/>
      <c r="BS1500" s="123"/>
      <c r="BT1500" s="19"/>
      <c r="BU1500" s="139"/>
      <c r="BV1500" s="139"/>
      <c r="BW1500" s="123"/>
      <c r="BX1500" s="123"/>
      <c r="BY1500" s="123"/>
      <c r="BZ1500" s="123"/>
      <c r="CA1500" s="123"/>
      <c r="CB1500" s="123"/>
      <c r="CC1500" s="6"/>
      <c r="CD1500" s="123"/>
      <c r="CE1500" s="6"/>
      <c r="CF1500" s="123"/>
      <c r="CG1500" s="6"/>
      <c r="CH1500" s="6"/>
      <c r="CI1500" s="6"/>
      <c r="CJ1500" s="6"/>
      <c r="CK1500" s="123"/>
      <c r="CL1500" s="6"/>
      <c r="CM1500" s="6"/>
      <c r="CN1500" s="6"/>
      <c r="CO1500" s="138"/>
      <c r="CP1500" s="138"/>
      <c r="CQ1500" s="123"/>
      <c r="CR1500" s="6"/>
      <c r="CS1500" s="6"/>
      <c r="CT1500" s="139"/>
      <c r="CU1500" s="139"/>
      <c r="CV1500" s="76"/>
      <c r="CW1500" s="123"/>
      <c r="CX1500" s="6"/>
      <c r="DI1500" s="125"/>
      <c r="DJ1500" s="16"/>
      <c r="DM1500" s="16"/>
      <c r="DN1500" s="16"/>
      <c r="DO1500" s="125"/>
      <c r="DP1500" s="16"/>
      <c r="DQ1500" s="125"/>
      <c r="DZ1500" s="125"/>
      <c r="EA1500" s="142"/>
      <c r="EB1500" s="125"/>
      <c r="EC1500" s="16"/>
      <c r="ED1500" s="125"/>
      <c r="EE1500" s="125"/>
      <c r="EF1500" s="16"/>
      <c r="EG1500" s="125"/>
      <c r="EQ1500" s="125"/>
      <c r="ER1500" s="16"/>
      <c r="ES1500" s="123"/>
      <c r="ET1500" s="19"/>
      <c r="EU1500" s="139"/>
      <c r="EV1500" s="139"/>
      <c r="EW1500" s="123"/>
      <c r="EX1500" s="123"/>
      <c r="EY1500" s="123"/>
      <c r="EZ1500" s="123"/>
      <c r="FA1500" s="123"/>
      <c r="FB1500" s="123"/>
      <c r="FC1500" s="6"/>
      <c r="FD1500" s="123"/>
      <c r="FE1500" s="6"/>
      <c r="FF1500" s="123"/>
      <c r="FG1500" s="6"/>
      <c r="FH1500" s="6"/>
      <c r="FI1500" s="6"/>
      <c r="FJ1500" s="6"/>
      <c r="FK1500" s="123"/>
      <c r="FL1500" s="6"/>
      <c r="FM1500" s="6"/>
      <c r="FN1500" s="6"/>
      <c r="FO1500" s="138"/>
      <c r="FP1500" s="138"/>
      <c r="FQ1500" s="123"/>
      <c r="FR1500" s="6"/>
      <c r="FS1500" s="6"/>
      <c r="FT1500" s="139"/>
      <c r="FU1500" s="139"/>
      <c r="FV1500" s="76"/>
      <c r="FW1500" s="123"/>
      <c r="FX1500" s="6"/>
    </row>
    <row r="1501" spans="35:180">
      <c r="AI1501" s="125"/>
      <c r="AJ1501" s="16"/>
      <c r="AM1501" s="16"/>
      <c r="AN1501" s="16"/>
      <c r="AO1501" s="125"/>
      <c r="AP1501" s="16"/>
      <c r="AQ1501" s="125"/>
      <c r="AZ1501" s="125"/>
      <c r="BA1501" s="142"/>
      <c r="BB1501" s="125"/>
      <c r="BC1501" s="16"/>
      <c r="BD1501" s="125"/>
      <c r="BE1501" s="125"/>
      <c r="BF1501" s="16"/>
      <c r="BG1501" s="125"/>
      <c r="BQ1501" s="125"/>
      <c r="BR1501" s="16"/>
      <c r="BS1501" s="123"/>
      <c r="BT1501" s="19"/>
      <c r="BU1501" s="139"/>
      <c r="BV1501" s="139"/>
      <c r="BW1501" s="123"/>
      <c r="BX1501" s="123"/>
      <c r="BY1501" s="123"/>
      <c r="BZ1501" s="123"/>
      <c r="CA1501" s="123"/>
      <c r="CB1501" s="123"/>
      <c r="CC1501" s="6"/>
      <c r="CD1501" s="123"/>
      <c r="CE1501" s="6"/>
      <c r="CF1501" s="123"/>
      <c r="CG1501" s="6"/>
      <c r="CH1501" s="6"/>
      <c r="CI1501" s="6"/>
      <c r="CJ1501" s="6"/>
      <c r="CK1501" s="123"/>
      <c r="CL1501" s="6"/>
      <c r="CM1501" s="6"/>
      <c r="CN1501" s="6"/>
      <c r="CO1501" s="138"/>
      <c r="CP1501" s="138"/>
      <c r="CQ1501" s="123"/>
      <c r="CR1501" s="6"/>
      <c r="CS1501" s="6"/>
      <c r="CT1501" s="139"/>
      <c r="CU1501" s="139"/>
      <c r="CV1501" s="76"/>
      <c r="CW1501" s="123"/>
      <c r="CX1501" s="6"/>
      <c r="DI1501" s="125"/>
      <c r="DJ1501" s="16"/>
      <c r="DM1501" s="16"/>
      <c r="DN1501" s="16"/>
      <c r="DO1501" s="125"/>
      <c r="DP1501" s="16"/>
      <c r="DQ1501" s="125"/>
      <c r="DZ1501" s="125"/>
      <c r="EA1501" s="142"/>
      <c r="EB1501" s="125"/>
      <c r="EC1501" s="16"/>
      <c r="ED1501" s="125"/>
      <c r="EE1501" s="125"/>
      <c r="EF1501" s="16"/>
      <c r="EG1501" s="125"/>
      <c r="EQ1501" s="125"/>
      <c r="ER1501" s="16"/>
      <c r="ES1501" s="123"/>
      <c r="ET1501" s="19"/>
      <c r="EU1501" s="139"/>
      <c r="EV1501" s="139"/>
      <c r="EW1501" s="123"/>
      <c r="EX1501" s="123"/>
      <c r="EY1501" s="123"/>
      <c r="EZ1501" s="123"/>
      <c r="FA1501" s="123"/>
      <c r="FB1501" s="123"/>
      <c r="FC1501" s="6"/>
      <c r="FD1501" s="123"/>
      <c r="FE1501" s="6"/>
      <c r="FF1501" s="123"/>
      <c r="FG1501" s="6"/>
      <c r="FH1501" s="6"/>
      <c r="FI1501" s="6"/>
      <c r="FJ1501" s="6"/>
      <c r="FK1501" s="123"/>
      <c r="FL1501" s="6"/>
      <c r="FM1501" s="6"/>
      <c r="FN1501" s="6"/>
      <c r="FO1501" s="138"/>
      <c r="FP1501" s="138"/>
      <c r="FQ1501" s="123"/>
      <c r="FR1501" s="6"/>
      <c r="FS1501" s="6"/>
      <c r="FT1501" s="139"/>
      <c r="FU1501" s="139"/>
      <c r="FV1501" s="76"/>
      <c r="FW1501" s="123"/>
      <c r="FX1501" s="6"/>
    </row>
    <row r="1502" spans="35:180">
      <c r="AI1502" s="125"/>
      <c r="AJ1502" s="16"/>
      <c r="AM1502" s="16"/>
      <c r="AN1502" s="16"/>
      <c r="AO1502" s="125"/>
      <c r="AP1502" s="16"/>
      <c r="AQ1502" s="125"/>
      <c r="AZ1502" s="125"/>
      <c r="BA1502" s="142"/>
      <c r="BB1502" s="125"/>
      <c r="BC1502" s="16"/>
      <c r="BD1502" s="125"/>
      <c r="BE1502" s="125"/>
      <c r="BF1502" s="16"/>
      <c r="BG1502" s="125"/>
      <c r="BQ1502" s="125"/>
      <c r="BR1502" s="16"/>
      <c r="BS1502" s="123"/>
      <c r="BT1502" s="19"/>
      <c r="BU1502" s="139"/>
      <c r="BV1502" s="139"/>
      <c r="BW1502" s="123"/>
      <c r="BX1502" s="123"/>
      <c r="BY1502" s="123"/>
      <c r="BZ1502" s="123"/>
      <c r="CA1502" s="123"/>
      <c r="CB1502" s="123"/>
      <c r="CC1502" s="6"/>
      <c r="CD1502" s="123"/>
      <c r="CE1502" s="6"/>
      <c r="CF1502" s="123"/>
      <c r="CG1502" s="6"/>
      <c r="CH1502" s="6"/>
      <c r="CI1502" s="6"/>
      <c r="CJ1502" s="6"/>
      <c r="CK1502" s="123"/>
      <c r="CL1502" s="6"/>
      <c r="CM1502" s="6"/>
      <c r="CN1502" s="6"/>
      <c r="CO1502" s="138"/>
      <c r="CP1502" s="138"/>
      <c r="CQ1502" s="123"/>
      <c r="CR1502" s="6"/>
      <c r="CS1502" s="6"/>
      <c r="CT1502" s="139"/>
      <c r="CU1502" s="139"/>
      <c r="CV1502" s="76"/>
      <c r="CW1502" s="123"/>
      <c r="CX1502" s="6"/>
      <c r="DI1502" s="125"/>
      <c r="DJ1502" s="16"/>
      <c r="DM1502" s="16"/>
      <c r="DN1502" s="16"/>
      <c r="DO1502" s="125"/>
      <c r="DP1502" s="16"/>
      <c r="DQ1502" s="125"/>
      <c r="DZ1502" s="125"/>
      <c r="EA1502" s="142"/>
      <c r="EB1502" s="125"/>
      <c r="EC1502" s="16"/>
      <c r="ED1502" s="125"/>
      <c r="EE1502" s="125"/>
      <c r="EF1502" s="16"/>
      <c r="EG1502" s="125"/>
      <c r="EQ1502" s="125"/>
      <c r="ER1502" s="16"/>
      <c r="ES1502" s="123"/>
      <c r="ET1502" s="19"/>
      <c r="EU1502" s="139"/>
      <c r="EV1502" s="139"/>
      <c r="EW1502" s="123"/>
      <c r="EX1502" s="123"/>
      <c r="EY1502" s="123"/>
      <c r="EZ1502" s="123"/>
      <c r="FA1502" s="123"/>
      <c r="FB1502" s="123"/>
      <c r="FC1502" s="6"/>
      <c r="FD1502" s="123"/>
      <c r="FE1502" s="6"/>
      <c r="FF1502" s="123"/>
      <c r="FG1502" s="6"/>
      <c r="FH1502" s="6"/>
      <c r="FI1502" s="6"/>
      <c r="FJ1502" s="6"/>
      <c r="FK1502" s="123"/>
      <c r="FL1502" s="6"/>
      <c r="FM1502" s="6"/>
      <c r="FN1502" s="6"/>
      <c r="FO1502" s="138"/>
      <c r="FP1502" s="138"/>
      <c r="FQ1502" s="123"/>
      <c r="FR1502" s="6"/>
      <c r="FS1502" s="6"/>
      <c r="FT1502" s="139"/>
      <c r="FU1502" s="139"/>
      <c r="FV1502" s="76"/>
      <c r="FW1502" s="123"/>
      <c r="FX1502" s="6"/>
    </row>
    <row r="1503" spans="35:180">
      <c r="AI1503" s="125"/>
      <c r="AJ1503" s="16"/>
      <c r="AM1503" s="16"/>
      <c r="AN1503" s="16"/>
      <c r="AO1503" s="125"/>
      <c r="AP1503" s="16"/>
      <c r="AQ1503" s="125"/>
      <c r="AZ1503" s="125"/>
      <c r="BA1503" s="142"/>
      <c r="BB1503" s="125"/>
      <c r="BC1503" s="16"/>
      <c r="BD1503" s="125"/>
      <c r="BE1503" s="125"/>
      <c r="BF1503" s="16"/>
      <c r="BG1503" s="125"/>
      <c r="BQ1503" s="125"/>
      <c r="BR1503" s="16"/>
      <c r="BS1503" s="123"/>
      <c r="BT1503" s="19"/>
      <c r="BU1503" s="139"/>
      <c r="BV1503" s="139"/>
      <c r="BW1503" s="123"/>
      <c r="BX1503" s="123"/>
      <c r="BY1503" s="123"/>
      <c r="BZ1503" s="123"/>
      <c r="CA1503" s="123"/>
      <c r="CB1503" s="123"/>
      <c r="CC1503" s="6"/>
      <c r="CD1503" s="123"/>
      <c r="CE1503" s="6"/>
      <c r="CF1503" s="123"/>
      <c r="CG1503" s="6"/>
      <c r="CH1503" s="6"/>
      <c r="CI1503" s="6"/>
      <c r="CJ1503" s="6"/>
      <c r="CK1503" s="123"/>
      <c r="CL1503" s="6"/>
      <c r="CM1503" s="6"/>
      <c r="CN1503" s="6"/>
      <c r="CO1503" s="138"/>
      <c r="CP1503" s="138"/>
      <c r="CQ1503" s="123"/>
      <c r="CR1503" s="6"/>
      <c r="CS1503" s="6"/>
      <c r="CT1503" s="139"/>
      <c r="CU1503" s="139"/>
      <c r="CV1503" s="76"/>
      <c r="CW1503" s="123"/>
      <c r="CX1503" s="6"/>
      <c r="DI1503" s="125"/>
      <c r="DJ1503" s="16"/>
      <c r="DM1503" s="16"/>
      <c r="DN1503" s="16"/>
      <c r="DO1503" s="125"/>
      <c r="DP1503" s="16"/>
      <c r="DQ1503" s="125"/>
      <c r="DZ1503" s="125"/>
      <c r="EA1503" s="142"/>
      <c r="EB1503" s="125"/>
      <c r="EC1503" s="16"/>
      <c r="ED1503" s="125"/>
      <c r="EE1503" s="125"/>
      <c r="EF1503" s="16"/>
      <c r="EG1503" s="125"/>
      <c r="EQ1503" s="125"/>
      <c r="ER1503" s="16"/>
      <c r="ES1503" s="123"/>
      <c r="ET1503" s="19"/>
      <c r="EU1503" s="139"/>
      <c r="EV1503" s="139"/>
      <c r="EW1503" s="123"/>
      <c r="EX1503" s="123"/>
      <c r="EY1503" s="123"/>
      <c r="EZ1503" s="123"/>
      <c r="FA1503" s="123"/>
      <c r="FB1503" s="123"/>
      <c r="FC1503" s="6"/>
      <c r="FD1503" s="123"/>
      <c r="FE1503" s="6"/>
      <c r="FF1503" s="123"/>
      <c r="FG1503" s="6"/>
      <c r="FH1503" s="6"/>
      <c r="FI1503" s="6"/>
      <c r="FJ1503" s="6"/>
      <c r="FK1503" s="123"/>
      <c r="FL1503" s="6"/>
      <c r="FM1503" s="6"/>
      <c r="FN1503" s="6"/>
      <c r="FO1503" s="138"/>
      <c r="FP1503" s="138"/>
      <c r="FQ1503" s="123"/>
      <c r="FR1503" s="6"/>
      <c r="FS1503" s="6"/>
      <c r="FT1503" s="139"/>
      <c r="FU1503" s="139"/>
      <c r="FV1503" s="76"/>
      <c r="FW1503" s="123"/>
      <c r="FX1503" s="6"/>
    </row>
    <row r="1504" spans="35:180">
      <c r="AI1504" s="125"/>
      <c r="AJ1504" s="16"/>
      <c r="AM1504" s="16"/>
      <c r="AN1504" s="16"/>
      <c r="AO1504" s="125"/>
      <c r="AP1504" s="16"/>
      <c r="AQ1504" s="125"/>
      <c r="AZ1504" s="125"/>
      <c r="BA1504" s="142"/>
      <c r="BB1504" s="125"/>
      <c r="BC1504" s="16"/>
      <c r="BD1504" s="125"/>
      <c r="BE1504" s="125"/>
      <c r="BF1504" s="16"/>
      <c r="BG1504" s="125"/>
      <c r="BQ1504" s="125"/>
      <c r="BR1504" s="16"/>
      <c r="BS1504" s="123"/>
      <c r="BT1504" s="19"/>
      <c r="BU1504" s="139"/>
      <c r="BV1504" s="139"/>
      <c r="BW1504" s="123"/>
      <c r="BX1504" s="123"/>
      <c r="BY1504" s="123"/>
      <c r="BZ1504" s="123"/>
      <c r="CA1504" s="123"/>
      <c r="CB1504" s="123"/>
      <c r="CC1504" s="6"/>
      <c r="CD1504" s="123"/>
      <c r="CE1504" s="6"/>
      <c r="CF1504" s="123"/>
      <c r="CG1504" s="6"/>
      <c r="CH1504" s="6"/>
      <c r="CI1504" s="6"/>
      <c r="CJ1504" s="6"/>
      <c r="CK1504" s="123"/>
      <c r="CL1504" s="6"/>
      <c r="CM1504" s="6"/>
      <c r="CN1504" s="6"/>
      <c r="CO1504" s="138"/>
      <c r="CP1504" s="138"/>
      <c r="CQ1504" s="123"/>
      <c r="CR1504" s="6"/>
      <c r="CS1504" s="6"/>
      <c r="CT1504" s="139"/>
      <c r="CU1504" s="139"/>
      <c r="CV1504" s="76"/>
      <c r="CW1504" s="123"/>
      <c r="CX1504" s="6"/>
      <c r="DI1504" s="125"/>
      <c r="DJ1504" s="16"/>
      <c r="DM1504" s="16"/>
      <c r="DN1504" s="16"/>
      <c r="DO1504" s="125"/>
      <c r="DP1504" s="16"/>
      <c r="DQ1504" s="125"/>
      <c r="DZ1504" s="125"/>
      <c r="EA1504" s="142"/>
      <c r="EB1504" s="125"/>
      <c r="EC1504" s="16"/>
      <c r="ED1504" s="125"/>
      <c r="EE1504" s="125"/>
      <c r="EF1504" s="16"/>
      <c r="EG1504" s="125"/>
      <c r="EQ1504" s="125"/>
      <c r="ER1504" s="16"/>
      <c r="ES1504" s="123"/>
      <c r="ET1504" s="19"/>
      <c r="EU1504" s="139"/>
      <c r="EV1504" s="139"/>
      <c r="EW1504" s="123"/>
      <c r="EX1504" s="123"/>
      <c r="EY1504" s="123"/>
      <c r="EZ1504" s="123"/>
      <c r="FA1504" s="123"/>
      <c r="FB1504" s="123"/>
      <c r="FC1504" s="6"/>
      <c r="FD1504" s="123"/>
      <c r="FE1504" s="6"/>
      <c r="FF1504" s="123"/>
      <c r="FG1504" s="6"/>
      <c r="FH1504" s="6"/>
      <c r="FI1504" s="6"/>
      <c r="FJ1504" s="6"/>
      <c r="FK1504" s="123"/>
      <c r="FL1504" s="6"/>
      <c r="FM1504" s="6"/>
      <c r="FN1504" s="6"/>
      <c r="FO1504" s="138"/>
      <c r="FP1504" s="138"/>
      <c r="FQ1504" s="123"/>
      <c r="FR1504" s="6"/>
      <c r="FS1504" s="6"/>
      <c r="FT1504" s="139"/>
      <c r="FU1504" s="139"/>
      <c r="FV1504" s="76"/>
      <c r="FW1504" s="123"/>
      <c r="FX1504" s="6"/>
    </row>
    <row r="1505" spans="35:180">
      <c r="AI1505" s="125"/>
      <c r="AJ1505" s="16"/>
      <c r="AM1505" s="16"/>
      <c r="AN1505" s="16"/>
      <c r="AO1505" s="125"/>
      <c r="AP1505" s="16"/>
      <c r="AQ1505" s="125"/>
      <c r="AZ1505" s="125"/>
      <c r="BA1505" s="142"/>
      <c r="BB1505" s="125"/>
      <c r="BC1505" s="16"/>
      <c r="BD1505" s="125"/>
      <c r="BE1505" s="125"/>
      <c r="BF1505" s="16"/>
      <c r="BG1505" s="125"/>
      <c r="BQ1505" s="125"/>
      <c r="BR1505" s="16"/>
      <c r="BS1505" s="123"/>
      <c r="BT1505" s="19"/>
      <c r="BU1505" s="139"/>
      <c r="BV1505" s="139"/>
      <c r="BW1505" s="123"/>
      <c r="BX1505" s="123"/>
      <c r="BY1505" s="123"/>
      <c r="BZ1505" s="123"/>
      <c r="CA1505" s="123"/>
      <c r="CB1505" s="123"/>
      <c r="CC1505" s="6"/>
      <c r="CD1505" s="123"/>
      <c r="CE1505" s="6"/>
      <c r="CF1505" s="123"/>
      <c r="CG1505" s="6"/>
      <c r="CH1505" s="6"/>
      <c r="CI1505" s="6"/>
      <c r="CJ1505" s="6"/>
      <c r="CK1505" s="123"/>
      <c r="CL1505" s="6"/>
      <c r="CM1505" s="6"/>
      <c r="CN1505" s="6"/>
      <c r="CO1505" s="138"/>
      <c r="CP1505" s="138"/>
      <c r="CQ1505" s="123"/>
      <c r="CR1505" s="6"/>
      <c r="CS1505" s="6"/>
      <c r="CT1505" s="139"/>
      <c r="CU1505" s="139"/>
      <c r="CV1505" s="76"/>
      <c r="CW1505" s="123"/>
      <c r="CX1505" s="6"/>
      <c r="DI1505" s="125"/>
      <c r="DJ1505" s="16"/>
      <c r="DM1505" s="16"/>
      <c r="DN1505" s="16"/>
      <c r="DO1505" s="125"/>
      <c r="DP1505" s="16"/>
      <c r="DQ1505" s="125"/>
      <c r="DZ1505" s="125"/>
      <c r="EA1505" s="142"/>
      <c r="EB1505" s="125"/>
      <c r="EC1505" s="16"/>
      <c r="ED1505" s="125"/>
      <c r="EE1505" s="125"/>
      <c r="EF1505" s="16"/>
      <c r="EG1505" s="125"/>
      <c r="EQ1505" s="125"/>
      <c r="ER1505" s="16"/>
      <c r="ES1505" s="123"/>
      <c r="ET1505" s="19"/>
      <c r="EU1505" s="139"/>
      <c r="EV1505" s="139"/>
      <c r="EW1505" s="123"/>
      <c r="EX1505" s="123"/>
      <c r="EY1505" s="123"/>
      <c r="EZ1505" s="123"/>
      <c r="FA1505" s="123"/>
      <c r="FB1505" s="123"/>
      <c r="FC1505" s="6"/>
      <c r="FD1505" s="123"/>
      <c r="FE1505" s="6"/>
      <c r="FF1505" s="123"/>
      <c r="FG1505" s="6"/>
      <c r="FH1505" s="6"/>
      <c r="FI1505" s="6"/>
      <c r="FJ1505" s="6"/>
      <c r="FK1505" s="123"/>
      <c r="FL1505" s="6"/>
      <c r="FM1505" s="6"/>
      <c r="FN1505" s="6"/>
      <c r="FO1505" s="138"/>
      <c r="FP1505" s="138"/>
      <c r="FQ1505" s="123"/>
      <c r="FR1505" s="6"/>
      <c r="FS1505" s="6"/>
      <c r="FT1505" s="139"/>
      <c r="FU1505" s="139"/>
      <c r="FV1505" s="76"/>
      <c r="FW1505" s="123"/>
      <c r="FX1505" s="6"/>
    </row>
    <row r="1506" spans="35:180">
      <c r="AI1506" s="125"/>
      <c r="AJ1506" s="16"/>
      <c r="AM1506" s="16"/>
      <c r="AN1506" s="16"/>
      <c r="AO1506" s="125"/>
      <c r="AP1506" s="16"/>
      <c r="AQ1506" s="125"/>
      <c r="AZ1506" s="125"/>
      <c r="BA1506" s="142"/>
      <c r="BB1506" s="125"/>
      <c r="BC1506" s="16"/>
      <c r="BD1506" s="125"/>
      <c r="BE1506" s="125"/>
      <c r="BF1506" s="16"/>
      <c r="BG1506" s="125"/>
      <c r="BQ1506" s="125"/>
      <c r="BR1506" s="16"/>
      <c r="BS1506" s="123"/>
      <c r="BT1506" s="19"/>
      <c r="BU1506" s="139"/>
      <c r="BV1506" s="139"/>
      <c r="BW1506" s="123"/>
      <c r="BX1506" s="123"/>
      <c r="BY1506" s="123"/>
      <c r="BZ1506" s="123"/>
      <c r="CA1506" s="123"/>
      <c r="CB1506" s="123"/>
      <c r="CC1506" s="6"/>
      <c r="CD1506" s="123"/>
      <c r="CE1506" s="6"/>
      <c r="CF1506" s="123"/>
      <c r="CG1506" s="6"/>
      <c r="CH1506" s="6"/>
      <c r="CI1506" s="6"/>
      <c r="CJ1506" s="6"/>
      <c r="CK1506" s="123"/>
      <c r="CL1506" s="6"/>
      <c r="CM1506" s="6"/>
      <c r="CN1506" s="6"/>
      <c r="CO1506" s="138"/>
      <c r="CP1506" s="138"/>
      <c r="CQ1506" s="123"/>
      <c r="CR1506" s="6"/>
      <c r="CS1506" s="6"/>
      <c r="CT1506" s="139"/>
      <c r="CU1506" s="139"/>
      <c r="CV1506" s="76"/>
      <c r="CW1506" s="123"/>
      <c r="CX1506" s="6"/>
      <c r="DI1506" s="125"/>
      <c r="DJ1506" s="16"/>
      <c r="DM1506" s="16"/>
      <c r="DN1506" s="16"/>
      <c r="DO1506" s="125"/>
      <c r="DP1506" s="16"/>
      <c r="DQ1506" s="125"/>
      <c r="DZ1506" s="125"/>
      <c r="EA1506" s="142"/>
      <c r="EB1506" s="125"/>
      <c r="EC1506" s="16"/>
      <c r="ED1506" s="125"/>
      <c r="EE1506" s="125"/>
      <c r="EF1506" s="16"/>
      <c r="EG1506" s="125"/>
      <c r="EQ1506" s="125"/>
      <c r="ER1506" s="16"/>
      <c r="ES1506" s="123"/>
      <c r="ET1506" s="19"/>
      <c r="EU1506" s="139"/>
      <c r="EV1506" s="139"/>
      <c r="EW1506" s="123"/>
      <c r="EX1506" s="123"/>
      <c r="EY1506" s="123"/>
      <c r="EZ1506" s="123"/>
      <c r="FA1506" s="123"/>
      <c r="FB1506" s="123"/>
      <c r="FC1506" s="6"/>
      <c r="FD1506" s="123"/>
      <c r="FE1506" s="6"/>
      <c r="FF1506" s="123"/>
      <c r="FG1506" s="6"/>
      <c r="FH1506" s="6"/>
      <c r="FI1506" s="6"/>
      <c r="FJ1506" s="6"/>
      <c r="FK1506" s="123"/>
      <c r="FL1506" s="6"/>
      <c r="FM1506" s="6"/>
      <c r="FN1506" s="6"/>
      <c r="FO1506" s="138"/>
      <c r="FP1506" s="138"/>
      <c r="FQ1506" s="123"/>
      <c r="FR1506" s="6"/>
      <c r="FS1506" s="6"/>
      <c r="FT1506" s="139"/>
      <c r="FU1506" s="139"/>
      <c r="FV1506" s="76"/>
      <c r="FW1506" s="123"/>
      <c r="FX1506" s="6"/>
    </row>
    <row r="1507" spans="35:180">
      <c r="AI1507" s="125"/>
      <c r="AJ1507" s="16"/>
      <c r="AM1507" s="16"/>
      <c r="AN1507" s="16"/>
      <c r="AO1507" s="125"/>
      <c r="AP1507" s="16"/>
      <c r="AQ1507" s="125"/>
      <c r="AZ1507" s="125"/>
      <c r="BA1507" s="142"/>
      <c r="BB1507" s="125"/>
      <c r="BC1507" s="16"/>
      <c r="BD1507" s="125"/>
      <c r="BE1507" s="125"/>
      <c r="BF1507" s="16"/>
      <c r="BG1507" s="125"/>
      <c r="BQ1507" s="125"/>
      <c r="BR1507" s="16"/>
      <c r="BS1507" s="123"/>
      <c r="BT1507" s="19"/>
      <c r="BU1507" s="139"/>
      <c r="BV1507" s="139"/>
      <c r="BW1507" s="123"/>
      <c r="BX1507" s="123"/>
      <c r="BY1507" s="123"/>
      <c r="BZ1507" s="123"/>
      <c r="CA1507" s="123"/>
      <c r="CB1507" s="123"/>
      <c r="CC1507" s="6"/>
      <c r="CD1507" s="123"/>
      <c r="CE1507" s="6"/>
      <c r="CF1507" s="123"/>
      <c r="CG1507" s="6"/>
      <c r="CH1507" s="6"/>
      <c r="CI1507" s="6"/>
      <c r="CJ1507" s="6"/>
      <c r="CK1507" s="123"/>
      <c r="CL1507" s="6"/>
      <c r="CM1507" s="6"/>
      <c r="CN1507" s="6"/>
      <c r="CO1507" s="138"/>
      <c r="CP1507" s="138"/>
      <c r="CQ1507" s="123"/>
      <c r="CR1507" s="6"/>
      <c r="CS1507" s="6"/>
      <c r="CT1507" s="139"/>
      <c r="CU1507" s="139"/>
      <c r="CV1507" s="76"/>
      <c r="CW1507" s="123"/>
      <c r="CX1507" s="6"/>
      <c r="DI1507" s="125"/>
      <c r="DJ1507" s="16"/>
      <c r="DM1507" s="16"/>
      <c r="DN1507" s="16"/>
      <c r="DO1507" s="125"/>
      <c r="DP1507" s="16"/>
      <c r="DQ1507" s="125"/>
      <c r="DZ1507" s="125"/>
      <c r="EA1507" s="142"/>
      <c r="EB1507" s="125"/>
      <c r="EC1507" s="16"/>
      <c r="ED1507" s="125"/>
      <c r="EE1507" s="125"/>
      <c r="EF1507" s="16"/>
      <c r="EG1507" s="125"/>
      <c r="EQ1507" s="125"/>
      <c r="ER1507" s="16"/>
      <c r="ES1507" s="123"/>
      <c r="ET1507" s="19"/>
      <c r="EU1507" s="139"/>
      <c r="EV1507" s="139"/>
      <c r="EW1507" s="123"/>
      <c r="EX1507" s="123"/>
      <c r="EY1507" s="123"/>
      <c r="EZ1507" s="123"/>
      <c r="FA1507" s="123"/>
      <c r="FB1507" s="123"/>
      <c r="FC1507" s="6"/>
      <c r="FD1507" s="123"/>
      <c r="FE1507" s="6"/>
      <c r="FF1507" s="123"/>
      <c r="FG1507" s="6"/>
      <c r="FH1507" s="6"/>
      <c r="FI1507" s="6"/>
      <c r="FJ1507" s="6"/>
      <c r="FK1507" s="123"/>
      <c r="FL1507" s="6"/>
      <c r="FM1507" s="6"/>
      <c r="FN1507" s="6"/>
      <c r="FO1507" s="138"/>
      <c r="FP1507" s="138"/>
      <c r="FQ1507" s="123"/>
      <c r="FR1507" s="6"/>
      <c r="FS1507" s="6"/>
      <c r="FT1507" s="139"/>
      <c r="FU1507" s="139"/>
      <c r="FV1507" s="76"/>
      <c r="FW1507" s="123"/>
      <c r="FX1507" s="6"/>
    </row>
    <row r="1508" spans="35:180">
      <c r="AI1508" s="125"/>
      <c r="AJ1508" s="16"/>
      <c r="AM1508" s="16"/>
      <c r="AN1508" s="16"/>
      <c r="AO1508" s="125"/>
      <c r="AP1508" s="16"/>
      <c r="AQ1508" s="125"/>
      <c r="AZ1508" s="125"/>
      <c r="BA1508" s="142"/>
      <c r="BB1508" s="125"/>
      <c r="BC1508" s="16"/>
      <c r="BD1508" s="125"/>
      <c r="BE1508" s="125"/>
      <c r="BF1508" s="16"/>
      <c r="BG1508" s="125"/>
      <c r="BQ1508" s="125"/>
      <c r="BR1508" s="16"/>
      <c r="BS1508" s="123"/>
      <c r="BT1508" s="19"/>
      <c r="BU1508" s="139"/>
      <c r="BV1508" s="139"/>
      <c r="BW1508" s="123"/>
      <c r="BX1508" s="123"/>
      <c r="BY1508" s="123"/>
      <c r="BZ1508" s="123"/>
      <c r="CA1508" s="123"/>
      <c r="CB1508" s="123"/>
      <c r="CC1508" s="6"/>
      <c r="CD1508" s="123"/>
      <c r="CE1508" s="6"/>
      <c r="CF1508" s="123"/>
      <c r="CG1508" s="6"/>
      <c r="CH1508" s="6"/>
      <c r="CI1508" s="6"/>
      <c r="CJ1508" s="6"/>
      <c r="CK1508" s="123"/>
      <c r="CL1508" s="6"/>
      <c r="CM1508" s="6"/>
      <c r="CN1508" s="6"/>
      <c r="CO1508" s="138"/>
      <c r="CP1508" s="138"/>
      <c r="CQ1508" s="123"/>
      <c r="CR1508" s="6"/>
      <c r="CS1508" s="6"/>
      <c r="CT1508" s="139"/>
      <c r="CU1508" s="139"/>
      <c r="CV1508" s="76"/>
      <c r="CW1508" s="123"/>
      <c r="CX1508" s="6"/>
      <c r="DI1508" s="125"/>
      <c r="DJ1508" s="16"/>
      <c r="DM1508" s="16"/>
      <c r="DN1508" s="16"/>
      <c r="DO1508" s="125"/>
      <c r="DP1508" s="16"/>
      <c r="DQ1508" s="125"/>
      <c r="DZ1508" s="125"/>
      <c r="EA1508" s="142"/>
      <c r="EB1508" s="125"/>
      <c r="EC1508" s="16"/>
      <c r="ED1508" s="125"/>
      <c r="EE1508" s="125"/>
      <c r="EF1508" s="16"/>
      <c r="EG1508" s="125"/>
      <c r="EQ1508" s="125"/>
      <c r="ER1508" s="16"/>
      <c r="ES1508" s="123"/>
      <c r="ET1508" s="19"/>
      <c r="EU1508" s="139"/>
      <c r="EV1508" s="139"/>
      <c r="EW1508" s="123"/>
      <c r="EX1508" s="123"/>
      <c r="EY1508" s="123"/>
      <c r="EZ1508" s="123"/>
      <c r="FA1508" s="123"/>
      <c r="FB1508" s="123"/>
      <c r="FC1508" s="6"/>
      <c r="FD1508" s="123"/>
      <c r="FE1508" s="6"/>
      <c r="FF1508" s="123"/>
      <c r="FG1508" s="6"/>
      <c r="FH1508" s="6"/>
      <c r="FI1508" s="6"/>
      <c r="FJ1508" s="6"/>
      <c r="FK1508" s="123"/>
      <c r="FL1508" s="6"/>
      <c r="FM1508" s="6"/>
      <c r="FN1508" s="6"/>
      <c r="FO1508" s="138"/>
      <c r="FP1508" s="138"/>
      <c r="FQ1508" s="123"/>
      <c r="FR1508" s="6"/>
      <c r="FS1508" s="6"/>
      <c r="FT1508" s="139"/>
      <c r="FU1508" s="139"/>
      <c r="FV1508" s="76"/>
      <c r="FW1508" s="123"/>
      <c r="FX1508" s="6"/>
    </row>
    <row r="1509" spans="35:180">
      <c r="AI1509" s="125"/>
      <c r="AJ1509" s="16"/>
      <c r="AM1509" s="16"/>
      <c r="AN1509" s="16"/>
      <c r="AO1509" s="125"/>
      <c r="AP1509" s="16"/>
      <c r="AQ1509" s="125"/>
      <c r="AZ1509" s="125"/>
      <c r="BA1509" s="142"/>
      <c r="BB1509" s="125"/>
      <c r="BC1509" s="16"/>
      <c r="BD1509" s="125"/>
      <c r="BE1509" s="125"/>
      <c r="BF1509" s="16"/>
      <c r="BG1509" s="125"/>
      <c r="BQ1509" s="125"/>
      <c r="BR1509" s="16"/>
      <c r="BS1509" s="123"/>
      <c r="BT1509" s="19"/>
      <c r="BU1509" s="139"/>
      <c r="BV1509" s="139"/>
      <c r="BW1509" s="123"/>
      <c r="BX1509" s="123"/>
      <c r="BY1509" s="123"/>
      <c r="BZ1509" s="123"/>
      <c r="CA1509" s="123"/>
      <c r="CB1509" s="123"/>
      <c r="CC1509" s="6"/>
      <c r="CD1509" s="123"/>
      <c r="CE1509" s="6"/>
      <c r="CF1509" s="123"/>
      <c r="CG1509" s="6"/>
      <c r="CH1509" s="6"/>
      <c r="CI1509" s="6"/>
      <c r="CJ1509" s="6"/>
      <c r="CK1509" s="123"/>
      <c r="CL1509" s="6"/>
      <c r="CM1509" s="6"/>
      <c r="CN1509" s="6"/>
      <c r="CO1509" s="138"/>
      <c r="CP1509" s="138"/>
      <c r="CQ1509" s="123"/>
      <c r="CR1509" s="6"/>
      <c r="CS1509" s="6"/>
      <c r="CT1509" s="139"/>
      <c r="CU1509" s="139"/>
      <c r="CV1509" s="76"/>
      <c r="CW1509" s="123"/>
      <c r="CX1509" s="6"/>
      <c r="DI1509" s="125"/>
      <c r="DJ1509" s="16"/>
      <c r="DM1509" s="16"/>
      <c r="DN1509" s="16"/>
      <c r="DO1509" s="125"/>
      <c r="DP1509" s="16"/>
      <c r="DQ1509" s="125"/>
      <c r="DZ1509" s="125"/>
      <c r="EA1509" s="142"/>
      <c r="EB1509" s="125"/>
      <c r="EC1509" s="16"/>
      <c r="ED1509" s="125"/>
      <c r="EE1509" s="125"/>
      <c r="EF1509" s="16"/>
      <c r="EG1509" s="125"/>
      <c r="EQ1509" s="125"/>
      <c r="ER1509" s="16"/>
      <c r="ES1509" s="123"/>
      <c r="ET1509" s="19"/>
      <c r="EU1509" s="139"/>
      <c r="EV1509" s="139"/>
      <c r="EW1509" s="123"/>
      <c r="EX1509" s="123"/>
      <c r="EY1509" s="123"/>
      <c r="EZ1509" s="123"/>
      <c r="FA1509" s="123"/>
      <c r="FB1509" s="123"/>
      <c r="FC1509" s="6"/>
      <c r="FD1509" s="123"/>
      <c r="FE1509" s="6"/>
      <c r="FF1509" s="123"/>
      <c r="FG1509" s="6"/>
      <c r="FH1509" s="6"/>
      <c r="FI1509" s="6"/>
      <c r="FJ1509" s="6"/>
      <c r="FK1509" s="123"/>
      <c r="FL1509" s="6"/>
      <c r="FM1509" s="6"/>
      <c r="FN1509" s="6"/>
      <c r="FO1509" s="138"/>
      <c r="FP1509" s="138"/>
      <c r="FQ1509" s="123"/>
      <c r="FR1509" s="6"/>
      <c r="FS1509" s="6"/>
      <c r="FT1509" s="139"/>
      <c r="FU1509" s="139"/>
      <c r="FV1509" s="76"/>
      <c r="FW1509" s="123"/>
      <c r="FX1509" s="6"/>
    </row>
    <row r="1510" spans="35:180">
      <c r="AI1510" s="125"/>
      <c r="AJ1510" s="16"/>
      <c r="AM1510" s="16"/>
      <c r="AN1510" s="16"/>
      <c r="AO1510" s="125"/>
      <c r="AP1510" s="16"/>
      <c r="AQ1510" s="125"/>
      <c r="AZ1510" s="125"/>
      <c r="BA1510" s="142"/>
      <c r="BB1510" s="125"/>
      <c r="BC1510" s="16"/>
      <c r="BD1510" s="125"/>
      <c r="BE1510" s="125"/>
      <c r="BF1510" s="16"/>
      <c r="BG1510" s="125"/>
      <c r="BQ1510" s="125"/>
      <c r="BR1510" s="16"/>
      <c r="BS1510" s="123"/>
      <c r="BT1510" s="19"/>
      <c r="BU1510" s="139"/>
      <c r="BV1510" s="139"/>
      <c r="BW1510" s="123"/>
      <c r="BX1510" s="123"/>
      <c r="BY1510" s="123"/>
      <c r="BZ1510" s="123"/>
      <c r="CA1510" s="123"/>
      <c r="CB1510" s="123"/>
      <c r="CC1510" s="6"/>
      <c r="CD1510" s="123"/>
      <c r="CE1510" s="6"/>
      <c r="CF1510" s="123"/>
      <c r="CG1510" s="6"/>
      <c r="CH1510" s="6"/>
      <c r="CI1510" s="6"/>
      <c r="CJ1510" s="6"/>
      <c r="CK1510" s="123"/>
      <c r="CL1510" s="6"/>
      <c r="CM1510" s="6"/>
      <c r="CN1510" s="6"/>
      <c r="CO1510" s="138"/>
      <c r="CP1510" s="138"/>
      <c r="CQ1510" s="123"/>
      <c r="CR1510" s="6"/>
      <c r="CS1510" s="6"/>
      <c r="CT1510" s="139"/>
      <c r="CU1510" s="139"/>
      <c r="CV1510" s="76"/>
      <c r="CW1510" s="123"/>
      <c r="CX1510" s="6"/>
      <c r="DI1510" s="125"/>
      <c r="DJ1510" s="16"/>
      <c r="DM1510" s="16"/>
      <c r="DN1510" s="16"/>
      <c r="DO1510" s="125"/>
      <c r="DP1510" s="16"/>
      <c r="DQ1510" s="125"/>
      <c r="DZ1510" s="125"/>
      <c r="EA1510" s="142"/>
      <c r="EB1510" s="125"/>
      <c r="EC1510" s="16"/>
      <c r="ED1510" s="125"/>
      <c r="EE1510" s="125"/>
      <c r="EF1510" s="16"/>
      <c r="EG1510" s="125"/>
      <c r="EQ1510" s="125"/>
      <c r="ER1510" s="16"/>
      <c r="ES1510" s="123"/>
      <c r="ET1510" s="19"/>
      <c r="EU1510" s="139"/>
      <c r="EV1510" s="139"/>
      <c r="EW1510" s="123"/>
      <c r="EX1510" s="123"/>
      <c r="EY1510" s="123"/>
      <c r="EZ1510" s="123"/>
      <c r="FA1510" s="123"/>
      <c r="FB1510" s="123"/>
      <c r="FC1510" s="6"/>
      <c r="FD1510" s="123"/>
      <c r="FE1510" s="6"/>
      <c r="FF1510" s="123"/>
      <c r="FG1510" s="6"/>
      <c r="FH1510" s="6"/>
      <c r="FI1510" s="6"/>
      <c r="FJ1510" s="6"/>
      <c r="FK1510" s="123"/>
      <c r="FL1510" s="6"/>
      <c r="FM1510" s="6"/>
      <c r="FN1510" s="6"/>
      <c r="FO1510" s="138"/>
      <c r="FP1510" s="138"/>
      <c r="FQ1510" s="123"/>
      <c r="FR1510" s="6"/>
      <c r="FS1510" s="6"/>
      <c r="FT1510" s="139"/>
      <c r="FU1510" s="139"/>
      <c r="FV1510" s="76"/>
      <c r="FW1510" s="123"/>
      <c r="FX1510" s="6"/>
    </row>
    <row r="1511" spans="35:180">
      <c r="AI1511" s="125"/>
      <c r="AJ1511" s="16"/>
      <c r="AM1511" s="16"/>
      <c r="AN1511" s="16"/>
      <c r="AO1511" s="125"/>
      <c r="AP1511" s="16"/>
      <c r="AQ1511" s="125"/>
      <c r="AZ1511" s="125"/>
      <c r="BA1511" s="142"/>
      <c r="BB1511" s="125"/>
      <c r="BC1511" s="16"/>
      <c r="BD1511" s="125"/>
      <c r="BE1511" s="125"/>
      <c r="BF1511" s="16"/>
      <c r="BG1511" s="125"/>
      <c r="BQ1511" s="125"/>
      <c r="BR1511" s="16"/>
      <c r="BS1511" s="123"/>
      <c r="BT1511" s="19"/>
      <c r="BU1511" s="139"/>
      <c r="BV1511" s="139"/>
      <c r="BW1511" s="123"/>
      <c r="BX1511" s="123"/>
      <c r="BY1511" s="123"/>
      <c r="BZ1511" s="123"/>
      <c r="CA1511" s="123"/>
      <c r="CB1511" s="123"/>
      <c r="CC1511" s="6"/>
      <c r="CD1511" s="123"/>
      <c r="CE1511" s="6"/>
      <c r="CF1511" s="123"/>
      <c r="CG1511" s="6"/>
      <c r="CH1511" s="6"/>
      <c r="CI1511" s="6"/>
      <c r="CJ1511" s="6"/>
      <c r="CK1511" s="123"/>
      <c r="CL1511" s="6"/>
      <c r="CM1511" s="6"/>
      <c r="CN1511" s="6"/>
      <c r="CO1511" s="138"/>
      <c r="CP1511" s="138"/>
      <c r="CQ1511" s="123"/>
      <c r="CR1511" s="6"/>
      <c r="CS1511" s="6"/>
      <c r="CT1511" s="139"/>
      <c r="CU1511" s="139"/>
      <c r="CV1511" s="76"/>
      <c r="CW1511" s="123"/>
      <c r="CX1511" s="6"/>
      <c r="DI1511" s="125"/>
      <c r="DJ1511" s="16"/>
      <c r="DM1511" s="16"/>
      <c r="DN1511" s="16"/>
      <c r="DO1511" s="125"/>
      <c r="DP1511" s="16"/>
      <c r="DQ1511" s="125"/>
      <c r="DZ1511" s="125"/>
      <c r="EA1511" s="142"/>
      <c r="EB1511" s="125"/>
      <c r="EC1511" s="16"/>
      <c r="ED1511" s="125"/>
      <c r="EE1511" s="125"/>
      <c r="EF1511" s="16"/>
      <c r="EG1511" s="125"/>
      <c r="EQ1511" s="125"/>
      <c r="ER1511" s="16"/>
      <c r="ES1511" s="123"/>
      <c r="ET1511" s="19"/>
      <c r="EU1511" s="139"/>
      <c r="EV1511" s="139"/>
      <c r="EW1511" s="123"/>
      <c r="EX1511" s="123"/>
      <c r="EY1511" s="123"/>
      <c r="EZ1511" s="123"/>
      <c r="FA1511" s="123"/>
      <c r="FB1511" s="123"/>
      <c r="FC1511" s="6"/>
      <c r="FD1511" s="123"/>
      <c r="FE1511" s="6"/>
      <c r="FF1511" s="123"/>
      <c r="FG1511" s="6"/>
      <c r="FH1511" s="6"/>
      <c r="FI1511" s="6"/>
      <c r="FJ1511" s="6"/>
      <c r="FK1511" s="123"/>
      <c r="FL1511" s="6"/>
      <c r="FM1511" s="6"/>
      <c r="FN1511" s="6"/>
      <c r="FO1511" s="138"/>
      <c r="FP1511" s="138"/>
      <c r="FQ1511" s="123"/>
      <c r="FR1511" s="6"/>
      <c r="FS1511" s="6"/>
      <c r="FT1511" s="139"/>
      <c r="FU1511" s="139"/>
      <c r="FV1511" s="76"/>
      <c r="FW1511" s="123"/>
      <c r="FX1511" s="6"/>
    </row>
    <row r="1512" spans="35:180">
      <c r="AI1512" s="125"/>
      <c r="AJ1512" s="16"/>
      <c r="AM1512" s="16"/>
      <c r="AN1512" s="16"/>
      <c r="AO1512" s="125"/>
      <c r="AP1512" s="16"/>
      <c r="AQ1512" s="125"/>
      <c r="AZ1512" s="125"/>
      <c r="BA1512" s="142"/>
      <c r="BB1512" s="125"/>
      <c r="BC1512" s="16"/>
      <c r="BD1512" s="125"/>
      <c r="BE1512" s="125"/>
      <c r="BF1512" s="16"/>
      <c r="BG1512" s="125"/>
      <c r="BQ1512" s="125"/>
      <c r="BR1512" s="16"/>
      <c r="BS1512" s="123"/>
      <c r="BT1512" s="19"/>
      <c r="BU1512" s="139"/>
      <c r="BV1512" s="139"/>
      <c r="BW1512" s="123"/>
      <c r="BX1512" s="123"/>
      <c r="BY1512" s="123"/>
      <c r="BZ1512" s="123"/>
      <c r="CA1512" s="123"/>
      <c r="CB1512" s="123"/>
      <c r="CC1512" s="6"/>
      <c r="CD1512" s="123"/>
      <c r="CE1512" s="6"/>
      <c r="CF1512" s="123"/>
      <c r="CG1512" s="6"/>
      <c r="CH1512" s="6"/>
      <c r="CI1512" s="6"/>
      <c r="CJ1512" s="6"/>
      <c r="CK1512" s="123"/>
      <c r="CL1512" s="6"/>
      <c r="CM1512" s="6"/>
      <c r="CN1512" s="6"/>
      <c r="CO1512" s="138"/>
      <c r="CP1512" s="138"/>
      <c r="CQ1512" s="123"/>
      <c r="CR1512" s="6"/>
      <c r="CS1512" s="6"/>
      <c r="CT1512" s="139"/>
      <c r="CU1512" s="139"/>
      <c r="CV1512" s="76"/>
      <c r="CW1512" s="123"/>
      <c r="CX1512" s="6"/>
      <c r="DI1512" s="125"/>
      <c r="DJ1512" s="16"/>
      <c r="DM1512" s="16"/>
      <c r="DN1512" s="16"/>
      <c r="DO1512" s="125"/>
      <c r="DP1512" s="16"/>
      <c r="DQ1512" s="125"/>
      <c r="DZ1512" s="125"/>
      <c r="EA1512" s="142"/>
      <c r="EB1512" s="125"/>
      <c r="EC1512" s="16"/>
      <c r="ED1512" s="125"/>
      <c r="EE1512" s="125"/>
      <c r="EF1512" s="16"/>
      <c r="EG1512" s="125"/>
      <c r="EQ1512" s="125"/>
      <c r="ER1512" s="16"/>
      <c r="ES1512" s="123"/>
      <c r="ET1512" s="19"/>
      <c r="EU1512" s="139"/>
      <c r="EV1512" s="139"/>
      <c r="EW1512" s="123"/>
      <c r="EX1512" s="123"/>
      <c r="EY1512" s="123"/>
      <c r="EZ1512" s="123"/>
      <c r="FA1512" s="123"/>
      <c r="FB1512" s="123"/>
      <c r="FC1512" s="6"/>
      <c r="FD1512" s="123"/>
      <c r="FE1512" s="6"/>
      <c r="FF1512" s="123"/>
      <c r="FG1512" s="6"/>
      <c r="FH1512" s="6"/>
      <c r="FI1512" s="6"/>
      <c r="FJ1512" s="6"/>
      <c r="FK1512" s="123"/>
      <c r="FL1512" s="6"/>
      <c r="FM1512" s="6"/>
      <c r="FN1512" s="6"/>
      <c r="FO1512" s="138"/>
      <c r="FP1512" s="138"/>
      <c r="FQ1512" s="123"/>
      <c r="FR1512" s="6"/>
      <c r="FS1512" s="6"/>
      <c r="FT1512" s="139"/>
      <c r="FU1512" s="139"/>
      <c r="FV1512" s="76"/>
      <c r="FW1512" s="123"/>
      <c r="FX1512" s="6"/>
    </row>
    <row r="1513" spans="35:180">
      <c r="AI1513" s="125"/>
      <c r="AJ1513" s="16"/>
      <c r="AM1513" s="16"/>
      <c r="AN1513" s="16"/>
      <c r="AO1513" s="125"/>
      <c r="AP1513" s="16"/>
      <c r="AQ1513" s="125"/>
      <c r="AZ1513" s="125"/>
      <c r="BA1513" s="142"/>
      <c r="BB1513" s="125"/>
      <c r="BC1513" s="16"/>
      <c r="BD1513" s="125"/>
      <c r="BE1513" s="125"/>
      <c r="BF1513" s="16"/>
      <c r="BG1513" s="125"/>
      <c r="BQ1513" s="125"/>
      <c r="BR1513" s="16"/>
      <c r="BS1513" s="123"/>
      <c r="BT1513" s="19"/>
      <c r="BU1513" s="139"/>
      <c r="BV1513" s="139"/>
      <c r="BW1513" s="123"/>
      <c r="BX1513" s="123"/>
      <c r="BY1513" s="123"/>
      <c r="BZ1513" s="123"/>
      <c r="CA1513" s="123"/>
      <c r="CB1513" s="123"/>
      <c r="CC1513" s="6"/>
      <c r="CD1513" s="123"/>
      <c r="CE1513" s="6"/>
      <c r="CF1513" s="123"/>
      <c r="CG1513" s="6"/>
      <c r="CH1513" s="6"/>
      <c r="CI1513" s="6"/>
      <c r="CJ1513" s="6"/>
      <c r="CK1513" s="123"/>
      <c r="CL1513" s="6"/>
      <c r="CM1513" s="6"/>
      <c r="CN1513" s="6"/>
      <c r="CO1513" s="138"/>
      <c r="CP1513" s="138"/>
      <c r="CQ1513" s="123"/>
      <c r="CR1513" s="6"/>
      <c r="CS1513" s="6"/>
      <c r="CT1513" s="139"/>
      <c r="CU1513" s="139"/>
      <c r="CV1513" s="76"/>
      <c r="CW1513" s="123"/>
      <c r="CX1513" s="6"/>
      <c r="DI1513" s="125"/>
      <c r="DJ1513" s="16"/>
      <c r="DM1513" s="16"/>
      <c r="DN1513" s="16"/>
      <c r="DO1513" s="125"/>
      <c r="DP1513" s="16"/>
      <c r="DQ1513" s="125"/>
      <c r="DZ1513" s="125"/>
      <c r="EA1513" s="142"/>
      <c r="EB1513" s="125"/>
      <c r="EC1513" s="16"/>
      <c r="ED1513" s="125"/>
      <c r="EE1513" s="125"/>
      <c r="EF1513" s="16"/>
      <c r="EG1513" s="125"/>
      <c r="EQ1513" s="125"/>
      <c r="ER1513" s="16"/>
      <c r="ES1513" s="123"/>
      <c r="ET1513" s="19"/>
      <c r="EU1513" s="139"/>
      <c r="EV1513" s="139"/>
      <c r="EW1513" s="123"/>
      <c r="EX1513" s="123"/>
      <c r="EY1513" s="123"/>
      <c r="EZ1513" s="123"/>
      <c r="FA1513" s="123"/>
      <c r="FB1513" s="123"/>
      <c r="FC1513" s="6"/>
      <c r="FD1513" s="123"/>
      <c r="FE1513" s="6"/>
      <c r="FF1513" s="123"/>
      <c r="FG1513" s="6"/>
      <c r="FH1513" s="6"/>
      <c r="FI1513" s="6"/>
      <c r="FJ1513" s="6"/>
      <c r="FK1513" s="123"/>
      <c r="FL1513" s="6"/>
      <c r="FM1513" s="6"/>
      <c r="FN1513" s="6"/>
      <c r="FO1513" s="138"/>
      <c r="FP1513" s="138"/>
      <c r="FQ1513" s="123"/>
      <c r="FR1513" s="6"/>
      <c r="FS1513" s="6"/>
      <c r="FT1513" s="139"/>
      <c r="FU1513" s="139"/>
      <c r="FV1513" s="76"/>
      <c r="FW1513" s="123"/>
      <c r="FX1513" s="6"/>
    </row>
    <row r="1514" spans="35:180">
      <c r="AI1514" s="125"/>
      <c r="AJ1514" s="16"/>
      <c r="AM1514" s="16"/>
      <c r="AN1514" s="16"/>
      <c r="AO1514" s="125"/>
      <c r="AP1514" s="16"/>
      <c r="AQ1514" s="125"/>
      <c r="AZ1514" s="125"/>
      <c r="BA1514" s="142"/>
      <c r="BB1514" s="125"/>
      <c r="BC1514" s="16"/>
      <c r="BD1514" s="125"/>
      <c r="BE1514" s="125"/>
      <c r="BF1514" s="16"/>
      <c r="BG1514" s="125"/>
      <c r="BQ1514" s="125"/>
      <c r="BR1514" s="16"/>
      <c r="BS1514" s="123"/>
      <c r="BT1514" s="19"/>
      <c r="BU1514" s="139"/>
      <c r="BV1514" s="139"/>
      <c r="BW1514" s="123"/>
      <c r="BX1514" s="123"/>
      <c r="BY1514" s="123"/>
      <c r="BZ1514" s="123"/>
      <c r="CA1514" s="123"/>
      <c r="CB1514" s="123"/>
      <c r="CC1514" s="6"/>
      <c r="CD1514" s="123"/>
      <c r="CE1514" s="6"/>
      <c r="CF1514" s="123"/>
      <c r="CG1514" s="6"/>
      <c r="CH1514" s="6"/>
      <c r="CI1514" s="6"/>
      <c r="CJ1514" s="6"/>
      <c r="CK1514" s="123"/>
      <c r="CL1514" s="6"/>
      <c r="CM1514" s="6"/>
      <c r="CN1514" s="6"/>
      <c r="CO1514" s="138"/>
      <c r="CP1514" s="138"/>
      <c r="CQ1514" s="123"/>
      <c r="CR1514" s="6"/>
      <c r="CS1514" s="6"/>
      <c r="CT1514" s="139"/>
      <c r="CU1514" s="139"/>
      <c r="CV1514" s="76"/>
      <c r="CW1514" s="123"/>
      <c r="CX1514" s="6"/>
      <c r="DI1514" s="125"/>
      <c r="DJ1514" s="16"/>
      <c r="DM1514" s="16"/>
      <c r="DN1514" s="16"/>
      <c r="DO1514" s="125"/>
      <c r="DP1514" s="16"/>
      <c r="DQ1514" s="125"/>
      <c r="DZ1514" s="125"/>
      <c r="EA1514" s="142"/>
      <c r="EB1514" s="125"/>
      <c r="EC1514" s="16"/>
      <c r="ED1514" s="125"/>
      <c r="EE1514" s="125"/>
      <c r="EF1514" s="16"/>
      <c r="EG1514" s="125"/>
      <c r="EQ1514" s="125"/>
      <c r="ER1514" s="16"/>
      <c r="ES1514" s="123"/>
      <c r="ET1514" s="19"/>
      <c r="EU1514" s="139"/>
      <c r="EV1514" s="139"/>
      <c r="EW1514" s="123"/>
      <c r="EX1514" s="123"/>
      <c r="EY1514" s="123"/>
      <c r="EZ1514" s="123"/>
      <c r="FA1514" s="123"/>
      <c r="FB1514" s="123"/>
      <c r="FC1514" s="6"/>
      <c r="FD1514" s="123"/>
      <c r="FE1514" s="6"/>
      <c r="FF1514" s="123"/>
      <c r="FG1514" s="6"/>
      <c r="FH1514" s="6"/>
      <c r="FI1514" s="6"/>
      <c r="FJ1514" s="6"/>
      <c r="FK1514" s="123"/>
      <c r="FL1514" s="6"/>
      <c r="FM1514" s="6"/>
      <c r="FN1514" s="6"/>
      <c r="FO1514" s="138"/>
      <c r="FP1514" s="138"/>
      <c r="FQ1514" s="123"/>
      <c r="FR1514" s="6"/>
      <c r="FS1514" s="6"/>
      <c r="FT1514" s="139"/>
      <c r="FU1514" s="139"/>
      <c r="FV1514" s="76"/>
      <c r="FW1514" s="123"/>
      <c r="FX1514" s="6"/>
    </row>
    <row r="1515" spans="35:180">
      <c r="AI1515" s="125"/>
      <c r="AJ1515" s="16"/>
      <c r="AM1515" s="16"/>
      <c r="AN1515" s="16"/>
      <c r="AO1515" s="125"/>
      <c r="AP1515" s="16"/>
      <c r="AQ1515" s="125"/>
      <c r="AZ1515" s="125"/>
      <c r="BA1515" s="142"/>
      <c r="BB1515" s="125"/>
      <c r="BC1515" s="16"/>
      <c r="BD1515" s="125"/>
      <c r="BE1515" s="125"/>
      <c r="BF1515" s="16"/>
      <c r="BG1515" s="125"/>
      <c r="BQ1515" s="125"/>
      <c r="BR1515" s="16"/>
      <c r="BS1515" s="123"/>
      <c r="BT1515" s="19"/>
      <c r="BU1515" s="139"/>
      <c r="BV1515" s="139"/>
      <c r="BW1515" s="123"/>
      <c r="BX1515" s="123"/>
      <c r="BY1515" s="123"/>
      <c r="BZ1515" s="123"/>
      <c r="CA1515" s="123"/>
      <c r="CB1515" s="123"/>
      <c r="CC1515" s="6"/>
      <c r="CD1515" s="123"/>
      <c r="CE1515" s="6"/>
      <c r="CF1515" s="123"/>
      <c r="CG1515" s="6"/>
      <c r="CH1515" s="6"/>
      <c r="CI1515" s="6"/>
      <c r="CJ1515" s="6"/>
      <c r="CK1515" s="123"/>
      <c r="CL1515" s="6"/>
      <c r="CM1515" s="6"/>
      <c r="CN1515" s="6"/>
      <c r="CO1515" s="138"/>
      <c r="CP1515" s="138"/>
      <c r="CQ1515" s="123"/>
      <c r="CR1515" s="6"/>
      <c r="CS1515" s="6"/>
      <c r="CT1515" s="139"/>
      <c r="CU1515" s="139"/>
      <c r="CV1515" s="76"/>
      <c r="CW1515" s="123"/>
      <c r="CX1515" s="6"/>
      <c r="DI1515" s="125"/>
      <c r="DJ1515" s="16"/>
      <c r="DM1515" s="16"/>
      <c r="DN1515" s="16"/>
      <c r="DO1515" s="125"/>
      <c r="DP1515" s="16"/>
      <c r="DQ1515" s="125"/>
      <c r="DZ1515" s="125"/>
      <c r="EA1515" s="142"/>
      <c r="EB1515" s="125"/>
      <c r="EC1515" s="16"/>
      <c r="ED1515" s="125"/>
      <c r="EE1515" s="125"/>
      <c r="EF1515" s="16"/>
      <c r="EG1515" s="125"/>
      <c r="EQ1515" s="125"/>
      <c r="ER1515" s="16"/>
      <c r="ES1515" s="123"/>
      <c r="ET1515" s="19"/>
      <c r="EU1515" s="139"/>
      <c r="EV1515" s="139"/>
      <c r="EW1515" s="123"/>
      <c r="EX1515" s="123"/>
      <c r="EY1515" s="123"/>
      <c r="EZ1515" s="123"/>
      <c r="FA1515" s="123"/>
      <c r="FB1515" s="123"/>
      <c r="FC1515" s="6"/>
      <c r="FD1515" s="123"/>
      <c r="FE1515" s="6"/>
      <c r="FF1515" s="123"/>
      <c r="FG1515" s="6"/>
      <c r="FH1515" s="6"/>
      <c r="FI1515" s="6"/>
      <c r="FJ1515" s="6"/>
      <c r="FK1515" s="123"/>
      <c r="FL1515" s="6"/>
      <c r="FM1515" s="6"/>
      <c r="FN1515" s="6"/>
      <c r="FO1515" s="138"/>
      <c r="FP1515" s="138"/>
      <c r="FQ1515" s="123"/>
      <c r="FR1515" s="6"/>
      <c r="FS1515" s="6"/>
      <c r="FT1515" s="139"/>
      <c r="FU1515" s="139"/>
      <c r="FV1515" s="76"/>
      <c r="FW1515" s="123"/>
      <c r="FX1515" s="6"/>
    </row>
    <row r="1516" spans="35:180">
      <c r="AI1516" s="125"/>
      <c r="AJ1516" s="16"/>
      <c r="AM1516" s="16"/>
      <c r="AN1516" s="16"/>
      <c r="AO1516" s="125"/>
      <c r="AP1516" s="16"/>
      <c r="AQ1516" s="125"/>
      <c r="AZ1516" s="125"/>
      <c r="BA1516" s="142"/>
      <c r="BB1516" s="125"/>
      <c r="BC1516" s="16"/>
      <c r="BD1516" s="125"/>
      <c r="BE1516" s="125"/>
      <c r="BF1516" s="16"/>
      <c r="BG1516" s="125"/>
      <c r="BQ1516" s="125"/>
      <c r="BR1516" s="16"/>
      <c r="BS1516" s="123"/>
      <c r="BT1516" s="19"/>
      <c r="BU1516" s="139"/>
      <c r="BV1516" s="139"/>
      <c r="BW1516" s="123"/>
      <c r="BX1516" s="123"/>
      <c r="BY1516" s="123"/>
      <c r="BZ1516" s="123"/>
      <c r="CA1516" s="123"/>
      <c r="CB1516" s="123"/>
      <c r="CC1516" s="6"/>
      <c r="CD1516" s="123"/>
      <c r="CE1516" s="6"/>
      <c r="CF1516" s="123"/>
      <c r="CG1516" s="6"/>
      <c r="CH1516" s="6"/>
      <c r="CI1516" s="6"/>
      <c r="CJ1516" s="6"/>
      <c r="CK1516" s="123"/>
      <c r="CL1516" s="6"/>
      <c r="CM1516" s="6"/>
      <c r="CN1516" s="6"/>
      <c r="CO1516" s="138"/>
      <c r="CP1516" s="138"/>
      <c r="CQ1516" s="123"/>
      <c r="CR1516" s="6"/>
      <c r="CS1516" s="6"/>
      <c r="CT1516" s="139"/>
      <c r="CU1516" s="139"/>
      <c r="CV1516" s="76"/>
      <c r="CW1516" s="123"/>
      <c r="CX1516" s="6"/>
      <c r="DI1516" s="125"/>
      <c r="DJ1516" s="16"/>
      <c r="DM1516" s="16"/>
      <c r="DN1516" s="16"/>
      <c r="DO1516" s="125"/>
      <c r="DP1516" s="16"/>
      <c r="DQ1516" s="125"/>
      <c r="DZ1516" s="125"/>
      <c r="EA1516" s="142"/>
      <c r="EB1516" s="125"/>
      <c r="EC1516" s="16"/>
      <c r="ED1516" s="125"/>
      <c r="EE1516" s="125"/>
      <c r="EF1516" s="16"/>
      <c r="EG1516" s="125"/>
      <c r="EQ1516" s="125"/>
      <c r="ER1516" s="16"/>
      <c r="ES1516" s="123"/>
      <c r="ET1516" s="19"/>
      <c r="EU1516" s="139"/>
      <c r="EV1516" s="139"/>
      <c r="EW1516" s="123"/>
      <c r="EX1516" s="123"/>
      <c r="EY1516" s="123"/>
      <c r="EZ1516" s="123"/>
      <c r="FA1516" s="123"/>
      <c r="FB1516" s="123"/>
      <c r="FC1516" s="6"/>
      <c r="FD1516" s="123"/>
      <c r="FE1516" s="6"/>
      <c r="FF1516" s="123"/>
      <c r="FG1516" s="6"/>
      <c r="FH1516" s="6"/>
      <c r="FI1516" s="6"/>
      <c r="FJ1516" s="6"/>
      <c r="FK1516" s="123"/>
      <c r="FL1516" s="6"/>
      <c r="FM1516" s="6"/>
      <c r="FN1516" s="6"/>
      <c r="FO1516" s="138"/>
      <c r="FP1516" s="138"/>
      <c r="FQ1516" s="123"/>
      <c r="FR1516" s="6"/>
      <c r="FS1516" s="6"/>
      <c r="FT1516" s="139"/>
      <c r="FU1516" s="139"/>
      <c r="FV1516" s="76"/>
      <c r="FW1516" s="123"/>
      <c r="FX1516" s="6"/>
    </row>
    <row r="1517" spans="35:180">
      <c r="AI1517" s="125"/>
      <c r="AJ1517" s="16"/>
      <c r="AM1517" s="16"/>
      <c r="AN1517" s="16"/>
      <c r="AO1517" s="125"/>
      <c r="AP1517" s="16"/>
      <c r="AQ1517" s="125"/>
      <c r="AZ1517" s="125"/>
      <c r="BA1517" s="142"/>
      <c r="BB1517" s="125"/>
      <c r="BC1517" s="16"/>
      <c r="BD1517" s="125"/>
      <c r="BE1517" s="125"/>
      <c r="BF1517" s="16"/>
      <c r="BG1517" s="125"/>
      <c r="BQ1517" s="125"/>
      <c r="BR1517" s="16"/>
      <c r="BS1517" s="123"/>
      <c r="BT1517" s="19"/>
      <c r="BU1517" s="139"/>
      <c r="BV1517" s="139"/>
      <c r="BW1517" s="123"/>
      <c r="BX1517" s="123"/>
      <c r="BY1517" s="123"/>
      <c r="BZ1517" s="123"/>
      <c r="CA1517" s="123"/>
      <c r="CB1517" s="123"/>
      <c r="CC1517" s="6"/>
      <c r="CD1517" s="123"/>
      <c r="CE1517" s="6"/>
      <c r="CF1517" s="123"/>
      <c r="CG1517" s="6"/>
      <c r="CH1517" s="6"/>
      <c r="CI1517" s="6"/>
      <c r="CJ1517" s="6"/>
      <c r="CK1517" s="123"/>
      <c r="CL1517" s="6"/>
      <c r="CM1517" s="6"/>
      <c r="CN1517" s="6"/>
      <c r="CO1517" s="138"/>
      <c r="CP1517" s="138"/>
      <c r="CQ1517" s="123"/>
      <c r="CR1517" s="6"/>
      <c r="CS1517" s="6"/>
      <c r="CT1517" s="139"/>
      <c r="CU1517" s="139"/>
      <c r="CV1517" s="76"/>
      <c r="CW1517" s="123"/>
      <c r="CX1517" s="6"/>
      <c r="DI1517" s="125"/>
      <c r="DJ1517" s="16"/>
      <c r="DM1517" s="16"/>
      <c r="DN1517" s="16"/>
      <c r="DO1517" s="125"/>
      <c r="DP1517" s="16"/>
      <c r="DQ1517" s="125"/>
      <c r="DZ1517" s="125"/>
      <c r="EA1517" s="142"/>
      <c r="EB1517" s="125"/>
      <c r="EC1517" s="16"/>
      <c r="ED1517" s="125"/>
      <c r="EE1517" s="125"/>
      <c r="EF1517" s="16"/>
      <c r="EG1517" s="125"/>
      <c r="EQ1517" s="125"/>
      <c r="ER1517" s="16"/>
      <c r="ES1517" s="123"/>
      <c r="ET1517" s="19"/>
      <c r="EU1517" s="139"/>
      <c r="EV1517" s="139"/>
      <c r="EW1517" s="123"/>
      <c r="EX1517" s="123"/>
      <c r="EY1517" s="123"/>
      <c r="EZ1517" s="123"/>
      <c r="FA1517" s="123"/>
      <c r="FB1517" s="123"/>
      <c r="FC1517" s="6"/>
      <c r="FD1517" s="123"/>
      <c r="FE1517" s="6"/>
      <c r="FF1517" s="123"/>
      <c r="FG1517" s="6"/>
      <c r="FH1517" s="6"/>
      <c r="FI1517" s="6"/>
      <c r="FJ1517" s="6"/>
      <c r="FK1517" s="123"/>
      <c r="FL1517" s="6"/>
      <c r="FM1517" s="6"/>
      <c r="FN1517" s="6"/>
      <c r="FO1517" s="138"/>
      <c r="FP1517" s="138"/>
      <c r="FQ1517" s="123"/>
      <c r="FR1517" s="6"/>
      <c r="FS1517" s="6"/>
      <c r="FT1517" s="139"/>
      <c r="FU1517" s="139"/>
      <c r="FV1517" s="76"/>
      <c r="FW1517" s="123"/>
      <c r="FX1517" s="6"/>
    </row>
    <row r="1518" spans="35:180">
      <c r="AI1518" s="125"/>
      <c r="AJ1518" s="16"/>
      <c r="AM1518" s="16"/>
      <c r="AN1518" s="16"/>
      <c r="AO1518" s="125"/>
      <c r="AP1518" s="16"/>
      <c r="AQ1518" s="125"/>
      <c r="AZ1518" s="125"/>
      <c r="BA1518" s="142"/>
      <c r="BB1518" s="125"/>
      <c r="BC1518" s="16"/>
      <c r="BD1518" s="125"/>
      <c r="BE1518" s="125"/>
      <c r="BF1518" s="16"/>
      <c r="BG1518" s="125"/>
      <c r="BQ1518" s="125"/>
      <c r="BR1518" s="16"/>
      <c r="BS1518" s="123"/>
      <c r="BT1518" s="19"/>
      <c r="BU1518" s="139"/>
      <c r="BV1518" s="139"/>
      <c r="BW1518" s="123"/>
      <c r="BX1518" s="123"/>
      <c r="BY1518" s="123"/>
      <c r="BZ1518" s="123"/>
      <c r="CA1518" s="123"/>
      <c r="CB1518" s="123"/>
      <c r="CC1518" s="6"/>
      <c r="CD1518" s="123"/>
      <c r="CE1518" s="6"/>
      <c r="CF1518" s="123"/>
      <c r="CG1518" s="6"/>
      <c r="CH1518" s="6"/>
      <c r="CI1518" s="6"/>
      <c r="CJ1518" s="6"/>
      <c r="CK1518" s="123"/>
      <c r="CL1518" s="6"/>
      <c r="CM1518" s="6"/>
      <c r="CN1518" s="6"/>
      <c r="CO1518" s="138"/>
      <c r="CP1518" s="138"/>
      <c r="CQ1518" s="123"/>
      <c r="CR1518" s="6"/>
      <c r="CS1518" s="6"/>
      <c r="CT1518" s="139"/>
      <c r="CU1518" s="139"/>
      <c r="CV1518" s="76"/>
      <c r="CW1518" s="123"/>
      <c r="CX1518" s="6"/>
      <c r="DI1518" s="125"/>
      <c r="DJ1518" s="16"/>
      <c r="DM1518" s="16"/>
      <c r="DN1518" s="16"/>
      <c r="DO1518" s="125"/>
      <c r="DP1518" s="16"/>
      <c r="DQ1518" s="125"/>
      <c r="DZ1518" s="125"/>
      <c r="EA1518" s="142"/>
      <c r="EB1518" s="125"/>
      <c r="EC1518" s="16"/>
      <c r="ED1518" s="125"/>
      <c r="EE1518" s="125"/>
      <c r="EF1518" s="16"/>
      <c r="EG1518" s="125"/>
      <c r="EQ1518" s="125"/>
      <c r="ER1518" s="16"/>
      <c r="ES1518" s="123"/>
      <c r="ET1518" s="19"/>
      <c r="EU1518" s="139"/>
      <c r="EV1518" s="139"/>
      <c r="EW1518" s="123"/>
      <c r="EX1518" s="123"/>
      <c r="EY1518" s="123"/>
      <c r="EZ1518" s="123"/>
      <c r="FA1518" s="123"/>
      <c r="FB1518" s="123"/>
      <c r="FC1518" s="6"/>
      <c r="FD1518" s="123"/>
      <c r="FE1518" s="6"/>
      <c r="FF1518" s="123"/>
      <c r="FG1518" s="6"/>
      <c r="FH1518" s="6"/>
      <c r="FI1518" s="6"/>
      <c r="FJ1518" s="6"/>
      <c r="FK1518" s="123"/>
      <c r="FL1518" s="6"/>
      <c r="FM1518" s="6"/>
      <c r="FN1518" s="6"/>
      <c r="FO1518" s="138"/>
      <c r="FP1518" s="138"/>
      <c r="FQ1518" s="123"/>
      <c r="FR1518" s="6"/>
      <c r="FS1518" s="6"/>
      <c r="FT1518" s="139"/>
      <c r="FU1518" s="139"/>
      <c r="FV1518" s="76"/>
      <c r="FW1518" s="123"/>
      <c r="FX1518" s="6"/>
    </row>
    <row r="1519" spans="35:180">
      <c r="AI1519" s="125"/>
      <c r="AJ1519" s="16"/>
      <c r="AM1519" s="16"/>
      <c r="AN1519" s="16"/>
      <c r="AO1519" s="125"/>
      <c r="AP1519" s="16"/>
      <c r="AQ1519" s="125"/>
      <c r="AZ1519" s="125"/>
      <c r="BA1519" s="142"/>
      <c r="BB1519" s="125"/>
      <c r="BC1519" s="16"/>
      <c r="BD1519" s="125"/>
      <c r="BE1519" s="125"/>
      <c r="BF1519" s="16"/>
      <c r="BG1519" s="125"/>
      <c r="BQ1519" s="125"/>
      <c r="BR1519" s="16"/>
      <c r="BS1519" s="123"/>
      <c r="BT1519" s="19"/>
      <c r="BU1519" s="139"/>
      <c r="BV1519" s="139"/>
      <c r="BW1519" s="123"/>
      <c r="BX1519" s="123"/>
      <c r="BY1519" s="123"/>
      <c r="BZ1519" s="123"/>
      <c r="CA1519" s="123"/>
      <c r="CB1519" s="123"/>
      <c r="CC1519" s="6"/>
      <c r="CD1519" s="123"/>
      <c r="CE1519" s="6"/>
      <c r="CF1519" s="123"/>
      <c r="CG1519" s="6"/>
      <c r="CH1519" s="6"/>
      <c r="CI1519" s="6"/>
      <c r="CJ1519" s="6"/>
      <c r="CK1519" s="123"/>
      <c r="CL1519" s="6"/>
      <c r="CM1519" s="6"/>
      <c r="CN1519" s="6"/>
      <c r="CO1519" s="138"/>
      <c r="CP1519" s="138"/>
      <c r="CQ1519" s="123"/>
      <c r="CR1519" s="6"/>
      <c r="CS1519" s="6"/>
      <c r="CT1519" s="139"/>
      <c r="CU1519" s="139"/>
      <c r="CV1519" s="76"/>
      <c r="CW1519" s="123"/>
      <c r="CX1519" s="6"/>
      <c r="DI1519" s="125"/>
      <c r="DJ1519" s="16"/>
      <c r="DM1519" s="16"/>
      <c r="DN1519" s="16"/>
      <c r="DO1519" s="125"/>
      <c r="DP1519" s="16"/>
      <c r="DQ1519" s="125"/>
      <c r="DZ1519" s="125"/>
      <c r="EA1519" s="142"/>
      <c r="EB1519" s="125"/>
      <c r="EC1519" s="16"/>
      <c r="ED1519" s="125"/>
      <c r="EE1519" s="125"/>
      <c r="EF1519" s="16"/>
      <c r="EG1519" s="125"/>
      <c r="EQ1519" s="125"/>
      <c r="ER1519" s="16"/>
      <c r="ES1519" s="123"/>
      <c r="ET1519" s="19"/>
      <c r="EU1519" s="139"/>
      <c r="EV1519" s="139"/>
      <c r="EW1519" s="123"/>
      <c r="EX1519" s="123"/>
      <c r="EY1519" s="123"/>
      <c r="EZ1519" s="123"/>
      <c r="FA1519" s="123"/>
      <c r="FB1519" s="123"/>
      <c r="FC1519" s="6"/>
      <c r="FD1519" s="123"/>
      <c r="FE1519" s="6"/>
      <c r="FF1519" s="123"/>
      <c r="FG1519" s="6"/>
      <c r="FH1519" s="6"/>
      <c r="FI1519" s="6"/>
      <c r="FJ1519" s="6"/>
      <c r="FK1519" s="123"/>
      <c r="FL1519" s="6"/>
      <c r="FM1519" s="6"/>
      <c r="FN1519" s="6"/>
      <c r="FO1519" s="138"/>
      <c r="FP1519" s="138"/>
      <c r="FQ1519" s="123"/>
      <c r="FR1519" s="6"/>
      <c r="FS1519" s="6"/>
      <c r="FT1519" s="139"/>
      <c r="FU1519" s="139"/>
      <c r="FV1519" s="76"/>
      <c r="FW1519" s="123"/>
      <c r="FX1519" s="6"/>
    </row>
    <row r="1520" spans="35:180">
      <c r="AI1520" s="125"/>
      <c r="AJ1520" s="16"/>
      <c r="AM1520" s="16"/>
      <c r="AN1520" s="16"/>
      <c r="AO1520" s="125"/>
      <c r="AP1520" s="16"/>
      <c r="AQ1520" s="125"/>
      <c r="AZ1520" s="125"/>
      <c r="BA1520" s="142"/>
      <c r="BB1520" s="125"/>
      <c r="BC1520" s="16"/>
      <c r="BD1520" s="125"/>
      <c r="BE1520" s="125"/>
      <c r="BF1520" s="16"/>
      <c r="BG1520" s="125"/>
      <c r="BQ1520" s="125"/>
      <c r="BR1520" s="16"/>
      <c r="BS1520" s="123"/>
      <c r="BT1520" s="19"/>
      <c r="BU1520" s="139"/>
      <c r="BV1520" s="139"/>
      <c r="BW1520" s="123"/>
      <c r="BX1520" s="123"/>
      <c r="BY1520" s="123"/>
      <c r="BZ1520" s="123"/>
      <c r="CA1520" s="123"/>
      <c r="CB1520" s="123"/>
      <c r="CC1520" s="6"/>
      <c r="CD1520" s="123"/>
      <c r="CE1520" s="6"/>
      <c r="CF1520" s="123"/>
      <c r="CG1520" s="6"/>
      <c r="CH1520" s="6"/>
      <c r="CI1520" s="6"/>
      <c r="CJ1520" s="6"/>
      <c r="CK1520" s="123"/>
      <c r="CL1520" s="6"/>
      <c r="CM1520" s="6"/>
      <c r="CN1520" s="6"/>
      <c r="CO1520" s="138"/>
      <c r="CP1520" s="138"/>
      <c r="CQ1520" s="123"/>
      <c r="CR1520" s="6"/>
      <c r="CS1520" s="6"/>
      <c r="CT1520" s="139"/>
      <c r="CU1520" s="139"/>
      <c r="CV1520" s="76"/>
      <c r="CW1520" s="123"/>
      <c r="CX1520" s="6"/>
      <c r="DI1520" s="125"/>
      <c r="DJ1520" s="16"/>
      <c r="DM1520" s="16"/>
      <c r="DN1520" s="16"/>
      <c r="DO1520" s="125"/>
      <c r="DP1520" s="16"/>
      <c r="DQ1520" s="125"/>
      <c r="DZ1520" s="125"/>
      <c r="EA1520" s="142"/>
      <c r="EB1520" s="125"/>
      <c r="EC1520" s="16"/>
      <c r="ED1520" s="125"/>
      <c r="EE1520" s="125"/>
      <c r="EF1520" s="16"/>
      <c r="EG1520" s="125"/>
      <c r="EQ1520" s="125"/>
      <c r="ER1520" s="16"/>
      <c r="ES1520" s="123"/>
      <c r="ET1520" s="19"/>
      <c r="EU1520" s="139"/>
      <c r="EV1520" s="139"/>
      <c r="EW1520" s="123"/>
      <c r="EX1520" s="123"/>
      <c r="EY1520" s="123"/>
      <c r="EZ1520" s="123"/>
      <c r="FA1520" s="123"/>
      <c r="FB1520" s="123"/>
      <c r="FC1520" s="6"/>
      <c r="FD1520" s="123"/>
      <c r="FE1520" s="6"/>
      <c r="FF1520" s="123"/>
      <c r="FG1520" s="6"/>
      <c r="FH1520" s="6"/>
      <c r="FI1520" s="6"/>
      <c r="FJ1520" s="6"/>
      <c r="FK1520" s="123"/>
      <c r="FL1520" s="6"/>
      <c r="FM1520" s="6"/>
      <c r="FN1520" s="6"/>
      <c r="FO1520" s="138"/>
      <c r="FP1520" s="138"/>
      <c r="FQ1520" s="123"/>
      <c r="FR1520" s="6"/>
      <c r="FS1520" s="6"/>
      <c r="FT1520" s="139"/>
      <c r="FU1520" s="139"/>
      <c r="FV1520" s="76"/>
      <c r="FW1520" s="123"/>
      <c r="FX1520" s="6"/>
    </row>
    <row r="1521" spans="35:180">
      <c r="AI1521" s="125"/>
      <c r="AJ1521" s="16"/>
      <c r="AM1521" s="16"/>
      <c r="AN1521" s="16"/>
      <c r="AO1521" s="125"/>
      <c r="AP1521" s="16"/>
      <c r="AQ1521" s="125"/>
      <c r="AZ1521" s="125"/>
      <c r="BA1521" s="142"/>
      <c r="BB1521" s="125"/>
      <c r="BC1521" s="16"/>
      <c r="BD1521" s="125"/>
      <c r="BE1521" s="125"/>
      <c r="BF1521" s="16"/>
      <c r="BG1521" s="125"/>
      <c r="BQ1521" s="125"/>
      <c r="BR1521" s="16"/>
      <c r="BS1521" s="123"/>
      <c r="BT1521" s="19"/>
      <c r="BU1521" s="139"/>
      <c r="BV1521" s="139"/>
      <c r="BW1521" s="123"/>
      <c r="BX1521" s="123"/>
      <c r="BY1521" s="123"/>
      <c r="BZ1521" s="123"/>
      <c r="CA1521" s="123"/>
      <c r="CB1521" s="123"/>
      <c r="CC1521" s="6"/>
      <c r="CD1521" s="123"/>
      <c r="CE1521" s="6"/>
      <c r="CF1521" s="123"/>
      <c r="CG1521" s="6"/>
      <c r="CH1521" s="6"/>
      <c r="CI1521" s="6"/>
      <c r="CJ1521" s="6"/>
      <c r="CK1521" s="123"/>
      <c r="CL1521" s="6"/>
      <c r="CM1521" s="6"/>
      <c r="CN1521" s="6"/>
      <c r="CO1521" s="138"/>
      <c r="CP1521" s="138"/>
      <c r="CQ1521" s="123"/>
      <c r="CR1521" s="6"/>
      <c r="CS1521" s="6"/>
      <c r="CT1521" s="139"/>
      <c r="CU1521" s="139"/>
      <c r="CV1521" s="76"/>
      <c r="CW1521" s="123"/>
      <c r="CX1521" s="6"/>
      <c r="DI1521" s="125"/>
      <c r="DJ1521" s="16"/>
      <c r="DM1521" s="16"/>
      <c r="DN1521" s="16"/>
      <c r="DO1521" s="125"/>
      <c r="DP1521" s="16"/>
      <c r="DQ1521" s="125"/>
      <c r="DZ1521" s="125"/>
      <c r="EA1521" s="142"/>
      <c r="EB1521" s="125"/>
      <c r="EC1521" s="16"/>
      <c r="ED1521" s="125"/>
      <c r="EE1521" s="125"/>
      <c r="EF1521" s="16"/>
      <c r="EG1521" s="125"/>
      <c r="EQ1521" s="125"/>
      <c r="ER1521" s="16"/>
      <c r="ES1521" s="123"/>
      <c r="ET1521" s="19"/>
      <c r="EU1521" s="139"/>
      <c r="EV1521" s="139"/>
      <c r="EW1521" s="123"/>
      <c r="EX1521" s="123"/>
      <c r="EY1521" s="123"/>
      <c r="EZ1521" s="123"/>
      <c r="FA1521" s="123"/>
      <c r="FB1521" s="123"/>
      <c r="FC1521" s="6"/>
      <c r="FD1521" s="123"/>
      <c r="FE1521" s="6"/>
      <c r="FF1521" s="123"/>
      <c r="FG1521" s="6"/>
      <c r="FH1521" s="6"/>
      <c r="FI1521" s="6"/>
      <c r="FJ1521" s="6"/>
      <c r="FK1521" s="123"/>
      <c r="FL1521" s="6"/>
      <c r="FM1521" s="6"/>
      <c r="FN1521" s="6"/>
      <c r="FO1521" s="138"/>
      <c r="FP1521" s="138"/>
      <c r="FQ1521" s="123"/>
      <c r="FR1521" s="6"/>
      <c r="FS1521" s="6"/>
      <c r="FT1521" s="139"/>
      <c r="FU1521" s="139"/>
      <c r="FV1521" s="76"/>
      <c r="FW1521" s="123"/>
      <c r="FX1521" s="6"/>
    </row>
    <row r="1522" spans="35:180">
      <c r="AI1522" s="125"/>
      <c r="AJ1522" s="16"/>
      <c r="AM1522" s="16"/>
      <c r="AN1522" s="16"/>
      <c r="AO1522" s="125"/>
      <c r="AP1522" s="16"/>
      <c r="AQ1522" s="125"/>
      <c r="AZ1522" s="125"/>
      <c r="BA1522" s="142"/>
      <c r="BB1522" s="125"/>
      <c r="BC1522" s="16"/>
      <c r="BD1522" s="125"/>
      <c r="BE1522" s="125"/>
      <c r="BF1522" s="16"/>
      <c r="BG1522" s="125"/>
      <c r="BQ1522" s="125"/>
      <c r="BR1522" s="16"/>
      <c r="BS1522" s="123"/>
      <c r="BT1522" s="19"/>
      <c r="BU1522" s="139"/>
      <c r="BV1522" s="139"/>
      <c r="BW1522" s="123"/>
      <c r="BX1522" s="123"/>
      <c r="BY1522" s="123"/>
      <c r="BZ1522" s="123"/>
      <c r="CA1522" s="123"/>
      <c r="CB1522" s="123"/>
      <c r="CC1522" s="6"/>
      <c r="CD1522" s="123"/>
      <c r="CE1522" s="6"/>
      <c r="CF1522" s="123"/>
      <c r="CG1522" s="6"/>
      <c r="CH1522" s="6"/>
      <c r="CI1522" s="6"/>
      <c r="CJ1522" s="6"/>
      <c r="CK1522" s="123"/>
      <c r="CL1522" s="6"/>
      <c r="CM1522" s="6"/>
      <c r="CN1522" s="6"/>
      <c r="CO1522" s="138"/>
      <c r="CP1522" s="138"/>
      <c r="CQ1522" s="123"/>
      <c r="CR1522" s="6"/>
      <c r="CS1522" s="6"/>
      <c r="CT1522" s="139"/>
      <c r="CU1522" s="139"/>
      <c r="CV1522" s="76"/>
      <c r="CW1522" s="123"/>
      <c r="CX1522" s="6"/>
      <c r="DI1522" s="125"/>
      <c r="DJ1522" s="16"/>
      <c r="DM1522" s="16"/>
      <c r="DN1522" s="16"/>
      <c r="DO1522" s="125"/>
      <c r="DP1522" s="16"/>
      <c r="DQ1522" s="125"/>
      <c r="DZ1522" s="125"/>
      <c r="EA1522" s="142"/>
      <c r="EB1522" s="125"/>
      <c r="EC1522" s="16"/>
      <c r="ED1522" s="125"/>
      <c r="EE1522" s="125"/>
      <c r="EF1522" s="16"/>
      <c r="EG1522" s="125"/>
      <c r="EQ1522" s="125"/>
      <c r="ER1522" s="16"/>
      <c r="ES1522" s="123"/>
      <c r="ET1522" s="19"/>
      <c r="EU1522" s="139"/>
      <c r="EV1522" s="139"/>
      <c r="EW1522" s="123"/>
      <c r="EX1522" s="123"/>
      <c r="EY1522" s="123"/>
      <c r="EZ1522" s="123"/>
      <c r="FA1522" s="123"/>
      <c r="FB1522" s="123"/>
      <c r="FC1522" s="6"/>
      <c r="FD1522" s="123"/>
      <c r="FE1522" s="6"/>
      <c r="FF1522" s="123"/>
      <c r="FG1522" s="6"/>
      <c r="FH1522" s="6"/>
      <c r="FI1522" s="6"/>
      <c r="FJ1522" s="6"/>
      <c r="FK1522" s="123"/>
      <c r="FL1522" s="6"/>
      <c r="FM1522" s="6"/>
      <c r="FN1522" s="6"/>
      <c r="FO1522" s="138"/>
      <c r="FP1522" s="138"/>
      <c r="FQ1522" s="123"/>
      <c r="FR1522" s="6"/>
      <c r="FS1522" s="6"/>
      <c r="FT1522" s="139"/>
      <c r="FU1522" s="139"/>
      <c r="FV1522" s="76"/>
      <c r="FW1522" s="123"/>
      <c r="FX1522" s="6"/>
    </row>
    <row r="1523" spans="35:180">
      <c r="AI1523" s="125"/>
      <c r="AJ1523" s="16"/>
      <c r="AM1523" s="16"/>
      <c r="AN1523" s="16"/>
      <c r="AO1523" s="125"/>
      <c r="AP1523" s="16"/>
      <c r="AQ1523" s="125"/>
      <c r="AZ1523" s="125"/>
      <c r="BA1523" s="142"/>
      <c r="BB1523" s="125"/>
      <c r="BC1523" s="16"/>
      <c r="BD1523" s="125"/>
      <c r="BE1523" s="125"/>
      <c r="BF1523" s="16"/>
      <c r="BG1523" s="125"/>
      <c r="BQ1523" s="125"/>
      <c r="BR1523" s="16"/>
      <c r="BS1523" s="123"/>
      <c r="BT1523" s="19"/>
      <c r="BU1523" s="139"/>
      <c r="BV1523" s="139"/>
      <c r="BW1523" s="123"/>
      <c r="BX1523" s="123"/>
      <c r="BY1523" s="123"/>
      <c r="BZ1523" s="123"/>
      <c r="CA1523" s="123"/>
      <c r="CB1523" s="123"/>
      <c r="CC1523" s="6"/>
      <c r="CD1523" s="123"/>
      <c r="CE1523" s="6"/>
      <c r="CF1523" s="123"/>
      <c r="CG1523" s="6"/>
      <c r="CH1523" s="6"/>
      <c r="CI1523" s="6"/>
      <c r="CJ1523" s="6"/>
      <c r="CK1523" s="123"/>
      <c r="CL1523" s="6"/>
      <c r="CM1523" s="6"/>
      <c r="CN1523" s="6"/>
      <c r="CO1523" s="138"/>
      <c r="CP1523" s="138"/>
      <c r="CQ1523" s="123"/>
      <c r="CR1523" s="6"/>
      <c r="CS1523" s="6"/>
      <c r="CT1523" s="139"/>
      <c r="CU1523" s="139"/>
      <c r="CV1523" s="76"/>
      <c r="CW1523" s="123"/>
      <c r="CX1523" s="6"/>
      <c r="DI1523" s="125"/>
      <c r="DJ1523" s="16"/>
      <c r="DM1523" s="16"/>
      <c r="DN1523" s="16"/>
      <c r="DO1523" s="125"/>
      <c r="DP1523" s="16"/>
      <c r="DQ1523" s="125"/>
      <c r="DZ1523" s="125"/>
      <c r="EA1523" s="142"/>
      <c r="EB1523" s="125"/>
      <c r="EC1523" s="16"/>
      <c r="ED1523" s="125"/>
      <c r="EE1523" s="125"/>
      <c r="EF1523" s="16"/>
      <c r="EG1523" s="125"/>
      <c r="EQ1523" s="125"/>
      <c r="ER1523" s="16"/>
      <c r="ES1523" s="123"/>
      <c r="ET1523" s="19"/>
      <c r="EU1523" s="139"/>
      <c r="EV1523" s="139"/>
      <c r="EW1523" s="123"/>
      <c r="EX1523" s="123"/>
      <c r="EY1523" s="123"/>
      <c r="EZ1523" s="123"/>
      <c r="FA1523" s="123"/>
      <c r="FB1523" s="123"/>
      <c r="FC1523" s="6"/>
      <c r="FD1523" s="123"/>
      <c r="FE1523" s="6"/>
      <c r="FF1523" s="123"/>
      <c r="FG1523" s="6"/>
      <c r="FH1523" s="6"/>
      <c r="FI1523" s="6"/>
      <c r="FJ1523" s="6"/>
      <c r="FK1523" s="123"/>
      <c r="FL1523" s="6"/>
      <c r="FM1523" s="6"/>
      <c r="FN1523" s="6"/>
      <c r="FO1523" s="138"/>
      <c r="FP1523" s="138"/>
      <c r="FQ1523" s="123"/>
      <c r="FR1523" s="6"/>
      <c r="FS1523" s="6"/>
      <c r="FT1523" s="139"/>
      <c r="FU1523" s="139"/>
      <c r="FV1523" s="76"/>
      <c r="FW1523" s="123"/>
      <c r="FX1523" s="6"/>
    </row>
    <row r="1524" spans="35:180">
      <c r="AI1524" s="125"/>
      <c r="AJ1524" s="16"/>
      <c r="AM1524" s="16"/>
      <c r="AN1524" s="16"/>
      <c r="AO1524" s="125"/>
      <c r="AP1524" s="16"/>
      <c r="AQ1524" s="125"/>
      <c r="AZ1524" s="125"/>
      <c r="BA1524" s="142"/>
      <c r="BB1524" s="125"/>
      <c r="BC1524" s="16"/>
      <c r="BD1524" s="125"/>
      <c r="BE1524" s="125"/>
      <c r="BF1524" s="16"/>
      <c r="BG1524" s="125"/>
      <c r="BQ1524" s="125"/>
      <c r="BR1524" s="16"/>
      <c r="BS1524" s="123"/>
      <c r="BT1524" s="19"/>
      <c r="BU1524" s="139"/>
      <c r="BV1524" s="139"/>
      <c r="BW1524" s="123"/>
      <c r="BX1524" s="123"/>
      <c r="BY1524" s="123"/>
      <c r="BZ1524" s="123"/>
      <c r="CA1524" s="123"/>
      <c r="CB1524" s="123"/>
      <c r="CC1524" s="6"/>
      <c r="CD1524" s="123"/>
      <c r="CE1524" s="6"/>
      <c r="CF1524" s="123"/>
      <c r="CG1524" s="6"/>
      <c r="CH1524" s="6"/>
      <c r="CI1524" s="6"/>
      <c r="CJ1524" s="6"/>
      <c r="CK1524" s="123"/>
      <c r="CL1524" s="6"/>
      <c r="CM1524" s="6"/>
      <c r="CN1524" s="6"/>
      <c r="CO1524" s="138"/>
      <c r="CP1524" s="138"/>
      <c r="CQ1524" s="123"/>
      <c r="CR1524" s="6"/>
      <c r="CS1524" s="6"/>
      <c r="CT1524" s="139"/>
      <c r="CU1524" s="139"/>
      <c r="CV1524" s="76"/>
      <c r="CW1524" s="123"/>
      <c r="CX1524" s="6"/>
      <c r="DI1524" s="125"/>
      <c r="DJ1524" s="16"/>
      <c r="DM1524" s="16"/>
      <c r="DN1524" s="16"/>
      <c r="DO1524" s="125"/>
      <c r="DP1524" s="16"/>
      <c r="DQ1524" s="125"/>
      <c r="DZ1524" s="125"/>
      <c r="EA1524" s="142"/>
      <c r="EB1524" s="125"/>
      <c r="EC1524" s="16"/>
      <c r="ED1524" s="125"/>
      <c r="EE1524" s="125"/>
      <c r="EF1524" s="16"/>
      <c r="EG1524" s="125"/>
      <c r="EQ1524" s="125"/>
      <c r="ER1524" s="16"/>
      <c r="ES1524" s="123"/>
      <c r="ET1524" s="19"/>
      <c r="EU1524" s="139"/>
      <c r="EV1524" s="139"/>
      <c r="EW1524" s="123"/>
      <c r="EX1524" s="123"/>
      <c r="EY1524" s="123"/>
      <c r="EZ1524" s="123"/>
      <c r="FA1524" s="123"/>
      <c r="FB1524" s="123"/>
      <c r="FC1524" s="6"/>
      <c r="FD1524" s="123"/>
      <c r="FE1524" s="6"/>
      <c r="FF1524" s="123"/>
      <c r="FG1524" s="6"/>
      <c r="FH1524" s="6"/>
      <c r="FI1524" s="6"/>
      <c r="FJ1524" s="6"/>
      <c r="FK1524" s="123"/>
      <c r="FL1524" s="6"/>
      <c r="FM1524" s="6"/>
      <c r="FN1524" s="6"/>
      <c r="FO1524" s="138"/>
      <c r="FP1524" s="138"/>
      <c r="FQ1524" s="123"/>
      <c r="FR1524" s="6"/>
      <c r="FS1524" s="6"/>
      <c r="FT1524" s="139"/>
      <c r="FU1524" s="139"/>
      <c r="FV1524" s="76"/>
      <c r="FW1524" s="123"/>
      <c r="FX1524" s="6"/>
    </row>
    <row r="1525" spans="35:180">
      <c r="AI1525" s="125"/>
      <c r="AJ1525" s="16"/>
      <c r="AM1525" s="16"/>
      <c r="AN1525" s="16"/>
      <c r="AO1525" s="125"/>
      <c r="AP1525" s="16"/>
      <c r="AQ1525" s="125"/>
      <c r="AZ1525" s="125"/>
      <c r="BA1525" s="142"/>
      <c r="BB1525" s="125"/>
      <c r="BC1525" s="16"/>
      <c r="BD1525" s="125"/>
      <c r="BE1525" s="125"/>
      <c r="BF1525" s="16"/>
      <c r="BG1525" s="125"/>
      <c r="BQ1525" s="125"/>
      <c r="BR1525" s="16"/>
      <c r="BS1525" s="123"/>
      <c r="BT1525" s="19"/>
      <c r="BU1525" s="139"/>
      <c r="BV1525" s="139"/>
      <c r="BW1525" s="123"/>
      <c r="BX1525" s="123"/>
      <c r="BY1525" s="123"/>
      <c r="BZ1525" s="123"/>
      <c r="CA1525" s="123"/>
      <c r="CB1525" s="123"/>
      <c r="CC1525" s="6"/>
      <c r="CD1525" s="123"/>
      <c r="CE1525" s="6"/>
      <c r="CF1525" s="123"/>
      <c r="CG1525" s="6"/>
      <c r="CH1525" s="6"/>
      <c r="CI1525" s="6"/>
      <c r="CJ1525" s="6"/>
      <c r="CK1525" s="123"/>
      <c r="CL1525" s="6"/>
      <c r="CM1525" s="6"/>
      <c r="CN1525" s="6"/>
      <c r="CO1525" s="138"/>
      <c r="CP1525" s="138"/>
      <c r="CQ1525" s="123"/>
      <c r="CR1525" s="6"/>
      <c r="CS1525" s="6"/>
      <c r="CT1525" s="139"/>
      <c r="CU1525" s="139"/>
      <c r="CV1525" s="76"/>
      <c r="CW1525" s="123"/>
      <c r="CX1525" s="6"/>
      <c r="DI1525" s="125"/>
      <c r="DJ1525" s="16"/>
      <c r="DM1525" s="16"/>
      <c r="DN1525" s="16"/>
      <c r="DO1525" s="125"/>
      <c r="DP1525" s="16"/>
      <c r="DQ1525" s="125"/>
      <c r="DZ1525" s="125"/>
      <c r="EA1525" s="142"/>
      <c r="EB1525" s="125"/>
      <c r="EC1525" s="16"/>
      <c r="ED1525" s="125"/>
      <c r="EE1525" s="125"/>
      <c r="EF1525" s="16"/>
      <c r="EG1525" s="125"/>
      <c r="EQ1525" s="125"/>
      <c r="ER1525" s="16"/>
      <c r="ES1525" s="123"/>
      <c r="ET1525" s="19"/>
      <c r="EU1525" s="139"/>
      <c r="EV1525" s="139"/>
      <c r="EW1525" s="123"/>
      <c r="EX1525" s="123"/>
      <c r="EY1525" s="123"/>
      <c r="EZ1525" s="123"/>
      <c r="FA1525" s="123"/>
      <c r="FB1525" s="123"/>
      <c r="FC1525" s="6"/>
      <c r="FD1525" s="123"/>
      <c r="FE1525" s="6"/>
      <c r="FF1525" s="123"/>
      <c r="FG1525" s="6"/>
      <c r="FH1525" s="6"/>
      <c r="FI1525" s="6"/>
      <c r="FJ1525" s="6"/>
      <c r="FK1525" s="123"/>
      <c r="FL1525" s="6"/>
      <c r="FM1525" s="6"/>
      <c r="FN1525" s="6"/>
      <c r="FO1525" s="138"/>
      <c r="FP1525" s="138"/>
      <c r="FQ1525" s="123"/>
      <c r="FR1525" s="6"/>
      <c r="FS1525" s="6"/>
      <c r="FT1525" s="139"/>
      <c r="FU1525" s="139"/>
      <c r="FV1525" s="76"/>
      <c r="FW1525" s="123"/>
      <c r="FX1525" s="6"/>
    </row>
    <row r="1526" spans="35:180">
      <c r="AI1526" s="125"/>
      <c r="AJ1526" s="16"/>
      <c r="AM1526" s="16"/>
      <c r="AN1526" s="16"/>
      <c r="AO1526" s="125"/>
      <c r="AP1526" s="16"/>
      <c r="AQ1526" s="125"/>
      <c r="AZ1526" s="125"/>
      <c r="BA1526" s="142"/>
      <c r="BB1526" s="125"/>
      <c r="BC1526" s="16"/>
      <c r="BD1526" s="125"/>
      <c r="BE1526" s="125"/>
      <c r="BF1526" s="16"/>
      <c r="BG1526" s="125"/>
      <c r="BQ1526" s="125"/>
      <c r="BR1526" s="16"/>
      <c r="BS1526" s="123"/>
      <c r="BT1526" s="19"/>
      <c r="BU1526" s="139"/>
      <c r="BV1526" s="139"/>
      <c r="BW1526" s="123"/>
      <c r="BX1526" s="123"/>
      <c r="BY1526" s="123"/>
      <c r="BZ1526" s="123"/>
      <c r="CA1526" s="123"/>
      <c r="CB1526" s="123"/>
      <c r="CC1526" s="6"/>
      <c r="CD1526" s="123"/>
      <c r="CE1526" s="6"/>
      <c r="CF1526" s="123"/>
      <c r="CG1526" s="6"/>
      <c r="CH1526" s="6"/>
      <c r="CI1526" s="6"/>
      <c r="CJ1526" s="6"/>
      <c r="CK1526" s="123"/>
      <c r="CL1526" s="6"/>
      <c r="CM1526" s="6"/>
      <c r="CN1526" s="6"/>
      <c r="CO1526" s="138"/>
      <c r="CP1526" s="138"/>
      <c r="CQ1526" s="123"/>
      <c r="CR1526" s="6"/>
      <c r="CS1526" s="6"/>
      <c r="CT1526" s="139"/>
      <c r="CU1526" s="139"/>
      <c r="CV1526" s="76"/>
      <c r="CW1526" s="123"/>
      <c r="CX1526" s="6"/>
      <c r="DI1526" s="125"/>
      <c r="DJ1526" s="16"/>
      <c r="DM1526" s="16"/>
      <c r="DN1526" s="16"/>
      <c r="DO1526" s="125"/>
      <c r="DP1526" s="16"/>
      <c r="DQ1526" s="125"/>
      <c r="DZ1526" s="125"/>
      <c r="EA1526" s="142"/>
      <c r="EB1526" s="125"/>
      <c r="EC1526" s="16"/>
      <c r="ED1526" s="125"/>
      <c r="EE1526" s="125"/>
      <c r="EF1526" s="16"/>
      <c r="EG1526" s="125"/>
      <c r="EQ1526" s="125"/>
      <c r="ER1526" s="16"/>
      <c r="ES1526" s="123"/>
      <c r="ET1526" s="19"/>
      <c r="EU1526" s="139"/>
      <c r="EV1526" s="139"/>
      <c r="EW1526" s="123"/>
      <c r="EX1526" s="123"/>
      <c r="EY1526" s="123"/>
      <c r="EZ1526" s="123"/>
      <c r="FA1526" s="123"/>
      <c r="FB1526" s="123"/>
      <c r="FC1526" s="6"/>
      <c r="FD1526" s="123"/>
      <c r="FE1526" s="6"/>
      <c r="FF1526" s="123"/>
      <c r="FG1526" s="6"/>
      <c r="FH1526" s="6"/>
      <c r="FI1526" s="6"/>
      <c r="FJ1526" s="6"/>
      <c r="FK1526" s="123"/>
      <c r="FL1526" s="6"/>
      <c r="FM1526" s="6"/>
      <c r="FN1526" s="6"/>
      <c r="FO1526" s="138"/>
      <c r="FP1526" s="138"/>
      <c r="FQ1526" s="123"/>
      <c r="FR1526" s="6"/>
      <c r="FS1526" s="6"/>
      <c r="FT1526" s="139"/>
      <c r="FU1526" s="139"/>
      <c r="FV1526" s="76"/>
      <c r="FW1526" s="123"/>
      <c r="FX1526" s="6"/>
    </row>
    <row r="1527" spans="35:180">
      <c r="AI1527" s="125"/>
      <c r="AJ1527" s="16"/>
      <c r="AM1527" s="16"/>
      <c r="AN1527" s="16"/>
      <c r="AO1527" s="125"/>
      <c r="AP1527" s="16"/>
      <c r="AQ1527" s="125"/>
      <c r="AZ1527" s="125"/>
      <c r="BA1527" s="142"/>
      <c r="BB1527" s="125"/>
      <c r="BC1527" s="16"/>
      <c r="BD1527" s="125"/>
      <c r="BE1527" s="125"/>
      <c r="BF1527" s="16"/>
      <c r="BG1527" s="125"/>
      <c r="BQ1527" s="125"/>
      <c r="BR1527" s="16"/>
      <c r="BS1527" s="123"/>
      <c r="BT1527" s="19"/>
      <c r="BU1527" s="139"/>
      <c r="BV1527" s="139"/>
      <c r="BW1527" s="123"/>
      <c r="BX1527" s="123"/>
      <c r="BY1527" s="123"/>
      <c r="BZ1527" s="123"/>
      <c r="CA1527" s="123"/>
      <c r="CB1527" s="123"/>
      <c r="CC1527" s="6"/>
      <c r="CD1527" s="123"/>
      <c r="CE1527" s="6"/>
      <c r="CF1527" s="123"/>
      <c r="CG1527" s="6"/>
      <c r="CH1527" s="6"/>
      <c r="CI1527" s="6"/>
      <c r="CJ1527" s="6"/>
      <c r="CK1527" s="123"/>
      <c r="CL1527" s="6"/>
      <c r="CM1527" s="6"/>
      <c r="CN1527" s="6"/>
      <c r="CO1527" s="138"/>
      <c r="CP1527" s="138"/>
      <c r="CQ1527" s="123"/>
      <c r="CR1527" s="6"/>
      <c r="CS1527" s="6"/>
      <c r="CT1527" s="139"/>
      <c r="CU1527" s="139"/>
      <c r="CV1527" s="76"/>
      <c r="CW1527" s="123"/>
      <c r="CX1527" s="6"/>
      <c r="DI1527" s="125"/>
      <c r="DJ1527" s="16"/>
      <c r="DM1527" s="16"/>
      <c r="DN1527" s="16"/>
      <c r="DO1527" s="125"/>
      <c r="DP1527" s="16"/>
      <c r="DQ1527" s="125"/>
      <c r="DZ1527" s="125"/>
      <c r="EA1527" s="142"/>
      <c r="EB1527" s="125"/>
      <c r="EC1527" s="16"/>
      <c r="ED1527" s="125"/>
      <c r="EE1527" s="125"/>
      <c r="EF1527" s="16"/>
      <c r="EG1527" s="125"/>
      <c r="EQ1527" s="125"/>
      <c r="ER1527" s="16"/>
      <c r="ES1527" s="123"/>
      <c r="ET1527" s="19"/>
      <c r="EU1527" s="139"/>
      <c r="EV1527" s="139"/>
      <c r="EW1527" s="123"/>
      <c r="EX1527" s="123"/>
      <c r="EY1527" s="123"/>
      <c r="EZ1527" s="123"/>
      <c r="FA1527" s="123"/>
      <c r="FB1527" s="123"/>
      <c r="FC1527" s="6"/>
      <c r="FD1527" s="123"/>
      <c r="FE1527" s="6"/>
      <c r="FF1527" s="123"/>
      <c r="FG1527" s="6"/>
      <c r="FH1527" s="6"/>
      <c r="FI1527" s="6"/>
      <c r="FJ1527" s="6"/>
      <c r="FK1527" s="123"/>
      <c r="FL1527" s="6"/>
      <c r="FM1527" s="6"/>
      <c r="FN1527" s="6"/>
      <c r="FO1527" s="138"/>
      <c r="FP1527" s="138"/>
      <c r="FQ1527" s="123"/>
      <c r="FR1527" s="6"/>
      <c r="FS1527" s="6"/>
      <c r="FT1527" s="139"/>
      <c r="FU1527" s="139"/>
      <c r="FV1527" s="76"/>
      <c r="FW1527" s="123"/>
      <c r="FX1527" s="6"/>
    </row>
    <row r="1528" spans="35:180">
      <c r="AI1528" s="125"/>
      <c r="AJ1528" s="16"/>
      <c r="AM1528" s="16"/>
      <c r="AN1528" s="16"/>
      <c r="AO1528" s="125"/>
      <c r="AP1528" s="16"/>
      <c r="AQ1528" s="125"/>
      <c r="AZ1528" s="125"/>
      <c r="BA1528" s="142"/>
      <c r="BB1528" s="125"/>
      <c r="BC1528" s="16"/>
      <c r="BD1528" s="125"/>
      <c r="BE1528" s="125"/>
      <c r="BF1528" s="16"/>
      <c r="BG1528" s="125"/>
      <c r="BQ1528" s="125"/>
      <c r="BR1528" s="16"/>
      <c r="BS1528" s="123"/>
      <c r="BT1528" s="19"/>
      <c r="BU1528" s="139"/>
      <c r="BV1528" s="139"/>
      <c r="BW1528" s="123"/>
      <c r="BX1528" s="123"/>
      <c r="BY1528" s="123"/>
      <c r="BZ1528" s="123"/>
      <c r="CA1528" s="123"/>
      <c r="CB1528" s="123"/>
      <c r="CC1528" s="6"/>
      <c r="CD1528" s="123"/>
      <c r="CE1528" s="6"/>
      <c r="CF1528" s="123"/>
      <c r="CG1528" s="6"/>
      <c r="CH1528" s="6"/>
      <c r="CI1528" s="6"/>
      <c r="CJ1528" s="6"/>
      <c r="CK1528" s="123"/>
      <c r="CL1528" s="6"/>
      <c r="CM1528" s="6"/>
      <c r="CN1528" s="6"/>
      <c r="CO1528" s="138"/>
      <c r="CP1528" s="138"/>
      <c r="CQ1528" s="123"/>
      <c r="CR1528" s="6"/>
      <c r="CS1528" s="6"/>
      <c r="CT1528" s="139"/>
      <c r="CU1528" s="139"/>
      <c r="CV1528" s="76"/>
      <c r="CW1528" s="123"/>
      <c r="CX1528" s="6"/>
      <c r="DI1528" s="125"/>
      <c r="DJ1528" s="16"/>
      <c r="DM1528" s="16"/>
      <c r="DN1528" s="16"/>
      <c r="DO1528" s="125"/>
      <c r="DP1528" s="16"/>
      <c r="DQ1528" s="125"/>
      <c r="DZ1528" s="125"/>
      <c r="EA1528" s="142"/>
      <c r="EB1528" s="125"/>
      <c r="EC1528" s="16"/>
      <c r="ED1528" s="125"/>
      <c r="EE1528" s="125"/>
      <c r="EF1528" s="16"/>
      <c r="EG1528" s="125"/>
      <c r="EQ1528" s="125"/>
      <c r="ER1528" s="16"/>
      <c r="ES1528" s="123"/>
      <c r="ET1528" s="19"/>
      <c r="EU1528" s="139"/>
      <c r="EV1528" s="139"/>
      <c r="EW1528" s="123"/>
      <c r="EX1528" s="123"/>
      <c r="EY1528" s="123"/>
      <c r="EZ1528" s="123"/>
      <c r="FA1528" s="123"/>
      <c r="FB1528" s="123"/>
      <c r="FC1528" s="6"/>
      <c r="FD1528" s="123"/>
      <c r="FE1528" s="6"/>
      <c r="FF1528" s="123"/>
      <c r="FG1528" s="6"/>
      <c r="FH1528" s="6"/>
      <c r="FI1528" s="6"/>
      <c r="FJ1528" s="6"/>
      <c r="FK1528" s="123"/>
      <c r="FL1528" s="6"/>
      <c r="FM1528" s="6"/>
      <c r="FN1528" s="6"/>
      <c r="FO1528" s="138"/>
      <c r="FP1528" s="138"/>
      <c r="FQ1528" s="123"/>
      <c r="FR1528" s="6"/>
      <c r="FS1528" s="6"/>
      <c r="FT1528" s="139"/>
      <c r="FU1528" s="139"/>
      <c r="FV1528" s="76"/>
      <c r="FW1528" s="123"/>
      <c r="FX1528" s="6"/>
    </row>
    <row r="1529" spans="35:180">
      <c r="AI1529" s="125"/>
      <c r="AJ1529" s="16"/>
      <c r="AM1529" s="16"/>
      <c r="AN1529" s="16"/>
      <c r="AO1529" s="125"/>
      <c r="AP1529" s="16"/>
      <c r="AQ1529" s="125"/>
      <c r="AZ1529" s="125"/>
      <c r="BA1529" s="142"/>
      <c r="BB1529" s="125"/>
      <c r="BC1529" s="16"/>
      <c r="BD1529" s="125"/>
      <c r="BE1529" s="125"/>
      <c r="BF1529" s="16"/>
      <c r="BG1529" s="125"/>
      <c r="BQ1529" s="125"/>
      <c r="BR1529" s="16"/>
      <c r="BS1529" s="123"/>
      <c r="BT1529" s="19"/>
      <c r="BU1529" s="139"/>
      <c r="BV1529" s="139"/>
      <c r="BW1529" s="123"/>
      <c r="BX1529" s="123"/>
      <c r="BY1529" s="123"/>
      <c r="BZ1529" s="123"/>
      <c r="CA1529" s="123"/>
      <c r="CB1529" s="123"/>
      <c r="CC1529" s="6"/>
      <c r="CD1529" s="123"/>
      <c r="CE1529" s="6"/>
      <c r="CF1529" s="123"/>
      <c r="CG1529" s="6"/>
      <c r="CH1529" s="6"/>
      <c r="CI1529" s="6"/>
      <c r="CJ1529" s="6"/>
      <c r="CK1529" s="123"/>
      <c r="CL1529" s="6"/>
      <c r="CM1529" s="6"/>
      <c r="CN1529" s="6"/>
      <c r="CO1529" s="138"/>
      <c r="CP1529" s="138"/>
      <c r="CQ1529" s="123"/>
      <c r="CR1529" s="6"/>
      <c r="CS1529" s="6"/>
      <c r="CT1529" s="139"/>
      <c r="CU1529" s="139"/>
      <c r="CV1529" s="76"/>
      <c r="CW1529" s="123"/>
      <c r="CX1529" s="6"/>
      <c r="DI1529" s="125"/>
      <c r="DJ1529" s="16"/>
      <c r="DM1529" s="16"/>
      <c r="DN1529" s="16"/>
      <c r="DO1529" s="125"/>
      <c r="DP1529" s="16"/>
      <c r="DQ1529" s="125"/>
      <c r="DZ1529" s="125"/>
      <c r="EA1529" s="142"/>
      <c r="EB1529" s="125"/>
      <c r="EC1529" s="16"/>
      <c r="ED1529" s="125"/>
      <c r="EE1529" s="125"/>
      <c r="EF1529" s="16"/>
      <c r="EG1529" s="125"/>
      <c r="EQ1529" s="125"/>
      <c r="ER1529" s="16"/>
      <c r="ES1529" s="123"/>
      <c r="ET1529" s="19"/>
      <c r="EU1529" s="139"/>
      <c r="EV1529" s="139"/>
      <c r="EW1529" s="123"/>
      <c r="EX1529" s="123"/>
      <c r="EY1529" s="123"/>
      <c r="EZ1529" s="123"/>
      <c r="FA1529" s="123"/>
      <c r="FB1529" s="123"/>
      <c r="FC1529" s="6"/>
      <c r="FD1529" s="123"/>
      <c r="FE1529" s="6"/>
      <c r="FF1529" s="123"/>
      <c r="FG1529" s="6"/>
      <c r="FH1529" s="6"/>
      <c r="FI1529" s="6"/>
      <c r="FJ1529" s="6"/>
      <c r="FK1529" s="123"/>
      <c r="FL1529" s="6"/>
      <c r="FM1529" s="6"/>
      <c r="FN1529" s="6"/>
      <c r="FO1529" s="138"/>
      <c r="FP1529" s="138"/>
      <c r="FQ1529" s="123"/>
      <c r="FR1529" s="6"/>
      <c r="FS1529" s="6"/>
      <c r="FT1529" s="139"/>
      <c r="FU1529" s="139"/>
      <c r="FV1529" s="76"/>
      <c r="FW1529" s="123"/>
      <c r="FX1529" s="6"/>
    </row>
    <row r="1530" spans="35:180">
      <c r="AI1530" s="125"/>
      <c r="AJ1530" s="16"/>
      <c r="AM1530" s="16"/>
      <c r="AN1530" s="16"/>
      <c r="AO1530" s="125"/>
      <c r="AP1530" s="16"/>
      <c r="AQ1530" s="125"/>
      <c r="AZ1530" s="125"/>
      <c r="BA1530" s="142"/>
      <c r="BB1530" s="125"/>
      <c r="BC1530" s="16"/>
      <c r="BD1530" s="125"/>
      <c r="BE1530" s="125"/>
      <c r="BF1530" s="16"/>
      <c r="BG1530" s="125"/>
      <c r="BQ1530" s="125"/>
      <c r="BR1530" s="16"/>
      <c r="BS1530" s="123"/>
      <c r="BT1530" s="19"/>
      <c r="BU1530" s="139"/>
      <c r="BV1530" s="139"/>
      <c r="BW1530" s="123"/>
      <c r="BX1530" s="123"/>
      <c r="BY1530" s="123"/>
      <c r="BZ1530" s="123"/>
      <c r="CA1530" s="123"/>
      <c r="CB1530" s="123"/>
      <c r="CC1530" s="6"/>
      <c r="CD1530" s="123"/>
      <c r="CE1530" s="6"/>
      <c r="CF1530" s="123"/>
      <c r="CG1530" s="6"/>
      <c r="CH1530" s="6"/>
      <c r="CI1530" s="6"/>
      <c r="CJ1530" s="6"/>
      <c r="CK1530" s="123"/>
      <c r="CL1530" s="6"/>
      <c r="CM1530" s="6"/>
      <c r="CN1530" s="6"/>
      <c r="CO1530" s="138"/>
      <c r="CP1530" s="138"/>
      <c r="CQ1530" s="123"/>
      <c r="CR1530" s="6"/>
      <c r="CS1530" s="6"/>
      <c r="CT1530" s="139"/>
      <c r="CU1530" s="139"/>
      <c r="CV1530" s="76"/>
      <c r="CW1530" s="123"/>
      <c r="CX1530" s="6"/>
      <c r="DI1530" s="125"/>
      <c r="DJ1530" s="16"/>
      <c r="DM1530" s="16"/>
      <c r="DN1530" s="16"/>
      <c r="DO1530" s="125"/>
      <c r="DP1530" s="16"/>
      <c r="DQ1530" s="125"/>
      <c r="DZ1530" s="125"/>
      <c r="EA1530" s="142"/>
      <c r="EB1530" s="125"/>
      <c r="EC1530" s="16"/>
      <c r="ED1530" s="125"/>
      <c r="EE1530" s="125"/>
      <c r="EF1530" s="16"/>
      <c r="EG1530" s="125"/>
      <c r="EQ1530" s="125"/>
      <c r="ER1530" s="16"/>
      <c r="ES1530" s="123"/>
      <c r="ET1530" s="19"/>
      <c r="EU1530" s="139"/>
      <c r="EV1530" s="139"/>
      <c r="EW1530" s="123"/>
      <c r="EX1530" s="123"/>
      <c r="EY1530" s="123"/>
      <c r="EZ1530" s="123"/>
      <c r="FA1530" s="123"/>
      <c r="FB1530" s="123"/>
      <c r="FC1530" s="6"/>
      <c r="FD1530" s="123"/>
      <c r="FE1530" s="6"/>
      <c r="FF1530" s="123"/>
      <c r="FG1530" s="6"/>
      <c r="FH1530" s="6"/>
      <c r="FI1530" s="6"/>
      <c r="FJ1530" s="6"/>
      <c r="FK1530" s="123"/>
      <c r="FL1530" s="6"/>
      <c r="FM1530" s="6"/>
      <c r="FN1530" s="6"/>
      <c r="FO1530" s="138"/>
      <c r="FP1530" s="138"/>
      <c r="FQ1530" s="123"/>
      <c r="FR1530" s="6"/>
      <c r="FS1530" s="6"/>
      <c r="FT1530" s="139"/>
      <c r="FU1530" s="139"/>
      <c r="FV1530" s="76"/>
      <c r="FW1530" s="123"/>
      <c r="FX1530" s="6"/>
    </row>
    <row r="1531" spans="35:180">
      <c r="AI1531" s="125"/>
      <c r="AJ1531" s="16"/>
      <c r="AM1531" s="16"/>
      <c r="AN1531" s="16"/>
      <c r="AO1531" s="125"/>
      <c r="AP1531" s="16"/>
      <c r="AQ1531" s="125"/>
      <c r="AZ1531" s="125"/>
      <c r="BA1531" s="142"/>
      <c r="BB1531" s="125"/>
      <c r="BC1531" s="16"/>
      <c r="BD1531" s="125"/>
      <c r="BE1531" s="125"/>
      <c r="BF1531" s="16"/>
      <c r="BG1531" s="125"/>
      <c r="BQ1531" s="125"/>
      <c r="BR1531" s="16"/>
      <c r="BS1531" s="123"/>
      <c r="BT1531" s="19"/>
      <c r="BU1531" s="139"/>
      <c r="BV1531" s="139"/>
      <c r="BW1531" s="123"/>
      <c r="BX1531" s="123"/>
      <c r="BY1531" s="123"/>
      <c r="BZ1531" s="123"/>
      <c r="CA1531" s="123"/>
      <c r="CB1531" s="123"/>
      <c r="CC1531" s="6"/>
      <c r="CD1531" s="123"/>
      <c r="CE1531" s="6"/>
      <c r="CF1531" s="123"/>
      <c r="CG1531" s="6"/>
      <c r="CH1531" s="6"/>
      <c r="CI1531" s="6"/>
      <c r="CJ1531" s="6"/>
      <c r="CK1531" s="123"/>
      <c r="CL1531" s="6"/>
      <c r="CM1531" s="6"/>
      <c r="CN1531" s="6"/>
      <c r="CO1531" s="138"/>
      <c r="CP1531" s="138"/>
      <c r="CQ1531" s="123"/>
      <c r="CR1531" s="6"/>
      <c r="CS1531" s="6"/>
      <c r="CT1531" s="139"/>
      <c r="CU1531" s="139"/>
      <c r="CV1531" s="76"/>
      <c r="CW1531" s="123"/>
      <c r="CX1531" s="6"/>
      <c r="DI1531" s="125"/>
      <c r="DJ1531" s="16"/>
      <c r="DM1531" s="16"/>
      <c r="DN1531" s="16"/>
      <c r="DO1531" s="125"/>
      <c r="DP1531" s="16"/>
      <c r="DQ1531" s="125"/>
      <c r="DZ1531" s="125"/>
      <c r="EA1531" s="142"/>
      <c r="EB1531" s="125"/>
      <c r="EC1531" s="16"/>
      <c r="ED1531" s="125"/>
      <c r="EE1531" s="125"/>
      <c r="EF1531" s="16"/>
      <c r="EG1531" s="125"/>
      <c r="EQ1531" s="125"/>
      <c r="ER1531" s="16"/>
      <c r="ES1531" s="123"/>
      <c r="ET1531" s="19"/>
      <c r="EU1531" s="139"/>
      <c r="EV1531" s="139"/>
      <c r="EW1531" s="123"/>
      <c r="EX1531" s="123"/>
      <c r="EY1531" s="123"/>
      <c r="EZ1531" s="123"/>
      <c r="FA1531" s="123"/>
      <c r="FB1531" s="123"/>
      <c r="FC1531" s="6"/>
      <c r="FD1531" s="123"/>
      <c r="FE1531" s="6"/>
      <c r="FF1531" s="123"/>
      <c r="FG1531" s="6"/>
      <c r="FH1531" s="6"/>
      <c r="FI1531" s="6"/>
      <c r="FJ1531" s="6"/>
      <c r="FK1531" s="123"/>
      <c r="FL1531" s="6"/>
      <c r="FM1531" s="6"/>
      <c r="FN1531" s="6"/>
      <c r="FO1531" s="138"/>
      <c r="FP1531" s="138"/>
      <c r="FQ1531" s="123"/>
      <c r="FR1531" s="6"/>
      <c r="FS1531" s="6"/>
      <c r="FT1531" s="139"/>
      <c r="FU1531" s="139"/>
      <c r="FV1531" s="76"/>
      <c r="FW1531" s="123"/>
      <c r="FX1531" s="6"/>
    </row>
    <row r="1532" spans="35:180">
      <c r="AI1532" s="125"/>
      <c r="AJ1532" s="16"/>
      <c r="AM1532" s="16"/>
      <c r="AN1532" s="16"/>
      <c r="AO1532" s="125"/>
      <c r="AP1532" s="16"/>
      <c r="AQ1532" s="125"/>
      <c r="AZ1532" s="125"/>
      <c r="BA1532" s="142"/>
      <c r="BB1532" s="125"/>
      <c r="BC1532" s="16"/>
      <c r="BD1532" s="125"/>
      <c r="BE1532" s="125"/>
      <c r="BF1532" s="16"/>
      <c r="BG1532" s="125"/>
      <c r="BQ1532" s="125"/>
      <c r="BR1532" s="16"/>
      <c r="BS1532" s="123"/>
      <c r="BT1532" s="19"/>
      <c r="BU1532" s="139"/>
      <c r="BV1532" s="139"/>
      <c r="BW1532" s="123"/>
      <c r="BX1532" s="123"/>
      <c r="BY1532" s="123"/>
      <c r="BZ1532" s="123"/>
      <c r="CA1532" s="123"/>
      <c r="CB1532" s="123"/>
      <c r="CC1532" s="6"/>
      <c r="CD1532" s="123"/>
      <c r="CE1532" s="6"/>
      <c r="CF1532" s="123"/>
      <c r="CG1532" s="6"/>
      <c r="CH1532" s="6"/>
      <c r="CI1532" s="6"/>
      <c r="CJ1532" s="6"/>
      <c r="CK1532" s="123"/>
      <c r="CL1532" s="6"/>
      <c r="CM1532" s="6"/>
      <c r="CN1532" s="6"/>
      <c r="CO1532" s="138"/>
      <c r="CP1532" s="138"/>
      <c r="CQ1532" s="123"/>
      <c r="CR1532" s="6"/>
      <c r="CS1532" s="6"/>
      <c r="CT1532" s="139"/>
      <c r="CU1532" s="139"/>
      <c r="CV1532" s="76"/>
      <c r="CW1532" s="123"/>
      <c r="CX1532" s="6"/>
      <c r="DI1532" s="125"/>
      <c r="DJ1532" s="16"/>
      <c r="DM1532" s="16"/>
      <c r="DN1532" s="16"/>
      <c r="DO1532" s="125"/>
      <c r="DP1532" s="16"/>
      <c r="DQ1532" s="125"/>
      <c r="DZ1532" s="125"/>
      <c r="EA1532" s="142"/>
      <c r="EB1532" s="125"/>
      <c r="EC1532" s="16"/>
      <c r="ED1532" s="125"/>
      <c r="EE1532" s="125"/>
      <c r="EF1532" s="16"/>
      <c r="EG1532" s="125"/>
      <c r="EQ1532" s="125"/>
      <c r="ER1532" s="16"/>
      <c r="ES1532" s="123"/>
      <c r="ET1532" s="19"/>
      <c r="EU1532" s="139"/>
      <c r="EV1532" s="139"/>
      <c r="EW1532" s="123"/>
      <c r="EX1532" s="123"/>
      <c r="EY1532" s="123"/>
      <c r="EZ1532" s="123"/>
      <c r="FA1532" s="123"/>
      <c r="FB1532" s="123"/>
      <c r="FC1532" s="6"/>
      <c r="FD1532" s="123"/>
      <c r="FE1532" s="6"/>
      <c r="FF1532" s="123"/>
      <c r="FG1532" s="6"/>
      <c r="FH1532" s="6"/>
      <c r="FI1532" s="6"/>
      <c r="FJ1532" s="6"/>
      <c r="FK1532" s="123"/>
      <c r="FL1532" s="6"/>
      <c r="FM1532" s="6"/>
      <c r="FN1532" s="6"/>
      <c r="FO1532" s="138"/>
      <c r="FP1532" s="138"/>
      <c r="FQ1532" s="123"/>
      <c r="FR1532" s="6"/>
      <c r="FS1532" s="6"/>
      <c r="FT1532" s="139"/>
      <c r="FU1532" s="139"/>
      <c r="FV1532" s="76"/>
      <c r="FW1532" s="123"/>
      <c r="FX1532" s="6"/>
    </row>
    <row r="1533" spans="35:180">
      <c r="AI1533" s="125"/>
      <c r="AJ1533" s="16"/>
      <c r="AM1533" s="16"/>
      <c r="AN1533" s="16"/>
      <c r="AO1533" s="125"/>
      <c r="AP1533" s="16"/>
      <c r="AQ1533" s="125"/>
      <c r="AZ1533" s="125"/>
      <c r="BA1533" s="142"/>
      <c r="BB1533" s="125"/>
      <c r="BC1533" s="16"/>
      <c r="BD1533" s="125"/>
      <c r="BE1533" s="125"/>
      <c r="BF1533" s="16"/>
      <c r="BG1533" s="125"/>
      <c r="BQ1533" s="125"/>
      <c r="BR1533" s="16"/>
      <c r="BS1533" s="123"/>
      <c r="BT1533" s="19"/>
      <c r="BU1533" s="139"/>
      <c r="BV1533" s="139"/>
      <c r="BW1533" s="123"/>
      <c r="BX1533" s="123"/>
      <c r="BY1533" s="123"/>
      <c r="BZ1533" s="123"/>
      <c r="CA1533" s="123"/>
      <c r="CB1533" s="123"/>
      <c r="CC1533" s="6"/>
      <c r="CD1533" s="123"/>
      <c r="CE1533" s="6"/>
      <c r="CF1533" s="123"/>
      <c r="CG1533" s="6"/>
      <c r="CH1533" s="6"/>
      <c r="CI1533" s="6"/>
      <c r="CJ1533" s="6"/>
      <c r="CK1533" s="123"/>
      <c r="CL1533" s="6"/>
      <c r="CM1533" s="6"/>
      <c r="CN1533" s="6"/>
      <c r="CO1533" s="138"/>
      <c r="CP1533" s="138"/>
      <c r="CQ1533" s="123"/>
      <c r="CR1533" s="6"/>
      <c r="CS1533" s="6"/>
      <c r="CT1533" s="139"/>
      <c r="CU1533" s="139"/>
      <c r="CV1533" s="76"/>
      <c r="CW1533" s="123"/>
      <c r="CX1533" s="6"/>
      <c r="DI1533" s="125"/>
      <c r="DJ1533" s="16"/>
      <c r="DM1533" s="16"/>
      <c r="DN1533" s="16"/>
      <c r="DO1533" s="125"/>
      <c r="DP1533" s="16"/>
      <c r="DQ1533" s="125"/>
      <c r="DZ1533" s="125"/>
      <c r="EA1533" s="142"/>
      <c r="EB1533" s="125"/>
      <c r="EC1533" s="16"/>
      <c r="ED1533" s="125"/>
      <c r="EE1533" s="125"/>
      <c r="EF1533" s="16"/>
      <c r="EG1533" s="125"/>
      <c r="EQ1533" s="125"/>
      <c r="ER1533" s="16"/>
      <c r="ES1533" s="123"/>
      <c r="ET1533" s="19"/>
      <c r="EU1533" s="139"/>
      <c r="EV1533" s="139"/>
      <c r="EW1533" s="123"/>
      <c r="EX1533" s="123"/>
      <c r="EY1533" s="123"/>
      <c r="EZ1533" s="123"/>
      <c r="FA1533" s="123"/>
      <c r="FB1533" s="123"/>
      <c r="FC1533" s="6"/>
      <c r="FD1533" s="123"/>
      <c r="FE1533" s="6"/>
      <c r="FF1533" s="123"/>
      <c r="FG1533" s="6"/>
      <c r="FH1533" s="6"/>
      <c r="FI1533" s="6"/>
      <c r="FJ1533" s="6"/>
      <c r="FK1533" s="123"/>
      <c r="FL1533" s="6"/>
      <c r="FM1533" s="6"/>
      <c r="FN1533" s="6"/>
      <c r="FO1533" s="138"/>
      <c r="FP1533" s="138"/>
      <c r="FQ1533" s="123"/>
      <c r="FR1533" s="6"/>
      <c r="FS1533" s="6"/>
      <c r="FT1533" s="139"/>
      <c r="FU1533" s="139"/>
      <c r="FV1533" s="76"/>
      <c r="FW1533" s="123"/>
      <c r="FX1533" s="6"/>
    </row>
    <row r="1534" spans="35:180">
      <c r="AI1534" s="125"/>
      <c r="AJ1534" s="16"/>
      <c r="AM1534" s="16"/>
      <c r="AN1534" s="16"/>
      <c r="AO1534" s="125"/>
      <c r="AP1534" s="16"/>
      <c r="AQ1534" s="125"/>
      <c r="AZ1534" s="125"/>
      <c r="BA1534" s="142"/>
      <c r="BB1534" s="125"/>
      <c r="BC1534" s="16"/>
      <c r="BD1534" s="125"/>
      <c r="BE1534" s="125"/>
      <c r="BF1534" s="16"/>
      <c r="BG1534" s="125"/>
      <c r="BQ1534" s="125"/>
      <c r="BR1534" s="16"/>
      <c r="BS1534" s="123"/>
      <c r="BT1534" s="19"/>
      <c r="BU1534" s="139"/>
      <c r="BV1534" s="139"/>
      <c r="BW1534" s="123"/>
      <c r="BX1534" s="123"/>
      <c r="BY1534" s="123"/>
      <c r="BZ1534" s="123"/>
      <c r="CA1534" s="123"/>
      <c r="CB1534" s="123"/>
      <c r="CC1534" s="6"/>
      <c r="CD1534" s="123"/>
      <c r="CE1534" s="6"/>
      <c r="CF1534" s="123"/>
      <c r="CG1534" s="6"/>
      <c r="CH1534" s="6"/>
      <c r="CI1534" s="6"/>
      <c r="CJ1534" s="6"/>
      <c r="CK1534" s="123"/>
      <c r="CL1534" s="6"/>
      <c r="CM1534" s="6"/>
      <c r="CN1534" s="6"/>
      <c r="CO1534" s="138"/>
      <c r="CP1534" s="138"/>
      <c r="CQ1534" s="123"/>
      <c r="CR1534" s="6"/>
      <c r="CS1534" s="6"/>
      <c r="CT1534" s="139"/>
      <c r="CU1534" s="139"/>
      <c r="CV1534" s="76"/>
      <c r="CW1534" s="123"/>
      <c r="CX1534" s="6"/>
      <c r="DI1534" s="125"/>
      <c r="DJ1534" s="16"/>
      <c r="DM1534" s="16"/>
      <c r="DN1534" s="16"/>
      <c r="DO1534" s="125"/>
      <c r="DP1534" s="16"/>
      <c r="DQ1534" s="125"/>
      <c r="DZ1534" s="125"/>
      <c r="EA1534" s="142"/>
      <c r="EB1534" s="125"/>
      <c r="EC1534" s="16"/>
      <c r="ED1534" s="125"/>
      <c r="EE1534" s="125"/>
      <c r="EF1534" s="16"/>
      <c r="EG1534" s="125"/>
      <c r="EQ1534" s="125"/>
      <c r="ER1534" s="16"/>
      <c r="ES1534" s="123"/>
      <c r="ET1534" s="19"/>
      <c r="EU1534" s="139"/>
      <c r="EV1534" s="139"/>
      <c r="EW1534" s="123"/>
      <c r="EX1534" s="123"/>
      <c r="EY1534" s="123"/>
      <c r="EZ1534" s="123"/>
      <c r="FA1534" s="123"/>
      <c r="FB1534" s="123"/>
      <c r="FC1534" s="6"/>
      <c r="FD1534" s="123"/>
      <c r="FE1534" s="6"/>
      <c r="FF1534" s="123"/>
      <c r="FG1534" s="6"/>
      <c r="FH1534" s="6"/>
      <c r="FI1534" s="6"/>
      <c r="FJ1534" s="6"/>
      <c r="FK1534" s="123"/>
      <c r="FL1534" s="6"/>
      <c r="FM1534" s="6"/>
      <c r="FN1534" s="6"/>
      <c r="FO1534" s="138"/>
      <c r="FP1534" s="138"/>
      <c r="FQ1534" s="123"/>
      <c r="FR1534" s="6"/>
      <c r="FS1534" s="6"/>
      <c r="FT1534" s="139"/>
      <c r="FU1534" s="139"/>
      <c r="FV1534" s="76"/>
      <c r="FW1534" s="123"/>
      <c r="FX1534" s="6"/>
    </row>
    <row r="1535" spans="35:180">
      <c r="AI1535" s="125"/>
      <c r="AJ1535" s="16"/>
      <c r="AM1535" s="16"/>
      <c r="AN1535" s="16"/>
      <c r="AO1535" s="125"/>
      <c r="AP1535" s="16"/>
      <c r="AQ1535" s="125"/>
      <c r="AZ1535" s="125"/>
      <c r="BA1535" s="142"/>
      <c r="BB1535" s="125"/>
      <c r="BC1535" s="16"/>
      <c r="BD1535" s="125"/>
      <c r="BE1535" s="125"/>
      <c r="BF1535" s="16"/>
      <c r="BG1535" s="125"/>
      <c r="BQ1535" s="125"/>
      <c r="BR1535" s="16"/>
      <c r="BS1535" s="123"/>
      <c r="BT1535" s="19"/>
      <c r="BU1535" s="139"/>
      <c r="BV1535" s="139"/>
      <c r="BW1535" s="123"/>
      <c r="BX1535" s="123"/>
      <c r="BY1535" s="123"/>
      <c r="BZ1535" s="123"/>
      <c r="CA1535" s="123"/>
      <c r="CB1535" s="123"/>
      <c r="CC1535" s="6"/>
      <c r="CD1535" s="123"/>
      <c r="CE1535" s="6"/>
      <c r="CF1535" s="123"/>
      <c r="CG1535" s="6"/>
      <c r="CH1535" s="6"/>
      <c r="CI1535" s="6"/>
      <c r="CJ1535" s="6"/>
      <c r="CK1535" s="123"/>
      <c r="CL1535" s="6"/>
      <c r="CM1535" s="6"/>
      <c r="CN1535" s="6"/>
      <c r="CO1535" s="138"/>
      <c r="CP1535" s="138"/>
      <c r="CQ1535" s="123"/>
      <c r="CR1535" s="6"/>
      <c r="CS1535" s="6"/>
      <c r="CT1535" s="139"/>
      <c r="CU1535" s="139"/>
      <c r="CV1535" s="76"/>
      <c r="CW1535" s="123"/>
      <c r="CX1535" s="6"/>
      <c r="DI1535" s="125"/>
      <c r="DJ1535" s="16"/>
      <c r="DM1535" s="16"/>
      <c r="DN1535" s="16"/>
      <c r="DO1535" s="125"/>
      <c r="DP1535" s="16"/>
      <c r="DQ1535" s="125"/>
      <c r="DZ1535" s="125"/>
      <c r="EA1535" s="142"/>
      <c r="EB1535" s="125"/>
      <c r="EC1535" s="16"/>
      <c r="ED1535" s="125"/>
      <c r="EE1535" s="125"/>
      <c r="EF1535" s="16"/>
      <c r="EG1535" s="125"/>
      <c r="EQ1535" s="125"/>
      <c r="ER1535" s="16"/>
      <c r="ES1535" s="123"/>
      <c r="ET1535" s="19"/>
      <c r="EU1535" s="139"/>
      <c r="EV1535" s="139"/>
      <c r="EW1535" s="123"/>
      <c r="EX1535" s="123"/>
      <c r="EY1535" s="123"/>
      <c r="EZ1535" s="123"/>
      <c r="FA1535" s="123"/>
      <c r="FB1535" s="123"/>
      <c r="FC1535" s="6"/>
      <c r="FD1535" s="123"/>
      <c r="FE1535" s="6"/>
      <c r="FF1535" s="123"/>
      <c r="FG1535" s="6"/>
      <c r="FH1535" s="6"/>
      <c r="FI1535" s="6"/>
      <c r="FJ1535" s="6"/>
      <c r="FK1535" s="123"/>
      <c r="FL1535" s="6"/>
      <c r="FM1535" s="6"/>
      <c r="FN1535" s="6"/>
      <c r="FO1535" s="138"/>
      <c r="FP1535" s="138"/>
      <c r="FQ1535" s="123"/>
      <c r="FR1535" s="6"/>
      <c r="FS1535" s="6"/>
      <c r="FT1535" s="139"/>
      <c r="FU1535" s="139"/>
      <c r="FV1535" s="76"/>
      <c r="FW1535" s="123"/>
      <c r="FX1535" s="6"/>
    </row>
    <row r="1536" spans="35:180">
      <c r="AI1536" s="125"/>
      <c r="AJ1536" s="16"/>
      <c r="AM1536" s="16"/>
      <c r="AN1536" s="16"/>
      <c r="AO1536" s="125"/>
      <c r="AP1536" s="16"/>
      <c r="AQ1536" s="125"/>
      <c r="AZ1536" s="125"/>
      <c r="BA1536" s="142"/>
      <c r="BB1536" s="125"/>
      <c r="BC1536" s="16"/>
      <c r="BD1536" s="125"/>
      <c r="BE1536" s="125"/>
      <c r="BF1536" s="16"/>
      <c r="BG1536" s="125"/>
      <c r="BQ1536" s="125"/>
      <c r="BR1536" s="16"/>
      <c r="BS1536" s="123"/>
      <c r="BT1536" s="19"/>
      <c r="BU1536" s="139"/>
      <c r="BV1536" s="139"/>
      <c r="BW1536" s="123"/>
      <c r="BX1536" s="123"/>
      <c r="BY1536" s="123"/>
      <c r="BZ1536" s="123"/>
      <c r="CA1536" s="123"/>
      <c r="CB1536" s="123"/>
      <c r="CC1536" s="6"/>
      <c r="CD1536" s="123"/>
      <c r="CE1536" s="6"/>
      <c r="CF1536" s="123"/>
      <c r="CG1536" s="6"/>
      <c r="CH1536" s="6"/>
      <c r="CI1536" s="6"/>
      <c r="CJ1536" s="6"/>
      <c r="CK1536" s="123"/>
      <c r="CL1536" s="6"/>
      <c r="CM1536" s="6"/>
      <c r="CN1536" s="6"/>
      <c r="CO1536" s="138"/>
      <c r="CP1536" s="138"/>
      <c r="CQ1536" s="123"/>
      <c r="CR1536" s="6"/>
      <c r="CS1536" s="6"/>
      <c r="CT1536" s="139"/>
      <c r="CU1536" s="139"/>
      <c r="CV1536" s="76"/>
      <c r="CW1536" s="123"/>
      <c r="CX1536" s="6"/>
      <c r="DI1536" s="125"/>
      <c r="DJ1536" s="16"/>
      <c r="DM1536" s="16"/>
      <c r="DN1536" s="16"/>
      <c r="DO1536" s="125"/>
      <c r="DP1536" s="16"/>
      <c r="DQ1536" s="125"/>
      <c r="DZ1536" s="125"/>
      <c r="EA1536" s="142"/>
      <c r="EB1536" s="125"/>
      <c r="EC1536" s="16"/>
      <c r="ED1536" s="125"/>
      <c r="EE1536" s="125"/>
      <c r="EF1536" s="16"/>
      <c r="EG1536" s="125"/>
      <c r="EQ1536" s="125"/>
      <c r="ER1536" s="16"/>
      <c r="ES1536" s="123"/>
      <c r="ET1536" s="19"/>
      <c r="EU1536" s="139"/>
      <c r="EV1536" s="139"/>
      <c r="EW1536" s="123"/>
      <c r="EX1536" s="123"/>
      <c r="EY1536" s="123"/>
      <c r="EZ1536" s="123"/>
      <c r="FA1536" s="123"/>
      <c r="FB1536" s="123"/>
      <c r="FC1536" s="6"/>
      <c r="FD1536" s="123"/>
      <c r="FE1536" s="6"/>
      <c r="FF1536" s="123"/>
      <c r="FG1536" s="6"/>
      <c r="FH1536" s="6"/>
      <c r="FI1536" s="6"/>
      <c r="FJ1536" s="6"/>
      <c r="FK1536" s="123"/>
      <c r="FL1536" s="6"/>
      <c r="FM1536" s="6"/>
      <c r="FN1536" s="6"/>
      <c r="FO1536" s="138"/>
      <c r="FP1536" s="138"/>
      <c r="FQ1536" s="123"/>
      <c r="FR1536" s="6"/>
      <c r="FS1536" s="6"/>
      <c r="FT1536" s="139"/>
      <c r="FU1536" s="139"/>
      <c r="FV1536" s="76"/>
      <c r="FW1536" s="123"/>
      <c r="FX1536" s="6"/>
    </row>
    <row r="1537" spans="35:180">
      <c r="AI1537" s="125"/>
      <c r="AJ1537" s="16"/>
      <c r="AM1537" s="16"/>
      <c r="AN1537" s="16"/>
      <c r="AO1537" s="125"/>
      <c r="AP1537" s="16"/>
      <c r="AQ1537" s="125"/>
      <c r="AZ1537" s="125"/>
      <c r="BA1537" s="142"/>
      <c r="BB1537" s="125"/>
      <c r="BC1537" s="16"/>
      <c r="BD1537" s="125"/>
      <c r="BE1537" s="125"/>
      <c r="BF1537" s="16"/>
      <c r="BG1537" s="125"/>
      <c r="BQ1537" s="125"/>
      <c r="BR1537" s="16"/>
      <c r="BS1537" s="123"/>
      <c r="BT1537" s="19"/>
      <c r="BU1537" s="139"/>
      <c r="BV1537" s="139"/>
      <c r="BW1537" s="123"/>
      <c r="BX1537" s="123"/>
      <c r="BY1537" s="123"/>
      <c r="BZ1537" s="123"/>
      <c r="CA1537" s="123"/>
      <c r="CB1537" s="123"/>
      <c r="CC1537" s="6"/>
      <c r="CD1537" s="123"/>
      <c r="CE1537" s="6"/>
      <c r="CF1537" s="123"/>
      <c r="CG1537" s="6"/>
      <c r="CH1537" s="6"/>
      <c r="CI1537" s="6"/>
      <c r="CJ1537" s="6"/>
      <c r="CK1537" s="123"/>
      <c r="CL1537" s="6"/>
      <c r="CM1537" s="6"/>
      <c r="CN1537" s="6"/>
      <c r="CO1537" s="138"/>
      <c r="CP1537" s="138"/>
      <c r="CQ1537" s="123"/>
      <c r="CR1537" s="6"/>
      <c r="CS1537" s="6"/>
      <c r="CT1537" s="139"/>
      <c r="CU1537" s="139"/>
      <c r="CV1537" s="76"/>
      <c r="CW1537" s="123"/>
      <c r="CX1537" s="6"/>
      <c r="DI1537" s="125"/>
      <c r="DJ1537" s="16"/>
      <c r="DM1537" s="16"/>
      <c r="DN1537" s="16"/>
      <c r="DO1537" s="125"/>
      <c r="DP1537" s="16"/>
      <c r="DQ1537" s="125"/>
      <c r="DZ1537" s="125"/>
      <c r="EA1537" s="142"/>
      <c r="EB1537" s="125"/>
      <c r="EC1537" s="16"/>
      <c r="ED1537" s="125"/>
      <c r="EE1537" s="125"/>
      <c r="EF1537" s="16"/>
      <c r="EG1537" s="125"/>
      <c r="EQ1537" s="125"/>
      <c r="ER1537" s="16"/>
      <c r="ES1537" s="123"/>
      <c r="ET1537" s="19"/>
      <c r="EU1537" s="139"/>
      <c r="EV1537" s="139"/>
      <c r="EW1537" s="123"/>
      <c r="EX1537" s="123"/>
      <c r="EY1537" s="123"/>
      <c r="EZ1537" s="123"/>
      <c r="FA1537" s="123"/>
      <c r="FB1537" s="123"/>
      <c r="FC1537" s="6"/>
      <c r="FD1537" s="123"/>
      <c r="FE1537" s="6"/>
      <c r="FF1537" s="123"/>
      <c r="FG1537" s="6"/>
      <c r="FH1537" s="6"/>
      <c r="FI1537" s="6"/>
      <c r="FJ1537" s="6"/>
      <c r="FK1537" s="123"/>
      <c r="FL1537" s="6"/>
      <c r="FM1537" s="6"/>
      <c r="FN1537" s="6"/>
      <c r="FO1537" s="138"/>
      <c r="FP1537" s="138"/>
      <c r="FQ1537" s="123"/>
      <c r="FR1537" s="6"/>
      <c r="FS1537" s="6"/>
      <c r="FT1537" s="139"/>
      <c r="FU1537" s="139"/>
      <c r="FV1537" s="76"/>
      <c r="FW1537" s="123"/>
      <c r="FX1537" s="6"/>
    </row>
    <row r="1538" spans="35:180">
      <c r="AI1538" s="125"/>
      <c r="AJ1538" s="16"/>
      <c r="AM1538" s="16"/>
      <c r="AN1538" s="16"/>
      <c r="AO1538" s="125"/>
      <c r="AP1538" s="16"/>
      <c r="AQ1538" s="125"/>
      <c r="AZ1538" s="125"/>
      <c r="BA1538" s="142"/>
      <c r="BB1538" s="125"/>
      <c r="BC1538" s="16"/>
      <c r="BD1538" s="125"/>
      <c r="BE1538" s="125"/>
      <c r="BF1538" s="16"/>
      <c r="BG1538" s="125"/>
      <c r="BQ1538" s="125"/>
      <c r="BR1538" s="16"/>
      <c r="BS1538" s="123"/>
      <c r="BT1538" s="19"/>
      <c r="BU1538" s="139"/>
      <c r="BV1538" s="139"/>
      <c r="BW1538" s="123"/>
      <c r="BX1538" s="123"/>
      <c r="BY1538" s="123"/>
      <c r="BZ1538" s="123"/>
      <c r="CA1538" s="123"/>
      <c r="CB1538" s="123"/>
      <c r="CC1538" s="6"/>
      <c r="CD1538" s="123"/>
      <c r="CE1538" s="6"/>
      <c r="CF1538" s="123"/>
      <c r="CG1538" s="6"/>
      <c r="CH1538" s="6"/>
      <c r="CI1538" s="6"/>
      <c r="CJ1538" s="6"/>
      <c r="CK1538" s="123"/>
      <c r="CL1538" s="6"/>
      <c r="CM1538" s="6"/>
      <c r="CN1538" s="6"/>
      <c r="CO1538" s="138"/>
      <c r="CP1538" s="138"/>
      <c r="CQ1538" s="123"/>
      <c r="CR1538" s="6"/>
      <c r="CS1538" s="6"/>
      <c r="CT1538" s="139"/>
      <c r="CU1538" s="139"/>
      <c r="CV1538" s="76"/>
      <c r="CW1538" s="123"/>
      <c r="CX1538" s="6"/>
      <c r="DI1538" s="125"/>
      <c r="DJ1538" s="16"/>
      <c r="DM1538" s="16"/>
      <c r="DN1538" s="16"/>
      <c r="DO1538" s="125"/>
      <c r="DP1538" s="16"/>
      <c r="DQ1538" s="125"/>
      <c r="DZ1538" s="125"/>
      <c r="EA1538" s="142"/>
      <c r="EB1538" s="125"/>
      <c r="EC1538" s="16"/>
      <c r="ED1538" s="125"/>
      <c r="EE1538" s="125"/>
      <c r="EF1538" s="16"/>
      <c r="EG1538" s="125"/>
      <c r="EQ1538" s="125"/>
      <c r="ER1538" s="16"/>
      <c r="ES1538" s="123"/>
      <c r="ET1538" s="19"/>
      <c r="EU1538" s="139"/>
      <c r="EV1538" s="139"/>
      <c r="EW1538" s="123"/>
      <c r="EX1538" s="123"/>
      <c r="EY1538" s="123"/>
      <c r="EZ1538" s="123"/>
      <c r="FA1538" s="123"/>
      <c r="FB1538" s="123"/>
      <c r="FC1538" s="6"/>
      <c r="FD1538" s="123"/>
      <c r="FE1538" s="6"/>
      <c r="FF1538" s="123"/>
      <c r="FG1538" s="6"/>
      <c r="FH1538" s="6"/>
      <c r="FI1538" s="6"/>
      <c r="FJ1538" s="6"/>
      <c r="FK1538" s="123"/>
      <c r="FL1538" s="6"/>
      <c r="FM1538" s="6"/>
      <c r="FN1538" s="6"/>
      <c r="FO1538" s="138"/>
      <c r="FP1538" s="138"/>
      <c r="FQ1538" s="123"/>
      <c r="FR1538" s="6"/>
      <c r="FS1538" s="6"/>
      <c r="FT1538" s="139"/>
      <c r="FU1538" s="139"/>
      <c r="FV1538" s="76"/>
      <c r="FW1538" s="123"/>
      <c r="FX1538" s="6"/>
    </row>
    <row r="1539" spans="35:180">
      <c r="AI1539" s="125"/>
      <c r="AJ1539" s="16"/>
      <c r="AM1539" s="16"/>
      <c r="AN1539" s="16"/>
      <c r="AO1539" s="125"/>
      <c r="AP1539" s="16"/>
      <c r="AQ1539" s="125"/>
      <c r="AZ1539" s="125"/>
      <c r="BA1539" s="142"/>
      <c r="BB1539" s="125"/>
      <c r="BC1539" s="16"/>
      <c r="BD1539" s="125"/>
      <c r="BE1539" s="125"/>
      <c r="BF1539" s="16"/>
      <c r="BG1539" s="125"/>
      <c r="BQ1539" s="125"/>
      <c r="BR1539" s="16"/>
      <c r="BS1539" s="123"/>
      <c r="BT1539" s="19"/>
      <c r="BU1539" s="139"/>
      <c r="BV1539" s="139"/>
      <c r="BW1539" s="123"/>
      <c r="BX1539" s="123"/>
      <c r="BY1539" s="123"/>
      <c r="BZ1539" s="123"/>
      <c r="CA1539" s="123"/>
      <c r="CB1539" s="123"/>
      <c r="CC1539" s="6"/>
      <c r="CD1539" s="123"/>
      <c r="CE1539" s="6"/>
      <c r="CF1539" s="123"/>
      <c r="CG1539" s="6"/>
      <c r="CH1539" s="6"/>
      <c r="CI1539" s="6"/>
      <c r="CJ1539" s="6"/>
      <c r="CK1539" s="123"/>
      <c r="CL1539" s="6"/>
      <c r="CM1539" s="6"/>
      <c r="CN1539" s="6"/>
      <c r="CO1539" s="138"/>
      <c r="CP1539" s="138"/>
      <c r="CQ1539" s="123"/>
      <c r="CR1539" s="6"/>
      <c r="CS1539" s="6"/>
      <c r="CT1539" s="139"/>
      <c r="CU1539" s="139"/>
      <c r="CV1539" s="76"/>
      <c r="CW1539" s="123"/>
      <c r="CX1539" s="6"/>
      <c r="DI1539" s="125"/>
      <c r="DJ1539" s="16"/>
      <c r="DM1539" s="16"/>
      <c r="DN1539" s="16"/>
      <c r="DO1539" s="125"/>
      <c r="DP1539" s="16"/>
      <c r="DQ1539" s="125"/>
      <c r="DZ1539" s="125"/>
      <c r="EA1539" s="142"/>
      <c r="EB1539" s="125"/>
      <c r="EC1539" s="16"/>
      <c r="ED1539" s="125"/>
      <c r="EE1539" s="125"/>
      <c r="EF1539" s="16"/>
      <c r="EG1539" s="125"/>
      <c r="EQ1539" s="125"/>
      <c r="ER1539" s="16"/>
      <c r="ES1539" s="123"/>
      <c r="ET1539" s="19"/>
      <c r="EU1539" s="139"/>
      <c r="EV1539" s="139"/>
      <c r="EW1539" s="123"/>
      <c r="EX1539" s="123"/>
      <c r="EY1539" s="123"/>
      <c r="EZ1539" s="123"/>
      <c r="FA1539" s="123"/>
      <c r="FB1539" s="123"/>
      <c r="FC1539" s="6"/>
      <c r="FD1539" s="123"/>
      <c r="FE1539" s="6"/>
      <c r="FF1539" s="123"/>
      <c r="FG1539" s="6"/>
      <c r="FH1539" s="6"/>
      <c r="FI1539" s="6"/>
      <c r="FJ1539" s="6"/>
      <c r="FK1539" s="123"/>
      <c r="FL1539" s="6"/>
      <c r="FM1539" s="6"/>
      <c r="FN1539" s="6"/>
      <c r="FO1539" s="138"/>
      <c r="FP1539" s="138"/>
      <c r="FQ1539" s="123"/>
      <c r="FR1539" s="6"/>
      <c r="FS1539" s="6"/>
      <c r="FT1539" s="139"/>
      <c r="FU1539" s="139"/>
      <c r="FV1539" s="76"/>
      <c r="FW1539" s="123"/>
      <c r="FX1539" s="6"/>
    </row>
    <row r="1540" spans="35:180">
      <c r="AI1540" s="125"/>
      <c r="AJ1540" s="16"/>
      <c r="AM1540" s="16"/>
      <c r="AN1540" s="16"/>
      <c r="AO1540" s="125"/>
      <c r="AP1540" s="16"/>
      <c r="AQ1540" s="125"/>
      <c r="AZ1540" s="125"/>
      <c r="BA1540" s="142"/>
      <c r="BB1540" s="125"/>
      <c r="BC1540" s="16"/>
      <c r="BD1540" s="125"/>
      <c r="BE1540" s="125"/>
      <c r="BF1540" s="16"/>
      <c r="BG1540" s="125"/>
      <c r="BQ1540" s="125"/>
      <c r="BR1540" s="16"/>
      <c r="BS1540" s="123"/>
      <c r="BT1540" s="19"/>
      <c r="BU1540" s="139"/>
      <c r="BV1540" s="139"/>
      <c r="BW1540" s="123"/>
      <c r="BX1540" s="123"/>
      <c r="BY1540" s="123"/>
      <c r="BZ1540" s="123"/>
      <c r="CA1540" s="123"/>
      <c r="CB1540" s="123"/>
      <c r="CC1540" s="6"/>
      <c r="CD1540" s="123"/>
      <c r="CE1540" s="6"/>
      <c r="CF1540" s="123"/>
      <c r="CG1540" s="6"/>
      <c r="CH1540" s="6"/>
      <c r="CI1540" s="6"/>
      <c r="CJ1540" s="6"/>
      <c r="CK1540" s="123"/>
      <c r="CL1540" s="6"/>
      <c r="CM1540" s="6"/>
      <c r="CN1540" s="6"/>
      <c r="CO1540" s="138"/>
      <c r="CP1540" s="138"/>
      <c r="CQ1540" s="123"/>
      <c r="CR1540" s="6"/>
      <c r="CS1540" s="6"/>
      <c r="CT1540" s="139"/>
      <c r="CU1540" s="139"/>
      <c r="CV1540" s="76"/>
      <c r="CW1540" s="123"/>
      <c r="CX1540" s="6"/>
      <c r="DI1540" s="125"/>
      <c r="DJ1540" s="16"/>
      <c r="DM1540" s="16"/>
      <c r="DN1540" s="16"/>
      <c r="DO1540" s="125"/>
      <c r="DP1540" s="16"/>
      <c r="DQ1540" s="125"/>
      <c r="DZ1540" s="125"/>
      <c r="EA1540" s="142"/>
      <c r="EB1540" s="125"/>
      <c r="EC1540" s="16"/>
      <c r="ED1540" s="125"/>
      <c r="EE1540" s="125"/>
      <c r="EF1540" s="16"/>
      <c r="EG1540" s="125"/>
      <c r="EQ1540" s="125"/>
      <c r="ER1540" s="16"/>
      <c r="ES1540" s="123"/>
      <c r="ET1540" s="19"/>
      <c r="EU1540" s="139"/>
      <c r="EV1540" s="139"/>
      <c r="EW1540" s="123"/>
      <c r="EX1540" s="123"/>
      <c r="EY1540" s="123"/>
      <c r="EZ1540" s="123"/>
      <c r="FA1540" s="123"/>
      <c r="FB1540" s="123"/>
      <c r="FC1540" s="6"/>
      <c r="FD1540" s="123"/>
      <c r="FE1540" s="6"/>
      <c r="FF1540" s="123"/>
      <c r="FG1540" s="6"/>
      <c r="FH1540" s="6"/>
      <c r="FI1540" s="6"/>
      <c r="FJ1540" s="6"/>
      <c r="FK1540" s="123"/>
      <c r="FL1540" s="6"/>
      <c r="FM1540" s="6"/>
      <c r="FN1540" s="6"/>
      <c r="FO1540" s="138"/>
      <c r="FP1540" s="138"/>
      <c r="FQ1540" s="123"/>
      <c r="FR1540" s="6"/>
      <c r="FS1540" s="6"/>
      <c r="FT1540" s="139"/>
      <c r="FU1540" s="139"/>
      <c r="FV1540" s="76"/>
      <c r="FW1540" s="123"/>
      <c r="FX1540" s="6"/>
    </row>
    <row r="1541" spans="35:180">
      <c r="AI1541" s="125"/>
      <c r="AJ1541" s="16"/>
      <c r="AM1541" s="16"/>
      <c r="AN1541" s="16"/>
      <c r="AO1541" s="125"/>
      <c r="AP1541" s="16"/>
      <c r="AQ1541" s="125"/>
      <c r="AZ1541" s="125"/>
      <c r="BA1541" s="142"/>
      <c r="BB1541" s="125"/>
      <c r="BC1541" s="16"/>
      <c r="BD1541" s="125"/>
      <c r="BE1541" s="125"/>
      <c r="BF1541" s="16"/>
      <c r="BG1541" s="125"/>
      <c r="BQ1541" s="125"/>
      <c r="BR1541" s="16"/>
      <c r="BS1541" s="123"/>
      <c r="BT1541" s="19"/>
      <c r="BU1541" s="139"/>
      <c r="BV1541" s="139"/>
      <c r="BW1541" s="123"/>
      <c r="BX1541" s="123"/>
      <c r="BY1541" s="123"/>
      <c r="BZ1541" s="123"/>
      <c r="CA1541" s="123"/>
      <c r="CB1541" s="123"/>
      <c r="CC1541" s="6"/>
      <c r="CD1541" s="123"/>
      <c r="CE1541" s="6"/>
      <c r="CF1541" s="123"/>
      <c r="CG1541" s="6"/>
      <c r="CH1541" s="6"/>
      <c r="CI1541" s="6"/>
      <c r="CJ1541" s="6"/>
      <c r="CK1541" s="123"/>
      <c r="CL1541" s="6"/>
      <c r="CM1541" s="6"/>
      <c r="CN1541" s="6"/>
      <c r="CO1541" s="138"/>
      <c r="CP1541" s="138"/>
      <c r="CQ1541" s="123"/>
      <c r="CR1541" s="6"/>
      <c r="CS1541" s="6"/>
      <c r="CT1541" s="139"/>
      <c r="CU1541" s="139"/>
      <c r="CV1541" s="76"/>
      <c r="CW1541" s="123"/>
      <c r="CX1541" s="6"/>
      <c r="DI1541" s="125"/>
      <c r="DJ1541" s="16"/>
      <c r="DM1541" s="16"/>
      <c r="DN1541" s="16"/>
      <c r="DO1541" s="125"/>
      <c r="DP1541" s="16"/>
      <c r="DQ1541" s="125"/>
      <c r="DZ1541" s="125"/>
      <c r="EA1541" s="142"/>
      <c r="EB1541" s="125"/>
      <c r="EC1541" s="16"/>
      <c r="ED1541" s="125"/>
      <c r="EE1541" s="125"/>
      <c r="EF1541" s="16"/>
      <c r="EG1541" s="125"/>
      <c r="EQ1541" s="125"/>
      <c r="ER1541" s="16"/>
      <c r="ES1541" s="123"/>
      <c r="ET1541" s="19"/>
      <c r="EU1541" s="139"/>
      <c r="EV1541" s="139"/>
      <c r="EW1541" s="123"/>
      <c r="EX1541" s="123"/>
      <c r="EY1541" s="123"/>
      <c r="EZ1541" s="123"/>
      <c r="FA1541" s="123"/>
      <c r="FB1541" s="123"/>
      <c r="FC1541" s="6"/>
      <c r="FD1541" s="123"/>
      <c r="FE1541" s="6"/>
      <c r="FF1541" s="123"/>
      <c r="FG1541" s="6"/>
      <c r="FH1541" s="6"/>
      <c r="FI1541" s="6"/>
      <c r="FJ1541" s="6"/>
      <c r="FK1541" s="123"/>
      <c r="FL1541" s="6"/>
      <c r="FM1541" s="6"/>
      <c r="FN1541" s="6"/>
      <c r="FO1541" s="138"/>
      <c r="FP1541" s="138"/>
      <c r="FQ1541" s="123"/>
      <c r="FR1541" s="6"/>
      <c r="FS1541" s="6"/>
      <c r="FT1541" s="139"/>
      <c r="FU1541" s="139"/>
      <c r="FV1541" s="76"/>
      <c r="FW1541" s="123"/>
      <c r="FX1541" s="6"/>
    </row>
    <row r="1542" spans="35:180">
      <c r="AI1542" s="125"/>
      <c r="AJ1542" s="16"/>
      <c r="AM1542" s="16"/>
      <c r="AN1542" s="16"/>
      <c r="AO1542" s="125"/>
      <c r="AP1542" s="16"/>
      <c r="AQ1542" s="125"/>
      <c r="AZ1542" s="125"/>
      <c r="BA1542" s="142"/>
      <c r="BB1542" s="125"/>
      <c r="BC1542" s="16"/>
      <c r="BD1542" s="125"/>
      <c r="BE1542" s="125"/>
      <c r="BF1542" s="16"/>
      <c r="BG1542" s="125"/>
      <c r="BQ1542" s="125"/>
      <c r="BR1542" s="16"/>
      <c r="BS1542" s="123"/>
      <c r="BT1542" s="19"/>
      <c r="BU1542" s="139"/>
      <c r="BV1542" s="139"/>
      <c r="BW1542" s="123"/>
      <c r="BX1542" s="123"/>
      <c r="BY1542" s="123"/>
      <c r="BZ1542" s="123"/>
      <c r="CA1542" s="123"/>
      <c r="CB1542" s="123"/>
      <c r="CC1542" s="6"/>
      <c r="CD1542" s="123"/>
      <c r="CE1542" s="6"/>
      <c r="CF1542" s="123"/>
      <c r="CG1542" s="6"/>
      <c r="CH1542" s="6"/>
      <c r="CI1542" s="6"/>
      <c r="CJ1542" s="6"/>
      <c r="CK1542" s="123"/>
      <c r="CL1542" s="6"/>
      <c r="CM1542" s="6"/>
      <c r="CN1542" s="6"/>
      <c r="CO1542" s="138"/>
      <c r="CP1542" s="138"/>
      <c r="CQ1542" s="123"/>
      <c r="CR1542" s="6"/>
      <c r="CS1542" s="6"/>
      <c r="CT1542" s="139"/>
      <c r="CU1542" s="139"/>
      <c r="CV1542" s="76"/>
      <c r="CW1542" s="123"/>
      <c r="CX1542" s="6"/>
      <c r="DI1542" s="125"/>
      <c r="DJ1542" s="16"/>
      <c r="DM1542" s="16"/>
      <c r="DN1542" s="16"/>
      <c r="DO1542" s="125"/>
      <c r="DP1542" s="16"/>
      <c r="DQ1542" s="125"/>
      <c r="DZ1542" s="125"/>
      <c r="EA1542" s="142"/>
      <c r="EB1542" s="125"/>
      <c r="EC1542" s="16"/>
      <c r="ED1542" s="125"/>
      <c r="EE1542" s="125"/>
      <c r="EF1542" s="16"/>
      <c r="EG1542" s="125"/>
      <c r="EQ1542" s="125"/>
      <c r="ER1542" s="16"/>
      <c r="ES1542" s="123"/>
      <c r="ET1542" s="19"/>
      <c r="EU1542" s="139"/>
      <c r="EV1542" s="139"/>
      <c r="EW1542" s="123"/>
      <c r="EX1542" s="123"/>
      <c r="EY1542" s="123"/>
      <c r="EZ1542" s="123"/>
      <c r="FA1542" s="123"/>
      <c r="FB1542" s="123"/>
      <c r="FC1542" s="6"/>
      <c r="FD1542" s="123"/>
      <c r="FE1542" s="6"/>
      <c r="FF1542" s="123"/>
      <c r="FG1542" s="6"/>
      <c r="FH1542" s="6"/>
      <c r="FI1542" s="6"/>
      <c r="FJ1542" s="6"/>
      <c r="FK1542" s="123"/>
      <c r="FL1542" s="6"/>
      <c r="FM1542" s="6"/>
      <c r="FN1542" s="6"/>
      <c r="FO1542" s="138"/>
      <c r="FP1542" s="138"/>
      <c r="FQ1542" s="123"/>
      <c r="FR1542" s="6"/>
      <c r="FS1542" s="6"/>
      <c r="FT1542" s="139"/>
      <c r="FU1542" s="139"/>
      <c r="FV1542" s="76"/>
      <c r="FW1542" s="123"/>
      <c r="FX1542" s="6"/>
    </row>
    <row r="1543" spans="35:180">
      <c r="AI1543" s="125"/>
      <c r="AJ1543" s="16"/>
      <c r="AM1543" s="16"/>
      <c r="AN1543" s="16"/>
      <c r="AO1543" s="125"/>
      <c r="AP1543" s="16"/>
      <c r="AQ1543" s="125"/>
      <c r="AZ1543" s="125"/>
      <c r="BA1543" s="142"/>
      <c r="BB1543" s="125"/>
      <c r="BC1543" s="16"/>
      <c r="BD1543" s="125"/>
      <c r="BE1543" s="125"/>
      <c r="BF1543" s="16"/>
      <c r="BG1543" s="125"/>
      <c r="BQ1543" s="125"/>
      <c r="BR1543" s="16"/>
      <c r="BS1543" s="123"/>
      <c r="BT1543" s="19"/>
      <c r="BU1543" s="139"/>
      <c r="BV1543" s="139"/>
      <c r="BW1543" s="123"/>
      <c r="BX1543" s="123"/>
      <c r="BY1543" s="123"/>
      <c r="BZ1543" s="123"/>
      <c r="CA1543" s="123"/>
      <c r="CB1543" s="123"/>
      <c r="CC1543" s="6"/>
      <c r="CD1543" s="123"/>
      <c r="CE1543" s="6"/>
      <c r="CF1543" s="123"/>
      <c r="CG1543" s="6"/>
      <c r="CH1543" s="6"/>
      <c r="CI1543" s="6"/>
      <c r="CJ1543" s="6"/>
      <c r="CK1543" s="123"/>
      <c r="CL1543" s="6"/>
      <c r="CM1543" s="6"/>
      <c r="CN1543" s="6"/>
      <c r="CO1543" s="138"/>
      <c r="CP1543" s="138"/>
      <c r="CQ1543" s="123"/>
      <c r="CR1543" s="6"/>
      <c r="CS1543" s="6"/>
      <c r="CT1543" s="139"/>
      <c r="CU1543" s="139"/>
      <c r="CV1543" s="76"/>
      <c r="CW1543" s="123"/>
      <c r="CX1543" s="6"/>
      <c r="DI1543" s="125"/>
      <c r="DJ1543" s="16"/>
      <c r="DM1543" s="16"/>
      <c r="DN1543" s="16"/>
      <c r="DO1543" s="125"/>
      <c r="DP1543" s="16"/>
      <c r="DQ1543" s="125"/>
      <c r="DZ1543" s="125"/>
      <c r="EA1543" s="142"/>
      <c r="EB1543" s="125"/>
      <c r="EC1543" s="16"/>
      <c r="ED1543" s="125"/>
      <c r="EE1543" s="125"/>
      <c r="EF1543" s="16"/>
      <c r="EG1543" s="125"/>
      <c r="EQ1543" s="125"/>
      <c r="ER1543" s="16"/>
      <c r="ES1543" s="123"/>
      <c r="ET1543" s="19"/>
      <c r="EU1543" s="139"/>
      <c r="EV1543" s="139"/>
      <c r="EW1543" s="123"/>
      <c r="EX1543" s="123"/>
      <c r="EY1543" s="123"/>
      <c r="EZ1543" s="123"/>
      <c r="FA1543" s="123"/>
      <c r="FB1543" s="123"/>
      <c r="FC1543" s="6"/>
      <c r="FD1543" s="123"/>
      <c r="FE1543" s="6"/>
      <c r="FF1543" s="123"/>
      <c r="FG1543" s="6"/>
      <c r="FH1543" s="6"/>
      <c r="FI1543" s="6"/>
      <c r="FJ1543" s="6"/>
      <c r="FK1543" s="123"/>
      <c r="FL1543" s="6"/>
      <c r="FM1543" s="6"/>
      <c r="FN1543" s="6"/>
      <c r="FO1543" s="138"/>
      <c r="FP1543" s="138"/>
      <c r="FQ1543" s="123"/>
      <c r="FR1543" s="6"/>
      <c r="FS1543" s="6"/>
      <c r="FT1543" s="139"/>
      <c r="FU1543" s="139"/>
      <c r="FV1543" s="76"/>
      <c r="FW1543" s="123"/>
      <c r="FX1543" s="6"/>
    </row>
    <row r="1544" spans="35:180">
      <c r="AI1544" s="125"/>
      <c r="AJ1544" s="16"/>
      <c r="AM1544" s="16"/>
      <c r="AN1544" s="16"/>
      <c r="AO1544" s="125"/>
      <c r="AP1544" s="16"/>
      <c r="AQ1544" s="125"/>
      <c r="AZ1544" s="125"/>
      <c r="BA1544" s="142"/>
      <c r="BB1544" s="125"/>
      <c r="BC1544" s="16"/>
      <c r="BD1544" s="125"/>
      <c r="BE1544" s="125"/>
      <c r="BF1544" s="16"/>
      <c r="BG1544" s="125"/>
      <c r="BQ1544" s="125"/>
      <c r="BR1544" s="16"/>
      <c r="BS1544" s="123"/>
      <c r="BT1544" s="19"/>
      <c r="BU1544" s="139"/>
      <c r="BV1544" s="139"/>
      <c r="BW1544" s="123"/>
      <c r="BX1544" s="123"/>
      <c r="BY1544" s="123"/>
      <c r="BZ1544" s="123"/>
      <c r="CA1544" s="123"/>
      <c r="CB1544" s="123"/>
      <c r="CC1544" s="6"/>
      <c r="CD1544" s="123"/>
      <c r="CE1544" s="6"/>
      <c r="CF1544" s="123"/>
      <c r="CG1544" s="6"/>
      <c r="CH1544" s="6"/>
      <c r="CI1544" s="6"/>
      <c r="CJ1544" s="6"/>
      <c r="CK1544" s="123"/>
      <c r="CL1544" s="6"/>
      <c r="CM1544" s="6"/>
      <c r="CN1544" s="6"/>
      <c r="CO1544" s="138"/>
      <c r="CP1544" s="138"/>
      <c r="CQ1544" s="123"/>
      <c r="CR1544" s="6"/>
      <c r="CS1544" s="6"/>
      <c r="CT1544" s="139"/>
      <c r="CU1544" s="139"/>
      <c r="CV1544" s="76"/>
      <c r="CW1544" s="123"/>
      <c r="CX1544" s="6"/>
      <c r="DI1544" s="125"/>
      <c r="DJ1544" s="16"/>
      <c r="DM1544" s="16"/>
      <c r="DN1544" s="16"/>
      <c r="DO1544" s="125"/>
      <c r="DP1544" s="16"/>
      <c r="DQ1544" s="125"/>
      <c r="DZ1544" s="125"/>
      <c r="EA1544" s="142"/>
      <c r="EB1544" s="125"/>
      <c r="EC1544" s="16"/>
      <c r="ED1544" s="125"/>
      <c r="EE1544" s="125"/>
      <c r="EF1544" s="16"/>
      <c r="EG1544" s="125"/>
      <c r="EQ1544" s="125"/>
      <c r="ER1544" s="16"/>
      <c r="ES1544" s="123"/>
      <c r="ET1544" s="19"/>
      <c r="EU1544" s="139"/>
      <c r="EV1544" s="139"/>
      <c r="EW1544" s="123"/>
      <c r="EX1544" s="123"/>
      <c r="EY1544" s="123"/>
      <c r="EZ1544" s="123"/>
      <c r="FA1544" s="123"/>
      <c r="FB1544" s="123"/>
      <c r="FC1544" s="6"/>
      <c r="FD1544" s="123"/>
      <c r="FE1544" s="6"/>
      <c r="FF1544" s="123"/>
      <c r="FG1544" s="6"/>
      <c r="FH1544" s="6"/>
      <c r="FI1544" s="6"/>
      <c r="FJ1544" s="6"/>
      <c r="FK1544" s="123"/>
      <c r="FL1544" s="6"/>
      <c r="FM1544" s="6"/>
      <c r="FN1544" s="6"/>
      <c r="FO1544" s="138"/>
      <c r="FP1544" s="138"/>
      <c r="FQ1544" s="123"/>
      <c r="FR1544" s="6"/>
      <c r="FS1544" s="6"/>
      <c r="FT1544" s="139"/>
      <c r="FU1544" s="139"/>
      <c r="FV1544" s="76"/>
      <c r="FW1544" s="123"/>
      <c r="FX1544" s="6"/>
    </row>
    <row r="1545" spans="35:180">
      <c r="AI1545" s="125"/>
      <c r="AJ1545" s="16"/>
      <c r="AM1545" s="16"/>
      <c r="AN1545" s="16"/>
      <c r="AO1545" s="125"/>
      <c r="AP1545" s="16"/>
      <c r="AQ1545" s="125"/>
      <c r="AZ1545" s="125"/>
      <c r="BA1545" s="142"/>
      <c r="BB1545" s="125"/>
      <c r="BC1545" s="16"/>
      <c r="BD1545" s="125"/>
      <c r="BE1545" s="125"/>
      <c r="BF1545" s="16"/>
      <c r="BG1545" s="125"/>
      <c r="BQ1545" s="125"/>
      <c r="BR1545" s="16"/>
      <c r="BS1545" s="123"/>
      <c r="BT1545" s="19"/>
      <c r="BU1545" s="139"/>
      <c r="BV1545" s="139"/>
      <c r="BW1545" s="123"/>
      <c r="BX1545" s="123"/>
      <c r="BY1545" s="123"/>
      <c r="BZ1545" s="123"/>
      <c r="CA1545" s="123"/>
      <c r="CB1545" s="123"/>
      <c r="CC1545" s="6"/>
      <c r="CD1545" s="123"/>
      <c r="CE1545" s="6"/>
      <c r="CF1545" s="123"/>
      <c r="CG1545" s="6"/>
      <c r="CH1545" s="6"/>
      <c r="CI1545" s="6"/>
      <c r="CJ1545" s="6"/>
      <c r="CK1545" s="123"/>
      <c r="CL1545" s="6"/>
      <c r="CM1545" s="6"/>
      <c r="CN1545" s="6"/>
      <c r="CO1545" s="138"/>
      <c r="CP1545" s="138"/>
      <c r="CQ1545" s="123"/>
      <c r="CR1545" s="6"/>
      <c r="CS1545" s="6"/>
      <c r="CT1545" s="139"/>
      <c r="CU1545" s="139"/>
      <c r="CV1545" s="76"/>
      <c r="CW1545" s="123"/>
      <c r="CX1545" s="6"/>
      <c r="DI1545" s="125"/>
      <c r="DJ1545" s="16"/>
      <c r="DM1545" s="16"/>
      <c r="DN1545" s="16"/>
      <c r="DO1545" s="125"/>
      <c r="DP1545" s="16"/>
      <c r="DQ1545" s="125"/>
      <c r="DZ1545" s="125"/>
      <c r="EA1545" s="142"/>
      <c r="EB1545" s="125"/>
      <c r="EC1545" s="16"/>
      <c r="ED1545" s="125"/>
      <c r="EE1545" s="125"/>
      <c r="EF1545" s="16"/>
      <c r="EG1545" s="125"/>
      <c r="EQ1545" s="125"/>
      <c r="ER1545" s="16"/>
      <c r="ES1545" s="123"/>
      <c r="ET1545" s="19"/>
      <c r="EU1545" s="139"/>
      <c r="EV1545" s="139"/>
      <c r="EW1545" s="123"/>
      <c r="EX1545" s="123"/>
      <c r="EY1545" s="123"/>
      <c r="EZ1545" s="123"/>
      <c r="FA1545" s="123"/>
      <c r="FB1545" s="123"/>
      <c r="FC1545" s="6"/>
      <c r="FD1545" s="123"/>
      <c r="FE1545" s="6"/>
      <c r="FF1545" s="123"/>
      <c r="FG1545" s="6"/>
      <c r="FH1545" s="6"/>
      <c r="FI1545" s="6"/>
      <c r="FJ1545" s="6"/>
      <c r="FK1545" s="123"/>
      <c r="FL1545" s="6"/>
      <c r="FM1545" s="6"/>
      <c r="FN1545" s="6"/>
      <c r="FO1545" s="138"/>
      <c r="FP1545" s="138"/>
      <c r="FQ1545" s="123"/>
      <c r="FR1545" s="6"/>
      <c r="FS1545" s="6"/>
      <c r="FT1545" s="139"/>
      <c r="FU1545" s="139"/>
      <c r="FV1545" s="76"/>
      <c r="FW1545" s="123"/>
      <c r="FX1545" s="6"/>
    </row>
    <row r="1546" spans="35:180">
      <c r="AI1546" s="125"/>
      <c r="AJ1546" s="16"/>
      <c r="AM1546" s="16"/>
      <c r="AN1546" s="16"/>
      <c r="AO1546" s="125"/>
      <c r="AP1546" s="16"/>
      <c r="AQ1546" s="125"/>
      <c r="AZ1546" s="125"/>
      <c r="BA1546" s="142"/>
      <c r="BB1546" s="125"/>
      <c r="BC1546" s="16"/>
      <c r="BD1546" s="125"/>
      <c r="BE1546" s="125"/>
      <c r="BF1546" s="16"/>
      <c r="BG1546" s="125"/>
      <c r="BQ1546" s="125"/>
      <c r="BR1546" s="16"/>
      <c r="BS1546" s="123"/>
      <c r="BT1546" s="19"/>
      <c r="BU1546" s="139"/>
      <c r="BV1546" s="139"/>
      <c r="BW1546" s="123"/>
      <c r="BX1546" s="123"/>
      <c r="BY1546" s="123"/>
      <c r="BZ1546" s="123"/>
      <c r="CA1546" s="123"/>
      <c r="CB1546" s="123"/>
      <c r="CC1546" s="6"/>
      <c r="CD1546" s="123"/>
      <c r="CE1546" s="6"/>
      <c r="CF1546" s="123"/>
      <c r="CG1546" s="6"/>
      <c r="CH1546" s="6"/>
      <c r="CI1546" s="6"/>
      <c r="CJ1546" s="6"/>
      <c r="CK1546" s="123"/>
      <c r="CL1546" s="6"/>
      <c r="CM1546" s="6"/>
      <c r="CN1546" s="6"/>
      <c r="CO1546" s="138"/>
      <c r="CP1546" s="138"/>
      <c r="CQ1546" s="123"/>
      <c r="CR1546" s="6"/>
      <c r="CS1546" s="6"/>
      <c r="CT1546" s="139"/>
      <c r="CU1546" s="139"/>
      <c r="CV1546" s="76"/>
      <c r="CW1546" s="123"/>
      <c r="CX1546" s="6"/>
      <c r="DI1546" s="125"/>
      <c r="DJ1546" s="16"/>
      <c r="DM1546" s="16"/>
      <c r="DN1546" s="16"/>
      <c r="DO1546" s="125"/>
      <c r="DP1546" s="16"/>
      <c r="DQ1546" s="125"/>
      <c r="DZ1546" s="125"/>
      <c r="EA1546" s="142"/>
      <c r="EB1546" s="125"/>
      <c r="EC1546" s="16"/>
      <c r="ED1546" s="125"/>
      <c r="EE1546" s="125"/>
      <c r="EF1546" s="16"/>
      <c r="EG1546" s="125"/>
      <c r="EQ1546" s="125"/>
      <c r="ER1546" s="16"/>
      <c r="ES1546" s="123"/>
      <c r="ET1546" s="19"/>
      <c r="EU1546" s="139"/>
      <c r="EV1546" s="139"/>
      <c r="EW1546" s="123"/>
      <c r="EX1546" s="123"/>
      <c r="EY1546" s="123"/>
      <c r="EZ1546" s="123"/>
      <c r="FA1546" s="123"/>
      <c r="FB1546" s="123"/>
      <c r="FC1546" s="6"/>
      <c r="FD1546" s="123"/>
      <c r="FE1546" s="6"/>
      <c r="FF1546" s="123"/>
      <c r="FG1546" s="6"/>
      <c r="FH1546" s="6"/>
      <c r="FI1546" s="6"/>
      <c r="FJ1546" s="6"/>
      <c r="FK1546" s="123"/>
      <c r="FL1546" s="6"/>
      <c r="FM1546" s="6"/>
      <c r="FN1546" s="6"/>
      <c r="FO1546" s="138"/>
      <c r="FP1546" s="138"/>
      <c r="FQ1546" s="123"/>
      <c r="FR1546" s="6"/>
      <c r="FS1546" s="6"/>
      <c r="FT1546" s="139"/>
      <c r="FU1546" s="139"/>
      <c r="FV1546" s="76"/>
      <c r="FW1546" s="123"/>
      <c r="FX1546" s="6"/>
    </row>
    <row r="1547" spans="35:180">
      <c r="AI1547" s="125"/>
      <c r="AJ1547" s="16"/>
      <c r="AM1547" s="16"/>
      <c r="AN1547" s="16"/>
      <c r="AO1547" s="125"/>
      <c r="AP1547" s="16"/>
      <c r="AQ1547" s="125"/>
      <c r="AZ1547" s="125"/>
      <c r="BA1547" s="142"/>
      <c r="BB1547" s="125"/>
      <c r="BC1547" s="16"/>
      <c r="BD1547" s="125"/>
      <c r="BE1547" s="125"/>
      <c r="BF1547" s="16"/>
      <c r="BG1547" s="125"/>
      <c r="BQ1547" s="125"/>
      <c r="BR1547" s="16"/>
      <c r="BS1547" s="123"/>
      <c r="BT1547" s="19"/>
      <c r="BU1547" s="139"/>
      <c r="BV1547" s="139"/>
      <c r="BW1547" s="123"/>
      <c r="BX1547" s="123"/>
      <c r="BY1547" s="123"/>
      <c r="BZ1547" s="123"/>
      <c r="CA1547" s="123"/>
      <c r="CB1547" s="123"/>
      <c r="CC1547" s="6"/>
      <c r="CD1547" s="123"/>
      <c r="CE1547" s="6"/>
      <c r="CF1547" s="123"/>
      <c r="CG1547" s="6"/>
      <c r="CH1547" s="6"/>
      <c r="CI1547" s="6"/>
      <c r="CJ1547" s="6"/>
      <c r="CK1547" s="123"/>
      <c r="CL1547" s="6"/>
      <c r="CM1547" s="6"/>
      <c r="CN1547" s="6"/>
      <c r="CO1547" s="138"/>
      <c r="CP1547" s="138"/>
      <c r="CQ1547" s="123"/>
      <c r="CR1547" s="6"/>
      <c r="CS1547" s="6"/>
      <c r="CT1547" s="139"/>
      <c r="CU1547" s="139"/>
      <c r="CV1547" s="76"/>
      <c r="CW1547" s="123"/>
      <c r="CX1547" s="6"/>
      <c r="DI1547" s="125"/>
      <c r="DJ1547" s="16"/>
      <c r="DM1547" s="16"/>
      <c r="DN1547" s="16"/>
      <c r="DO1547" s="125"/>
      <c r="DP1547" s="16"/>
      <c r="DQ1547" s="125"/>
      <c r="DZ1547" s="125"/>
      <c r="EA1547" s="142"/>
      <c r="EB1547" s="125"/>
      <c r="EC1547" s="16"/>
      <c r="ED1547" s="125"/>
      <c r="EE1547" s="125"/>
      <c r="EF1547" s="16"/>
      <c r="EG1547" s="125"/>
      <c r="EQ1547" s="125"/>
      <c r="ER1547" s="16"/>
      <c r="ES1547" s="123"/>
      <c r="ET1547" s="19"/>
      <c r="EU1547" s="139"/>
      <c r="EV1547" s="139"/>
      <c r="EW1547" s="123"/>
      <c r="EX1547" s="123"/>
      <c r="EY1547" s="123"/>
      <c r="EZ1547" s="123"/>
      <c r="FA1547" s="123"/>
      <c r="FB1547" s="123"/>
      <c r="FC1547" s="6"/>
      <c r="FD1547" s="123"/>
      <c r="FE1547" s="6"/>
      <c r="FF1547" s="123"/>
      <c r="FG1547" s="6"/>
      <c r="FH1547" s="6"/>
      <c r="FI1547" s="6"/>
      <c r="FJ1547" s="6"/>
      <c r="FK1547" s="123"/>
      <c r="FL1547" s="6"/>
      <c r="FM1547" s="6"/>
      <c r="FN1547" s="6"/>
      <c r="FO1547" s="138"/>
      <c r="FP1547" s="138"/>
      <c r="FQ1547" s="123"/>
      <c r="FR1547" s="6"/>
      <c r="FS1547" s="6"/>
      <c r="FT1547" s="139"/>
      <c r="FU1547" s="139"/>
      <c r="FV1547" s="76"/>
      <c r="FW1547" s="123"/>
      <c r="FX1547" s="6"/>
    </row>
    <row r="1548" spans="35:180">
      <c r="AI1548" s="125"/>
      <c r="AJ1548" s="16"/>
      <c r="AM1548" s="16"/>
      <c r="AN1548" s="16"/>
      <c r="AO1548" s="125"/>
      <c r="AP1548" s="16"/>
      <c r="AQ1548" s="125"/>
      <c r="AZ1548" s="125"/>
      <c r="BA1548" s="142"/>
      <c r="BB1548" s="125"/>
      <c r="BC1548" s="16"/>
      <c r="BD1548" s="125"/>
      <c r="BE1548" s="125"/>
      <c r="BF1548" s="16"/>
      <c r="BG1548" s="125"/>
      <c r="BQ1548" s="125"/>
      <c r="BR1548" s="16"/>
      <c r="BS1548" s="123"/>
      <c r="BT1548" s="19"/>
      <c r="BU1548" s="139"/>
      <c r="BV1548" s="139"/>
      <c r="BW1548" s="123"/>
      <c r="BX1548" s="123"/>
      <c r="BY1548" s="123"/>
      <c r="BZ1548" s="123"/>
      <c r="CA1548" s="123"/>
      <c r="CB1548" s="123"/>
      <c r="CC1548" s="6"/>
      <c r="CD1548" s="123"/>
      <c r="CE1548" s="6"/>
      <c r="CF1548" s="123"/>
      <c r="CG1548" s="6"/>
      <c r="CH1548" s="6"/>
      <c r="CI1548" s="6"/>
      <c r="CJ1548" s="6"/>
      <c r="CK1548" s="123"/>
      <c r="CL1548" s="6"/>
      <c r="CM1548" s="6"/>
      <c r="CN1548" s="6"/>
      <c r="CO1548" s="138"/>
      <c r="CP1548" s="138"/>
      <c r="CQ1548" s="123"/>
      <c r="CR1548" s="6"/>
      <c r="CS1548" s="6"/>
      <c r="CT1548" s="139"/>
      <c r="CU1548" s="139"/>
      <c r="CV1548" s="76"/>
      <c r="CW1548" s="123"/>
      <c r="CX1548" s="6"/>
      <c r="DI1548" s="125"/>
      <c r="DJ1548" s="16"/>
      <c r="DM1548" s="16"/>
      <c r="DN1548" s="16"/>
      <c r="DO1548" s="125"/>
      <c r="DP1548" s="16"/>
      <c r="DQ1548" s="125"/>
      <c r="DZ1548" s="125"/>
      <c r="EA1548" s="142"/>
      <c r="EB1548" s="125"/>
      <c r="EC1548" s="16"/>
      <c r="ED1548" s="125"/>
      <c r="EE1548" s="125"/>
      <c r="EF1548" s="16"/>
      <c r="EG1548" s="125"/>
      <c r="EQ1548" s="125"/>
      <c r="ER1548" s="16"/>
      <c r="ES1548" s="123"/>
      <c r="ET1548" s="19"/>
      <c r="EU1548" s="139"/>
      <c r="EV1548" s="139"/>
      <c r="EW1548" s="123"/>
      <c r="EX1548" s="123"/>
      <c r="EY1548" s="123"/>
      <c r="EZ1548" s="123"/>
      <c r="FA1548" s="123"/>
      <c r="FB1548" s="123"/>
      <c r="FC1548" s="6"/>
      <c r="FD1548" s="123"/>
      <c r="FE1548" s="6"/>
      <c r="FF1548" s="123"/>
      <c r="FG1548" s="6"/>
      <c r="FH1548" s="6"/>
      <c r="FI1548" s="6"/>
      <c r="FJ1548" s="6"/>
      <c r="FK1548" s="123"/>
      <c r="FL1548" s="6"/>
      <c r="FM1548" s="6"/>
      <c r="FN1548" s="6"/>
      <c r="FO1548" s="138"/>
      <c r="FP1548" s="138"/>
      <c r="FQ1548" s="123"/>
      <c r="FR1548" s="6"/>
      <c r="FS1548" s="6"/>
      <c r="FT1548" s="139"/>
      <c r="FU1548" s="139"/>
      <c r="FV1548" s="76"/>
      <c r="FW1548" s="123"/>
      <c r="FX1548" s="6"/>
    </row>
    <row r="1549" spans="35:180">
      <c r="AI1549" s="125"/>
      <c r="AJ1549" s="16"/>
      <c r="AM1549" s="16"/>
      <c r="AN1549" s="16"/>
      <c r="AO1549" s="125"/>
      <c r="AP1549" s="16"/>
      <c r="AQ1549" s="125"/>
      <c r="AZ1549" s="125"/>
      <c r="BA1549" s="142"/>
      <c r="BB1549" s="125"/>
      <c r="BC1549" s="16"/>
      <c r="BD1549" s="125"/>
      <c r="BE1549" s="125"/>
      <c r="BF1549" s="16"/>
      <c r="BG1549" s="125"/>
      <c r="BQ1549" s="125"/>
      <c r="BR1549" s="16"/>
      <c r="BS1549" s="123"/>
      <c r="BT1549" s="19"/>
      <c r="BU1549" s="139"/>
      <c r="BV1549" s="139"/>
      <c r="BW1549" s="123"/>
      <c r="BX1549" s="123"/>
      <c r="BY1549" s="123"/>
      <c r="BZ1549" s="123"/>
      <c r="CA1549" s="123"/>
      <c r="CB1549" s="123"/>
      <c r="CC1549" s="6"/>
      <c r="CD1549" s="123"/>
      <c r="CE1549" s="6"/>
      <c r="CF1549" s="123"/>
      <c r="CG1549" s="6"/>
      <c r="CH1549" s="6"/>
      <c r="CI1549" s="6"/>
      <c r="CJ1549" s="6"/>
      <c r="CK1549" s="123"/>
      <c r="CL1549" s="6"/>
      <c r="CM1549" s="6"/>
      <c r="CN1549" s="6"/>
      <c r="CO1549" s="138"/>
      <c r="CP1549" s="138"/>
      <c r="CQ1549" s="123"/>
      <c r="CR1549" s="6"/>
      <c r="CS1549" s="6"/>
      <c r="CT1549" s="139"/>
      <c r="CU1549" s="139"/>
      <c r="CV1549" s="76"/>
      <c r="CW1549" s="123"/>
      <c r="CX1549" s="6"/>
      <c r="DI1549" s="125"/>
      <c r="DJ1549" s="16"/>
      <c r="DM1549" s="16"/>
      <c r="DN1549" s="16"/>
      <c r="DO1549" s="125"/>
      <c r="DP1549" s="16"/>
      <c r="DQ1549" s="125"/>
      <c r="DZ1549" s="125"/>
      <c r="EA1549" s="142"/>
      <c r="EB1549" s="125"/>
      <c r="EC1549" s="16"/>
      <c r="ED1549" s="125"/>
      <c r="EE1549" s="125"/>
      <c r="EF1549" s="16"/>
      <c r="EG1549" s="125"/>
      <c r="EQ1549" s="125"/>
      <c r="ER1549" s="16"/>
      <c r="ES1549" s="123"/>
      <c r="ET1549" s="19"/>
      <c r="EU1549" s="139"/>
      <c r="EV1549" s="139"/>
      <c r="EW1549" s="123"/>
      <c r="EX1549" s="123"/>
      <c r="EY1549" s="123"/>
      <c r="EZ1549" s="123"/>
      <c r="FA1549" s="123"/>
      <c r="FB1549" s="123"/>
      <c r="FC1549" s="6"/>
      <c r="FD1549" s="123"/>
      <c r="FE1549" s="6"/>
      <c r="FF1549" s="123"/>
      <c r="FG1549" s="6"/>
      <c r="FH1549" s="6"/>
      <c r="FI1549" s="6"/>
      <c r="FJ1549" s="6"/>
      <c r="FK1549" s="123"/>
      <c r="FL1549" s="6"/>
      <c r="FM1549" s="6"/>
      <c r="FN1549" s="6"/>
      <c r="FO1549" s="138"/>
      <c r="FP1549" s="138"/>
      <c r="FQ1549" s="123"/>
      <c r="FR1549" s="6"/>
      <c r="FS1549" s="6"/>
      <c r="FT1549" s="139"/>
      <c r="FU1549" s="139"/>
      <c r="FV1549" s="76"/>
      <c r="FW1549" s="123"/>
      <c r="FX1549" s="6"/>
    </row>
    <row r="1550" spans="35:180">
      <c r="AI1550" s="125"/>
      <c r="AJ1550" s="16"/>
      <c r="AM1550" s="16"/>
      <c r="AN1550" s="16"/>
      <c r="AO1550" s="125"/>
      <c r="AP1550" s="16"/>
      <c r="AQ1550" s="125"/>
      <c r="AZ1550" s="125"/>
      <c r="BA1550" s="142"/>
      <c r="BB1550" s="125"/>
      <c r="BC1550" s="16"/>
      <c r="BD1550" s="125"/>
      <c r="BE1550" s="125"/>
      <c r="BF1550" s="16"/>
      <c r="BG1550" s="125"/>
      <c r="BQ1550" s="125"/>
      <c r="BR1550" s="16"/>
      <c r="BS1550" s="123"/>
      <c r="BT1550" s="19"/>
      <c r="BU1550" s="139"/>
      <c r="BV1550" s="139"/>
      <c r="BW1550" s="123"/>
      <c r="BX1550" s="123"/>
      <c r="BY1550" s="123"/>
      <c r="BZ1550" s="123"/>
      <c r="CA1550" s="123"/>
      <c r="CB1550" s="123"/>
      <c r="CC1550" s="6"/>
      <c r="CD1550" s="123"/>
      <c r="CE1550" s="6"/>
      <c r="CF1550" s="123"/>
      <c r="CG1550" s="6"/>
      <c r="CH1550" s="6"/>
      <c r="CI1550" s="6"/>
      <c r="CJ1550" s="6"/>
      <c r="CK1550" s="123"/>
      <c r="CL1550" s="6"/>
      <c r="CM1550" s="6"/>
      <c r="CN1550" s="6"/>
      <c r="CO1550" s="138"/>
      <c r="CP1550" s="138"/>
      <c r="CQ1550" s="123"/>
      <c r="CR1550" s="6"/>
      <c r="CS1550" s="6"/>
      <c r="CT1550" s="139"/>
      <c r="CU1550" s="139"/>
      <c r="CV1550" s="76"/>
      <c r="CW1550" s="123"/>
      <c r="CX1550" s="6"/>
      <c r="DI1550" s="125"/>
      <c r="DJ1550" s="16"/>
      <c r="DM1550" s="16"/>
      <c r="DN1550" s="16"/>
      <c r="DO1550" s="125"/>
      <c r="DP1550" s="16"/>
      <c r="DQ1550" s="125"/>
      <c r="DZ1550" s="125"/>
      <c r="EA1550" s="142"/>
      <c r="EB1550" s="125"/>
      <c r="EC1550" s="16"/>
      <c r="ED1550" s="125"/>
      <c r="EE1550" s="125"/>
      <c r="EF1550" s="16"/>
      <c r="EG1550" s="125"/>
      <c r="EQ1550" s="125"/>
      <c r="ER1550" s="16"/>
      <c r="ES1550" s="123"/>
      <c r="ET1550" s="19"/>
      <c r="EU1550" s="139"/>
      <c r="EV1550" s="139"/>
      <c r="EW1550" s="123"/>
      <c r="EX1550" s="123"/>
      <c r="EY1550" s="123"/>
      <c r="EZ1550" s="123"/>
      <c r="FA1550" s="123"/>
      <c r="FB1550" s="123"/>
      <c r="FC1550" s="6"/>
      <c r="FD1550" s="123"/>
      <c r="FE1550" s="6"/>
      <c r="FF1550" s="123"/>
      <c r="FG1550" s="6"/>
      <c r="FH1550" s="6"/>
      <c r="FI1550" s="6"/>
      <c r="FJ1550" s="6"/>
      <c r="FK1550" s="123"/>
      <c r="FL1550" s="6"/>
      <c r="FM1550" s="6"/>
      <c r="FN1550" s="6"/>
      <c r="FO1550" s="138"/>
      <c r="FP1550" s="138"/>
      <c r="FQ1550" s="123"/>
      <c r="FR1550" s="6"/>
      <c r="FS1550" s="6"/>
      <c r="FT1550" s="139"/>
      <c r="FU1550" s="139"/>
      <c r="FV1550" s="76"/>
      <c r="FW1550" s="123"/>
      <c r="FX1550" s="6"/>
    </row>
    <row r="1551" spans="35:180">
      <c r="AI1551" s="125"/>
      <c r="AJ1551" s="16"/>
      <c r="AM1551" s="16"/>
      <c r="AN1551" s="16"/>
      <c r="AO1551" s="125"/>
      <c r="AP1551" s="16"/>
      <c r="AQ1551" s="125"/>
      <c r="AZ1551" s="125"/>
      <c r="BA1551" s="142"/>
      <c r="BB1551" s="125"/>
      <c r="BC1551" s="16"/>
      <c r="BD1551" s="125"/>
      <c r="BE1551" s="125"/>
      <c r="BF1551" s="16"/>
      <c r="BG1551" s="125"/>
      <c r="BQ1551" s="125"/>
      <c r="BR1551" s="16"/>
      <c r="BS1551" s="123"/>
      <c r="BT1551" s="19"/>
      <c r="BU1551" s="139"/>
      <c r="BV1551" s="139"/>
      <c r="BW1551" s="123"/>
      <c r="BX1551" s="123"/>
      <c r="BY1551" s="123"/>
      <c r="BZ1551" s="123"/>
      <c r="CA1551" s="123"/>
      <c r="CB1551" s="123"/>
      <c r="CC1551" s="6"/>
      <c r="CD1551" s="123"/>
      <c r="CE1551" s="6"/>
      <c r="CF1551" s="123"/>
      <c r="CG1551" s="6"/>
      <c r="CH1551" s="6"/>
      <c r="CI1551" s="6"/>
      <c r="CJ1551" s="6"/>
      <c r="CK1551" s="123"/>
      <c r="CL1551" s="6"/>
      <c r="CM1551" s="6"/>
      <c r="CN1551" s="6"/>
      <c r="CO1551" s="138"/>
      <c r="CP1551" s="138"/>
      <c r="CQ1551" s="123"/>
      <c r="CR1551" s="6"/>
      <c r="CS1551" s="6"/>
      <c r="CT1551" s="139"/>
      <c r="CU1551" s="139"/>
      <c r="CV1551" s="76"/>
      <c r="CW1551" s="123"/>
      <c r="CX1551" s="6"/>
      <c r="DI1551" s="125"/>
      <c r="DJ1551" s="16"/>
      <c r="DM1551" s="16"/>
      <c r="DN1551" s="16"/>
      <c r="DO1551" s="125"/>
      <c r="DP1551" s="16"/>
      <c r="DQ1551" s="125"/>
      <c r="DZ1551" s="125"/>
      <c r="EA1551" s="142"/>
      <c r="EB1551" s="125"/>
      <c r="EC1551" s="16"/>
      <c r="ED1551" s="125"/>
      <c r="EE1551" s="125"/>
      <c r="EF1551" s="16"/>
      <c r="EG1551" s="125"/>
      <c r="EQ1551" s="125"/>
      <c r="ER1551" s="16"/>
      <c r="ES1551" s="123"/>
      <c r="ET1551" s="19"/>
      <c r="EU1551" s="139"/>
      <c r="EV1551" s="139"/>
      <c r="EW1551" s="123"/>
      <c r="EX1551" s="123"/>
      <c r="EY1551" s="123"/>
      <c r="EZ1551" s="123"/>
      <c r="FA1551" s="123"/>
      <c r="FB1551" s="123"/>
      <c r="FC1551" s="6"/>
      <c r="FD1551" s="123"/>
      <c r="FE1551" s="6"/>
      <c r="FF1551" s="123"/>
      <c r="FG1551" s="6"/>
      <c r="FH1551" s="6"/>
      <c r="FI1551" s="6"/>
      <c r="FJ1551" s="6"/>
      <c r="FK1551" s="123"/>
      <c r="FL1551" s="6"/>
      <c r="FM1551" s="6"/>
      <c r="FN1551" s="6"/>
      <c r="FO1551" s="138"/>
      <c r="FP1551" s="138"/>
      <c r="FQ1551" s="123"/>
      <c r="FR1551" s="6"/>
      <c r="FS1551" s="6"/>
      <c r="FT1551" s="139"/>
      <c r="FU1551" s="139"/>
      <c r="FV1551" s="76"/>
      <c r="FW1551" s="123"/>
      <c r="FX1551" s="6"/>
    </row>
    <row r="1552" spans="35:180">
      <c r="AI1552" s="125"/>
      <c r="AJ1552" s="16"/>
      <c r="AM1552" s="16"/>
      <c r="AN1552" s="16"/>
      <c r="AO1552" s="125"/>
      <c r="AP1552" s="16"/>
      <c r="AQ1552" s="125"/>
      <c r="AZ1552" s="125"/>
      <c r="BA1552" s="142"/>
      <c r="BB1552" s="125"/>
      <c r="BC1552" s="16"/>
      <c r="BD1552" s="125"/>
      <c r="BE1552" s="125"/>
      <c r="BF1552" s="16"/>
      <c r="BG1552" s="125"/>
      <c r="BQ1552" s="125"/>
      <c r="BR1552" s="16"/>
      <c r="BS1552" s="123"/>
      <c r="BT1552" s="19"/>
      <c r="BU1552" s="139"/>
      <c r="BV1552" s="139"/>
      <c r="BW1552" s="123"/>
      <c r="BX1552" s="123"/>
      <c r="BY1552" s="123"/>
      <c r="BZ1552" s="123"/>
      <c r="CA1552" s="123"/>
      <c r="CB1552" s="123"/>
      <c r="CC1552" s="6"/>
      <c r="CD1552" s="123"/>
      <c r="CE1552" s="6"/>
      <c r="CF1552" s="123"/>
      <c r="CG1552" s="6"/>
      <c r="CH1552" s="6"/>
      <c r="CI1552" s="6"/>
      <c r="CJ1552" s="6"/>
      <c r="CK1552" s="123"/>
      <c r="CL1552" s="6"/>
      <c r="CM1552" s="6"/>
      <c r="CN1552" s="6"/>
      <c r="CO1552" s="138"/>
      <c r="CP1552" s="138"/>
      <c r="CQ1552" s="123"/>
      <c r="CR1552" s="6"/>
      <c r="CS1552" s="6"/>
      <c r="CT1552" s="139"/>
      <c r="CU1552" s="139"/>
      <c r="CV1552" s="76"/>
      <c r="CW1552" s="123"/>
      <c r="CX1552" s="6"/>
      <c r="DI1552" s="125"/>
      <c r="DJ1552" s="16"/>
      <c r="DM1552" s="16"/>
      <c r="DN1552" s="16"/>
      <c r="DO1552" s="125"/>
      <c r="DP1552" s="16"/>
      <c r="DQ1552" s="125"/>
      <c r="DZ1552" s="125"/>
      <c r="EA1552" s="142"/>
      <c r="EB1552" s="125"/>
      <c r="EC1552" s="16"/>
      <c r="ED1552" s="125"/>
      <c r="EE1552" s="125"/>
      <c r="EF1552" s="16"/>
      <c r="EG1552" s="125"/>
      <c r="EQ1552" s="125"/>
      <c r="ER1552" s="16"/>
      <c r="ES1552" s="123"/>
      <c r="ET1552" s="19"/>
      <c r="EU1552" s="139"/>
      <c r="EV1552" s="139"/>
      <c r="EW1552" s="123"/>
      <c r="EX1552" s="123"/>
      <c r="EY1552" s="123"/>
      <c r="EZ1552" s="123"/>
      <c r="FA1552" s="123"/>
      <c r="FB1552" s="123"/>
      <c r="FC1552" s="6"/>
      <c r="FD1552" s="123"/>
      <c r="FE1552" s="6"/>
      <c r="FF1552" s="123"/>
      <c r="FG1552" s="6"/>
      <c r="FH1552" s="6"/>
      <c r="FI1552" s="6"/>
      <c r="FJ1552" s="6"/>
      <c r="FK1552" s="123"/>
      <c r="FL1552" s="6"/>
      <c r="FM1552" s="6"/>
      <c r="FN1552" s="6"/>
      <c r="FO1552" s="138"/>
      <c r="FP1552" s="138"/>
      <c r="FQ1552" s="123"/>
      <c r="FR1552" s="6"/>
      <c r="FS1552" s="6"/>
      <c r="FT1552" s="139"/>
      <c r="FU1552" s="139"/>
      <c r="FV1552" s="76"/>
      <c r="FW1552" s="123"/>
      <c r="FX1552" s="6"/>
    </row>
    <row r="1553" spans="35:180">
      <c r="AI1553" s="125"/>
      <c r="AJ1553" s="16"/>
      <c r="AM1553" s="16"/>
      <c r="AN1553" s="16"/>
      <c r="AO1553" s="125"/>
      <c r="AP1553" s="16"/>
      <c r="AQ1553" s="125"/>
      <c r="AZ1553" s="125"/>
      <c r="BA1553" s="142"/>
      <c r="BB1553" s="125"/>
      <c r="BC1553" s="16"/>
      <c r="BD1553" s="125"/>
      <c r="BE1553" s="125"/>
      <c r="BF1553" s="16"/>
      <c r="BG1553" s="125"/>
      <c r="BQ1553" s="125"/>
      <c r="BR1553" s="16"/>
      <c r="BS1553" s="123"/>
      <c r="BT1553" s="19"/>
      <c r="BU1553" s="139"/>
      <c r="BV1553" s="139"/>
      <c r="BW1553" s="123"/>
      <c r="BX1553" s="123"/>
      <c r="BY1553" s="123"/>
      <c r="BZ1553" s="123"/>
      <c r="CA1553" s="123"/>
      <c r="CB1553" s="123"/>
      <c r="CC1553" s="6"/>
      <c r="CD1553" s="123"/>
      <c r="CE1553" s="6"/>
      <c r="CF1553" s="123"/>
      <c r="CG1553" s="6"/>
      <c r="CH1553" s="6"/>
      <c r="CI1553" s="6"/>
      <c r="CJ1553" s="6"/>
      <c r="CK1553" s="123"/>
      <c r="CL1553" s="6"/>
      <c r="CM1553" s="6"/>
      <c r="CN1553" s="6"/>
      <c r="CO1553" s="138"/>
      <c r="CP1553" s="138"/>
      <c r="CQ1553" s="123"/>
      <c r="CR1553" s="6"/>
      <c r="CS1553" s="6"/>
      <c r="CT1553" s="139"/>
      <c r="CU1553" s="139"/>
      <c r="CV1553" s="76"/>
      <c r="CW1553" s="123"/>
      <c r="CX1553" s="6"/>
      <c r="DI1553" s="125"/>
      <c r="DJ1553" s="16"/>
      <c r="DM1553" s="16"/>
      <c r="DN1553" s="16"/>
      <c r="DO1553" s="125"/>
      <c r="DP1553" s="16"/>
      <c r="DQ1553" s="125"/>
      <c r="DZ1553" s="125"/>
      <c r="EA1553" s="142"/>
      <c r="EB1553" s="125"/>
      <c r="EC1553" s="16"/>
      <c r="ED1553" s="125"/>
      <c r="EE1553" s="125"/>
      <c r="EF1553" s="16"/>
      <c r="EG1553" s="125"/>
      <c r="EQ1553" s="125"/>
      <c r="ER1553" s="16"/>
      <c r="ES1553" s="123"/>
      <c r="ET1553" s="19"/>
      <c r="EU1553" s="139"/>
      <c r="EV1553" s="139"/>
      <c r="EW1553" s="123"/>
      <c r="EX1553" s="123"/>
      <c r="EY1553" s="123"/>
      <c r="EZ1553" s="123"/>
      <c r="FA1553" s="123"/>
      <c r="FB1553" s="123"/>
      <c r="FC1553" s="6"/>
      <c r="FD1553" s="123"/>
      <c r="FE1553" s="6"/>
      <c r="FF1553" s="123"/>
      <c r="FG1553" s="6"/>
      <c r="FH1553" s="6"/>
      <c r="FI1553" s="6"/>
      <c r="FJ1553" s="6"/>
      <c r="FK1553" s="123"/>
      <c r="FL1553" s="6"/>
      <c r="FM1553" s="6"/>
      <c r="FN1553" s="6"/>
      <c r="FO1553" s="138"/>
      <c r="FP1553" s="138"/>
      <c r="FQ1553" s="123"/>
      <c r="FR1553" s="6"/>
      <c r="FS1553" s="6"/>
      <c r="FT1553" s="139"/>
      <c r="FU1553" s="139"/>
      <c r="FV1553" s="76"/>
      <c r="FW1553" s="123"/>
      <c r="FX1553" s="6"/>
    </row>
    <row r="1554" spans="35:180">
      <c r="AI1554" s="125"/>
      <c r="AJ1554" s="16"/>
      <c r="AM1554" s="16"/>
      <c r="AN1554" s="16"/>
      <c r="AO1554" s="125"/>
      <c r="AP1554" s="16"/>
      <c r="AQ1554" s="125"/>
      <c r="AZ1554" s="125"/>
      <c r="BA1554" s="142"/>
      <c r="BB1554" s="125"/>
      <c r="BC1554" s="16"/>
      <c r="BD1554" s="125"/>
      <c r="BE1554" s="125"/>
      <c r="BF1554" s="16"/>
      <c r="BG1554" s="125"/>
      <c r="BQ1554" s="125"/>
      <c r="BR1554" s="16"/>
      <c r="BS1554" s="123"/>
      <c r="BT1554" s="19"/>
      <c r="BU1554" s="139"/>
      <c r="BV1554" s="139"/>
      <c r="BW1554" s="123"/>
      <c r="BX1554" s="123"/>
      <c r="BY1554" s="123"/>
      <c r="BZ1554" s="123"/>
      <c r="CA1554" s="123"/>
      <c r="CB1554" s="123"/>
      <c r="CC1554" s="6"/>
      <c r="CD1554" s="123"/>
      <c r="CE1554" s="6"/>
      <c r="CF1554" s="123"/>
      <c r="CG1554" s="6"/>
      <c r="CH1554" s="6"/>
      <c r="CI1554" s="6"/>
      <c r="CJ1554" s="6"/>
      <c r="CK1554" s="123"/>
      <c r="CL1554" s="6"/>
      <c r="CM1554" s="6"/>
      <c r="CN1554" s="6"/>
      <c r="CO1554" s="138"/>
      <c r="CP1554" s="138"/>
      <c r="CQ1554" s="123"/>
      <c r="CR1554" s="6"/>
      <c r="CS1554" s="6"/>
      <c r="CT1554" s="139"/>
      <c r="CU1554" s="139"/>
      <c r="CV1554" s="76"/>
      <c r="CW1554" s="123"/>
      <c r="CX1554" s="6"/>
      <c r="DI1554" s="125"/>
      <c r="DJ1554" s="16"/>
      <c r="DM1554" s="16"/>
      <c r="DN1554" s="16"/>
      <c r="DO1554" s="125"/>
      <c r="DP1554" s="16"/>
      <c r="DQ1554" s="125"/>
      <c r="DZ1554" s="125"/>
      <c r="EA1554" s="142"/>
      <c r="EB1554" s="125"/>
      <c r="EC1554" s="16"/>
      <c r="ED1554" s="125"/>
      <c r="EE1554" s="125"/>
      <c r="EF1554" s="16"/>
      <c r="EG1554" s="125"/>
      <c r="EQ1554" s="125"/>
      <c r="ER1554" s="16"/>
      <c r="ES1554" s="123"/>
      <c r="ET1554" s="19"/>
      <c r="EU1554" s="139"/>
      <c r="EV1554" s="139"/>
      <c r="EW1554" s="123"/>
      <c r="EX1554" s="123"/>
      <c r="EY1554" s="123"/>
      <c r="EZ1554" s="123"/>
      <c r="FA1554" s="123"/>
      <c r="FB1554" s="123"/>
      <c r="FC1554" s="6"/>
      <c r="FD1554" s="123"/>
      <c r="FE1554" s="6"/>
      <c r="FF1554" s="123"/>
      <c r="FG1554" s="6"/>
      <c r="FH1554" s="6"/>
      <c r="FI1554" s="6"/>
      <c r="FJ1554" s="6"/>
      <c r="FK1554" s="123"/>
      <c r="FL1554" s="6"/>
      <c r="FM1554" s="6"/>
      <c r="FN1554" s="6"/>
      <c r="FO1554" s="138"/>
      <c r="FP1554" s="138"/>
      <c r="FQ1554" s="123"/>
      <c r="FR1554" s="6"/>
      <c r="FS1554" s="6"/>
      <c r="FT1554" s="139"/>
      <c r="FU1554" s="139"/>
      <c r="FV1554" s="76"/>
      <c r="FW1554" s="123"/>
      <c r="FX1554" s="6"/>
    </row>
    <row r="1555" spans="35:180">
      <c r="AI1555" s="125"/>
      <c r="AJ1555" s="16"/>
      <c r="AM1555" s="16"/>
      <c r="AN1555" s="16"/>
      <c r="AO1555" s="125"/>
      <c r="AP1555" s="16"/>
      <c r="AQ1555" s="125"/>
      <c r="AZ1555" s="125"/>
      <c r="BA1555" s="142"/>
      <c r="BB1555" s="125"/>
      <c r="BC1555" s="16"/>
      <c r="BD1555" s="125"/>
      <c r="BE1555" s="125"/>
      <c r="BF1555" s="16"/>
      <c r="BG1555" s="125"/>
      <c r="BQ1555" s="125"/>
      <c r="BR1555" s="16"/>
      <c r="BS1555" s="123"/>
      <c r="BT1555" s="19"/>
      <c r="BU1555" s="139"/>
      <c r="BV1555" s="139"/>
      <c r="BW1555" s="123"/>
      <c r="BX1555" s="123"/>
      <c r="BY1555" s="123"/>
      <c r="BZ1555" s="123"/>
      <c r="CA1555" s="123"/>
      <c r="CB1555" s="123"/>
      <c r="CC1555" s="6"/>
      <c r="CD1555" s="123"/>
      <c r="CE1555" s="6"/>
      <c r="CF1555" s="123"/>
      <c r="CG1555" s="6"/>
      <c r="CH1555" s="6"/>
      <c r="CI1555" s="6"/>
      <c r="CJ1555" s="6"/>
      <c r="CK1555" s="123"/>
      <c r="CL1555" s="6"/>
      <c r="CM1555" s="6"/>
      <c r="CN1555" s="6"/>
      <c r="CO1555" s="138"/>
      <c r="CP1555" s="138"/>
      <c r="CQ1555" s="123"/>
      <c r="CR1555" s="6"/>
      <c r="CS1555" s="6"/>
      <c r="CT1555" s="139"/>
      <c r="CU1555" s="139"/>
      <c r="CV1555" s="76"/>
      <c r="CW1555" s="123"/>
      <c r="CX1555" s="6"/>
      <c r="DI1555" s="125"/>
      <c r="DJ1555" s="16"/>
      <c r="DM1555" s="16"/>
      <c r="DN1555" s="16"/>
      <c r="DO1555" s="125"/>
      <c r="DP1555" s="16"/>
      <c r="DQ1555" s="125"/>
      <c r="DZ1555" s="125"/>
      <c r="EA1555" s="142"/>
      <c r="EB1555" s="125"/>
      <c r="EC1555" s="16"/>
      <c r="ED1555" s="125"/>
      <c r="EE1555" s="125"/>
      <c r="EF1555" s="16"/>
      <c r="EG1555" s="125"/>
      <c r="EQ1555" s="125"/>
      <c r="ER1555" s="16"/>
      <c r="ES1555" s="123"/>
      <c r="ET1555" s="19"/>
      <c r="EU1555" s="139"/>
      <c r="EV1555" s="139"/>
      <c r="EW1555" s="123"/>
      <c r="EX1555" s="123"/>
      <c r="EY1555" s="123"/>
      <c r="EZ1555" s="123"/>
      <c r="FA1555" s="123"/>
      <c r="FB1555" s="123"/>
      <c r="FC1555" s="6"/>
      <c r="FD1555" s="123"/>
      <c r="FE1555" s="6"/>
      <c r="FF1555" s="123"/>
      <c r="FG1555" s="6"/>
      <c r="FH1555" s="6"/>
      <c r="FI1555" s="6"/>
      <c r="FJ1555" s="6"/>
      <c r="FK1555" s="123"/>
      <c r="FL1555" s="6"/>
      <c r="FM1555" s="6"/>
      <c r="FN1555" s="6"/>
      <c r="FO1555" s="138"/>
      <c r="FP1555" s="138"/>
      <c r="FQ1555" s="123"/>
      <c r="FR1555" s="6"/>
      <c r="FS1555" s="6"/>
      <c r="FT1555" s="139"/>
      <c r="FU1555" s="139"/>
      <c r="FV1555" s="76"/>
      <c r="FW1555" s="123"/>
      <c r="FX1555" s="6"/>
    </row>
    <row r="1556" spans="35:180">
      <c r="AI1556" s="125"/>
      <c r="AJ1556" s="16"/>
      <c r="AM1556" s="16"/>
      <c r="AN1556" s="16"/>
      <c r="AO1556" s="125"/>
      <c r="AP1556" s="16"/>
      <c r="AQ1556" s="125"/>
      <c r="AZ1556" s="125"/>
      <c r="BA1556" s="142"/>
      <c r="BB1556" s="125"/>
      <c r="BC1556" s="16"/>
      <c r="BD1556" s="125"/>
      <c r="BE1556" s="125"/>
      <c r="BF1556" s="16"/>
      <c r="BG1556" s="125"/>
      <c r="BQ1556" s="125"/>
      <c r="BR1556" s="16"/>
      <c r="BS1556" s="123"/>
      <c r="BT1556" s="19"/>
      <c r="BU1556" s="139"/>
      <c r="BV1556" s="139"/>
      <c r="BW1556" s="123"/>
      <c r="BX1556" s="123"/>
      <c r="BY1556" s="123"/>
      <c r="BZ1556" s="123"/>
      <c r="CA1556" s="123"/>
      <c r="CB1556" s="123"/>
      <c r="CC1556" s="6"/>
      <c r="CD1556" s="123"/>
      <c r="CE1556" s="6"/>
      <c r="CF1556" s="123"/>
      <c r="CG1556" s="6"/>
      <c r="CH1556" s="6"/>
      <c r="CI1556" s="6"/>
      <c r="CJ1556" s="6"/>
      <c r="CK1556" s="123"/>
      <c r="CL1556" s="6"/>
      <c r="CM1556" s="6"/>
      <c r="CN1556" s="6"/>
      <c r="CO1556" s="138"/>
      <c r="CP1556" s="138"/>
      <c r="CQ1556" s="123"/>
      <c r="CR1556" s="6"/>
      <c r="CS1556" s="6"/>
      <c r="CT1556" s="139"/>
      <c r="CU1556" s="139"/>
      <c r="CV1556" s="76"/>
      <c r="CW1556" s="123"/>
      <c r="CX1556" s="6"/>
      <c r="DI1556" s="125"/>
      <c r="DJ1556" s="16"/>
      <c r="DM1556" s="16"/>
      <c r="DN1556" s="16"/>
      <c r="DO1556" s="125"/>
      <c r="DP1556" s="16"/>
      <c r="DQ1556" s="125"/>
      <c r="DZ1556" s="125"/>
      <c r="EA1556" s="142"/>
      <c r="EB1556" s="125"/>
      <c r="EC1556" s="16"/>
      <c r="ED1556" s="125"/>
      <c r="EE1556" s="125"/>
      <c r="EF1556" s="16"/>
      <c r="EG1556" s="125"/>
      <c r="EQ1556" s="125"/>
      <c r="ER1556" s="16"/>
      <c r="ES1556" s="123"/>
      <c r="ET1556" s="19"/>
      <c r="EU1556" s="139"/>
      <c r="EV1556" s="139"/>
      <c r="EW1556" s="123"/>
      <c r="EX1556" s="123"/>
      <c r="EY1556" s="123"/>
      <c r="EZ1556" s="123"/>
      <c r="FA1556" s="123"/>
      <c r="FB1556" s="123"/>
      <c r="FC1556" s="6"/>
      <c r="FD1556" s="123"/>
      <c r="FE1556" s="6"/>
      <c r="FF1556" s="123"/>
      <c r="FG1556" s="6"/>
      <c r="FH1556" s="6"/>
      <c r="FI1556" s="6"/>
      <c r="FJ1556" s="6"/>
      <c r="FK1556" s="123"/>
      <c r="FL1556" s="6"/>
      <c r="FM1556" s="6"/>
      <c r="FN1556" s="6"/>
      <c r="FO1556" s="138"/>
      <c r="FP1556" s="138"/>
      <c r="FQ1556" s="123"/>
      <c r="FR1556" s="6"/>
      <c r="FS1556" s="6"/>
      <c r="FT1556" s="139"/>
      <c r="FU1556" s="139"/>
      <c r="FV1556" s="76"/>
      <c r="FW1556" s="123"/>
      <c r="FX1556" s="6"/>
    </row>
    <row r="1557" spans="35:180">
      <c r="AI1557" s="125"/>
      <c r="AJ1557" s="16"/>
      <c r="AM1557" s="16"/>
      <c r="AN1557" s="16"/>
      <c r="AO1557" s="125"/>
      <c r="AP1557" s="16"/>
      <c r="AQ1557" s="125"/>
      <c r="AZ1557" s="125"/>
      <c r="BA1557" s="142"/>
      <c r="BB1557" s="125"/>
      <c r="BC1557" s="16"/>
      <c r="BD1557" s="125"/>
      <c r="BE1557" s="125"/>
      <c r="BF1557" s="16"/>
      <c r="BG1557" s="125"/>
      <c r="BQ1557" s="125"/>
      <c r="BR1557" s="16"/>
      <c r="BS1557" s="123"/>
      <c r="BT1557" s="19"/>
      <c r="BU1557" s="139"/>
      <c r="BV1557" s="139"/>
      <c r="BW1557" s="123"/>
      <c r="BX1557" s="123"/>
      <c r="BY1557" s="123"/>
      <c r="BZ1557" s="123"/>
      <c r="CA1557" s="123"/>
      <c r="CB1557" s="123"/>
      <c r="CC1557" s="6"/>
      <c r="CD1557" s="123"/>
      <c r="CE1557" s="6"/>
      <c r="CF1557" s="123"/>
      <c r="CG1557" s="6"/>
      <c r="CH1557" s="6"/>
      <c r="CI1557" s="6"/>
      <c r="CJ1557" s="6"/>
      <c r="CK1557" s="123"/>
      <c r="CL1557" s="6"/>
      <c r="CM1557" s="6"/>
      <c r="CN1557" s="6"/>
      <c r="CO1557" s="138"/>
      <c r="CP1557" s="138"/>
      <c r="CQ1557" s="123"/>
      <c r="CR1557" s="6"/>
      <c r="CS1557" s="6"/>
      <c r="CT1557" s="139"/>
      <c r="CU1557" s="139"/>
      <c r="CV1557" s="76"/>
      <c r="CW1557" s="123"/>
      <c r="CX1557" s="6"/>
      <c r="DI1557" s="125"/>
      <c r="DJ1557" s="16"/>
      <c r="DM1557" s="16"/>
      <c r="DN1557" s="16"/>
      <c r="DO1557" s="125"/>
      <c r="DP1557" s="16"/>
      <c r="DQ1557" s="125"/>
      <c r="DZ1557" s="125"/>
      <c r="EA1557" s="142"/>
      <c r="EB1557" s="125"/>
      <c r="EC1557" s="16"/>
      <c r="ED1557" s="125"/>
      <c r="EE1557" s="125"/>
      <c r="EF1557" s="16"/>
      <c r="EG1557" s="125"/>
      <c r="EQ1557" s="125"/>
      <c r="ER1557" s="16"/>
      <c r="ES1557" s="123"/>
      <c r="ET1557" s="19"/>
      <c r="EU1557" s="139"/>
      <c r="EV1557" s="139"/>
      <c r="EW1557" s="123"/>
      <c r="EX1557" s="123"/>
      <c r="EY1557" s="123"/>
      <c r="EZ1557" s="123"/>
      <c r="FA1557" s="123"/>
      <c r="FB1557" s="123"/>
      <c r="FC1557" s="6"/>
      <c r="FD1557" s="123"/>
      <c r="FE1557" s="6"/>
      <c r="FF1557" s="123"/>
      <c r="FG1557" s="6"/>
      <c r="FH1557" s="6"/>
      <c r="FI1557" s="6"/>
      <c r="FJ1557" s="6"/>
      <c r="FK1557" s="123"/>
      <c r="FL1557" s="6"/>
      <c r="FM1557" s="6"/>
      <c r="FN1557" s="6"/>
      <c r="FO1557" s="138"/>
      <c r="FP1557" s="138"/>
      <c r="FQ1557" s="123"/>
      <c r="FR1557" s="6"/>
      <c r="FS1557" s="6"/>
      <c r="FT1557" s="139"/>
      <c r="FU1557" s="139"/>
      <c r="FV1557" s="76"/>
      <c r="FW1557" s="123"/>
      <c r="FX1557" s="6"/>
    </row>
    <row r="1558" spans="35:180">
      <c r="AI1558" s="125"/>
      <c r="AJ1558" s="16"/>
      <c r="AM1558" s="16"/>
      <c r="AN1558" s="16"/>
      <c r="AO1558" s="125"/>
      <c r="AP1558" s="16"/>
      <c r="AQ1558" s="125"/>
      <c r="AZ1558" s="125"/>
      <c r="BA1558" s="142"/>
      <c r="BB1558" s="125"/>
      <c r="BC1558" s="16"/>
      <c r="BD1558" s="125"/>
      <c r="BE1558" s="125"/>
      <c r="BF1558" s="16"/>
      <c r="BG1558" s="125"/>
      <c r="BQ1558" s="125"/>
      <c r="BR1558" s="16"/>
      <c r="BS1558" s="123"/>
      <c r="BT1558" s="19"/>
      <c r="BU1558" s="139"/>
      <c r="BV1558" s="139"/>
      <c r="BW1558" s="123"/>
      <c r="BX1558" s="123"/>
      <c r="BY1558" s="123"/>
      <c r="BZ1558" s="123"/>
      <c r="CA1558" s="123"/>
      <c r="CB1558" s="123"/>
      <c r="CC1558" s="6"/>
      <c r="CD1558" s="123"/>
      <c r="CE1558" s="6"/>
      <c r="CF1558" s="123"/>
      <c r="CG1558" s="6"/>
      <c r="CH1558" s="6"/>
      <c r="CI1558" s="6"/>
      <c r="CJ1558" s="6"/>
      <c r="CK1558" s="123"/>
      <c r="CL1558" s="6"/>
      <c r="CM1558" s="6"/>
      <c r="CN1558" s="6"/>
      <c r="CO1558" s="138"/>
      <c r="CP1558" s="138"/>
      <c r="CQ1558" s="123"/>
      <c r="CR1558" s="6"/>
      <c r="CS1558" s="6"/>
      <c r="CT1558" s="139"/>
      <c r="CU1558" s="139"/>
      <c r="CV1558" s="76"/>
      <c r="CW1558" s="123"/>
      <c r="CX1558" s="6"/>
      <c r="DI1558" s="125"/>
      <c r="DJ1558" s="16"/>
      <c r="DM1558" s="16"/>
      <c r="DN1558" s="16"/>
      <c r="DO1558" s="125"/>
      <c r="DP1558" s="16"/>
      <c r="DQ1558" s="125"/>
      <c r="DZ1558" s="125"/>
      <c r="EA1558" s="142"/>
      <c r="EB1558" s="125"/>
      <c r="EC1558" s="16"/>
      <c r="ED1558" s="125"/>
      <c r="EE1558" s="125"/>
      <c r="EF1558" s="16"/>
      <c r="EG1558" s="125"/>
      <c r="EQ1558" s="125"/>
      <c r="ER1558" s="16"/>
      <c r="ES1558" s="123"/>
      <c r="ET1558" s="19"/>
      <c r="EU1558" s="139"/>
      <c r="EV1558" s="139"/>
      <c r="EW1558" s="123"/>
      <c r="EX1558" s="123"/>
      <c r="EY1558" s="123"/>
      <c r="EZ1558" s="123"/>
      <c r="FA1558" s="123"/>
      <c r="FB1558" s="123"/>
      <c r="FC1558" s="6"/>
      <c r="FD1558" s="123"/>
      <c r="FE1558" s="6"/>
      <c r="FF1558" s="123"/>
      <c r="FG1558" s="6"/>
      <c r="FH1558" s="6"/>
      <c r="FI1558" s="6"/>
      <c r="FJ1558" s="6"/>
      <c r="FK1558" s="123"/>
      <c r="FL1558" s="6"/>
      <c r="FM1558" s="6"/>
      <c r="FN1558" s="6"/>
      <c r="FO1558" s="138"/>
      <c r="FP1558" s="138"/>
      <c r="FQ1558" s="123"/>
      <c r="FR1558" s="6"/>
      <c r="FS1558" s="6"/>
      <c r="FT1558" s="139"/>
      <c r="FU1558" s="139"/>
      <c r="FV1558" s="76"/>
      <c r="FW1558" s="123"/>
      <c r="FX1558" s="6"/>
    </row>
    <row r="1559" spans="35:180">
      <c r="AI1559" s="125"/>
      <c r="AJ1559" s="16"/>
      <c r="AM1559" s="16"/>
      <c r="AN1559" s="16"/>
      <c r="AO1559" s="125"/>
      <c r="AP1559" s="16"/>
      <c r="AQ1559" s="125"/>
      <c r="AZ1559" s="125"/>
      <c r="BA1559" s="142"/>
      <c r="BB1559" s="125"/>
      <c r="BC1559" s="16"/>
      <c r="BD1559" s="125"/>
      <c r="BE1559" s="125"/>
      <c r="BF1559" s="16"/>
      <c r="BG1559" s="125"/>
      <c r="BQ1559" s="125"/>
      <c r="BR1559" s="16"/>
      <c r="BS1559" s="123"/>
      <c r="BT1559" s="19"/>
      <c r="BU1559" s="139"/>
      <c r="BV1559" s="139"/>
      <c r="BW1559" s="123"/>
      <c r="BX1559" s="123"/>
      <c r="BY1559" s="123"/>
      <c r="BZ1559" s="123"/>
      <c r="CA1559" s="123"/>
      <c r="CB1559" s="123"/>
      <c r="CC1559" s="6"/>
      <c r="CD1559" s="123"/>
      <c r="CE1559" s="6"/>
      <c r="CF1559" s="123"/>
      <c r="CG1559" s="6"/>
      <c r="CH1559" s="6"/>
      <c r="CI1559" s="6"/>
      <c r="CJ1559" s="6"/>
      <c r="CK1559" s="123"/>
      <c r="CL1559" s="6"/>
      <c r="CM1559" s="6"/>
      <c r="CN1559" s="6"/>
      <c r="CO1559" s="138"/>
      <c r="CP1559" s="138"/>
      <c r="CQ1559" s="123"/>
      <c r="CR1559" s="6"/>
      <c r="CS1559" s="6"/>
      <c r="CT1559" s="139"/>
      <c r="CU1559" s="139"/>
      <c r="CV1559" s="76"/>
      <c r="CW1559" s="123"/>
      <c r="CX1559" s="6"/>
      <c r="DI1559" s="125"/>
      <c r="DJ1559" s="16"/>
      <c r="DM1559" s="16"/>
      <c r="DN1559" s="16"/>
      <c r="DO1559" s="125"/>
      <c r="DP1559" s="16"/>
      <c r="DQ1559" s="125"/>
      <c r="DZ1559" s="125"/>
      <c r="EA1559" s="142"/>
      <c r="EB1559" s="125"/>
      <c r="EC1559" s="16"/>
      <c r="ED1559" s="125"/>
      <c r="EE1559" s="125"/>
      <c r="EF1559" s="16"/>
      <c r="EG1559" s="125"/>
      <c r="EQ1559" s="125"/>
      <c r="ER1559" s="16"/>
      <c r="ES1559" s="123"/>
      <c r="ET1559" s="19"/>
      <c r="EU1559" s="139"/>
      <c r="EV1559" s="139"/>
      <c r="EW1559" s="123"/>
      <c r="EX1559" s="123"/>
      <c r="EY1559" s="123"/>
      <c r="EZ1559" s="123"/>
      <c r="FA1559" s="123"/>
      <c r="FB1559" s="123"/>
      <c r="FC1559" s="6"/>
      <c r="FD1559" s="123"/>
      <c r="FE1559" s="6"/>
      <c r="FF1559" s="123"/>
      <c r="FG1559" s="6"/>
      <c r="FH1559" s="6"/>
      <c r="FI1559" s="6"/>
      <c r="FJ1559" s="6"/>
      <c r="FK1559" s="123"/>
      <c r="FL1559" s="6"/>
      <c r="FM1559" s="6"/>
      <c r="FN1559" s="6"/>
      <c r="FO1559" s="138"/>
      <c r="FP1559" s="138"/>
      <c r="FQ1559" s="123"/>
      <c r="FR1559" s="6"/>
      <c r="FS1559" s="6"/>
      <c r="FT1559" s="139"/>
      <c r="FU1559" s="139"/>
      <c r="FV1559" s="76"/>
      <c r="FW1559" s="123"/>
      <c r="FX1559" s="6"/>
    </row>
    <row r="1560" spans="35:180">
      <c r="AI1560" s="125"/>
      <c r="AJ1560" s="16"/>
      <c r="AM1560" s="16"/>
      <c r="AN1560" s="16"/>
      <c r="AO1560" s="125"/>
      <c r="AP1560" s="16"/>
      <c r="AQ1560" s="125"/>
      <c r="AZ1560" s="125"/>
      <c r="BA1560" s="142"/>
      <c r="BB1560" s="125"/>
      <c r="BC1560" s="16"/>
      <c r="BD1560" s="125"/>
      <c r="BE1560" s="125"/>
      <c r="BF1560" s="16"/>
      <c r="BG1560" s="125"/>
      <c r="BQ1560" s="125"/>
      <c r="BR1560" s="16"/>
      <c r="BS1560" s="123"/>
      <c r="BT1560" s="19"/>
      <c r="BU1560" s="139"/>
      <c r="BV1560" s="139"/>
      <c r="BW1560" s="123"/>
      <c r="BX1560" s="123"/>
      <c r="BY1560" s="123"/>
      <c r="BZ1560" s="123"/>
      <c r="CA1560" s="123"/>
      <c r="CB1560" s="123"/>
      <c r="CC1560" s="6"/>
      <c r="CD1560" s="123"/>
      <c r="CE1560" s="6"/>
      <c r="CF1560" s="123"/>
      <c r="CG1560" s="6"/>
      <c r="CH1560" s="6"/>
      <c r="CI1560" s="6"/>
      <c r="CJ1560" s="6"/>
      <c r="CK1560" s="123"/>
      <c r="CL1560" s="6"/>
      <c r="CM1560" s="6"/>
      <c r="CN1560" s="6"/>
      <c r="CO1560" s="138"/>
      <c r="CP1560" s="138"/>
      <c r="CQ1560" s="123"/>
      <c r="CR1560" s="6"/>
      <c r="CS1560" s="6"/>
      <c r="CT1560" s="139"/>
      <c r="CU1560" s="139"/>
      <c r="CV1560" s="76"/>
      <c r="CW1560" s="123"/>
      <c r="CX1560" s="6"/>
      <c r="DI1560" s="125"/>
      <c r="DJ1560" s="16"/>
      <c r="DM1560" s="16"/>
      <c r="DN1560" s="16"/>
      <c r="DO1560" s="125"/>
      <c r="DP1560" s="16"/>
      <c r="DQ1560" s="125"/>
      <c r="DZ1560" s="125"/>
      <c r="EA1560" s="142"/>
      <c r="EB1560" s="125"/>
      <c r="EC1560" s="16"/>
      <c r="ED1560" s="125"/>
      <c r="EE1560" s="125"/>
      <c r="EF1560" s="16"/>
      <c r="EG1560" s="125"/>
      <c r="EQ1560" s="125"/>
      <c r="ER1560" s="16"/>
      <c r="ES1560" s="123"/>
      <c r="ET1560" s="19"/>
      <c r="EU1560" s="139"/>
      <c r="EV1560" s="139"/>
      <c r="EW1560" s="123"/>
      <c r="EX1560" s="123"/>
      <c r="EY1560" s="123"/>
      <c r="EZ1560" s="123"/>
      <c r="FA1560" s="123"/>
      <c r="FB1560" s="123"/>
      <c r="FC1560" s="6"/>
      <c r="FD1560" s="123"/>
      <c r="FE1560" s="6"/>
      <c r="FF1560" s="123"/>
      <c r="FG1560" s="6"/>
      <c r="FH1560" s="6"/>
      <c r="FI1560" s="6"/>
      <c r="FJ1560" s="6"/>
      <c r="FK1560" s="123"/>
      <c r="FL1560" s="6"/>
      <c r="FM1560" s="6"/>
      <c r="FN1560" s="6"/>
      <c r="FO1560" s="138"/>
      <c r="FP1560" s="138"/>
      <c r="FQ1560" s="123"/>
      <c r="FR1560" s="6"/>
      <c r="FS1560" s="6"/>
      <c r="FT1560" s="139"/>
      <c r="FU1560" s="139"/>
      <c r="FV1560" s="76"/>
      <c r="FW1560" s="123"/>
      <c r="FX1560" s="6"/>
    </row>
    <row r="1561" spans="35:180">
      <c r="AI1561" s="125"/>
      <c r="AJ1561" s="16"/>
      <c r="AM1561" s="16"/>
      <c r="AN1561" s="16"/>
      <c r="AO1561" s="125"/>
      <c r="AP1561" s="16"/>
      <c r="AQ1561" s="125"/>
      <c r="AZ1561" s="125"/>
      <c r="BA1561" s="142"/>
      <c r="BB1561" s="125"/>
      <c r="BC1561" s="16"/>
      <c r="BD1561" s="125"/>
      <c r="BE1561" s="125"/>
      <c r="BF1561" s="16"/>
      <c r="BG1561" s="125"/>
      <c r="BQ1561" s="125"/>
      <c r="BR1561" s="16"/>
      <c r="BS1561" s="123"/>
      <c r="BT1561" s="19"/>
      <c r="BU1561" s="139"/>
      <c r="BV1561" s="139"/>
      <c r="BW1561" s="123"/>
      <c r="BX1561" s="123"/>
      <c r="BY1561" s="123"/>
      <c r="BZ1561" s="123"/>
      <c r="CA1561" s="123"/>
      <c r="CB1561" s="123"/>
      <c r="CC1561" s="6"/>
      <c r="CD1561" s="123"/>
      <c r="CE1561" s="6"/>
      <c r="CF1561" s="123"/>
      <c r="CG1561" s="6"/>
      <c r="CH1561" s="6"/>
      <c r="CI1561" s="6"/>
      <c r="CJ1561" s="6"/>
      <c r="CK1561" s="123"/>
      <c r="CL1561" s="6"/>
      <c r="CM1561" s="6"/>
      <c r="CN1561" s="6"/>
      <c r="CO1561" s="138"/>
      <c r="CP1561" s="138"/>
      <c r="CQ1561" s="123"/>
      <c r="CR1561" s="6"/>
      <c r="CS1561" s="6"/>
      <c r="CT1561" s="139"/>
      <c r="CU1561" s="139"/>
      <c r="CV1561" s="76"/>
      <c r="CW1561" s="123"/>
      <c r="CX1561" s="6"/>
      <c r="DI1561" s="125"/>
      <c r="DJ1561" s="16"/>
      <c r="DM1561" s="16"/>
      <c r="DN1561" s="16"/>
      <c r="DO1561" s="125"/>
      <c r="DP1561" s="16"/>
      <c r="DQ1561" s="125"/>
      <c r="DZ1561" s="125"/>
      <c r="EA1561" s="142"/>
      <c r="EB1561" s="125"/>
      <c r="EC1561" s="16"/>
      <c r="ED1561" s="125"/>
      <c r="EE1561" s="125"/>
      <c r="EF1561" s="16"/>
      <c r="EG1561" s="125"/>
      <c r="EQ1561" s="125"/>
      <c r="ER1561" s="16"/>
      <c r="ES1561" s="123"/>
      <c r="ET1561" s="19"/>
      <c r="EU1561" s="139"/>
      <c r="EV1561" s="139"/>
      <c r="EW1561" s="123"/>
      <c r="EX1561" s="123"/>
      <c r="EY1561" s="123"/>
      <c r="EZ1561" s="123"/>
      <c r="FA1561" s="123"/>
      <c r="FB1561" s="123"/>
      <c r="FC1561" s="6"/>
      <c r="FD1561" s="123"/>
      <c r="FE1561" s="6"/>
      <c r="FF1561" s="123"/>
      <c r="FG1561" s="6"/>
      <c r="FH1561" s="6"/>
      <c r="FI1561" s="6"/>
      <c r="FJ1561" s="6"/>
      <c r="FK1561" s="123"/>
      <c r="FL1561" s="6"/>
      <c r="FM1561" s="6"/>
      <c r="FN1561" s="6"/>
      <c r="FO1561" s="138"/>
      <c r="FP1561" s="138"/>
      <c r="FQ1561" s="123"/>
      <c r="FR1561" s="6"/>
      <c r="FS1561" s="6"/>
      <c r="FT1561" s="139"/>
      <c r="FU1561" s="139"/>
      <c r="FV1561" s="76"/>
      <c r="FW1561" s="123"/>
      <c r="FX1561" s="6"/>
    </row>
    <row r="1562" spans="35:180">
      <c r="AI1562" s="125"/>
      <c r="AJ1562" s="16"/>
      <c r="AM1562" s="16"/>
      <c r="AN1562" s="16"/>
      <c r="AO1562" s="125"/>
      <c r="AP1562" s="16"/>
      <c r="AQ1562" s="125"/>
      <c r="AZ1562" s="125"/>
      <c r="BA1562" s="142"/>
      <c r="BB1562" s="125"/>
      <c r="BC1562" s="16"/>
      <c r="BD1562" s="125"/>
      <c r="BE1562" s="125"/>
      <c r="BF1562" s="16"/>
      <c r="BG1562" s="125"/>
      <c r="BQ1562" s="125"/>
      <c r="BR1562" s="16"/>
      <c r="BS1562" s="123"/>
      <c r="BT1562" s="19"/>
      <c r="BU1562" s="139"/>
      <c r="BV1562" s="139"/>
      <c r="BW1562" s="123"/>
      <c r="BX1562" s="123"/>
      <c r="BY1562" s="123"/>
      <c r="BZ1562" s="123"/>
      <c r="CA1562" s="123"/>
      <c r="CB1562" s="123"/>
      <c r="CC1562" s="6"/>
      <c r="CD1562" s="123"/>
      <c r="CE1562" s="6"/>
      <c r="CF1562" s="123"/>
      <c r="CG1562" s="6"/>
      <c r="CH1562" s="6"/>
      <c r="CI1562" s="6"/>
      <c r="CJ1562" s="6"/>
      <c r="CK1562" s="123"/>
      <c r="CL1562" s="6"/>
      <c r="CM1562" s="6"/>
      <c r="CN1562" s="6"/>
      <c r="CO1562" s="138"/>
      <c r="CP1562" s="138"/>
      <c r="CQ1562" s="123"/>
      <c r="CR1562" s="6"/>
      <c r="CS1562" s="6"/>
      <c r="CT1562" s="139"/>
      <c r="CU1562" s="139"/>
      <c r="CV1562" s="76"/>
      <c r="CW1562" s="123"/>
      <c r="CX1562" s="6"/>
      <c r="DI1562" s="125"/>
      <c r="DJ1562" s="16"/>
      <c r="DM1562" s="16"/>
      <c r="DN1562" s="16"/>
      <c r="DO1562" s="125"/>
      <c r="DP1562" s="16"/>
      <c r="DQ1562" s="125"/>
      <c r="DZ1562" s="125"/>
      <c r="EA1562" s="142"/>
      <c r="EB1562" s="125"/>
      <c r="EC1562" s="16"/>
      <c r="ED1562" s="125"/>
      <c r="EE1562" s="125"/>
      <c r="EF1562" s="16"/>
      <c r="EG1562" s="125"/>
      <c r="EQ1562" s="125"/>
      <c r="ER1562" s="16"/>
      <c r="ES1562" s="123"/>
      <c r="ET1562" s="19"/>
      <c r="EU1562" s="139"/>
      <c r="EV1562" s="139"/>
      <c r="EW1562" s="123"/>
      <c r="EX1562" s="123"/>
      <c r="EY1562" s="123"/>
      <c r="EZ1562" s="123"/>
      <c r="FA1562" s="123"/>
      <c r="FB1562" s="123"/>
      <c r="FC1562" s="6"/>
      <c r="FD1562" s="123"/>
      <c r="FE1562" s="6"/>
      <c r="FF1562" s="123"/>
      <c r="FG1562" s="6"/>
      <c r="FH1562" s="6"/>
      <c r="FI1562" s="6"/>
      <c r="FJ1562" s="6"/>
      <c r="FK1562" s="123"/>
      <c r="FL1562" s="6"/>
      <c r="FM1562" s="6"/>
      <c r="FN1562" s="6"/>
      <c r="FO1562" s="138"/>
      <c r="FP1562" s="138"/>
      <c r="FQ1562" s="123"/>
      <c r="FR1562" s="6"/>
      <c r="FS1562" s="6"/>
      <c r="FT1562" s="139"/>
      <c r="FU1562" s="139"/>
      <c r="FV1562" s="76"/>
      <c r="FW1562" s="123"/>
      <c r="FX1562" s="6"/>
    </row>
    <row r="1563" spans="35:180">
      <c r="AI1563" s="125"/>
      <c r="AJ1563" s="16"/>
      <c r="AM1563" s="16"/>
      <c r="AN1563" s="16"/>
      <c r="AO1563" s="125"/>
      <c r="AP1563" s="16"/>
      <c r="AQ1563" s="125"/>
      <c r="AZ1563" s="125"/>
      <c r="BA1563" s="142"/>
      <c r="BB1563" s="125"/>
      <c r="BC1563" s="16"/>
      <c r="BD1563" s="125"/>
      <c r="BE1563" s="125"/>
      <c r="BF1563" s="16"/>
      <c r="BG1563" s="125"/>
      <c r="BQ1563" s="125"/>
      <c r="BR1563" s="16"/>
      <c r="BS1563" s="123"/>
      <c r="BT1563" s="19"/>
      <c r="BU1563" s="139"/>
      <c r="BV1563" s="139"/>
      <c r="BW1563" s="123"/>
      <c r="BX1563" s="123"/>
      <c r="BY1563" s="123"/>
      <c r="BZ1563" s="123"/>
      <c r="CA1563" s="123"/>
      <c r="CB1563" s="123"/>
      <c r="CC1563" s="6"/>
      <c r="CD1563" s="123"/>
      <c r="CE1563" s="6"/>
      <c r="CF1563" s="123"/>
      <c r="CG1563" s="6"/>
      <c r="CH1563" s="6"/>
      <c r="CI1563" s="6"/>
      <c r="CJ1563" s="6"/>
      <c r="CK1563" s="123"/>
      <c r="CL1563" s="6"/>
      <c r="CM1563" s="6"/>
      <c r="CN1563" s="6"/>
      <c r="CO1563" s="138"/>
      <c r="CP1563" s="138"/>
      <c r="CQ1563" s="123"/>
      <c r="CR1563" s="6"/>
      <c r="CS1563" s="6"/>
      <c r="CT1563" s="139"/>
      <c r="CU1563" s="139"/>
      <c r="CV1563" s="76"/>
      <c r="CW1563" s="123"/>
      <c r="CX1563" s="6"/>
      <c r="DI1563" s="125"/>
      <c r="DJ1563" s="16"/>
      <c r="DM1563" s="16"/>
      <c r="DN1563" s="16"/>
      <c r="DO1563" s="125"/>
      <c r="DP1563" s="16"/>
      <c r="DQ1563" s="125"/>
      <c r="DZ1563" s="125"/>
      <c r="EA1563" s="142"/>
      <c r="EB1563" s="125"/>
      <c r="EC1563" s="16"/>
      <c r="ED1563" s="125"/>
      <c r="EE1563" s="125"/>
      <c r="EF1563" s="16"/>
      <c r="EG1563" s="125"/>
      <c r="EQ1563" s="125"/>
      <c r="ER1563" s="16"/>
      <c r="ES1563" s="123"/>
      <c r="ET1563" s="19"/>
      <c r="EU1563" s="139"/>
      <c r="EV1563" s="139"/>
      <c r="EW1563" s="123"/>
      <c r="EX1563" s="123"/>
      <c r="EY1563" s="123"/>
      <c r="EZ1563" s="123"/>
      <c r="FA1563" s="123"/>
      <c r="FB1563" s="123"/>
      <c r="FC1563" s="6"/>
      <c r="FD1563" s="123"/>
      <c r="FE1563" s="6"/>
      <c r="FF1563" s="123"/>
      <c r="FG1563" s="6"/>
      <c r="FH1563" s="6"/>
      <c r="FI1563" s="6"/>
      <c r="FJ1563" s="6"/>
      <c r="FK1563" s="123"/>
      <c r="FL1563" s="6"/>
      <c r="FM1563" s="6"/>
      <c r="FN1563" s="6"/>
      <c r="FO1563" s="138"/>
      <c r="FP1563" s="138"/>
      <c r="FQ1563" s="123"/>
      <c r="FR1563" s="6"/>
      <c r="FS1563" s="6"/>
      <c r="FT1563" s="139"/>
      <c r="FU1563" s="139"/>
      <c r="FV1563" s="76"/>
      <c r="FW1563" s="123"/>
      <c r="FX1563" s="6"/>
    </row>
    <row r="1564" spans="35:180">
      <c r="AI1564" s="125"/>
      <c r="AJ1564" s="16"/>
      <c r="AM1564" s="16"/>
      <c r="AN1564" s="16"/>
      <c r="AO1564" s="125"/>
      <c r="AP1564" s="16"/>
      <c r="AQ1564" s="125"/>
      <c r="AZ1564" s="125"/>
      <c r="BA1564" s="142"/>
      <c r="BB1564" s="125"/>
      <c r="BC1564" s="16"/>
      <c r="BD1564" s="125"/>
      <c r="BE1564" s="125"/>
      <c r="BF1564" s="16"/>
      <c r="BG1564" s="125"/>
      <c r="BQ1564" s="125"/>
      <c r="BR1564" s="16"/>
      <c r="BS1564" s="123"/>
      <c r="BT1564" s="19"/>
      <c r="BU1564" s="139"/>
      <c r="BV1564" s="139"/>
      <c r="BW1564" s="123"/>
      <c r="BX1564" s="123"/>
      <c r="BY1564" s="123"/>
      <c r="BZ1564" s="123"/>
      <c r="CA1564" s="123"/>
      <c r="CB1564" s="123"/>
      <c r="CC1564" s="6"/>
      <c r="CD1564" s="123"/>
      <c r="CE1564" s="6"/>
      <c r="CF1564" s="123"/>
      <c r="CG1564" s="6"/>
      <c r="CH1564" s="6"/>
      <c r="CI1564" s="6"/>
      <c r="CJ1564" s="6"/>
      <c r="CK1564" s="123"/>
      <c r="CL1564" s="6"/>
      <c r="CM1564" s="6"/>
      <c r="CN1564" s="6"/>
      <c r="CO1564" s="138"/>
      <c r="CP1564" s="138"/>
      <c r="CQ1564" s="123"/>
      <c r="CR1564" s="6"/>
      <c r="CS1564" s="6"/>
      <c r="CT1564" s="139"/>
      <c r="CU1564" s="139"/>
      <c r="CV1564" s="76"/>
      <c r="CW1564" s="123"/>
      <c r="CX1564" s="6"/>
      <c r="DI1564" s="125"/>
      <c r="DJ1564" s="16"/>
      <c r="DM1564" s="16"/>
      <c r="DN1564" s="16"/>
      <c r="DO1564" s="125"/>
      <c r="DP1564" s="16"/>
      <c r="DQ1564" s="125"/>
      <c r="DZ1564" s="125"/>
      <c r="EA1564" s="142"/>
      <c r="EB1564" s="125"/>
      <c r="EC1564" s="16"/>
      <c r="ED1564" s="125"/>
      <c r="EE1564" s="125"/>
      <c r="EF1564" s="16"/>
      <c r="EG1564" s="125"/>
      <c r="EQ1564" s="125"/>
      <c r="ER1564" s="16"/>
      <c r="ES1564" s="123"/>
      <c r="ET1564" s="19"/>
      <c r="EU1564" s="139"/>
      <c r="EV1564" s="139"/>
      <c r="EW1564" s="123"/>
      <c r="EX1564" s="123"/>
      <c r="EY1564" s="123"/>
      <c r="EZ1564" s="123"/>
      <c r="FA1564" s="123"/>
      <c r="FB1564" s="123"/>
      <c r="FC1564" s="6"/>
      <c r="FD1564" s="123"/>
      <c r="FE1564" s="6"/>
      <c r="FF1564" s="123"/>
      <c r="FG1564" s="6"/>
      <c r="FH1564" s="6"/>
      <c r="FI1564" s="6"/>
      <c r="FJ1564" s="6"/>
      <c r="FK1564" s="123"/>
      <c r="FL1564" s="6"/>
      <c r="FM1564" s="6"/>
      <c r="FN1564" s="6"/>
      <c r="FO1564" s="138"/>
      <c r="FP1564" s="138"/>
      <c r="FQ1564" s="123"/>
      <c r="FR1564" s="6"/>
      <c r="FS1564" s="6"/>
      <c r="FT1564" s="139"/>
      <c r="FU1564" s="139"/>
      <c r="FV1564" s="76"/>
      <c r="FW1564" s="123"/>
      <c r="FX1564" s="6"/>
    </row>
    <row r="1565" spans="35:180">
      <c r="AI1565" s="125"/>
      <c r="AJ1565" s="16"/>
      <c r="AM1565" s="16"/>
      <c r="AN1565" s="16"/>
      <c r="AO1565" s="125"/>
      <c r="AP1565" s="16"/>
      <c r="AQ1565" s="125"/>
      <c r="AZ1565" s="125"/>
      <c r="BA1565" s="142"/>
      <c r="BB1565" s="125"/>
      <c r="BC1565" s="16"/>
      <c r="BD1565" s="125"/>
      <c r="BE1565" s="125"/>
      <c r="BF1565" s="16"/>
      <c r="BG1565" s="125"/>
      <c r="BQ1565" s="125"/>
      <c r="BR1565" s="16"/>
      <c r="BS1565" s="123"/>
      <c r="BT1565" s="19"/>
      <c r="BU1565" s="139"/>
      <c r="BV1565" s="139"/>
      <c r="BW1565" s="123"/>
      <c r="BX1565" s="123"/>
      <c r="BY1565" s="123"/>
      <c r="BZ1565" s="123"/>
      <c r="CA1565" s="123"/>
      <c r="CB1565" s="123"/>
      <c r="CC1565" s="6"/>
      <c r="CD1565" s="123"/>
      <c r="CE1565" s="6"/>
      <c r="CF1565" s="123"/>
      <c r="CG1565" s="6"/>
      <c r="CH1565" s="6"/>
      <c r="CI1565" s="6"/>
      <c r="CJ1565" s="6"/>
      <c r="CK1565" s="123"/>
      <c r="CL1565" s="6"/>
      <c r="CM1565" s="6"/>
      <c r="CN1565" s="6"/>
      <c r="CO1565" s="138"/>
      <c r="CP1565" s="138"/>
      <c r="CQ1565" s="123"/>
      <c r="CR1565" s="6"/>
      <c r="CS1565" s="6"/>
      <c r="CT1565" s="139"/>
      <c r="CU1565" s="139"/>
      <c r="CV1565" s="76"/>
      <c r="CW1565" s="123"/>
      <c r="CX1565" s="6"/>
      <c r="DI1565" s="125"/>
      <c r="DJ1565" s="16"/>
      <c r="DM1565" s="16"/>
      <c r="DN1565" s="16"/>
      <c r="DO1565" s="125"/>
      <c r="DP1565" s="16"/>
      <c r="DQ1565" s="125"/>
      <c r="DZ1565" s="125"/>
      <c r="EA1565" s="142"/>
      <c r="EB1565" s="125"/>
      <c r="EC1565" s="16"/>
      <c r="ED1565" s="125"/>
      <c r="EE1565" s="125"/>
      <c r="EF1565" s="16"/>
      <c r="EG1565" s="125"/>
      <c r="EQ1565" s="125"/>
      <c r="ER1565" s="16"/>
      <c r="ES1565" s="123"/>
      <c r="ET1565" s="19"/>
      <c r="EU1565" s="139"/>
      <c r="EV1565" s="139"/>
      <c r="EW1565" s="123"/>
      <c r="EX1565" s="123"/>
      <c r="EY1565" s="123"/>
      <c r="EZ1565" s="123"/>
      <c r="FA1565" s="123"/>
      <c r="FB1565" s="123"/>
      <c r="FC1565" s="6"/>
      <c r="FD1565" s="123"/>
      <c r="FE1565" s="6"/>
      <c r="FF1565" s="123"/>
      <c r="FG1565" s="6"/>
      <c r="FH1565" s="6"/>
      <c r="FI1565" s="6"/>
      <c r="FJ1565" s="6"/>
      <c r="FK1565" s="123"/>
      <c r="FL1565" s="6"/>
      <c r="FM1565" s="6"/>
      <c r="FN1565" s="6"/>
      <c r="FO1565" s="138"/>
      <c r="FP1565" s="138"/>
      <c r="FQ1565" s="123"/>
      <c r="FR1565" s="6"/>
      <c r="FS1565" s="6"/>
      <c r="FT1565" s="139"/>
      <c r="FU1565" s="139"/>
      <c r="FV1565" s="76"/>
      <c r="FW1565" s="123"/>
      <c r="FX1565" s="6"/>
    </row>
    <row r="1566" spans="35:180">
      <c r="AI1566" s="125"/>
      <c r="AJ1566" s="16"/>
      <c r="AM1566" s="16"/>
      <c r="AN1566" s="16"/>
      <c r="AO1566" s="125"/>
      <c r="AP1566" s="16"/>
      <c r="AQ1566" s="125"/>
      <c r="AZ1566" s="125"/>
      <c r="BA1566" s="142"/>
      <c r="BB1566" s="125"/>
      <c r="BC1566" s="16"/>
      <c r="BD1566" s="125"/>
      <c r="BE1566" s="125"/>
      <c r="BF1566" s="16"/>
      <c r="BG1566" s="125"/>
      <c r="BQ1566" s="125"/>
      <c r="BR1566" s="16"/>
      <c r="BS1566" s="123"/>
      <c r="BT1566" s="19"/>
      <c r="BU1566" s="139"/>
      <c r="BV1566" s="139"/>
      <c r="BW1566" s="123"/>
      <c r="BX1566" s="123"/>
      <c r="BY1566" s="123"/>
      <c r="BZ1566" s="123"/>
      <c r="CA1566" s="123"/>
      <c r="CB1566" s="123"/>
      <c r="CC1566" s="6"/>
      <c r="CD1566" s="123"/>
      <c r="CE1566" s="6"/>
      <c r="CF1566" s="123"/>
      <c r="CG1566" s="6"/>
      <c r="CH1566" s="6"/>
      <c r="CI1566" s="6"/>
      <c r="CJ1566" s="6"/>
      <c r="CK1566" s="123"/>
      <c r="CL1566" s="6"/>
      <c r="CM1566" s="6"/>
      <c r="CN1566" s="6"/>
      <c r="CO1566" s="138"/>
      <c r="CP1566" s="138"/>
      <c r="CQ1566" s="123"/>
      <c r="CR1566" s="6"/>
      <c r="CS1566" s="6"/>
      <c r="CT1566" s="139"/>
      <c r="CU1566" s="139"/>
      <c r="CV1566" s="76"/>
      <c r="CW1566" s="123"/>
      <c r="CX1566" s="6"/>
      <c r="DI1566" s="125"/>
      <c r="DJ1566" s="16"/>
      <c r="DM1566" s="16"/>
      <c r="DN1566" s="16"/>
      <c r="DO1566" s="125"/>
      <c r="DP1566" s="16"/>
      <c r="DQ1566" s="125"/>
      <c r="DZ1566" s="125"/>
      <c r="EA1566" s="142"/>
      <c r="EB1566" s="125"/>
      <c r="EC1566" s="16"/>
      <c r="ED1566" s="125"/>
      <c r="EE1566" s="125"/>
      <c r="EF1566" s="16"/>
      <c r="EG1566" s="125"/>
      <c r="EQ1566" s="125"/>
      <c r="ER1566" s="16"/>
      <c r="ES1566" s="123"/>
      <c r="ET1566" s="19"/>
      <c r="EU1566" s="139"/>
      <c r="EV1566" s="139"/>
      <c r="EW1566" s="123"/>
      <c r="EX1566" s="123"/>
      <c r="EY1566" s="123"/>
      <c r="EZ1566" s="123"/>
      <c r="FA1566" s="123"/>
      <c r="FB1566" s="123"/>
      <c r="FC1566" s="6"/>
      <c r="FD1566" s="123"/>
      <c r="FE1566" s="6"/>
      <c r="FF1566" s="123"/>
      <c r="FG1566" s="6"/>
      <c r="FH1566" s="6"/>
      <c r="FI1566" s="6"/>
      <c r="FJ1566" s="6"/>
      <c r="FK1566" s="123"/>
      <c r="FL1566" s="6"/>
      <c r="FM1566" s="6"/>
      <c r="FN1566" s="6"/>
      <c r="FO1566" s="138"/>
      <c r="FP1566" s="138"/>
      <c r="FQ1566" s="123"/>
      <c r="FR1566" s="6"/>
      <c r="FS1566" s="6"/>
      <c r="FT1566" s="139"/>
      <c r="FU1566" s="139"/>
      <c r="FV1566" s="76"/>
      <c r="FW1566" s="123"/>
      <c r="FX1566" s="6"/>
    </row>
    <row r="1567" spans="35:180">
      <c r="AI1567" s="125"/>
      <c r="AJ1567" s="16"/>
      <c r="AM1567" s="16"/>
      <c r="AN1567" s="16"/>
      <c r="AO1567" s="125"/>
      <c r="AP1567" s="16"/>
      <c r="AQ1567" s="125"/>
      <c r="AZ1567" s="125"/>
      <c r="BA1567" s="142"/>
      <c r="BB1567" s="125"/>
      <c r="BC1567" s="16"/>
      <c r="BD1567" s="125"/>
      <c r="BE1567" s="125"/>
      <c r="BF1567" s="16"/>
      <c r="BG1567" s="125"/>
      <c r="BQ1567" s="125"/>
      <c r="BR1567" s="16"/>
      <c r="BS1567" s="123"/>
      <c r="BT1567" s="19"/>
      <c r="BU1567" s="139"/>
      <c r="BV1567" s="139"/>
      <c r="BW1567" s="123"/>
      <c r="BX1567" s="123"/>
      <c r="BY1567" s="123"/>
      <c r="BZ1567" s="123"/>
      <c r="CA1567" s="123"/>
      <c r="CB1567" s="123"/>
      <c r="CC1567" s="6"/>
      <c r="CD1567" s="123"/>
      <c r="CE1567" s="6"/>
      <c r="CF1567" s="123"/>
      <c r="CG1567" s="6"/>
      <c r="CH1567" s="6"/>
      <c r="CI1567" s="6"/>
      <c r="CJ1567" s="6"/>
      <c r="CK1567" s="123"/>
      <c r="CL1567" s="6"/>
      <c r="CM1567" s="6"/>
      <c r="CN1567" s="6"/>
      <c r="CO1567" s="138"/>
      <c r="CP1567" s="138"/>
      <c r="CQ1567" s="123"/>
      <c r="CR1567" s="6"/>
      <c r="CS1567" s="6"/>
      <c r="CT1567" s="139"/>
      <c r="CU1567" s="139"/>
      <c r="CV1567" s="76"/>
      <c r="CW1567" s="123"/>
      <c r="CX1567" s="6"/>
      <c r="DI1567" s="125"/>
      <c r="DJ1567" s="16"/>
      <c r="DM1567" s="16"/>
      <c r="DN1567" s="16"/>
      <c r="DO1567" s="125"/>
      <c r="DP1567" s="16"/>
      <c r="DQ1567" s="125"/>
      <c r="DZ1567" s="125"/>
      <c r="EA1567" s="142"/>
      <c r="EB1567" s="125"/>
      <c r="EC1567" s="16"/>
      <c r="ED1567" s="125"/>
      <c r="EE1567" s="125"/>
      <c r="EF1567" s="16"/>
      <c r="EG1567" s="125"/>
      <c r="EQ1567" s="125"/>
      <c r="ER1567" s="16"/>
      <c r="ES1567" s="123"/>
      <c r="ET1567" s="19"/>
      <c r="EU1567" s="139"/>
      <c r="EV1567" s="139"/>
      <c r="EW1567" s="123"/>
      <c r="EX1567" s="123"/>
      <c r="EY1567" s="123"/>
      <c r="EZ1567" s="123"/>
      <c r="FA1567" s="123"/>
      <c r="FB1567" s="123"/>
      <c r="FC1567" s="6"/>
      <c r="FD1567" s="123"/>
      <c r="FE1567" s="6"/>
      <c r="FF1567" s="123"/>
      <c r="FG1567" s="6"/>
      <c r="FH1567" s="6"/>
      <c r="FI1567" s="6"/>
      <c r="FJ1567" s="6"/>
      <c r="FK1567" s="123"/>
      <c r="FL1567" s="6"/>
      <c r="FM1567" s="6"/>
      <c r="FN1567" s="6"/>
      <c r="FO1567" s="138"/>
      <c r="FP1567" s="138"/>
      <c r="FQ1567" s="123"/>
      <c r="FR1567" s="6"/>
      <c r="FS1567" s="6"/>
      <c r="FT1567" s="139"/>
      <c r="FU1567" s="139"/>
      <c r="FV1567" s="76"/>
      <c r="FW1567" s="123"/>
      <c r="FX1567" s="6"/>
    </row>
    <row r="1568" spans="35:180">
      <c r="AI1568" s="125"/>
      <c r="AJ1568" s="16"/>
      <c r="AM1568" s="16"/>
      <c r="AN1568" s="16"/>
      <c r="AO1568" s="125"/>
      <c r="AP1568" s="16"/>
      <c r="AQ1568" s="125"/>
      <c r="AZ1568" s="125"/>
      <c r="BA1568" s="142"/>
      <c r="BB1568" s="125"/>
      <c r="BC1568" s="16"/>
      <c r="BD1568" s="125"/>
      <c r="BE1568" s="125"/>
      <c r="BF1568" s="16"/>
      <c r="BG1568" s="125"/>
      <c r="BQ1568" s="125"/>
      <c r="BR1568" s="16"/>
      <c r="BS1568" s="123"/>
      <c r="BT1568" s="19"/>
      <c r="BU1568" s="139"/>
      <c r="BV1568" s="139"/>
      <c r="BW1568" s="123"/>
      <c r="BX1568" s="123"/>
      <c r="BY1568" s="123"/>
      <c r="BZ1568" s="123"/>
      <c r="CA1568" s="123"/>
      <c r="CB1568" s="123"/>
      <c r="CC1568" s="6"/>
      <c r="CD1568" s="123"/>
      <c r="CE1568" s="6"/>
      <c r="CF1568" s="123"/>
      <c r="CG1568" s="6"/>
      <c r="CH1568" s="6"/>
      <c r="CI1568" s="6"/>
      <c r="CJ1568" s="6"/>
      <c r="CK1568" s="123"/>
      <c r="CL1568" s="6"/>
      <c r="CM1568" s="6"/>
      <c r="CN1568" s="6"/>
      <c r="CO1568" s="138"/>
      <c r="CP1568" s="138"/>
      <c r="CQ1568" s="123"/>
      <c r="CR1568" s="6"/>
      <c r="CS1568" s="6"/>
      <c r="CT1568" s="139"/>
      <c r="CU1568" s="139"/>
      <c r="CV1568" s="76"/>
      <c r="CW1568" s="123"/>
      <c r="CX1568" s="6"/>
      <c r="DI1568" s="125"/>
      <c r="DJ1568" s="16"/>
      <c r="DM1568" s="16"/>
      <c r="DN1568" s="16"/>
      <c r="DO1568" s="125"/>
      <c r="DP1568" s="16"/>
      <c r="DQ1568" s="125"/>
      <c r="DZ1568" s="125"/>
      <c r="EA1568" s="142"/>
      <c r="EB1568" s="125"/>
      <c r="EC1568" s="16"/>
      <c r="ED1568" s="125"/>
      <c r="EE1568" s="125"/>
      <c r="EF1568" s="16"/>
      <c r="EG1568" s="125"/>
      <c r="EQ1568" s="125"/>
      <c r="ER1568" s="16"/>
      <c r="ES1568" s="123"/>
      <c r="ET1568" s="19"/>
      <c r="EU1568" s="139"/>
      <c r="EV1568" s="139"/>
      <c r="EW1568" s="123"/>
      <c r="EX1568" s="123"/>
      <c r="EY1568" s="123"/>
      <c r="EZ1568" s="123"/>
      <c r="FA1568" s="123"/>
      <c r="FB1568" s="123"/>
      <c r="FC1568" s="6"/>
      <c r="FD1568" s="123"/>
      <c r="FE1568" s="6"/>
      <c r="FF1568" s="123"/>
      <c r="FG1568" s="6"/>
      <c r="FH1568" s="6"/>
      <c r="FI1568" s="6"/>
      <c r="FJ1568" s="6"/>
      <c r="FK1568" s="123"/>
      <c r="FL1568" s="6"/>
      <c r="FM1568" s="6"/>
      <c r="FN1568" s="6"/>
      <c r="FO1568" s="138"/>
      <c r="FP1568" s="138"/>
      <c r="FQ1568" s="123"/>
      <c r="FR1568" s="6"/>
      <c r="FS1568" s="6"/>
      <c r="FT1568" s="139"/>
      <c r="FU1568" s="139"/>
      <c r="FV1568" s="76"/>
      <c r="FW1568" s="123"/>
      <c r="FX1568" s="6"/>
    </row>
    <row r="1569" spans="35:180">
      <c r="AI1569" s="125"/>
      <c r="AJ1569" s="16"/>
      <c r="AM1569" s="16"/>
      <c r="AN1569" s="16"/>
      <c r="AO1569" s="125"/>
      <c r="AP1569" s="16"/>
      <c r="AQ1569" s="125"/>
      <c r="AZ1569" s="125"/>
      <c r="BA1569" s="142"/>
      <c r="BB1569" s="125"/>
      <c r="BC1569" s="16"/>
      <c r="BD1569" s="125"/>
      <c r="BE1569" s="125"/>
      <c r="BF1569" s="16"/>
      <c r="BG1569" s="125"/>
      <c r="BQ1569" s="125"/>
      <c r="BR1569" s="16"/>
      <c r="BS1569" s="123"/>
      <c r="BT1569" s="19"/>
      <c r="BU1569" s="139"/>
      <c r="BV1569" s="139"/>
      <c r="BW1569" s="123"/>
      <c r="BX1569" s="123"/>
      <c r="BY1569" s="123"/>
      <c r="BZ1569" s="123"/>
      <c r="CA1569" s="123"/>
      <c r="CB1569" s="123"/>
      <c r="CC1569" s="6"/>
      <c r="CD1569" s="123"/>
      <c r="CE1569" s="6"/>
      <c r="CF1569" s="123"/>
      <c r="CG1569" s="6"/>
      <c r="CH1569" s="6"/>
      <c r="CI1569" s="6"/>
      <c r="CJ1569" s="6"/>
      <c r="CK1569" s="123"/>
      <c r="CL1569" s="6"/>
      <c r="CM1569" s="6"/>
      <c r="CN1569" s="6"/>
      <c r="CO1569" s="138"/>
      <c r="CP1569" s="138"/>
      <c r="CQ1569" s="123"/>
      <c r="CR1569" s="6"/>
      <c r="CS1569" s="6"/>
      <c r="CT1569" s="139"/>
      <c r="CU1569" s="139"/>
      <c r="CV1569" s="76"/>
      <c r="CW1569" s="123"/>
      <c r="CX1569" s="6"/>
      <c r="DI1569" s="125"/>
      <c r="DJ1569" s="16"/>
      <c r="DM1569" s="16"/>
      <c r="DN1569" s="16"/>
      <c r="DO1569" s="125"/>
      <c r="DP1569" s="16"/>
      <c r="DQ1569" s="125"/>
      <c r="DZ1569" s="125"/>
      <c r="EA1569" s="142"/>
      <c r="EB1569" s="125"/>
      <c r="EC1569" s="16"/>
      <c r="ED1569" s="125"/>
      <c r="EE1569" s="125"/>
      <c r="EF1569" s="16"/>
      <c r="EG1569" s="125"/>
      <c r="EQ1569" s="125"/>
      <c r="ER1569" s="16"/>
      <c r="ES1569" s="123"/>
      <c r="ET1569" s="19"/>
      <c r="EU1569" s="139"/>
      <c r="EV1569" s="139"/>
      <c r="EW1569" s="123"/>
      <c r="EX1569" s="123"/>
      <c r="EY1569" s="123"/>
      <c r="EZ1569" s="123"/>
      <c r="FA1569" s="123"/>
      <c r="FB1569" s="123"/>
      <c r="FC1569" s="6"/>
      <c r="FD1569" s="123"/>
      <c r="FE1569" s="6"/>
      <c r="FF1569" s="123"/>
      <c r="FG1569" s="6"/>
      <c r="FH1569" s="6"/>
      <c r="FI1569" s="6"/>
      <c r="FJ1569" s="6"/>
      <c r="FK1569" s="123"/>
      <c r="FL1569" s="6"/>
      <c r="FM1569" s="6"/>
      <c r="FN1569" s="6"/>
      <c r="FO1569" s="138"/>
      <c r="FP1569" s="138"/>
      <c r="FQ1569" s="123"/>
      <c r="FR1569" s="6"/>
      <c r="FS1569" s="6"/>
      <c r="FT1569" s="139"/>
      <c r="FU1569" s="139"/>
      <c r="FV1569" s="76"/>
      <c r="FW1569" s="123"/>
      <c r="FX1569" s="6"/>
    </row>
    <row r="1570" spans="35:180">
      <c r="AI1570" s="125"/>
      <c r="AJ1570" s="16"/>
      <c r="AM1570" s="16"/>
      <c r="AN1570" s="16"/>
      <c r="AO1570" s="125"/>
      <c r="AP1570" s="16"/>
      <c r="AQ1570" s="125"/>
      <c r="AZ1570" s="125"/>
      <c r="BA1570" s="142"/>
      <c r="BB1570" s="125"/>
      <c r="BC1570" s="16"/>
      <c r="BD1570" s="125"/>
      <c r="BE1570" s="125"/>
      <c r="BF1570" s="16"/>
      <c r="BG1570" s="125"/>
      <c r="BQ1570" s="125"/>
      <c r="BR1570" s="16"/>
      <c r="BS1570" s="123"/>
      <c r="BT1570" s="19"/>
      <c r="BU1570" s="139"/>
      <c r="BV1570" s="139"/>
      <c r="BW1570" s="123"/>
      <c r="BX1570" s="123"/>
      <c r="BY1570" s="123"/>
      <c r="BZ1570" s="123"/>
      <c r="CA1570" s="123"/>
      <c r="CB1570" s="123"/>
      <c r="CC1570" s="6"/>
      <c r="CD1570" s="123"/>
      <c r="CE1570" s="6"/>
      <c r="CF1570" s="123"/>
      <c r="CG1570" s="6"/>
      <c r="CH1570" s="6"/>
      <c r="CI1570" s="6"/>
      <c r="CJ1570" s="6"/>
      <c r="CK1570" s="123"/>
      <c r="CL1570" s="6"/>
      <c r="CM1570" s="6"/>
      <c r="CN1570" s="6"/>
      <c r="CO1570" s="138"/>
      <c r="CP1570" s="138"/>
      <c r="CQ1570" s="123"/>
      <c r="CR1570" s="6"/>
      <c r="CS1570" s="6"/>
      <c r="CT1570" s="139"/>
      <c r="CU1570" s="139"/>
      <c r="CV1570" s="76"/>
      <c r="CW1570" s="123"/>
      <c r="CX1570" s="6"/>
      <c r="DI1570" s="125"/>
      <c r="DJ1570" s="16"/>
      <c r="DM1570" s="16"/>
      <c r="DN1570" s="16"/>
      <c r="DO1570" s="125"/>
      <c r="DP1570" s="16"/>
      <c r="DQ1570" s="125"/>
      <c r="DZ1570" s="125"/>
      <c r="EA1570" s="142"/>
      <c r="EB1570" s="125"/>
      <c r="EC1570" s="16"/>
      <c r="ED1570" s="125"/>
      <c r="EE1570" s="125"/>
      <c r="EF1570" s="16"/>
      <c r="EG1570" s="125"/>
      <c r="EQ1570" s="125"/>
      <c r="ER1570" s="16"/>
      <c r="ES1570" s="123"/>
      <c r="ET1570" s="19"/>
      <c r="EU1570" s="139"/>
      <c r="EV1570" s="139"/>
      <c r="EW1570" s="123"/>
      <c r="EX1570" s="123"/>
      <c r="EY1570" s="123"/>
      <c r="EZ1570" s="123"/>
      <c r="FA1570" s="123"/>
      <c r="FB1570" s="123"/>
      <c r="FC1570" s="6"/>
      <c r="FD1570" s="123"/>
      <c r="FE1570" s="6"/>
      <c r="FF1570" s="123"/>
      <c r="FG1570" s="6"/>
      <c r="FH1570" s="6"/>
      <c r="FI1570" s="6"/>
      <c r="FJ1570" s="6"/>
      <c r="FK1570" s="123"/>
      <c r="FL1570" s="6"/>
      <c r="FM1570" s="6"/>
      <c r="FN1570" s="6"/>
      <c r="FO1570" s="138"/>
      <c r="FP1570" s="138"/>
      <c r="FQ1570" s="123"/>
      <c r="FR1570" s="6"/>
      <c r="FS1570" s="6"/>
      <c r="FT1570" s="139"/>
      <c r="FU1570" s="139"/>
      <c r="FV1570" s="76"/>
      <c r="FW1570" s="123"/>
      <c r="FX1570" s="6"/>
    </row>
    <row r="1571" spans="35:180">
      <c r="AI1571" s="125"/>
      <c r="AJ1571" s="16"/>
      <c r="AM1571" s="16"/>
      <c r="AN1571" s="16"/>
      <c r="AO1571" s="125"/>
      <c r="AP1571" s="16"/>
      <c r="AQ1571" s="125"/>
      <c r="AZ1571" s="125"/>
      <c r="BA1571" s="142"/>
      <c r="BB1571" s="125"/>
      <c r="BC1571" s="16"/>
      <c r="BD1571" s="125"/>
      <c r="BE1571" s="125"/>
      <c r="BF1571" s="16"/>
      <c r="BG1571" s="125"/>
      <c r="BQ1571" s="125"/>
      <c r="BR1571" s="16"/>
      <c r="BS1571" s="123"/>
      <c r="BT1571" s="19"/>
      <c r="BU1571" s="139"/>
      <c r="BV1571" s="139"/>
      <c r="BW1571" s="123"/>
      <c r="BX1571" s="123"/>
      <c r="BY1571" s="123"/>
      <c r="BZ1571" s="123"/>
      <c r="CA1571" s="123"/>
      <c r="CB1571" s="123"/>
      <c r="CC1571" s="6"/>
      <c r="CD1571" s="123"/>
      <c r="CE1571" s="6"/>
      <c r="CF1571" s="123"/>
      <c r="CG1571" s="6"/>
      <c r="CH1571" s="6"/>
      <c r="CI1571" s="6"/>
      <c r="CJ1571" s="6"/>
      <c r="CK1571" s="123"/>
      <c r="CL1571" s="6"/>
      <c r="CM1571" s="6"/>
      <c r="CN1571" s="6"/>
      <c r="CO1571" s="138"/>
      <c r="CP1571" s="138"/>
      <c r="CQ1571" s="123"/>
      <c r="CR1571" s="6"/>
      <c r="CS1571" s="6"/>
      <c r="CT1571" s="139"/>
      <c r="CU1571" s="139"/>
      <c r="CV1571" s="76"/>
      <c r="CW1571" s="123"/>
      <c r="CX1571" s="6"/>
      <c r="DI1571" s="125"/>
      <c r="DJ1571" s="16"/>
      <c r="DM1571" s="16"/>
      <c r="DN1571" s="16"/>
      <c r="DO1571" s="125"/>
      <c r="DP1571" s="16"/>
      <c r="DQ1571" s="125"/>
      <c r="DZ1571" s="125"/>
      <c r="EA1571" s="142"/>
      <c r="EB1571" s="125"/>
      <c r="EC1571" s="16"/>
      <c r="ED1571" s="125"/>
      <c r="EE1571" s="125"/>
      <c r="EF1571" s="16"/>
      <c r="EG1571" s="125"/>
      <c r="EQ1571" s="125"/>
      <c r="ER1571" s="16"/>
      <c r="ES1571" s="123"/>
      <c r="ET1571" s="19"/>
      <c r="EU1571" s="139"/>
      <c r="EV1571" s="139"/>
      <c r="EW1571" s="123"/>
      <c r="EX1571" s="123"/>
      <c r="EY1571" s="123"/>
      <c r="EZ1571" s="123"/>
      <c r="FA1571" s="123"/>
      <c r="FB1571" s="123"/>
      <c r="FC1571" s="6"/>
      <c r="FD1571" s="123"/>
      <c r="FE1571" s="6"/>
      <c r="FF1571" s="123"/>
      <c r="FG1571" s="6"/>
      <c r="FH1571" s="6"/>
      <c r="FI1571" s="6"/>
      <c r="FJ1571" s="6"/>
      <c r="FK1571" s="123"/>
      <c r="FL1571" s="6"/>
      <c r="FM1571" s="6"/>
      <c r="FN1571" s="6"/>
      <c r="FO1571" s="138"/>
      <c r="FP1571" s="138"/>
      <c r="FQ1571" s="123"/>
      <c r="FR1571" s="6"/>
      <c r="FS1571" s="6"/>
      <c r="FT1571" s="139"/>
      <c r="FU1571" s="139"/>
      <c r="FV1571" s="76"/>
      <c r="FW1571" s="123"/>
      <c r="FX1571" s="6"/>
    </row>
    <row r="1572" spans="35:180">
      <c r="AI1572" s="125"/>
      <c r="AJ1572" s="16"/>
      <c r="AM1572" s="16"/>
      <c r="AN1572" s="16"/>
      <c r="AO1572" s="125"/>
      <c r="AP1572" s="16"/>
      <c r="AQ1572" s="125"/>
      <c r="AZ1572" s="125"/>
      <c r="BA1572" s="142"/>
      <c r="BB1572" s="125"/>
      <c r="BC1572" s="16"/>
      <c r="BD1572" s="125"/>
      <c r="BE1572" s="125"/>
      <c r="BF1572" s="16"/>
      <c r="BG1572" s="125"/>
      <c r="BQ1572" s="125"/>
      <c r="BR1572" s="16"/>
      <c r="BS1572" s="123"/>
      <c r="BT1572" s="19"/>
      <c r="BU1572" s="139"/>
      <c r="BV1572" s="139"/>
      <c r="BW1572" s="123"/>
      <c r="BX1572" s="123"/>
      <c r="BY1572" s="123"/>
      <c r="BZ1572" s="123"/>
      <c r="CA1572" s="123"/>
      <c r="CB1572" s="123"/>
      <c r="CC1572" s="6"/>
      <c r="CD1572" s="123"/>
      <c r="CE1572" s="6"/>
      <c r="CF1572" s="123"/>
      <c r="CG1572" s="6"/>
      <c r="CH1572" s="6"/>
      <c r="CI1572" s="6"/>
      <c r="CJ1572" s="6"/>
      <c r="CK1572" s="123"/>
      <c r="CL1572" s="6"/>
      <c r="CM1572" s="6"/>
      <c r="CN1572" s="6"/>
      <c r="CO1572" s="138"/>
      <c r="CP1572" s="138"/>
      <c r="CQ1572" s="123"/>
      <c r="CR1572" s="6"/>
      <c r="CS1572" s="6"/>
      <c r="CT1572" s="139"/>
      <c r="CU1572" s="139"/>
      <c r="CV1572" s="76"/>
      <c r="CW1572" s="123"/>
      <c r="CX1572" s="6"/>
      <c r="DI1572" s="125"/>
      <c r="DJ1572" s="16"/>
      <c r="DM1572" s="16"/>
      <c r="DN1572" s="16"/>
      <c r="DO1572" s="125"/>
      <c r="DP1572" s="16"/>
      <c r="DQ1572" s="125"/>
      <c r="DZ1572" s="125"/>
      <c r="EA1572" s="142"/>
      <c r="EB1572" s="125"/>
      <c r="EC1572" s="16"/>
      <c r="ED1572" s="125"/>
      <c r="EE1572" s="125"/>
      <c r="EF1572" s="16"/>
      <c r="EG1572" s="125"/>
      <c r="EQ1572" s="125"/>
      <c r="ER1572" s="16"/>
      <c r="ES1572" s="123"/>
      <c r="ET1572" s="19"/>
      <c r="EU1572" s="139"/>
      <c r="EV1572" s="139"/>
      <c r="EW1572" s="123"/>
      <c r="EX1572" s="123"/>
      <c r="EY1572" s="123"/>
      <c r="EZ1572" s="123"/>
      <c r="FA1572" s="123"/>
      <c r="FB1572" s="123"/>
      <c r="FC1572" s="6"/>
      <c r="FD1572" s="123"/>
      <c r="FE1572" s="6"/>
      <c r="FF1572" s="123"/>
      <c r="FG1572" s="6"/>
      <c r="FH1572" s="6"/>
      <c r="FI1572" s="6"/>
      <c r="FJ1572" s="6"/>
      <c r="FK1572" s="123"/>
      <c r="FL1572" s="6"/>
      <c r="FM1572" s="6"/>
      <c r="FN1572" s="6"/>
      <c r="FO1572" s="138"/>
      <c r="FP1572" s="138"/>
      <c r="FQ1572" s="123"/>
      <c r="FR1572" s="6"/>
      <c r="FS1572" s="6"/>
      <c r="FT1572" s="139"/>
      <c r="FU1572" s="139"/>
      <c r="FV1572" s="76"/>
      <c r="FW1572" s="123"/>
      <c r="FX1572" s="6"/>
    </row>
    <row r="1573" spans="35:180">
      <c r="AI1573" s="125"/>
      <c r="AJ1573" s="16"/>
      <c r="AM1573" s="16"/>
      <c r="AN1573" s="16"/>
      <c r="AO1573" s="125"/>
      <c r="AP1573" s="16"/>
      <c r="AQ1573" s="125"/>
      <c r="AZ1573" s="125"/>
      <c r="BA1573" s="142"/>
      <c r="BB1573" s="125"/>
      <c r="BC1573" s="16"/>
      <c r="BD1573" s="125"/>
      <c r="BE1573" s="125"/>
      <c r="BF1573" s="16"/>
      <c r="BG1573" s="125"/>
      <c r="BQ1573" s="125"/>
      <c r="BR1573" s="16"/>
      <c r="BS1573" s="123"/>
      <c r="BT1573" s="19"/>
      <c r="BU1573" s="139"/>
      <c r="BV1573" s="139"/>
      <c r="BW1573" s="123"/>
      <c r="BX1573" s="123"/>
      <c r="BY1573" s="123"/>
      <c r="BZ1573" s="123"/>
      <c r="CA1573" s="123"/>
      <c r="CB1573" s="123"/>
      <c r="CC1573" s="6"/>
      <c r="CD1573" s="123"/>
      <c r="CE1573" s="6"/>
      <c r="CF1573" s="123"/>
      <c r="CG1573" s="6"/>
      <c r="CH1573" s="6"/>
      <c r="CI1573" s="6"/>
      <c r="CJ1573" s="6"/>
      <c r="CK1573" s="123"/>
      <c r="CL1573" s="6"/>
      <c r="CM1573" s="6"/>
      <c r="CN1573" s="6"/>
      <c r="CO1573" s="138"/>
      <c r="CP1573" s="138"/>
      <c r="CQ1573" s="123"/>
      <c r="CR1573" s="6"/>
      <c r="CS1573" s="6"/>
      <c r="CT1573" s="139"/>
      <c r="CU1573" s="139"/>
      <c r="CV1573" s="76"/>
      <c r="CW1573" s="123"/>
      <c r="CX1573" s="6"/>
      <c r="DI1573" s="125"/>
      <c r="DJ1573" s="16"/>
      <c r="DM1573" s="16"/>
      <c r="DN1573" s="16"/>
      <c r="DO1573" s="125"/>
      <c r="DP1573" s="16"/>
      <c r="DQ1573" s="125"/>
      <c r="DZ1573" s="125"/>
      <c r="EA1573" s="142"/>
      <c r="EB1573" s="125"/>
      <c r="EC1573" s="16"/>
      <c r="ED1573" s="125"/>
      <c r="EE1573" s="125"/>
      <c r="EF1573" s="16"/>
      <c r="EG1573" s="125"/>
      <c r="EQ1573" s="125"/>
      <c r="ER1573" s="16"/>
      <c r="ES1573" s="123"/>
      <c r="ET1573" s="19"/>
      <c r="EU1573" s="139"/>
      <c r="EV1573" s="139"/>
      <c r="EW1573" s="123"/>
      <c r="EX1573" s="123"/>
      <c r="EY1573" s="123"/>
      <c r="EZ1573" s="123"/>
      <c r="FA1573" s="123"/>
      <c r="FB1573" s="123"/>
      <c r="FC1573" s="6"/>
      <c r="FD1573" s="123"/>
      <c r="FE1573" s="6"/>
      <c r="FF1573" s="123"/>
      <c r="FG1573" s="6"/>
      <c r="FH1573" s="6"/>
      <c r="FI1573" s="6"/>
      <c r="FJ1573" s="6"/>
      <c r="FK1573" s="123"/>
      <c r="FL1573" s="6"/>
      <c r="FM1573" s="6"/>
      <c r="FN1573" s="6"/>
      <c r="FO1573" s="138"/>
      <c r="FP1573" s="138"/>
      <c r="FQ1573" s="123"/>
      <c r="FR1573" s="6"/>
      <c r="FS1573" s="6"/>
      <c r="FT1573" s="139"/>
      <c r="FU1573" s="139"/>
      <c r="FV1573" s="76"/>
      <c r="FW1573" s="123"/>
      <c r="FX1573" s="6"/>
    </row>
    <row r="1574" spans="35:180">
      <c r="AI1574" s="125"/>
      <c r="AJ1574" s="16"/>
      <c r="AM1574" s="16"/>
      <c r="AN1574" s="16"/>
      <c r="AO1574" s="125"/>
      <c r="AP1574" s="16"/>
      <c r="AQ1574" s="125"/>
      <c r="AZ1574" s="125"/>
      <c r="BA1574" s="142"/>
      <c r="BB1574" s="125"/>
      <c r="BC1574" s="16"/>
      <c r="BD1574" s="125"/>
      <c r="BE1574" s="125"/>
      <c r="BF1574" s="16"/>
      <c r="BG1574" s="125"/>
      <c r="BQ1574" s="125"/>
      <c r="BR1574" s="16"/>
      <c r="BS1574" s="123"/>
      <c r="BT1574" s="19"/>
      <c r="BU1574" s="139"/>
      <c r="BV1574" s="139"/>
      <c r="BW1574" s="123"/>
      <c r="BX1574" s="123"/>
      <c r="BY1574" s="123"/>
      <c r="BZ1574" s="123"/>
      <c r="CA1574" s="123"/>
      <c r="CB1574" s="123"/>
      <c r="CC1574" s="6"/>
      <c r="CD1574" s="123"/>
      <c r="CE1574" s="6"/>
      <c r="CF1574" s="123"/>
      <c r="CG1574" s="6"/>
      <c r="CH1574" s="6"/>
      <c r="CI1574" s="6"/>
      <c r="CJ1574" s="6"/>
      <c r="CK1574" s="123"/>
      <c r="CL1574" s="6"/>
      <c r="CM1574" s="6"/>
      <c r="CN1574" s="6"/>
      <c r="CO1574" s="138"/>
      <c r="CP1574" s="138"/>
      <c r="CQ1574" s="123"/>
      <c r="CR1574" s="6"/>
      <c r="CS1574" s="6"/>
      <c r="CT1574" s="139"/>
      <c r="CU1574" s="139"/>
      <c r="CV1574" s="76"/>
      <c r="CW1574" s="123"/>
      <c r="CX1574" s="6"/>
      <c r="DI1574" s="125"/>
      <c r="DJ1574" s="16"/>
      <c r="DM1574" s="16"/>
      <c r="DN1574" s="16"/>
      <c r="DO1574" s="125"/>
      <c r="DP1574" s="16"/>
      <c r="DQ1574" s="125"/>
      <c r="DZ1574" s="125"/>
      <c r="EA1574" s="142"/>
      <c r="EB1574" s="125"/>
      <c r="EC1574" s="16"/>
      <c r="ED1574" s="125"/>
      <c r="EE1574" s="125"/>
      <c r="EF1574" s="16"/>
      <c r="EG1574" s="125"/>
      <c r="EQ1574" s="125"/>
      <c r="ER1574" s="16"/>
      <c r="ES1574" s="123"/>
      <c r="ET1574" s="19"/>
      <c r="EU1574" s="139"/>
      <c r="EV1574" s="139"/>
      <c r="EW1574" s="123"/>
      <c r="EX1574" s="123"/>
      <c r="EY1574" s="123"/>
      <c r="EZ1574" s="123"/>
      <c r="FA1574" s="123"/>
      <c r="FB1574" s="123"/>
      <c r="FC1574" s="6"/>
      <c r="FD1574" s="123"/>
      <c r="FE1574" s="6"/>
      <c r="FF1574" s="123"/>
      <c r="FG1574" s="6"/>
      <c r="FH1574" s="6"/>
      <c r="FI1574" s="6"/>
      <c r="FJ1574" s="6"/>
      <c r="FK1574" s="123"/>
      <c r="FL1574" s="6"/>
      <c r="FM1574" s="6"/>
      <c r="FN1574" s="6"/>
      <c r="FO1574" s="138"/>
      <c r="FP1574" s="138"/>
      <c r="FQ1574" s="123"/>
      <c r="FR1574" s="6"/>
      <c r="FS1574" s="6"/>
      <c r="FT1574" s="139"/>
      <c r="FU1574" s="139"/>
      <c r="FV1574" s="76"/>
      <c r="FW1574" s="123"/>
      <c r="FX1574" s="6"/>
    </row>
    <row r="1575" spans="35:180">
      <c r="AI1575" s="125"/>
      <c r="AJ1575" s="16"/>
      <c r="AM1575" s="16"/>
      <c r="AN1575" s="16"/>
      <c r="AO1575" s="125"/>
      <c r="AP1575" s="16"/>
      <c r="AQ1575" s="125"/>
      <c r="AZ1575" s="125"/>
      <c r="BA1575" s="142"/>
      <c r="BB1575" s="125"/>
      <c r="BC1575" s="16"/>
      <c r="BD1575" s="125"/>
      <c r="BE1575" s="125"/>
      <c r="BF1575" s="16"/>
      <c r="BG1575" s="125"/>
      <c r="BQ1575" s="125"/>
      <c r="BR1575" s="16"/>
      <c r="BS1575" s="123"/>
      <c r="BT1575" s="19"/>
      <c r="BU1575" s="139"/>
      <c r="BV1575" s="139"/>
      <c r="BW1575" s="123"/>
      <c r="BX1575" s="123"/>
      <c r="BY1575" s="123"/>
      <c r="BZ1575" s="123"/>
      <c r="CA1575" s="123"/>
      <c r="CB1575" s="123"/>
      <c r="CC1575" s="6"/>
      <c r="CD1575" s="123"/>
      <c r="CE1575" s="6"/>
      <c r="CF1575" s="123"/>
      <c r="CG1575" s="6"/>
      <c r="CH1575" s="6"/>
      <c r="CI1575" s="6"/>
      <c r="CJ1575" s="6"/>
      <c r="CK1575" s="123"/>
      <c r="CL1575" s="6"/>
      <c r="CM1575" s="6"/>
      <c r="CN1575" s="6"/>
      <c r="CO1575" s="138"/>
      <c r="CP1575" s="138"/>
      <c r="CQ1575" s="123"/>
      <c r="CR1575" s="6"/>
      <c r="CS1575" s="6"/>
      <c r="CT1575" s="139"/>
      <c r="CU1575" s="139"/>
      <c r="CV1575" s="76"/>
      <c r="CW1575" s="123"/>
      <c r="CX1575" s="6"/>
      <c r="DI1575" s="125"/>
      <c r="DJ1575" s="16"/>
      <c r="DM1575" s="16"/>
      <c r="DN1575" s="16"/>
      <c r="DO1575" s="125"/>
      <c r="DP1575" s="16"/>
      <c r="DQ1575" s="125"/>
      <c r="DZ1575" s="125"/>
      <c r="EA1575" s="142"/>
      <c r="EB1575" s="125"/>
      <c r="EC1575" s="16"/>
      <c r="ED1575" s="125"/>
      <c r="EE1575" s="125"/>
      <c r="EF1575" s="16"/>
      <c r="EG1575" s="125"/>
      <c r="EQ1575" s="125"/>
      <c r="ER1575" s="16"/>
      <c r="ES1575" s="123"/>
      <c r="ET1575" s="19"/>
      <c r="EU1575" s="139"/>
      <c r="EV1575" s="139"/>
      <c r="EW1575" s="123"/>
      <c r="EX1575" s="123"/>
      <c r="EY1575" s="123"/>
      <c r="EZ1575" s="123"/>
      <c r="FA1575" s="123"/>
      <c r="FB1575" s="123"/>
      <c r="FC1575" s="6"/>
      <c r="FD1575" s="123"/>
      <c r="FE1575" s="6"/>
      <c r="FF1575" s="123"/>
      <c r="FG1575" s="6"/>
      <c r="FH1575" s="6"/>
      <c r="FI1575" s="6"/>
      <c r="FJ1575" s="6"/>
      <c r="FK1575" s="123"/>
      <c r="FL1575" s="6"/>
      <c r="FM1575" s="6"/>
      <c r="FN1575" s="6"/>
      <c r="FO1575" s="138"/>
      <c r="FP1575" s="138"/>
      <c r="FQ1575" s="123"/>
      <c r="FR1575" s="6"/>
      <c r="FS1575" s="6"/>
      <c r="FT1575" s="139"/>
      <c r="FU1575" s="139"/>
      <c r="FV1575" s="76"/>
      <c r="FW1575" s="123"/>
      <c r="FX1575" s="6"/>
    </row>
    <row r="1576" spans="35:180">
      <c r="AI1576" s="125"/>
      <c r="AJ1576" s="16"/>
      <c r="AM1576" s="16"/>
      <c r="AN1576" s="16"/>
      <c r="AO1576" s="125"/>
      <c r="AP1576" s="16"/>
      <c r="AQ1576" s="125"/>
      <c r="AZ1576" s="125"/>
      <c r="BA1576" s="142"/>
      <c r="BB1576" s="125"/>
      <c r="BC1576" s="16"/>
      <c r="BD1576" s="125"/>
      <c r="BE1576" s="125"/>
      <c r="BF1576" s="16"/>
      <c r="BG1576" s="125"/>
      <c r="BQ1576" s="125"/>
      <c r="BR1576" s="16"/>
      <c r="BS1576" s="123"/>
      <c r="BT1576" s="19"/>
      <c r="BU1576" s="139"/>
      <c r="BV1576" s="139"/>
      <c r="BW1576" s="123"/>
      <c r="BX1576" s="123"/>
      <c r="BY1576" s="123"/>
      <c r="BZ1576" s="123"/>
      <c r="CA1576" s="123"/>
      <c r="CB1576" s="123"/>
      <c r="CC1576" s="6"/>
      <c r="CD1576" s="123"/>
      <c r="CE1576" s="6"/>
      <c r="CF1576" s="123"/>
      <c r="CG1576" s="6"/>
      <c r="CH1576" s="6"/>
      <c r="CI1576" s="6"/>
      <c r="CJ1576" s="6"/>
      <c r="CK1576" s="123"/>
      <c r="CL1576" s="6"/>
      <c r="CM1576" s="6"/>
      <c r="CN1576" s="6"/>
      <c r="CO1576" s="138"/>
      <c r="CP1576" s="138"/>
      <c r="CQ1576" s="123"/>
      <c r="CR1576" s="6"/>
      <c r="CS1576" s="6"/>
      <c r="CT1576" s="139"/>
      <c r="CU1576" s="139"/>
      <c r="CV1576" s="76"/>
      <c r="CW1576" s="123"/>
      <c r="CX1576" s="6"/>
      <c r="DI1576" s="125"/>
      <c r="DJ1576" s="16"/>
      <c r="DM1576" s="16"/>
      <c r="DN1576" s="16"/>
      <c r="DO1576" s="125"/>
      <c r="DP1576" s="16"/>
      <c r="DQ1576" s="125"/>
      <c r="DZ1576" s="125"/>
      <c r="EA1576" s="142"/>
      <c r="EB1576" s="125"/>
      <c r="EC1576" s="16"/>
      <c r="ED1576" s="125"/>
      <c r="EE1576" s="125"/>
      <c r="EF1576" s="16"/>
      <c r="EG1576" s="125"/>
      <c r="EQ1576" s="125"/>
      <c r="ER1576" s="16"/>
      <c r="ES1576" s="123"/>
      <c r="ET1576" s="19"/>
      <c r="EU1576" s="139"/>
      <c r="EV1576" s="139"/>
      <c r="EW1576" s="123"/>
      <c r="EX1576" s="123"/>
      <c r="EY1576" s="123"/>
      <c r="EZ1576" s="123"/>
      <c r="FA1576" s="123"/>
      <c r="FB1576" s="123"/>
      <c r="FC1576" s="6"/>
      <c r="FD1576" s="123"/>
      <c r="FE1576" s="6"/>
      <c r="FF1576" s="123"/>
      <c r="FG1576" s="6"/>
      <c r="FH1576" s="6"/>
      <c r="FI1576" s="6"/>
      <c r="FJ1576" s="6"/>
      <c r="FK1576" s="123"/>
      <c r="FL1576" s="6"/>
      <c r="FM1576" s="6"/>
      <c r="FN1576" s="6"/>
      <c r="FO1576" s="138"/>
      <c r="FP1576" s="138"/>
      <c r="FQ1576" s="123"/>
      <c r="FR1576" s="6"/>
      <c r="FS1576" s="6"/>
      <c r="FT1576" s="139"/>
      <c r="FU1576" s="139"/>
      <c r="FV1576" s="76"/>
      <c r="FW1576" s="123"/>
      <c r="FX1576" s="6"/>
    </row>
    <row r="1577" spans="35:180">
      <c r="AI1577" s="125"/>
      <c r="AJ1577" s="16"/>
      <c r="AM1577" s="16"/>
      <c r="AN1577" s="16"/>
      <c r="AO1577" s="125"/>
      <c r="AP1577" s="16"/>
      <c r="AQ1577" s="125"/>
      <c r="AZ1577" s="125"/>
      <c r="BA1577" s="142"/>
      <c r="BB1577" s="125"/>
      <c r="BC1577" s="16"/>
      <c r="BD1577" s="125"/>
      <c r="BE1577" s="125"/>
      <c r="BF1577" s="16"/>
      <c r="BG1577" s="125"/>
      <c r="BQ1577" s="125"/>
      <c r="BR1577" s="16"/>
      <c r="BS1577" s="123"/>
      <c r="BT1577" s="19"/>
      <c r="BU1577" s="139"/>
      <c r="BV1577" s="139"/>
      <c r="BW1577" s="123"/>
      <c r="BX1577" s="123"/>
      <c r="BY1577" s="123"/>
      <c r="BZ1577" s="123"/>
      <c r="CA1577" s="123"/>
      <c r="CB1577" s="123"/>
      <c r="CC1577" s="6"/>
      <c r="CD1577" s="123"/>
      <c r="CE1577" s="6"/>
      <c r="CF1577" s="123"/>
      <c r="CG1577" s="6"/>
      <c r="CH1577" s="6"/>
      <c r="CI1577" s="6"/>
      <c r="CJ1577" s="6"/>
      <c r="CK1577" s="123"/>
      <c r="CL1577" s="6"/>
      <c r="CM1577" s="6"/>
      <c r="CN1577" s="6"/>
      <c r="CO1577" s="138"/>
      <c r="CP1577" s="138"/>
      <c r="CQ1577" s="123"/>
      <c r="CR1577" s="6"/>
      <c r="CS1577" s="6"/>
      <c r="CT1577" s="139"/>
      <c r="CU1577" s="139"/>
      <c r="CV1577" s="76"/>
      <c r="CW1577" s="123"/>
      <c r="CX1577" s="6"/>
      <c r="DI1577" s="125"/>
      <c r="DJ1577" s="16"/>
      <c r="DM1577" s="16"/>
      <c r="DN1577" s="16"/>
      <c r="DO1577" s="125"/>
      <c r="DP1577" s="16"/>
      <c r="DQ1577" s="125"/>
      <c r="DZ1577" s="125"/>
      <c r="EA1577" s="142"/>
      <c r="EB1577" s="125"/>
      <c r="EC1577" s="16"/>
      <c r="ED1577" s="125"/>
      <c r="EE1577" s="125"/>
      <c r="EF1577" s="16"/>
      <c r="EG1577" s="125"/>
      <c r="EQ1577" s="125"/>
      <c r="ER1577" s="16"/>
      <c r="ES1577" s="123"/>
      <c r="ET1577" s="19"/>
      <c r="EU1577" s="139"/>
      <c r="EV1577" s="139"/>
      <c r="EW1577" s="123"/>
      <c r="EX1577" s="123"/>
      <c r="EY1577" s="123"/>
      <c r="EZ1577" s="123"/>
      <c r="FA1577" s="123"/>
      <c r="FB1577" s="123"/>
      <c r="FC1577" s="6"/>
      <c r="FD1577" s="123"/>
      <c r="FE1577" s="6"/>
      <c r="FF1577" s="123"/>
      <c r="FG1577" s="6"/>
      <c r="FH1577" s="6"/>
      <c r="FI1577" s="6"/>
      <c r="FJ1577" s="6"/>
      <c r="FK1577" s="123"/>
      <c r="FL1577" s="6"/>
      <c r="FM1577" s="6"/>
      <c r="FN1577" s="6"/>
      <c r="FO1577" s="138"/>
      <c r="FP1577" s="138"/>
      <c r="FQ1577" s="123"/>
      <c r="FR1577" s="6"/>
      <c r="FS1577" s="6"/>
      <c r="FT1577" s="139"/>
      <c r="FU1577" s="139"/>
      <c r="FV1577" s="76"/>
      <c r="FW1577" s="123"/>
      <c r="FX1577" s="6"/>
    </row>
    <row r="1578" spans="35:180">
      <c r="AI1578" s="125"/>
      <c r="AJ1578" s="16"/>
      <c r="AM1578" s="16"/>
      <c r="AN1578" s="16"/>
      <c r="AO1578" s="125"/>
      <c r="AP1578" s="16"/>
      <c r="AQ1578" s="125"/>
      <c r="AZ1578" s="125"/>
      <c r="BA1578" s="142"/>
      <c r="BB1578" s="125"/>
      <c r="BC1578" s="16"/>
      <c r="BD1578" s="125"/>
      <c r="BE1578" s="125"/>
      <c r="BF1578" s="16"/>
      <c r="BG1578" s="125"/>
      <c r="BQ1578" s="125"/>
      <c r="BR1578" s="16"/>
      <c r="BS1578" s="123"/>
      <c r="BT1578" s="19"/>
      <c r="BU1578" s="139"/>
      <c r="BV1578" s="139"/>
      <c r="BW1578" s="123"/>
      <c r="BX1578" s="123"/>
      <c r="BY1578" s="123"/>
      <c r="BZ1578" s="123"/>
      <c r="CA1578" s="123"/>
      <c r="CB1578" s="123"/>
      <c r="CC1578" s="6"/>
      <c r="CD1578" s="123"/>
      <c r="CE1578" s="6"/>
      <c r="CF1578" s="123"/>
      <c r="CG1578" s="6"/>
      <c r="CH1578" s="6"/>
      <c r="CI1578" s="6"/>
      <c r="CJ1578" s="6"/>
      <c r="CK1578" s="123"/>
      <c r="CL1578" s="6"/>
      <c r="CM1578" s="6"/>
      <c r="CN1578" s="6"/>
      <c r="CO1578" s="138"/>
      <c r="CP1578" s="138"/>
      <c r="CQ1578" s="123"/>
      <c r="CR1578" s="6"/>
      <c r="CS1578" s="6"/>
      <c r="CT1578" s="139"/>
      <c r="CU1578" s="139"/>
      <c r="CV1578" s="76"/>
      <c r="CW1578" s="123"/>
      <c r="CX1578" s="6"/>
      <c r="DI1578" s="125"/>
      <c r="DJ1578" s="16"/>
      <c r="DM1578" s="16"/>
      <c r="DN1578" s="16"/>
      <c r="DO1578" s="125"/>
      <c r="DP1578" s="16"/>
      <c r="DQ1578" s="125"/>
      <c r="DZ1578" s="125"/>
      <c r="EA1578" s="142"/>
      <c r="EB1578" s="125"/>
      <c r="EC1578" s="16"/>
      <c r="ED1578" s="125"/>
      <c r="EE1578" s="125"/>
      <c r="EF1578" s="16"/>
      <c r="EG1578" s="125"/>
      <c r="EQ1578" s="125"/>
      <c r="ER1578" s="16"/>
      <c r="ES1578" s="123"/>
      <c r="ET1578" s="19"/>
      <c r="EU1578" s="139"/>
      <c r="EV1578" s="139"/>
      <c r="EW1578" s="123"/>
      <c r="EX1578" s="123"/>
      <c r="EY1578" s="123"/>
      <c r="EZ1578" s="123"/>
      <c r="FA1578" s="123"/>
      <c r="FB1578" s="123"/>
      <c r="FC1578" s="6"/>
      <c r="FD1578" s="123"/>
      <c r="FE1578" s="6"/>
      <c r="FF1578" s="123"/>
      <c r="FG1578" s="6"/>
      <c r="FH1578" s="6"/>
      <c r="FI1578" s="6"/>
      <c r="FJ1578" s="6"/>
      <c r="FK1578" s="123"/>
      <c r="FL1578" s="6"/>
      <c r="FM1578" s="6"/>
      <c r="FN1578" s="6"/>
      <c r="FO1578" s="138"/>
      <c r="FP1578" s="138"/>
      <c r="FQ1578" s="123"/>
      <c r="FR1578" s="6"/>
      <c r="FS1578" s="6"/>
      <c r="FT1578" s="139"/>
      <c r="FU1578" s="139"/>
      <c r="FV1578" s="76"/>
      <c r="FW1578" s="123"/>
      <c r="FX1578" s="6"/>
    </row>
    <row r="1579" spans="35:180">
      <c r="AI1579" s="125"/>
      <c r="AJ1579" s="16"/>
      <c r="AM1579" s="16"/>
      <c r="AN1579" s="16"/>
      <c r="AO1579" s="125"/>
      <c r="AP1579" s="16"/>
      <c r="AQ1579" s="125"/>
      <c r="AZ1579" s="125"/>
      <c r="BA1579" s="142"/>
      <c r="BB1579" s="125"/>
      <c r="BC1579" s="16"/>
      <c r="BD1579" s="125"/>
      <c r="BE1579" s="125"/>
      <c r="BF1579" s="16"/>
      <c r="BG1579" s="125"/>
      <c r="BQ1579" s="125"/>
      <c r="BR1579" s="16"/>
      <c r="BS1579" s="123"/>
      <c r="BT1579" s="19"/>
      <c r="BU1579" s="139"/>
      <c r="BV1579" s="139"/>
      <c r="BW1579" s="123"/>
      <c r="BX1579" s="123"/>
      <c r="BY1579" s="123"/>
      <c r="BZ1579" s="123"/>
      <c r="CA1579" s="123"/>
      <c r="CB1579" s="123"/>
      <c r="CC1579" s="6"/>
      <c r="CD1579" s="123"/>
      <c r="CE1579" s="6"/>
      <c r="CF1579" s="123"/>
      <c r="CG1579" s="6"/>
      <c r="CH1579" s="6"/>
      <c r="CI1579" s="6"/>
      <c r="CJ1579" s="6"/>
      <c r="CK1579" s="123"/>
      <c r="CL1579" s="6"/>
      <c r="CM1579" s="6"/>
      <c r="CN1579" s="6"/>
      <c r="CO1579" s="138"/>
      <c r="CP1579" s="138"/>
      <c r="CQ1579" s="123"/>
      <c r="CR1579" s="6"/>
      <c r="CS1579" s="6"/>
      <c r="CT1579" s="139"/>
      <c r="CU1579" s="139"/>
      <c r="CV1579" s="76"/>
      <c r="CW1579" s="123"/>
      <c r="CX1579" s="6"/>
      <c r="DI1579" s="125"/>
      <c r="DJ1579" s="16"/>
      <c r="DM1579" s="16"/>
      <c r="DN1579" s="16"/>
      <c r="DO1579" s="125"/>
      <c r="DP1579" s="16"/>
      <c r="DQ1579" s="125"/>
      <c r="DZ1579" s="125"/>
      <c r="EA1579" s="142"/>
      <c r="EB1579" s="125"/>
      <c r="EC1579" s="16"/>
      <c r="ED1579" s="125"/>
      <c r="EE1579" s="125"/>
      <c r="EF1579" s="16"/>
      <c r="EG1579" s="125"/>
      <c r="EQ1579" s="125"/>
      <c r="ER1579" s="16"/>
      <c r="ES1579" s="123"/>
      <c r="ET1579" s="19"/>
      <c r="EU1579" s="139"/>
      <c r="EV1579" s="139"/>
      <c r="EW1579" s="123"/>
      <c r="EX1579" s="123"/>
      <c r="EY1579" s="123"/>
      <c r="EZ1579" s="123"/>
      <c r="FA1579" s="123"/>
      <c r="FB1579" s="123"/>
      <c r="FC1579" s="6"/>
      <c r="FD1579" s="123"/>
      <c r="FE1579" s="6"/>
      <c r="FF1579" s="123"/>
      <c r="FG1579" s="6"/>
      <c r="FH1579" s="6"/>
      <c r="FI1579" s="6"/>
      <c r="FJ1579" s="6"/>
      <c r="FK1579" s="123"/>
      <c r="FL1579" s="6"/>
      <c r="FM1579" s="6"/>
      <c r="FN1579" s="6"/>
      <c r="FO1579" s="138"/>
      <c r="FP1579" s="138"/>
      <c r="FQ1579" s="123"/>
      <c r="FR1579" s="6"/>
      <c r="FS1579" s="6"/>
      <c r="FT1579" s="139"/>
      <c r="FU1579" s="139"/>
      <c r="FV1579" s="76"/>
      <c r="FW1579" s="123"/>
      <c r="FX1579" s="6"/>
    </row>
    <row r="1580" spans="35:180">
      <c r="AI1580" s="125"/>
      <c r="AJ1580" s="16"/>
      <c r="AM1580" s="16"/>
      <c r="AN1580" s="16"/>
      <c r="AO1580" s="125"/>
      <c r="AP1580" s="16"/>
      <c r="AQ1580" s="125"/>
      <c r="AZ1580" s="125"/>
      <c r="BA1580" s="142"/>
      <c r="BB1580" s="125"/>
      <c r="BC1580" s="16"/>
      <c r="BD1580" s="125"/>
      <c r="BE1580" s="125"/>
      <c r="BF1580" s="16"/>
      <c r="BG1580" s="125"/>
      <c r="BQ1580" s="125"/>
      <c r="BR1580" s="16"/>
      <c r="BS1580" s="123"/>
      <c r="BT1580" s="19"/>
      <c r="BU1580" s="139"/>
      <c r="BV1580" s="139"/>
      <c r="BW1580" s="123"/>
      <c r="BX1580" s="123"/>
      <c r="BY1580" s="123"/>
      <c r="BZ1580" s="123"/>
      <c r="CA1580" s="123"/>
      <c r="CB1580" s="123"/>
      <c r="CC1580" s="6"/>
      <c r="CD1580" s="123"/>
      <c r="CE1580" s="6"/>
      <c r="CF1580" s="123"/>
      <c r="CG1580" s="6"/>
      <c r="CH1580" s="6"/>
      <c r="CI1580" s="6"/>
      <c r="CJ1580" s="6"/>
      <c r="CK1580" s="123"/>
      <c r="CL1580" s="6"/>
      <c r="CM1580" s="6"/>
      <c r="CN1580" s="6"/>
      <c r="CO1580" s="138"/>
      <c r="CP1580" s="138"/>
      <c r="CQ1580" s="123"/>
      <c r="CR1580" s="6"/>
      <c r="CS1580" s="6"/>
      <c r="CT1580" s="139"/>
      <c r="CU1580" s="139"/>
      <c r="CV1580" s="76"/>
      <c r="CW1580" s="123"/>
      <c r="CX1580" s="6"/>
      <c r="DI1580" s="125"/>
      <c r="DJ1580" s="16"/>
      <c r="DM1580" s="16"/>
      <c r="DN1580" s="16"/>
      <c r="DO1580" s="125"/>
      <c r="DP1580" s="16"/>
      <c r="DQ1580" s="125"/>
      <c r="DZ1580" s="125"/>
      <c r="EA1580" s="142"/>
      <c r="EB1580" s="125"/>
      <c r="EC1580" s="16"/>
      <c r="ED1580" s="125"/>
      <c r="EE1580" s="125"/>
      <c r="EF1580" s="16"/>
      <c r="EG1580" s="125"/>
      <c r="EQ1580" s="125"/>
      <c r="ER1580" s="16"/>
      <c r="ES1580" s="123"/>
      <c r="ET1580" s="19"/>
      <c r="EU1580" s="139"/>
      <c r="EV1580" s="139"/>
      <c r="EW1580" s="123"/>
      <c r="EX1580" s="123"/>
      <c r="EY1580" s="123"/>
      <c r="EZ1580" s="123"/>
      <c r="FA1580" s="123"/>
      <c r="FB1580" s="123"/>
      <c r="FC1580" s="6"/>
      <c r="FD1580" s="123"/>
      <c r="FE1580" s="6"/>
      <c r="FF1580" s="123"/>
      <c r="FG1580" s="6"/>
      <c r="FH1580" s="6"/>
      <c r="FI1580" s="6"/>
      <c r="FJ1580" s="6"/>
      <c r="FK1580" s="123"/>
      <c r="FL1580" s="6"/>
      <c r="FM1580" s="6"/>
      <c r="FN1580" s="6"/>
      <c r="FO1580" s="138"/>
      <c r="FP1580" s="138"/>
      <c r="FQ1580" s="123"/>
      <c r="FR1580" s="6"/>
      <c r="FS1580" s="6"/>
      <c r="FT1580" s="139"/>
      <c r="FU1580" s="139"/>
      <c r="FV1580" s="76"/>
      <c r="FW1580" s="123"/>
      <c r="FX1580" s="6"/>
    </row>
    <row r="1581" spans="35:180">
      <c r="AI1581" s="125"/>
      <c r="AJ1581" s="16"/>
      <c r="AM1581" s="16"/>
      <c r="AN1581" s="16"/>
      <c r="AO1581" s="125"/>
      <c r="AP1581" s="16"/>
      <c r="AQ1581" s="125"/>
      <c r="AZ1581" s="125"/>
      <c r="BA1581" s="142"/>
      <c r="BB1581" s="125"/>
      <c r="BC1581" s="16"/>
      <c r="BD1581" s="125"/>
      <c r="BE1581" s="125"/>
      <c r="BF1581" s="16"/>
      <c r="BG1581" s="125"/>
      <c r="BQ1581" s="125"/>
      <c r="BR1581" s="16"/>
      <c r="BS1581" s="123"/>
      <c r="BT1581" s="19"/>
      <c r="BU1581" s="139"/>
      <c r="BV1581" s="139"/>
      <c r="BW1581" s="123"/>
      <c r="BX1581" s="123"/>
      <c r="BY1581" s="123"/>
      <c r="BZ1581" s="123"/>
      <c r="CA1581" s="123"/>
      <c r="CB1581" s="123"/>
      <c r="CC1581" s="6"/>
      <c r="CD1581" s="123"/>
      <c r="CE1581" s="6"/>
      <c r="CF1581" s="123"/>
      <c r="CG1581" s="6"/>
      <c r="CH1581" s="6"/>
      <c r="CI1581" s="6"/>
      <c r="CJ1581" s="6"/>
      <c r="CK1581" s="123"/>
      <c r="CL1581" s="6"/>
      <c r="CM1581" s="6"/>
      <c r="CN1581" s="6"/>
      <c r="CO1581" s="138"/>
      <c r="CP1581" s="138"/>
      <c r="CQ1581" s="123"/>
      <c r="CR1581" s="6"/>
      <c r="CS1581" s="6"/>
      <c r="CT1581" s="139"/>
      <c r="CU1581" s="139"/>
      <c r="CV1581" s="76"/>
      <c r="CW1581" s="123"/>
      <c r="CX1581" s="6"/>
      <c r="DI1581" s="125"/>
      <c r="DJ1581" s="16"/>
      <c r="DM1581" s="16"/>
      <c r="DN1581" s="16"/>
      <c r="DO1581" s="125"/>
      <c r="DP1581" s="16"/>
      <c r="DQ1581" s="125"/>
      <c r="DZ1581" s="125"/>
      <c r="EA1581" s="142"/>
      <c r="EB1581" s="125"/>
      <c r="EC1581" s="16"/>
      <c r="ED1581" s="125"/>
      <c r="EE1581" s="125"/>
      <c r="EF1581" s="16"/>
      <c r="EG1581" s="125"/>
      <c r="EQ1581" s="125"/>
      <c r="ER1581" s="16"/>
      <c r="ES1581" s="123"/>
      <c r="ET1581" s="19"/>
      <c r="EU1581" s="139"/>
      <c r="EV1581" s="139"/>
      <c r="EW1581" s="123"/>
      <c r="EX1581" s="123"/>
      <c r="EY1581" s="123"/>
      <c r="EZ1581" s="123"/>
      <c r="FA1581" s="123"/>
      <c r="FB1581" s="123"/>
      <c r="FC1581" s="6"/>
      <c r="FD1581" s="123"/>
      <c r="FE1581" s="6"/>
      <c r="FF1581" s="123"/>
      <c r="FG1581" s="6"/>
      <c r="FH1581" s="6"/>
      <c r="FI1581" s="6"/>
      <c r="FJ1581" s="6"/>
      <c r="FK1581" s="123"/>
      <c r="FL1581" s="6"/>
      <c r="FM1581" s="6"/>
      <c r="FN1581" s="6"/>
      <c r="FO1581" s="138"/>
      <c r="FP1581" s="138"/>
      <c r="FQ1581" s="123"/>
      <c r="FR1581" s="6"/>
      <c r="FS1581" s="6"/>
      <c r="FT1581" s="139"/>
      <c r="FU1581" s="139"/>
      <c r="FV1581" s="76"/>
      <c r="FW1581" s="123"/>
      <c r="FX1581" s="6"/>
    </row>
    <row r="1582" spans="35:180">
      <c r="AI1582" s="125"/>
      <c r="AJ1582" s="16"/>
      <c r="AM1582" s="16"/>
      <c r="AN1582" s="16"/>
      <c r="AO1582" s="125"/>
      <c r="AP1582" s="16"/>
      <c r="AQ1582" s="125"/>
      <c r="AZ1582" s="125"/>
      <c r="BA1582" s="142"/>
      <c r="BB1582" s="125"/>
      <c r="BC1582" s="16"/>
      <c r="BD1582" s="125"/>
      <c r="BE1582" s="125"/>
      <c r="BF1582" s="16"/>
      <c r="BG1582" s="125"/>
      <c r="BQ1582" s="125"/>
      <c r="BR1582" s="16"/>
      <c r="BS1582" s="123"/>
      <c r="BT1582" s="19"/>
      <c r="BU1582" s="139"/>
      <c r="BV1582" s="139"/>
      <c r="BW1582" s="123"/>
      <c r="BX1582" s="123"/>
      <c r="BY1582" s="123"/>
      <c r="BZ1582" s="123"/>
      <c r="CA1582" s="123"/>
      <c r="CB1582" s="123"/>
      <c r="CC1582" s="6"/>
      <c r="CD1582" s="123"/>
      <c r="CE1582" s="6"/>
      <c r="CF1582" s="123"/>
      <c r="CG1582" s="6"/>
      <c r="CH1582" s="6"/>
      <c r="CI1582" s="6"/>
      <c r="CJ1582" s="6"/>
      <c r="CK1582" s="123"/>
      <c r="CL1582" s="6"/>
      <c r="CM1582" s="6"/>
      <c r="CN1582" s="6"/>
      <c r="CO1582" s="138"/>
      <c r="CP1582" s="138"/>
      <c r="CQ1582" s="123"/>
      <c r="CR1582" s="6"/>
      <c r="CS1582" s="6"/>
      <c r="CT1582" s="139"/>
      <c r="CU1582" s="139"/>
      <c r="CV1582" s="76"/>
      <c r="CW1582" s="123"/>
      <c r="CX1582" s="6"/>
      <c r="DI1582" s="125"/>
      <c r="DJ1582" s="16"/>
      <c r="DM1582" s="16"/>
      <c r="DN1582" s="16"/>
      <c r="DO1582" s="125"/>
      <c r="DP1582" s="16"/>
      <c r="DQ1582" s="125"/>
      <c r="DZ1582" s="125"/>
      <c r="EA1582" s="142"/>
      <c r="EB1582" s="125"/>
      <c r="EC1582" s="16"/>
      <c r="ED1582" s="125"/>
      <c r="EE1582" s="125"/>
      <c r="EF1582" s="16"/>
      <c r="EG1582" s="125"/>
      <c r="EQ1582" s="125"/>
      <c r="ER1582" s="16"/>
      <c r="ES1582" s="123"/>
      <c r="ET1582" s="19"/>
      <c r="EU1582" s="139"/>
      <c r="EV1582" s="139"/>
      <c r="EW1582" s="123"/>
      <c r="EX1582" s="123"/>
      <c r="EY1582" s="123"/>
      <c r="EZ1582" s="123"/>
      <c r="FA1582" s="123"/>
      <c r="FB1582" s="123"/>
      <c r="FC1582" s="6"/>
      <c r="FD1582" s="123"/>
      <c r="FE1582" s="6"/>
      <c r="FF1582" s="123"/>
      <c r="FG1582" s="6"/>
      <c r="FH1582" s="6"/>
      <c r="FI1582" s="6"/>
      <c r="FJ1582" s="6"/>
      <c r="FK1582" s="123"/>
      <c r="FL1582" s="6"/>
      <c r="FM1582" s="6"/>
      <c r="FN1582" s="6"/>
      <c r="FO1582" s="138"/>
      <c r="FP1582" s="138"/>
      <c r="FQ1582" s="123"/>
      <c r="FR1582" s="6"/>
      <c r="FS1582" s="6"/>
      <c r="FT1582" s="139"/>
      <c r="FU1582" s="139"/>
      <c r="FV1582" s="76"/>
      <c r="FW1582" s="123"/>
      <c r="FX1582" s="6"/>
    </row>
    <row r="1583" spans="35:180">
      <c r="AI1583" s="125"/>
      <c r="AJ1583" s="16"/>
      <c r="AM1583" s="16"/>
      <c r="AN1583" s="16"/>
      <c r="AO1583" s="125"/>
      <c r="AP1583" s="16"/>
      <c r="AQ1583" s="125"/>
      <c r="AZ1583" s="125"/>
      <c r="BA1583" s="142"/>
      <c r="BB1583" s="125"/>
      <c r="BC1583" s="16"/>
      <c r="BD1583" s="125"/>
      <c r="BE1583" s="125"/>
      <c r="BF1583" s="16"/>
      <c r="BG1583" s="125"/>
      <c r="BQ1583" s="125"/>
      <c r="BR1583" s="16"/>
      <c r="BS1583" s="123"/>
      <c r="BT1583" s="19"/>
      <c r="BU1583" s="139"/>
      <c r="BV1583" s="139"/>
      <c r="BW1583" s="123"/>
      <c r="BX1583" s="123"/>
      <c r="BY1583" s="123"/>
      <c r="BZ1583" s="123"/>
      <c r="CA1583" s="123"/>
      <c r="CB1583" s="123"/>
      <c r="CC1583" s="6"/>
      <c r="CD1583" s="123"/>
      <c r="CE1583" s="6"/>
      <c r="CF1583" s="123"/>
      <c r="CG1583" s="6"/>
      <c r="CH1583" s="6"/>
      <c r="CI1583" s="6"/>
      <c r="CJ1583" s="6"/>
      <c r="CK1583" s="123"/>
      <c r="CL1583" s="6"/>
      <c r="CM1583" s="6"/>
      <c r="CN1583" s="6"/>
      <c r="CO1583" s="138"/>
      <c r="CP1583" s="138"/>
      <c r="CQ1583" s="123"/>
      <c r="CR1583" s="6"/>
      <c r="CS1583" s="6"/>
      <c r="CT1583" s="139"/>
      <c r="CU1583" s="139"/>
      <c r="CV1583" s="76"/>
      <c r="CW1583" s="123"/>
      <c r="CX1583" s="6"/>
      <c r="DI1583" s="125"/>
      <c r="DJ1583" s="16"/>
      <c r="DM1583" s="16"/>
      <c r="DN1583" s="16"/>
      <c r="DO1583" s="125"/>
      <c r="DP1583" s="16"/>
      <c r="DQ1583" s="125"/>
      <c r="DZ1583" s="125"/>
      <c r="EA1583" s="142"/>
      <c r="EB1583" s="125"/>
      <c r="EC1583" s="16"/>
      <c r="ED1583" s="125"/>
      <c r="EE1583" s="125"/>
      <c r="EF1583" s="16"/>
      <c r="EG1583" s="125"/>
      <c r="EQ1583" s="125"/>
      <c r="ER1583" s="16"/>
      <c r="ES1583" s="123"/>
      <c r="ET1583" s="19"/>
      <c r="EU1583" s="139"/>
      <c r="EV1583" s="139"/>
      <c r="EW1583" s="123"/>
      <c r="EX1583" s="123"/>
      <c r="EY1583" s="123"/>
      <c r="EZ1583" s="123"/>
      <c r="FA1583" s="123"/>
      <c r="FB1583" s="123"/>
      <c r="FC1583" s="6"/>
      <c r="FD1583" s="123"/>
      <c r="FE1583" s="6"/>
      <c r="FF1583" s="123"/>
      <c r="FG1583" s="6"/>
      <c r="FH1583" s="6"/>
      <c r="FI1583" s="6"/>
      <c r="FJ1583" s="6"/>
      <c r="FK1583" s="123"/>
      <c r="FL1583" s="6"/>
      <c r="FM1583" s="6"/>
      <c r="FN1583" s="6"/>
      <c r="FO1583" s="138"/>
      <c r="FP1583" s="138"/>
      <c r="FQ1583" s="123"/>
      <c r="FR1583" s="6"/>
      <c r="FS1583" s="6"/>
      <c r="FT1583" s="139"/>
      <c r="FU1583" s="139"/>
      <c r="FV1583" s="76"/>
      <c r="FW1583" s="123"/>
      <c r="FX1583" s="6"/>
    </row>
    <row r="1584" spans="35:180">
      <c r="AI1584" s="125"/>
      <c r="AJ1584" s="16"/>
      <c r="AM1584" s="16"/>
      <c r="AN1584" s="16"/>
      <c r="AO1584" s="125"/>
      <c r="AP1584" s="16"/>
      <c r="AQ1584" s="125"/>
      <c r="AZ1584" s="125"/>
      <c r="BA1584" s="142"/>
      <c r="BB1584" s="125"/>
      <c r="BC1584" s="16"/>
      <c r="BD1584" s="125"/>
      <c r="BE1584" s="125"/>
      <c r="BF1584" s="16"/>
      <c r="BG1584" s="125"/>
      <c r="BQ1584" s="125"/>
      <c r="BR1584" s="16"/>
      <c r="BS1584" s="123"/>
      <c r="BT1584" s="19"/>
      <c r="BU1584" s="139"/>
      <c r="BV1584" s="139"/>
      <c r="BW1584" s="123"/>
      <c r="BX1584" s="123"/>
      <c r="BY1584" s="123"/>
      <c r="BZ1584" s="123"/>
      <c r="CA1584" s="123"/>
      <c r="CB1584" s="123"/>
      <c r="CC1584" s="6"/>
      <c r="CD1584" s="123"/>
      <c r="CE1584" s="6"/>
      <c r="CF1584" s="123"/>
      <c r="CG1584" s="6"/>
      <c r="CH1584" s="6"/>
      <c r="CI1584" s="6"/>
      <c r="CJ1584" s="6"/>
      <c r="CK1584" s="123"/>
      <c r="CL1584" s="6"/>
      <c r="CM1584" s="6"/>
      <c r="CN1584" s="6"/>
      <c r="CO1584" s="138"/>
      <c r="CP1584" s="138"/>
      <c r="CQ1584" s="123"/>
      <c r="CR1584" s="6"/>
      <c r="CS1584" s="6"/>
      <c r="CT1584" s="139"/>
      <c r="CU1584" s="139"/>
      <c r="CV1584" s="76"/>
      <c r="CW1584" s="123"/>
      <c r="CX1584" s="6"/>
      <c r="DI1584" s="125"/>
      <c r="DJ1584" s="16"/>
      <c r="DM1584" s="16"/>
      <c r="DN1584" s="16"/>
      <c r="DO1584" s="125"/>
      <c r="DP1584" s="16"/>
      <c r="DQ1584" s="125"/>
      <c r="DZ1584" s="125"/>
      <c r="EA1584" s="142"/>
      <c r="EB1584" s="125"/>
      <c r="EC1584" s="16"/>
      <c r="ED1584" s="125"/>
      <c r="EE1584" s="125"/>
      <c r="EF1584" s="16"/>
      <c r="EG1584" s="125"/>
      <c r="EQ1584" s="125"/>
      <c r="ER1584" s="16"/>
      <c r="ES1584" s="123"/>
      <c r="ET1584" s="19"/>
      <c r="EU1584" s="139"/>
      <c r="EV1584" s="139"/>
      <c r="EW1584" s="123"/>
      <c r="EX1584" s="123"/>
      <c r="EY1584" s="123"/>
      <c r="EZ1584" s="123"/>
      <c r="FA1584" s="123"/>
      <c r="FB1584" s="123"/>
      <c r="FC1584" s="6"/>
      <c r="FD1584" s="123"/>
      <c r="FE1584" s="6"/>
      <c r="FF1584" s="123"/>
      <c r="FG1584" s="6"/>
      <c r="FH1584" s="6"/>
      <c r="FI1584" s="6"/>
      <c r="FJ1584" s="6"/>
      <c r="FK1584" s="123"/>
      <c r="FL1584" s="6"/>
      <c r="FM1584" s="6"/>
      <c r="FN1584" s="6"/>
      <c r="FO1584" s="138"/>
      <c r="FP1584" s="138"/>
      <c r="FQ1584" s="123"/>
      <c r="FR1584" s="6"/>
      <c r="FS1584" s="6"/>
      <c r="FT1584" s="139"/>
      <c r="FU1584" s="139"/>
      <c r="FV1584" s="76"/>
      <c r="FW1584" s="123"/>
      <c r="FX1584" s="6"/>
    </row>
    <row r="1585" spans="35:180">
      <c r="AI1585" s="125"/>
      <c r="AJ1585" s="16"/>
      <c r="AM1585" s="16"/>
      <c r="AN1585" s="16"/>
      <c r="AO1585" s="125"/>
      <c r="AP1585" s="16"/>
      <c r="AQ1585" s="125"/>
      <c r="AZ1585" s="125"/>
      <c r="BA1585" s="142"/>
      <c r="BB1585" s="125"/>
      <c r="BC1585" s="16"/>
      <c r="BD1585" s="125"/>
      <c r="BE1585" s="125"/>
      <c r="BF1585" s="16"/>
      <c r="BG1585" s="125"/>
      <c r="BQ1585" s="125"/>
      <c r="BR1585" s="16"/>
      <c r="BS1585" s="123"/>
      <c r="BT1585" s="19"/>
      <c r="BU1585" s="139"/>
      <c r="BV1585" s="139"/>
      <c r="BW1585" s="123"/>
      <c r="BX1585" s="123"/>
      <c r="BY1585" s="123"/>
      <c r="BZ1585" s="123"/>
      <c r="CA1585" s="123"/>
      <c r="CB1585" s="123"/>
      <c r="CC1585" s="6"/>
      <c r="CD1585" s="123"/>
      <c r="CE1585" s="6"/>
      <c r="CF1585" s="123"/>
      <c r="CG1585" s="6"/>
      <c r="CH1585" s="6"/>
      <c r="CI1585" s="6"/>
      <c r="CJ1585" s="6"/>
      <c r="CK1585" s="123"/>
      <c r="CL1585" s="6"/>
      <c r="CM1585" s="6"/>
      <c r="CN1585" s="6"/>
      <c r="CO1585" s="138"/>
      <c r="CP1585" s="138"/>
      <c r="CQ1585" s="123"/>
      <c r="CR1585" s="6"/>
      <c r="CS1585" s="6"/>
      <c r="CT1585" s="139"/>
      <c r="CU1585" s="139"/>
      <c r="CV1585" s="76"/>
      <c r="CW1585" s="123"/>
      <c r="CX1585" s="6"/>
      <c r="DI1585" s="125"/>
      <c r="DJ1585" s="16"/>
      <c r="DM1585" s="16"/>
      <c r="DN1585" s="16"/>
      <c r="DO1585" s="125"/>
      <c r="DP1585" s="16"/>
      <c r="DQ1585" s="125"/>
      <c r="DZ1585" s="125"/>
      <c r="EA1585" s="142"/>
      <c r="EB1585" s="125"/>
      <c r="EC1585" s="16"/>
      <c r="ED1585" s="125"/>
      <c r="EE1585" s="125"/>
      <c r="EF1585" s="16"/>
      <c r="EG1585" s="125"/>
      <c r="EQ1585" s="125"/>
      <c r="ER1585" s="16"/>
      <c r="ES1585" s="123"/>
      <c r="ET1585" s="19"/>
      <c r="EU1585" s="139"/>
      <c r="EV1585" s="139"/>
      <c r="EW1585" s="123"/>
      <c r="EX1585" s="123"/>
      <c r="EY1585" s="123"/>
      <c r="EZ1585" s="123"/>
      <c r="FA1585" s="123"/>
      <c r="FB1585" s="123"/>
      <c r="FC1585" s="6"/>
      <c r="FD1585" s="123"/>
      <c r="FE1585" s="6"/>
      <c r="FF1585" s="123"/>
      <c r="FG1585" s="6"/>
      <c r="FH1585" s="6"/>
      <c r="FI1585" s="6"/>
      <c r="FJ1585" s="6"/>
      <c r="FK1585" s="123"/>
      <c r="FL1585" s="6"/>
      <c r="FM1585" s="6"/>
      <c r="FN1585" s="6"/>
      <c r="FO1585" s="138"/>
      <c r="FP1585" s="138"/>
      <c r="FQ1585" s="123"/>
      <c r="FR1585" s="6"/>
      <c r="FS1585" s="6"/>
      <c r="FT1585" s="139"/>
      <c r="FU1585" s="139"/>
      <c r="FV1585" s="76"/>
      <c r="FW1585" s="123"/>
      <c r="FX1585" s="6"/>
    </row>
    <row r="1586" spans="35:180">
      <c r="AI1586" s="125"/>
      <c r="AJ1586" s="16"/>
      <c r="AM1586" s="16"/>
      <c r="AN1586" s="16"/>
      <c r="AO1586" s="125"/>
      <c r="AP1586" s="16"/>
      <c r="AQ1586" s="125"/>
      <c r="AZ1586" s="125"/>
      <c r="BA1586" s="142"/>
      <c r="BB1586" s="125"/>
      <c r="BC1586" s="16"/>
      <c r="BD1586" s="125"/>
      <c r="BE1586" s="125"/>
      <c r="BF1586" s="16"/>
      <c r="BG1586" s="125"/>
      <c r="BQ1586" s="125"/>
      <c r="BR1586" s="16"/>
      <c r="BS1586" s="123"/>
      <c r="BT1586" s="19"/>
      <c r="BU1586" s="139"/>
      <c r="BV1586" s="139"/>
      <c r="BW1586" s="123"/>
      <c r="BX1586" s="123"/>
      <c r="BY1586" s="123"/>
      <c r="BZ1586" s="123"/>
      <c r="CA1586" s="123"/>
      <c r="CB1586" s="123"/>
      <c r="CC1586" s="6"/>
      <c r="CD1586" s="123"/>
      <c r="CE1586" s="6"/>
      <c r="CF1586" s="123"/>
      <c r="CG1586" s="6"/>
      <c r="CH1586" s="6"/>
      <c r="CI1586" s="6"/>
      <c r="CJ1586" s="6"/>
      <c r="CK1586" s="123"/>
      <c r="CL1586" s="6"/>
      <c r="CM1586" s="6"/>
      <c r="CN1586" s="6"/>
      <c r="CO1586" s="138"/>
      <c r="CP1586" s="138"/>
      <c r="CQ1586" s="123"/>
      <c r="CR1586" s="6"/>
      <c r="CS1586" s="6"/>
      <c r="CT1586" s="139"/>
      <c r="CU1586" s="139"/>
      <c r="CV1586" s="76"/>
      <c r="CW1586" s="123"/>
      <c r="CX1586" s="6"/>
      <c r="DI1586" s="125"/>
      <c r="DJ1586" s="16"/>
      <c r="DM1586" s="16"/>
      <c r="DN1586" s="16"/>
      <c r="DO1586" s="125"/>
      <c r="DP1586" s="16"/>
      <c r="DQ1586" s="125"/>
      <c r="DZ1586" s="125"/>
      <c r="EA1586" s="142"/>
      <c r="EB1586" s="125"/>
      <c r="EC1586" s="16"/>
      <c r="ED1586" s="125"/>
      <c r="EE1586" s="125"/>
      <c r="EF1586" s="16"/>
      <c r="EG1586" s="125"/>
      <c r="EQ1586" s="125"/>
      <c r="ER1586" s="16"/>
      <c r="ES1586" s="123"/>
      <c r="ET1586" s="19"/>
      <c r="EU1586" s="139"/>
      <c r="EV1586" s="139"/>
      <c r="EW1586" s="123"/>
      <c r="EX1586" s="123"/>
      <c r="EY1586" s="123"/>
      <c r="EZ1586" s="123"/>
      <c r="FA1586" s="123"/>
      <c r="FB1586" s="123"/>
      <c r="FC1586" s="6"/>
      <c r="FD1586" s="123"/>
      <c r="FE1586" s="6"/>
      <c r="FF1586" s="123"/>
      <c r="FG1586" s="6"/>
      <c r="FH1586" s="6"/>
      <c r="FI1586" s="6"/>
      <c r="FJ1586" s="6"/>
      <c r="FK1586" s="123"/>
      <c r="FL1586" s="6"/>
      <c r="FM1586" s="6"/>
      <c r="FN1586" s="6"/>
      <c r="FO1586" s="138"/>
      <c r="FP1586" s="138"/>
      <c r="FQ1586" s="123"/>
      <c r="FR1586" s="6"/>
      <c r="FS1586" s="6"/>
      <c r="FT1586" s="139"/>
      <c r="FU1586" s="139"/>
      <c r="FV1586" s="76"/>
      <c r="FW1586" s="123"/>
      <c r="FX1586" s="6"/>
    </row>
    <row r="1587" spans="35:180">
      <c r="AI1587" s="125"/>
      <c r="AJ1587" s="16"/>
      <c r="AM1587" s="16"/>
      <c r="AN1587" s="16"/>
      <c r="AO1587" s="125"/>
      <c r="AP1587" s="16"/>
      <c r="AQ1587" s="125"/>
      <c r="AZ1587" s="125"/>
      <c r="BA1587" s="142"/>
      <c r="BB1587" s="125"/>
      <c r="BC1587" s="16"/>
      <c r="BD1587" s="125"/>
      <c r="BE1587" s="125"/>
      <c r="BF1587" s="16"/>
      <c r="BG1587" s="125"/>
      <c r="BQ1587" s="125"/>
      <c r="BR1587" s="16"/>
      <c r="BS1587" s="123"/>
      <c r="BT1587" s="19"/>
      <c r="BU1587" s="139"/>
      <c r="BV1587" s="139"/>
      <c r="BW1587" s="123"/>
      <c r="BX1587" s="123"/>
      <c r="BY1587" s="123"/>
      <c r="BZ1587" s="123"/>
      <c r="CA1587" s="123"/>
      <c r="CB1587" s="123"/>
      <c r="CC1587" s="6"/>
      <c r="CD1587" s="123"/>
      <c r="CE1587" s="6"/>
      <c r="CF1587" s="123"/>
      <c r="CG1587" s="6"/>
      <c r="CH1587" s="6"/>
      <c r="CI1587" s="6"/>
      <c r="CJ1587" s="6"/>
      <c r="CK1587" s="123"/>
      <c r="CL1587" s="6"/>
      <c r="CM1587" s="6"/>
      <c r="CN1587" s="6"/>
      <c r="CO1587" s="138"/>
      <c r="CP1587" s="138"/>
      <c r="CQ1587" s="123"/>
      <c r="CR1587" s="6"/>
      <c r="CS1587" s="6"/>
      <c r="CT1587" s="139"/>
      <c r="CU1587" s="139"/>
      <c r="CV1587" s="76"/>
      <c r="CW1587" s="123"/>
      <c r="CX1587" s="6"/>
      <c r="DI1587" s="125"/>
      <c r="DJ1587" s="16"/>
      <c r="DM1587" s="16"/>
      <c r="DN1587" s="16"/>
      <c r="DO1587" s="125"/>
      <c r="DP1587" s="16"/>
      <c r="DQ1587" s="125"/>
      <c r="DZ1587" s="125"/>
      <c r="EA1587" s="142"/>
      <c r="EB1587" s="125"/>
      <c r="EC1587" s="16"/>
      <c r="ED1587" s="125"/>
      <c r="EE1587" s="125"/>
      <c r="EF1587" s="16"/>
      <c r="EG1587" s="125"/>
      <c r="EQ1587" s="125"/>
      <c r="ER1587" s="16"/>
      <c r="ES1587" s="123"/>
      <c r="ET1587" s="19"/>
      <c r="EU1587" s="139"/>
      <c r="EV1587" s="139"/>
      <c r="EW1587" s="123"/>
      <c r="EX1587" s="123"/>
      <c r="EY1587" s="123"/>
      <c r="EZ1587" s="123"/>
      <c r="FA1587" s="123"/>
      <c r="FB1587" s="123"/>
      <c r="FC1587" s="6"/>
      <c r="FD1587" s="123"/>
      <c r="FE1587" s="6"/>
      <c r="FF1587" s="123"/>
      <c r="FG1587" s="6"/>
      <c r="FH1587" s="6"/>
      <c r="FI1587" s="6"/>
      <c r="FJ1587" s="6"/>
      <c r="FK1587" s="123"/>
      <c r="FL1587" s="6"/>
      <c r="FM1587" s="6"/>
      <c r="FN1587" s="6"/>
      <c r="FO1587" s="138"/>
      <c r="FP1587" s="138"/>
      <c r="FQ1587" s="123"/>
      <c r="FR1587" s="6"/>
      <c r="FS1587" s="6"/>
      <c r="FT1587" s="139"/>
      <c r="FU1587" s="139"/>
      <c r="FV1587" s="76"/>
      <c r="FW1587" s="123"/>
      <c r="FX1587" s="6"/>
    </row>
    <row r="1588" spans="35:180">
      <c r="AI1588" s="125"/>
      <c r="AJ1588" s="16"/>
      <c r="AM1588" s="16"/>
      <c r="AN1588" s="16"/>
      <c r="AO1588" s="125"/>
      <c r="AP1588" s="16"/>
      <c r="AQ1588" s="125"/>
      <c r="AZ1588" s="125"/>
      <c r="BA1588" s="142"/>
      <c r="BB1588" s="125"/>
      <c r="BC1588" s="16"/>
      <c r="BD1588" s="125"/>
      <c r="BE1588" s="125"/>
      <c r="BF1588" s="16"/>
      <c r="BG1588" s="125"/>
      <c r="BQ1588" s="125"/>
      <c r="BR1588" s="16"/>
      <c r="BS1588" s="123"/>
      <c r="BT1588" s="19"/>
      <c r="BU1588" s="139"/>
      <c r="BV1588" s="139"/>
      <c r="BW1588" s="123"/>
      <c r="BX1588" s="123"/>
      <c r="BY1588" s="123"/>
      <c r="BZ1588" s="123"/>
      <c r="CA1588" s="123"/>
      <c r="CB1588" s="123"/>
      <c r="CC1588" s="6"/>
      <c r="CD1588" s="123"/>
      <c r="CE1588" s="6"/>
      <c r="CF1588" s="123"/>
      <c r="CG1588" s="6"/>
      <c r="CH1588" s="6"/>
      <c r="CI1588" s="6"/>
      <c r="CJ1588" s="6"/>
      <c r="CK1588" s="123"/>
      <c r="CL1588" s="6"/>
      <c r="CM1588" s="6"/>
      <c r="CN1588" s="6"/>
      <c r="CO1588" s="138"/>
      <c r="CP1588" s="138"/>
      <c r="CQ1588" s="123"/>
      <c r="CR1588" s="6"/>
      <c r="CS1588" s="6"/>
      <c r="CT1588" s="139"/>
      <c r="CU1588" s="139"/>
      <c r="CV1588" s="76"/>
      <c r="CW1588" s="123"/>
      <c r="CX1588" s="6"/>
      <c r="DI1588" s="125"/>
      <c r="DJ1588" s="16"/>
      <c r="DM1588" s="16"/>
      <c r="DN1588" s="16"/>
      <c r="DO1588" s="125"/>
      <c r="DP1588" s="16"/>
      <c r="DQ1588" s="125"/>
      <c r="DZ1588" s="125"/>
      <c r="EA1588" s="142"/>
      <c r="EB1588" s="125"/>
      <c r="EC1588" s="16"/>
      <c r="ED1588" s="125"/>
      <c r="EE1588" s="125"/>
      <c r="EF1588" s="16"/>
      <c r="EG1588" s="125"/>
      <c r="EQ1588" s="125"/>
      <c r="ER1588" s="16"/>
      <c r="ES1588" s="123"/>
      <c r="ET1588" s="19"/>
      <c r="EU1588" s="139"/>
      <c r="EV1588" s="139"/>
      <c r="EW1588" s="123"/>
      <c r="EX1588" s="123"/>
      <c r="EY1588" s="123"/>
      <c r="EZ1588" s="123"/>
      <c r="FA1588" s="123"/>
      <c r="FB1588" s="123"/>
      <c r="FC1588" s="6"/>
      <c r="FD1588" s="123"/>
      <c r="FE1588" s="6"/>
      <c r="FF1588" s="123"/>
      <c r="FG1588" s="6"/>
      <c r="FH1588" s="6"/>
      <c r="FI1588" s="6"/>
      <c r="FJ1588" s="6"/>
      <c r="FK1588" s="123"/>
      <c r="FL1588" s="6"/>
      <c r="FM1588" s="6"/>
      <c r="FN1588" s="6"/>
      <c r="FO1588" s="138"/>
      <c r="FP1588" s="138"/>
      <c r="FQ1588" s="123"/>
      <c r="FR1588" s="6"/>
      <c r="FS1588" s="6"/>
      <c r="FT1588" s="139"/>
      <c r="FU1588" s="139"/>
      <c r="FV1588" s="76"/>
      <c r="FW1588" s="123"/>
      <c r="FX1588" s="6"/>
    </row>
    <row r="1589" spans="35:180">
      <c r="AI1589" s="125"/>
      <c r="AJ1589" s="16"/>
      <c r="AM1589" s="16"/>
      <c r="AN1589" s="16"/>
      <c r="AO1589" s="125"/>
      <c r="AP1589" s="16"/>
      <c r="AQ1589" s="125"/>
      <c r="AZ1589" s="125"/>
      <c r="BA1589" s="142"/>
      <c r="BB1589" s="125"/>
      <c r="BC1589" s="16"/>
      <c r="BD1589" s="125"/>
      <c r="BE1589" s="125"/>
      <c r="BF1589" s="16"/>
      <c r="BG1589" s="125"/>
      <c r="BQ1589" s="125"/>
      <c r="BR1589" s="16"/>
      <c r="BS1589" s="123"/>
      <c r="BT1589" s="19"/>
      <c r="BU1589" s="139"/>
      <c r="BV1589" s="139"/>
      <c r="BW1589" s="123"/>
      <c r="BX1589" s="123"/>
      <c r="BY1589" s="123"/>
      <c r="BZ1589" s="123"/>
      <c r="CA1589" s="123"/>
      <c r="CB1589" s="123"/>
      <c r="CC1589" s="6"/>
      <c r="CD1589" s="123"/>
      <c r="CE1589" s="6"/>
      <c r="CF1589" s="123"/>
      <c r="CG1589" s="6"/>
      <c r="CH1589" s="6"/>
      <c r="CI1589" s="6"/>
      <c r="CJ1589" s="6"/>
      <c r="CK1589" s="123"/>
      <c r="CL1589" s="6"/>
      <c r="CM1589" s="6"/>
      <c r="CN1589" s="6"/>
      <c r="CO1589" s="138"/>
      <c r="CP1589" s="138"/>
      <c r="CQ1589" s="123"/>
      <c r="CR1589" s="6"/>
      <c r="CS1589" s="6"/>
      <c r="CT1589" s="139"/>
      <c r="CU1589" s="139"/>
      <c r="CV1589" s="76"/>
      <c r="CW1589" s="123"/>
      <c r="CX1589" s="6"/>
      <c r="DI1589" s="125"/>
      <c r="DJ1589" s="16"/>
      <c r="DM1589" s="16"/>
      <c r="DN1589" s="16"/>
      <c r="DO1589" s="125"/>
      <c r="DP1589" s="16"/>
      <c r="DQ1589" s="125"/>
      <c r="DZ1589" s="125"/>
      <c r="EA1589" s="142"/>
      <c r="EB1589" s="125"/>
      <c r="EC1589" s="16"/>
      <c r="ED1589" s="125"/>
      <c r="EE1589" s="125"/>
      <c r="EF1589" s="16"/>
      <c r="EG1589" s="125"/>
      <c r="EQ1589" s="125"/>
      <c r="ER1589" s="16"/>
      <c r="ES1589" s="123"/>
      <c r="ET1589" s="19"/>
      <c r="EU1589" s="139"/>
      <c r="EV1589" s="139"/>
      <c r="EW1589" s="123"/>
      <c r="EX1589" s="123"/>
      <c r="EY1589" s="123"/>
      <c r="EZ1589" s="123"/>
      <c r="FA1589" s="123"/>
      <c r="FB1589" s="123"/>
      <c r="FC1589" s="6"/>
      <c r="FD1589" s="123"/>
      <c r="FE1589" s="6"/>
      <c r="FF1589" s="123"/>
      <c r="FG1589" s="6"/>
      <c r="FH1589" s="6"/>
      <c r="FI1589" s="6"/>
      <c r="FJ1589" s="6"/>
      <c r="FK1589" s="123"/>
      <c r="FL1589" s="6"/>
      <c r="FM1589" s="6"/>
      <c r="FN1589" s="6"/>
      <c r="FO1589" s="138"/>
      <c r="FP1589" s="138"/>
      <c r="FQ1589" s="123"/>
      <c r="FR1589" s="6"/>
      <c r="FS1589" s="6"/>
      <c r="FT1589" s="139"/>
      <c r="FU1589" s="139"/>
      <c r="FV1589" s="76"/>
      <c r="FW1589" s="123"/>
      <c r="FX1589" s="6"/>
    </row>
    <row r="1590" spans="35:180">
      <c r="AI1590" s="125"/>
      <c r="AJ1590" s="16"/>
      <c r="AM1590" s="16"/>
      <c r="AN1590" s="16"/>
      <c r="AO1590" s="125"/>
      <c r="AP1590" s="16"/>
      <c r="AQ1590" s="125"/>
      <c r="AZ1590" s="125"/>
      <c r="BA1590" s="142"/>
      <c r="BB1590" s="125"/>
      <c r="BC1590" s="16"/>
      <c r="BD1590" s="125"/>
      <c r="BE1590" s="125"/>
      <c r="BF1590" s="16"/>
      <c r="BG1590" s="125"/>
      <c r="BQ1590" s="125"/>
      <c r="BR1590" s="16"/>
      <c r="BS1590" s="123"/>
      <c r="BT1590" s="19"/>
      <c r="BU1590" s="139"/>
      <c r="BV1590" s="139"/>
      <c r="BW1590" s="123"/>
      <c r="BX1590" s="123"/>
      <c r="BY1590" s="123"/>
      <c r="BZ1590" s="123"/>
      <c r="CA1590" s="123"/>
      <c r="CB1590" s="123"/>
      <c r="CC1590" s="6"/>
      <c r="CD1590" s="123"/>
      <c r="CE1590" s="6"/>
      <c r="CF1590" s="123"/>
      <c r="CG1590" s="6"/>
      <c r="CH1590" s="6"/>
      <c r="CI1590" s="6"/>
      <c r="CJ1590" s="6"/>
      <c r="CK1590" s="123"/>
      <c r="CL1590" s="6"/>
      <c r="CM1590" s="6"/>
      <c r="CN1590" s="6"/>
      <c r="CO1590" s="138"/>
      <c r="CP1590" s="138"/>
      <c r="CQ1590" s="123"/>
      <c r="CR1590" s="6"/>
      <c r="CS1590" s="6"/>
      <c r="CT1590" s="139"/>
      <c r="CU1590" s="139"/>
      <c r="CV1590" s="76"/>
      <c r="CW1590" s="123"/>
      <c r="CX1590" s="6"/>
      <c r="DI1590" s="125"/>
      <c r="DJ1590" s="16"/>
      <c r="DM1590" s="16"/>
      <c r="DN1590" s="16"/>
      <c r="DO1590" s="125"/>
      <c r="DP1590" s="16"/>
      <c r="DQ1590" s="125"/>
      <c r="DZ1590" s="125"/>
      <c r="EA1590" s="142"/>
      <c r="EB1590" s="125"/>
      <c r="EC1590" s="16"/>
      <c r="ED1590" s="125"/>
      <c r="EE1590" s="125"/>
      <c r="EF1590" s="16"/>
      <c r="EG1590" s="125"/>
      <c r="EQ1590" s="125"/>
      <c r="ER1590" s="16"/>
      <c r="ES1590" s="123"/>
      <c r="ET1590" s="19"/>
      <c r="EU1590" s="139"/>
      <c r="EV1590" s="139"/>
      <c r="EW1590" s="123"/>
      <c r="EX1590" s="123"/>
      <c r="EY1590" s="123"/>
      <c r="EZ1590" s="123"/>
      <c r="FA1590" s="123"/>
      <c r="FB1590" s="123"/>
      <c r="FC1590" s="6"/>
      <c r="FD1590" s="123"/>
      <c r="FE1590" s="6"/>
      <c r="FF1590" s="123"/>
      <c r="FG1590" s="6"/>
      <c r="FH1590" s="6"/>
      <c r="FI1590" s="6"/>
      <c r="FJ1590" s="6"/>
      <c r="FK1590" s="123"/>
      <c r="FL1590" s="6"/>
      <c r="FM1590" s="6"/>
      <c r="FN1590" s="6"/>
      <c r="FO1590" s="138"/>
      <c r="FP1590" s="138"/>
      <c r="FQ1590" s="123"/>
      <c r="FR1590" s="6"/>
      <c r="FS1590" s="6"/>
      <c r="FT1590" s="139"/>
      <c r="FU1590" s="139"/>
      <c r="FV1590" s="76"/>
      <c r="FW1590" s="123"/>
      <c r="FX1590" s="6"/>
    </row>
    <row r="1591" spans="35:180">
      <c r="AI1591" s="125"/>
      <c r="AJ1591" s="16"/>
      <c r="AM1591" s="16"/>
      <c r="AN1591" s="16"/>
      <c r="AO1591" s="125"/>
      <c r="AP1591" s="16"/>
      <c r="AQ1591" s="125"/>
      <c r="AZ1591" s="125"/>
      <c r="BA1591" s="142"/>
      <c r="BB1591" s="125"/>
      <c r="BC1591" s="16"/>
      <c r="BD1591" s="125"/>
      <c r="BE1591" s="125"/>
      <c r="BF1591" s="16"/>
      <c r="BG1591" s="125"/>
      <c r="BQ1591" s="125"/>
      <c r="BR1591" s="16"/>
      <c r="BS1591" s="123"/>
      <c r="BT1591" s="19"/>
      <c r="BU1591" s="139"/>
      <c r="BV1591" s="139"/>
      <c r="BW1591" s="123"/>
      <c r="BX1591" s="123"/>
      <c r="BY1591" s="123"/>
      <c r="BZ1591" s="123"/>
      <c r="CA1591" s="123"/>
      <c r="CB1591" s="123"/>
      <c r="CC1591" s="6"/>
      <c r="CD1591" s="123"/>
      <c r="CE1591" s="6"/>
      <c r="CF1591" s="123"/>
      <c r="CG1591" s="6"/>
      <c r="CH1591" s="6"/>
      <c r="CI1591" s="6"/>
      <c r="CJ1591" s="6"/>
      <c r="CK1591" s="123"/>
      <c r="CL1591" s="6"/>
      <c r="CM1591" s="6"/>
      <c r="CN1591" s="6"/>
      <c r="CO1591" s="138"/>
      <c r="CP1591" s="138"/>
      <c r="CQ1591" s="123"/>
      <c r="CR1591" s="6"/>
      <c r="CS1591" s="6"/>
      <c r="CT1591" s="139"/>
      <c r="CU1591" s="139"/>
      <c r="CV1591" s="76"/>
      <c r="CW1591" s="123"/>
      <c r="CX1591" s="6"/>
      <c r="DI1591" s="125"/>
      <c r="DJ1591" s="16"/>
      <c r="DM1591" s="16"/>
      <c r="DN1591" s="16"/>
      <c r="DO1591" s="125"/>
      <c r="DP1591" s="16"/>
      <c r="DQ1591" s="125"/>
      <c r="DZ1591" s="125"/>
      <c r="EA1591" s="142"/>
      <c r="EB1591" s="125"/>
      <c r="EC1591" s="16"/>
      <c r="ED1591" s="125"/>
      <c r="EE1591" s="125"/>
      <c r="EF1591" s="16"/>
      <c r="EG1591" s="125"/>
      <c r="EQ1591" s="125"/>
      <c r="ER1591" s="16"/>
      <c r="ES1591" s="123"/>
      <c r="ET1591" s="19"/>
      <c r="EU1591" s="139"/>
      <c r="EV1591" s="139"/>
      <c r="EW1591" s="123"/>
      <c r="EX1591" s="123"/>
      <c r="EY1591" s="123"/>
      <c r="EZ1591" s="123"/>
      <c r="FA1591" s="123"/>
      <c r="FB1591" s="123"/>
      <c r="FC1591" s="6"/>
      <c r="FD1591" s="123"/>
      <c r="FE1591" s="6"/>
      <c r="FF1591" s="123"/>
      <c r="FG1591" s="6"/>
      <c r="FH1591" s="6"/>
      <c r="FI1591" s="6"/>
      <c r="FJ1591" s="6"/>
      <c r="FK1591" s="123"/>
      <c r="FL1591" s="6"/>
      <c r="FM1591" s="6"/>
      <c r="FN1591" s="6"/>
      <c r="FO1591" s="138"/>
      <c r="FP1591" s="138"/>
      <c r="FQ1591" s="123"/>
      <c r="FR1591" s="6"/>
      <c r="FS1591" s="6"/>
      <c r="FT1591" s="139"/>
      <c r="FU1591" s="139"/>
      <c r="FV1591" s="76"/>
      <c r="FW1591" s="123"/>
      <c r="FX1591" s="6"/>
    </row>
    <row r="1592" spans="35:180">
      <c r="AI1592" s="125"/>
      <c r="AJ1592" s="16"/>
      <c r="AM1592" s="16"/>
      <c r="AN1592" s="16"/>
      <c r="AO1592" s="125"/>
      <c r="AP1592" s="16"/>
      <c r="AQ1592" s="125"/>
      <c r="AZ1592" s="125"/>
      <c r="BA1592" s="142"/>
      <c r="BB1592" s="125"/>
      <c r="BC1592" s="16"/>
      <c r="BD1592" s="125"/>
      <c r="BE1592" s="125"/>
      <c r="BF1592" s="16"/>
      <c r="BG1592" s="125"/>
      <c r="BQ1592" s="125"/>
      <c r="BR1592" s="16"/>
      <c r="BS1592" s="123"/>
      <c r="BT1592" s="19"/>
      <c r="BU1592" s="139"/>
      <c r="BV1592" s="139"/>
      <c r="BW1592" s="123"/>
      <c r="BX1592" s="123"/>
      <c r="BY1592" s="123"/>
      <c r="BZ1592" s="123"/>
      <c r="CA1592" s="123"/>
      <c r="CB1592" s="123"/>
      <c r="CC1592" s="6"/>
      <c r="CD1592" s="123"/>
      <c r="CE1592" s="6"/>
      <c r="CF1592" s="123"/>
      <c r="CG1592" s="6"/>
      <c r="CH1592" s="6"/>
      <c r="CI1592" s="6"/>
      <c r="CJ1592" s="6"/>
      <c r="CK1592" s="123"/>
      <c r="CL1592" s="6"/>
      <c r="CM1592" s="6"/>
      <c r="CN1592" s="6"/>
      <c r="CO1592" s="138"/>
      <c r="CP1592" s="138"/>
      <c r="CQ1592" s="123"/>
      <c r="CR1592" s="6"/>
      <c r="CS1592" s="6"/>
      <c r="CT1592" s="139"/>
      <c r="CU1592" s="139"/>
      <c r="CV1592" s="76"/>
      <c r="CW1592" s="123"/>
      <c r="CX1592" s="6"/>
      <c r="DI1592" s="125"/>
      <c r="DJ1592" s="16"/>
      <c r="DM1592" s="16"/>
      <c r="DN1592" s="16"/>
      <c r="DO1592" s="125"/>
      <c r="DP1592" s="16"/>
      <c r="DQ1592" s="125"/>
      <c r="DZ1592" s="125"/>
      <c r="EA1592" s="142"/>
      <c r="EB1592" s="125"/>
      <c r="EC1592" s="16"/>
      <c r="ED1592" s="125"/>
      <c r="EE1592" s="125"/>
      <c r="EF1592" s="16"/>
      <c r="EG1592" s="125"/>
      <c r="EQ1592" s="125"/>
      <c r="ER1592" s="16"/>
      <c r="ES1592" s="123"/>
      <c r="ET1592" s="19"/>
      <c r="EU1592" s="139"/>
      <c r="EV1592" s="139"/>
      <c r="EW1592" s="123"/>
      <c r="EX1592" s="123"/>
      <c r="EY1592" s="123"/>
      <c r="EZ1592" s="123"/>
      <c r="FA1592" s="123"/>
      <c r="FB1592" s="123"/>
      <c r="FC1592" s="6"/>
      <c r="FD1592" s="123"/>
      <c r="FE1592" s="6"/>
      <c r="FF1592" s="123"/>
      <c r="FG1592" s="6"/>
      <c r="FH1592" s="6"/>
      <c r="FI1592" s="6"/>
      <c r="FJ1592" s="6"/>
      <c r="FK1592" s="123"/>
      <c r="FL1592" s="6"/>
      <c r="FM1592" s="6"/>
      <c r="FN1592" s="6"/>
      <c r="FO1592" s="138"/>
      <c r="FP1592" s="138"/>
      <c r="FQ1592" s="123"/>
      <c r="FR1592" s="6"/>
      <c r="FS1592" s="6"/>
      <c r="FT1592" s="139"/>
      <c r="FU1592" s="139"/>
      <c r="FV1592" s="76"/>
      <c r="FW1592" s="123"/>
      <c r="FX1592" s="6"/>
    </row>
    <row r="1593" spans="35:180">
      <c r="AI1593" s="125"/>
      <c r="AJ1593" s="16"/>
      <c r="AM1593" s="16"/>
      <c r="AN1593" s="16"/>
      <c r="AO1593" s="125"/>
      <c r="AP1593" s="16"/>
      <c r="AQ1593" s="125"/>
      <c r="AZ1593" s="125"/>
      <c r="BA1593" s="142"/>
      <c r="BB1593" s="125"/>
      <c r="BC1593" s="16"/>
      <c r="BD1593" s="125"/>
      <c r="BE1593" s="125"/>
      <c r="BF1593" s="16"/>
      <c r="BG1593" s="125"/>
      <c r="BQ1593" s="125"/>
      <c r="BR1593" s="16"/>
      <c r="BS1593" s="123"/>
      <c r="BT1593" s="19"/>
      <c r="BU1593" s="139"/>
      <c r="BV1593" s="139"/>
      <c r="BW1593" s="123"/>
      <c r="BX1593" s="123"/>
      <c r="BY1593" s="123"/>
      <c r="BZ1593" s="123"/>
      <c r="CA1593" s="123"/>
      <c r="CB1593" s="123"/>
      <c r="CC1593" s="6"/>
      <c r="CD1593" s="123"/>
      <c r="CE1593" s="6"/>
      <c r="CF1593" s="123"/>
      <c r="CG1593" s="6"/>
      <c r="CH1593" s="6"/>
      <c r="CI1593" s="6"/>
      <c r="CJ1593" s="6"/>
      <c r="CK1593" s="123"/>
      <c r="CL1593" s="6"/>
      <c r="CM1593" s="6"/>
      <c r="CN1593" s="6"/>
      <c r="CO1593" s="138"/>
      <c r="CP1593" s="138"/>
      <c r="CQ1593" s="123"/>
      <c r="CR1593" s="6"/>
      <c r="CS1593" s="6"/>
      <c r="CT1593" s="139"/>
      <c r="CU1593" s="139"/>
      <c r="CV1593" s="76"/>
      <c r="CW1593" s="123"/>
      <c r="CX1593" s="6"/>
      <c r="DI1593" s="125"/>
      <c r="DJ1593" s="16"/>
      <c r="DM1593" s="16"/>
      <c r="DN1593" s="16"/>
      <c r="DO1593" s="125"/>
      <c r="DP1593" s="16"/>
      <c r="DQ1593" s="125"/>
      <c r="DZ1593" s="125"/>
      <c r="EA1593" s="142"/>
      <c r="EB1593" s="125"/>
      <c r="EC1593" s="16"/>
      <c r="ED1593" s="125"/>
      <c r="EE1593" s="125"/>
      <c r="EF1593" s="16"/>
      <c r="EG1593" s="125"/>
      <c r="EQ1593" s="125"/>
      <c r="ER1593" s="16"/>
      <c r="ES1593" s="123"/>
      <c r="ET1593" s="19"/>
      <c r="EU1593" s="139"/>
      <c r="EV1593" s="139"/>
      <c r="EW1593" s="123"/>
      <c r="EX1593" s="123"/>
      <c r="EY1593" s="123"/>
      <c r="EZ1593" s="123"/>
      <c r="FA1593" s="123"/>
      <c r="FB1593" s="123"/>
      <c r="FC1593" s="6"/>
      <c r="FD1593" s="123"/>
      <c r="FE1593" s="6"/>
      <c r="FF1593" s="123"/>
      <c r="FG1593" s="6"/>
      <c r="FH1593" s="6"/>
      <c r="FI1593" s="6"/>
      <c r="FJ1593" s="6"/>
      <c r="FK1593" s="123"/>
      <c r="FL1593" s="6"/>
      <c r="FM1593" s="6"/>
      <c r="FN1593" s="6"/>
      <c r="FO1593" s="138"/>
      <c r="FP1593" s="138"/>
      <c r="FQ1593" s="123"/>
      <c r="FR1593" s="6"/>
      <c r="FS1593" s="6"/>
      <c r="FT1593" s="139"/>
      <c r="FU1593" s="139"/>
      <c r="FV1593" s="76"/>
      <c r="FW1593" s="123"/>
      <c r="FX1593" s="6"/>
    </row>
    <row r="1594" spans="35:180">
      <c r="AI1594" s="125"/>
      <c r="AJ1594" s="16"/>
      <c r="AM1594" s="16"/>
      <c r="AN1594" s="16"/>
      <c r="AO1594" s="125"/>
      <c r="AP1594" s="16"/>
      <c r="AQ1594" s="125"/>
      <c r="AZ1594" s="125"/>
      <c r="BA1594" s="142"/>
      <c r="BB1594" s="125"/>
      <c r="BC1594" s="16"/>
      <c r="BD1594" s="125"/>
      <c r="BE1594" s="125"/>
      <c r="BF1594" s="16"/>
      <c r="BG1594" s="125"/>
      <c r="BQ1594" s="125"/>
      <c r="BR1594" s="16"/>
      <c r="BS1594" s="123"/>
      <c r="BT1594" s="19"/>
      <c r="BU1594" s="139"/>
      <c r="BV1594" s="139"/>
      <c r="BW1594" s="123"/>
      <c r="BX1594" s="123"/>
      <c r="BY1594" s="123"/>
      <c r="BZ1594" s="123"/>
      <c r="CA1594" s="123"/>
      <c r="CB1594" s="123"/>
      <c r="CC1594" s="6"/>
      <c r="CD1594" s="123"/>
      <c r="CE1594" s="6"/>
      <c r="CF1594" s="123"/>
      <c r="CG1594" s="6"/>
      <c r="CH1594" s="6"/>
      <c r="CI1594" s="6"/>
      <c r="CJ1594" s="6"/>
      <c r="CK1594" s="123"/>
      <c r="CL1594" s="6"/>
      <c r="CM1594" s="6"/>
      <c r="CN1594" s="6"/>
      <c r="CO1594" s="138"/>
      <c r="CP1594" s="138"/>
      <c r="CQ1594" s="123"/>
      <c r="CR1594" s="6"/>
      <c r="CS1594" s="6"/>
      <c r="CT1594" s="139"/>
      <c r="CU1594" s="139"/>
      <c r="CV1594" s="76"/>
      <c r="CW1594" s="123"/>
      <c r="CX1594" s="6"/>
      <c r="DI1594" s="125"/>
      <c r="DJ1594" s="16"/>
      <c r="DM1594" s="16"/>
      <c r="DN1594" s="16"/>
      <c r="DO1594" s="125"/>
      <c r="DP1594" s="16"/>
      <c r="DQ1594" s="125"/>
      <c r="DZ1594" s="125"/>
      <c r="EA1594" s="142"/>
      <c r="EB1594" s="125"/>
      <c r="EC1594" s="16"/>
      <c r="ED1594" s="125"/>
      <c r="EE1594" s="125"/>
      <c r="EF1594" s="16"/>
      <c r="EG1594" s="125"/>
      <c r="EQ1594" s="125"/>
      <c r="ER1594" s="16"/>
      <c r="ES1594" s="123"/>
      <c r="ET1594" s="19"/>
      <c r="EU1594" s="139"/>
      <c r="EV1594" s="139"/>
      <c r="EW1594" s="123"/>
      <c r="EX1594" s="123"/>
      <c r="EY1594" s="123"/>
      <c r="EZ1594" s="123"/>
      <c r="FA1594" s="123"/>
      <c r="FB1594" s="123"/>
      <c r="FC1594" s="6"/>
      <c r="FD1594" s="123"/>
      <c r="FE1594" s="6"/>
      <c r="FF1594" s="123"/>
      <c r="FG1594" s="6"/>
      <c r="FH1594" s="6"/>
      <c r="FI1594" s="6"/>
      <c r="FJ1594" s="6"/>
      <c r="FK1594" s="123"/>
      <c r="FL1594" s="6"/>
      <c r="FM1594" s="6"/>
      <c r="FN1594" s="6"/>
      <c r="FO1594" s="138"/>
      <c r="FP1594" s="138"/>
      <c r="FQ1594" s="123"/>
      <c r="FR1594" s="6"/>
      <c r="FS1594" s="6"/>
      <c r="FT1594" s="139"/>
      <c r="FU1594" s="139"/>
      <c r="FV1594" s="76"/>
      <c r="FW1594" s="123"/>
      <c r="FX1594" s="6"/>
    </row>
    <row r="1595" spans="35:180">
      <c r="AI1595" s="125"/>
      <c r="AJ1595" s="16"/>
      <c r="AM1595" s="16"/>
      <c r="AN1595" s="16"/>
      <c r="AO1595" s="125"/>
      <c r="AP1595" s="16"/>
      <c r="AQ1595" s="125"/>
      <c r="AZ1595" s="125"/>
      <c r="BA1595" s="142"/>
      <c r="BB1595" s="125"/>
      <c r="BC1595" s="16"/>
      <c r="BD1595" s="125"/>
      <c r="BE1595" s="125"/>
      <c r="BF1595" s="16"/>
      <c r="BG1595" s="125"/>
      <c r="BQ1595" s="125"/>
      <c r="BR1595" s="16"/>
      <c r="BS1595" s="123"/>
      <c r="BT1595" s="19"/>
      <c r="BU1595" s="139"/>
      <c r="BV1595" s="139"/>
      <c r="BW1595" s="123"/>
      <c r="BX1595" s="123"/>
      <c r="BY1595" s="123"/>
      <c r="BZ1595" s="123"/>
      <c r="CA1595" s="123"/>
      <c r="CB1595" s="123"/>
      <c r="CC1595" s="6"/>
      <c r="CD1595" s="123"/>
      <c r="CE1595" s="6"/>
      <c r="CF1595" s="123"/>
      <c r="CG1595" s="6"/>
      <c r="CH1595" s="6"/>
      <c r="CI1595" s="6"/>
      <c r="CJ1595" s="6"/>
      <c r="CK1595" s="123"/>
      <c r="CL1595" s="6"/>
      <c r="CM1595" s="6"/>
      <c r="CN1595" s="6"/>
      <c r="CO1595" s="138"/>
      <c r="CP1595" s="138"/>
      <c r="CQ1595" s="123"/>
      <c r="CR1595" s="6"/>
      <c r="CS1595" s="6"/>
      <c r="CT1595" s="139"/>
      <c r="CU1595" s="139"/>
      <c r="CV1595" s="76"/>
      <c r="CW1595" s="123"/>
      <c r="CX1595" s="6"/>
      <c r="DI1595" s="125"/>
      <c r="DJ1595" s="16"/>
      <c r="DM1595" s="16"/>
      <c r="DN1595" s="16"/>
      <c r="DO1595" s="125"/>
      <c r="DP1595" s="16"/>
      <c r="DQ1595" s="125"/>
      <c r="DZ1595" s="125"/>
      <c r="EA1595" s="142"/>
      <c r="EB1595" s="125"/>
      <c r="EC1595" s="16"/>
      <c r="ED1595" s="125"/>
      <c r="EE1595" s="125"/>
      <c r="EF1595" s="16"/>
      <c r="EG1595" s="125"/>
      <c r="EQ1595" s="125"/>
      <c r="ER1595" s="16"/>
      <c r="ES1595" s="123"/>
      <c r="ET1595" s="19"/>
      <c r="EU1595" s="139"/>
      <c r="EV1595" s="139"/>
      <c r="EW1595" s="123"/>
      <c r="EX1595" s="123"/>
      <c r="EY1595" s="123"/>
      <c r="EZ1595" s="123"/>
      <c r="FA1595" s="123"/>
      <c r="FB1595" s="123"/>
      <c r="FC1595" s="6"/>
      <c r="FD1595" s="123"/>
      <c r="FE1595" s="6"/>
      <c r="FF1595" s="123"/>
      <c r="FG1595" s="6"/>
      <c r="FH1595" s="6"/>
      <c r="FI1595" s="6"/>
      <c r="FJ1595" s="6"/>
      <c r="FK1595" s="123"/>
      <c r="FL1595" s="6"/>
      <c r="FM1595" s="6"/>
      <c r="FN1595" s="6"/>
      <c r="FO1595" s="138"/>
      <c r="FP1595" s="138"/>
      <c r="FQ1595" s="123"/>
      <c r="FR1595" s="6"/>
      <c r="FS1595" s="6"/>
      <c r="FT1595" s="139"/>
      <c r="FU1595" s="139"/>
      <c r="FV1595" s="76"/>
      <c r="FW1595" s="123"/>
      <c r="FX1595" s="6"/>
    </row>
    <row r="1596" spans="35:180">
      <c r="AI1596" s="125"/>
      <c r="AJ1596" s="16"/>
      <c r="AM1596" s="16"/>
      <c r="AN1596" s="16"/>
      <c r="AO1596" s="125"/>
      <c r="AP1596" s="16"/>
      <c r="AQ1596" s="125"/>
      <c r="AZ1596" s="125"/>
      <c r="BA1596" s="142"/>
      <c r="BB1596" s="125"/>
      <c r="BC1596" s="16"/>
      <c r="BD1596" s="125"/>
      <c r="BE1596" s="125"/>
      <c r="BF1596" s="16"/>
      <c r="BG1596" s="125"/>
      <c r="BQ1596" s="125"/>
      <c r="BR1596" s="16"/>
      <c r="BS1596" s="123"/>
      <c r="BT1596" s="19"/>
      <c r="BU1596" s="139"/>
      <c r="BV1596" s="139"/>
      <c r="BW1596" s="123"/>
      <c r="BX1596" s="123"/>
      <c r="BY1596" s="123"/>
      <c r="BZ1596" s="123"/>
      <c r="CA1596" s="123"/>
      <c r="CB1596" s="123"/>
      <c r="CC1596" s="6"/>
      <c r="CD1596" s="123"/>
      <c r="CE1596" s="6"/>
      <c r="CF1596" s="123"/>
      <c r="CG1596" s="6"/>
      <c r="CH1596" s="6"/>
      <c r="CI1596" s="6"/>
      <c r="CJ1596" s="6"/>
      <c r="CK1596" s="123"/>
      <c r="CL1596" s="6"/>
      <c r="CM1596" s="6"/>
      <c r="CN1596" s="6"/>
      <c r="CO1596" s="138"/>
      <c r="CP1596" s="138"/>
      <c r="CQ1596" s="123"/>
      <c r="CR1596" s="6"/>
      <c r="CS1596" s="6"/>
      <c r="CT1596" s="139"/>
      <c r="CU1596" s="139"/>
      <c r="CV1596" s="76"/>
      <c r="CW1596" s="123"/>
      <c r="CX1596" s="6"/>
      <c r="DI1596" s="125"/>
      <c r="DJ1596" s="16"/>
      <c r="DM1596" s="16"/>
      <c r="DN1596" s="16"/>
      <c r="DO1596" s="125"/>
      <c r="DP1596" s="16"/>
      <c r="DQ1596" s="125"/>
      <c r="DZ1596" s="125"/>
      <c r="EA1596" s="142"/>
      <c r="EB1596" s="125"/>
      <c r="EC1596" s="16"/>
      <c r="ED1596" s="125"/>
      <c r="EE1596" s="125"/>
      <c r="EF1596" s="16"/>
      <c r="EG1596" s="125"/>
      <c r="EQ1596" s="125"/>
      <c r="ER1596" s="16"/>
      <c r="ES1596" s="123"/>
      <c r="ET1596" s="19"/>
      <c r="EU1596" s="139"/>
      <c r="EV1596" s="139"/>
      <c r="EW1596" s="123"/>
      <c r="EX1596" s="123"/>
      <c r="EY1596" s="123"/>
      <c r="EZ1596" s="123"/>
      <c r="FA1596" s="123"/>
      <c r="FB1596" s="123"/>
      <c r="FC1596" s="6"/>
      <c r="FD1596" s="123"/>
      <c r="FE1596" s="6"/>
      <c r="FF1596" s="123"/>
      <c r="FG1596" s="6"/>
      <c r="FH1596" s="6"/>
      <c r="FI1596" s="6"/>
      <c r="FJ1596" s="6"/>
      <c r="FK1596" s="123"/>
      <c r="FL1596" s="6"/>
      <c r="FM1596" s="6"/>
      <c r="FN1596" s="6"/>
      <c r="FO1596" s="138"/>
      <c r="FP1596" s="138"/>
      <c r="FQ1596" s="123"/>
      <c r="FR1596" s="6"/>
      <c r="FS1596" s="6"/>
      <c r="FT1596" s="139"/>
      <c r="FU1596" s="139"/>
      <c r="FV1596" s="76"/>
      <c r="FW1596" s="123"/>
      <c r="FX1596" s="6"/>
    </row>
    <row r="1597" spans="35:180">
      <c r="AI1597" s="125"/>
      <c r="AJ1597" s="16"/>
      <c r="AM1597" s="16"/>
      <c r="AN1597" s="16"/>
      <c r="AO1597" s="125"/>
      <c r="AP1597" s="16"/>
      <c r="AQ1597" s="125"/>
      <c r="AZ1597" s="125"/>
      <c r="BA1597" s="142"/>
      <c r="BB1597" s="125"/>
      <c r="BC1597" s="16"/>
      <c r="BD1597" s="125"/>
      <c r="BE1597" s="125"/>
      <c r="BF1597" s="16"/>
      <c r="BG1597" s="125"/>
      <c r="BQ1597" s="125"/>
      <c r="BR1597" s="16"/>
      <c r="BS1597" s="123"/>
      <c r="BT1597" s="19"/>
      <c r="BU1597" s="139"/>
      <c r="BV1597" s="139"/>
      <c r="BW1597" s="123"/>
      <c r="BX1597" s="123"/>
      <c r="BY1597" s="123"/>
      <c r="BZ1597" s="123"/>
      <c r="CA1597" s="123"/>
      <c r="CB1597" s="123"/>
      <c r="CC1597" s="6"/>
      <c r="CD1597" s="123"/>
      <c r="CE1597" s="6"/>
      <c r="CF1597" s="123"/>
      <c r="CG1597" s="6"/>
      <c r="CH1597" s="6"/>
      <c r="CI1597" s="6"/>
      <c r="CJ1597" s="6"/>
      <c r="CK1597" s="123"/>
      <c r="CL1597" s="6"/>
      <c r="CM1597" s="6"/>
      <c r="CN1597" s="6"/>
      <c r="CO1597" s="138"/>
      <c r="CP1597" s="138"/>
      <c r="CQ1597" s="123"/>
      <c r="CR1597" s="6"/>
      <c r="CS1597" s="6"/>
      <c r="CT1597" s="139"/>
      <c r="CU1597" s="139"/>
      <c r="CV1597" s="76"/>
      <c r="CW1597" s="123"/>
      <c r="CX1597" s="6"/>
      <c r="DI1597" s="125"/>
      <c r="DJ1597" s="16"/>
      <c r="DM1597" s="16"/>
      <c r="DN1597" s="16"/>
      <c r="DO1597" s="125"/>
      <c r="DP1597" s="16"/>
      <c r="DQ1597" s="125"/>
      <c r="DZ1597" s="125"/>
      <c r="EA1597" s="142"/>
      <c r="EB1597" s="125"/>
      <c r="EC1597" s="16"/>
      <c r="ED1597" s="125"/>
      <c r="EE1597" s="125"/>
      <c r="EF1597" s="16"/>
      <c r="EG1597" s="125"/>
      <c r="EQ1597" s="125"/>
      <c r="ER1597" s="16"/>
      <c r="ES1597" s="123"/>
      <c r="ET1597" s="19"/>
      <c r="EU1597" s="139"/>
      <c r="EV1597" s="139"/>
      <c r="EW1597" s="123"/>
      <c r="EX1597" s="123"/>
      <c r="EY1597" s="123"/>
      <c r="EZ1597" s="123"/>
      <c r="FA1597" s="123"/>
      <c r="FB1597" s="123"/>
      <c r="FC1597" s="6"/>
      <c r="FD1597" s="123"/>
      <c r="FE1597" s="6"/>
      <c r="FF1597" s="123"/>
      <c r="FG1597" s="6"/>
      <c r="FH1597" s="6"/>
      <c r="FI1597" s="6"/>
      <c r="FJ1597" s="6"/>
      <c r="FK1597" s="123"/>
      <c r="FL1597" s="6"/>
      <c r="FM1597" s="6"/>
      <c r="FN1597" s="6"/>
      <c r="FO1597" s="138"/>
      <c r="FP1597" s="138"/>
      <c r="FQ1597" s="123"/>
      <c r="FR1597" s="6"/>
      <c r="FS1597" s="6"/>
      <c r="FT1597" s="139"/>
      <c r="FU1597" s="139"/>
      <c r="FV1597" s="76"/>
      <c r="FW1597" s="123"/>
      <c r="FX1597" s="6"/>
    </row>
    <row r="1598" spans="35:180">
      <c r="AI1598" s="125"/>
      <c r="AJ1598" s="16"/>
      <c r="AM1598" s="16"/>
      <c r="AN1598" s="16"/>
      <c r="AO1598" s="125"/>
      <c r="AP1598" s="16"/>
      <c r="AQ1598" s="125"/>
      <c r="AZ1598" s="125"/>
      <c r="BA1598" s="142"/>
      <c r="BB1598" s="125"/>
      <c r="BC1598" s="16"/>
      <c r="BD1598" s="125"/>
      <c r="BE1598" s="125"/>
      <c r="BF1598" s="16"/>
      <c r="BG1598" s="125"/>
      <c r="BQ1598" s="125"/>
      <c r="BR1598" s="16"/>
      <c r="BS1598" s="123"/>
      <c r="BT1598" s="19"/>
      <c r="BU1598" s="139"/>
      <c r="BV1598" s="139"/>
      <c r="BW1598" s="123"/>
      <c r="BX1598" s="123"/>
      <c r="BY1598" s="123"/>
      <c r="BZ1598" s="123"/>
      <c r="CA1598" s="123"/>
      <c r="CB1598" s="123"/>
      <c r="CC1598" s="6"/>
      <c r="CD1598" s="123"/>
      <c r="CE1598" s="6"/>
      <c r="CF1598" s="123"/>
      <c r="CG1598" s="6"/>
      <c r="CH1598" s="6"/>
      <c r="CI1598" s="6"/>
      <c r="CJ1598" s="6"/>
      <c r="CK1598" s="123"/>
      <c r="CL1598" s="6"/>
      <c r="CM1598" s="6"/>
      <c r="CN1598" s="6"/>
      <c r="CO1598" s="138"/>
      <c r="CP1598" s="138"/>
      <c r="CQ1598" s="123"/>
      <c r="CR1598" s="6"/>
      <c r="CS1598" s="6"/>
      <c r="CT1598" s="139"/>
      <c r="CU1598" s="139"/>
      <c r="CV1598" s="76"/>
      <c r="CW1598" s="123"/>
      <c r="CX1598" s="6"/>
      <c r="DI1598" s="125"/>
      <c r="DJ1598" s="16"/>
      <c r="DM1598" s="16"/>
      <c r="DN1598" s="16"/>
      <c r="DO1598" s="125"/>
      <c r="DP1598" s="16"/>
      <c r="DQ1598" s="125"/>
      <c r="DZ1598" s="125"/>
      <c r="EA1598" s="142"/>
      <c r="EB1598" s="125"/>
      <c r="EC1598" s="16"/>
      <c r="ED1598" s="125"/>
      <c r="EE1598" s="125"/>
      <c r="EF1598" s="16"/>
      <c r="EG1598" s="125"/>
      <c r="EQ1598" s="125"/>
      <c r="ER1598" s="16"/>
      <c r="ES1598" s="123"/>
      <c r="ET1598" s="19"/>
      <c r="EU1598" s="139"/>
      <c r="EV1598" s="139"/>
      <c r="EW1598" s="123"/>
      <c r="EX1598" s="123"/>
      <c r="EY1598" s="123"/>
      <c r="EZ1598" s="123"/>
      <c r="FA1598" s="123"/>
      <c r="FB1598" s="123"/>
      <c r="FC1598" s="6"/>
      <c r="FD1598" s="123"/>
      <c r="FE1598" s="6"/>
      <c r="FF1598" s="123"/>
      <c r="FG1598" s="6"/>
      <c r="FH1598" s="6"/>
      <c r="FI1598" s="6"/>
      <c r="FJ1598" s="6"/>
      <c r="FK1598" s="123"/>
      <c r="FL1598" s="6"/>
      <c r="FM1598" s="6"/>
      <c r="FN1598" s="6"/>
      <c r="FO1598" s="138"/>
      <c r="FP1598" s="138"/>
      <c r="FQ1598" s="123"/>
      <c r="FR1598" s="6"/>
      <c r="FS1598" s="6"/>
      <c r="FT1598" s="139"/>
      <c r="FU1598" s="139"/>
      <c r="FV1598" s="76"/>
      <c r="FW1598" s="123"/>
      <c r="FX1598" s="6"/>
    </row>
    <row r="1599" spans="35:180">
      <c r="AI1599" s="125"/>
      <c r="AJ1599" s="16"/>
      <c r="AM1599" s="16"/>
      <c r="AN1599" s="16"/>
      <c r="AO1599" s="125"/>
      <c r="AP1599" s="16"/>
      <c r="AQ1599" s="125"/>
      <c r="AZ1599" s="125"/>
      <c r="BA1599" s="142"/>
      <c r="BB1599" s="125"/>
      <c r="BC1599" s="16"/>
      <c r="BD1599" s="125"/>
      <c r="BE1599" s="125"/>
      <c r="BF1599" s="16"/>
      <c r="BG1599" s="125"/>
      <c r="BQ1599" s="125"/>
      <c r="BR1599" s="16"/>
      <c r="BS1599" s="123"/>
      <c r="BT1599" s="19"/>
      <c r="BU1599" s="139"/>
      <c r="BV1599" s="139"/>
      <c r="BW1599" s="123"/>
      <c r="BX1599" s="123"/>
      <c r="BY1599" s="123"/>
      <c r="BZ1599" s="123"/>
      <c r="CA1599" s="123"/>
      <c r="CB1599" s="123"/>
      <c r="CC1599" s="6"/>
      <c r="CD1599" s="123"/>
      <c r="CE1599" s="6"/>
      <c r="CF1599" s="123"/>
      <c r="CG1599" s="6"/>
      <c r="CH1599" s="6"/>
      <c r="CI1599" s="6"/>
      <c r="CJ1599" s="6"/>
      <c r="CK1599" s="123"/>
      <c r="CL1599" s="6"/>
      <c r="CM1599" s="6"/>
      <c r="CN1599" s="6"/>
      <c r="CO1599" s="138"/>
      <c r="CP1599" s="138"/>
      <c r="CQ1599" s="123"/>
      <c r="CR1599" s="6"/>
      <c r="CS1599" s="6"/>
      <c r="CT1599" s="139"/>
      <c r="CU1599" s="139"/>
      <c r="CV1599" s="76"/>
      <c r="CW1599" s="123"/>
      <c r="CX1599" s="6"/>
      <c r="DI1599" s="125"/>
      <c r="DJ1599" s="16"/>
      <c r="DM1599" s="16"/>
      <c r="DN1599" s="16"/>
      <c r="DO1599" s="125"/>
      <c r="DP1599" s="16"/>
      <c r="DQ1599" s="125"/>
      <c r="DZ1599" s="125"/>
      <c r="EA1599" s="142"/>
      <c r="EB1599" s="125"/>
      <c r="EC1599" s="16"/>
      <c r="ED1599" s="125"/>
      <c r="EE1599" s="125"/>
      <c r="EF1599" s="16"/>
      <c r="EG1599" s="125"/>
      <c r="EQ1599" s="125"/>
      <c r="ER1599" s="16"/>
      <c r="ES1599" s="123"/>
      <c r="ET1599" s="19"/>
      <c r="EU1599" s="139"/>
      <c r="EV1599" s="139"/>
      <c r="EW1599" s="123"/>
      <c r="EX1599" s="123"/>
      <c r="EY1599" s="123"/>
      <c r="EZ1599" s="123"/>
      <c r="FA1599" s="123"/>
      <c r="FB1599" s="123"/>
      <c r="FC1599" s="6"/>
      <c r="FD1599" s="123"/>
      <c r="FE1599" s="6"/>
      <c r="FF1599" s="123"/>
      <c r="FG1599" s="6"/>
      <c r="FH1599" s="6"/>
      <c r="FI1599" s="6"/>
      <c r="FJ1599" s="6"/>
      <c r="FK1599" s="123"/>
      <c r="FL1599" s="6"/>
      <c r="FM1599" s="6"/>
      <c r="FN1599" s="6"/>
      <c r="FO1599" s="138"/>
      <c r="FP1599" s="138"/>
      <c r="FQ1599" s="123"/>
      <c r="FR1599" s="6"/>
      <c r="FS1599" s="6"/>
      <c r="FT1599" s="139"/>
      <c r="FU1599" s="139"/>
      <c r="FV1599" s="76"/>
      <c r="FW1599" s="123"/>
      <c r="FX1599" s="6"/>
    </row>
    <row r="1600" spans="35:180">
      <c r="AI1600" s="125"/>
      <c r="AJ1600" s="16"/>
      <c r="AM1600" s="16"/>
      <c r="AN1600" s="16"/>
      <c r="AO1600" s="125"/>
      <c r="AP1600" s="16"/>
      <c r="AQ1600" s="125"/>
      <c r="AZ1600" s="125"/>
      <c r="BA1600" s="142"/>
      <c r="BB1600" s="125"/>
      <c r="BC1600" s="16"/>
      <c r="BD1600" s="125"/>
      <c r="BE1600" s="125"/>
      <c r="BF1600" s="16"/>
      <c r="BG1600" s="125"/>
      <c r="BQ1600" s="125"/>
      <c r="BR1600" s="16"/>
      <c r="BS1600" s="123"/>
      <c r="BT1600" s="19"/>
      <c r="BU1600" s="139"/>
      <c r="BV1600" s="139"/>
      <c r="BW1600" s="123"/>
      <c r="BX1600" s="123"/>
      <c r="BY1600" s="123"/>
      <c r="BZ1600" s="123"/>
      <c r="CA1600" s="123"/>
      <c r="CB1600" s="123"/>
      <c r="CC1600" s="6"/>
      <c r="CD1600" s="123"/>
      <c r="CE1600" s="6"/>
      <c r="CF1600" s="123"/>
      <c r="CG1600" s="6"/>
      <c r="CH1600" s="6"/>
      <c r="CI1600" s="6"/>
      <c r="CJ1600" s="6"/>
      <c r="CK1600" s="123"/>
      <c r="CL1600" s="6"/>
      <c r="CM1600" s="6"/>
      <c r="CN1600" s="6"/>
      <c r="CO1600" s="138"/>
      <c r="CP1600" s="138"/>
      <c r="CQ1600" s="123"/>
      <c r="CR1600" s="6"/>
      <c r="CS1600" s="6"/>
      <c r="CT1600" s="139"/>
      <c r="CU1600" s="139"/>
      <c r="CV1600" s="76"/>
      <c r="CW1600" s="123"/>
      <c r="CX1600" s="6"/>
      <c r="DI1600" s="125"/>
      <c r="DJ1600" s="16"/>
      <c r="DM1600" s="16"/>
      <c r="DN1600" s="16"/>
      <c r="DO1600" s="125"/>
      <c r="DP1600" s="16"/>
      <c r="DQ1600" s="125"/>
      <c r="DZ1600" s="125"/>
      <c r="EA1600" s="142"/>
      <c r="EB1600" s="125"/>
      <c r="EC1600" s="16"/>
      <c r="ED1600" s="125"/>
      <c r="EE1600" s="125"/>
      <c r="EF1600" s="16"/>
      <c r="EG1600" s="125"/>
      <c r="EQ1600" s="125"/>
      <c r="ER1600" s="16"/>
      <c r="ES1600" s="123"/>
      <c r="ET1600" s="19"/>
      <c r="EU1600" s="139"/>
      <c r="EV1600" s="139"/>
      <c r="EW1600" s="123"/>
      <c r="EX1600" s="123"/>
      <c r="EY1600" s="123"/>
      <c r="EZ1600" s="123"/>
      <c r="FA1600" s="123"/>
      <c r="FB1600" s="123"/>
      <c r="FC1600" s="6"/>
      <c r="FD1600" s="123"/>
      <c r="FE1600" s="6"/>
      <c r="FF1600" s="123"/>
      <c r="FG1600" s="6"/>
      <c r="FH1600" s="6"/>
      <c r="FI1600" s="6"/>
      <c r="FJ1600" s="6"/>
      <c r="FK1600" s="123"/>
      <c r="FL1600" s="6"/>
      <c r="FM1600" s="6"/>
      <c r="FN1600" s="6"/>
      <c r="FO1600" s="138"/>
      <c r="FP1600" s="138"/>
      <c r="FQ1600" s="123"/>
      <c r="FR1600" s="6"/>
      <c r="FS1600" s="6"/>
      <c r="FT1600" s="139"/>
      <c r="FU1600" s="139"/>
      <c r="FV1600" s="76"/>
      <c r="FW1600" s="123"/>
      <c r="FX1600" s="6"/>
    </row>
    <row r="1601" spans="35:180">
      <c r="AI1601" s="125"/>
      <c r="AJ1601" s="16"/>
      <c r="AM1601" s="16"/>
      <c r="AN1601" s="16"/>
      <c r="AO1601" s="125"/>
      <c r="AP1601" s="16"/>
      <c r="AQ1601" s="125"/>
      <c r="AZ1601" s="125"/>
      <c r="BA1601" s="142"/>
      <c r="BB1601" s="125"/>
      <c r="BC1601" s="16"/>
      <c r="BD1601" s="125"/>
      <c r="BE1601" s="125"/>
      <c r="BF1601" s="16"/>
      <c r="BG1601" s="125"/>
      <c r="BQ1601" s="125"/>
      <c r="BR1601" s="16"/>
      <c r="BS1601" s="123"/>
      <c r="BT1601" s="19"/>
      <c r="BU1601" s="139"/>
      <c r="BV1601" s="139"/>
      <c r="BW1601" s="123"/>
      <c r="BX1601" s="123"/>
      <c r="BY1601" s="123"/>
      <c r="BZ1601" s="123"/>
      <c r="CA1601" s="123"/>
      <c r="CB1601" s="123"/>
      <c r="CC1601" s="6"/>
      <c r="CD1601" s="123"/>
      <c r="CE1601" s="6"/>
      <c r="CF1601" s="123"/>
      <c r="CG1601" s="6"/>
      <c r="CH1601" s="6"/>
      <c r="CI1601" s="6"/>
      <c r="CJ1601" s="6"/>
      <c r="CK1601" s="123"/>
      <c r="CL1601" s="6"/>
      <c r="CM1601" s="6"/>
      <c r="CN1601" s="6"/>
      <c r="CO1601" s="138"/>
      <c r="CP1601" s="138"/>
      <c r="CQ1601" s="123"/>
      <c r="CR1601" s="6"/>
      <c r="CS1601" s="6"/>
      <c r="CT1601" s="139"/>
      <c r="CU1601" s="139"/>
      <c r="CV1601" s="76"/>
      <c r="CW1601" s="123"/>
      <c r="CX1601" s="6"/>
      <c r="DI1601" s="125"/>
      <c r="DJ1601" s="16"/>
      <c r="DM1601" s="16"/>
      <c r="DN1601" s="16"/>
      <c r="DO1601" s="125"/>
      <c r="DP1601" s="16"/>
      <c r="DQ1601" s="125"/>
      <c r="DZ1601" s="125"/>
      <c r="EA1601" s="142"/>
      <c r="EB1601" s="125"/>
      <c r="EC1601" s="16"/>
      <c r="ED1601" s="125"/>
      <c r="EE1601" s="125"/>
      <c r="EF1601" s="16"/>
      <c r="EG1601" s="125"/>
      <c r="EQ1601" s="125"/>
      <c r="ER1601" s="16"/>
      <c r="ES1601" s="123"/>
      <c r="ET1601" s="19"/>
      <c r="EU1601" s="139"/>
      <c r="EV1601" s="139"/>
      <c r="EW1601" s="123"/>
      <c r="EX1601" s="123"/>
      <c r="EY1601" s="123"/>
      <c r="EZ1601" s="123"/>
      <c r="FA1601" s="123"/>
      <c r="FB1601" s="123"/>
      <c r="FC1601" s="6"/>
      <c r="FD1601" s="123"/>
      <c r="FE1601" s="6"/>
      <c r="FF1601" s="123"/>
      <c r="FG1601" s="6"/>
      <c r="FH1601" s="6"/>
      <c r="FI1601" s="6"/>
      <c r="FJ1601" s="6"/>
      <c r="FK1601" s="123"/>
      <c r="FL1601" s="6"/>
      <c r="FM1601" s="6"/>
      <c r="FN1601" s="6"/>
      <c r="FO1601" s="138"/>
      <c r="FP1601" s="138"/>
      <c r="FQ1601" s="123"/>
      <c r="FR1601" s="6"/>
      <c r="FS1601" s="6"/>
      <c r="FT1601" s="139"/>
      <c r="FU1601" s="139"/>
      <c r="FV1601" s="76"/>
      <c r="FW1601" s="123"/>
      <c r="FX1601" s="6"/>
    </row>
    <row r="1602" spans="35:180">
      <c r="AI1602" s="125"/>
      <c r="AJ1602" s="16"/>
      <c r="AM1602" s="16"/>
      <c r="AN1602" s="16"/>
      <c r="AO1602" s="125"/>
      <c r="AP1602" s="16"/>
      <c r="AQ1602" s="125"/>
      <c r="AZ1602" s="125"/>
      <c r="BA1602" s="142"/>
      <c r="BB1602" s="125"/>
      <c r="BC1602" s="16"/>
      <c r="BD1602" s="125"/>
      <c r="BE1602" s="125"/>
      <c r="BF1602" s="16"/>
      <c r="BG1602" s="125"/>
      <c r="BQ1602" s="125"/>
      <c r="BR1602" s="16"/>
      <c r="BS1602" s="123"/>
      <c r="BT1602" s="19"/>
      <c r="BU1602" s="139"/>
      <c r="BV1602" s="139"/>
      <c r="BW1602" s="123"/>
      <c r="BX1602" s="123"/>
      <c r="BY1602" s="123"/>
      <c r="BZ1602" s="123"/>
      <c r="CA1602" s="123"/>
      <c r="CB1602" s="123"/>
      <c r="CC1602" s="6"/>
      <c r="CD1602" s="123"/>
      <c r="CE1602" s="6"/>
      <c r="CF1602" s="123"/>
      <c r="CG1602" s="6"/>
      <c r="CH1602" s="6"/>
      <c r="CI1602" s="6"/>
      <c r="CJ1602" s="6"/>
      <c r="CK1602" s="123"/>
      <c r="CL1602" s="6"/>
      <c r="CM1602" s="6"/>
      <c r="CN1602" s="6"/>
      <c r="CO1602" s="138"/>
      <c r="CP1602" s="138"/>
      <c r="CQ1602" s="123"/>
      <c r="CR1602" s="6"/>
      <c r="CS1602" s="6"/>
      <c r="CT1602" s="139"/>
      <c r="CU1602" s="139"/>
      <c r="CV1602" s="76"/>
      <c r="CW1602" s="123"/>
      <c r="CX1602" s="6"/>
      <c r="DI1602" s="125"/>
      <c r="DJ1602" s="16"/>
      <c r="DM1602" s="16"/>
      <c r="DN1602" s="16"/>
      <c r="DO1602" s="125"/>
      <c r="DP1602" s="16"/>
      <c r="DQ1602" s="125"/>
      <c r="DZ1602" s="125"/>
      <c r="EA1602" s="142"/>
      <c r="EB1602" s="125"/>
      <c r="EC1602" s="16"/>
      <c r="ED1602" s="125"/>
      <c r="EE1602" s="125"/>
      <c r="EF1602" s="16"/>
      <c r="EG1602" s="125"/>
      <c r="EQ1602" s="125"/>
      <c r="ER1602" s="16"/>
      <c r="ES1602" s="123"/>
      <c r="ET1602" s="19"/>
      <c r="EU1602" s="139"/>
      <c r="EV1602" s="139"/>
      <c r="EW1602" s="123"/>
      <c r="EX1602" s="123"/>
      <c r="EY1602" s="123"/>
      <c r="EZ1602" s="123"/>
      <c r="FA1602" s="123"/>
      <c r="FB1602" s="123"/>
      <c r="FC1602" s="6"/>
      <c r="FD1602" s="123"/>
      <c r="FE1602" s="6"/>
      <c r="FF1602" s="123"/>
      <c r="FG1602" s="6"/>
      <c r="FH1602" s="6"/>
      <c r="FI1602" s="6"/>
      <c r="FJ1602" s="6"/>
      <c r="FK1602" s="123"/>
      <c r="FL1602" s="6"/>
      <c r="FM1602" s="6"/>
      <c r="FN1602" s="6"/>
      <c r="FO1602" s="138"/>
      <c r="FP1602" s="138"/>
      <c r="FQ1602" s="123"/>
      <c r="FR1602" s="6"/>
      <c r="FS1602" s="6"/>
      <c r="FT1602" s="139"/>
      <c r="FU1602" s="139"/>
      <c r="FV1602" s="76"/>
      <c r="FW1602" s="123"/>
      <c r="FX1602" s="6"/>
    </row>
    <row r="1603" spans="35:180">
      <c r="AI1603" s="125"/>
      <c r="AJ1603" s="16"/>
      <c r="AM1603" s="16"/>
      <c r="AN1603" s="16"/>
      <c r="AO1603" s="125"/>
      <c r="AP1603" s="16"/>
      <c r="AQ1603" s="125"/>
      <c r="AZ1603" s="125"/>
      <c r="BA1603" s="142"/>
      <c r="BB1603" s="125"/>
      <c r="BC1603" s="16"/>
      <c r="BD1603" s="125"/>
      <c r="BE1603" s="125"/>
      <c r="BF1603" s="16"/>
      <c r="BG1603" s="125"/>
      <c r="BQ1603" s="125"/>
      <c r="BR1603" s="16"/>
      <c r="BS1603" s="123"/>
      <c r="BT1603" s="19"/>
      <c r="BU1603" s="139"/>
      <c r="BV1603" s="139"/>
      <c r="BW1603" s="123"/>
      <c r="BX1603" s="123"/>
      <c r="BY1603" s="123"/>
      <c r="BZ1603" s="123"/>
      <c r="CA1603" s="123"/>
      <c r="CB1603" s="123"/>
      <c r="CC1603" s="6"/>
      <c r="CD1603" s="123"/>
      <c r="CE1603" s="6"/>
      <c r="CF1603" s="123"/>
      <c r="CG1603" s="6"/>
      <c r="CH1603" s="6"/>
      <c r="CI1603" s="6"/>
      <c r="CJ1603" s="6"/>
      <c r="CK1603" s="123"/>
      <c r="CL1603" s="6"/>
      <c r="CM1603" s="6"/>
      <c r="CN1603" s="6"/>
      <c r="CO1603" s="138"/>
      <c r="CP1603" s="138"/>
      <c r="CQ1603" s="123"/>
      <c r="CR1603" s="6"/>
      <c r="CS1603" s="6"/>
      <c r="CT1603" s="139"/>
      <c r="CU1603" s="139"/>
      <c r="CV1603" s="76"/>
      <c r="CW1603" s="123"/>
      <c r="CX1603" s="6"/>
      <c r="DI1603" s="125"/>
      <c r="DJ1603" s="16"/>
      <c r="DM1603" s="16"/>
      <c r="DN1603" s="16"/>
      <c r="DO1603" s="125"/>
      <c r="DP1603" s="16"/>
      <c r="DQ1603" s="125"/>
      <c r="DZ1603" s="125"/>
      <c r="EA1603" s="142"/>
      <c r="EB1603" s="125"/>
      <c r="EC1603" s="16"/>
      <c r="ED1603" s="125"/>
      <c r="EE1603" s="125"/>
      <c r="EF1603" s="16"/>
      <c r="EG1603" s="125"/>
      <c r="EQ1603" s="125"/>
      <c r="ER1603" s="16"/>
      <c r="ES1603" s="123"/>
      <c r="ET1603" s="19"/>
      <c r="EU1603" s="139"/>
      <c r="EV1603" s="139"/>
      <c r="EW1603" s="123"/>
      <c r="EX1603" s="123"/>
      <c r="EY1603" s="123"/>
      <c r="EZ1603" s="123"/>
      <c r="FA1603" s="123"/>
      <c r="FB1603" s="123"/>
      <c r="FC1603" s="6"/>
      <c r="FD1603" s="123"/>
      <c r="FE1603" s="6"/>
      <c r="FF1603" s="123"/>
      <c r="FG1603" s="6"/>
      <c r="FH1603" s="6"/>
      <c r="FI1603" s="6"/>
      <c r="FJ1603" s="6"/>
      <c r="FK1603" s="123"/>
      <c r="FL1603" s="6"/>
      <c r="FM1603" s="6"/>
      <c r="FN1603" s="6"/>
      <c r="FO1603" s="138"/>
      <c r="FP1603" s="138"/>
      <c r="FQ1603" s="123"/>
      <c r="FR1603" s="6"/>
      <c r="FS1603" s="6"/>
      <c r="FT1603" s="139"/>
      <c r="FU1603" s="139"/>
      <c r="FV1603" s="76"/>
      <c r="FW1603" s="123"/>
      <c r="FX1603" s="6"/>
    </row>
    <row r="1604" spans="35:180">
      <c r="AI1604" s="125"/>
      <c r="AJ1604" s="16"/>
      <c r="AM1604" s="16"/>
      <c r="AN1604" s="16"/>
      <c r="AO1604" s="125"/>
      <c r="AP1604" s="16"/>
      <c r="AQ1604" s="125"/>
      <c r="AZ1604" s="125"/>
      <c r="BA1604" s="142"/>
      <c r="BB1604" s="125"/>
      <c r="BC1604" s="16"/>
      <c r="BD1604" s="125"/>
      <c r="BE1604" s="125"/>
      <c r="BF1604" s="16"/>
      <c r="BG1604" s="125"/>
      <c r="BQ1604" s="125"/>
      <c r="BR1604" s="16"/>
      <c r="BS1604" s="123"/>
      <c r="BT1604" s="19"/>
      <c r="BU1604" s="139"/>
      <c r="BV1604" s="139"/>
      <c r="BW1604" s="123"/>
      <c r="BX1604" s="123"/>
      <c r="BY1604" s="123"/>
      <c r="BZ1604" s="123"/>
      <c r="CA1604" s="123"/>
      <c r="CB1604" s="123"/>
      <c r="CC1604" s="6"/>
      <c r="CD1604" s="123"/>
      <c r="CE1604" s="6"/>
      <c r="CF1604" s="123"/>
      <c r="CG1604" s="6"/>
      <c r="CH1604" s="6"/>
      <c r="CI1604" s="6"/>
      <c r="CJ1604" s="6"/>
      <c r="CK1604" s="123"/>
      <c r="CL1604" s="6"/>
      <c r="CM1604" s="6"/>
      <c r="CN1604" s="6"/>
      <c r="CO1604" s="138"/>
      <c r="CP1604" s="138"/>
      <c r="CQ1604" s="123"/>
      <c r="CR1604" s="6"/>
      <c r="CS1604" s="6"/>
      <c r="CT1604" s="139"/>
      <c r="CU1604" s="139"/>
      <c r="CV1604" s="76"/>
      <c r="CW1604" s="123"/>
      <c r="CX1604" s="6"/>
      <c r="DI1604" s="125"/>
      <c r="DJ1604" s="16"/>
      <c r="DM1604" s="16"/>
      <c r="DN1604" s="16"/>
      <c r="DO1604" s="125"/>
      <c r="DP1604" s="16"/>
      <c r="DQ1604" s="125"/>
      <c r="DZ1604" s="125"/>
      <c r="EA1604" s="142"/>
      <c r="EB1604" s="125"/>
      <c r="EC1604" s="16"/>
      <c r="ED1604" s="125"/>
      <c r="EE1604" s="125"/>
      <c r="EF1604" s="16"/>
      <c r="EG1604" s="125"/>
      <c r="EQ1604" s="125"/>
      <c r="ER1604" s="16"/>
      <c r="ES1604" s="123"/>
      <c r="ET1604" s="19"/>
      <c r="EU1604" s="139"/>
      <c r="EV1604" s="139"/>
      <c r="EW1604" s="123"/>
      <c r="EX1604" s="123"/>
      <c r="EY1604" s="123"/>
      <c r="EZ1604" s="123"/>
      <c r="FA1604" s="123"/>
      <c r="FB1604" s="123"/>
      <c r="FC1604" s="6"/>
      <c r="FD1604" s="123"/>
      <c r="FE1604" s="6"/>
      <c r="FF1604" s="123"/>
      <c r="FG1604" s="6"/>
      <c r="FH1604" s="6"/>
      <c r="FI1604" s="6"/>
      <c r="FJ1604" s="6"/>
      <c r="FK1604" s="123"/>
      <c r="FL1604" s="6"/>
      <c r="FM1604" s="6"/>
      <c r="FN1604" s="6"/>
      <c r="FO1604" s="138"/>
      <c r="FP1604" s="138"/>
      <c r="FQ1604" s="123"/>
      <c r="FR1604" s="6"/>
      <c r="FS1604" s="6"/>
      <c r="FT1604" s="139"/>
      <c r="FU1604" s="139"/>
      <c r="FV1604" s="76"/>
      <c r="FW1604" s="123"/>
      <c r="FX1604" s="6"/>
    </row>
    <row r="1605" spans="35:180">
      <c r="AI1605" s="125"/>
      <c r="AJ1605" s="16"/>
      <c r="AM1605" s="16"/>
      <c r="AN1605" s="16"/>
      <c r="AO1605" s="125"/>
      <c r="AP1605" s="16"/>
      <c r="AQ1605" s="125"/>
      <c r="AZ1605" s="125"/>
      <c r="BA1605" s="142"/>
      <c r="BB1605" s="125"/>
      <c r="BC1605" s="16"/>
      <c r="BD1605" s="125"/>
      <c r="BE1605" s="125"/>
      <c r="BF1605" s="16"/>
      <c r="BG1605" s="125"/>
      <c r="BQ1605" s="125"/>
      <c r="BR1605" s="16"/>
      <c r="BS1605" s="123"/>
      <c r="BT1605" s="19"/>
      <c r="BU1605" s="139"/>
      <c r="BV1605" s="139"/>
      <c r="BW1605" s="123"/>
      <c r="BX1605" s="123"/>
      <c r="BY1605" s="123"/>
      <c r="BZ1605" s="123"/>
      <c r="CA1605" s="123"/>
      <c r="CB1605" s="123"/>
      <c r="CC1605" s="6"/>
      <c r="CD1605" s="123"/>
      <c r="CE1605" s="6"/>
      <c r="CF1605" s="123"/>
      <c r="CG1605" s="6"/>
      <c r="CH1605" s="6"/>
      <c r="CI1605" s="6"/>
      <c r="CJ1605" s="6"/>
      <c r="CK1605" s="123"/>
      <c r="CL1605" s="6"/>
      <c r="CM1605" s="6"/>
      <c r="CN1605" s="6"/>
      <c r="CO1605" s="138"/>
      <c r="CP1605" s="138"/>
      <c r="CQ1605" s="123"/>
      <c r="CR1605" s="6"/>
      <c r="CS1605" s="6"/>
      <c r="CT1605" s="139"/>
      <c r="CU1605" s="139"/>
      <c r="CV1605" s="76"/>
      <c r="CW1605" s="123"/>
      <c r="CX1605" s="6"/>
      <c r="DI1605" s="125"/>
      <c r="DJ1605" s="16"/>
      <c r="DM1605" s="16"/>
      <c r="DN1605" s="16"/>
      <c r="DO1605" s="125"/>
      <c r="DP1605" s="16"/>
      <c r="DQ1605" s="125"/>
      <c r="DZ1605" s="125"/>
      <c r="EA1605" s="142"/>
      <c r="EB1605" s="125"/>
      <c r="EC1605" s="16"/>
      <c r="ED1605" s="125"/>
      <c r="EE1605" s="125"/>
      <c r="EF1605" s="16"/>
      <c r="EG1605" s="125"/>
      <c r="EQ1605" s="125"/>
      <c r="ER1605" s="16"/>
      <c r="ES1605" s="123"/>
      <c r="ET1605" s="19"/>
      <c r="EU1605" s="139"/>
      <c r="EV1605" s="139"/>
      <c r="EW1605" s="123"/>
      <c r="EX1605" s="123"/>
      <c r="EY1605" s="123"/>
      <c r="EZ1605" s="123"/>
      <c r="FA1605" s="123"/>
      <c r="FB1605" s="123"/>
      <c r="FC1605" s="6"/>
      <c r="FD1605" s="123"/>
      <c r="FE1605" s="6"/>
      <c r="FF1605" s="123"/>
      <c r="FG1605" s="6"/>
      <c r="FH1605" s="6"/>
      <c r="FI1605" s="6"/>
      <c r="FJ1605" s="6"/>
      <c r="FK1605" s="123"/>
      <c r="FL1605" s="6"/>
      <c r="FM1605" s="6"/>
      <c r="FN1605" s="6"/>
      <c r="FO1605" s="138"/>
      <c r="FP1605" s="138"/>
      <c r="FQ1605" s="123"/>
      <c r="FR1605" s="6"/>
      <c r="FS1605" s="6"/>
      <c r="FT1605" s="139"/>
      <c r="FU1605" s="139"/>
      <c r="FV1605" s="76"/>
      <c r="FW1605" s="123"/>
      <c r="FX1605" s="6"/>
    </row>
    <row r="1606" spans="35:180">
      <c r="AI1606" s="125"/>
      <c r="AJ1606" s="16"/>
      <c r="AM1606" s="16"/>
      <c r="AN1606" s="16"/>
      <c r="AO1606" s="125"/>
      <c r="AP1606" s="16"/>
      <c r="AQ1606" s="125"/>
      <c r="AZ1606" s="125"/>
      <c r="BA1606" s="142"/>
      <c r="BB1606" s="125"/>
      <c r="BC1606" s="16"/>
      <c r="BD1606" s="125"/>
      <c r="BE1606" s="125"/>
      <c r="BF1606" s="16"/>
      <c r="BG1606" s="125"/>
      <c r="BQ1606" s="125"/>
      <c r="BR1606" s="16"/>
      <c r="BS1606" s="123"/>
      <c r="BT1606" s="19"/>
      <c r="BU1606" s="139"/>
      <c r="BV1606" s="139"/>
      <c r="BW1606" s="123"/>
      <c r="BX1606" s="123"/>
      <c r="BY1606" s="123"/>
      <c r="BZ1606" s="123"/>
      <c r="CA1606" s="123"/>
      <c r="CB1606" s="123"/>
      <c r="CC1606" s="6"/>
      <c r="CD1606" s="123"/>
      <c r="CE1606" s="6"/>
      <c r="CF1606" s="123"/>
      <c r="CG1606" s="6"/>
      <c r="CH1606" s="6"/>
      <c r="CI1606" s="6"/>
      <c r="CJ1606" s="6"/>
      <c r="CK1606" s="123"/>
      <c r="CL1606" s="6"/>
      <c r="CM1606" s="6"/>
      <c r="CN1606" s="6"/>
      <c r="CO1606" s="138"/>
      <c r="CP1606" s="138"/>
      <c r="CQ1606" s="123"/>
      <c r="CR1606" s="6"/>
      <c r="CS1606" s="6"/>
      <c r="CT1606" s="139"/>
      <c r="CU1606" s="139"/>
      <c r="CV1606" s="76"/>
      <c r="CW1606" s="123"/>
      <c r="CX1606" s="6"/>
      <c r="DI1606" s="125"/>
      <c r="DJ1606" s="16"/>
      <c r="DM1606" s="16"/>
      <c r="DN1606" s="16"/>
      <c r="DO1606" s="125"/>
      <c r="DP1606" s="16"/>
      <c r="DQ1606" s="125"/>
      <c r="DZ1606" s="125"/>
      <c r="EA1606" s="142"/>
      <c r="EB1606" s="125"/>
      <c r="EC1606" s="16"/>
      <c r="ED1606" s="125"/>
      <c r="EE1606" s="125"/>
      <c r="EF1606" s="16"/>
      <c r="EG1606" s="125"/>
      <c r="EQ1606" s="125"/>
      <c r="ER1606" s="16"/>
      <c r="ES1606" s="123"/>
      <c r="ET1606" s="19"/>
      <c r="EU1606" s="139"/>
      <c r="EV1606" s="139"/>
      <c r="EW1606" s="123"/>
      <c r="EX1606" s="123"/>
      <c r="EY1606" s="123"/>
      <c r="EZ1606" s="123"/>
      <c r="FA1606" s="123"/>
      <c r="FB1606" s="123"/>
      <c r="FC1606" s="6"/>
      <c r="FD1606" s="123"/>
      <c r="FE1606" s="6"/>
      <c r="FF1606" s="123"/>
      <c r="FG1606" s="6"/>
      <c r="FH1606" s="6"/>
      <c r="FI1606" s="6"/>
      <c r="FJ1606" s="6"/>
      <c r="FK1606" s="123"/>
      <c r="FL1606" s="6"/>
      <c r="FM1606" s="6"/>
      <c r="FN1606" s="6"/>
      <c r="FO1606" s="138"/>
      <c r="FP1606" s="138"/>
      <c r="FQ1606" s="123"/>
      <c r="FR1606" s="6"/>
      <c r="FS1606" s="6"/>
      <c r="FT1606" s="139"/>
      <c r="FU1606" s="139"/>
      <c r="FV1606" s="76"/>
      <c r="FW1606" s="123"/>
      <c r="FX1606" s="6"/>
    </row>
    <row r="1607" spans="35:180">
      <c r="AI1607" s="125"/>
      <c r="AJ1607" s="16"/>
      <c r="AM1607" s="16"/>
      <c r="AN1607" s="16"/>
      <c r="AO1607" s="125"/>
      <c r="AP1607" s="16"/>
      <c r="AQ1607" s="125"/>
      <c r="AZ1607" s="125"/>
      <c r="BA1607" s="142"/>
      <c r="BB1607" s="125"/>
      <c r="BC1607" s="16"/>
      <c r="BD1607" s="125"/>
      <c r="BE1607" s="125"/>
      <c r="BF1607" s="16"/>
      <c r="BG1607" s="125"/>
      <c r="BQ1607" s="125"/>
      <c r="BR1607" s="16"/>
      <c r="BS1607" s="123"/>
      <c r="BT1607" s="19"/>
      <c r="BU1607" s="139"/>
      <c r="BV1607" s="139"/>
      <c r="BW1607" s="123"/>
      <c r="BX1607" s="123"/>
      <c r="BY1607" s="123"/>
      <c r="BZ1607" s="123"/>
      <c r="CA1607" s="123"/>
      <c r="CB1607" s="123"/>
      <c r="CC1607" s="6"/>
      <c r="CD1607" s="123"/>
      <c r="CE1607" s="6"/>
      <c r="CF1607" s="123"/>
      <c r="CG1607" s="6"/>
      <c r="CH1607" s="6"/>
      <c r="CI1607" s="6"/>
      <c r="CJ1607" s="6"/>
      <c r="CK1607" s="123"/>
      <c r="CL1607" s="6"/>
      <c r="CM1607" s="6"/>
      <c r="CN1607" s="6"/>
      <c r="CO1607" s="138"/>
      <c r="CP1607" s="138"/>
      <c r="CQ1607" s="123"/>
      <c r="CR1607" s="6"/>
      <c r="CS1607" s="6"/>
      <c r="CT1607" s="139"/>
      <c r="CU1607" s="139"/>
      <c r="CV1607" s="76"/>
      <c r="CW1607" s="123"/>
      <c r="CX1607" s="6"/>
      <c r="DI1607" s="125"/>
      <c r="DJ1607" s="16"/>
      <c r="DM1607" s="16"/>
      <c r="DN1607" s="16"/>
      <c r="DO1607" s="125"/>
      <c r="DP1607" s="16"/>
      <c r="DQ1607" s="125"/>
      <c r="DZ1607" s="125"/>
      <c r="EA1607" s="142"/>
      <c r="EB1607" s="125"/>
      <c r="EC1607" s="16"/>
      <c r="ED1607" s="125"/>
      <c r="EE1607" s="125"/>
      <c r="EF1607" s="16"/>
      <c r="EG1607" s="125"/>
      <c r="EQ1607" s="125"/>
      <c r="ER1607" s="16"/>
      <c r="ES1607" s="123"/>
      <c r="ET1607" s="19"/>
      <c r="EU1607" s="139"/>
      <c r="EV1607" s="139"/>
      <c r="EW1607" s="123"/>
      <c r="EX1607" s="123"/>
      <c r="EY1607" s="123"/>
      <c r="EZ1607" s="123"/>
      <c r="FA1607" s="123"/>
      <c r="FB1607" s="123"/>
      <c r="FC1607" s="6"/>
      <c r="FD1607" s="123"/>
      <c r="FE1607" s="6"/>
      <c r="FF1607" s="123"/>
      <c r="FG1607" s="6"/>
      <c r="FH1607" s="6"/>
      <c r="FI1607" s="6"/>
      <c r="FJ1607" s="6"/>
      <c r="FK1607" s="123"/>
      <c r="FL1607" s="6"/>
      <c r="FM1607" s="6"/>
      <c r="FN1607" s="6"/>
      <c r="FO1607" s="138"/>
      <c r="FP1607" s="138"/>
      <c r="FQ1607" s="123"/>
      <c r="FR1607" s="6"/>
      <c r="FS1607" s="6"/>
      <c r="FT1607" s="139"/>
      <c r="FU1607" s="139"/>
      <c r="FV1607" s="76"/>
      <c r="FW1607" s="123"/>
      <c r="FX1607" s="6"/>
    </row>
    <row r="1608" spans="35:180">
      <c r="AI1608" s="125"/>
      <c r="AJ1608" s="16"/>
      <c r="AM1608" s="16"/>
      <c r="AN1608" s="16"/>
      <c r="AO1608" s="125"/>
      <c r="AP1608" s="16"/>
      <c r="AQ1608" s="125"/>
      <c r="AZ1608" s="125"/>
      <c r="BA1608" s="142"/>
      <c r="BB1608" s="125"/>
      <c r="BC1608" s="16"/>
      <c r="BD1608" s="125"/>
      <c r="BE1608" s="125"/>
      <c r="BF1608" s="16"/>
      <c r="BG1608" s="125"/>
      <c r="BQ1608" s="125"/>
      <c r="BR1608" s="16"/>
      <c r="BS1608" s="123"/>
      <c r="BT1608" s="19"/>
      <c r="BU1608" s="139"/>
      <c r="BV1608" s="139"/>
      <c r="BW1608" s="123"/>
      <c r="BX1608" s="123"/>
      <c r="BY1608" s="123"/>
      <c r="BZ1608" s="123"/>
      <c r="CA1608" s="123"/>
      <c r="CB1608" s="123"/>
      <c r="CC1608" s="6"/>
      <c r="CD1608" s="123"/>
      <c r="CE1608" s="6"/>
      <c r="CF1608" s="123"/>
      <c r="CG1608" s="6"/>
      <c r="CH1608" s="6"/>
      <c r="CI1608" s="6"/>
      <c r="CJ1608" s="6"/>
      <c r="CK1608" s="123"/>
      <c r="CL1608" s="6"/>
      <c r="CM1608" s="6"/>
      <c r="CN1608" s="6"/>
      <c r="CO1608" s="138"/>
      <c r="CP1608" s="138"/>
      <c r="CQ1608" s="123"/>
      <c r="CR1608" s="6"/>
      <c r="CS1608" s="6"/>
      <c r="CT1608" s="139"/>
      <c r="CU1608" s="139"/>
      <c r="CV1608" s="76"/>
      <c r="CW1608" s="123"/>
      <c r="CX1608" s="6"/>
      <c r="DI1608" s="125"/>
      <c r="DJ1608" s="16"/>
      <c r="DM1608" s="16"/>
      <c r="DN1608" s="16"/>
      <c r="DO1608" s="125"/>
      <c r="DP1608" s="16"/>
      <c r="DQ1608" s="125"/>
      <c r="DZ1608" s="125"/>
      <c r="EA1608" s="142"/>
      <c r="EB1608" s="125"/>
      <c r="EC1608" s="16"/>
      <c r="ED1608" s="125"/>
      <c r="EE1608" s="125"/>
      <c r="EF1608" s="16"/>
      <c r="EG1608" s="125"/>
      <c r="EQ1608" s="125"/>
      <c r="ER1608" s="16"/>
      <c r="ES1608" s="123"/>
      <c r="ET1608" s="19"/>
      <c r="EU1608" s="139"/>
      <c r="EV1608" s="139"/>
      <c r="EW1608" s="123"/>
      <c r="EX1608" s="123"/>
      <c r="EY1608" s="123"/>
      <c r="EZ1608" s="123"/>
      <c r="FA1608" s="123"/>
      <c r="FB1608" s="123"/>
      <c r="FC1608" s="6"/>
      <c r="FD1608" s="123"/>
      <c r="FE1608" s="6"/>
      <c r="FF1608" s="123"/>
      <c r="FG1608" s="6"/>
      <c r="FH1608" s="6"/>
      <c r="FI1608" s="6"/>
      <c r="FJ1608" s="6"/>
      <c r="FK1608" s="123"/>
      <c r="FL1608" s="6"/>
      <c r="FM1608" s="6"/>
      <c r="FN1608" s="6"/>
      <c r="FO1608" s="138"/>
      <c r="FP1608" s="138"/>
      <c r="FQ1608" s="123"/>
      <c r="FR1608" s="6"/>
      <c r="FS1608" s="6"/>
      <c r="FT1608" s="139"/>
      <c r="FU1608" s="139"/>
      <c r="FV1608" s="76"/>
      <c r="FW1608" s="123"/>
      <c r="FX1608" s="6"/>
    </row>
    <row r="1609" spans="35:180">
      <c r="AI1609" s="125"/>
      <c r="AJ1609" s="16"/>
      <c r="AM1609" s="16"/>
      <c r="AN1609" s="16"/>
      <c r="AO1609" s="125"/>
      <c r="AP1609" s="16"/>
      <c r="AQ1609" s="125"/>
      <c r="AZ1609" s="125"/>
      <c r="BA1609" s="142"/>
      <c r="BB1609" s="125"/>
      <c r="BC1609" s="16"/>
      <c r="BD1609" s="125"/>
      <c r="BE1609" s="125"/>
      <c r="BF1609" s="16"/>
      <c r="BG1609" s="125"/>
      <c r="BQ1609" s="125"/>
      <c r="BR1609" s="16"/>
      <c r="BS1609" s="123"/>
      <c r="BT1609" s="19"/>
      <c r="BU1609" s="139"/>
      <c r="BV1609" s="139"/>
      <c r="BW1609" s="123"/>
      <c r="BX1609" s="123"/>
      <c r="BY1609" s="123"/>
      <c r="BZ1609" s="123"/>
      <c r="CA1609" s="123"/>
      <c r="CB1609" s="123"/>
      <c r="CC1609" s="6"/>
      <c r="CD1609" s="123"/>
      <c r="CE1609" s="6"/>
      <c r="CF1609" s="123"/>
      <c r="CG1609" s="6"/>
      <c r="CH1609" s="6"/>
      <c r="CI1609" s="6"/>
      <c r="CJ1609" s="6"/>
      <c r="CK1609" s="123"/>
      <c r="CL1609" s="6"/>
      <c r="CM1609" s="6"/>
      <c r="CN1609" s="6"/>
      <c r="CO1609" s="138"/>
      <c r="CP1609" s="138"/>
      <c r="CQ1609" s="123"/>
      <c r="CR1609" s="6"/>
      <c r="CS1609" s="6"/>
      <c r="CT1609" s="139"/>
      <c r="CU1609" s="139"/>
      <c r="CV1609" s="76"/>
      <c r="CW1609" s="123"/>
      <c r="CX1609" s="6"/>
      <c r="DI1609" s="125"/>
      <c r="DJ1609" s="16"/>
      <c r="DM1609" s="16"/>
      <c r="DN1609" s="16"/>
      <c r="DO1609" s="125"/>
      <c r="DP1609" s="16"/>
      <c r="DQ1609" s="125"/>
      <c r="DZ1609" s="125"/>
      <c r="EA1609" s="142"/>
      <c r="EB1609" s="125"/>
      <c r="EC1609" s="16"/>
      <c r="ED1609" s="125"/>
      <c r="EE1609" s="125"/>
      <c r="EF1609" s="16"/>
      <c r="EG1609" s="125"/>
      <c r="EQ1609" s="125"/>
      <c r="ER1609" s="16"/>
      <c r="ES1609" s="123"/>
      <c r="ET1609" s="19"/>
      <c r="EU1609" s="139"/>
      <c r="EV1609" s="139"/>
      <c r="EW1609" s="123"/>
      <c r="EX1609" s="123"/>
      <c r="EY1609" s="123"/>
      <c r="EZ1609" s="123"/>
      <c r="FA1609" s="123"/>
      <c r="FB1609" s="123"/>
      <c r="FC1609" s="6"/>
      <c r="FD1609" s="123"/>
      <c r="FE1609" s="6"/>
      <c r="FF1609" s="123"/>
      <c r="FG1609" s="6"/>
      <c r="FH1609" s="6"/>
      <c r="FI1609" s="6"/>
      <c r="FJ1609" s="6"/>
      <c r="FK1609" s="123"/>
      <c r="FL1609" s="6"/>
      <c r="FM1609" s="6"/>
      <c r="FN1609" s="6"/>
      <c r="FO1609" s="138"/>
      <c r="FP1609" s="138"/>
      <c r="FQ1609" s="123"/>
      <c r="FR1609" s="6"/>
      <c r="FS1609" s="6"/>
      <c r="FT1609" s="139"/>
      <c r="FU1609" s="139"/>
      <c r="FV1609" s="76"/>
      <c r="FW1609" s="123"/>
      <c r="FX1609" s="6"/>
    </row>
    <row r="1610" spans="35:180">
      <c r="AI1610" s="125"/>
      <c r="AJ1610" s="16"/>
      <c r="AM1610" s="16"/>
      <c r="AN1610" s="16"/>
      <c r="AO1610" s="125"/>
      <c r="AP1610" s="16"/>
      <c r="AQ1610" s="125"/>
      <c r="AZ1610" s="125"/>
      <c r="BA1610" s="142"/>
      <c r="BB1610" s="125"/>
      <c r="BC1610" s="16"/>
      <c r="BD1610" s="125"/>
      <c r="BE1610" s="125"/>
      <c r="BF1610" s="16"/>
      <c r="BG1610" s="125"/>
      <c r="BQ1610" s="125"/>
      <c r="BR1610" s="16"/>
      <c r="BS1610" s="123"/>
      <c r="BT1610" s="19"/>
      <c r="BU1610" s="139"/>
      <c r="BV1610" s="139"/>
      <c r="BW1610" s="123"/>
      <c r="BX1610" s="123"/>
      <c r="BY1610" s="123"/>
      <c r="BZ1610" s="123"/>
      <c r="CA1610" s="123"/>
      <c r="CB1610" s="123"/>
      <c r="CC1610" s="6"/>
      <c r="CD1610" s="123"/>
      <c r="CE1610" s="6"/>
      <c r="CF1610" s="123"/>
      <c r="CG1610" s="6"/>
      <c r="CH1610" s="6"/>
      <c r="CI1610" s="6"/>
      <c r="CJ1610" s="6"/>
      <c r="CK1610" s="123"/>
      <c r="CL1610" s="6"/>
      <c r="CM1610" s="6"/>
      <c r="CN1610" s="6"/>
      <c r="CO1610" s="138"/>
      <c r="CP1610" s="138"/>
      <c r="CQ1610" s="123"/>
      <c r="CR1610" s="6"/>
      <c r="CS1610" s="6"/>
      <c r="CT1610" s="139"/>
      <c r="CU1610" s="139"/>
      <c r="CV1610" s="76"/>
      <c r="CW1610" s="123"/>
      <c r="CX1610" s="6"/>
      <c r="DI1610" s="125"/>
      <c r="DJ1610" s="16"/>
      <c r="DM1610" s="16"/>
      <c r="DN1610" s="16"/>
      <c r="DO1610" s="125"/>
      <c r="DP1610" s="16"/>
      <c r="DQ1610" s="125"/>
      <c r="DZ1610" s="125"/>
      <c r="EA1610" s="142"/>
      <c r="EB1610" s="125"/>
      <c r="EC1610" s="16"/>
      <c r="ED1610" s="125"/>
      <c r="EE1610" s="125"/>
      <c r="EF1610" s="16"/>
      <c r="EG1610" s="125"/>
      <c r="EQ1610" s="125"/>
      <c r="ER1610" s="16"/>
      <c r="ES1610" s="123"/>
      <c r="ET1610" s="19"/>
      <c r="EU1610" s="139"/>
      <c r="EV1610" s="139"/>
      <c r="EW1610" s="123"/>
      <c r="EX1610" s="123"/>
      <c r="EY1610" s="123"/>
      <c r="EZ1610" s="123"/>
      <c r="FA1610" s="123"/>
      <c r="FB1610" s="123"/>
      <c r="FC1610" s="6"/>
      <c r="FD1610" s="123"/>
      <c r="FE1610" s="6"/>
      <c r="FF1610" s="123"/>
      <c r="FG1610" s="6"/>
      <c r="FH1610" s="6"/>
      <c r="FI1610" s="6"/>
      <c r="FJ1610" s="6"/>
      <c r="FK1610" s="123"/>
      <c r="FL1610" s="6"/>
      <c r="FM1610" s="6"/>
      <c r="FN1610" s="6"/>
      <c r="FO1610" s="138"/>
      <c r="FP1610" s="138"/>
      <c r="FQ1610" s="123"/>
      <c r="FR1610" s="6"/>
      <c r="FS1610" s="6"/>
      <c r="FT1610" s="139"/>
      <c r="FU1610" s="139"/>
      <c r="FV1610" s="76"/>
      <c r="FW1610" s="123"/>
      <c r="FX1610" s="6"/>
    </row>
    <row r="1611" spans="35:180">
      <c r="AI1611" s="125"/>
      <c r="AJ1611" s="16"/>
      <c r="AM1611" s="16"/>
      <c r="AN1611" s="16"/>
      <c r="AO1611" s="125"/>
      <c r="AP1611" s="16"/>
      <c r="AQ1611" s="125"/>
      <c r="AZ1611" s="125"/>
      <c r="BA1611" s="142"/>
      <c r="BB1611" s="125"/>
      <c r="BC1611" s="16"/>
      <c r="BD1611" s="125"/>
      <c r="BE1611" s="125"/>
      <c r="BF1611" s="16"/>
      <c r="BG1611" s="125"/>
      <c r="BQ1611" s="125"/>
      <c r="BR1611" s="16"/>
      <c r="BS1611" s="123"/>
      <c r="BT1611" s="19"/>
      <c r="BU1611" s="139"/>
      <c r="BV1611" s="139"/>
      <c r="BW1611" s="123"/>
      <c r="BX1611" s="123"/>
      <c r="BY1611" s="123"/>
      <c r="BZ1611" s="123"/>
      <c r="CA1611" s="123"/>
      <c r="CB1611" s="123"/>
      <c r="CC1611" s="6"/>
      <c r="CD1611" s="123"/>
      <c r="CE1611" s="6"/>
      <c r="CF1611" s="123"/>
      <c r="CG1611" s="6"/>
      <c r="CH1611" s="6"/>
      <c r="CI1611" s="6"/>
      <c r="CJ1611" s="6"/>
      <c r="CK1611" s="123"/>
      <c r="CL1611" s="6"/>
      <c r="CM1611" s="6"/>
      <c r="CN1611" s="6"/>
      <c r="CO1611" s="138"/>
      <c r="CP1611" s="138"/>
      <c r="CQ1611" s="123"/>
      <c r="CR1611" s="6"/>
      <c r="CS1611" s="6"/>
      <c r="CT1611" s="139"/>
      <c r="CU1611" s="139"/>
      <c r="CV1611" s="76"/>
      <c r="CW1611" s="123"/>
      <c r="CX1611" s="6"/>
      <c r="DI1611" s="125"/>
      <c r="DJ1611" s="16"/>
      <c r="DM1611" s="16"/>
      <c r="DN1611" s="16"/>
      <c r="DO1611" s="125"/>
      <c r="DP1611" s="16"/>
      <c r="DQ1611" s="125"/>
      <c r="DZ1611" s="125"/>
      <c r="EA1611" s="142"/>
      <c r="EB1611" s="125"/>
      <c r="EC1611" s="16"/>
      <c r="ED1611" s="125"/>
      <c r="EE1611" s="125"/>
      <c r="EF1611" s="16"/>
      <c r="EG1611" s="125"/>
      <c r="EQ1611" s="125"/>
      <c r="ER1611" s="16"/>
      <c r="ES1611" s="123"/>
      <c r="ET1611" s="19"/>
      <c r="EU1611" s="139"/>
      <c r="EV1611" s="139"/>
      <c r="EW1611" s="123"/>
      <c r="EX1611" s="123"/>
      <c r="EY1611" s="123"/>
      <c r="EZ1611" s="123"/>
      <c r="FA1611" s="123"/>
      <c r="FB1611" s="123"/>
      <c r="FC1611" s="6"/>
      <c r="FD1611" s="123"/>
      <c r="FE1611" s="6"/>
      <c r="FF1611" s="123"/>
      <c r="FG1611" s="6"/>
      <c r="FH1611" s="6"/>
      <c r="FI1611" s="6"/>
      <c r="FJ1611" s="6"/>
      <c r="FK1611" s="123"/>
      <c r="FL1611" s="6"/>
      <c r="FM1611" s="6"/>
      <c r="FN1611" s="6"/>
      <c r="FO1611" s="138"/>
      <c r="FP1611" s="138"/>
      <c r="FQ1611" s="123"/>
      <c r="FR1611" s="6"/>
      <c r="FS1611" s="6"/>
      <c r="FT1611" s="139"/>
      <c r="FU1611" s="139"/>
      <c r="FV1611" s="76"/>
      <c r="FW1611" s="123"/>
      <c r="FX1611" s="6"/>
    </row>
    <row r="1612" spans="35:180">
      <c r="AI1612" s="125"/>
      <c r="AJ1612" s="16"/>
      <c r="AM1612" s="16"/>
      <c r="AN1612" s="16"/>
      <c r="AO1612" s="125"/>
      <c r="AP1612" s="16"/>
      <c r="AQ1612" s="125"/>
      <c r="AZ1612" s="125"/>
      <c r="BA1612" s="142"/>
      <c r="BB1612" s="125"/>
      <c r="BC1612" s="16"/>
      <c r="BD1612" s="125"/>
      <c r="BE1612" s="125"/>
      <c r="BF1612" s="16"/>
      <c r="BG1612" s="125"/>
      <c r="BQ1612" s="125"/>
      <c r="BR1612" s="16"/>
      <c r="BS1612" s="123"/>
      <c r="BT1612" s="19"/>
      <c r="BU1612" s="139"/>
      <c r="BV1612" s="139"/>
      <c r="BW1612" s="123"/>
      <c r="BX1612" s="123"/>
      <c r="BY1612" s="123"/>
      <c r="BZ1612" s="123"/>
      <c r="CA1612" s="123"/>
      <c r="CB1612" s="123"/>
      <c r="CC1612" s="6"/>
      <c r="CD1612" s="123"/>
      <c r="CE1612" s="6"/>
      <c r="CF1612" s="123"/>
      <c r="CG1612" s="6"/>
      <c r="CH1612" s="6"/>
      <c r="CI1612" s="6"/>
      <c r="CJ1612" s="6"/>
      <c r="CK1612" s="123"/>
      <c r="CL1612" s="6"/>
      <c r="CM1612" s="6"/>
      <c r="CN1612" s="6"/>
      <c r="CO1612" s="138"/>
      <c r="CP1612" s="138"/>
      <c r="CQ1612" s="123"/>
      <c r="CR1612" s="6"/>
      <c r="CS1612" s="6"/>
      <c r="CT1612" s="139"/>
      <c r="CU1612" s="139"/>
      <c r="CV1612" s="76"/>
      <c r="CW1612" s="123"/>
      <c r="CX1612" s="6"/>
      <c r="DI1612" s="125"/>
      <c r="DJ1612" s="16"/>
      <c r="DM1612" s="16"/>
      <c r="DN1612" s="16"/>
      <c r="DO1612" s="125"/>
      <c r="DP1612" s="16"/>
      <c r="DQ1612" s="125"/>
      <c r="DZ1612" s="125"/>
      <c r="EA1612" s="142"/>
      <c r="EB1612" s="125"/>
      <c r="EC1612" s="16"/>
      <c r="ED1612" s="125"/>
      <c r="EE1612" s="125"/>
      <c r="EF1612" s="16"/>
      <c r="EG1612" s="125"/>
      <c r="EQ1612" s="125"/>
      <c r="ER1612" s="16"/>
      <c r="ES1612" s="123"/>
      <c r="ET1612" s="19"/>
      <c r="EU1612" s="139"/>
      <c r="EV1612" s="139"/>
      <c r="EW1612" s="123"/>
      <c r="EX1612" s="123"/>
      <c r="EY1612" s="123"/>
      <c r="EZ1612" s="123"/>
      <c r="FA1612" s="123"/>
      <c r="FB1612" s="123"/>
      <c r="FC1612" s="6"/>
      <c r="FD1612" s="123"/>
      <c r="FE1612" s="6"/>
      <c r="FF1612" s="123"/>
      <c r="FG1612" s="6"/>
      <c r="FH1612" s="6"/>
      <c r="FI1612" s="6"/>
      <c r="FJ1612" s="6"/>
      <c r="FK1612" s="123"/>
      <c r="FL1612" s="6"/>
      <c r="FM1612" s="6"/>
      <c r="FN1612" s="6"/>
      <c r="FO1612" s="138"/>
      <c r="FP1612" s="138"/>
      <c r="FQ1612" s="123"/>
      <c r="FR1612" s="6"/>
      <c r="FS1612" s="6"/>
      <c r="FT1612" s="139"/>
      <c r="FU1612" s="139"/>
      <c r="FV1612" s="76"/>
      <c r="FW1612" s="123"/>
      <c r="FX1612" s="6"/>
    </row>
    <row r="1613" spans="35:180">
      <c r="AI1613" s="125"/>
      <c r="AJ1613" s="16"/>
      <c r="AM1613" s="16"/>
      <c r="AN1613" s="16"/>
      <c r="AO1613" s="125"/>
      <c r="AP1613" s="16"/>
      <c r="AQ1613" s="125"/>
      <c r="AZ1613" s="125"/>
      <c r="BA1613" s="142"/>
      <c r="BB1613" s="125"/>
      <c r="BC1613" s="16"/>
      <c r="BD1613" s="125"/>
      <c r="BE1613" s="125"/>
      <c r="BF1613" s="16"/>
      <c r="BG1613" s="125"/>
      <c r="BQ1613" s="125"/>
      <c r="BR1613" s="16"/>
      <c r="BS1613" s="123"/>
      <c r="BT1613" s="19"/>
      <c r="BU1613" s="139"/>
      <c r="BV1613" s="139"/>
      <c r="BW1613" s="123"/>
      <c r="BX1613" s="123"/>
      <c r="BY1613" s="123"/>
      <c r="BZ1613" s="123"/>
      <c r="CA1613" s="123"/>
      <c r="CB1613" s="123"/>
      <c r="CC1613" s="6"/>
      <c r="CD1613" s="123"/>
      <c r="CE1613" s="6"/>
      <c r="CF1613" s="123"/>
      <c r="CG1613" s="6"/>
      <c r="CH1613" s="6"/>
      <c r="CI1613" s="6"/>
      <c r="CJ1613" s="6"/>
      <c r="CK1613" s="123"/>
      <c r="CL1613" s="6"/>
      <c r="CM1613" s="6"/>
      <c r="CN1613" s="6"/>
      <c r="CO1613" s="138"/>
      <c r="CP1613" s="138"/>
      <c r="CQ1613" s="123"/>
      <c r="CR1613" s="6"/>
      <c r="CS1613" s="6"/>
      <c r="CT1613" s="139"/>
      <c r="CU1613" s="139"/>
      <c r="CV1613" s="76"/>
      <c r="CW1613" s="123"/>
      <c r="CX1613" s="6"/>
      <c r="DI1613" s="125"/>
      <c r="DJ1613" s="16"/>
      <c r="DM1613" s="16"/>
      <c r="DN1613" s="16"/>
      <c r="DO1613" s="125"/>
      <c r="DP1613" s="16"/>
      <c r="DQ1613" s="125"/>
      <c r="DZ1613" s="125"/>
      <c r="EA1613" s="142"/>
      <c r="EB1613" s="125"/>
      <c r="EC1613" s="16"/>
      <c r="ED1613" s="125"/>
      <c r="EE1613" s="125"/>
      <c r="EF1613" s="16"/>
      <c r="EG1613" s="125"/>
      <c r="EQ1613" s="125"/>
      <c r="ER1613" s="16"/>
      <c r="ES1613" s="123"/>
      <c r="ET1613" s="19"/>
      <c r="EU1613" s="139"/>
      <c r="EV1613" s="139"/>
      <c r="EW1613" s="123"/>
      <c r="EX1613" s="123"/>
      <c r="EY1613" s="123"/>
      <c r="EZ1613" s="123"/>
      <c r="FA1613" s="123"/>
      <c r="FB1613" s="123"/>
      <c r="FC1613" s="6"/>
      <c r="FD1613" s="123"/>
      <c r="FE1613" s="6"/>
      <c r="FF1613" s="123"/>
      <c r="FG1613" s="6"/>
      <c r="FH1613" s="6"/>
      <c r="FI1613" s="6"/>
      <c r="FJ1613" s="6"/>
      <c r="FK1613" s="123"/>
      <c r="FL1613" s="6"/>
      <c r="FM1613" s="6"/>
      <c r="FN1613" s="6"/>
      <c r="FO1613" s="138"/>
      <c r="FP1613" s="138"/>
      <c r="FQ1613" s="123"/>
      <c r="FR1613" s="6"/>
      <c r="FS1613" s="6"/>
      <c r="FT1613" s="139"/>
      <c r="FU1613" s="139"/>
      <c r="FV1613" s="76"/>
      <c r="FW1613" s="123"/>
      <c r="FX1613" s="6"/>
    </row>
    <row r="1614" spans="35:180">
      <c r="AI1614" s="125"/>
      <c r="AJ1614" s="16"/>
      <c r="AM1614" s="16"/>
      <c r="AN1614" s="16"/>
      <c r="AO1614" s="125"/>
      <c r="AP1614" s="16"/>
      <c r="AQ1614" s="125"/>
      <c r="AZ1614" s="125"/>
      <c r="BA1614" s="142"/>
      <c r="BB1614" s="125"/>
      <c r="BC1614" s="16"/>
      <c r="BD1614" s="125"/>
      <c r="BE1614" s="125"/>
      <c r="BF1614" s="16"/>
      <c r="BG1614" s="125"/>
      <c r="BQ1614" s="125"/>
      <c r="BR1614" s="16"/>
      <c r="BS1614" s="123"/>
      <c r="BT1614" s="19"/>
      <c r="BU1614" s="139"/>
      <c r="BV1614" s="139"/>
      <c r="BW1614" s="123"/>
      <c r="BX1614" s="123"/>
      <c r="BY1614" s="123"/>
      <c r="BZ1614" s="123"/>
      <c r="CA1614" s="123"/>
      <c r="CB1614" s="123"/>
      <c r="CC1614" s="6"/>
      <c r="CD1614" s="123"/>
      <c r="CE1614" s="6"/>
      <c r="CF1614" s="123"/>
      <c r="CG1614" s="6"/>
      <c r="CH1614" s="6"/>
      <c r="CI1614" s="6"/>
      <c r="CJ1614" s="6"/>
      <c r="CK1614" s="123"/>
      <c r="CL1614" s="6"/>
      <c r="CM1614" s="6"/>
      <c r="CN1614" s="6"/>
      <c r="CO1614" s="138"/>
      <c r="CP1614" s="138"/>
      <c r="CQ1614" s="123"/>
      <c r="CR1614" s="6"/>
      <c r="CS1614" s="6"/>
      <c r="CT1614" s="139"/>
      <c r="CU1614" s="139"/>
      <c r="CV1614" s="76"/>
      <c r="CW1614" s="123"/>
      <c r="CX1614" s="6"/>
      <c r="DI1614" s="125"/>
      <c r="DJ1614" s="16"/>
      <c r="DM1614" s="16"/>
      <c r="DN1614" s="16"/>
      <c r="DO1614" s="125"/>
      <c r="DP1614" s="16"/>
      <c r="DQ1614" s="125"/>
      <c r="DZ1614" s="125"/>
      <c r="EA1614" s="142"/>
      <c r="EB1614" s="125"/>
      <c r="EC1614" s="16"/>
      <c r="ED1614" s="125"/>
      <c r="EE1614" s="125"/>
      <c r="EF1614" s="16"/>
      <c r="EG1614" s="125"/>
      <c r="EQ1614" s="125"/>
      <c r="ER1614" s="16"/>
      <c r="ES1614" s="123"/>
      <c r="ET1614" s="19"/>
      <c r="EU1614" s="139"/>
      <c r="EV1614" s="139"/>
      <c r="EW1614" s="123"/>
      <c r="EX1614" s="123"/>
      <c r="EY1614" s="123"/>
      <c r="EZ1614" s="123"/>
      <c r="FA1614" s="123"/>
      <c r="FB1614" s="123"/>
      <c r="FC1614" s="6"/>
      <c r="FD1614" s="123"/>
      <c r="FE1614" s="6"/>
      <c r="FF1614" s="123"/>
      <c r="FG1614" s="6"/>
      <c r="FH1614" s="6"/>
      <c r="FI1614" s="6"/>
      <c r="FJ1614" s="6"/>
      <c r="FK1614" s="123"/>
      <c r="FL1614" s="6"/>
      <c r="FM1614" s="6"/>
      <c r="FN1614" s="6"/>
      <c r="FO1614" s="138"/>
      <c r="FP1614" s="138"/>
      <c r="FQ1614" s="123"/>
      <c r="FR1614" s="6"/>
      <c r="FS1614" s="6"/>
      <c r="FT1614" s="139"/>
      <c r="FU1614" s="139"/>
      <c r="FV1614" s="76"/>
      <c r="FW1614" s="123"/>
      <c r="FX1614" s="6"/>
    </row>
    <row r="1615" spans="35:180">
      <c r="AI1615" s="125"/>
      <c r="AJ1615" s="16"/>
      <c r="AM1615" s="16"/>
      <c r="AN1615" s="16"/>
      <c r="AO1615" s="125"/>
      <c r="AP1615" s="16"/>
      <c r="AQ1615" s="125"/>
      <c r="AZ1615" s="125"/>
      <c r="BA1615" s="142"/>
      <c r="BB1615" s="125"/>
      <c r="BC1615" s="16"/>
      <c r="BD1615" s="125"/>
      <c r="BE1615" s="125"/>
      <c r="BF1615" s="16"/>
      <c r="BG1615" s="125"/>
      <c r="BQ1615" s="125"/>
      <c r="BR1615" s="16"/>
      <c r="BS1615" s="123"/>
      <c r="BT1615" s="19"/>
      <c r="BU1615" s="139"/>
      <c r="BV1615" s="139"/>
      <c r="BW1615" s="123"/>
      <c r="BX1615" s="123"/>
      <c r="BY1615" s="123"/>
      <c r="BZ1615" s="123"/>
      <c r="CA1615" s="123"/>
      <c r="CB1615" s="123"/>
      <c r="CC1615" s="6"/>
      <c r="CD1615" s="123"/>
      <c r="CE1615" s="6"/>
      <c r="CF1615" s="123"/>
      <c r="CG1615" s="6"/>
      <c r="CH1615" s="6"/>
      <c r="CI1615" s="6"/>
      <c r="CJ1615" s="6"/>
      <c r="CK1615" s="123"/>
      <c r="CL1615" s="6"/>
      <c r="CM1615" s="6"/>
      <c r="CN1615" s="6"/>
      <c r="CO1615" s="138"/>
      <c r="CP1615" s="138"/>
      <c r="CQ1615" s="123"/>
      <c r="CR1615" s="6"/>
      <c r="CS1615" s="6"/>
      <c r="CT1615" s="139"/>
      <c r="CU1615" s="139"/>
      <c r="CV1615" s="76"/>
      <c r="CW1615" s="123"/>
      <c r="CX1615" s="6"/>
      <c r="DI1615" s="125"/>
      <c r="DJ1615" s="16"/>
      <c r="DM1615" s="16"/>
      <c r="DN1615" s="16"/>
      <c r="DO1615" s="125"/>
      <c r="DP1615" s="16"/>
      <c r="DQ1615" s="125"/>
      <c r="DZ1615" s="125"/>
      <c r="EA1615" s="142"/>
      <c r="EB1615" s="125"/>
      <c r="EC1615" s="16"/>
      <c r="ED1615" s="125"/>
      <c r="EE1615" s="125"/>
      <c r="EF1615" s="16"/>
      <c r="EG1615" s="125"/>
      <c r="EQ1615" s="125"/>
      <c r="ER1615" s="16"/>
      <c r="ES1615" s="123"/>
      <c r="ET1615" s="19"/>
      <c r="EU1615" s="139"/>
      <c r="EV1615" s="139"/>
      <c r="EW1615" s="123"/>
      <c r="EX1615" s="123"/>
      <c r="EY1615" s="123"/>
      <c r="EZ1615" s="123"/>
      <c r="FA1615" s="123"/>
      <c r="FB1615" s="123"/>
      <c r="FC1615" s="6"/>
      <c r="FD1615" s="123"/>
      <c r="FE1615" s="6"/>
      <c r="FF1615" s="123"/>
      <c r="FG1615" s="6"/>
      <c r="FH1615" s="6"/>
      <c r="FI1615" s="6"/>
      <c r="FJ1615" s="6"/>
      <c r="FK1615" s="123"/>
      <c r="FL1615" s="6"/>
      <c r="FM1615" s="6"/>
      <c r="FN1615" s="6"/>
      <c r="FO1615" s="138"/>
      <c r="FP1615" s="138"/>
      <c r="FQ1615" s="123"/>
      <c r="FR1615" s="6"/>
      <c r="FS1615" s="6"/>
      <c r="FT1615" s="139"/>
      <c r="FU1615" s="139"/>
      <c r="FV1615" s="76"/>
      <c r="FW1615" s="123"/>
      <c r="FX1615" s="6"/>
    </row>
    <row r="1616" spans="35:180">
      <c r="AI1616" s="125"/>
      <c r="AJ1616" s="16"/>
      <c r="AM1616" s="16"/>
      <c r="AN1616" s="16"/>
      <c r="AO1616" s="125"/>
      <c r="AP1616" s="16"/>
      <c r="AQ1616" s="125"/>
      <c r="AZ1616" s="125"/>
      <c r="BA1616" s="142"/>
      <c r="BB1616" s="125"/>
      <c r="BC1616" s="16"/>
      <c r="BD1616" s="125"/>
      <c r="BE1616" s="125"/>
      <c r="BF1616" s="16"/>
      <c r="BG1616" s="125"/>
      <c r="BQ1616" s="125"/>
      <c r="BR1616" s="16"/>
      <c r="BS1616" s="123"/>
      <c r="BT1616" s="19"/>
      <c r="BU1616" s="139"/>
      <c r="BV1616" s="139"/>
      <c r="BW1616" s="123"/>
      <c r="BX1616" s="123"/>
      <c r="BY1616" s="123"/>
      <c r="BZ1616" s="123"/>
      <c r="CA1616" s="123"/>
      <c r="CB1616" s="123"/>
      <c r="CC1616" s="6"/>
      <c r="CD1616" s="123"/>
      <c r="CE1616" s="6"/>
      <c r="CF1616" s="123"/>
      <c r="CG1616" s="6"/>
      <c r="CH1616" s="6"/>
      <c r="CI1616" s="6"/>
      <c r="CJ1616" s="6"/>
      <c r="CK1616" s="123"/>
      <c r="CL1616" s="6"/>
      <c r="CM1616" s="6"/>
      <c r="CN1616" s="6"/>
      <c r="CO1616" s="138"/>
      <c r="CP1616" s="138"/>
      <c r="CQ1616" s="123"/>
      <c r="CR1616" s="6"/>
      <c r="CS1616" s="6"/>
      <c r="CT1616" s="139"/>
      <c r="CU1616" s="139"/>
      <c r="CV1616" s="76"/>
      <c r="CW1616" s="123"/>
      <c r="CX1616" s="6"/>
      <c r="DI1616" s="125"/>
      <c r="DJ1616" s="16"/>
      <c r="DM1616" s="16"/>
      <c r="DN1616" s="16"/>
      <c r="DO1616" s="125"/>
      <c r="DP1616" s="16"/>
      <c r="DQ1616" s="125"/>
      <c r="DZ1616" s="125"/>
      <c r="EA1616" s="142"/>
      <c r="EB1616" s="125"/>
      <c r="EC1616" s="16"/>
      <c r="ED1616" s="125"/>
      <c r="EE1616" s="125"/>
      <c r="EF1616" s="16"/>
      <c r="EG1616" s="125"/>
      <c r="EQ1616" s="125"/>
      <c r="ER1616" s="16"/>
      <c r="ES1616" s="123"/>
      <c r="ET1616" s="19"/>
      <c r="EU1616" s="139"/>
      <c r="EV1616" s="139"/>
      <c r="EW1616" s="123"/>
      <c r="EX1616" s="123"/>
      <c r="EY1616" s="123"/>
      <c r="EZ1616" s="123"/>
      <c r="FA1616" s="123"/>
      <c r="FB1616" s="123"/>
      <c r="FC1616" s="6"/>
      <c r="FD1616" s="123"/>
      <c r="FE1616" s="6"/>
      <c r="FF1616" s="123"/>
      <c r="FG1616" s="6"/>
      <c r="FH1616" s="6"/>
      <c r="FI1616" s="6"/>
      <c r="FJ1616" s="6"/>
      <c r="FK1616" s="123"/>
      <c r="FL1616" s="6"/>
      <c r="FM1616" s="6"/>
      <c r="FN1616" s="6"/>
      <c r="FO1616" s="138"/>
      <c r="FP1616" s="138"/>
      <c r="FQ1616" s="123"/>
      <c r="FR1616" s="6"/>
      <c r="FS1616" s="6"/>
      <c r="FT1616" s="139"/>
      <c r="FU1616" s="139"/>
      <c r="FV1616" s="76"/>
      <c r="FW1616" s="123"/>
      <c r="FX1616" s="6"/>
    </row>
    <row r="1617" spans="35:180">
      <c r="AI1617" s="125"/>
      <c r="AJ1617" s="16"/>
      <c r="AM1617" s="16"/>
      <c r="AN1617" s="16"/>
      <c r="AO1617" s="125"/>
      <c r="AP1617" s="16"/>
      <c r="AQ1617" s="125"/>
      <c r="AZ1617" s="125"/>
      <c r="BA1617" s="142"/>
      <c r="BB1617" s="125"/>
      <c r="BC1617" s="16"/>
      <c r="BD1617" s="125"/>
      <c r="BE1617" s="125"/>
      <c r="BF1617" s="16"/>
      <c r="BG1617" s="125"/>
      <c r="BQ1617" s="125"/>
      <c r="BR1617" s="16"/>
      <c r="BS1617" s="123"/>
      <c r="BT1617" s="19"/>
      <c r="BU1617" s="139"/>
      <c r="BV1617" s="139"/>
      <c r="BW1617" s="123"/>
      <c r="BX1617" s="123"/>
      <c r="BY1617" s="123"/>
      <c r="BZ1617" s="123"/>
      <c r="CA1617" s="123"/>
      <c r="CB1617" s="123"/>
      <c r="CC1617" s="6"/>
      <c r="CD1617" s="123"/>
      <c r="CE1617" s="6"/>
      <c r="CF1617" s="123"/>
      <c r="CG1617" s="6"/>
      <c r="CH1617" s="6"/>
      <c r="CI1617" s="6"/>
      <c r="CJ1617" s="6"/>
      <c r="CK1617" s="123"/>
      <c r="CL1617" s="6"/>
      <c r="CM1617" s="6"/>
      <c r="CN1617" s="6"/>
      <c r="CO1617" s="138"/>
      <c r="CP1617" s="138"/>
      <c r="CQ1617" s="123"/>
      <c r="CR1617" s="6"/>
      <c r="CS1617" s="6"/>
      <c r="CT1617" s="139"/>
      <c r="CU1617" s="139"/>
      <c r="CV1617" s="76"/>
      <c r="CW1617" s="123"/>
      <c r="CX1617" s="6"/>
      <c r="DI1617" s="125"/>
      <c r="DJ1617" s="16"/>
      <c r="DM1617" s="16"/>
      <c r="DN1617" s="16"/>
      <c r="DO1617" s="125"/>
      <c r="DP1617" s="16"/>
      <c r="DQ1617" s="125"/>
      <c r="DZ1617" s="125"/>
      <c r="EA1617" s="142"/>
      <c r="EB1617" s="125"/>
      <c r="EC1617" s="16"/>
      <c r="ED1617" s="125"/>
      <c r="EE1617" s="125"/>
      <c r="EF1617" s="16"/>
      <c r="EG1617" s="125"/>
      <c r="EQ1617" s="125"/>
      <c r="ER1617" s="16"/>
      <c r="ES1617" s="123"/>
      <c r="ET1617" s="19"/>
      <c r="EU1617" s="139"/>
      <c r="EV1617" s="139"/>
      <c r="EW1617" s="123"/>
      <c r="EX1617" s="123"/>
      <c r="EY1617" s="123"/>
      <c r="EZ1617" s="123"/>
      <c r="FA1617" s="123"/>
      <c r="FB1617" s="123"/>
      <c r="FC1617" s="6"/>
      <c r="FD1617" s="123"/>
      <c r="FE1617" s="6"/>
      <c r="FF1617" s="123"/>
      <c r="FG1617" s="6"/>
      <c r="FH1617" s="6"/>
      <c r="FI1617" s="6"/>
      <c r="FJ1617" s="6"/>
      <c r="FK1617" s="123"/>
      <c r="FL1617" s="6"/>
      <c r="FM1617" s="6"/>
      <c r="FN1617" s="6"/>
      <c r="FO1617" s="138"/>
      <c r="FP1617" s="138"/>
      <c r="FQ1617" s="123"/>
      <c r="FR1617" s="6"/>
      <c r="FS1617" s="6"/>
      <c r="FT1617" s="139"/>
      <c r="FU1617" s="139"/>
      <c r="FV1617" s="76"/>
      <c r="FW1617" s="123"/>
      <c r="FX1617" s="6"/>
    </row>
    <row r="1618" spans="35:180">
      <c r="AI1618" s="125"/>
      <c r="AJ1618" s="16"/>
      <c r="AM1618" s="16"/>
      <c r="AN1618" s="16"/>
      <c r="AO1618" s="125"/>
      <c r="AP1618" s="16"/>
      <c r="AQ1618" s="125"/>
      <c r="AZ1618" s="125"/>
      <c r="BA1618" s="142"/>
      <c r="BB1618" s="125"/>
      <c r="BC1618" s="16"/>
      <c r="BD1618" s="125"/>
      <c r="BE1618" s="125"/>
      <c r="BF1618" s="16"/>
      <c r="BG1618" s="125"/>
      <c r="BQ1618" s="125"/>
      <c r="BR1618" s="16"/>
      <c r="BS1618" s="123"/>
      <c r="BT1618" s="19"/>
      <c r="BU1618" s="139"/>
      <c r="BV1618" s="139"/>
      <c r="BW1618" s="123"/>
      <c r="BX1618" s="123"/>
      <c r="BY1618" s="123"/>
      <c r="BZ1618" s="123"/>
      <c r="CA1618" s="123"/>
      <c r="CB1618" s="123"/>
      <c r="CC1618" s="6"/>
      <c r="CD1618" s="123"/>
      <c r="CE1618" s="6"/>
      <c r="CF1618" s="123"/>
      <c r="CG1618" s="6"/>
      <c r="CH1618" s="6"/>
      <c r="CI1618" s="6"/>
      <c r="CJ1618" s="6"/>
      <c r="CK1618" s="123"/>
      <c r="CL1618" s="6"/>
      <c r="CM1618" s="6"/>
      <c r="CN1618" s="6"/>
      <c r="CO1618" s="138"/>
      <c r="CP1618" s="138"/>
      <c r="CQ1618" s="123"/>
      <c r="CR1618" s="6"/>
      <c r="CS1618" s="6"/>
      <c r="CT1618" s="139"/>
      <c r="CU1618" s="139"/>
      <c r="CV1618" s="76"/>
      <c r="CW1618" s="123"/>
      <c r="CX1618" s="6"/>
      <c r="DI1618" s="125"/>
      <c r="DJ1618" s="16"/>
      <c r="DM1618" s="16"/>
      <c r="DN1618" s="16"/>
      <c r="DO1618" s="125"/>
      <c r="DP1618" s="16"/>
      <c r="DQ1618" s="125"/>
      <c r="DZ1618" s="125"/>
      <c r="EA1618" s="142"/>
      <c r="EB1618" s="125"/>
      <c r="EC1618" s="16"/>
      <c r="ED1618" s="125"/>
      <c r="EE1618" s="125"/>
      <c r="EF1618" s="16"/>
      <c r="EG1618" s="125"/>
      <c r="EQ1618" s="125"/>
      <c r="ER1618" s="16"/>
      <c r="ES1618" s="123"/>
      <c r="ET1618" s="19"/>
      <c r="EU1618" s="139"/>
      <c r="EV1618" s="139"/>
      <c r="EW1618" s="123"/>
      <c r="EX1618" s="123"/>
      <c r="EY1618" s="123"/>
      <c r="EZ1618" s="123"/>
      <c r="FA1618" s="123"/>
      <c r="FB1618" s="123"/>
      <c r="FC1618" s="6"/>
      <c r="FD1618" s="123"/>
      <c r="FE1618" s="6"/>
      <c r="FF1618" s="123"/>
      <c r="FG1618" s="6"/>
      <c r="FH1618" s="6"/>
      <c r="FI1618" s="6"/>
      <c r="FJ1618" s="6"/>
      <c r="FK1618" s="123"/>
      <c r="FL1618" s="6"/>
      <c r="FM1618" s="6"/>
      <c r="FN1618" s="6"/>
      <c r="FO1618" s="138"/>
      <c r="FP1618" s="138"/>
      <c r="FQ1618" s="123"/>
      <c r="FR1618" s="6"/>
      <c r="FS1618" s="6"/>
      <c r="FT1618" s="139"/>
      <c r="FU1618" s="139"/>
      <c r="FV1618" s="76"/>
      <c r="FW1618" s="123"/>
      <c r="FX1618" s="6"/>
    </row>
    <row r="1619" spans="35:180">
      <c r="AI1619" s="125"/>
      <c r="AJ1619" s="16"/>
      <c r="AM1619" s="16"/>
      <c r="AN1619" s="16"/>
      <c r="AO1619" s="125"/>
      <c r="AP1619" s="16"/>
      <c r="AQ1619" s="125"/>
      <c r="AZ1619" s="125"/>
      <c r="BA1619" s="142"/>
      <c r="BB1619" s="125"/>
      <c r="BC1619" s="16"/>
      <c r="BD1619" s="125"/>
      <c r="BE1619" s="125"/>
      <c r="BF1619" s="16"/>
      <c r="BG1619" s="125"/>
      <c r="BQ1619" s="125"/>
      <c r="BR1619" s="16"/>
      <c r="BS1619" s="123"/>
      <c r="BT1619" s="19"/>
      <c r="BU1619" s="139"/>
      <c r="BV1619" s="139"/>
      <c r="BW1619" s="123"/>
      <c r="BX1619" s="123"/>
      <c r="BY1619" s="123"/>
      <c r="BZ1619" s="123"/>
      <c r="CA1619" s="123"/>
      <c r="CB1619" s="123"/>
      <c r="CC1619" s="6"/>
      <c r="CD1619" s="123"/>
      <c r="CE1619" s="6"/>
      <c r="CF1619" s="123"/>
      <c r="CG1619" s="6"/>
      <c r="CH1619" s="6"/>
      <c r="CI1619" s="6"/>
      <c r="CJ1619" s="6"/>
      <c r="CK1619" s="123"/>
      <c r="CL1619" s="6"/>
      <c r="CM1619" s="6"/>
      <c r="CN1619" s="6"/>
      <c r="CO1619" s="138"/>
      <c r="CP1619" s="138"/>
      <c r="CQ1619" s="123"/>
      <c r="CR1619" s="6"/>
      <c r="CS1619" s="6"/>
      <c r="CT1619" s="139"/>
      <c r="CU1619" s="139"/>
      <c r="CV1619" s="76"/>
      <c r="CW1619" s="123"/>
      <c r="CX1619" s="6"/>
      <c r="DI1619" s="125"/>
      <c r="DJ1619" s="16"/>
      <c r="DM1619" s="16"/>
      <c r="DN1619" s="16"/>
      <c r="DO1619" s="125"/>
      <c r="DP1619" s="16"/>
      <c r="DQ1619" s="125"/>
      <c r="DZ1619" s="125"/>
      <c r="EA1619" s="142"/>
      <c r="EB1619" s="125"/>
      <c r="EC1619" s="16"/>
      <c r="ED1619" s="125"/>
      <c r="EE1619" s="125"/>
      <c r="EF1619" s="16"/>
      <c r="EG1619" s="125"/>
      <c r="EQ1619" s="125"/>
      <c r="ER1619" s="16"/>
      <c r="ES1619" s="123"/>
      <c r="ET1619" s="19"/>
      <c r="EU1619" s="139"/>
      <c r="EV1619" s="139"/>
      <c r="EW1619" s="123"/>
      <c r="EX1619" s="123"/>
      <c r="EY1619" s="123"/>
      <c r="EZ1619" s="123"/>
      <c r="FA1619" s="123"/>
      <c r="FB1619" s="123"/>
      <c r="FC1619" s="6"/>
      <c r="FD1619" s="123"/>
      <c r="FE1619" s="6"/>
      <c r="FF1619" s="123"/>
      <c r="FG1619" s="6"/>
      <c r="FH1619" s="6"/>
      <c r="FI1619" s="6"/>
      <c r="FJ1619" s="6"/>
      <c r="FK1619" s="123"/>
      <c r="FL1619" s="6"/>
      <c r="FM1619" s="6"/>
      <c r="FN1619" s="6"/>
      <c r="FO1619" s="138"/>
      <c r="FP1619" s="138"/>
      <c r="FQ1619" s="123"/>
      <c r="FR1619" s="6"/>
      <c r="FS1619" s="6"/>
      <c r="FT1619" s="139"/>
      <c r="FU1619" s="139"/>
      <c r="FV1619" s="76"/>
      <c r="FW1619" s="123"/>
      <c r="FX1619" s="6"/>
    </row>
    <row r="1620" spans="35:180">
      <c r="AI1620" s="125"/>
      <c r="AJ1620" s="16"/>
      <c r="AM1620" s="16"/>
      <c r="AN1620" s="16"/>
      <c r="AO1620" s="125"/>
      <c r="AP1620" s="16"/>
      <c r="AQ1620" s="125"/>
      <c r="AZ1620" s="125"/>
      <c r="BA1620" s="142"/>
      <c r="BB1620" s="125"/>
      <c r="BC1620" s="16"/>
      <c r="BD1620" s="125"/>
      <c r="BE1620" s="125"/>
      <c r="BF1620" s="16"/>
      <c r="BG1620" s="125"/>
      <c r="BQ1620" s="125"/>
      <c r="BR1620" s="16"/>
      <c r="BS1620" s="123"/>
      <c r="BT1620" s="19"/>
      <c r="BU1620" s="139"/>
      <c r="BV1620" s="139"/>
      <c r="BW1620" s="123"/>
      <c r="BX1620" s="123"/>
      <c r="BY1620" s="123"/>
      <c r="BZ1620" s="123"/>
      <c r="CA1620" s="123"/>
      <c r="CB1620" s="123"/>
      <c r="CC1620" s="6"/>
      <c r="CD1620" s="123"/>
      <c r="CE1620" s="6"/>
      <c r="CF1620" s="123"/>
      <c r="CG1620" s="6"/>
      <c r="CH1620" s="6"/>
      <c r="CI1620" s="6"/>
      <c r="CJ1620" s="6"/>
      <c r="CK1620" s="123"/>
      <c r="CL1620" s="6"/>
      <c r="CM1620" s="6"/>
      <c r="CN1620" s="6"/>
      <c r="CO1620" s="138"/>
      <c r="CP1620" s="138"/>
      <c r="CQ1620" s="123"/>
      <c r="CR1620" s="6"/>
      <c r="CS1620" s="6"/>
      <c r="CT1620" s="139"/>
      <c r="CU1620" s="139"/>
      <c r="CV1620" s="76"/>
      <c r="CW1620" s="123"/>
      <c r="CX1620" s="6"/>
      <c r="DI1620" s="125"/>
      <c r="DJ1620" s="16"/>
      <c r="DM1620" s="16"/>
      <c r="DN1620" s="16"/>
      <c r="DO1620" s="125"/>
      <c r="DP1620" s="16"/>
      <c r="DQ1620" s="125"/>
      <c r="DZ1620" s="125"/>
      <c r="EA1620" s="142"/>
      <c r="EB1620" s="125"/>
      <c r="EC1620" s="16"/>
      <c r="ED1620" s="125"/>
      <c r="EE1620" s="125"/>
      <c r="EF1620" s="16"/>
      <c r="EG1620" s="125"/>
      <c r="EQ1620" s="125"/>
      <c r="ER1620" s="16"/>
      <c r="ES1620" s="123"/>
      <c r="ET1620" s="19"/>
      <c r="EU1620" s="139"/>
      <c r="EV1620" s="139"/>
      <c r="EW1620" s="123"/>
      <c r="EX1620" s="123"/>
      <c r="EY1620" s="123"/>
      <c r="EZ1620" s="123"/>
      <c r="FA1620" s="123"/>
      <c r="FB1620" s="123"/>
      <c r="FC1620" s="6"/>
      <c r="FD1620" s="123"/>
      <c r="FE1620" s="6"/>
      <c r="FF1620" s="123"/>
      <c r="FG1620" s="6"/>
      <c r="FH1620" s="6"/>
      <c r="FI1620" s="6"/>
      <c r="FJ1620" s="6"/>
      <c r="FK1620" s="123"/>
      <c r="FL1620" s="6"/>
      <c r="FM1620" s="6"/>
      <c r="FN1620" s="6"/>
      <c r="FO1620" s="138"/>
      <c r="FP1620" s="138"/>
      <c r="FQ1620" s="123"/>
      <c r="FR1620" s="6"/>
      <c r="FS1620" s="6"/>
      <c r="FT1620" s="139"/>
      <c r="FU1620" s="139"/>
      <c r="FV1620" s="76"/>
      <c r="FW1620" s="123"/>
      <c r="FX1620" s="6"/>
    </row>
    <row r="1621" spans="35:180">
      <c r="AI1621" s="125"/>
      <c r="AJ1621" s="16"/>
      <c r="AM1621" s="16"/>
      <c r="AN1621" s="16"/>
      <c r="AO1621" s="125"/>
      <c r="AP1621" s="16"/>
      <c r="AQ1621" s="125"/>
      <c r="AZ1621" s="125"/>
      <c r="BA1621" s="142"/>
      <c r="BB1621" s="125"/>
      <c r="BC1621" s="16"/>
      <c r="BD1621" s="125"/>
      <c r="BE1621" s="125"/>
      <c r="BF1621" s="16"/>
      <c r="BG1621" s="125"/>
      <c r="BQ1621" s="125"/>
      <c r="BR1621" s="16"/>
      <c r="BS1621" s="123"/>
      <c r="BT1621" s="19"/>
      <c r="BU1621" s="139"/>
      <c r="BV1621" s="139"/>
      <c r="BW1621" s="123"/>
      <c r="BX1621" s="123"/>
      <c r="BY1621" s="123"/>
      <c r="BZ1621" s="123"/>
      <c r="CA1621" s="123"/>
      <c r="CB1621" s="123"/>
      <c r="CC1621" s="6"/>
      <c r="CD1621" s="123"/>
      <c r="CE1621" s="6"/>
      <c r="CF1621" s="123"/>
      <c r="CG1621" s="6"/>
      <c r="CH1621" s="6"/>
      <c r="CI1621" s="6"/>
      <c r="CJ1621" s="6"/>
      <c r="CK1621" s="123"/>
      <c r="CL1621" s="6"/>
      <c r="CM1621" s="6"/>
      <c r="CN1621" s="6"/>
      <c r="CO1621" s="138"/>
      <c r="CP1621" s="138"/>
      <c r="CQ1621" s="123"/>
      <c r="CR1621" s="6"/>
      <c r="CS1621" s="6"/>
      <c r="CT1621" s="139"/>
      <c r="CU1621" s="139"/>
      <c r="CV1621" s="76"/>
      <c r="CW1621" s="123"/>
      <c r="CX1621" s="6"/>
      <c r="DI1621" s="125"/>
      <c r="DJ1621" s="16"/>
      <c r="DM1621" s="16"/>
      <c r="DN1621" s="16"/>
      <c r="DO1621" s="125"/>
      <c r="DP1621" s="16"/>
      <c r="DQ1621" s="125"/>
      <c r="DZ1621" s="125"/>
      <c r="EA1621" s="142"/>
      <c r="EB1621" s="125"/>
      <c r="EC1621" s="16"/>
      <c r="ED1621" s="125"/>
      <c r="EE1621" s="125"/>
      <c r="EF1621" s="16"/>
      <c r="EG1621" s="125"/>
      <c r="EQ1621" s="125"/>
      <c r="ER1621" s="16"/>
      <c r="ES1621" s="123"/>
      <c r="ET1621" s="19"/>
      <c r="EU1621" s="139"/>
      <c r="EV1621" s="139"/>
      <c r="EW1621" s="123"/>
      <c r="EX1621" s="123"/>
      <c r="EY1621" s="123"/>
      <c r="EZ1621" s="123"/>
      <c r="FA1621" s="123"/>
      <c r="FB1621" s="123"/>
      <c r="FC1621" s="6"/>
      <c r="FD1621" s="123"/>
      <c r="FE1621" s="6"/>
      <c r="FF1621" s="123"/>
      <c r="FG1621" s="6"/>
      <c r="FH1621" s="6"/>
      <c r="FI1621" s="6"/>
      <c r="FJ1621" s="6"/>
      <c r="FK1621" s="123"/>
      <c r="FL1621" s="6"/>
      <c r="FM1621" s="6"/>
      <c r="FN1621" s="6"/>
      <c r="FO1621" s="138"/>
      <c r="FP1621" s="138"/>
      <c r="FQ1621" s="123"/>
      <c r="FR1621" s="6"/>
      <c r="FS1621" s="6"/>
      <c r="FT1621" s="139"/>
      <c r="FU1621" s="139"/>
      <c r="FV1621" s="76"/>
      <c r="FW1621" s="123"/>
      <c r="FX1621" s="6"/>
    </row>
    <row r="1622" spans="35:180">
      <c r="AI1622" s="125"/>
      <c r="AJ1622" s="16"/>
      <c r="AM1622" s="16"/>
      <c r="AN1622" s="16"/>
      <c r="AO1622" s="125"/>
      <c r="AP1622" s="16"/>
      <c r="AQ1622" s="125"/>
      <c r="AZ1622" s="125"/>
      <c r="BA1622" s="142"/>
      <c r="BB1622" s="125"/>
      <c r="BC1622" s="16"/>
      <c r="BD1622" s="125"/>
      <c r="BE1622" s="125"/>
      <c r="BF1622" s="16"/>
      <c r="BG1622" s="125"/>
      <c r="BQ1622" s="125"/>
      <c r="BR1622" s="16"/>
      <c r="BS1622" s="123"/>
      <c r="BT1622" s="19"/>
      <c r="BU1622" s="139"/>
      <c r="BV1622" s="139"/>
      <c r="BW1622" s="123"/>
      <c r="BX1622" s="123"/>
      <c r="BY1622" s="123"/>
      <c r="BZ1622" s="123"/>
      <c r="CA1622" s="123"/>
      <c r="CB1622" s="123"/>
      <c r="CC1622" s="6"/>
      <c r="CD1622" s="123"/>
      <c r="CE1622" s="6"/>
      <c r="CF1622" s="123"/>
      <c r="CG1622" s="6"/>
      <c r="CH1622" s="6"/>
      <c r="CI1622" s="6"/>
      <c r="CJ1622" s="6"/>
      <c r="CK1622" s="123"/>
      <c r="CL1622" s="6"/>
      <c r="CM1622" s="6"/>
      <c r="CN1622" s="6"/>
      <c r="CO1622" s="138"/>
      <c r="CP1622" s="138"/>
      <c r="CQ1622" s="123"/>
      <c r="CR1622" s="6"/>
      <c r="CS1622" s="6"/>
      <c r="CT1622" s="139"/>
      <c r="CU1622" s="139"/>
      <c r="CV1622" s="76"/>
      <c r="CW1622" s="123"/>
      <c r="CX1622" s="6"/>
      <c r="DI1622" s="125"/>
      <c r="DJ1622" s="16"/>
      <c r="DM1622" s="16"/>
      <c r="DN1622" s="16"/>
      <c r="DO1622" s="125"/>
      <c r="DP1622" s="16"/>
      <c r="DQ1622" s="125"/>
      <c r="DZ1622" s="125"/>
      <c r="EA1622" s="142"/>
      <c r="EB1622" s="125"/>
      <c r="EC1622" s="16"/>
      <c r="ED1622" s="125"/>
      <c r="EE1622" s="125"/>
      <c r="EF1622" s="16"/>
      <c r="EG1622" s="125"/>
      <c r="EQ1622" s="125"/>
      <c r="ER1622" s="16"/>
      <c r="ES1622" s="123"/>
      <c r="ET1622" s="19"/>
      <c r="EU1622" s="139"/>
      <c r="EV1622" s="139"/>
      <c r="EW1622" s="123"/>
      <c r="EX1622" s="123"/>
      <c r="EY1622" s="123"/>
      <c r="EZ1622" s="123"/>
      <c r="FA1622" s="123"/>
      <c r="FB1622" s="123"/>
      <c r="FC1622" s="6"/>
      <c r="FD1622" s="123"/>
      <c r="FE1622" s="6"/>
      <c r="FF1622" s="123"/>
      <c r="FG1622" s="6"/>
      <c r="FH1622" s="6"/>
      <c r="FI1622" s="6"/>
      <c r="FJ1622" s="6"/>
      <c r="FK1622" s="123"/>
      <c r="FL1622" s="6"/>
      <c r="FM1622" s="6"/>
      <c r="FN1622" s="6"/>
      <c r="FO1622" s="138"/>
      <c r="FP1622" s="138"/>
      <c r="FQ1622" s="123"/>
      <c r="FR1622" s="6"/>
      <c r="FS1622" s="6"/>
      <c r="FT1622" s="139"/>
      <c r="FU1622" s="139"/>
      <c r="FV1622" s="76"/>
      <c r="FW1622" s="123"/>
      <c r="FX1622" s="6"/>
    </row>
    <row r="1623" spans="35:180">
      <c r="AI1623" s="125"/>
      <c r="AJ1623" s="16"/>
      <c r="AM1623" s="16"/>
      <c r="AN1623" s="16"/>
      <c r="AO1623" s="125"/>
      <c r="AP1623" s="16"/>
      <c r="AQ1623" s="125"/>
      <c r="AZ1623" s="125"/>
      <c r="BA1623" s="142"/>
      <c r="BB1623" s="125"/>
      <c r="BC1623" s="16"/>
      <c r="BD1623" s="125"/>
      <c r="BE1623" s="125"/>
      <c r="BF1623" s="16"/>
      <c r="BG1623" s="125"/>
      <c r="BQ1623" s="125"/>
      <c r="BR1623" s="16"/>
      <c r="BS1623" s="123"/>
      <c r="BT1623" s="19"/>
      <c r="BU1623" s="139"/>
      <c r="BV1623" s="139"/>
      <c r="BW1623" s="123"/>
      <c r="BX1623" s="123"/>
      <c r="BY1623" s="123"/>
      <c r="BZ1623" s="123"/>
      <c r="CA1623" s="123"/>
      <c r="CB1623" s="123"/>
      <c r="CC1623" s="6"/>
      <c r="CD1623" s="123"/>
      <c r="CE1623" s="6"/>
      <c r="CF1623" s="123"/>
      <c r="CG1623" s="6"/>
      <c r="CH1623" s="6"/>
      <c r="CI1623" s="6"/>
      <c r="CJ1623" s="6"/>
      <c r="CK1623" s="123"/>
      <c r="CL1623" s="6"/>
      <c r="CM1623" s="6"/>
      <c r="CN1623" s="6"/>
      <c r="CO1623" s="138"/>
      <c r="CP1623" s="138"/>
      <c r="CQ1623" s="123"/>
      <c r="CR1623" s="6"/>
      <c r="CS1623" s="6"/>
      <c r="CT1623" s="139"/>
      <c r="CU1623" s="139"/>
      <c r="CV1623" s="76"/>
      <c r="CW1623" s="123"/>
      <c r="CX1623" s="6"/>
      <c r="DI1623" s="125"/>
      <c r="DJ1623" s="16"/>
      <c r="DM1623" s="16"/>
      <c r="DN1623" s="16"/>
      <c r="DO1623" s="125"/>
      <c r="DP1623" s="16"/>
      <c r="DQ1623" s="125"/>
      <c r="DZ1623" s="125"/>
      <c r="EA1623" s="142"/>
      <c r="EB1623" s="125"/>
      <c r="EC1623" s="16"/>
      <c r="ED1623" s="125"/>
      <c r="EE1623" s="125"/>
      <c r="EF1623" s="16"/>
      <c r="EG1623" s="125"/>
      <c r="EQ1623" s="125"/>
      <c r="ER1623" s="16"/>
      <c r="ES1623" s="123"/>
      <c r="ET1623" s="19"/>
      <c r="EU1623" s="139"/>
      <c r="EV1623" s="139"/>
      <c r="EW1623" s="123"/>
      <c r="EX1623" s="123"/>
      <c r="EY1623" s="123"/>
      <c r="EZ1623" s="123"/>
      <c r="FA1623" s="123"/>
      <c r="FB1623" s="123"/>
      <c r="FC1623" s="6"/>
      <c r="FD1623" s="123"/>
      <c r="FE1623" s="6"/>
      <c r="FF1623" s="123"/>
      <c r="FG1623" s="6"/>
      <c r="FH1623" s="6"/>
      <c r="FI1623" s="6"/>
      <c r="FJ1623" s="6"/>
      <c r="FK1623" s="123"/>
      <c r="FL1623" s="6"/>
      <c r="FM1623" s="6"/>
      <c r="FN1623" s="6"/>
      <c r="FO1623" s="138"/>
      <c r="FP1623" s="138"/>
      <c r="FQ1623" s="123"/>
      <c r="FR1623" s="6"/>
      <c r="FS1623" s="6"/>
      <c r="FT1623" s="139"/>
      <c r="FU1623" s="139"/>
      <c r="FV1623" s="76"/>
      <c r="FW1623" s="123"/>
      <c r="FX1623" s="6"/>
    </row>
    <row r="1624" spans="35:180">
      <c r="AI1624" s="125"/>
      <c r="AJ1624" s="16"/>
      <c r="AM1624" s="16"/>
      <c r="AN1624" s="16"/>
      <c r="AO1624" s="125"/>
      <c r="AP1624" s="16"/>
      <c r="AQ1624" s="125"/>
      <c r="AZ1624" s="125"/>
      <c r="BA1624" s="142"/>
      <c r="BB1624" s="125"/>
      <c r="BC1624" s="16"/>
      <c r="BD1624" s="125"/>
      <c r="BE1624" s="125"/>
      <c r="BF1624" s="16"/>
      <c r="BG1624" s="125"/>
      <c r="BQ1624" s="125"/>
      <c r="BR1624" s="16"/>
      <c r="BS1624" s="123"/>
      <c r="BT1624" s="19"/>
      <c r="BU1624" s="139"/>
      <c r="BV1624" s="139"/>
      <c r="BW1624" s="123"/>
      <c r="BX1624" s="123"/>
      <c r="BY1624" s="123"/>
      <c r="BZ1624" s="123"/>
      <c r="CA1624" s="123"/>
      <c r="CB1624" s="123"/>
      <c r="CC1624" s="6"/>
      <c r="CD1624" s="123"/>
      <c r="CE1624" s="6"/>
      <c r="CF1624" s="123"/>
      <c r="CG1624" s="6"/>
      <c r="CH1624" s="6"/>
      <c r="CI1624" s="6"/>
      <c r="CJ1624" s="6"/>
      <c r="CK1624" s="123"/>
      <c r="CL1624" s="6"/>
      <c r="CM1624" s="6"/>
      <c r="CN1624" s="6"/>
      <c r="CO1624" s="138"/>
      <c r="CP1624" s="138"/>
      <c r="CQ1624" s="123"/>
      <c r="CR1624" s="6"/>
      <c r="CS1624" s="6"/>
      <c r="CT1624" s="139"/>
      <c r="CU1624" s="139"/>
      <c r="CV1624" s="76"/>
      <c r="CW1624" s="123"/>
      <c r="CX1624" s="6"/>
      <c r="DI1624" s="125"/>
      <c r="DJ1624" s="16"/>
      <c r="DM1624" s="16"/>
      <c r="DN1624" s="16"/>
      <c r="DO1624" s="125"/>
      <c r="DP1624" s="16"/>
      <c r="DQ1624" s="125"/>
      <c r="DZ1624" s="125"/>
      <c r="EA1624" s="142"/>
      <c r="EB1624" s="125"/>
      <c r="EC1624" s="16"/>
      <c r="ED1624" s="125"/>
      <c r="EE1624" s="125"/>
      <c r="EF1624" s="16"/>
      <c r="EG1624" s="125"/>
      <c r="EQ1624" s="125"/>
      <c r="ER1624" s="16"/>
      <c r="ES1624" s="123"/>
      <c r="ET1624" s="19"/>
      <c r="EU1624" s="139"/>
      <c r="EV1624" s="139"/>
      <c r="EW1624" s="123"/>
      <c r="EX1624" s="123"/>
      <c r="EY1624" s="123"/>
      <c r="EZ1624" s="123"/>
      <c r="FA1624" s="123"/>
      <c r="FB1624" s="123"/>
      <c r="FC1624" s="6"/>
      <c r="FD1624" s="123"/>
      <c r="FE1624" s="6"/>
      <c r="FF1624" s="123"/>
      <c r="FG1624" s="6"/>
      <c r="FH1624" s="6"/>
      <c r="FI1624" s="6"/>
      <c r="FJ1624" s="6"/>
      <c r="FK1624" s="123"/>
      <c r="FL1624" s="6"/>
      <c r="FM1624" s="6"/>
      <c r="FN1624" s="6"/>
      <c r="FO1624" s="138"/>
      <c r="FP1624" s="138"/>
      <c r="FQ1624" s="123"/>
      <c r="FR1624" s="6"/>
      <c r="FS1624" s="6"/>
      <c r="FT1624" s="139"/>
      <c r="FU1624" s="139"/>
      <c r="FV1624" s="76"/>
      <c r="FW1624" s="123"/>
      <c r="FX1624" s="6"/>
    </row>
    <row r="1625" spans="35:180">
      <c r="AI1625" s="125"/>
      <c r="AJ1625" s="16"/>
      <c r="AM1625" s="16"/>
      <c r="AN1625" s="16"/>
      <c r="AO1625" s="125"/>
      <c r="AP1625" s="16"/>
      <c r="AQ1625" s="125"/>
      <c r="AZ1625" s="125"/>
      <c r="BA1625" s="142"/>
      <c r="BB1625" s="125"/>
      <c r="BC1625" s="16"/>
      <c r="BD1625" s="125"/>
      <c r="BE1625" s="125"/>
      <c r="BF1625" s="16"/>
      <c r="BG1625" s="125"/>
      <c r="BQ1625" s="125"/>
      <c r="BR1625" s="16"/>
      <c r="BS1625" s="123"/>
      <c r="BT1625" s="19"/>
      <c r="BU1625" s="139"/>
      <c r="BV1625" s="139"/>
      <c r="BW1625" s="123"/>
      <c r="BX1625" s="123"/>
      <c r="BY1625" s="123"/>
      <c r="BZ1625" s="123"/>
      <c r="CA1625" s="123"/>
      <c r="CB1625" s="123"/>
      <c r="CC1625" s="6"/>
      <c r="CD1625" s="123"/>
      <c r="CE1625" s="6"/>
      <c r="CF1625" s="123"/>
      <c r="CG1625" s="6"/>
      <c r="CH1625" s="6"/>
      <c r="CI1625" s="6"/>
      <c r="CJ1625" s="6"/>
      <c r="CK1625" s="123"/>
      <c r="CL1625" s="6"/>
      <c r="CM1625" s="6"/>
      <c r="CN1625" s="6"/>
      <c r="CO1625" s="138"/>
      <c r="CP1625" s="138"/>
      <c r="CQ1625" s="123"/>
      <c r="CR1625" s="6"/>
      <c r="CS1625" s="6"/>
      <c r="CT1625" s="139"/>
      <c r="CU1625" s="139"/>
      <c r="CV1625" s="76"/>
      <c r="CW1625" s="123"/>
      <c r="CX1625" s="6"/>
      <c r="DI1625" s="125"/>
      <c r="DJ1625" s="16"/>
      <c r="DM1625" s="16"/>
      <c r="DN1625" s="16"/>
      <c r="DO1625" s="125"/>
      <c r="DP1625" s="16"/>
      <c r="DQ1625" s="125"/>
      <c r="DZ1625" s="125"/>
      <c r="EA1625" s="142"/>
      <c r="EB1625" s="125"/>
      <c r="EC1625" s="16"/>
      <c r="ED1625" s="125"/>
      <c r="EE1625" s="125"/>
      <c r="EF1625" s="16"/>
      <c r="EG1625" s="125"/>
      <c r="EQ1625" s="125"/>
      <c r="ER1625" s="16"/>
      <c r="ES1625" s="123"/>
      <c r="ET1625" s="19"/>
      <c r="EU1625" s="139"/>
      <c r="EV1625" s="139"/>
      <c r="EW1625" s="123"/>
      <c r="EX1625" s="123"/>
      <c r="EY1625" s="123"/>
      <c r="EZ1625" s="123"/>
      <c r="FA1625" s="123"/>
      <c r="FB1625" s="123"/>
      <c r="FC1625" s="6"/>
      <c r="FD1625" s="123"/>
      <c r="FE1625" s="6"/>
      <c r="FF1625" s="123"/>
      <c r="FG1625" s="6"/>
      <c r="FH1625" s="6"/>
      <c r="FI1625" s="6"/>
      <c r="FJ1625" s="6"/>
      <c r="FK1625" s="123"/>
      <c r="FL1625" s="6"/>
      <c r="FM1625" s="6"/>
      <c r="FN1625" s="6"/>
      <c r="FO1625" s="138"/>
      <c r="FP1625" s="138"/>
      <c r="FQ1625" s="123"/>
      <c r="FR1625" s="6"/>
      <c r="FS1625" s="6"/>
      <c r="FT1625" s="139"/>
      <c r="FU1625" s="139"/>
      <c r="FV1625" s="76"/>
      <c r="FW1625" s="123"/>
      <c r="FX1625" s="6"/>
    </row>
    <row r="1626" spans="35:180">
      <c r="AI1626" s="125"/>
      <c r="AJ1626" s="16"/>
      <c r="AM1626" s="16"/>
      <c r="AN1626" s="16"/>
      <c r="AO1626" s="125"/>
      <c r="AP1626" s="16"/>
      <c r="AQ1626" s="125"/>
      <c r="AZ1626" s="125"/>
      <c r="BA1626" s="142"/>
      <c r="BB1626" s="125"/>
      <c r="BC1626" s="16"/>
      <c r="BD1626" s="125"/>
      <c r="BE1626" s="125"/>
      <c r="BF1626" s="16"/>
      <c r="BG1626" s="125"/>
      <c r="BQ1626" s="125"/>
      <c r="BR1626" s="16"/>
      <c r="BS1626" s="123"/>
      <c r="BT1626" s="19"/>
      <c r="BU1626" s="139"/>
      <c r="BV1626" s="139"/>
      <c r="BW1626" s="123"/>
      <c r="BX1626" s="123"/>
      <c r="BY1626" s="123"/>
      <c r="BZ1626" s="123"/>
      <c r="CA1626" s="123"/>
      <c r="CB1626" s="123"/>
      <c r="CC1626" s="6"/>
      <c r="CD1626" s="123"/>
      <c r="CE1626" s="6"/>
      <c r="CF1626" s="123"/>
      <c r="CG1626" s="6"/>
      <c r="CH1626" s="6"/>
      <c r="CI1626" s="6"/>
      <c r="CJ1626" s="6"/>
      <c r="CK1626" s="123"/>
      <c r="CL1626" s="6"/>
      <c r="CM1626" s="6"/>
      <c r="CN1626" s="6"/>
      <c r="CO1626" s="138"/>
      <c r="CP1626" s="138"/>
      <c r="CQ1626" s="123"/>
      <c r="CR1626" s="6"/>
      <c r="CS1626" s="6"/>
      <c r="CT1626" s="139"/>
      <c r="CU1626" s="139"/>
      <c r="CV1626" s="76"/>
      <c r="CW1626" s="123"/>
      <c r="CX1626" s="6"/>
      <c r="DI1626" s="125"/>
      <c r="DJ1626" s="16"/>
      <c r="DM1626" s="16"/>
      <c r="DN1626" s="16"/>
      <c r="DO1626" s="125"/>
      <c r="DP1626" s="16"/>
      <c r="DQ1626" s="125"/>
      <c r="DZ1626" s="125"/>
      <c r="EA1626" s="142"/>
      <c r="EB1626" s="125"/>
      <c r="EC1626" s="16"/>
      <c r="ED1626" s="125"/>
      <c r="EE1626" s="125"/>
      <c r="EF1626" s="16"/>
      <c r="EG1626" s="125"/>
      <c r="EQ1626" s="125"/>
      <c r="ER1626" s="16"/>
      <c r="ES1626" s="123"/>
      <c r="ET1626" s="19"/>
      <c r="EU1626" s="139"/>
      <c r="EV1626" s="139"/>
      <c r="EW1626" s="123"/>
      <c r="EX1626" s="123"/>
      <c r="EY1626" s="123"/>
      <c r="EZ1626" s="123"/>
      <c r="FA1626" s="123"/>
      <c r="FB1626" s="123"/>
      <c r="FC1626" s="6"/>
      <c r="FD1626" s="123"/>
      <c r="FE1626" s="6"/>
      <c r="FF1626" s="123"/>
      <c r="FG1626" s="6"/>
      <c r="FH1626" s="6"/>
      <c r="FI1626" s="6"/>
      <c r="FJ1626" s="6"/>
      <c r="FK1626" s="123"/>
      <c r="FL1626" s="6"/>
      <c r="FM1626" s="6"/>
      <c r="FN1626" s="6"/>
      <c r="FO1626" s="138"/>
      <c r="FP1626" s="138"/>
      <c r="FQ1626" s="123"/>
      <c r="FR1626" s="6"/>
      <c r="FS1626" s="6"/>
      <c r="FT1626" s="139"/>
      <c r="FU1626" s="139"/>
      <c r="FV1626" s="76"/>
      <c r="FW1626" s="123"/>
      <c r="FX1626" s="6"/>
    </row>
    <row r="1627" spans="35:180">
      <c r="AI1627" s="125"/>
      <c r="AJ1627" s="16"/>
      <c r="AM1627" s="16"/>
      <c r="AN1627" s="16"/>
      <c r="AO1627" s="125"/>
      <c r="AP1627" s="16"/>
      <c r="AQ1627" s="125"/>
      <c r="AZ1627" s="125"/>
      <c r="BA1627" s="142"/>
      <c r="BB1627" s="125"/>
      <c r="BC1627" s="16"/>
      <c r="BD1627" s="125"/>
      <c r="BE1627" s="125"/>
      <c r="BF1627" s="16"/>
      <c r="BG1627" s="125"/>
      <c r="BQ1627" s="125"/>
      <c r="BR1627" s="16"/>
      <c r="BS1627" s="123"/>
      <c r="BT1627" s="19"/>
      <c r="BU1627" s="139"/>
      <c r="BV1627" s="139"/>
      <c r="BW1627" s="123"/>
      <c r="BX1627" s="123"/>
      <c r="BY1627" s="123"/>
      <c r="BZ1627" s="123"/>
      <c r="CA1627" s="123"/>
      <c r="CB1627" s="123"/>
      <c r="CC1627" s="6"/>
      <c r="CD1627" s="123"/>
      <c r="CE1627" s="6"/>
      <c r="CF1627" s="123"/>
      <c r="CG1627" s="6"/>
      <c r="CH1627" s="6"/>
      <c r="CI1627" s="6"/>
      <c r="CJ1627" s="6"/>
      <c r="CK1627" s="123"/>
      <c r="CL1627" s="6"/>
      <c r="CM1627" s="6"/>
      <c r="CN1627" s="6"/>
      <c r="CO1627" s="138"/>
      <c r="CP1627" s="138"/>
      <c r="CQ1627" s="123"/>
      <c r="CR1627" s="6"/>
      <c r="CS1627" s="6"/>
      <c r="CT1627" s="139"/>
      <c r="CU1627" s="139"/>
      <c r="CV1627" s="76"/>
      <c r="CW1627" s="123"/>
      <c r="CX1627" s="6"/>
      <c r="DI1627" s="125"/>
      <c r="DJ1627" s="16"/>
      <c r="DM1627" s="16"/>
      <c r="DN1627" s="16"/>
      <c r="DO1627" s="125"/>
      <c r="DP1627" s="16"/>
      <c r="DQ1627" s="125"/>
      <c r="DZ1627" s="125"/>
      <c r="EA1627" s="142"/>
      <c r="EB1627" s="125"/>
      <c r="EC1627" s="16"/>
      <c r="ED1627" s="125"/>
      <c r="EE1627" s="125"/>
      <c r="EF1627" s="16"/>
      <c r="EG1627" s="125"/>
      <c r="EQ1627" s="125"/>
      <c r="ER1627" s="16"/>
      <c r="ES1627" s="123"/>
      <c r="ET1627" s="19"/>
      <c r="EU1627" s="139"/>
      <c r="EV1627" s="139"/>
      <c r="EW1627" s="123"/>
      <c r="EX1627" s="123"/>
      <c r="EY1627" s="123"/>
      <c r="EZ1627" s="123"/>
      <c r="FA1627" s="123"/>
      <c r="FB1627" s="123"/>
      <c r="FC1627" s="6"/>
      <c r="FD1627" s="123"/>
      <c r="FE1627" s="6"/>
      <c r="FF1627" s="123"/>
      <c r="FG1627" s="6"/>
      <c r="FH1627" s="6"/>
      <c r="FI1627" s="6"/>
      <c r="FJ1627" s="6"/>
      <c r="FK1627" s="123"/>
      <c r="FL1627" s="6"/>
      <c r="FM1627" s="6"/>
      <c r="FN1627" s="6"/>
      <c r="FO1627" s="138"/>
      <c r="FP1627" s="138"/>
      <c r="FQ1627" s="123"/>
      <c r="FR1627" s="6"/>
      <c r="FS1627" s="6"/>
      <c r="FT1627" s="139"/>
      <c r="FU1627" s="139"/>
      <c r="FV1627" s="76"/>
      <c r="FW1627" s="123"/>
      <c r="FX1627" s="6"/>
    </row>
    <row r="1628" spans="35:180">
      <c r="AI1628" s="125"/>
      <c r="AJ1628" s="16"/>
      <c r="AM1628" s="16"/>
      <c r="AN1628" s="16"/>
      <c r="AO1628" s="125"/>
      <c r="AP1628" s="16"/>
      <c r="AQ1628" s="125"/>
      <c r="AZ1628" s="125"/>
      <c r="BA1628" s="142"/>
      <c r="BB1628" s="125"/>
      <c r="BC1628" s="16"/>
      <c r="BD1628" s="125"/>
      <c r="BE1628" s="125"/>
      <c r="BF1628" s="16"/>
      <c r="BG1628" s="125"/>
      <c r="BQ1628" s="125"/>
      <c r="BR1628" s="16"/>
      <c r="BS1628" s="123"/>
      <c r="BT1628" s="19"/>
      <c r="BU1628" s="139"/>
      <c r="BV1628" s="139"/>
      <c r="BW1628" s="123"/>
      <c r="BX1628" s="123"/>
      <c r="BY1628" s="123"/>
      <c r="BZ1628" s="123"/>
      <c r="CA1628" s="123"/>
      <c r="CB1628" s="123"/>
      <c r="CC1628" s="6"/>
      <c r="CD1628" s="123"/>
      <c r="CE1628" s="6"/>
      <c r="CF1628" s="123"/>
      <c r="CG1628" s="6"/>
      <c r="CH1628" s="6"/>
      <c r="CI1628" s="6"/>
      <c r="CJ1628" s="6"/>
      <c r="CK1628" s="123"/>
      <c r="CL1628" s="6"/>
      <c r="CM1628" s="6"/>
      <c r="CN1628" s="6"/>
      <c r="CO1628" s="138"/>
      <c r="CP1628" s="138"/>
      <c r="CQ1628" s="123"/>
      <c r="CR1628" s="6"/>
      <c r="CS1628" s="6"/>
      <c r="CT1628" s="139"/>
      <c r="CU1628" s="139"/>
      <c r="CV1628" s="76"/>
      <c r="CW1628" s="123"/>
      <c r="CX1628" s="6"/>
      <c r="DI1628" s="125"/>
      <c r="DJ1628" s="16"/>
      <c r="DM1628" s="16"/>
      <c r="DN1628" s="16"/>
      <c r="DO1628" s="125"/>
      <c r="DP1628" s="16"/>
      <c r="DQ1628" s="125"/>
      <c r="DZ1628" s="125"/>
      <c r="EA1628" s="142"/>
      <c r="EB1628" s="125"/>
      <c r="EC1628" s="16"/>
      <c r="ED1628" s="125"/>
      <c r="EE1628" s="125"/>
      <c r="EF1628" s="16"/>
      <c r="EG1628" s="125"/>
      <c r="EQ1628" s="125"/>
      <c r="ER1628" s="16"/>
      <c r="ES1628" s="123"/>
      <c r="ET1628" s="19"/>
      <c r="EU1628" s="139"/>
      <c r="EV1628" s="139"/>
      <c r="EW1628" s="123"/>
      <c r="EX1628" s="123"/>
      <c r="EY1628" s="123"/>
      <c r="EZ1628" s="123"/>
      <c r="FA1628" s="123"/>
      <c r="FB1628" s="123"/>
      <c r="FC1628" s="6"/>
      <c r="FD1628" s="123"/>
      <c r="FE1628" s="6"/>
      <c r="FF1628" s="123"/>
      <c r="FG1628" s="6"/>
      <c r="FH1628" s="6"/>
      <c r="FI1628" s="6"/>
      <c r="FJ1628" s="6"/>
      <c r="FK1628" s="123"/>
      <c r="FL1628" s="6"/>
      <c r="FM1628" s="6"/>
      <c r="FN1628" s="6"/>
      <c r="FO1628" s="138"/>
      <c r="FP1628" s="138"/>
      <c r="FQ1628" s="123"/>
      <c r="FR1628" s="6"/>
      <c r="FS1628" s="6"/>
      <c r="FT1628" s="139"/>
      <c r="FU1628" s="139"/>
      <c r="FV1628" s="76"/>
      <c r="FW1628" s="123"/>
      <c r="FX1628" s="6"/>
    </row>
    <row r="1629" spans="35:180">
      <c r="AI1629" s="125"/>
      <c r="AJ1629" s="16"/>
      <c r="AM1629" s="16"/>
      <c r="AN1629" s="16"/>
      <c r="AO1629" s="125"/>
      <c r="AP1629" s="16"/>
      <c r="AQ1629" s="125"/>
      <c r="AZ1629" s="125"/>
      <c r="BA1629" s="142"/>
      <c r="BB1629" s="125"/>
      <c r="BC1629" s="16"/>
      <c r="BD1629" s="125"/>
      <c r="BE1629" s="125"/>
      <c r="BF1629" s="16"/>
      <c r="BG1629" s="125"/>
      <c r="BQ1629" s="125"/>
      <c r="BR1629" s="16"/>
      <c r="BS1629" s="123"/>
      <c r="BT1629" s="19"/>
      <c r="BU1629" s="139"/>
      <c r="BV1629" s="139"/>
      <c r="BW1629" s="123"/>
      <c r="BX1629" s="123"/>
      <c r="BY1629" s="123"/>
      <c r="BZ1629" s="123"/>
      <c r="CA1629" s="123"/>
      <c r="CB1629" s="123"/>
      <c r="CC1629" s="6"/>
      <c r="CD1629" s="123"/>
      <c r="CE1629" s="6"/>
      <c r="CF1629" s="123"/>
      <c r="CG1629" s="6"/>
      <c r="CH1629" s="6"/>
      <c r="CI1629" s="6"/>
      <c r="CJ1629" s="6"/>
      <c r="CK1629" s="123"/>
      <c r="CL1629" s="6"/>
      <c r="CM1629" s="6"/>
      <c r="CN1629" s="6"/>
      <c r="CO1629" s="138"/>
      <c r="CP1629" s="138"/>
      <c r="CQ1629" s="123"/>
      <c r="CR1629" s="6"/>
      <c r="CS1629" s="6"/>
      <c r="CT1629" s="139"/>
      <c r="CU1629" s="139"/>
      <c r="CV1629" s="76"/>
      <c r="CW1629" s="123"/>
      <c r="CX1629" s="6"/>
      <c r="DI1629" s="125"/>
      <c r="DJ1629" s="16"/>
      <c r="DM1629" s="16"/>
      <c r="DN1629" s="16"/>
      <c r="DO1629" s="125"/>
      <c r="DP1629" s="16"/>
      <c r="DQ1629" s="125"/>
      <c r="DZ1629" s="125"/>
      <c r="EA1629" s="142"/>
      <c r="EB1629" s="125"/>
      <c r="EC1629" s="16"/>
      <c r="ED1629" s="125"/>
      <c r="EE1629" s="125"/>
      <c r="EF1629" s="16"/>
      <c r="EG1629" s="125"/>
      <c r="EQ1629" s="125"/>
      <c r="ER1629" s="16"/>
      <c r="ES1629" s="123"/>
      <c r="ET1629" s="19"/>
      <c r="EU1629" s="139"/>
      <c r="EV1629" s="139"/>
      <c r="EW1629" s="123"/>
      <c r="EX1629" s="123"/>
      <c r="EY1629" s="123"/>
      <c r="EZ1629" s="123"/>
      <c r="FA1629" s="123"/>
      <c r="FB1629" s="123"/>
      <c r="FC1629" s="6"/>
      <c r="FD1629" s="123"/>
      <c r="FE1629" s="6"/>
      <c r="FF1629" s="123"/>
      <c r="FG1629" s="6"/>
      <c r="FH1629" s="6"/>
      <c r="FI1629" s="6"/>
      <c r="FJ1629" s="6"/>
      <c r="FK1629" s="123"/>
      <c r="FL1629" s="6"/>
      <c r="FM1629" s="6"/>
      <c r="FN1629" s="6"/>
      <c r="FO1629" s="138"/>
      <c r="FP1629" s="138"/>
      <c r="FQ1629" s="123"/>
      <c r="FR1629" s="6"/>
      <c r="FS1629" s="6"/>
      <c r="FT1629" s="139"/>
      <c r="FU1629" s="139"/>
      <c r="FV1629" s="76"/>
      <c r="FW1629" s="123"/>
      <c r="FX1629" s="6"/>
    </row>
    <row r="1630" spans="35:180">
      <c r="AI1630" s="125"/>
      <c r="AJ1630" s="16"/>
      <c r="AM1630" s="16"/>
      <c r="AN1630" s="16"/>
      <c r="AO1630" s="125"/>
      <c r="AP1630" s="16"/>
      <c r="AQ1630" s="125"/>
      <c r="AZ1630" s="125"/>
      <c r="BA1630" s="142"/>
      <c r="BB1630" s="125"/>
      <c r="BC1630" s="16"/>
      <c r="BD1630" s="125"/>
      <c r="BE1630" s="125"/>
      <c r="BF1630" s="16"/>
      <c r="BG1630" s="125"/>
      <c r="BQ1630" s="125"/>
      <c r="BR1630" s="16"/>
      <c r="BS1630" s="123"/>
      <c r="BT1630" s="19"/>
      <c r="BU1630" s="139"/>
      <c r="BV1630" s="139"/>
      <c r="BW1630" s="123"/>
      <c r="BX1630" s="123"/>
      <c r="BY1630" s="123"/>
      <c r="BZ1630" s="123"/>
      <c r="CA1630" s="123"/>
      <c r="CB1630" s="123"/>
      <c r="CC1630" s="6"/>
      <c r="CD1630" s="123"/>
      <c r="CE1630" s="6"/>
      <c r="CF1630" s="123"/>
      <c r="CG1630" s="6"/>
      <c r="CH1630" s="6"/>
      <c r="CI1630" s="6"/>
      <c r="CJ1630" s="6"/>
      <c r="CK1630" s="123"/>
      <c r="CL1630" s="6"/>
      <c r="CM1630" s="6"/>
      <c r="CN1630" s="6"/>
      <c r="CO1630" s="138"/>
      <c r="CP1630" s="138"/>
      <c r="CQ1630" s="123"/>
      <c r="CR1630" s="6"/>
      <c r="CS1630" s="6"/>
      <c r="CT1630" s="139"/>
      <c r="CU1630" s="139"/>
      <c r="CV1630" s="76"/>
      <c r="CW1630" s="123"/>
      <c r="CX1630" s="6"/>
      <c r="DI1630" s="125"/>
      <c r="DJ1630" s="16"/>
      <c r="DM1630" s="16"/>
      <c r="DN1630" s="16"/>
      <c r="DO1630" s="125"/>
      <c r="DP1630" s="16"/>
      <c r="DQ1630" s="125"/>
      <c r="DZ1630" s="125"/>
      <c r="EA1630" s="142"/>
      <c r="EB1630" s="125"/>
      <c r="EC1630" s="16"/>
      <c r="ED1630" s="125"/>
      <c r="EE1630" s="125"/>
      <c r="EF1630" s="16"/>
      <c r="EG1630" s="125"/>
      <c r="EQ1630" s="125"/>
      <c r="ER1630" s="16"/>
      <c r="ES1630" s="123"/>
      <c r="ET1630" s="19"/>
      <c r="EU1630" s="139"/>
      <c r="EV1630" s="139"/>
      <c r="EW1630" s="123"/>
      <c r="EX1630" s="123"/>
      <c r="EY1630" s="123"/>
      <c r="EZ1630" s="123"/>
      <c r="FA1630" s="123"/>
      <c r="FB1630" s="123"/>
      <c r="FC1630" s="6"/>
      <c r="FD1630" s="123"/>
      <c r="FE1630" s="6"/>
      <c r="FF1630" s="123"/>
      <c r="FG1630" s="6"/>
      <c r="FH1630" s="6"/>
      <c r="FI1630" s="6"/>
      <c r="FJ1630" s="6"/>
      <c r="FK1630" s="123"/>
      <c r="FL1630" s="6"/>
      <c r="FM1630" s="6"/>
      <c r="FN1630" s="6"/>
      <c r="FO1630" s="138"/>
      <c r="FP1630" s="138"/>
      <c r="FQ1630" s="123"/>
      <c r="FR1630" s="6"/>
      <c r="FS1630" s="6"/>
      <c r="FT1630" s="139"/>
      <c r="FU1630" s="139"/>
      <c r="FV1630" s="76"/>
      <c r="FW1630" s="123"/>
      <c r="FX1630" s="6"/>
    </row>
    <row r="1631" spans="35:180">
      <c r="AI1631" s="125"/>
      <c r="AJ1631" s="16"/>
      <c r="AM1631" s="16"/>
      <c r="AN1631" s="16"/>
      <c r="AO1631" s="125"/>
      <c r="AP1631" s="16"/>
      <c r="AQ1631" s="125"/>
      <c r="AZ1631" s="125"/>
      <c r="BA1631" s="142"/>
      <c r="BB1631" s="125"/>
      <c r="BC1631" s="16"/>
      <c r="BD1631" s="125"/>
      <c r="BE1631" s="125"/>
      <c r="BF1631" s="16"/>
      <c r="BG1631" s="125"/>
      <c r="BQ1631" s="125"/>
      <c r="BR1631" s="16"/>
      <c r="BS1631" s="123"/>
      <c r="BT1631" s="19"/>
      <c r="BU1631" s="139"/>
      <c r="BV1631" s="139"/>
      <c r="BW1631" s="123"/>
      <c r="BX1631" s="123"/>
      <c r="BY1631" s="123"/>
      <c r="BZ1631" s="123"/>
      <c r="CA1631" s="123"/>
      <c r="CB1631" s="123"/>
      <c r="CC1631" s="6"/>
      <c r="CD1631" s="123"/>
      <c r="CE1631" s="6"/>
      <c r="CF1631" s="123"/>
      <c r="CG1631" s="6"/>
      <c r="CH1631" s="6"/>
      <c r="CI1631" s="6"/>
      <c r="CJ1631" s="6"/>
      <c r="CK1631" s="123"/>
      <c r="CL1631" s="6"/>
      <c r="CM1631" s="6"/>
      <c r="CN1631" s="6"/>
      <c r="CO1631" s="138"/>
      <c r="CP1631" s="138"/>
      <c r="CQ1631" s="123"/>
      <c r="CR1631" s="6"/>
      <c r="CS1631" s="6"/>
      <c r="CT1631" s="139"/>
      <c r="CU1631" s="139"/>
      <c r="CV1631" s="76"/>
      <c r="CW1631" s="123"/>
      <c r="CX1631" s="6"/>
      <c r="DI1631" s="125"/>
      <c r="DJ1631" s="16"/>
      <c r="DM1631" s="16"/>
      <c r="DN1631" s="16"/>
      <c r="DO1631" s="125"/>
      <c r="DP1631" s="16"/>
      <c r="DQ1631" s="125"/>
      <c r="DZ1631" s="125"/>
      <c r="EA1631" s="142"/>
      <c r="EB1631" s="125"/>
      <c r="EC1631" s="16"/>
      <c r="ED1631" s="125"/>
      <c r="EE1631" s="125"/>
      <c r="EF1631" s="16"/>
      <c r="EG1631" s="125"/>
      <c r="EQ1631" s="125"/>
      <c r="ER1631" s="16"/>
      <c r="ES1631" s="123"/>
      <c r="ET1631" s="19"/>
      <c r="EU1631" s="139"/>
      <c r="EV1631" s="139"/>
      <c r="EW1631" s="123"/>
      <c r="EX1631" s="123"/>
      <c r="EY1631" s="123"/>
      <c r="EZ1631" s="123"/>
      <c r="FA1631" s="123"/>
      <c r="FB1631" s="123"/>
      <c r="FC1631" s="6"/>
      <c r="FD1631" s="123"/>
      <c r="FE1631" s="6"/>
      <c r="FF1631" s="123"/>
      <c r="FG1631" s="6"/>
      <c r="FH1631" s="6"/>
      <c r="FI1631" s="6"/>
      <c r="FJ1631" s="6"/>
      <c r="FK1631" s="123"/>
      <c r="FL1631" s="6"/>
      <c r="FM1631" s="6"/>
      <c r="FN1631" s="6"/>
      <c r="FO1631" s="138"/>
      <c r="FP1631" s="138"/>
      <c r="FQ1631" s="123"/>
      <c r="FR1631" s="6"/>
      <c r="FS1631" s="6"/>
      <c r="FT1631" s="139"/>
      <c r="FU1631" s="139"/>
      <c r="FV1631" s="76"/>
      <c r="FW1631" s="123"/>
      <c r="FX1631" s="6"/>
    </row>
    <row r="1632" spans="35:180">
      <c r="AI1632" s="125"/>
      <c r="AJ1632" s="16"/>
      <c r="AM1632" s="16"/>
      <c r="AN1632" s="16"/>
      <c r="AO1632" s="125"/>
      <c r="AP1632" s="16"/>
      <c r="AQ1632" s="125"/>
      <c r="AZ1632" s="125"/>
      <c r="BA1632" s="142"/>
      <c r="BB1632" s="125"/>
      <c r="BC1632" s="16"/>
      <c r="BD1632" s="125"/>
      <c r="BE1632" s="125"/>
      <c r="BF1632" s="16"/>
      <c r="BG1632" s="125"/>
      <c r="BQ1632" s="125"/>
      <c r="BR1632" s="16"/>
      <c r="BS1632" s="123"/>
      <c r="BT1632" s="19"/>
      <c r="BU1632" s="139"/>
      <c r="BV1632" s="139"/>
      <c r="BW1632" s="123"/>
      <c r="BX1632" s="123"/>
      <c r="BY1632" s="123"/>
      <c r="BZ1632" s="123"/>
      <c r="CA1632" s="123"/>
      <c r="CB1632" s="123"/>
      <c r="CC1632" s="6"/>
      <c r="CD1632" s="123"/>
      <c r="CE1632" s="6"/>
      <c r="CF1632" s="123"/>
      <c r="CG1632" s="6"/>
      <c r="CH1632" s="6"/>
      <c r="CI1632" s="6"/>
      <c r="CJ1632" s="6"/>
      <c r="CK1632" s="123"/>
      <c r="CL1632" s="6"/>
      <c r="CM1632" s="6"/>
      <c r="CN1632" s="6"/>
      <c r="CO1632" s="138"/>
      <c r="CP1632" s="138"/>
      <c r="CQ1632" s="123"/>
      <c r="CR1632" s="6"/>
      <c r="CS1632" s="6"/>
      <c r="CT1632" s="139"/>
      <c r="CU1632" s="139"/>
      <c r="CV1632" s="76"/>
      <c r="CW1632" s="123"/>
      <c r="CX1632" s="6"/>
      <c r="DI1632" s="125"/>
      <c r="DJ1632" s="16"/>
      <c r="DM1632" s="16"/>
      <c r="DN1632" s="16"/>
      <c r="DO1632" s="125"/>
      <c r="DP1632" s="16"/>
      <c r="DQ1632" s="125"/>
      <c r="DZ1632" s="125"/>
      <c r="EA1632" s="142"/>
      <c r="EB1632" s="125"/>
      <c r="EC1632" s="16"/>
      <c r="ED1632" s="125"/>
      <c r="EE1632" s="125"/>
      <c r="EF1632" s="16"/>
      <c r="EG1632" s="125"/>
      <c r="EQ1632" s="125"/>
      <c r="ER1632" s="16"/>
      <c r="ES1632" s="123"/>
      <c r="ET1632" s="19"/>
      <c r="EU1632" s="139"/>
      <c r="EV1632" s="139"/>
      <c r="EW1632" s="123"/>
      <c r="EX1632" s="123"/>
      <c r="EY1632" s="123"/>
      <c r="EZ1632" s="123"/>
      <c r="FA1632" s="123"/>
      <c r="FB1632" s="123"/>
      <c r="FC1632" s="6"/>
      <c r="FD1632" s="123"/>
      <c r="FE1632" s="6"/>
      <c r="FF1632" s="123"/>
      <c r="FG1632" s="6"/>
      <c r="FH1632" s="6"/>
      <c r="FI1632" s="6"/>
      <c r="FJ1632" s="6"/>
      <c r="FK1632" s="123"/>
      <c r="FL1632" s="6"/>
      <c r="FM1632" s="6"/>
      <c r="FN1632" s="6"/>
      <c r="FO1632" s="138"/>
      <c r="FP1632" s="138"/>
      <c r="FQ1632" s="123"/>
      <c r="FR1632" s="6"/>
      <c r="FS1632" s="6"/>
      <c r="FT1632" s="139"/>
      <c r="FU1632" s="139"/>
      <c r="FV1632" s="76"/>
      <c r="FW1632" s="123"/>
      <c r="FX1632" s="6"/>
    </row>
    <row r="1633" spans="35:180">
      <c r="AI1633" s="125"/>
      <c r="AJ1633" s="16"/>
      <c r="AM1633" s="16"/>
      <c r="AN1633" s="16"/>
      <c r="AO1633" s="125"/>
      <c r="AP1633" s="16"/>
      <c r="AQ1633" s="125"/>
      <c r="AZ1633" s="125"/>
      <c r="BA1633" s="142"/>
      <c r="BB1633" s="125"/>
      <c r="BC1633" s="16"/>
      <c r="BD1633" s="125"/>
      <c r="BE1633" s="125"/>
      <c r="BF1633" s="16"/>
      <c r="BG1633" s="125"/>
      <c r="BQ1633" s="125"/>
      <c r="BR1633" s="16"/>
      <c r="BS1633" s="123"/>
      <c r="BT1633" s="19"/>
      <c r="BU1633" s="139"/>
      <c r="BV1633" s="139"/>
      <c r="BW1633" s="123"/>
      <c r="BX1633" s="123"/>
      <c r="BY1633" s="123"/>
      <c r="BZ1633" s="123"/>
      <c r="CA1633" s="123"/>
      <c r="CB1633" s="123"/>
      <c r="CC1633" s="6"/>
      <c r="CD1633" s="123"/>
      <c r="CE1633" s="6"/>
      <c r="CF1633" s="123"/>
      <c r="CG1633" s="6"/>
      <c r="CH1633" s="6"/>
      <c r="CI1633" s="6"/>
      <c r="CJ1633" s="6"/>
      <c r="CK1633" s="123"/>
      <c r="CL1633" s="6"/>
      <c r="CM1633" s="6"/>
      <c r="CN1633" s="6"/>
      <c r="CO1633" s="138"/>
      <c r="CP1633" s="138"/>
      <c r="CQ1633" s="123"/>
      <c r="CR1633" s="6"/>
      <c r="CS1633" s="6"/>
      <c r="CT1633" s="139"/>
      <c r="CU1633" s="139"/>
      <c r="CV1633" s="76"/>
      <c r="CW1633" s="123"/>
      <c r="CX1633" s="6"/>
      <c r="DI1633" s="125"/>
      <c r="DJ1633" s="16"/>
      <c r="DM1633" s="16"/>
      <c r="DN1633" s="16"/>
      <c r="DO1633" s="125"/>
      <c r="DP1633" s="16"/>
      <c r="DQ1633" s="125"/>
      <c r="DZ1633" s="125"/>
      <c r="EA1633" s="142"/>
      <c r="EB1633" s="125"/>
      <c r="EC1633" s="16"/>
      <c r="ED1633" s="125"/>
      <c r="EE1633" s="125"/>
      <c r="EF1633" s="16"/>
      <c r="EG1633" s="125"/>
      <c r="EQ1633" s="125"/>
      <c r="ER1633" s="16"/>
      <c r="ES1633" s="123"/>
      <c r="ET1633" s="19"/>
      <c r="EU1633" s="139"/>
      <c r="EV1633" s="139"/>
      <c r="EW1633" s="123"/>
      <c r="EX1633" s="123"/>
      <c r="EY1633" s="123"/>
      <c r="EZ1633" s="123"/>
      <c r="FA1633" s="123"/>
      <c r="FB1633" s="123"/>
      <c r="FC1633" s="6"/>
      <c r="FD1633" s="123"/>
      <c r="FE1633" s="6"/>
      <c r="FF1633" s="123"/>
      <c r="FG1633" s="6"/>
      <c r="FH1633" s="6"/>
      <c r="FI1633" s="6"/>
      <c r="FJ1633" s="6"/>
      <c r="FK1633" s="123"/>
      <c r="FL1633" s="6"/>
      <c r="FM1633" s="6"/>
      <c r="FN1633" s="6"/>
      <c r="FO1633" s="138"/>
      <c r="FP1633" s="138"/>
      <c r="FQ1633" s="123"/>
      <c r="FR1633" s="6"/>
      <c r="FS1633" s="6"/>
      <c r="FT1633" s="139"/>
      <c r="FU1633" s="139"/>
      <c r="FV1633" s="76"/>
      <c r="FW1633" s="123"/>
      <c r="FX1633" s="6"/>
    </row>
    <row r="1634" spans="35:180">
      <c r="AI1634" s="125"/>
      <c r="AJ1634" s="16"/>
      <c r="AM1634" s="16"/>
      <c r="AN1634" s="16"/>
      <c r="AO1634" s="125"/>
      <c r="AP1634" s="16"/>
      <c r="AQ1634" s="125"/>
      <c r="AZ1634" s="125"/>
      <c r="BA1634" s="142"/>
      <c r="BB1634" s="125"/>
      <c r="BC1634" s="16"/>
      <c r="BD1634" s="125"/>
      <c r="BE1634" s="125"/>
      <c r="BF1634" s="16"/>
      <c r="BG1634" s="125"/>
      <c r="BQ1634" s="125"/>
      <c r="BR1634" s="16"/>
      <c r="BS1634" s="123"/>
      <c r="BT1634" s="19"/>
      <c r="BU1634" s="139"/>
      <c r="BV1634" s="139"/>
      <c r="BW1634" s="123"/>
      <c r="BX1634" s="123"/>
      <c r="BY1634" s="123"/>
      <c r="BZ1634" s="123"/>
      <c r="CA1634" s="123"/>
      <c r="CB1634" s="123"/>
      <c r="CC1634" s="6"/>
      <c r="CD1634" s="123"/>
      <c r="CE1634" s="6"/>
      <c r="CF1634" s="123"/>
      <c r="CG1634" s="6"/>
      <c r="CH1634" s="6"/>
      <c r="CI1634" s="6"/>
      <c r="CJ1634" s="6"/>
      <c r="CK1634" s="123"/>
      <c r="CL1634" s="6"/>
      <c r="CM1634" s="6"/>
      <c r="CN1634" s="6"/>
      <c r="CO1634" s="138"/>
      <c r="CP1634" s="138"/>
      <c r="CQ1634" s="123"/>
      <c r="CR1634" s="6"/>
      <c r="CS1634" s="6"/>
      <c r="CT1634" s="139"/>
      <c r="CU1634" s="139"/>
      <c r="CV1634" s="76"/>
      <c r="CW1634" s="123"/>
      <c r="CX1634" s="6"/>
      <c r="DI1634" s="125"/>
      <c r="DJ1634" s="16"/>
      <c r="DM1634" s="16"/>
      <c r="DN1634" s="16"/>
      <c r="DO1634" s="125"/>
      <c r="DP1634" s="16"/>
      <c r="DQ1634" s="125"/>
      <c r="DZ1634" s="125"/>
      <c r="EA1634" s="142"/>
      <c r="EB1634" s="125"/>
      <c r="EC1634" s="16"/>
      <c r="ED1634" s="125"/>
      <c r="EE1634" s="125"/>
      <c r="EF1634" s="16"/>
      <c r="EG1634" s="125"/>
      <c r="EQ1634" s="125"/>
      <c r="ER1634" s="16"/>
      <c r="ES1634" s="123"/>
      <c r="ET1634" s="19"/>
      <c r="EU1634" s="139"/>
      <c r="EV1634" s="139"/>
      <c r="EW1634" s="123"/>
      <c r="EX1634" s="123"/>
      <c r="EY1634" s="123"/>
      <c r="EZ1634" s="123"/>
      <c r="FA1634" s="123"/>
      <c r="FB1634" s="123"/>
      <c r="FC1634" s="6"/>
      <c r="FD1634" s="123"/>
      <c r="FE1634" s="6"/>
      <c r="FF1634" s="123"/>
      <c r="FG1634" s="6"/>
      <c r="FH1634" s="6"/>
      <c r="FI1634" s="6"/>
      <c r="FJ1634" s="6"/>
      <c r="FK1634" s="123"/>
      <c r="FL1634" s="6"/>
      <c r="FM1634" s="6"/>
      <c r="FN1634" s="6"/>
      <c r="FO1634" s="138"/>
      <c r="FP1634" s="138"/>
      <c r="FQ1634" s="123"/>
      <c r="FR1634" s="6"/>
      <c r="FS1634" s="6"/>
      <c r="FT1634" s="139"/>
      <c r="FU1634" s="139"/>
      <c r="FV1634" s="76"/>
      <c r="FW1634" s="123"/>
      <c r="FX1634" s="6"/>
    </row>
    <row r="1635" spans="35:180">
      <c r="AI1635" s="125"/>
      <c r="AJ1635" s="16"/>
      <c r="AM1635" s="16"/>
      <c r="AN1635" s="16"/>
      <c r="AO1635" s="125"/>
      <c r="AP1635" s="16"/>
      <c r="AQ1635" s="125"/>
      <c r="AZ1635" s="125"/>
      <c r="BA1635" s="142"/>
      <c r="BB1635" s="125"/>
      <c r="BC1635" s="16"/>
      <c r="BD1635" s="125"/>
      <c r="BE1635" s="125"/>
      <c r="BF1635" s="16"/>
      <c r="BG1635" s="125"/>
      <c r="BQ1635" s="125"/>
      <c r="BR1635" s="16"/>
      <c r="BS1635" s="123"/>
      <c r="BT1635" s="19"/>
      <c r="BU1635" s="139"/>
      <c r="BV1635" s="139"/>
      <c r="BW1635" s="123"/>
      <c r="BX1635" s="123"/>
      <c r="BY1635" s="123"/>
      <c r="BZ1635" s="123"/>
      <c r="CA1635" s="123"/>
      <c r="CB1635" s="123"/>
      <c r="CC1635" s="6"/>
      <c r="CD1635" s="123"/>
      <c r="CE1635" s="6"/>
      <c r="CF1635" s="123"/>
      <c r="CG1635" s="6"/>
      <c r="CH1635" s="6"/>
      <c r="CI1635" s="6"/>
      <c r="CJ1635" s="6"/>
      <c r="CK1635" s="123"/>
      <c r="CL1635" s="6"/>
      <c r="CM1635" s="6"/>
      <c r="CN1635" s="6"/>
      <c r="CO1635" s="138"/>
      <c r="CP1635" s="138"/>
      <c r="CQ1635" s="123"/>
      <c r="CR1635" s="6"/>
      <c r="CS1635" s="6"/>
      <c r="CT1635" s="139"/>
      <c r="CU1635" s="139"/>
      <c r="CV1635" s="76"/>
      <c r="CW1635" s="123"/>
      <c r="CX1635" s="6"/>
      <c r="DI1635" s="125"/>
      <c r="DJ1635" s="16"/>
      <c r="DM1635" s="16"/>
      <c r="DN1635" s="16"/>
      <c r="DO1635" s="125"/>
      <c r="DP1635" s="16"/>
      <c r="DQ1635" s="125"/>
      <c r="DZ1635" s="125"/>
      <c r="EA1635" s="142"/>
      <c r="EB1635" s="125"/>
      <c r="EC1635" s="16"/>
      <c r="ED1635" s="125"/>
      <c r="EE1635" s="125"/>
      <c r="EF1635" s="16"/>
      <c r="EG1635" s="125"/>
      <c r="EQ1635" s="125"/>
      <c r="ER1635" s="16"/>
      <c r="ES1635" s="123"/>
      <c r="ET1635" s="19"/>
      <c r="EU1635" s="139"/>
      <c r="EV1635" s="139"/>
      <c r="EW1635" s="123"/>
      <c r="EX1635" s="123"/>
      <c r="EY1635" s="123"/>
      <c r="EZ1635" s="123"/>
      <c r="FA1635" s="123"/>
      <c r="FB1635" s="123"/>
      <c r="FC1635" s="6"/>
      <c r="FD1635" s="123"/>
      <c r="FE1635" s="6"/>
      <c r="FF1635" s="123"/>
      <c r="FG1635" s="6"/>
      <c r="FH1635" s="6"/>
      <c r="FI1635" s="6"/>
      <c r="FJ1635" s="6"/>
      <c r="FK1635" s="123"/>
      <c r="FL1635" s="6"/>
      <c r="FM1635" s="6"/>
      <c r="FN1635" s="6"/>
      <c r="FO1635" s="138"/>
      <c r="FP1635" s="138"/>
      <c r="FQ1635" s="123"/>
      <c r="FR1635" s="6"/>
      <c r="FS1635" s="6"/>
      <c r="FT1635" s="139"/>
      <c r="FU1635" s="139"/>
      <c r="FV1635" s="76"/>
      <c r="FW1635" s="123"/>
      <c r="FX1635" s="6"/>
    </row>
    <row r="1636" spans="35:180">
      <c r="AI1636" s="125"/>
      <c r="AJ1636" s="16"/>
      <c r="AM1636" s="16"/>
      <c r="AN1636" s="16"/>
      <c r="AO1636" s="125"/>
      <c r="AP1636" s="16"/>
      <c r="AQ1636" s="125"/>
      <c r="AZ1636" s="125"/>
      <c r="BA1636" s="142"/>
      <c r="BB1636" s="125"/>
      <c r="BC1636" s="16"/>
      <c r="BD1636" s="125"/>
      <c r="BE1636" s="125"/>
      <c r="BF1636" s="16"/>
      <c r="BG1636" s="125"/>
      <c r="BQ1636" s="125"/>
      <c r="BR1636" s="16"/>
      <c r="BS1636" s="123"/>
      <c r="BT1636" s="19"/>
      <c r="BU1636" s="139"/>
      <c r="BV1636" s="139"/>
      <c r="BW1636" s="123"/>
      <c r="BX1636" s="123"/>
      <c r="BY1636" s="123"/>
      <c r="BZ1636" s="123"/>
      <c r="CA1636" s="123"/>
      <c r="CB1636" s="123"/>
      <c r="CC1636" s="6"/>
      <c r="CD1636" s="123"/>
      <c r="CE1636" s="6"/>
      <c r="CF1636" s="123"/>
      <c r="CG1636" s="6"/>
      <c r="CH1636" s="6"/>
      <c r="CI1636" s="6"/>
      <c r="CJ1636" s="6"/>
      <c r="CK1636" s="123"/>
      <c r="CL1636" s="6"/>
      <c r="CM1636" s="6"/>
      <c r="CN1636" s="6"/>
      <c r="CO1636" s="138"/>
      <c r="CP1636" s="138"/>
      <c r="CQ1636" s="123"/>
      <c r="CR1636" s="6"/>
      <c r="CS1636" s="6"/>
      <c r="CT1636" s="139"/>
      <c r="CU1636" s="139"/>
      <c r="CV1636" s="76"/>
      <c r="CW1636" s="123"/>
      <c r="CX1636" s="6"/>
      <c r="DI1636" s="125"/>
      <c r="DJ1636" s="16"/>
      <c r="DM1636" s="16"/>
      <c r="DN1636" s="16"/>
      <c r="DO1636" s="125"/>
      <c r="DP1636" s="16"/>
      <c r="DQ1636" s="125"/>
      <c r="DZ1636" s="125"/>
      <c r="EA1636" s="142"/>
      <c r="EB1636" s="125"/>
      <c r="EC1636" s="16"/>
      <c r="ED1636" s="125"/>
      <c r="EE1636" s="125"/>
      <c r="EF1636" s="16"/>
      <c r="EG1636" s="125"/>
      <c r="EQ1636" s="125"/>
      <c r="ER1636" s="16"/>
      <c r="ES1636" s="123"/>
      <c r="ET1636" s="19"/>
      <c r="EU1636" s="139"/>
      <c r="EV1636" s="139"/>
      <c r="EW1636" s="123"/>
      <c r="EX1636" s="123"/>
      <c r="EY1636" s="123"/>
      <c r="EZ1636" s="123"/>
      <c r="FA1636" s="123"/>
      <c r="FB1636" s="123"/>
      <c r="FC1636" s="6"/>
      <c r="FD1636" s="123"/>
      <c r="FE1636" s="6"/>
      <c r="FF1636" s="123"/>
      <c r="FG1636" s="6"/>
      <c r="FH1636" s="6"/>
      <c r="FI1636" s="6"/>
      <c r="FJ1636" s="6"/>
      <c r="FK1636" s="123"/>
      <c r="FL1636" s="6"/>
      <c r="FM1636" s="6"/>
      <c r="FN1636" s="6"/>
      <c r="FO1636" s="138"/>
      <c r="FP1636" s="138"/>
      <c r="FQ1636" s="123"/>
      <c r="FR1636" s="6"/>
      <c r="FS1636" s="6"/>
      <c r="FT1636" s="139"/>
      <c r="FU1636" s="139"/>
      <c r="FV1636" s="76"/>
      <c r="FW1636" s="123"/>
      <c r="FX1636" s="6"/>
    </row>
    <row r="1637" spans="35:180">
      <c r="AI1637" s="125"/>
      <c r="AJ1637" s="16"/>
      <c r="AM1637" s="16"/>
      <c r="AN1637" s="16"/>
      <c r="AO1637" s="125"/>
      <c r="AP1637" s="16"/>
      <c r="AQ1637" s="125"/>
      <c r="AZ1637" s="125"/>
      <c r="BA1637" s="142"/>
      <c r="BB1637" s="125"/>
      <c r="BC1637" s="16"/>
      <c r="BD1637" s="125"/>
      <c r="BE1637" s="125"/>
      <c r="BF1637" s="16"/>
      <c r="BG1637" s="125"/>
      <c r="BQ1637" s="125"/>
      <c r="BR1637" s="16"/>
      <c r="BS1637" s="123"/>
      <c r="BT1637" s="19"/>
      <c r="BU1637" s="139"/>
      <c r="BV1637" s="139"/>
      <c r="BW1637" s="123"/>
      <c r="BX1637" s="123"/>
      <c r="BY1637" s="123"/>
      <c r="BZ1637" s="123"/>
      <c r="CA1637" s="123"/>
      <c r="CB1637" s="123"/>
      <c r="CC1637" s="6"/>
      <c r="CD1637" s="123"/>
      <c r="CE1637" s="6"/>
      <c r="CF1637" s="123"/>
      <c r="CG1637" s="6"/>
      <c r="CH1637" s="6"/>
      <c r="CI1637" s="6"/>
      <c r="CJ1637" s="6"/>
      <c r="CK1637" s="123"/>
      <c r="CL1637" s="6"/>
      <c r="CM1637" s="6"/>
      <c r="CN1637" s="6"/>
      <c r="CO1637" s="138"/>
      <c r="CP1637" s="138"/>
      <c r="CQ1637" s="123"/>
      <c r="CR1637" s="6"/>
      <c r="CS1637" s="6"/>
      <c r="CT1637" s="139"/>
      <c r="CU1637" s="139"/>
      <c r="CV1637" s="76"/>
      <c r="CW1637" s="123"/>
      <c r="CX1637" s="6"/>
      <c r="DI1637" s="125"/>
      <c r="DJ1637" s="16"/>
      <c r="DM1637" s="16"/>
      <c r="DN1637" s="16"/>
      <c r="DO1637" s="125"/>
      <c r="DP1637" s="16"/>
      <c r="DQ1637" s="125"/>
      <c r="DZ1637" s="125"/>
      <c r="EA1637" s="142"/>
      <c r="EB1637" s="125"/>
      <c r="EC1637" s="16"/>
      <c r="ED1637" s="125"/>
      <c r="EE1637" s="125"/>
      <c r="EF1637" s="16"/>
      <c r="EG1637" s="125"/>
      <c r="EQ1637" s="125"/>
      <c r="ER1637" s="16"/>
      <c r="ES1637" s="123"/>
      <c r="ET1637" s="19"/>
      <c r="EU1637" s="139"/>
      <c r="EV1637" s="139"/>
      <c r="EW1637" s="123"/>
      <c r="EX1637" s="123"/>
      <c r="EY1637" s="123"/>
      <c r="EZ1637" s="123"/>
      <c r="FA1637" s="123"/>
      <c r="FB1637" s="123"/>
      <c r="FC1637" s="6"/>
      <c r="FD1637" s="123"/>
      <c r="FE1637" s="6"/>
      <c r="FF1637" s="123"/>
      <c r="FG1637" s="6"/>
      <c r="FH1637" s="6"/>
      <c r="FI1637" s="6"/>
      <c r="FJ1637" s="6"/>
      <c r="FK1637" s="123"/>
      <c r="FL1637" s="6"/>
      <c r="FM1637" s="6"/>
      <c r="FN1637" s="6"/>
      <c r="FO1637" s="138"/>
      <c r="FP1637" s="138"/>
      <c r="FQ1637" s="123"/>
      <c r="FR1637" s="6"/>
      <c r="FS1637" s="6"/>
      <c r="FT1637" s="139"/>
      <c r="FU1637" s="139"/>
      <c r="FV1637" s="76"/>
      <c r="FW1637" s="123"/>
      <c r="FX1637" s="6"/>
    </row>
    <row r="1638" spans="35:180">
      <c r="AI1638" s="125"/>
      <c r="AJ1638" s="16"/>
      <c r="AM1638" s="16"/>
      <c r="AN1638" s="16"/>
      <c r="AO1638" s="125"/>
      <c r="AP1638" s="16"/>
      <c r="AQ1638" s="125"/>
      <c r="AZ1638" s="125"/>
      <c r="BA1638" s="142"/>
      <c r="BB1638" s="125"/>
      <c r="BC1638" s="16"/>
      <c r="BD1638" s="125"/>
      <c r="BE1638" s="125"/>
      <c r="BF1638" s="16"/>
      <c r="BG1638" s="125"/>
      <c r="BQ1638" s="125"/>
      <c r="BR1638" s="16"/>
      <c r="BS1638" s="123"/>
      <c r="BT1638" s="19"/>
      <c r="BU1638" s="139"/>
      <c r="BV1638" s="139"/>
      <c r="BW1638" s="123"/>
      <c r="BX1638" s="123"/>
      <c r="BY1638" s="123"/>
      <c r="BZ1638" s="123"/>
      <c r="CA1638" s="123"/>
      <c r="CB1638" s="123"/>
      <c r="CC1638" s="6"/>
      <c r="CD1638" s="123"/>
      <c r="CE1638" s="6"/>
      <c r="CF1638" s="123"/>
      <c r="CG1638" s="6"/>
      <c r="CH1638" s="6"/>
      <c r="CI1638" s="6"/>
      <c r="CJ1638" s="6"/>
      <c r="CK1638" s="123"/>
      <c r="CL1638" s="6"/>
      <c r="CM1638" s="6"/>
      <c r="CN1638" s="6"/>
      <c r="CO1638" s="138"/>
      <c r="CP1638" s="138"/>
      <c r="CQ1638" s="123"/>
      <c r="CR1638" s="6"/>
      <c r="CS1638" s="6"/>
      <c r="CT1638" s="139"/>
      <c r="CU1638" s="139"/>
      <c r="CV1638" s="76"/>
      <c r="CW1638" s="123"/>
      <c r="CX1638" s="6"/>
      <c r="DI1638" s="125"/>
      <c r="DJ1638" s="16"/>
      <c r="DM1638" s="16"/>
      <c r="DN1638" s="16"/>
      <c r="DO1638" s="125"/>
      <c r="DP1638" s="16"/>
      <c r="DQ1638" s="125"/>
      <c r="DZ1638" s="125"/>
      <c r="EA1638" s="142"/>
      <c r="EB1638" s="125"/>
      <c r="EC1638" s="16"/>
      <c r="ED1638" s="125"/>
      <c r="EE1638" s="125"/>
      <c r="EF1638" s="16"/>
      <c r="EG1638" s="125"/>
      <c r="EQ1638" s="125"/>
      <c r="ER1638" s="16"/>
      <c r="ES1638" s="123"/>
      <c r="ET1638" s="19"/>
      <c r="EU1638" s="139"/>
      <c r="EV1638" s="139"/>
      <c r="EW1638" s="123"/>
      <c r="EX1638" s="123"/>
      <c r="EY1638" s="123"/>
      <c r="EZ1638" s="123"/>
      <c r="FA1638" s="123"/>
      <c r="FB1638" s="123"/>
      <c r="FC1638" s="6"/>
      <c r="FD1638" s="123"/>
      <c r="FE1638" s="6"/>
      <c r="FF1638" s="123"/>
      <c r="FG1638" s="6"/>
      <c r="FH1638" s="6"/>
      <c r="FI1638" s="6"/>
      <c r="FJ1638" s="6"/>
      <c r="FK1638" s="123"/>
      <c r="FL1638" s="6"/>
      <c r="FM1638" s="6"/>
      <c r="FN1638" s="6"/>
      <c r="FO1638" s="138"/>
      <c r="FP1638" s="138"/>
      <c r="FQ1638" s="123"/>
      <c r="FR1638" s="6"/>
      <c r="FS1638" s="6"/>
      <c r="FT1638" s="139"/>
      <c r="FU1638" s="139"/>
      <c r="FV1638" s="76"/>
      <c r="FW1638" s="123"/>
      <c r="FX1638" s="6"/>
    </row>
    <row r="1639" spans="35:180">
      <c r="AI1639" s="125"/>
      <c r="AJ1639" s="16"/>
      <c r="AM1639" s="16"/>
      <c r="AN1639" s="16"/>
      <c r="AO1639" s="125"/>
      <c r="AP1639" s="16"/>
      <c r="AQ1639" s="125"/>
      <c r="AZ1639" s="125"/>
      <c r="BA1639" s="142"/>
      <c r="BB1639" s="125"/>
      <c r="BC1639" s="16"/>
      <c r="BD1639" s="125"/>
      <c r="BE1639" s="125"/>
      <c r="BF1639" s="16"/>
      <c r="BG1639" s="125"/>
      <c r="BQ1639" s="125"/>
      <c r="BR1639" s="16"/>
      <c r="BS1639" s="123"/>
      <c r="BT1639" s="19"/>
      <c r="BU1639" s="139"/>
      <c r="BV1639" s="139"/>
      <c r="BW1639" s="123"/>
      <c r="BX1639" s="123"/>
      <c r="BY1639" s="123"/>
      <c r="BZ1639" s="123"/>
      <c r="CA1639" s="123"/>
      <c r="CB1639" s="123"/>
      <c r="CC1639" s="6"/>
      <c r="CD1639" s="123"/>
      <c r="CE1639" s="6"/>
      <c r="CF1639" s="123"/>
      <c r="CG1639" s="6"/>
      <c r="CH1639" s="6"/>
      <c r="CI1639" s="6"/>
      <c r="CJ1639" s="6"/>
      <c r="CK1639" s="123"/>
      <c r="CL1639" s="6"/>
      <c r="CM1639" s="6"/>
      <c r="CN1639" s="6"/>
      <c r="CO1639" s="138"/>
      <c r="CP1639" s="138"/>
      <c r="CQ1639" s="123"/>
      <c r="CR1639" s="6"/>
      <c r="CS1639" s="6"/>
      <c r="CT1639" s="139"/>
      <c r="CU1639" s="139"/>
      <c r="CV1639" s="76"/>
      <c r="CW1639" s="123"/>
      <c r="CX1639" s="6"/>
      <c r="DI1639" s="125"/>
      <c r="DJ1639" s="16"/>
      <c r="DM1639" s="16"/>
      <c r="DN1639" s="16"/>
      <c r="DO1639" s="125"/>
      <c r="DP1639" s="16"/>
      <c r="DQ1639" s="125"/>
      <c r="DZ1639" s="125"/>
      <c r="EA1639" s="142"/>
      <c r="EB1639" s="125"/>
      <c r="EC1639" s="16"/>
      <c r="ED1639" s="125"/>
      <c r="EE1639" s="125"/>
      <c r="EF1639" s="16"/>
      <c r="EG1639" s="125"/>
      <c r="EQ1639" s="125"/>
      <c r="ER1639" s="16"/>
      <c r="ES1639" s="123"/>
      <c r="ET1639" s="19"/>
      <c r="EU1639" s="139"/>
      <c r="EV1639" s="139"/>
      <c r="EW1639" s="123"/>
      <c r="EX1639" s="123"/>
      <c r="EY1639" s="123"/>
      <c r="EZ1639" s="123"/>
      <c r="FA1639" s="123"/>
      <c r="FB1639" s="123"/>
      <c r="FC1639" s="6"/>
      <c r="FD1639" s="123"/>
      <c r="FE1639" s="6"/>
      <c r="FF1639" s="123"/>
      <c r="FG1639" s="6"/>
      <c r="FH1639" s="6"/>
      <c r="FI1639" s="6"/>
      <c r="FJ1639" s="6"/>
      <c r="FK1639" s="123"/>
      <c r="FL1639" s="6"/>
      <c r="FM1639" s="6"/>
      <c r="FN1639" s="6"/>
      <c r="FO1639" s="138"/>
      <c r="FP1639" s="138"/>
      <c r="FQ1639" s="123"/>
      <c r="FR1639" s="6"/>
      <c r="FS1639" s="6"/>
      <c r="FT1639" s="139"/>
      <c r="FU1639" s="139"/>
      <c r="FV1639" s="76"/>
      <c r="FW1639" s="123"/>
      <c r="FX1639" s="6"/>
    </row>
    <row r="1640" spans="35:180">
      <c r="AI1640" s="125"/>
      <c r="AJ1640" s="16"/>
      <c r="AM1640" s="16"/>
      <c r="AN1640" s="16"/>
      <c r="AO1640" s="125"/>
      <c r="AP1640" s="16"/>
      <c r="AQ1640" s="125"/>
      <c r="AZ1640" s="125"/>
      <c r="BA1640" s="142"/>
      <c r="BB1640" s="125"/>
      <c r="BC1640" s="16"/>
      <c r="BD1640" s="125"/>
      <c r="BE1640" s="125"/>
      <c r="BF1640" s="16"/>
      <c r="BG1640" s="125"/>
      <c r="BQ1640" s="125"/>
      <c r="BR1640" s="16"/>
      <c r="BS1640" s="123"/>
      <c r="BT1640" s="19"/>
      <c r="BU1640" s="139"/>
      <c r="BV1640" s="139"/>
      <c r="BW1640" s="123"/>
      <c r="BX1640" s="123"/>
      <c r="BY1640" s="123"/>
      <c r="BZ1640" s="123"/>
      <c r="CA1640" s="123"/>
      <c r="CB1640" s="123"/>
      <c r="CC1640" s="6"/>
      <c r="CD1640" s="123"/>
      <c r="CE1640" s="6"/>
      <c r="CF1640" s="123"/>
      <c r="CG1640" s="6"/>
      <c r="CH1640" s="6"/>
      <c r="CI1640" s="6"/>
      <c r="CJ1640" s="6"/>
      <c r="CK1640" s="123"/>
      <c r="CL1640" s="6"/>
      <c r="CM1640" s="6"/>
      <c r="CN1640" s="6"/>
      <c r="CO1640" s="138"/>
      <c r="CP1640" s="138"/>
      <c r="CQ1640" s="123"/>
      <c r="CR1640" s="6"/>
      <c r="CS1640" s="6"/>
      <c r="CT1640" s="139"/>
      <c r="CU1640" s="139"/>
      <c r="CV1640" s="76"/>
      <c r="CW1640" s="123"/>
      <c r="CX1640" s="6"/>
      <c r="DI1640" s="125"/>
      <c r="DJ1640" s="16"/>
      <c r="DM1640" s="16"/>
      <c r="DN1640" s="16"/>
      <c r="DO1640" s="125"/>
      <c r="DP1640" s="16"/>
      <c r="DQ1640" s="125"/>
      <c r="DZ1640" s="125"/>
      <c r="EA1640" s="142"/>
      <c r="EB1640" s="125"/>
      <c r="EC1640" s="16"/>
      <c r="ED1640" s="125"/>
      <c r="EE1640" s="125"/>
      <c r="EF1640" s="16"/>
      <c r="EG1640" s="125"/>
      <c r="EQ1640" s="125"/>
      <c r="ER1640" s="16"/>
      <c r="ES1640" s="123"/>
      <c r="ET1640" s="19"/>
      <c r="EU1640" s="139"/>
      <c r="EV1640" s="139"/>
      <c r="EW1640" s="123"/>
      <c r="EX1640" s="123"/>
      <c r="EY1640" s="123"/>
      <c r="EZ1640" s="123"/>
      <c r="FA1640" s="123"/>
      <c r="FB1640" s="123"/>
      <c r="FC1640" s="6"/>
      <c r="FD1640" s="123"/>
      <c r="FE1640" s="6"/>
      <c r="FF1640" s="123"/>
      <c r="FG1640" s="6"/>
      <c r="FH1640" s="6"/>
      <c r="FI1640" s="6"/>
      <c r="FJ1640" s="6"/>
      <c r="FK1640" s="123"/>
      <c r="FL1640" s="6"/>
      <c r="FM1640" s="6"/>
      <c r="FN1640" s="6"/>
      <c r="FO1640" s="138"/>
      <c r="FP1640" s="138"/>
      <c r="FQ1640" s="123"/>
      <c r="FR1640" s="6"/>
      <c r="FS1640" s="6"/>
      <c r="FT1640" s="139"/>
      <c r="FU1640" s="139"/>
      <c r="FV1640" s="76"/>
      <c r="FW1640" s="123"/>
      <c r="FX1640" s="6"/>
    </row>
    <row r="1641" spans="35:180">
      <c r="AI1641" s="125"/>
      <c r="AJ1641" s="16"/>
      <c r="AM1641" s="16"/>
      <c r="AN1641" s="16"/>
      <c r="AO1641" s="125"/>
      <c r="AP1641" s="16"/>
      <c r="AQ1641" s="125"/>
      <c r="AZ1641" s="125"/>
      <c r="BA1641" s="142"/>
      <c r="BB1641" s="125"/>
      <c r="BC1641" s="16"/>
      <c r="BD1641" s="125"/>
      <c r="BE1641" s="125"/>
      <c r="BF1641" s="16"/>
      <c r="BG1641" s="125"/>
      <c r="BQ1641" s="125"/>
      <c r="BR1641" s="16"/>
      <c r="BS1641" s="123"/>
      <c r="BT1641" s="19"/>
      <c r="BU1641" s="139"/>
      <c r="BV1641" s="139"/>
      <c r="BW1641" s="123"/>
      <c r="BX1641" s="123"/>
      <c r="BY1641" s="123"/>
      <c r="BZ1641" s="123"/>
      <c r="CA1641" s="123"/>
      <c r="CB1641" s="123"/>
      <c r="CC1641" s="6"/>
      <c r="CD1641" s="123"/>
      <c r="CE1641" s="6"/>
      <c r="CF1641" s="123"/>
      <c r="CG1641" s="6"/>
      <c r="CH1641" s="6"/>
      <c r="CI1641" s="6"/>
      <c r="CJ1641" s="6"/>
      <c r="CK1641" s="123"/>
      <c r="CL1641" s="6"/>
      <c r="CM1641" s="6"/>
      <c r="CN1641" s="6"/>
      <c r="CO1641" s="138"/>
      <c r="CP1641" s="138"/>
      <c r="CQ1641" s="123"/>
      <c r="CR1641" s="6"/>
      <c r="CS1641" s="6"/>
      <c r="CT1641" s="139"/>
      <c r="CU1641" s="139"/>
      <c r="CV1641" s="76"/>
      <c r="CW1641" s="123"/>
      <c r="CX1641" s="6"/>
      <c r="DI1641" s="125"/>
      <c r="DJ1641" s="16"/>
      <c r="DM1641" s="16"/>
      <c r="DN1641" s="16"/>
      <c r="DO1641" s="125"/>
      <c r="DP1641" s="16"/>
      <c r="DQ1641" s="125"/>
      <c r="DZ1641" s="125"/>
      <c r="EA1641" s="142"/>
      <c r="EB1641" s="125"/>
      <c r="EC1641" s="16"/>
      <c r="ED1641" s="125"/>
      <c r="EE1641" s="125"/>
      <c r="EF1641" s="16"/>
      <c r="EG1641" s="125"/>
      <c r="EQ1641" s="125"/>
      <c r="ER1641" s="16"/>
      <c r="ES1641" s="123"/>
      <c r="ET1641" s="19"/>
      <c r="EU1641" s="139"/>
      <c r="EV1641" s="139"/>
      <c r="EW1641" s="123"/>
      <c r="EX1641" s="123"/>
      <c r="EY1641" s="123"/>
      <c r="EZ1641" s="123"/>
      <c r="FA1641" s="123"/>
      <c r="FB1641" s="123"/>
      <c r="FC1641" s="6"/>
      <c r="FD1641" s="123"/>
      <c r="FE1641" s="6"/>
      <c r="FF1641" s="123"/>
      <c r="FG1641" s="6"/>
      <c r="FH1641" s="6"/>
      <c r="FI1641" s="6"/>
      <c r="FJ1641" s="6"/>
      <c r="FK1641" s="123"/>
      <c r="FL1641" s="6"/>
      <c r="FM1641" s="6"/>
      <c r="FN1641" s="6"/>
      <c r="FO1641" s="138"/>
      <c r="FP1641" s="138"/>
      <c r="FQ1641" s="123"/>
      <c r="FR1641" s="6"/>
      <c r="FS1641" s="6"/>
      <c r="FT1641" s="139"/>
      <c r="FU1641" s="139"/>
      <c r="FV1641" s="76"/>
      <c r="FW1641" s="123"/>
      <c r="FX1641" s="6"/>
    </row>
    <row r="1642" spans="35:180">
      <c r="AI1642" s="125"/>
      <c r="AJ1642" s="16"/>
      <c r="AM1642" s="16"/>
      <c r="AN1642" s="16"/>
      <c r="AO1642" s="125"/>
      <c r="AP1642" s="16"/>
      <c r="AQ1642" s="125"/>
      <c r="AZ1642" s="125"/>
      <c r="BA1642" s="142"/>
      <c r="BB1642" s="125"/>
      <c r="BC1642" s="16"/>
      <c r="BD1642" s="125"/>
      <c r="BE1642" s="125"/>
      <c r="BF1642" s="16"/>
      <c r="BG1642" s="125"/>
      <c r="BQ1642" s="125"/>
      <c r="BR1642" s="16"/>
      <c r="BS1642" s="123"/>
      <c r="BT1642" s="19"/>
      <c r="BU1642" s="139"/>
      <c r="BV1642" s="139"/>
      <c r="BW1642" s="123"/>
      <c r="BX1642" s="123"/>
      <c r="BY1642" s="123"/>
      <c r="BZ1642" s="123"/>
      <c r="CA1642" s="123"/>
      <c r="CB1642" s="123"/>
      <c r="CC1642" s="6"/>
      <c r="CD1642" s="123"/>
      <c r="CE1642" s="6"/>
      <c r="CF1642" s="123"/>
      <c r="CG1642" s="6"/>
      <c r="CH1642" s="6"/>
      <c r="CI1642" s="6"/>
      <c r="CJ1642" s="6"/>
      <c r="CK1642" s="123"/>
      <c r="CL1642" s="6"/>
      <c r="CM1642" s="6"/>
      <c r="CN1642" s="6"/>
      <c r="CO1642" s="138"/>
      <c r="CP1642" s="138"/>
      <c r="CQ1642" s="123"/>
      <c r="CR1642" s="6"/>
      <c r="CS1642" s="6"/>
      <c r="CT1642" s="139"/>
      <c r="CU1642" s="139"/>
      <c r="CV1642" s="76"/>
      <c r="CW1642" s="123"/>
      <c r="CX1642" s="6"/>
      <c r="DI1642" s="125"/>
      <c r="DJ1642" s="16"/>
      <c r="DM1642" s="16"/>
      <c r="DN1642" s="16"/>
      <c r="DO1642" s="125"/>
      <c r="DP1642" s="16"/>
      <c r="DQ1642" s="125"/>
      <c r="DZ1642" s="125"/>
      <c r="EA1642" s="142"/>
      <c r="EB1642" s="125"/>
      <c r="EC1642" s="16"/>
      <c r="ED1642" s="125"/>
      <c r="EE1642" s="125"/>
      <c r="EF1642" s="16"/>
      <c r="EG1642" s="125"/>
      <c r="EQ1642" s="125"/>
      <c r="ER1642" s="16"/>
      <c r="ES1642" s="123"/>
      <c r="ET1642" s="19"/>
      <c r="EU1642" s="139"/>
      <c r="EV1642" s="139"/>
      <c r="EW1642" s="123"/>
      <c r="EX1642" s="123"/>
      <c r="EY1642" s="123"/>
      <c r="EZ1642" s="123"/>
      <c r="FA1642" s="123"/>
      <c r="FB1642" s="123"/>
      <c r="FC1642" s="6"/>
      <c r="FD1642" s="123"/>
      <c r="FE1642" s="6"/>
      <c r="FF1642" s="123"/>
      <c r="FG1642" s="6"/>
      <c r="FH1642" s="6"/>
      <c r="FI1642" s="6"/>
      <c r="FJ1642" s="6"/>
      <c r="FK1642" s="123"/>
      <c r="FL1642" s="6"/>
      <c r="FM1642" s="6"/>
      <c r="FN1642" s="6"/>
      <c r="FO1642" s="138"/>
      <c r="FP1642" s="138"/>
      <c r="FQ1642" s="123"/>
      <c r="FR1642" s="6"/>
      <c r="FS1642" s="6"/>
      <c r="FT1642" s="139"/>
      <c r="FU1642" s="139"/>
      <c r="FV1642" s="76"/>
      <c r="FW1642" s="123"/>
      <c r="FX1642" s="6"/>
    </row>
    <row r="1643" spans="35:180">
      <c r="AI1643" s="125"/>
      <c r="AJ1643" s="16"/>
      <c r="AM1643" s="16"/>
      <c r="AN1643" s="16"/>
      <c r="AO1643" s="125"/>
      <c r="AP1643" s="16"/>
      <c r="AQ1643" s="125"/>
      <c r="AZ1643" s="125"/>
      <c r="BA1643" s="142"/>
      <c r="BB1643" s="125"/>
      <c r="BC1643" s="16"/>
      <c r="BD1643" s="125"/>
      <c r="BE1643" s="125"/>
      <c r="BF1643" s="16"/>
      <c r="BG1643" s="125"/>
      <c r="BQ1643" s="125"/>
      <c r="BR1643" s="16"/>
      <c r="BS1643" s="123"/>
      <c r="BT1643" s="19"/>
      <c r="BU1643" s="139"/>
      <c r="BV1643" s="139"/>
      <c r="BW1643" s="123"/>
      <c r="BX1643" s="123"/>
      <c r="BY1643" s="123"/>
      <c r="BZ1643" s="123"/>
      <c r="CA1643" s="123"/>
      <c r="CB1643" s="123"/>
      <c r="CC1643" s="6"/>
      <c r="CD1643" s="123"/>
      <c r="CE1643" s="6"/>
      <c r="CF1643" s="123"/>
      <c r="CG1643" s="6"/>
      <c r="CH1643" s="6"/>
      <c r="CI1643" s="6"/>
      <c r="CJ1643" s="6"/>
      <c r="CK1643" s="123"/>
      <c r="CL1643" s="6"/>
      <c r="CM1643" s="6"/>
      <c r="CN1643" s="6"/>
      <c r="CO1643" s="138"/>
      <c r="CP1643" s="138"/>
      <c r="CQ1643" s="123"/>
      <c r="CR1643" s="6"/>
      <c r="CS1643" s="6"/>
      <c r="CT1643" s="139"/>
      <c r="CU1643" s="139"/>
      <c r="CV1643" s="76"/>
      <c r="CW1643" s="123"/>
      <c r="CX1643" s="6"/>
      <c r="DI1643" s="125"/>
      <c r="DJ1643" s="16"/>
      <c r="DM1643" s="16"/>
      <c r="DN1643" s="16"/>
      <c r="DO1643" s="125"/>
      <c r="DP1643" s="16"/>
      <c r="DQ1643" s="125"/>
      <c r="DZ1643" s="125"/>
      <c r="EA1643" s="142"/>
      <c r="EB1643" s="125"/>
      <c r="EC1643" s="16"/>
      <c r="ED1643" s="125"/>
      <c r="EE1643" s="125"/>
      <c r="EF1643" s="16"/>
      <c r="EG1643" s="125"/>
      <c r="EQ1643" s="125"/>
      <c r="ER1643" s="16"/>
      <c r="ES1643" s="123"/>
      <c r="ET1643" s="19"/>
      <c r="EU1643" s="139"/>
      <c r="EV1643" s="139"/>
      <c r="EW1643" s="123"/>
      <c r="EX1643" s="123"/>
      <c r="EY1643" s="123"/>
      <c r="EZ1643" s="123"/>
      <c r="FA1643" s="123"/>
      <c r="FB1643" s="123"/>
      <c r="FC1643" s="6"/>
      <c r="FD1643" s="123"/>
      <c r="FE1643" s="6"/>
      <c r="FF1643" s="123"/>
      <c r="FG1643" s="6"/>
      <c r="FH1643" s="6"/>
      <c r="FI1643" s="6"/>
      <c r="FJ1643" s="6"/>
      <c r="FK1643" s="123"/>
      <c r="FL1643" s="6"/>
      <c r="FM1643" s="6"/>
      <c r="FN1643" s="6"/>
      <c r="FO1643" s="138"/>
      <c r="FP1643" s="138"/>
      <c r="FQ1643" s="123"/>
      <c r="FR1643" s="6"/>
      <c r="FS1643" s="6"/>
      <c r="FT1643" s="139"/>
      <c r="FU1643" s="139"/>
      <c r="FV1643" s="76"/>
      <c r="FW1643" s="123"/>
      <c r="FX1643" s="6"/>
    </row>
    <row r="1644" spans="35:180">
      <c r="AI1644" s="125"/>
      <c r="AJ1644" s="16"/>
      <c r="AM1644" s="16"/>
      <c r="AN1644" s="16"/>
      <c r="AO1644" s="125"/>
      <c r="AP1644" s="16"/>
      <c r="AQ1644" s="125"/>
      <c r="AZ1644" s="125"/>
      <c r="BA1644" s="142"/>
      <c r="BB1644" s="125"/>
      <c r="BC1644" s="16"/>
      <c r="BD1644" s="125"/>
      <c r="BE1644" s="125"/>
      <c r="BF1644" s="16"/>
      <c r="BG1644" s="125"/>
      <c r="BQ1644" s="125"/>
      <c r="BR1644" s="16"/>
      <c r="BS1644" s="123"/>
      <c r="BT1644" s="19"/>
      <c r="BU1644" s="139"/>
      <c r="BV1644" s="139"/>
      <c r="BW1644" s="123"/>
      <c r="BX1644" s="123"/>
      <c r="BY1644" s="123"/>
      <c r="BZ1644" s="123"/>
      <c r="CA1644" s="123"/>
      <c r="CB1644" s="123"/>
      <c r="CC1644" s="6"/>
      <c r="CD1644" s="123"/>
      <c r="CE1644" s="6"/>
      <c r="CF1644" s="123"/>
      <c r="CG1644" s="6"/>
      <c r="CH1644" s="6"/>
      <c r="CI1644" s="6"/>
      <c r="CJ1644" s="6"/>
      <c r="CK1644" s="123"/>
      <c r="CL1644" s="6"/>
      <c r="CM1644" s="6"/>
      <c r="CN1644" s="6"/>
      <c r="CO1644" s="138"/>
      <c r="CP1644" s="138"/>
      <c r="CQ1644" s="123"/>
      <c r="CR1644" s="6"/>
      <c r="CS1644" s="6"/>
      <c r="CT1644" s="139"/>
      <c r="CU1644" s="139"/>
      <c r="CV1644" s="76"/>
      <c r="CW1644" s="123"/>
      <c r="CX1644" s="6"/>
      <c r="DI1644" s="125"/>
      <c r="DJ1644" s="16"/>
      <c r="DM1644" s="16"/>
      <c r="DN1644" s="16"/>
      <c r="DO1644" s="125"/>
      <c r="DP1644" s="16"/>
      <c r="DQ1644" s="125"/>
      <c r="DZ1644" s="125"/>
      <c r="EA1644" s="142"/>
      <c r="EB1644" s="125"/>
      <c r="EC1644" s="16"/>
      <c r="ED1644" s="125"/>
      <c r="EE1644" s="125"/>
      <c r="EF1644" s="16"/>
      <c r="EG1644" s="125"/>
      <c r="EQ1644" s="125"/>
      <c r="ER1644" s="16"/>
      <c r="ES1644" s="123"/>
      <c r="ET1644" s="19"/>
      <c r="EU1644" s="139"/>
      <c r="EV1644" s="139"/>
      <c r="EW1644" s="123"/>
      <c r="EX1644" s="123"/>
      <c r="EY1644" s="123"/>
      <c r="EZ1644" s="123"/>
      <c r="FA1644" s="123"/>
      <c r="FB1644" s="123"/>
      <c r="FC1644" s="6"/>
      <c r="FD1644" s="123"/>
      <c r="FE1644" s="6"/>
      <c r="FF1644" s="123"/>
      <c r="FG1644" s="6"/>
      <c r="FH1644" s="6"/>
      <c r="FI1644" s="6"/>
      <c r="FJ1644" s="6"/>
      <c r="FK1644" s="123"/>
      <c r="FL1644" s="6"/>
      <c r="FM1644" s="6"/>
      <c r="FN1644" s="6"/>
      <c r="FO1644" s="138"/>
      <c r="FP1644" s="138"/>
      <c r="FQ1644" s="123"/>
      <c r="FR1644" s="6"/>
      <c r="FS1644" s="6"/>
      <c r="FT1644" s="139"/>
      <c r="FU1644" s="139"/>
      <c r="FV1644" s="76"/>
      <c r="FW1644" s="123"/>
      <c r="FX1644" s="6"/>
    </row>
    <row r="1645" spans="35:180">
      <c r="AI1645" s="125"/>
      <c r="AJ1645" s="16"/>
      <c r="AM1645" s="16"/>
      <c r="AN1645" s="16"/>
      <c r="AO1645" s="125"/>
      <c r="AP1645" s="16"/>
      <c r="AQ1645" s="125"/>
      <c r="AZ1645" s="125"/>
      <c r="BA1645" s="142"/>
      <c r="BB1645" s="125"/>
      <c r="BC1645" s="16"/>
      <c r="BD1645" s="125"/>
      <c r="BE1645" s="125"/>
      <c r="BF1645" s="16"/>
      <c r="BG1645" s="125"/>
      <c r="BQ1645" s="125"/>
      <c r="BR1645" s="16"/>
      <c r="BS1645" s="123"/>
      <c r="BT1645" s="19"/>
      <c r="BU1645" s="139"/>
      <c r="BV1645" s="139"/>
      <c r="BW1645" s="123"/>
      <c r="BX1645" s="123"/>
      <c r="BY1645" s="123"/>
      <c r="BZ1645" s="123"/>
      <c r="CA1645" s="123"/>
      <c r="CB1645" s="123"/>
      <c r="CC1645" s="6"/>
      <c r="CD1645" s="123"/>
      <c r="CE1645" s="6"/>
      <c r="CF1645" s="123"/>
      <c r="CG1645" s="6"/>
      <c r="CH1645" s="6"/>
      <c r="CI1645" s="6"/>
      <c r="CJ1645" s="6"/>
      <c r="CK1645" s="123"/>
      <c r="CL1645" s="6"/>
      <c r="CM1645" s="6"/>
      <c r="CN1645" s="6"/>
      <c r="CO1645" s="138"/>
      <c r="CP1645" s="138"/>
      <c r="CQ1645" s="123"/>
      <c r="CR1645" s="6"/>
      <c r="CS1645" s="6"/>
      <c r="CT1645" s="139"/>
      <c r="CU1645" s="139"/>
      <c r="CV1645" s="76"/>
      <c r="CW1645" s="123"/>
      <c r="CX1645" s="6"/>
      <c r="DI1645" s="125"/>
      <c r="DJ1645" s="16"/>
      <c r="DM1645" s="16"/>
      <c r="DN1645" s="16"/>
      <c r="DO1645" s="125"/>
      <c r="DP1645" s="16"/>
      <c r="DQ1645" s="125"/>
      <c r="DZ1645" s="125"/>
      <c r="EA1645" s="142"/>
      <c r="EB1645" s="125"/>
      <c r="EC1645" s="16"/>
      <c r="ED1645" s="125"/>
      <c r="EE1645" s="125"/>
      <c r="EF1645" s="16"/>
      <c r="EG1645" s="125"/>
      <c r="EQ1645" s="125"/>
      <c r="ER1645" s="16"/>
      <c r="ES1645" s="123"/>
      <c r="ET1645" s="19"/>
      <c r="EU1645" s="139"/>
      <c r="EV1645" s="139"/>
      <c r="EW1645" s="123"/>
      <c r="EX1645" s="123"/>
      <c r="EY1645" s="123"/>
      <c r="EZ1645" s="123"/>
      <c r="FA1645" s="123"/>
      <c r="FB1645" s="123"/>
      <c r="FC1645" s="6"/>
      <c r="FD1645" s="123"/>
      <c r="FE1645" s="6"/>
      <c r="FF1645" s="123"/>
      <c r="FG1645" s="6"/>
      <c r="FH1645" s="6"/>
      <c r="FI1645" s="6"/>
      <c r="FJ1645" s="6"/>
      <c r="FK1645" s="123"/>
      <c r="FL1645" s="6"/>
      <c r="FM1645" s="6"/>
      <c r="FN1645" s="6"/>
      <c r="FO1645" s="138"/>
      <c r="FP1645" s="138"/>
      <c r="FQ1645" s="123"/>
      <c r="FR1645" s="6"/>
      <c r="FS1645" s="6"/>
      <c r="FT1645" s="139"/>
      <c r="FU1645" s="139"/>
      <c r="FV1645" s="76"/>
      <c r="FW1645" s="123"/>
      <c r="FX1645" s="6"/>
    </row>
    <row r="1646" spans="35:180">
      <c r="AI1646" s="125"/>
      <c r="AJ1646" s="16"/>
      <c r="AM1646" s="16"/>
      <c r="AN1646" s="16"/>
      <c r="AO1646" s="125"/>
      <c r="AP1646" s="16"/>
      <c r="AQ1646" s="125"/>
      <c r="AZ1646" s="125"/>
      <c r="BA1646" s="142"/>
      <c r="BB1646" s="125"/>
      <c r="BC1646" s="16"/>
      <c r="BD1646" s="125"/>
      <c r="BE1646" s="125"/>
      <c r="BF1646" s="16"/>
      <c r="BG1646" s="125"/>
      <c r="BQ1646" s="125"/>
      <c r="BR1646" s="16"/>
      <c r="BS1646" s="123"/>
      <c r="BT1646" s="19"/>
      <c r="BU1646" s="139"/>
      <c r="BV1646" s="139"/>
      <c r="BW1646" s="123"/>
      <c r="BX1646" s="123"/>
      <c r="BY1646" s="123"/>
      <c r="BZ1646" s="123"/>
      <c r="CA1646" s="123"/>
      <c r="CB1646" s="123"/>
      <c r="CC1646" s="6"/>
      <c r="CD1646" s="123"/>
      <c r="CE1646" s="6"/>
      <c r="CF1646" s="123"/>
      <c r="CG1646" s="6"/>
      <c r="CH1646" s="6"/>
      <c r="CI1646" s="6"/>
      <c r="CJ1646" s="6"/>
      <c r="CK1646" s="123"/>
      <c r="CL1646" s="6"/>
      <c r="CM1646" s="6"/>
      <c r="CN1646" s="6"/>
      <c r="CO1646" s="138"/>
      <c r="CP1646" s="138"/>
      <c r="CQ1646" s="123"/>
      <c r="CR1646" s="6"/>
      <c r="CS1646" s="6"/>
      <c r="CT1646" s="139"/>
      <c r="CU1646" s="139"/>
      <c r="CV1646" s="76"/>
      <c r="CW1646" s="123"/>
      <c r="CX1646" s="6"/>
      <c r="DI1646" s="125"/>
      <c r="DJ1646" s="16"/>
      <c r="DM1646" s="16"/>
      <c r="DN1646" s="16"/>
      <c r="DO1646" s="125"/>
      <c r="DP1646" s="16"/>
      <c r="DQ1646" s="125"/>
      <c r="DZ1646" s="125"/>
      <c r="EA1646" s="142"/>
      <c r="EB1646" s="125"/>
      <c r="EC1646" s="16"/>
      <c r="ED1646" s="125"/>
      <c r="EE1646" s="125"/>
      <c r="EF1646" s="16"/>
      <c r="EG1646" s="125"/>
      <c r="EQ1646" s="125"/>
      <c r="ER1646" s="16"/>
      <c r="ES1646" s="123"/>
      <c r="ET1646" s="19"/>
      <c r="EU1646" s="139"/>
      <c r="EV1646" s="139"/>
      <c r="EW1646" s="123"/>
      <c r="EX1646" s="123"/>
      <c r="EY1646" s="123"/>
      <c r="EZ1646" s="123"/>
      <c r="FA1646" s="123"/>
      <c r="FB1646" s="123"/>
      <c r="FC1646" s="6"/>
      <c r="FD1646" s="123"/>
      <c r="FE1646" s="6"/>
      <c r="FF1646" s="123"/>
      <c r="FG1646" s="6"/>
      <c r="FH1646" s="6"/>
      <c r="FI1646" s="6"/>
      <c r="FJ1646" s="6"/>
      <c r="FK1646" s="123"/>
      <c r="FL1646" s="6"/>
      <c r="FM1646" s="6"/>
      <c r="FN1646" s="6"/>
      <c r="FO1646" s="138"/>
      <c r="FP1646" s="138"/>
      <c r="FQ1646" s="123"/>
      <c r="FR1646" s="6"/>
      <c r="FS1646" s="6"/>
      <c r="FT1646" s="139"/>
      <c r="FU1646" s="139"/>
      <c r="FV1646" s="76"/>
      <c r="FW1646" s="123"/>
      <c r="FX1646" s="6"/>
    </row>
    <row r="1647" spans="35:180">
      <c r="AI1647" s="125"/>
      <c r="AJ1647" s="16"/>
      <c r="AM1647" s="16"/>
      <c r="AN1647" s="16"/>
      <c r="AO1647" s="125"/>
      <c r="AP1647" s="16"/>
      <c r="AQ1647" s="125"/>
      <c r="AZ1647" s="125"/>
      <c r="BA1647" s="142"/>
      <c r="BB1647" s="125"/>
      <c r="BC1647" s="16"/>
      <c r="BD1647" s="125"/>
      <c r="BE1647" s="125"/>
      <c r="BF1647" s="16"/>
      <c r="BG1647" s="125"/>
      <c r="BQ1647" s="125"/>
      <c r="BR1647" s="16"/>
      <c r="BS1647" s="123"/>
      <c r="BT1647" s="19"/>
      <c r="BU1647" s="139"/>
      <c r="BV1647" s="139"/>
      <c r="BW1647" s="123"/>
      <c r="BX1647" s="123"/>
      <c r="BY1647" s="123"/>
      <c r="BZ1647" s="123"/>
      <c r="CA1647" s="123"/>
      <c r="CB1647" s="123"/>
      <c r="CC1647" s="6"/>
      <c r="CD1647" s="123"/>
      <c r="CE1647" s="6"/>
      <c r="CF1647" s="123"/>
      <c r="CG1647" s="6"/>
      <c r="CH1647" s="6"/>
      <c r="CI1647" s="6"/>
      <c r="CJ1647" s="6"/>
      <c r="CK1647" s="123"/>
      <c r="CL1647" s="6"/>
      <c r="CM1647" s="6"/>
      <c r="CN1647" s="6"/>
      <c r="CO1647" s="138"/>
      <c r="CP1647" s="138"/>
      <c r="CQ1647" s="123"/>
      <c r="CR1647" s="6"/>
      <c r="CS1647" s="6"/>
      <c r="CT1647" s="139"/>
      <c r="CU1647" s="139"/>
      <c r="CV1647" s="76"/>
      <c r="CW1647" s="123"/>
      <c r="CX1647" s="6"/>
      <c r="DI1647" s="125"/>
      <c r="DJ1647" s="16"/>
      <c r="DM1647" s="16"/>
      <c r="DN1647" s="16"/>
      <c r="DO1647" s="125"/>
      <c r="DP1647" s="16"/>
      <c r="DQ1647" s="125"/>
      <c r="DZ1647" s="125"/>
      <c r="EA1647" s="142"/>
      <c r="EB1647" s="125"/>
      <c r="EC1647" s="16"/>
      <c r="ED1647" s="125"/>
      <c r="EE1647" s="125"/>
      <c r="EF1647" s="16"/>
      <c r="EG1647" s="125"/>
      <c r="EQ1647" s="125"/>
      <c r="ER1647" s="16"/>
      <c r="ES1647" s="123"/>
      <c r="ET1647" s="19"/>
      <c r="EU1647" s="139"/>
      <c r="EV1647" s="139"/>
      <c r="EW1647" s="123"/>
      <c r="EX1647" s="123"/>
      <c r="EY1647" s="123"/>
      <c r="EZ1647" s="123"/>
      <c r="FA1647" s="123"/>
      <c r="FB1647" s="123"/>
      <c r="FC1647" s="6"/>
      <c r="FD1647" s="123"/>
      <c r="FE1647" s="6"/>
      <c r="FF1647" s="123"/>
      <c r="FG1647" s="6"/>
      <c r="FH1647" s="6"/>
      <c r="FI1647" s="6"/>
      <c r="FJ1647" s="6"/>
      <c r="FK1647" s="123"/>
      <c r="FL1647" s="6"/>
      <c r="FM1647" s="6"/>
      <c r="FN1647" s="6"/>
      <c r="FO1647" s="138"/>
      <c r="FP1647" s="138"/>
      <c r="FQ1647" s="123"/>
      <c r="FR1647" s="6"/>
      <c r="FS1647" s="6"/>
      <c r="FT1647" s="139"/>
      <c r="FU1647" s="139"/>
      <c r="FV1647" s="76"/>
      <c r="FW1647" s="123"/>
      <c r="FX1647" s="6"/>
    </row>
    <row r="1648" spans="35:180">
      <c r="AI1648" s="125"/>
      <c r="AJ1648" s="16"/>
      <c r="AM1648" s="16"/>
      <c r="AN1648" s="16"/>
      <c r="AO1648" s="125"/>
      <c r="AP1648" s="16"/>
      <c r="AQ1648" s="125"/>
      <c r="AZ1648" s="125"/>
      <c r="BA1648" s="142"/>
      <c r="BB1648" s="125"/>
      <c r="BC1648" s="16"/>
      <c r="BD1648" s="125"/>
      <c r="BE1648" s="125"/>
      <c r="BF1648" s="16"/>
      <c r="BG1648" s="125"/>
      <c r="BQ1648" s="125"/>
      <c r="BR1648" s="16"/>
      <c r="BS1648" s="123"/>
      <c r="BT1648" s="19"/>
      <c r="BU1648" s="139"/>
      <c r="BV1648" s="139"/>
      <c r="BW1648" s="123"/>
      <c r="BX1648" s="123"/>
      <c r="BY1648" s="123"/>
      <c r="BZ1648" s="123"/>
      <c r="CA1648" s="123"/>
      <c r="CB1648" s="123"/>
      <c r="CC1648" s="6"/>
      <c r="CD1648" s="123"/>
      <c r="CE1648" s="6"/>
      <c r="CF1648" s="123"/>
      <c r="CG1648" s="6"/>
      <c r="CH1648" s="6"/>
      <c r="CI1648" s="6"/>
      <c r="CJ1648" s="6"/>
      <c r="CK1648" s="123"/>
      <c r="CL1648" s="6"/>
      <c r="CM1648" s="6"/>
      <c r="CN1648" s="6"/>
      <c r="CO1648" s="138"/>
      <c r="CP1648" s="138"/>
      <c r="CQ1648" s="123"/>
      <c r="CR1648" s="6"/>
      <c r="CS1648" s="6"/>
      <c r="CT1648" s="139"/>
      <c r="CU1648" s="139"/>
      <c r="CV1648" s="76"/>
      <c r="CW1648" s="123"/>
      <c r="CX1648" s="6"/>
      <c r="DI1648" s="125"/>
      <c r="DJ1648" s="16"/>
      <c r="DM1648" s="16"/>
      <c r="DN1648" s="16"/>
      <c r="DO1648" s="125"/>
      <c r="DP1648" s="16"/>
      <c r="DQ1648" s="125"/>
      <c r="DZ1648" s="125"/>
      <c r="EA1648" s="142"/>
      <c r="EB1648" s="125"/>
      <c r="EC1648" s="16"/>
      <c r="ED1648" s="125"/>
      <c r="EE1648" s="125"/>
      <c r="EF1648" s="16"/>
      <c r="EG1648" s="125"/>
      <c r="EQ1648" s="125"/>
      <c r="ER1648" s="16"/>
      <c r="ES1648" s="123"/>
      <c r="ET1648" s="19"/>
      <c r="EU1648" s="139"/>
      <c r="EV1648" s="139"/>
      <c r="EW1648" s="123"/>
      <c r="EX1648" s="123"/>
      <c r="EY1648" s="123"/>
      <c r="EZ1648" s="123"/>
      <c r="FA1648" s="123"/>
      <c r="FB1648" s="123"/>
      <c r="FC1648" s="6"/>
      <c r="FD1648" s="123"/>
      <c r="FE1648" s="6"/>
      <c r="FF1648" s="123"/>
      <c r="FG1648" s="6"/>
      <c r="FH1648" s="6"/>
      <c r="FI1648" s="6"/>
      <c r="FJ1648" s="6"/>
      <c r="FK1648" s="123"/>
      <c r="FL1648" s="6"/>
      <c r="FM1648" s="6"/>
      <c r="FN1648" s="6"/>
      <c r="FO1648" s="138"/>
      <c r="FP1648" s="138"/>
      <c r="FQ1648" s="123"/>
      <c r="FR1648" s="6"/>
      <c r="FS1648" s="6"/>
      <c r="FT1648" s="139"/>
      <c r="FU1648" s="139"/>
      <c r="FV1648" s="76"/>
      <c r="FW1648" s="123"/>
      <c r="FX1648" s="6"/>
    </row>
    <row r="1649" spans="35:180">
      <c r="AI1649" s="125"/>
      <c r="AJ1649" s="16"/>
      <c r="AM1649" s="16"/>
      <c r="AN1649" s="16"/>
      <c r="AO1649" s="125"/>
      <c r="AP1649" s="16"/>
      <c r="AQ1649" s="125"/>
      <c r="AZ1649" s="125"/>
      <c r="BA1649" s="142"/>
      <c r="BB1649" s="125"/>
      <c r="BC1649" s="16"/>
      <c r="BD1649" s="125"/>
      <c r="BE1649" s="125"/>
      <c r="BF1649" s="16"/>
      <c r="BG1649" s="125"/>
      <c r="BQ1649" s="125"/>
      <c r="BR1649" s="16"/>
      <c r="BS1649" s="123"/>
      <c r="BT1649" s="19"/>
      <c r="BU1649" s="139"/>
      <c r="BV1649" s="139"/>
      <c r="BW1649" s="123"/>
      <c r="BX1649" s="123"/>
      <c r="BY1649" s="123"/>
      <c r="BZ1649" s="123"/>
      <c r="CA1649" s="123"/>
      <c r="CB1649" s="123"/>
      <c r="CC1649" s="6"/>
      <c r="CD1649" s="123"/>
      <c r="CE1649" s="6"/>
      <c r="CF1649" s="123"/>
      <c r="CG1649" s="6"/>
      <c r="CH1649" s="6"/>
      <c r="CI1649" s="6"/>
      <c r="CJ1649" s="6"/>
      <c r="CK1649" s="123"/>
      <c r="CL1649" s="6"/>
      <c r="CM1649" s="6"/>
      <c r="CN1649" s="6"/>
      <c r="CO1649" s="138"/>
      <c r="CP1649" s="138"/>
      <c r="CQ1649" s="123"/>
      <c r="CR1649" s="6"/>
      <c r="CS1649" s="6"/>
      <c r="CT1649" s="139"/>
      <c r="CU1649" s="139"/>
      <c r="CV1649" s="76"/>
      <c r="CW1649" s="123"/>
      <c r="CX1649" s="6"/>
      <c r="DI1649" s="125"/>
      <c r="DJ1649" s="16"/>
      <c r="DM1649" s="16"/>
      <c r="DN1649" s="16"/>
      <c r="DO1649" s="125"/>
      <c r="DP1649" s="16"/>
      <c r="DQ1649" s="125"/>
      <c r="DZ1649" s="125"/>
      <c r="EA1649" s="142"/>
      <c r="EB1649" s="125"/>
      <c r="EC1649" s="16"/>
      <c r="ED1649" s="125"/>
      <c r="EE1649" s="125"/>
      <c r="EF1649" s="16"/>
      <c r="EG1649" s="125"/>
      <c r="EQ1649" s="125"/>
      <c r="ER1649" s="16"/>
      <c r="ES1649" s="123"/>
      <c r="ET1649" s="19"/>
      <c r="EU1649" s="139"/>
      <c r="EV1649" s="139"/>
      <c r="EW1649" s="123"/>
      <c r="EX1649" s="123"/>
      <c r="EY1649" s="123"/>
      <c r="EZ1649" s="123"/>
      <c r="FA1649" s="123"/>
      <c r="FB1649" s="123"/>
      <c r="FC1649" s="6"/>
      <c r="FD1649" s="123"/>
      <c r="FE1649" s="6"/>
      <c r="FF1649" s="123"/>
      <c r="FG1649" s="6"/>
      <c r="FH1649" s="6"/>
      <c r="FI1649" s="6"/>
      <c r="FJ1649" s="6"/>
      <c r="FK1649" s="123"/>
      <c r="FL1649" s="6"/>
      <c r="FM1649" s="6"/>
      <c r="FN1649" s="6"/>
      <c r="FO1649" s="138"/>
      <c r="FP1649" s="138"/>
      <c r="FQ1649" s="123"/>
      <c r="FR1649" s="6"/>
      <c r="FS1649" s="6"/>
      <c r="FT1649" s="139"/>
      <c r="FU1649" s="139"/>
      <c r="FV1649" s="76"/>
      <c r="FW1649" s="123"/>
      <c r="FX1649" s="6"/>
    </row>
    <row r="1650" spans="35:180">
      <c r="AI1650" s="125"/>
      <c r="AJ1650" s="16"/>
      <c r="AM1650" s="16"/>
      <c r="AN1650" s="16"/>
      <c r="AO1650" s="125"/>
      <c r="AP1650" s="16"/>
      <c r="AQ1650" s="125"/>
      <c r="AZ1650" s="125"/>
      <c r="BA1650" s="142"/>
      <c r="BB1650" s="125"/>
      <c r="BC1650" s="16"/>
      <c r="BD1650" s="125"/>
      <c r="BE1650" s="125"/>
      <c r="BF1650" s="16"/>
      <c r="BG1650" s="125"/>
      <c r="BQ1650" s="125"/>
      <c r="BR1650" s="16"/>
      <c r="BS1650" s="123"/>
      <c r="BT1650" s="19"/>
      <c r="BU1650" s="139"/>
      <c r="BV1650" s="139"/>
      <c r="BW1650" s="123"/>
      <c r="BX1650" s="123"/>
      <c r="BY1650" s="123"/>
      <c r="BZ1650" s="123"/>
      <c r="CA1650" s="123"/>
      <c r="CB1650" s="123"/>
      <c r="CC1650" s="6"/>
      <c r="CD1650" s="123"/>
      <c r="CE1650" s="6"/>
      <c r="CF1650" s="123"/>
      <c r="CG1650" s="6"/>
      <c r="CH1650" s="6"/>
      <c r="CI1650" s="6"/>
      <c r="CJ1650" s="6"/>
      <c r="CK1650" s="123"/>
      <c r="CL1650" s="6"/>
      <c r="CM1650" s="6"/>
      <c r="CN1650" s="6"/>
      <c r="CO1650" s="138"/>
      <c r="CP1650" s="138"/>
      <c r="CQ1650" s="123"/>
      <c r="CR1650" s="6"/>
      <c r="CS1650" s="6"/>
      <c r="CT1650" s="139"/>
      <c r="CU1650" s="139"/>
      <c r="CV1650" s="76"/>
      <c r="CW1650" s="123"/>
      <c r="CX1650" s="6"/>
      <c r="DI1650" s="125"/>
      <c r="DJ1650" s="16"/>
      <c r="DM1650" s="16"/>
      <c r="DN1650" s="16"/>
      <c r="DO1650" s="125"/>
      <c r="DP1650" s="16"/>
      <c r="DQ1650" s="125"/>
      <c r="DZ1650" s="125"/>
      <c r="EA1650" s="142"/>
      <c r="EB1650" s="125"/>
      <c r="EC1650" s="16"/>
      <c r="ED1650" s="125"/>
      <c r="EE1650" s="125"/>
      <c r="EF1650" s="16"/>
      <c r="EG1650" s="125"/>
      <c r="EQ1650" s="125"/>
      <c r="ER1650" s="16"/>
      <c r="ES1650" s="123"/>
      <c r="ET1650" s="19"/>
      <c r="EU1650" s="139"/>
      <c r="EV1650" s="139"/>
      <c r="EW1650" s="123"/>
      <c r="EX1650" s="123"/>
      <c r="EY1650" s="123"/>
      <c r="EZ1650" s="123"/>
      <c r="FA1650" s="123"/>
      <c r="FB1650" s="123"/>
      <c r="FC1650" s="6"/>
      <c r="FD1650" s="123"/>
      <c r="FE1650" s="6"/>
      <c r="FF1650" s="123"/>
      <c r="FG1650" s="6"/>
      <c r="FH1650" s="6"/>
      <c r="FI1650" s="6"/>
      <c r="FJ1650" s="6"/>
      <c r="FK1650" s="123"/>
      <c r="FL1650" s="6"/>
      <c r="FM1650" s="6"/>
      <c r="FN1650" s="6"/>
      <c r="FO1650" s="138"/>
      <c r="FP1650" s="138"/>
      <c r="FQ1650" s="123"/>
      <c r="FR1650" s="6"/>
      <c r="FS1650" s="6"/>
      <c r="FT1650" s="139"/>
      <c r="FU1650" s="139"/>
      <c r="FV1650" s="76"/>
      <c r="FW1650" s="123"/>
      <c r="FX1650" s="6"/>
    </row>
    <row r="1651" spans="35:180">
      <c r="AI1651" s="125"/>
      <c r="AJ1651" s="16"/>
      <c r="AM1651" s="16"/>
      <c r="AN1651" s="16"/>
      <c r="AO1651" s="125"/>
      <c r="AP1651" s="16"/>
      <c r="AQ1651" s="125"/>
      <c r="AZ1651" s="125"/>
      <c r="BA1651" s="142"/>
      <c r="BB1651" s="125"/>
      <c r="BC1651" s="16"/>
      <c r="BD1651" s="125"/>
      <c r="BE1651" s="125"/>
      <c r="BF1651" s="16"/>
      <c r="BG1651" s="125"/>
      <c r="BQ1651" s="125"/>
      <c r="BR1651" s="16"/>
      <c r="BS1651" s="123"/>
      <c r="BT1651" s="19"/>
      <c r="BU1651" s="139"/>
      <c r="BV1651" s="139"/>
      <c r="BW1651" s="123"/>
      <c r="BX1651" s="123"/>
      <c r="BY1651" s="123"/>
      <c r="BZ1651" s="123"/>
      <c r="CA1651" s="123"/>
      <c r="CB1651" s="123"/>
      <c r="CC1651" s="6"/>
      <c r="CD1651" s="123"/>
      <c r="CE1651" s="6"/>
      <c r="CF1651" s="123"/>
      <c r="CG1651" s="6"/>
      <c r="CH1651" s="6"/>
      <c r="CI1651" s="6"/>
      <c r="CJ1651" s="6"/>
      <c r="CK1651" s="123"/>
      <c r="CL1651" s="6"/>
      <c r="CM1651" s="6"/>
      <c r="CN1651" s="6"/>
      <c r="CO1651" s="138"/>
      <c r="CP1651" s="138"/>
      <c r="CQ1651" s="123"/>
      <c r="CR1651" s="6"/>
      <c r="CS1651" s="6"/>
      <c r="CT1651" s="139"/>
      <c r="CU1651" s="139"/>
      <c r="CV1651" s="76"/>
      <c r="CW1651" s="123"/>
      <c r="CX1651" s="6"/>
      <c r="DI1651" s="125"/>
      <c r="DJ1651" s="16"/>
      <c r="DM1651" s="16"/>
      <c r="DN1651" s="16"/>
      <c r="DO1651" s="125"/>
      <c r="DP1651" s="16"/>
      <c r="DQ1651" s="125"/>
      <c r="DZ1651" s="125"/>
      <c r="EA1651" s="142"/>
      <c r="EB1651" s="125"/>
      <c r="EC1651" s="16"/>
      <c r="ED1651" s="125"/>
      <c r="EE1651" s="125"/>
      <c r="EF1651" s="16"/>
      <c r="EG1651" s="125"/>
      <c r="EQ1651" s="125"/>
      <c r="ER1651" s="16"/>
      <c r="ES1651" s="123"/>
      <c r="ET1651" s="19"/>
      <c r="EU1651" s="139"/>
      <c r="EV1651" s="139"/>
      <c r="EW1651" s="123"/>
      <c r="EX1651" s="123"/>
      <c r="EY1651" s="123"/>
      <c r="EZ1651" s="123"/>
      <c r="FA1651" s="123"/>
      <c r="FB1651" s="123"/>
      <c r="FC1651" s="6"/>
      <c r="FD1651" s="123"/>
      <c r="FE1651" s="6"/>
      <c r="FF1651" s="123"/>
      <c r="FG1651" s="6"/>
      <c r="FH1651" s="6"/>
      <c r="FI1651" s="6"/>
      <c r="FJ1651" s="6"/>
      <c r="FK1651" s="123"/>
      <c r="FL1651" s="6"/>
      <c r="FM1651" s="6"/>
      <c r="FN1651" s="6"/>
      <c r="FO1651" s="138"/>
      <c r="FP1651" s="138"/>
      <c r="FQ1651" s="123"/>
      <c r="FR1651" s="6"/>
      <c r="FS1651" s="6"/>
      <c r="FT1651" s="139"/>
      <c r="FU1651" s="139"/>
      <c r="FV1651" s="76"/>
      <c r="FW1651" s="123"/>
      <c r="FX1651" s="6"/>
    </row>
    <row r="1652" spans="35:180">
      <c r="AI1652" s="125"/>
      <c r="AJ1652" s="16"/>
      <c r="AM1652" s="16"/>
      <c r="AN1652" s="16"/>
      <c r="AO1652" s="125"/>
      <c r="AP1652" s="16"/>
      <c r="AQ1652" s="125"/>
      <c r="AZ1652" s="125"/>
      <c r="BA1652" s="142"/>
      <c r="BB1652" s="125"/>
      <c r="BC1652" s="16"/>
      <c r="BD1652" s="125"/>
      <c r="BE1652" s="125"/>
      <c r="BF1652" s="16"/>
      <c r="BG1652" s="125"/>
      <c r="BQ1652" s="125"/>
      <c r="BR1652" s="16"/>
      <c r="BS1652" s="123"/>
      <c r="BT1652" s="19"/>
      <c r="BU1652" s="139"/>
      <c r="BV1652" s="139"/>
      <c r="BW1652" s="123"/>
      <c r="BX1652" s="123"/>
      <c r="BY1652" s="123"/>
      <c r="BZ1652" s="123"/>
      <c r="CA1652" s="123"/>
      <c r="CB1652" s="123"/>
      <c r="CC1652" s="6"/>
      <c r="CD1652" s="123"/>
      <c r="CE1652" s="6"/>
      <c r="CF1652" s="123"/>
      <c r="CG1652" s="6"/>
      <c r="CH1652" s="6"/>
      <c r="CI1652" s="6"/>
      <c r="CJ1652" s="6"/>
      <c r="CK1652" s="123"/>
      <c r="CL1652" s="6"/>
      <c r="CM1652" s="6"/>
      <c r="CN1652" s="6"/>
      <c r="CO1652" s="138"/>
      <c r="CP1652" s="138"/>
      <c r="CQ1652" s="123"/>
      <c r="CR1652" s="6"/>
      <c r="CS1652" s="6"/>
      <c r="CT1652" s="139"/>
      <c r="CU1652" s="139"/>
      <c r="CV1652" s="76"/>
      <c r="CW1652" s="123"/>
      <c r="CX1652" s="6"/>
      <c r="DI1652" s="125"/>
      <c r="DJ1652" s="16"/>
      <c r="DM1652" s="16"/>
      <c r="DN1652" s="16"/>
      <c r="DO1652" s="125"/>
      <c r="DP1652" s="16"/>
      <c r="DQ1652" s="125"/>
      <c r="DZ1652" s="125"/>
      <c r="EA1652" s="142"/>
      <c r="EB1652" s="125"/>
      <c r="EC1652" s="16"/>
      <c r="ED1652" s="125"/>
      <c r="EE1652" s="125"/>
      <c r="EF1652" s="16"/>
      <c r="EG1652" s="125"/>
      <c r="EQ1652" s="125"/>
      <c r="ER1652" s="16"/>
      <c r="ES1652" s="123"/>
      <c r="ET1652" s="19"/>
      <c r="EU1652" s="139"/>
      <c r="EV1652" s="139"/>
      <c r="EW1652" s="123"/>
      <c r="EX1652" s="123"/>
      <c r="EY1652" s="123"/>
      <c r="EZ1652" s="123"/>
      <c r="FA1652" s="123"/>
      <c r="FB1652" s="123"/>
      <c r="FC1652" s="6"/>
      <c r="FD1652" s="123"/>
      <c r="FE1652" s="6"/>
      <c r="FF1652" s="123"/>
      <c r="FG1652" s="6"/>
      <c r="FH1652" s="6"/>
      <c r="FI1652" s="6"/>
      <c r="FJ1652" s="6"/>
      <c r="FK1652" s="123"/>
      <c r="FL1652" s="6"/>
      <c r="FM1652" s="6"/>
      <c r="FN1652" s="6"/>
      <c r="FO1652" s="138"/>
      <c r="FP1652" s="138"/>
      <c r="FQ1652" s="123"/>
      <c r="FR1652" s="6"/>
      <c r="FS1652" s="6"/>
      <c r="FT1652" s="139"/>
      <c r="FU1652" s="139"/>
      <c r="FV1652" s="76"/>
      <c r="FW1652" s="123"/>
      <c r="FX1652" s="6"/>
    </row>
    <row r="1653" spans="35:180">
      <c r="AI1653" s="125"/>
      <c r="AJ1653" s="16"/>
      <c r="AM1653" s="16"/>
      <c r="AN1653" s="16"/>
      <c r="AO1653" s="125"/>
      <c r="AP1653" s="16"/>
      <c r="AQ1653" s="125"/>
      <c r="AZ1653" s="125"/>
      <c r="BA1653" s="142"/>
      <c r="BB1653" s="125"/>
      <c r="BC1653" s="16"/>
      <c r="BD1653" s="125"/>
      <c r="BE1653" s="125"/>
      <c r="BF1653" s="16"/>
      <c r="BG1653" s="125"/>
      <c r="BQ1653" s="125"/>
      <c r="BR1653" s="16"/>
      <c r="BS1653" s="123"/>
      <c r="BT1653" s="19"/>
      <c r="BU1653" s="139"/>
      <c r="BV1653" s="139"/>
      <c r="BW1653" s="123"/>
      <c r="BX1653" s="123"/>
      <c r="BY1653" s="123"/>
      <c r="BZ1653" s="123"/>
      <c r="CA1653" s="123"/>
      <c r="CB1653" s="123"/>
      <c r="CC1653" s="6"/>
      <c r="CD1653" s="123"/>
      <c r="CE1653" s="6"/>
      <c r="CF1653" s="123"/>
      <c r="CG1653" s="6"/>
      <c r="CH1653" s="6"/>
      <c r="CI1653" s="6"/>
      <c r="CJ1653" s="6"/>
      <c r="CK1653" s="123"/>
      <c r="CL1653" s="6"/>
      <c r="CM1653" s="6"/>
      <c r="CN1653" s="6"/>
      <c r="CO1653" s="138"/>
      <c r="CP1653" s="138"/>
      <c r="CQ1653" s="123"/>
      <c r="CR1653" s="6"/>
      <c r="CS1653" s="6"/>
      <c r="CT1653" s="139"/>
      <c r="CU1653" s="139"/>
      <c r="CV1653" s="76"/>
      <c r="CW1653" s="123"/>
      <c r="CX1653" s="6"/>
      <c r="DI1653" s="125"/>
      <c r="DJ1653" s="16"/>
      <c r="DM1653" s="16"/>
      <c r="DN1653" s="16"/>
      <c r="DO1653" s="125"/>
      <c r="DP1653" s="16"/>
      <c r="DQ1653" s="125"/>
      <c r="DZ1653" s="125"/>
      <c r="EA1653" s="142"/>
      <c r="EB1653" s="125"/>
      <c r="EC1653" s="16"/>
      <c r="ED1653" s="125"/>
      <c r="EE1653" s="125"/>
      <c r="EF1653" s="16"/>
      <c r="EG1653" s="125"/>
      <c r="EQ1653" s="125"/>
      <c r="ER1653" s="16"/>
      <c r="ES1653" s="123"/>
      <c r="ET1653" s="19"/>
      <c r="EU1653" s="139"/>
      <c r="EV1653" s="139"/>
      <c r="EW1653" s="123"/>
      <c r="EX1653" s="123"/>
      <c r="EY1653" s="123"/>
      <c r="EZ1653" s="123"/>
      <c r="FA1653" s="123"/>
      <c r="FB1653" s="123"/>
      <c r="FC1653" s="6"/>
      <c r="FD1653" s="123"/>
      <c r="FE1653" s="6"/>
      <c r="FF1653" s="123"/>
      <c r="FG1653" s="6"/>
      <c r="FH1653" s="6"/>
      <c r="FI1653" s="6"/>
      <c r="FJ1653" s="6"/>
      <c r="FK1653" s="123"/>
      <c r="FL1653" s="6"/>
      <c r="FM1653" s="6"/>
      <c r="FN1653" s="6"/>
      <c r="FO1653" s="138"/>
      <c r="FP1653" s="138"/>
      <c r="FQ1653" s="123"/>
      <c r="FR1653" s="6"/>
      <c r="FS1653" s="6"/>
      <c r="FT1653" s="139"/>
      <c r="FU1653" s="139"/>
      <c r="FV1653" s="76"/>
      <c r="FW1653" s="123"/>
      <c r="FX1653" s="6"/>
    </row>
    <row r="1654" spans="35:180">
      <c r="AI1654" s="125"/>
      <c r="AJ1654" s="16"/>
      <c r="AM1654" s="16"/>
      <c r="AN1654" s="16"/>
      <c r="AO1654" s="125"/>
      <c r="AP1654" s="16"/>
      <c r="AQ1654" s="125"/>
      <c r="AZ1654" s="125"/>
      <c r="BA1654" s="142"/>
      <c r="BB1654" s="125"/>
      <c r="BC1654" s="16"/>
      <c r="BD1654" s="125"/>
      <c r="BE1654" s="125"/>
      <c r="BF1654" s="16"/>
      <c r="BG1654" s="125"/>
      <c r="BQ1654" s="125"/>
      <c r="BR1654" s="16"/>
      <c r="BS1654" s="123"/>
      <c r="BT1654" s="19"/>
      <c r="BU1654" s="139"/>
      <c r="BV1654" s="139"/>
      <c r="BW1654" s="123"/>
      <c r="BX1654" s="123"/>
      <c r="BY1654" s="123"/>
      <c r="BZ1654" s="123"/>
      <c r="CA1654" s="123"/>
      <c r="CB1654" s="123"/>
      <c r="CC1654" s="6"/>
      <c r="CD1654" s="123"/>
      <c r="CE1654" s="6"/>
      <c r="CF1654" s="123"/>
      <c r="CG1654" s="6"/>
      <c r="CH1654" s="6"/>
      <c r="CI1654" s="6"/>
      <c r="CJ1654" s="6"/>
      <c r="CK1654" s="123"/>
      <c r="CL1654" s="6"/>
      <c r="CM1654" s="6"/>
      <c r="CN1654" s="6"/>
      <c r="CO1654" s="138"/>
      <c r="CP1654" s="138"/>
      <c r="CQ1654" s="123"/>
      <c r="CR1654" s="6"/>
      <c r="CS1654" s="6"/>
      <c r="CT1654" s="139"/>
      <c r="CU1654" s="139"/>
      <c r="CV1654" s="76"/>
      <c r="CW1654" s="123"/>
      <c r="CX1654" s="6"/>
      <c r="DI1654" s="125"/>
      <c r="DJ1654" s="16"/>
      <c r="DM1654" s="16"/>
      <c r="DN1654" s="16"/>
      <c r="DO1654" s="125"/>
      <c r="DP1654" s="16"/>
      <c r="DQ1654" s="125"/>
      <c r="DZ1654" s="125"/>
      <c r="EA1654" s="142"/>
      <c r="EB1654" s="125"/>
      <c r="EC1654" s="16"/>
      <c r="ED1654" s="125"/>
      <c r="EE1654" s="125"/>
      <c r="EF1654" s="16"/>
      <c r="EG1654" s="125"/>
      <c r="EQ1654" s="125"/>
      <c r="ER1654" s="16"/>
      <c r="ES1654" s="123"/>
      <c r="ET1654" s="19"/>
      <c r="EU1654" s="139"/>
      <c r="EV1654" s="139"/>
      <c r="EW1654" s="123"/>
      <c r="EX1654" s="123"/>
      <c r="EY1654" s="123"/>
      <c r="EZ1654" s="123"/>
      <c r="FA1654" s="123"/>
      <c r="FB1654" s="123"/>
      <c r="FC1654" s="6"/>
      <c r="FD1654" s="123"/>
      <c r="FE1654" s="6"/>
      <c r="FF1654" s="123"/>
      <c r="FG1654" s="6"/>
      <c r="FH1654" s="6"/>
      <c r="FI1654" s="6"/>
      <c r="FJ1654" s="6"/>
      <c r="FK1654" s="123"/>
      <c r="FL1654" s="6"/>
      <c r="FM1654" s="6"/>
      <c r="FN1654" s="6"/>
      <c r="FO1654" s="138"/>
      <c r="FP1654" s="138"/>
      <c r="FQ1654" s="123"/>
      <c r="FR1654" s="6"/>
      <c r="FS1654" s="6"/>
      <c r="FT1654" s="139"/>
      <c r="FU1654" s="139"/>
      <c r="FV1654" s="76"/>
      <c r="FW1654" s="123"/>
      <c r="FX1654" s="6"/>
    </row>
    <row r="1655" spans="35:180">
      <c r="AI1655" s="125"/>
      <c r="AJ1655" s="16"/>
      <c r="AM1655" s="16"/>
      <c r="AN1655" s="16"/>
      <c r="AO1655" s="125"/>
      <c r="AP1655" s="16"/>
      <c r="AQ1655" s="125"/>
      <c r="AZ1655" s="125"/>
      <c r="BA1655" s="142"/>
      <c r="BB1655" s="125"/>
      <c r="BC1655" s="16"/>
      <c r="BD1655" s="125"/>
      <c r="BE1655" s="125"/>
      <c r="BF1655" s="16"/>
      <c r="BG1655" s="125"/>
      <c r="BQ1655" s="125"/>
      <c r="BR1655" s="16"/>
      <c r="BS1655" s="123"/>
      <c r="BT1655" s="19"/>
      <c r="BU1655" s="139"/>
      <c r="BV1655" s="139"/>
      <c r="BW1655" s="123"/>
      <c r="BX1655" s="123"/>
      <c r="BY1655" s="123"/>
      <c r="BZ1655" s="123"/>
      <c r="CA1655" s="123"/>
      <c r="CB1655" s="123"/>
      <c r="CC1655" s="6"/>
      <c r="CD1655" s="123"/>
      <c r="CE1655" s="6"/>
      <c r="CF1655" s="123"/>
      <c r="CG1655" s="6"/>
      <c r="CH1655" s="6"/>
      <c r="CI1655" s="6"/>
      <c r="CJ1655" s="6"/>
      <c r="CK1655" s="123"/>
      <c r="CL1655" s="6"/>
      <c r="CM1655" s="6"/>
      <c r="CN1655" s="6"/>
      <c r="CO1655" s="138"/>
      <c r="CP1655" s="138"/>
      <c r="CQ1655" s="123"/>
      <c r="CR1655" s="6"/>
      <c r="CS1655" s="6"/>
      <c r="CT1655" s="139"/>
      <c r="CU1655" s="139"/>
      <c r="CV1655" s="76"/>
      <c r="CW1655" s="123"/>
      <c r="CX1655" s="6"/>
      <c r="DI1655" s="125"/>
      <c r="DJ1655" s="16"/>
      <c r="DM1655" s="16"/>
      <c r="DN1655" s="16"/>
      <c r="DO1655" s="125"/>
      <c r="DP1655" s="16"/>
      <c r="DQ1655" s="125"/>
      <c r="DZ1655" s="125"/>
      <c r="EA1655" s="142"/>
      <c r="EB1655" s="125"/>
      <c r="EC1655" s="16"/>
      <c r="ED1655" s="125"/>
      <c r="EE1655" s="125"/>
      <c r="EF1655" s="16"/>
      <c r="EG1655" s="125"/>
      <c r="EQ1655" s="125"/>
      <c r="ER1655" s="16"/>
      <c r="ES1655" s="123"/>
      <c r="ET1655" s="19"/>
      <c r="EU1655" s="139"/>
      <c r="EV1655" s="139"/>
      <c r="EW1655" s="123"/>
      <c r="EX1655" s="123"/>
      <c r="EY1655" s="123"/>
      <c r="EZ1655" s="123"/>
      <c r="FA1655" s="123"/>
      <c r="FB1655" s="123"/>
      <c r="FC1655" s="6"/>
      <c r="FD1655" s="123"/>
      <c r="FE1655" s="6"/>
      <c r="FF1655" s="123"/>
      <c r="FG1655" s="6"/>
      <c r="FH1655" s="6"/>
      <c r="FI1655" s="6"/>
      <c r="FJ1655" s="6"/>
      <c r="FK1655" s="123"/>
      <c r="FL1655" s="6"/>
      <c r="FM1655" s="6"/>
      <c r="FN1655" s="6"/>
      <c r="FO1655" s="138"/>
      <c r="FP1655" s="138"/>
      <c r="FQ1655" s="123"/>
      <c r="FR1655" s="6"/>
      <c r="FS1655" s="6"/>
      <c r="FT1655" s="139"/>
      <c r="FU1655" s="139"/>
      <c r="FV1655" s="76"/>
      <c r="FW1655" s="123"/>
      <c r="FX1655" s="6"/>
    </row>
    <row r="1656" spans="35:180">
      <c r="AI1656" s="125"/>
      <c r="AJ1656" s="16"/>
      <c r="AM1656" s="16"/>
      <c r="AN1656" s="16"/>
      <c r="AO1656" s="125"/>
      <c r="AP1656" s="16"/>
      <c r="AQ1656" s="125"/>
      <c r="AZ1656" s="125"/>
      <c r="BA1656" s="142"/>
      <c r="BB1656" s="125"/>
      <c r="BC1656" s="16"/>
      <c r="BD1656" s="125"/>
      <c r="BE1656" s="125"/>
      <c r="BF1656" s="16"/>
      <c r="BG1656" s="125"/>
      <c r="BQ1656" s="125"/>
      <c r="BR1656" s="16"/>
      <c r="BS1656" s="123"/>
      <c r="BT1656" s="19"/>
      <c r="BU1656" s="139"/>
      <c r="BV1656" s="139"/>
      <c r="BW1656" s="123"/>
      <c r="BX1656" s="123"/>
      <c r="BY1656" s="123"/>
      <c r="BZ1656" s="123"/>
      <c r="CA1656" s="123"/>
      <c r="CB1656" s="123"/>
      <c r="CC1656" s="6"/>
      <c r="CD1656" s="123"/>
      <c r="CE1656" s="6"/>
      <c r="CF1656" s="123"/>
      <c r="CG1656" s="6"/>
      <c r="CH1656" s="6"/>
      <c r="CI1656" s="6"/>
      <c r="CJ1656" s="6"/>
      <c r="CK1656" s="123"/>
      <c r="CL1656" s="6"/>
      <c r="CM1656" s="6"/>
      <c r="CN1656" s="6"/>
      <c r="CO1656" s="138"/>
      <c r="CP1656" s="138"/>
      <c r="CQ1656" s="123"/>
      <c r="CR1656" s="6"/>
      <c r="CS1656" s="6"/>
      <c r="CT1656" s="139"/>
      <c r="CU1656" s="139"/>
      <c r="CV1656" s="76"/>
      <c r="CW1656" s="123"/>
      <c r="CX1656" s="6"/>
      <c r="DI1656" s="125"/>
      <c r="DJ1656" s="16"/>
      <c r="DM1656" s="16"/>
      <c r="DN1656" s="16"/>
      <c r="DO1656" s="125"/>
      <c r="DP1656" s="16"/>
      <c r="DQ1656" s="125"/>
      <c r="DZ1656" s="125"/>
      <c r="EA1656" s="142"/>
      <c r="EB1656" s="125"/>
      <c r="EC1656" s="16"/>
      <c r="ED1656" s="125"/>
      <c r="EE1656" s="125"/>
      <c r="EF1656" s="16"/>
      <c r="EG1656" s="125"/>
      <c r="EQ1656" s="125"/>
      <c r="ER1656" s="16"/>
      <c r="ES1656" s="123"/>
      <c r="ET1656" s="19"/>
      <c r="EU1656" s="139"/>
      <c r="EV1656" s="139"/>
      <c r="EW1656" s="123"/>
      <c r="EX1656" s="123"/>
      <c r="EY1656" s="123"/>
      <c r="EZ1656" s="123"/>
      <c r="FA1656" s="123"/>
      <c r="FB1656" s="123"/>
      <c r="FC1656" s="6"/>
      <c r="FD1656" s="123"/>
      <c r="FE1656" s="6"/>
      <c r="FF1656" s="123"/>
      <c r="FG1656" s="6"/>
      <c r="FH1656" s="6"/>
      <c r="FI1656" s="6"/>
      <c r="FJ1656" s="6"/>
      <c r="FK1656" s="123"/>
      <c r="FL1656" s="6"/>
      <c r="FM1656" s="6"/>
      <c r="FN1656" s="6"/>
      <c r="FO1656" s="138"/>
      <c r="FP1656" s="138"/>
      <c r="FQ1656" s="123"/>
      <c r="FR1656" s="6"/>
      <c r="FS1656" s="6"/>
      <c r="FT1656" s="139"/>
      <c r="FU1656" s="139"/>
      <c r="FV1656" s="76"/>
      <c r="FW1656" s="123"/>
      <c r="FX1656" s="6"/>
    </row>
  </sheetData>
  <mergeCells count="153">
    <mergeCell ref="FU21:FU22"/>
    <mergeCell ref="FV21:FV22"/>
    <mergeCell ref="FW21:FW22"/>
    <mergeCell ref="FX21:FX22"/>
    <mergeCell ref="FP21:FP22"/>
    <mergeCell ref="FQ21:FQ22"/>
    <mergeCell ref="FR21:FR22"/>
    <mergeCell ref="FS21:FS22"/>
    <mergeCell ref="FT21:FT22"/>
    <mergeCell ref="FK21:FK22"/>
    <mergeCell ref="FL21:FL22"/>
    <mergeCell ref="FM21:FM22"/>
    <mergeCell ref="FN21:FN22"/>
    <mergeCell ref="FO21:FO22"/>
    <mergeCell ref="FF21:FF22"/>
    <mergeCell ref="FG21:FG22"/>
    <mergeCell ref="FH21:FH22"/>
    <mergeCell ref="FI21:FI22"/>
    <mergeCell ref="FJ21:FJ22"/>
    <mergeCell ref="EO21:EO22"/>
    <mergeCell ref="EP21:EP22"/>
    <mergeCell ref="FA21:FA22"/>
    <mergeCell ref="FB21:FB22"/>
    <mergeCell ref="FC21:FC22"/>
    <mergeCell ref="FD21:FD22"/>
    <mergeCell ref="FE21:FE22"/>
    <mergeCell ref="EV21:EV22"/>
    <mergeCell ref="EW21:EW22"/>
    <mergeCell ref="EX21:EX22"/>
    <mergeCell ref="EY21:EY22"/>
    <mergeCell ref="EZ21:EZ22"/>
    <mergeCell ref="CW21:CW22"/>
    <mergeCell ref="DB14:DC14"/>
    <mergeCell ref="DE14:DF14"/>
    <mergeCell ref="DB15:DC15"/>
    <mergeCell ref="DE15:DF15"/>
    <mergeCell ref="DE16:DF16"/>
    <mergeCell ref="DE17:DF17"/>
    <mergeCell ref="DA19:DX20"/>
    <mergeCell ref="EG21:EG22"/>
    <mergeCell ref="DA21:DA22"/>
    <mergeCell ref="DB21:DB22"/>
    <mergeCell ref="DY21:DY22"/>
    <mergeCell ref="BL21:BL22"/>
    <mergeCell ref="BN21:BN22"/>
    <mergeCell ref="BO21:BO22"/>
    <mergeCell ref="BP21:BP22"/>
    <mergeCell ref="CQ21:CQ22"/>
    <mergeCell ref="CP21:CP22"/>
    <mergeCell ref="CH21:CH22"/>
    <mergeCell ref="CI21:CI22"/>
    <mergeCell ref="CJ21:CJ22"/>
    <mergeCell ref="CK21:CK22"/>
    <mergeCell ref="CL21:CL22"/>
    <mergeCell ref="CG21:CG22"/>
    <mergeCell ref="CM21:CM22"/>
    <mergeCell ref="BQ21:BQ22"/>
    <mergeCell ref="CB21:CB22"/>
    <mergeCell ref="CC21:CC22"/>
    <mergeCell ref="BM21:BM22"/>
    <mergeCell ref="BJ21:BJ22"/>
    <mergeCell ref="B96:E96"/>
    <mergeCell ref="C24:D24"/>
    <mergeCell ref="G24:N24"/>
    <mergeCell ref="B11:J12"/>
    <mergeCell ref="K11:N12"/>
    <mergeCell ref="B13:D13"/>
    <mergeCell ref="E24:F24"/>
    <mergeCell ref="E25:E26"/>
    <mergeCell ref="B33:D33"/>
    <mergeCell ref="B29:B30"/>
    <mergeCell ref="F25:F26"/>
    <mergeCell ref="C29:D30"/>
    <mergeCell ref="C31:D31"/>
    <mergeCell ref="BA21:BA22"/>
    <mergeCell ref="AY21:AY22"/>
    <mergeCell ref="B80:J80"/>
    <mergeCell ref="K80:N80"/>
    <mergeCell ref="O80:Q80"/>
    <mergeCell ref="B81:J86"/>
    <mergeCell ref="O81:Q81"/>
    <mergeCell ref="CT21:CT22"/>
    <mergeCell ref="AE16:AF16"/>
    <mergeCell ref="AE17:AF17"/>
    <mergeCell ref="AA11:CX11"/>
    <mergeCell ref="AA12:CX12"/>
    <mergeCell ref="AB14:AC14"/>
    <mergeCell ref="AE14:AF14"/>
    <mergeCell ref="AB15:AC15"/>
    <mergeCell ref="AE15:AF15"/>
    <mergeCell ref="CD19:CG20"/>
    <mergeCell ref="CS19:CX20"/>
    <mergeCell ref="BW19:CC20"/>
    <mergeCell ref="AA19:AX20"/>
    <mergeCell ref="BD21:BD22"/>
    <mergeCell ref="BG21:BG22"/>
    <mergeCell ref="BE21:BE22"/>
    <mergeCell ref="BH21:BH22"/>
    <mergeCell ref="BT21:BT22"/>
    <mergeCell ref="BU21:BU22"/>
    <mergeCell ref="BI21:BI22"/>
    <mergeCell ref="CU21:CU22"/>
    <mergeCell ref="CV21:CV22"/>
    <mergeCell ref="AR21:AR22"/>
    <mergeCell ref="CH19:CL20"/>
    <mergeCell ref="CM19:CR20"/>
    <mergeCell ref="CX21:CX22"/>
    <mergeCell ref="CN21:CN22"/>
    <mergeCell ref="CO21:CO22"/>
    <mergeCell ref="CR21:CR22"/>
    <mergeCell ref="I94:J94"/>
    <mergeCell ref="I96:K96"/>
    <mergeCell ref="I97:K97"/>
    <mergeCell ref="BW21:BW22"/>
    <mergeCell ref="AO21:AO22"/>
    <mergeCell ref="BR21:BR22"/>
    <mergeCell ref="BS21:BS22"/>
    <mergeCell ref="BV21:BV22"/>
    <mergeCell ref="BX21:BX22"/>
    <mergeCell ref="BY21:BY22"/>
    <mergeCell ref="BZ21:BZ22"/>
    <mergeCell ref="CA21:CA22"/>
    <mergeCell ref="AA21:AA22"/>
    <mergeCell ref="AB21:AB22"/>
    <mergeCell ref="CS21:CS22"/>
    <mergeCell ref="CD21:CD22"/>
    <mergeCell ref="CE21:CE22"/>
    <mergeCell ref="CF21:CF22"/>
    <mergeCell ref="BK21:BK22"/>
    <mergeCell ref="DA11:FX11"/>
    <mergeCell ref="DA12:FX12"/>
    <mergeCell ref="EW19:FC20"/>
    <mergeCell ref="FD19:FG20"/>
    <mergeCell ref="FH19:FL20"/>
    <mergeCell ref="FM19:FR20"/>
    <mergeCell ref="FS19:FX20"/>
    <mergeCell ref="DO21:DO22"/>
    <mergeCell ref="DR21:DR22"/>
    <mergeCell ref="EA21:EA22"/>
    <mergeCell ref="ED21:ED22"/>
    <mergeCell ref="EE21:EE22"/>
    <mergeCell ref="EH21:EH22"/>
    <mergeCell ref="EI21:EI22"/>
    <mergeCell ref="EJ21:EJ22"/>
    <mergeCell ref="EK21:EK22"/>
    <mergeCell ref="EQ21:EQ22"/>
    <mergeCell ref="ER21:ER22"/>
    <mergeCell ref="ES21:ES22"/>
    <mergeCell ref="ET21:ET22"/>
    <mergeCell ref="EU21:EU22"/>
    <mergeCell ref="EL21:EL22"/>
    <mergeCell ref="EM21:EM22"/>
    <mergeCell ref="EN21:EN22"/>
  </mergeCells>
  <phoneticPr fontId="32" type="noConversion"/>
  <conditionalFormatting sqref="N61:N65 N67:N72">
    <cfRule type="containsText" dxfId="31" priority="177" operator="containsText" text="Check">
      <formula>NOT(ISERROR(SEARCH("Check",N61)))</formula>
    </cfRule>
    <cfRule type="containsText" dxfId="30" priority="178" operator="containsText" text="OK">
      <formula>NOT(ISERROR(SEARCH("OK",N61)))</formula>
    </cfRule>
  </conditionalFormatting>
  <conditionalFormatting sqref="N52">
    <cfRule type="containsText" dxfId="29" priority="116" operator="containsText" text="Check">
      <formula>NOT(ISERROR(SEARCH("Check",N52)))</formula>
    </cfRule>
    <cfRule type="containsText" dxfId="28" priority="117" operator="containsText" text="OK">
      <formula>NOT(ISERROR(SEARCH("OK",N52)))</formula>
    </cfRule>
  </conditionalFormatting>
  <conditionalFormatting sqref="N58">
    <cfRule type="containsText" dxfId="27" priority="92" operator="containsText" text="Check">
      <formula>NOT(ISERROR(SEARCH("Check",N58)))</formula>
    </cfRule>
    <cfRule type="containsText" dxfId="26" priority="93" operator="containsText" text="OK">
      <formula>NOT(ISERROR(SEARCH("OK",N58)))</formula>
    </cfRule>
  </conditionalFormatting>
  <conditionalFormatting sqref="N60">
    <cfRule type="containsText" dxfId="25" priority="90" operator="containsText" text="Check">
      <formula>NOT(ISERROR(SEARCH("Check",N60)))</formula>
    </cfRule>
    <cfRule type="containsText" dxfId="24" priority="91" operator="containsText" text="OK">
      <formula>NOT(ISERROR(SEARCH("OK",N60)))</formula>
    </cfRule>
  </conditionalFormatting>
  <conditionalFormatting sqref="F78:F79">
    <cfRule type="containsText" dxfId="23" priority="89" operator="containsText" text="OK">
      <formula>NOT(ISERROR(SEARCH("OK",F78)))</formula>
    </cfRule>
  </conditionalFormatting>
  <conditionalFormatting sqref="N77">
    <cfRule type="containsText" dxfId="22" priority="87" operator="containsText" text="Check">
      <formula>NOT(ISERROR(SEARCH("Check",N77)))</formula>
    </cfRule>
    <cfRule type="containsText" dxfId="21" priority="88" operator="containsText" text="OK">
      <formula>NOT(ISERROR(SEARCH("OK",N77)))</formula>
    </cfRule>
  </conditionalFormatting>
  <conditionalFormatting sqref="N73">
    <cfRule type="containsText" dxfId="20" priority="85" operator="containsText" text="Check">
      <formula>NOT(ISERROR(SEARCH("Check",N73)))</formula>
    </cfRule>
    <cfRule type="containsText" dxfId="19" priority="86" operator="containsText" text="OK">
      <formula>NOT(ISERROR(SEARCH("OK",N73)))</formula>
    </cfRule>
  </conditionalFormatting>
  <conditionalFormatting sqref="N66">
    <cfRule type="containsText" dxfId="18" priority="83" operator="containsText" text="Check">
      <formula>NOT(ISERROR(SEARCH("Check",N66)))</formula>
    </cfRule>
    <cfRule type="containsText" dxfId="17" priority="84" operator="containsText" text="OK">
      <formula>NOT(ISERROR(SEARCH("OK",N66)))</formula>
    </cfRule>
  </conditionalFormatting>
  <conditionalFormatting sqref="CB1657:CB999998">
    <cfRule type="cellIs" dxfId="16" priority="82" operator="greaterThan">
      <formula>1</formula>
    </cfRule>
  </conditionalFormatting>
  <conditionalFormatting sqref="CC23:CC1656 CE23:CE1656 CL23:CN1656 CS23:CS14165 CR23:CR1656 CX23:CX1656 FC23:FC1656 FE23:FE1656 FL23:FN1656 FS23:FS14165 FR23:FR1656 FX23:FX1656 FG24:FJ1656 CG24:CJ1656">
    <cfRule type="containsText" dxfId="15" priority="80" operator="containsText" text="Check">
      <formula>NOT(ISERROR(SEARCH("Check",CC23)))</formula>
    </cfRule>
    <cfRule type="cellIs" dxfId="14" priority="81" operator="equal">
      <formula>"OK"</formula>
    </cfRule>
  </conditionalFormatting>
  <conditionalFormatting sqref="CG23:CJ23">
    <cfRule type="containsText" dxfId="13" priority="78" operator="containsText" text="Check">
      <formula>NOT(ISERROR(SEARCH("Check",CG23)))</formula>
    </cfRule>
    <cfRule type="cellIs" dxfId="12" priority="79" operator="equal">
      <formula>"OK"</formula>
    </cfRule>
  </conditionalFormatting>
  <conditionalFormatting sqref="CD1:CD1048576">
    <cfRule type="top10" dxfId="11" priority="20" rank="1"/>
  </conditionalFormatting>
  <conditionalFormatting sqref="CF1:CF1048576">
    <cfRule type="top10" dxfId="10" priority="19" rank="1"/>
  </conditionalFormatting>
  <conditionalFormatting sqref="FB1657:FB999998">
    <cfRule type="cellIs" dxfId="9" priority="18" operator="greaterThan">
      <formula>1</formula>
    </cfRule>
  </conditionalFormatting>
  <conditionalFormatting sqref="FG23:FJ23">
    <cfRule type="containsText" dxfId="8" priority="14" operator="containsText" text="Check">
      <formula>NOT(ISERROR(SEARCH("Check",FG23)))</formula>
    </cfRule>
    <cfRule type="cellIs" dxfId="7" priority="15" operator="equal">
      <formula>"OK"</formula>
    </cfRule>
  </conditionalFormatting>
  <conditionalFormatting sqref="FD1:FD1048576">
    <cfRule type="top10" dxfId="6" priority="4" rank="1"/>
  </conditionalFormatting>
  <conditionalFormatting sqref="FF1:FF1048576">
    <cfRule type="top10" dxfId="5" priority="3" rank="1"/>
  </conditionalFormatting>
  <conditionalFormatting sqref="CB23:CB100008">
    <cfRule type="top10" dxfId="4" priority="207" rank="1"/>
  </conditionalFormatting>
  <conditionalFormatting sqref="FB23:FB100008">
    <cfRule type="top10" dxfId="3" priority="247" rank="1"/>
  </conditionalFormatting>
  <dataValidations count="3">
    <dataValidation type="list" allowBlank="1" showInputMessage="1" showErrorMessage="1" sqref="J21:J22" xr:uid="{00000000-0002-0000-0200-000000000000}">
      <formula1>$E$97:$E$102</formula1>
    </dataValidation>
    <dataValidation allowBlank="1" showInputMessage="1" showErrorMessage="1" prompt="Tài liệu: Ví dụ tính toán kết cấu thép theo TCVN 5575:2024" sqref="M27" xr:uid="{00000000-0002-0000-0200-000001000000}"/>
    <dataValidation type="list" allowBlank="1" showInputMessage="1" showErrorMessage="1" sqref="K80:N80" xr:uid="{00000000-0002-0000-0200-000002000000}">
      <formula1>$O$82:$O$86</formula1>
    </dataValidation>
  </dataValidation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L63 L66 L69:L71 L73 J57 L57" evalError="1"/>
    <ignoredError sqref="CC23 CF23" formula="1"/>
  </ignoredErrors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HideTable">
                <anchor moveWithCells="1" sizeWithCells="1">
                  <from>
                    <xdr:col>1</xdr:col>
                    <xdr:colOff>38100</xdr:colOff>
                    <xdr:row>0</xdr:row>
                    <xdr:rowOff>0</xdr:rowOff>
                  </from>
                  <to>
                    <xdr:col>3</xdr:col>
                    <xdr:colOff>247650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UnHideTable">
                <anchor moveWithCells="1" sizeWithCells="1">
                  <from>
                    <xdr:col>4</xdr:col>
                    <xdr:colOff>38100</xdr:colOff>
                    <xdr:row>0</xdr:row>
                    <xdr:rowOff>0</xdr:rowOff>
                  </from>
                  <to>
                    <xdr:col>6</xdr:col>
                    <xdr:colOff>390525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3000000}">
          <x14:formula1>
            <xm:f>Data!$A$3:$A$99</xm:f>
          </x14:formula1>
          <xm:sqref>C24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4787E9-2B2B-40A4-9694-EB1E85FCDA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2024-02-17T11:01:09Z</cp:lastPrinted>
  <dcterms:created xsi:type="dcterms:W3CDTF">2023-12-24T09:13:35Z</dcterms:created>
  <dcterms:modified xsi:type="dcterms:W3CDTF">2026-05-14T03:39:02Z</dcterms:modified>
</cp:coreProperties>
</file>