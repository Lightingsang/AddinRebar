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an\Downloads\Send Duy\"/>
    </mc:Choice>
  </mc:AlternateContent>
  <xr:revisionPtr revIDLastSave="0" documentId="13_ncr:1_{76274335-C69F-4D15-A077-FF2B3FD292A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3" r:id="rId1"/>
    <sheet name="Cal" sheetId="2" r:id="rId2"/>
  </sheets>
  <externalReferences>
    <externalReference r:id="rId3"/>
    <externalReference r:id="rId4"/>
  </externalReferences>
  <definedNames>
    <definedName name="_xlnm._FilterDatabase" localSheetId="1" hidden="1">Cal!#REF!</definedName>
    <definedName name="_xleta.ABS" hidden="1" xlm="1">#NAME?</definedName>
    <definedName name="_xleta.COT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SINGLE" hidden="1" xlm="1">#NAME?</definedName>
    <definedName name="bf">[1]Class23!$F$17</definedName>
    <definedName name="Crane">INDEX([2]Pic!$A$2:$B$3,MATCH([2]Pic!$B$4,[2]Pic!$A$2:$A$3,0),2)</definedName>
    <definedName name="CraneLoad">INDEX([2]Pic!$A$6:$B$7,MATCH([2]Pic!$B$8,[2]Pic!$A$6:$A$7,0),2)</definedName>
    <definedName name="hw">[1]Class23!$F$21</definedName>
    <definedName name="PicMV">INDEX([2]Pic!$A$9:$B$10,MATCH([2]Pic!$B$11,[2]Pic!$A$9:$A$10,0),2)</definedName>
    <definedName name="_xlnm.Print_Area" localSheetId="1">Cal!$H$11:$S$96</definedName>
    <definedName name="_xlnm.Print_Area" localSheetId="0">Data!#REF!</definedName>
    <definedName name="SLSLOADCASE">#REF!</definedName>
    <definedName name="tf">[1]Class23!$F$18</definedName>
    <definedName name="tw">[1]Class23!$F$16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V238" i="2" l="1"/>
  <c r="BX238" i="2" s="1"/>
  <c r="BX237" i="2"/>
  <c r="BV237" i="2"/>
  <c r="BV236" i="2"/>
  <c r="BX236" i="2" s="1"/>
  <c r="BX235" i="2"/>
  <c r="BV235" i="2"/>
  <c r="BV234" i="2"/>
  <c r="BV233" i="2"/>
  <c r="BX233" i="2" s="1"/>
  <c r="BX232" i="2"/>
  <c r="BV232" i="2"/>
  <c r="BX231" i="2"/>
  <c r="BV231" i="2"/>
  <c r="BX230" i="2"/>
  <c r="BV230" i="2"/>
  <c r="BV229" i="2"/>
  <c r="BX229" i="2" s="1"/>
  <c r="BV228" i="2"/>
  <c r="BX228" i="2" s="1"/>
  <c r="BX227" i="2"/>
  <c r="BV227" i="2"/>
  <c r="BV226" i="2"/>
  <c r="BX226" i="2" s="1"/>
  <c r="BX225" i="2"/>
  <c r="BV225" i="2"/>
  <c r="BX224" i="2"/>
  <c r="BV224" i="2"/>
  <c r="BV223" i="2"/>
  <c r="BX223" i="2" s="1"/>
  <c r="BX222" i="2"/>
  <c r="BV222" i="2"/>
  <c r="BV221" i="2"/>
  <c r="BX221" i="2" s="1"/>
  <c r="BX220" i="2"/>
  <c r="BV220" i="2"/>
  <c r="BV219" i="2"/>
  <c r="BX219" i="2" s="1"/>
  <c r="BV218" i="2"/>
  <c r="BX218" i="2" s="1"/>
  <c r="BX217" i="2"/>
  <c r="BV217" i="2"/>
  <c r="BV216" i="2"/>
  <c r="BX215" i="2"/>
  <c r="BV215" i="2"/>
  <c r="BV214" i="2"/>
  <c r="BX214" i="2" s="1"/>
  <c r="BV213" i="2"/>
  <c r="BX213" i="2" s="1"/>
  <c r="BX212" i="2"/>
  <c r="BV212" i="2"/>
  <c r="BV211" i="2"/>
  <c r="BX211" i="2" s="1"/>
  <c r="BX210" i="2"/>
  <c r="BV210" i="2"/>
  <c r="BV209" i="2"/>
  <c r="BV208" i="2"/>
  <c r="BX208" i="2" s="1"/>
  <c r="BX207" i="2"/>
  <c r="BV207" i="2"/>
  <c r="BX206" i="2"/>
  <c r="BV206" i="2"/>
  <c r="BX205" i="2"/>
  <c r="BV205" i="2"/>
  <c r="BV204" i="2"/>
  <c r="BX204" i="2" s="1"/>
  <c r="BV203" i="2"/>
  <c r="BX203" i="2" s="1"/>
  <c r="BX202" i="2"/>
  <c r="BV202" i="2"/>
  <c r="BV201" i="2"/>
  <c r="BX201" i="2" s="1"/>
  <c r="BX200" i="2"/>
  <c r="BV200" i="2"/>
  <c r="BX199" i="2"/>
  <c r="BV199" i="2"/>
  <c r="BV198" i="2"/>
  <c r="BX198" i="2" s="1"/>
  <c r="BX197" i="2"/>
  <c r="BV197" i="2"/>
  <c r="BV196" i="2"/>
  <c r="BX196" i="2" s="1"/>
  <c r="BX195" i="2"/>
  <c r="BV195" i="2"/>
  <c r="BV194" i="2"/>
  <c r="BX194" i="2" s="1"/>
  <c r="BV193" i="2"/>
  <c r="BX193" i="2" s="1"/>
  <c r="BX192" i="2"/>
  <c r="BV192" i="2"/>
  <c r="BV191" i="2"/>
  <c r="BX190" i="2"/>
  <c r="BV190" i="2"/>
  <c r="BV189" i="2"/>
  <c r="BV188" i="2"/>
  <c r="BX188" i="2" s="1"/>
  <c r="BX187" i="2"/>
  <c r="BV187" i="2"/>
  <c r="BV186" i="2"/>
  <c r="BX186" i="2" s="1"/>
  <c r="BV185" i="2"/>
  <c r="BX185" i="2" s="1"/>
  <c r="BV184" i="2"/>
  <c r="BX184" i="2" s="1"/>
  <c r="BV183" i="2"/>
  <c r="BX183" i="2" s="1"/>
  <c r="BX182" i="2"/>
  <c r="BV182" i="2"/>
  <c r="BV181" i="2"/>
  <c r="BX180" i="2"/>
  <c r="BV180" i="2"/>
  <c r="BV179" i="2"/>
  <c r="BV178" i="2"/>
  <c r="BX177" i="2"/>
  <c r="BV177" i="2"/>
  <c r="BV176" i="2"/>
  <c r="BX176" i="2" s="1"/>
  <c r="BV175" i="2"/>
  <c r="BX175" i="2" s="1"/>
  <c r="BV174" i="2"/>
  <c r="BX174" i="2" s="1"/>
  <c r="BV173" i="2"/>
  <c r="BX172" i="2"/>
  <c r="BV172" i="2"/>
  <c r="BV171" i="2"/>
  <c r="BX171" i="2" s="1"/>
  <c r="BV170" i="2"/>
  <c r="BX170" i="2" s="1"/>
  <c r="BV169" i="2"/>
  <c r="BX169" i="2" s="1"/>
  <c r="BV168" i="2"/>
  <c r="BX167" i="2"/>
  <c r="BV167" i="2"/>
  <c r="BV166" i="2"/>
  <c r="BX166" i="2" s="1"/>
  <c r="BV165" i="2"/>
  <c r="BX165" i="2" s="1"/>
  <c r="BV164" i="2"/>
  <c r="BX164" i="2" s="1"/>
  <c r="BV163" i="2"/>
  <c r="BX162" i="2"/>
  <c r="BV162" i="2"/>
  <c r="BX161" i="2"/>
  <c r="BV161" i="2"/>
  <c r="BV160" i="2"/>
  <c r="BX160" i="2" s="1"/>
  <c r="BX159" i="2"/>
  <c r="BV159" i="2"/>
  <c r="BV158" i="2"/>
  <c r="BV157" i="2"/>
  <c r="BX157" i="2" s="1"/>
  <c r="BX156" i="2"/>
  <c r="BV156" i="2"/>
  <c r="BV155" i="2"/>
  <c r="BX155" i="2" s="1"/>
  <c r="BX154" i="2"/>
  <c r="BV154" i="2"/>
  <c r="BX153" i="2"/>
  <c r="BV153" i="2"/>
  <c r="BV152" i="2"/>
  <c r="BX152" i="2" s="1"/>
  <c r="BV151" i="2"/>
  <c r="BI151" i="2"/>
  <c r="BV150" i="2"/>
  <c r="BX149" i="2"/>
  <c r="BV149" i="2"/>
  <c r="BX148" i="2"/>
  <c r="BV148" i="2"/>
  <c r="BV147" i="2"/>
  <c r="BX147" i="2" s="1"/>
  <c r="BX146" i="2"/>
  <c r="BV146" i="2"/>
  <c r="BV145" i="2"/>
  <c r="BX144" i="2"/>
  <c r="BV144" i="2"/>
  <c r="BX143" i="2"/>
  <c r="BV143" i="2"/>
  <c r="BV142" i="2"/>
  <c r="BX142" i="2" s="1"/>
  <c r="BV141" i="2"/>
  <c r="BX141" i="2" s="1"/>
  <c r="BV140" i="2"/>
  <c r="BX139" i="2"/>
  <c r="BV139" i="2"/>
  <c r="BX138" i="2"/>
  <c r="BV138" i="2"/>
  <c r="BV137" i="2"/>
  <c r="BX137" i="2" s="1"/>
  <c r="BX136" i="2"/>
  <c r="BV136" i="2"/>
  <c r="BV135" i="2"/>
  <c r="BX134" i="2"/>
  <c r="BV134" i="2"/>
  <c r="BX133" i="2"/>
  <c r="BV133" i="2"/>
  <c r="BV132" i="2"/>
  <c r="BX132" i="2" s="1"/>
  <c r="BW131" i="2"/>
  <c r="BV131" i="2"/>
  <c r="BX131" i="2" s="1"/>
  <c r="BV130" i="2"/>
  <c r="BX129" i="2"/>
  <c r="BV129" i="2"/>
  <c r="BV128" i="2"/>
  <c r="BX128" i="2" s="1"/>
  <c r="BV127" i="2"/>
  <c r="BX127" i="2" s="1"/>
  <c r="BV126" i="2"/>
  <c r="BX126" i="2" s="1"/>
  <c r="BV125" i="2"/>
  <c r="BX125" i="2" s="1"/>
  <c r="BV124" i="2"/>
  <c r="BX124" i="2" s="1"/>
  <c r="BV123" i="2"/>
  <c r="BV122" i="2"/>
  <c r="BX122" i="2" s="1"/>
  <c r="BV121" i="2"/>
  <c r="BX121" i="2" s="1"/>
  <c r="BV120" i="2"/>
  <c r="BX120" i="2" s="1"/>
  <c r="BX119" i="2"/>
  <c r="BV119" i="2"/>
  <c r="BV118" i="2"/>
  <c r="BV117" i="2"/>
  <c r="BX117" i="2" s="1"/>
  <c r="BV116" i="2"/>
  <c r="BX116" i="2" s="1"/>
  <c r="BV115" i="2"/>
  <c r="BX115" i="2" s="1"/>
  <c r="BV114" i="2"/>
  <c r="BX114" i="2" s="1"/>
  <c r="CA114" i="2" s="1"/>
  <c r="CB114" i="2" s="1"/>
  <c r="BV113" i="2"/>
  <c r="BV112" i="2"/>
  <c r="BX112" i="2" s="1"/>
  <c r="BX111" i="2"/>
  <c r="BV111" i="2"/>
  <c r="BV110" i="2"/>
  <c r="BX110" i="2" s="1"/>
  <c r="BV109" i="2"/>
  <c r="BK109" i="2"/>
  <c r="BG109" i="2"/>
  <c r="BX108" i="2"/>
  <c r="CA108" i="2" s="1"/>
  <c r="CB108" i="2" s="1"/>
  <c r="BV108" i="2"/>
  <c r="BV107" i="2"/>
  <c r="BX107" i="2" s="1"/>
  <c r="BV106" i="2"/>
  <c r="BX106" i="2" s="1"/>
  <c r="CA106" i="2" s="1"/>
  <c r="CB106" i="2" s="1"/>
  <c r="BV105" i="2"/>
  <c r="BV104" i="2"/>
  <c r="BV103" i="2"/>
  <c r="BX103" i="2" s="1"/>
  <c r="BD103" i="2"/>
  <c r="BV102" i="2"/>
  <c r="BX102" i="2" s="1"/>
  <c r="BV101" i="2"/>
  <c r="BX101" i="2" s="1"/>
  <c r="BV100" i="2"/>
  <c r="BX99" i="2"/>
  <c r="BV99" i="2"/>
  <c r="BV98" i="2"/>
  <c r="BX98" i="2" s="1"/>
  <c r="BE98" i="2"/>
  <c r="BH98" i="2" s="1"/>
  <c r="BB98" i="2"/>
  <c r="BV97" i="2"/>
  <c r="BX96" i="2"/>
  <c r="BV96" i="2"/>
  <c r="BV95" i="2"/>
  <c r="BX95" i="2" s="1"/>
  <c r="BC95" i="2"/>
  <c r="BX94" i="2"/>
  <c r="BV94" i="2"/>
  <c r="BG94" i="2"/>
  <c r="BV93" i="2"/>
  <c r="BV92" i="2"/>
  <c r="BV91" i="2"/>
  <c r="BV90" i="2"/>
  <c r="BX90" i="2" s="1"/>
  <c r="BA90" i="2"/>
  <c r="BX89" i="2"/>
  <c r="BV89" i="2"/>
  <c r="BV88" i="2"/>
  <c r="BX88" i="2" s="1"/>
  <c r="BX87" i="2"/>
  <c r="BV87" i="2"/>
  <c r="BC87" i="2"/>
  <c r="BB87" i="2"/>
  <c r="BX86" i="2"/>
  <c r="BV86" i="2"/>
  <c r="BD86" i="2"/>
  <c r="BC86" i="2"/>
  <c r="BB86" i="2"/>
  <c r="BA86" i="2"/>
  <c r="BV85" i="2"/>
  <c r="BX85" i="2" s="1"/>
  <c r="BX84" i="2"/>
  <c r="BV84" i="2"/>
  <c r="BV83" i="2"/>
  <c r="BX83" i="2" s="1"/>
  <c r="CA83" i="2" s="1"/>
  <c r="CB83" i="2" s="1"/>
  <c r="BV82" i="2"/>
  <c r="BX82" i="2" s="1"/>
  <c r="BX81" i="2"/>
  <c r="BV81" i="2"/>
  <c r="BW81" i="2" s="1"/>
  <c r="BX80" i="2"/>
  <c r="BV80" i="2"/>
  <c r="BV79" i="2"/>
  <c r="BX79" i="2" s="1"/>
  <c r="BV78" i="2"/>
  <c r="BK78" i="2"/>
  <c r="BI78" i="2"/>
  <c r="BV77" i="2"/>
  <c r="BX77" i="2" s="1"/>
  <c r="BV76" i="2"/>
  <c r="BX76" i="2" s="1"/>
  <c r="BV75" i="2"/>
  <c r="BX75" i="2" s="1"/>
  <c r="CA75" i="2" s="1"/>
  <c r="CB75" i="2" s="1"/>
  <c r="BK75" i="2"/>
  <c r="BI75" i="2"/>
  <c r="BG75" i="2"/>
  <c r="BV74" i="2"/>
  <c r="BX74" i="2" s="1"/>
  <c r="BX73" i="2"/>
  <c r="CA73" i="2" s="1"/>
  <c r="CB73" i="2" s="1"/>
  <c r="BV73" i="2"/>
  <c r="BX72" i="2"/>
  <c r="BV72" i="2"/>
  <c r="BE72" i="2"/>
  <c r="BH72" i="2" s="1"/>
  <c r="BV71" i="2"/>
  <c r="BX71" i="2" s="1"/>
  <c r="BX70" i="2"/>
  <c r="CA70" i="2" s="1"/>
  <c r="CB70" i="2" s="1"/>
  <c r="BV70" i="2"/>
  <c r="BV69" i="2"/>
  <c r="BX69" i="2" s="1"/>
  <c r="BX68" i="2"/>
  <c r="BV68" i="2"/>
  <c r="BX67" i="2"/>
  <c r="BV67" i="2"/>
  <c r="BC67" i="2"/>
  <c r="BB67" i="2"/>
  <c r="BV66" i="2"/>
  <c r="BX66" i="2" s="1"/>
  <c r="BX65" i="2"/>
  <c r="BV65" i="2"/>
  <c r="BK65" i="2"/>
  <c r="BX64" i="2"/>
  <c r="BV64" i="2"/>
  <c r="BX63" i="2"/>
  <c r="BV63" i="2"/>
  <c r="BI63" i="2"/>
  <c r="BD63" i="2"/>
  <c r="BX62" i="2"/>
  <c r="BV62" i="2"/>
  <c r="BW62" i="2" s="1"/>
  <c r="BY62" i="2" s="1"/>
  <c r="BD62" i="2"/>
  <c r="BV61" i="2"/>
  <c r="BX61" i="2" s="1"/>
  <c r="BV60" i="2"/>
  <c r="BW60" i="2" s="1"/>
  <c r="BY60" i="2" s="1"/>
  <c r="BV59" i="2"/>
  <c r="BX58" i="2"/>
  <c r="BV58" i="2"/>
  <c r="BG58" i="2"/>
  <c r="BX57" i="2"/>
  <c r="BV57" i="2"/>
  <c r="BG57" i="2"/>
  <c r="BF57" i="2"/>
  <c r="BJ57" i="2" s="1"/>
  <c r="BE57" i="2"/>
  <c r="BH57" i="2" s="1"/>
  <c r="BD57" i="2"/>
  <c r="BV56" i="2"/>
  <c r="BX55" i="2"/>
  <c r="CA55" i="2" s="1"/>
  <c r="CB55" i="2" s="1"/>
  <c r="BW55" i="2"/>
  <c r="BY55" i="2" s="1"/>
  <c r="BV55" i="2"/>
  <c r="BB55" i="2"/>
  <c r="BA55" i="2"/>
  <c r="BV54" i="2"/>
  <c r="BX54" i="2" s="1"/>
  <c r="CA54" i="2" s="1"/>
  <c r="CB54" i="2" s="1"/>
  <c r="BX53" i="2"/>
  <c r="BV53" i="2"/>
  <c r="BX52" i="2"/>
  <c r="BV52" i="2"/>
  <c r="BV51" i="2"/>
  <c r="BX51" i="2" s="1"/>
  <c r="BV50" i="2"/>
  <c r="BX50" i="2" s="1"/>
  <c r="CA50" i="2" s="1"/>
  <c r="CB50" i="2" s="1"/>
  <c r="BD50" i="2"/>
  <c r="BC50" i="2"/>
  <c r="BX49" i="2"/>
  <c r="BV49" i="2"/>
  <c r="CB48" i="2"/>
  <c r="BX48" i="2"/>
  <c r="BV48" i="2"/>
  <c r="BI48" i="2"/>
  <c r="BF48" i="2"/>
  <c r="BJ48" i="2" s="1"/>
  <c r="BE48" i="2"/>
  <c r="BH48" i="2" s="1"/>
  <c r="BV47" i="2"/>
  <c r="BX47" i="2" s="1"/>
  <c r="BV46" i="2"/>
  <c r="BX46" i="2" s="1"/>
  <c r="BV45" i="2"/>
  <c r="BX45" i="2" s="1"/>
  <c r="CA45" i="2" s="1"/>
  <c r="CB45" i="2" s="1"/>
  <c r="BV44" i="2"/>
  <c r="CA43" i="2"/>
  <c r="CB43" i="2" s="1"/>
  <c r="BX43" i="2"/>
  <c r="BV43" i="2"/>
  <c r="BV42" i="2"/>
  <c r="BV41" i="2"/>
  <c r="BX41" i="2" s="1"/>
  <c r="BX40" i="2"/>
  <c r="BV40" i="2"/>
  <c r="BG40" i="2"/>
  <c r="BW40" i="2" s="1"/>
  <c r="BY40" i="2" s="1"/>
  <c r="BV39" i="2"/>
  <c r="BX39" i="2" s="1"/>
  <c r="BG39" i="2"/>
  <c r="BX38" i="2"/>
  <c r="BV38" i="2"/>
  <c r="BV37" i="2"/>
  <c r="BX37" i="2" s="1"/>
  <c r="CA37" i="2" s="1"/>
  <c r="CB37" i="2" s="1"/>
  <c r="BV36" i="2"/>
  <c r="BX36" i="2" s="1"/>
  <c r="BV35" i="2"/>
  <c r="BX35" i="2" s="1"/>
  <c r="CA35" i="2" s="1"/>
  <c r="CB35" i="2" s="1"/>
  <c r="BF35" i="2"/>
  <c r="BJ35" i="2" s="1"/>
  <c r="BV34" i="2"/>
  <c r="CA33" i="2"/>
  <c r="CB33" i="2" s="1"/>
  <c r="BX33" i="2"/>
  <c r="BV33" i="2"/>
  <c r="BV32" i="2"/>
  <c r="BX32" i="2" s="1"/>
  <c r="BF32" i="2"/>
  <c r="BJ32" i="2" s="1"/>
  <c r="BE32" i="2"/>
  <c r="BH32" i="2" s="1"/>
  <c r="BD32" i="2"/>
  <c r="BC32" i="2"/>
  <c r="BB32" i="2"/>
  <c r="BA32" i="2"/>
  <c r="BX31" i="2"/>
  <c r="BV31" i="2"/>
  <c r="BV30" i="2"/>
  <c r="BK30" i="2"/>
  <c r="BG30" i="2"/>
  <c r="BX29" i="2"/>
  <c r="BV29" i="2"/>
  <c r="BX28" i="2"/>
  <c r="BV28" i="2"/>
  <c r="BW28" i="2" s="1"/>
  <c r="BY28" i="2" s="1"/>
  <c r="BZ28" i="2" s="1"/>
  <c r="BE28" i="2"/>
  <c r="BH28" i="2" s="1"/>
  <c r="BD28" i="2"/>
  <c r="BV27" i="2"/>
  <c r="BX27" i="2" s="1"/>
  <c r="CA27" i="2" s="1"/>
  <c r="CB27" i="2" s="1"/>
  <c r="BX26" i="2"/>
  <c r="BV26" i="2"/>
  <c r="BW26" i="2" s="1"/>
  <c r="BX25" i="2"/>
  <c r="BV25" i="2"/>
  <c r="BK25" i="2"/>
  <c r="BI25" i="2"/>
  <c r="BG25" i="2"/>
  <c r="BW25" i="2" s="1"/>
  <c r="BY25" i="2" s="1"/>
  <c r="BF25" i="2"/>
  <c r="BJ25" i="2" s="1"/>
  <c r="BV24" i="2"/>
  <c r="BX24" i="2" s="1"/>
  <c r="CA24" i="2" s="1"/>
  <c r="CB24" i="2" s="1"/>
  <c r="AO238" i="2"/>
  <c r="AK238" i="2" s="1"/>
  <c r="AN238" i="2"/>
  <c r="BK238" i="2" s="1"/>
  <c r="AM238" i="2"/>
  <c r="AL238" i="2"/>
  <c r="BG238" i="2" s="1"/>
  <c r="AO237" i="2"/>
  <c r="AN237" i="2"/>
  <c r="BK237" i="2" s="1"/>
  <c r="AM237" i="2"/>
  <c r="AL237" i="2"/>
  <c r="AK237" i="2"/>
  <c r="CA237" i="2" s="1"/>
  <c r="CB237" i="2" s="1"/>
  <c r="AP236" i="2"/>
  <c r="AO236" i="2"/>
  <c r="AN236" i="2"/>
  <c r="BK236" i="2" s="1"/>
  <c r="AM236" i="2"/>
  <c r="AL236" i="2"/>
  <c r="BG236" i="2" s="1"/>
  <c r="AK236" i="2"/>
  <c r="AO235" i="2"/>
  <c r="AN235" i="2"/>
  <c r="BK235" i="2" s="1"/>
  <c r="AM235" i="2"/>
  <c r="AL235" i="2"/>
  <c r="BG235" i="2" s="1"/>
  <c r="BW235" i="2" s="1"/>
  <c r="AK235" i="2"/>
  <c r="CA235" i="2" s="1"/>
  <c r="CB235" i="2" s="1"/>
  <c r="AO234" i="2"/>
  <c r="AN234" i="2"/>
  <c r="BK234" i="2" s="1"/>
  <c r="AM234" i="2"/>
  <c r="AL234" i="2"/>
  <c r="BG234" i="2" s="1"/>
  <c r="AO233" i="2"/>
  <c r="BC233" i="2" s="1"/>
  <c r="AN233" i="2"/>
  <c r="BK233" i="2" s="1"/>
  <c r="AM233" i="2"/>
  <c r="AL233" i="2"/>
  <c r="BG233" i="2" s="1"/>
  <c r="AK233" i="2"/>
  <c r="AO232" i="2"/>
  <c r="AN232" i="2"/>
  <c r="BK232" i="2" s="1"/>
  <c r="AM232" i="2"/>
  <c r="AL232" i="2"/>
  <c r="BG232" i="2" s="1"/>
  <c r="BW232" i="2" s="1"/>
  <c r="AK232" i="2"/>
  <c r="CA232" i="2" s="1"/>
  <c r="CB232" i="2" s="1"/>
  <c r="AO231" i="2"/>
  <c r="AK231" i="2" s="1"/>
  <c r="AN231" i="2"/>
  <c r="BK231" i="2" s="1"/>
  <c r="AM231" i="2"/>
  <c r="AL231" i="2"/>
  <c r="BG231" i="2" s="1"/>
  <c r="BW231" i="2" s="1"/>
  <c r="AO230" i="2"/>
  <c r="AN230" i="2"/>
  <c r="BK230" i="2" s="1"/>
  <c r="AM230" i="2"/>
  <c r="AL230" i="2"/>
  <c r="BG230" i="2" s="1"/>
  <c r="BW230" i="2" s="1"/>
  <c r="AO229" i="2"/>
  <c r="AN229" i="2"/>
  <c r="BK229" i="2" s="1"/>
  <c r="AM229" i="2"/>
  <c r="AL229" i="2"/>
  <c r="BG229" i="2" s="1"/>
  <c r="AO228" i="2"/>
  <c r="AN228" i="2"/>
  <c r="BK228" i="2" s="1"/>
  <c r="AM228" i="2"/>
  <c r="AL228" i="2"/>
  <c r="BG228" i="2" s="1"/>
  <c r="AK228" i="2"/>
  <c r="AP228" i="2" s="1"/>
  <c r="AO227" i="2"/>
  <c r="AN227" i="2"/>
  <c r="BK227" i="2" s="1"/>
  <c r="AM227" i="2"/>
  <c r="AL227" i="2"/>
  <c r="BG227" i="2" s="1"/>
  <c r="BW227" i="2" s="1"/>
  <c r="AO226" i="2"/>
  <c r="AK226" i="2" s="1"/>
  <c r="AP226" i="2" s="1"/>
  <c r="AN226" i="2"/>
  <c r="BK226" i="2" s="1"/>
  <c r="AM226" i="2"/>
  <c r="AL226" i="2"/>
  <c r="BG226" i="2" s="1"/>
  <c r="AO225" i="2"/>
  <c r="AN225" i="2"/>
  <c r="BK225" i="2" s="1"/>
  <c r="AM225" i="2"/>
  <c r="AL225" i="2"/>
  <c r="BG225" i="2" s="1"/>
  <c r="BW225" i="2" s="1"/>
  <c r="AK225" i="2"/>
  <c r="AP225" i="2" s="1"/>
  <c r="AO224" i="2"/>
  <c r="AN224" i="2"/>
  <c r="BK224" i="2" s="1"/>
  <c r="AM224" i="2"/>
  <c r="AL224" i="2"/>
  <c r="BG224" i="2" s="1"/>
  <c r="BW224" i="2" s="1"/>
  <c r="AO223" i="2"/>
  <c r="AN223" i="2"/>
  <c r="BK223" i="2" s="1"/>
  <c r="AM223" i="2"/>
  <c r="AL223" i="2"/>
  <c r="BG223" i="2" s="1"/>
  <c r="BW223" i="2" s="1"/>
  <c r="BY223" i="2" s="1"/>
  <c r="AK223" i="2"/>
  <c r="AO222" i="2"/>
  <c r="AN222" i="2"/>
  <c r="BK222" i="2" s="1"/>
  <c r="AM222" i="2"/>
  <c r="AL222" i="2"/>
  <c r="BG222" i="2" s="1"/>
  <c r="BW222" i="2" s="1"/>
  <c r="BY222" i="2" s="1"/>
  <c r="AK222" i="2"/>
  <c r="AO221" i="2"/>
  <c r="AK221" i="2" s="1"/>
  <c r="AP221" i="2" s="1"/>
  <c r="AN221" i="2"/>
  <c r="BK221" i="2" s="1"/>
  <c r="AM221" i="2"/>
  <c r="AL221" i="2"/>
  <c r="BG221" i="2" s="1"/>
  <c r="AO220" i="2"/>
  <c r="AN220" i="2"/>
  <c r="BK220" i="2" s="1"/>
  <c r="AM220" i="2"/>
  <c r="AL220" i="2"/>
  <c r="BG220" i="2" s="1"/>
  <c r="BW220" i="2" s="1"/>
  <c r="AO219" i="2"/>
  <c r="AN219" i="2"/>
  <c r="BK219" i="2" s="1"/>
  <c r="AM219" i="2"/>
  <c r="AL219" i="2"/>
  <c r="BG219" i="2" s="1"/>
  <c r="AO218" i="2"/>
  <c r="AN218" i="2"/>
  <c r="BK218" i="2" s="1"/>
  <c r="AM218" i="2"/>
  <c r="AL218" i="2"/>
  <c r="BG218" i="2" s="1"/>
  <c r="BW218" i="2" s="1"/>
  <c r="AK218" i="2"/>
  <c r="AP218" i="2" s="1"/>
  <c r="AO217" i="2"/>
  <c r="AN217" i="2"/>
  <c r="BK217" i="2" s="1"/>
  <c r="AM217" i="2"/>
  <c r="AL217" i="2"/>
  <c r="BG217" i="2" s="1"/>
  <c r="BW217" i="2" s="1"/>
  <c r="AO216" i="2"/>
  <c r="AK216" i="2" s="1"/>
  <c r="AP216" i="2" s="1"/>
  <c r="AN216" i="2"/>
  <c r="BK216" i="2" s="1"/>
  <c r="AM216" i="2"/>
  <c r="AL216" i="2"/>
  <c r="BG216" i="2" s="1"/>
  <c r="AO215" i="2"/>
  <c r="AN215" i="2"/>
  <c r="BK215" i="2" s="1"/>
  <c r="AM215" i="2"/>
  <c r="AL215" i="2"/>
  <c r="BG215" i="2" s="1"/>
  <c r="BW215" i="2" s="1"/>
  <c r="AK215" i="2"/>
  <c r="AP215" i="2" s="1"/>
  <c r="AO214" i="2"/>
  <c r="AN214" i="2"/>
  <c r="BK214" i="2" s="1"/>
  <c r="AM214" i="2"/>
  <c r="AL214" i="2"/>
  <c r="BG214" i="2" s="1"/>
  <c r="AO213" i="2"/>
  <c r="AN213" i="2"/>
  <c r="BK213" i="2" s="1"/>
  <c r="AM213" i="2"/>
  <c r="AL213" i="2"/>
  <c r="BG213" i="2" s="1"/>
  <c r="AK213" i="2"/>
  <c r="AO212" i="2"/>
  <c r="AN212" i="2"/>
  <c r="BK212" i="2" s="1"/>
  <c r="AM212" i="2"/>
  <c r="AL212" i="2"/>
  <c r="BG212" i="2" s="1"/>
  <c r="BW212" i="2" s="1"/>
  <c r="AK212" i="2"/>
  <c r="AO211" i="2"/>
  <c r="AK211" i="2" s="1"/>
  <c r="AP211" i="2" s="1"/>
  <c r="AN211" i="2"/>
  <c r="BK211" i="2" s="1"/>
  <c r="AM211" i="2"/>
  <c r="AL211" i="2"/>
  <c r="BG211" i="2" s="1"/>
  <c r="AP210" i="2"/>
  <c r="AO210" i="2"/>
  <c r="AN210" i="2"/>
  <c r="BK210" i="2" s="1"/>
  <c r="AM210" i="2"/>
  <c r="AL210" i="2"/>
  <c r="BG210" i="2" s="1"/>
  <c r="BW210" i="2" s="1"/>
  <c r="AK210" i="2"/>
  <c r="AO209" i="2"/>
  <c r="AN209" i="2"/>
  <c r="BK209" i="2" s="1"/>
  <c r="AM209" i="2"/>
  <c r="AL209" i="2"/>
  <c r="BG209" i="2" s="1"/>
  <c r="AO208" i="2"/>
  <c r="AN208" i="2"/>
  <c r="BK208" i="2" s="1"/>
  <c r="AM208" i="2"/>
  <c r="AL208" i="2"/>
  <c r="BG208" i="2" s="1"/>
  <c r="AK208" i="2"/>
  <c r="AP208" i="2" s="1"/>
  <c r="AO207" i="2"/>
  <c r="AK207" i="2" s="1"/>
  <c r="AN207" i="2"/>
  <c r="BK207" i="2" s="1"/>
  <c r="AM207" i="2"/>
  <c r="AL207" i="2"/>
  <c r="BG207" i="2" s="1"/>
  <c r="BW207" i="2" s="1"/>
  <c r="AO206" i="2"/>
  <c r="AK206" i="2" s="1"/>
  <c r="AN206" i="2"/>
  <c r="BK206" i="2" s="1"/>
  <c r="AM206" i="2"/>
  <c r="AL206" i="2"/>
  <c r="BG206" i="2" s="1"/>
  <c r="BW206" i="2" s="1"/>
  <c r="AO205" i="2"/>
  <c r="AN205" i="2"/>
  <c r="BK205" i="2" s="1"/>
  <c r="AM205" i="2"/>
  <c r="AL205" i="2"/>
  <c r="BG205" i="2" s="1"/>
  <c r="BW205" i="2" s="1"/>
  <c r="AK205" i="2"/>
  <c r="AO204" i="2"/>
  <c r="AN204" i="2"/>
  <c r="BK204" i="2" s="1"/>
  <c r="AM204" i="2"/>
  <c r="AL204" i="2"/>
  <c r="BG204" i="2" s="1"/>
  <c r="AO203" i="2"/>
  <c r="AN203" i="2"/>
  <c r="BK203" i="2" s="1"/>
  <c r="AM203" i="2"/>
  <c r="AL203" i="2"/>
  <c r="BG203" i="2" s="1"/>
  <c r="AK203" i="2"/>
  <c r="AP203" i="2" s="1"/>
  <c r="AO202" i="2"/>
  <c r="AN202" i="2"/>
  <c r="BK202" i="2" s="1"/>
  <c r="AM202" i="2"/>
  <c r="AL202" i="2"/>
  <c r="BG202" i="2" s="1"/>
  <c r="BW202" i="2" s="1"/>
  <c r="AK202" i="2"/>
  <c r="AO201" i="2"/>
  <c r="AK201" i="2" s="1"/>
  <c r="AP201" i="2" s="1"/>
  <c r="AN201" i="2"/>
  <c r="BK201" i="2" s="1"/>
  <c r="AM201" i="2"/>
  <c r="AL201" i="2"/>
  <c r="BG201" i="2" s="1"/>
  <c r="AO200" i="2"/>
  <c r="AN200" i="2"/>
  <c r="BK200" i="2" s="1"/>
  <c r="AM200" i="2"/>
  <c r="AL200" i="2"/>
  <c r="BG200" i="2" s="1"/>
  <c r="BW200" i="2" s="1"/>
  <c r="AK200" i="2"/>
  <c r="AP200" i="2" s="1"/>
  <c r="AO199" i="2"/>
  <c r="AN199" i="2"/>
  <c r="BK199" i="2" s="1"/>
  <c r="AM199" i="2"/>
  <c r="AL199" i="2"/>
  <c r="BG199" i="2" s="1"/>
  <c r="BW199" i="2" s="1"/>
  <c r="AO198" i="2"/>
  <c r="AN198" i="2"/>
  <c r="BK198" i="2" s="1"/>
  <c r="AM198" i="2"/>
  <c r="AL198" i="2"/>
  <c r="BG198" i="2" s="1"/>
  <c r="BW198" i="2" s="1"/>
  <c r="BY198" i="2" s="1"/>
  <c r="AK198" i="2"/>
  <c r="AO197" i="2"/>
  <c r="AN197" i="2"/>
  <c r="BK197" i="2" s="1"/>
  <c r="AM197" i="2"/>
  <c r="AL197" i="2"/>
  <c r="BG197" i="2" s="1"/>
  <c r="BW197" i="2" s="1"/>
  <c r="AK197" i="2"/>
  <c r="AP196" i="2"/>
  <c r="AO196" i="2"/>
  <c r="AK196" i="2" s="1"/>
  <c r="AN196" i="2"/>
  <c r="BK196" i="2" s="1"/>
  <c r="AM196" i="2"/>
  <c r="AL196" i="2"/>
  <c r="BG196" i="2" s="1"/>
  <c r="AO195" i="2"/>
  <c r="AN195" i="2"/>
  <c r="BK195" i="2" s="1"/>
  <c r="AM195" i="2"/>
  <c r="AL195" i="2"/>
  <c r="BG195" i="2" s="1"/>
  <c r="BW195" i="2" s="1"/>
  <c r="AO194" i="2"/>
  <c r="AN194" i="2"/>
  <c r="BK194" i="2" s="1"/>
  <c r="AM194" i="2"/>
  <c r="AL194" i="2"/>
  <c r="BG194" i="2" s="1"/>
  <c r="AO193" i="2"/>
  <c r="AN193" i="2"/>
  <c r="BK193" i="2" s="1"/>
  <c r="AM193" i="2"/>
  <c r="AL193" i="2"/>
  <c r="BG193" i="2" s="1"/>
  <c r="BW193" i="2" s="1"/>
  <c r="AK193" i="2"/>
  <c r="AP193" i="2" s="1"/>
  <c r="AO192" i="2"/>
  <c r="AN192" i="2"/>
  <c r="BK192" i="2" s="1"/>
  <c r="AM192" i="2"/>
  <c r="AL192" i="2"/>
  <c r="BG192" i="2" s="1"/>
  <c r="BW192" i="2" s="1"/>
  <c r="AK192" i="2"/>
  <c r="AO191" i="2"/>
  <c r="AK191" i="2" s="1"/>
  <c r="AP191" i="2" s="1"/>
  <c r="AN191" i="2"/>
  <c r="BK191" i="2" s="1"/>
  <c r="AM191" i="2"/>
  <c r="AL191" i="2"/>
  <c r="BG191" i="2" s="1"/>
  <c r="AO190" i="2"/>
  <c r="AN190" i="2"/>
  <c r="BK190" i="2" s="1"/>
  <c r="AM190" i="2"/>
  <c r="AL190" i="2"/>
  <c r="BG190" i="2" s="1"/>
  <c r="BW190" i="2" s="1"/>
  <c r="AK190" i="2"/>
  <c r="AP190" i="2" s="1"/>
  <c r="AO189" i="2"/>
  <c r="AN189" i="2"/>
  <c r="BK189" i="2" s="1"/>
  <c r="AM189" i="2"/>
  <c r="AL189" i="2"/>
  <c r="BG189" i="2" s="1"/>
  <c r="AO188" i="2"/>
  <c r="AN188" i="2"/>
  <c r="BK188" i="2" s="1"/>
  <c r="AM188" i="2"/>
  <c r="AL188" i="2"/>
  <c r="BG188" i="2" s="1"/>
  <c r="AK188" i="2"/>
  <c r="AP188" i="2" s="1"/>
  <c r="AO187" i="2"/>
  <c r="AN187" i="2"/>
  <c r="BK187" i="2" s="1"/>
  <c r="AM187" i="2"/>
  <c r="AL187" i="2"/>
  <c r="BG187" i="2" s="1"/>
  <c r="BW187" i="2" s="1"/>
  <c r="BY187" i="2" s="1"/>
  <c r="AK187" i="2"/>
  <c r="AO186" i="2"/>
  <c r="AK186" i="2" s="1"/>
  <c r="AP186" i="2" s="1"/>
  <c r="AN186" i="2"/>
  <c r="BK186" i="2" s="1"/>
  <c r="AM186" i="2"/>
  <c r="AL186" i="2"/>
  <c r="BG186" i="2" s="1"/>
  <c r="BW186" i="2" s="1"/>
  <c r="AO185" i="2"/>
  <c r="AK185" i="2" s="1"/>
  <c r="AP185" i="2" s="1"/>
  <c r="AN185" i="2"/>
  <c r="BK185" i="2" s="1"/>
  <c r="AM185" i="2"/>
  <c r="AL185" i="2"/>
  <c r="BG185" i="2" s="1"/>
  <c r="AO184" i="2"/>
  <c r="AN184" i="2"/>
  <c r="BK184" i="2" s="1"/>
  <c r="AM184" i="2"/>
  <c r="AL184" i="2"/>
  <c r="BG184" i="2" s="1"/>
  <c r="AO183" i="2"/>
  <c r="AN183" i="2"/>
  <c r="BK183" i="2" s="1"/>
  <c r="AM183" i="2"/>
  <c r="AL183" i="2"/>
  <c r="BG183" i="2" s="1"/>
  <c r="AK183" i="2"/>
  <c r="AO182" i="2"/>
  <c r="AN182" i="2"/>
  <c r="BK182" i="2" s="1"/>
  <c r="AM182" i="2"/>
  <c r="AL182" i="2"/>
  <c r="BG182" i="2" s="1"/>
  <c r="BW182" i="2" s="1"/>
  <c r="AO181" i="2"/>
  <c r="AK181" i="2" s="1"/>
  <c r="AP181" i="2" s="1"/>
  <c r="AN181" i="2"/>
  <c r="BK181" i="2" s="1"/>
  <c r="AM181" i="2"/>
  <c r="AL181" i="2"/>
  <c r="BG181" i="2" s="1"/>
  <c r="AO180" i="2"/>
  <c r="AN180" i="2"/>
  <c r="BK180" i="2" s="1"/>
  <c r="AM180" i="2"/>
  <c r="AL180" i="2"/>
  <c r="BG180" i="2" s="1"/>
  <c r="BW180" i="2" s="1"/>
  <c r="AK180" i="2"/>
  <c r="AO179" i="2"/>
  <c r="AN179" i="2"/>
  <c r="BK179" i="2" s="1"/>
  <c r="AM179" i="2"/>
  <c r="AL179" i="2"/>
  <c r="BG179" i="2" s="1"/>
  <c r="AO178" i="2"/>
  <c r="AN178" i="2"/>
  <c r="BK178" i="2" s="1"/>
  <c r="AM178" i="2"/>
  <c r="AL178" i="2"/>
  <c r="BG178" i="2" s="1"/>
  <c r="AK178" i="2"/>
  <c r="AP178" i="2" s="1"/>
  <c r="AO177" i="2"/>
  <c r="AN177" i="2"/>
  <c r="BK177" i="2" s="1"/>
  <c r="AM177" i="2"/>
  <c r="AL177" i="2"/>
  <c r="BG177" i="2" s="1"/>
  <c r="BW177" i="2" s="1"/>
  <c r="AK177" i="2"/>
  <c r="AP177" i="2" s="1"/>
  <c r="AO176" i="2"/>
  <c r="BD176" i="2" s="1"/>
  <c r="AN176" i="2"/>
  <c r="BK176" i="2" s="1"/>
  <c r="AM176" i="2"/>
  <c r="AL176" i="2"/>
  <c r="BG176" i="2" s="1"/>
  <c r="AO175" i="2"/>
  <c r="AN175" i="2"/>
  <c r="BK175" i="2" s="1"/>
  <c r="AM175" i="2"/>
  <c r="AL175" i="2"/>
  <c r="BG175" i="2" s="1"/>
  <c r="AK175" i="2"/>
  <c r="AP175" i="2" s="1"/>
  <c r="AO174" i="2"/>
  <c r="AN174" i="2"/>
  <c r="BK174" i="2" s="1"/>
  <c r="AM174" i="2"/>
  <c r="AL174" i="2"/>
  <c r="BG174" i="2" s="1"/>
  <c r="AO173" i="2"/>
  <c r="AN173" i="2"/>
  <c r="BK173" i="2" s="1"/>
  <c r="AM173" i="2"/>
  <c r="AL173" i="2"/>
  <c r="BG173" i="2" s="1"/>
  <c r="AK173" i="2"/>
  <c r="AO172" i="2"/>
  <c r="AN172" i="2"/>
  <c r="BK172" i="2" s="1"/>
  <c r="AM172" i="2"/>
  <c r="AL172" i="2"/>
  <c r="BG172" i="2" s="1"/>
  <c r="BW172" i="2" s="1"/>
  <c r="AK172" i="2"/>
  <c r="AP172" i="2" s="1"/>
  <c r="AO171" i="2"/>
  <c r="AK171" i="2" s="1"/>
  <c r="AP171" i="2" s="1"/>
  <c r="AN171" i="2"/>
  <c r="BK171" i="2" s="1"/>
  <c r="AM171" i="2"/>
  <c r="AL171" i="2"/>
  <c r="BG171" i="2" s="1"/>
  <c r="AO170" i="2"/>
  <c r="AN170" i="2"/>
  <c r="BK170" i="2" s="1"/>
  <c r="AM170" i="2"/>
  <c r="AL170" i="2"/>
  <c r="BG170" i="2" s="1"/>
  <c r="AO169" i="2"/>
  <c r="AN169" i="2"/>
  <c r="BK169" i="2" s="1"/>
  <c r="AM169" i="2"/>
  <c r="AL169" i="2"/>
  <c r="BG169" i="2" s="1"/>
  <c r="AO168" i="2"/>
  <c r="AN168" i="2"/>
  <c r="BK168" i="2" s="1"/>
  <c r="AM168" i="2"/>
  <c r="AL168" i="2"/>
  <c r="BG168" i="2" s="1"/>
  <c r="AK168" i="2"/>
  <c r="AP168" i="2" s="1"/>
  <c r="AO167" i="2"/>
  <c r="AN167" i="2"/>
  <c r="BK167" i="2" s="1"/>
  <c r="AM167" i="2"/>
  <c r="AL167" i="2"/>
  <c r="BG167" i="2" s="1"/>
  <c r="BW167" i="2" s="1"/>
  <c r="AP166" i="2"/>
  <c r="AO166" i="2"/>
  <c r="AK166" i="2" s="1"/>
  <c r="AN166" i="2"/>
  <c r="BK166" i="2" s="1"/>
  <c r="AM166" i="2"/>
  <c r="AL166" i="2"/>
  <c r="BG166" i="2" s="1"/>
  <c r="AO165" i="2"/>
  <c r="AN165" i="2"/>
  <c r="BK165" i="2" s="1"/>
  <c r="AM165" i="2"/>
  <c r="AL165" i="2"/>
  <c r="BG165" i="2" s="1"/>
  <c r="AK165" i="2"/>
  <c r="AP165" i="2" s="1"/>
  <c r="AO164" i="2"/>
  <c r="AN164" i="2"/>
  <c r="BK164" i="2" s="1"/>
  <c r="AM164" i="2"/>
  <c r="AL164" i="2"/>
  <c r="BG164" i="2" s="1"/>
  <c r="AO163" i="2"/>
  <c r="AN163" i="2"/>
  <c r="BK163" i="2" s="1"/>
  <c r="AM163" i="2"/>
  <c r="AL163" i="2"/>
  <c r="BG163" i="2" s="1"/>
  <c r="AK163" i="2"/>
  <c r="AO162" i="2"/>
  <c r="AN162" i="2"/>
  <c r="BK162" i="2" s="1"/>
  <c r="AM162" i="2"/>
  <c r="AL162" i="2"/>
  <c r="BG162" i="2" s="1"/>
  <c r="BW162" i="2" s="1"/>
  <c r="AK162" i="2"/>
  <c r="AO161" i="2"/>
  <c r="AK161" i="2" s="1"/>
  <c r="AP161" i="2" s="1"/>
  <c r="AN161" i="2"/>
  <c r="BK161" i="2" s="1"/>
  <c r="AM161" i="2"/>
  <c r="AL161" i="2"/>
  <c r="BG161" i="2" s="1"/>
  <c r="BW161" i="2" s="1"/>
  <c r="AO160" i="2"/>
  <c r="AN160" i="2"/>
  <c r="BK160" i="2" s="1"/>
  <c r="AM160" i="2"/>
  <c r="AL160" i="2"/>
  <c r="BG160" i="2" s="1"/>
  <c r="AK160" i="2"/>
  <c r="AO159" i="2"/>
  <c r="AN159" i="2"/>
  <c r="BK159" i="2" s="1"/>
  <c r="AM159" i="2"/>
  <c r="AL159" i="2"/>
  <c r="BG159" i="2" s="1"/>
  <c r="AO158" i="2"/>
  <c r="AN158" i="2"/>
  <c r="BK158" i="2" s="1"/>
  <c r="AM158" i="2"/>
  <c r="AL158" i="2"/>
  <c r="BG158" i="2" s="1"/>
  <c r="AK158" i="2"/>
  <c r="AP158" i="2" s="1"/>
  <c r="AO157" i="2"/>
  <c r="AN157" i="2"/>
  <c r="BK157" i="2" s="1"/>
  <c r="AM157" i="2"/>
  <c r="AL157" i="2"/>
  <c r="BG157" i="2" s="1"/>
  <c r="AK157" i="2"/>
  <c r="AP157" i="2" s="1"/>
  <c r="AP156" i="2"/>
  <c r="AO156" i="2"/>
  <c r="AK156" i="2" s="1"/>
  <c r="AN156" i="2"/>
  <c r="BK156" i="2" s="1"/>
  <c r="AM156" i="2"/>
  <c r="AL156" i="2"/>
  <c r="BG156" i="2" s="1"/>
  <c r="AO155" i="2"/>
  <c r="AN155" i="2"/>
  <c r="BK155" i="2" s="1"/>
  <c r="AM155" i="2"/>
  <c r="AL155" i="2"/>
  <c r="BG155" i="2" s="1"/>
  <c r="AO154" i="2"/>
  <c r="AN154" i="2"/>
  <c r="BK154" i="2" s="1"/>
  <c r="AM154" i="2"/>
  <c r="AL154" i="2"/>
  <c r="BG154" i="2" s="1"/>
  <c r="BW154" i="2" s="1"/>
  <c r="AO153" i="2"/>
  <c r="AN153" i="2"/>
  <c r="BK153" i="2" s="1"/>
  <c r="AM153" i="2"/>
  <c r="AL153" i="2"/>
  <c r="BG153" i="2" s="1"/>
  <c r="BW153" i="2" s="1"/>
  <c r="AK153" i="2"/>
  <c r="AP153" i="2" s="1"/>
  <c r="AO152" i="2"/>
  <c r="AN152" i="2"/>
  <c r="BK152" i="2" s="1"/>
  <c r="AM152" i="2"/>
  <c r="AL152" i="2"/>
  <c r="BG152" i="2" s="1"/>
  <c r="AO151" i="2"/>
  <c r="AN151" i="2"/>
  <c r="BK151" i="2" s="1"/>
  <c r="AM151" i="2"/>
  <c r="AL151" i="2"/>
  <c r="BG151" i="2" s="1"/>
  <c r="AO150" i="2"/>
  <c r="AN150" i="2"/>
  <c r="BK150" i="2" s="1"/>
  <c r="AM150" i="2"/>
  <c r="AL150" i="2"/>
  <c r="BG150" i="2" s="1"/>
  <c r="AK150" i="2"/>
  <c r="AP150" i="2" s="1"/>
  <c r="AO149" i="2"/>
  <c r="AN149" i="2"/>
  <c r="BK149" i="2" s="1"/>
  <c r="AM149" i="2"/>
  <c r="AL149" i="2"/>
  <c r="BG149" i="2" s="1"/>
  <c r="BW149" i="2" s="1"/>
  <c r="AO148" i="2"/>
  <c r="AN148" i="2"/>
  <c r="BK148" i="2" s="1"/>
  <c r="AM148" i="2"/>
  <c r="AL148" i="2"/>
  <c r="BG148" i="2" s="1"/>
  <c r="BW148" i="2" s="1"/>
  <c r="BY148" i="2" s="1"/>
  <c r="AK148" i="2"/>
  <c r="AO147" i="2"/>
  <c r="AN147" i="2"/>
  <c r="BK147" i="2" s="1"/>
  <c r="AM147" i="2"/>
  <c r="AL147" i="2"/>
  <c r="BG147" i="2" s="1"/>
  <c r="AK147" i="2"/>
  <c r="AO146" i="2"/>
  <c r="AN146" i="2"/>
  <c r="BK146" i="2" s="1"/>
  <c r="AM146" i="2"/>
  <c r="AL146" i="2"/>
  <c r="BG146" i="2" s="1"/>
  <c r="BW146" i="2" s="1"/>
  <c r="AO145" i="2"/>
  <c r="AN145" i="2"/>
  <c r="BK145" i="2" s="1"/>
  <c r="AM145" i="2"/>
  <c r="AL145" i="2"/>
  <c r="BG145" i="2" s="1"/>
  <c r="AK145" i="2"/>
  <c r="AP145" i="2" s="1"/>
  <c r="AO144" i="2"/>
  <c r="AN144" i="2"/>
  <c r="BK144" i="2" s="1"/>
  <c r="AM144" i="2"/>
  <c r="AL144" i="2"/>
  <c r="BG144" i="2" s="1"/>
  <c r="BW144" i="2" s="1"/>
  <c r="BY144" i="2" s="1"/>
  <c r="AK144" i="2"/>
  <c r="AO143" i="2"/>
  <c r="AN143" i="2"/>
  <c r="BK143" i="2" s="1"/>
  <c r="AM143" i="2"/>
  <c r="AL143" i="2"/>
  <c r="BG143" i="2" s="1"/>
  <c r="BW143" i="2" s="1"/>
  <c r="BY143" i="2" s="1"/>
  <c r="AK143" i="2"/>
  <c r="AO142" i="2"/>
  <c r="AN142" i="2"/>
  <c r="BK142" i="2" s="1"/>
  <c r="AM142" i="2"/>
  <c r="AL142" i="2"/>
  <c r="BG142" i="2" s="1"/>
  <c r="AK142" i="2"/>
  <c r="AP142" i="2" s="1"/>
  <c r="AO141" i="2"/>
  <c r="AN141" i="2"/>
  <c r="BK141" i="2" s="1"/>
  <c r="AM141" i="2"/>
  <c r="AL141" i="2"/>
  <c r="BG141" i="2" s="1"/>
  <c r="AO140" i="2"/>
  <c r="AN140" i="2"/>
  <c r="BK140" i="2" s="1"/>
  <c r="AM140" i="2"/>
  <c r="AL140" i="2"/>
  <c r="BG140" i="2" s="1"/>
  <c r="AO139" i="2"/>
  <c r="AK139" i="2" s="1"/>
  <c r="AP139" i="2" s="1"/>
  <c r="AN139" i="2"/>
  <c r="BK139" i="2" s="1"/>
  <c r="AM139" i="2"/>
  <c r="AL139" i="2"/>
  <c r="BG139" i="2" s="1"/>
  <c r="BW139" i="2" s="1"/>
  <c r="AO138" i="2"/>
  <c r="AN138" i="2"/>
  <c r="BK138" i="2" s="1"/>
  <c r="AM138" i="2"/>
  <c r="AL138" i="2"/>
  <c r="BG138" i="2" s="1"/>
  <c r="BW138" i="2" s="1"/>
  <c r="AK138" i="2"/>
  <c r="AP138" i="2" s="1"/>
  <c r="AO137" i="2"/>
  <c r="AN137" i="2"/>
  <c r="BK137" i="2" s="1"/>
  <c r="AM137" i="2"/>
  <c r="AL137" i="2"/>
  <c r="BG137" i="2" s="1"/>
  <c r="AO136" i="2"/>
  <c r="AN136" i="2"/>
  <c r="BK136" i="2" s="1"/>
  <c r="AM136" i="2"/>
  <c r="AL136" i="2"/>
  <c r="BG136" i="2" s="1"/>
  <c r="BW136" i="2" s="1"/>
  <c r="AO135" i="2"/>
  <c r="AN135" i="2"/>
  <c r="BK135" i="2" s="1"/>
  <c r="AM135" i="2"/>
  <c r="AL135" i="2"/>
  <c r="BG135" i="2" s="1"/>
  <c r="AK135" i="2"/>
  <c r="AO134" i="2"/>
  <c r="AK134" i="2" s="1"/>
  <c r="CA134" i="2" s="1"/>
  <c r="CB134" i="2" s="1"/>
  <c r="AN134" i="2"/>
  <c r="BK134" i="2" s="1"/>
  <c r="AM134" i="2"/>
  <c r="AL134" i="2"/>
  <c r="BG134" i="2" s="1"/>
  <c r="BW134" i="2" s="1"/>
  <c r="AO133" i="2"/>
  <c r="AN133" i="2"/>
  <c r="BK133" i="2" s="1"/>
  <c r="AM133" i="2"/>
  <c r="AL133" i="2"/>
  <c r="BG133" i="2" s="1"/>
  <c r="BW133" i="2" s="1"/>
  <c r="AK133" i="2"/>
  <c r="AP133" i="2" s="1"/>
  <c r="AO132" i="2"/>
  <c r="AK132" i="2" s="1"/>
  <c r="AP132" i="2" s="1"/>
  <c r="AN132" i="2"/>
  <c r="BK132" i="2" s="1"/>
  <c r="AM132" i="2"/>
  <c r="AL132" i="2"/>
  <c r="BG132" i="2" s="1"/>
  <c r="AO131" i="2"/>
  <c r="AN131" i="2"/>
  <c r="BK131" i="2" s="1"/>
  <c r="AM131" i="2"/>
  <c r="AL131" i="2"/>
  <c r="BG131" i="2" s="1"/>
  <c r="AO130" i="2"/>
  <c r="AN130" i="2"/>
  <c r="BK130" i="2" s="1"/>
  <c r="AM130" i="2"/>
  <c r="AL130" i="2"/>
  <c r="BG130" i="2" s="1"/>
  <c r="AK130" i="2"/>
  <c r="AP130" i="2" s="1"/>
  <c r="AP129" i="2"/>
  <c r="AO129" i="2"/>
  <c r="AN129" i="2"/>
  <c r="BK129" i="2" s="1"/>
  <c r="AM129" i="2"/>
  <c r="AL129" i="2"/>
  <c r="BG129" i="2" s="1"/>
  <c r="AK129" i="2"/>
  <c r="AO128" i="2"/>
  <c r="AN128" i="2"/>
  <c r="BK128" i="2" s="1"/>
  <c r="AM128" i="2"/>
  <c r="AL128" i="2"/>
  <c r="BG128" i="2" s="1"/>
  <c r="AK128" i="2"/>
  <c r="AO127" i="2"/>
  <c r="AN127" i="2"/>
  <c r="BK127" i="2" s="1"/>
  <c r="AM127" i="2"/>
  <c r="AL127" i="2"/>
  <c r="BG127" i="2" s="1"/>
  <c r="AK127" i="2"/>
  <c r="AP127" i="2" s="1"/>
  <c r="AO126" i="2"/>
  <c r="AN126" i="2"/>
  <c r="BK126" i="2" s="1"/>
  <c r="AM126" i="2"/>
  <c r="AL126" i="2"/>
  <c r="BG126" i="2" s="1"/>
  <c r="AO125" i="2"/>
  <c r="AN125" i="2"/>
  <c r="BK125" i="2" s="1"/>
  <c r="AM125" i="2"/>
  <c r="AL125" i="2"/>
  <c r="BG125" i="2" s="1"/>
  <c r="AK125" i="2"/>
  <c r="AP125" i="2" s="1"/>
  <c r="AO124" i="2"/>
  <c r="AN124" i="2"/>
  <c r="BK124" i="2" s="1"/>
  <c r="AM124" i="2"/>
  <c r="AL124" i="2"/>
  <c r="BG124" i="2" s="1"/>
  <c r="AK124" i="2"/>
  <c r="AP124" i="2" s="1"/>
  <c r="AO123" i="2"/>
  <c r="AN123" i="2"/>
  <c r="BK123" i="2" s="1"/>
  <c r="AM123" i="2"/>
  <c r="AL123" i="2"/>
  <c r="BG123" i="2" s="1"/>
  <c r="AO122" i="2"/>
  <c r="AK122" i="2" s="1"/>
  <c r="AP122" i="2" s="1"/>
  <c r="AN122" i="2"/>
  <c r="BK122" i="2" s="1"/>
  <c r="AM122" i="2"/>
  <c r="AL122" i="2"/>
  <c r="BG122" i="2" s="1"/>
  <c r="AO121" i="2"/>
  <c r="AN121" i="2"/>
  <c r="BK121" i="2" s="1"/>
  <c r="AM121" i="2"/>
  <c r="AL121" i="2"/>
  <c r="BG121" i="2" s="1"/>
  <c r="BW121" i="2" s="1"/>
  <c r="AK121" i="2"/>
  <c r="AP121" i="2" s="1"/>
  <c r="AO120" i="2"/>
  <c r="AN120" i="2"/>
  <c r="BK120" i="2" s="1"/>
  <c r="AM120" i="2"/>
  <c r="AL120" i="2"/>
  <c r="BG120" i="2" s="1"/>
  <c r="AO119" i="2"/>
  <c r="AN119" i="2"/>
  <c r="BK119" i="2" s="1"/>
  <c r="AM119" i="2"/>
  <c r="AL119" i="2"/>
  <c r="BG119" i="2" s="1"/>
  <c r="BW119" i="2" s="1"/>
  <c r="BY119" i="2" s="1"/>
  <c r="AK119" i="2"/>
  <c r="AP119" i="2" s="1"/>
  <c r="AO118" i="2"/>
  <c r="AN118" i="2"/>
  <c r="BK118" i="2" s="1"/>
  <c r="AM118" i="2"/>
  <c r="AL118" i="2"/>
  <c r="BG118" i="2" s="1"/>
  <c r="AP117" i="2"/>
  <c r="AO117" i="2"/>
  <c r="BF117" i="2" s="1"/>
  <c r="BJ117" i="2" s="1"/>
  <c r="AN117" i="2"/>
  <c r="BK117" i="2" s="1"/>
  <c r="AM117" i="2"/>
  <c r="AL117" i="2"/>
  <c r="BG117" i="2" s="1"/>
  <c r="AK117" i="2"/>
  <c r="AO116" i="2"/>
  <c r="AN116" i="2"/>
  <c r="BK116" i="2" s="1"/>
  <c r="AM116" i="2"/>
  <c r="AL116" i="2"/>
  <c r="BG116" i="2" s="1"/>
  <c r="AK116" i="2"/>
  <c r="AP116" i="2" s="1"/>
  <c r="AO115" i="2"/>
  <c r="AN115" i="2"/>
  <c r="BK115" i="2" s="1"/>
  <c r="AM115" i="2"/>
  <c r="AL115" i="2"/>
  <c r="BG115" i="2" s="1"/>
  <c r="AO114" i="2"/>
  <c r="AN114" i="2"/>
  <c r="BK114" i="2" s="1"/>
  <c r="AM114" i="2"/>
  <c r="AL114" i="2"/>
  <c r="BG114" i="2" s="1"/>
  <c r="AK114" i="2"/>
  <c r="AP114" i="2" s="1"/>
  <c r="AO113" i="2"/>
  <c r="AN113" i="2"/>
  <c r="BK113" i="2" s="1"/>
  <c r="AM113" i="2"/>
  <c r="AL113" i="2"/>
  <c r="BG113" i="2" s="1"/>
  <c r="AK113" i="2"/>
  <c r="AO112" i="2"/>
  <c r="AN112" i="2"/>
  <c r="BK112" i="2" s="1"/>
  <c r="AM112" i="2"/>
  <c r="AL112" i="2"/>
  <c r="BG112" i="2" s="1"/>
  <c r="AO111" i="2"/>
  <c r="AN111" i="2"/>
  <c r="BK111" i="2" s="1"/>
  <c r="AM111" i="2"/>
  <c r="AL111" i="2"/>
  <c r="BG111" i="2" s="1"/>
  <c r="BW111" i="2" s="1"/>
  <c r="AK111" i="2"/>
  <c r="AP111" i="2" s="1"/>
  <c r="AO110" i="2"/>
  <c r="AK110" i="2" s="1"/>
  <c r="AP110" i="2" s="1"/>
  <c r="AN110" i="2"/>
  <c r="BK110" i="2" s="1"/>
  <c r="AM110" i="2"/>
  <c r="AL110" i="2"/>
  <c r="BG110" i="2" s="1"/>
  <c r="BW110" i="2" s="1"/>
  <c r="AP109" i="2"/>
  <c r="AO109" i="2"/>
  <c r="AN109" i="2"/>
  <c r="AM109" i="2"/>
  <c r="AL109" i="2"/>
  <c r="AK109" i="2"/>
  <c r="AO108" i="2"/>
  <c r="AN108" i="2"/>
  <c r="BK108" i="2" s="1"/>
  <c r="AM108" i="2"/>
  <c r="AL108" i="2"/>
  <c r="BG108" i="2" s="1"/>
  <c r="AK108" i="2"/>
  <c r="AO107" i="2"/>
  <c r="AK107" i="2" s="1"/>
  <c r="AP107" i="2" s="1"/>
  <c r="AN107" i="2"/>
  <c r="BK107" i="2" s="1"/>
  <c r="AM107" i="2"/>
  <c r="AL107" i="2"/>
  <c r="BG107" i="2" s="1"/>
  <c r="AO106" i="2"/>
  <c r="AN106" i="2"/>
  <c r="BK106" i="2" s="1"/>
  <c r="AM106" i="2"/>
  <c r="AL106" i="2"/>
  <c r="BG106" i="2" s="1"/>
  <c r="AK106" i="2"/>
  <c r="AP106" i="2" s="1"/>
  <c r="AO105" i="2"/>
  <c r="BB105" i="2" s="1"/>
  <c r="AN105" i="2"/>
  <c r="BK105" i="2" s="1"/>
  <c r="AM105" i="2"/>
  <c r="AL105" i="2"/>
  <c r="BG105" i="2" s="1"/>
  <c r="AK105" i="2"/>
  <c r="AP105" i="2" s="1"/>
  <c r="AO104" i="2"/>
  <c r="AN104" i="2"/>
  <c r="BK104" i="2" s="1"/>
  <c r="AM104" i="2"/>
  <c r="AL104" i="2"/>
  <c r="BG104" i="2" s="1"/>
  <c r="AO103" i="2"/>
  <c r="BE103" i="2" s="1"/>
  <c r="BH103" i="2" s="1"/>
  <c r="AN103" i="2"/>
  <c r="BK103" i="2" s="1"/>
  <c r="AM103" i="2"/>
  <c r="AL103" i="2"/>
  <c r="BG103" i="2" s="1"/>
  <c r="AK103" i="2"/>
  <c r="AO102" i="2"/>
  <c r="AN102" i="2"/>
  <c r="BK102" i="2" s="1"/>
  <c r="AM102" i="2"/>
  <c r="AL102" i="2"/>
  <c r="BG102" i="2" s="1"/>
  <c r="AK102" i="2"/>
  <c r="AP102" i="2" s="1"/>
  <c r="AO101" i="2"/>
  <c r="AK101" i="2" s="1"/>
  <c r="AP101" i="2" s="1"/>
  <c r="AN101" i="2"/>
  <c r="BK101" i="2" s="1"/>
  <c r="AM101" i="2"/>
  <c r="AL101" i="2"/>
  <c r="BG101" i="2" s="1"/>
  <c r="AO100" i="2"/>
  <c r="AN100" i="2"/>
  <c r="BK100" i="2" s="1"/>
  <c r="AM100" i="2"/>
  <c r="AL100" i="2"/>
  <c r="BG100" i="2" s="1"/>
  <c r="AK100" i="2"/>
  <c r="AP100" i="2" s="1"/>
  <c r="AO99" i="2"/>
  <c r="AN99" i="2"/>
  <c r="BK99" i="2" s="1"/>
  <c r="AM99" i="2"/>
  <c r="AL99" i="2"/>
  <c r="BG99" i="2" s="1"/>
  <c r="AO98" i="2"/>
  <c r="AN98" i="2"/>
  <c r="BK98" i="2" s="1"/>
  <c r="AM98" i="2"/>
  <c r="AL98" i="2"/>
  <c r="BG98" i="2" s="1"/>
  <c r="BW98" i="2" s="1"/>
  <c r="AK98" i="2"/>
  <c r="AP98" i="2" s="1"/>
  <c r="AO97" i="2"/>
  <c r="AN97" i="2"/>
  <c r="BK97" i="2" s="1"/>
  <c r="AM97" i="2"/>
  <c r="AL97" i="2"/>
  <c r="BG97" i="2" s="1"/>
  <c r="AK97" i="2"/>
  <c r="AP97" i="2" s="1"/>
  <c r="AO96" i="2"/>
  <c r="AN96" i="2"/>
  <c r="BK96" i="2" s="1"/>
  <c r="AM96" i="2"/>
  <c r="AL96" i="2"/>
  <c r="BG96" i="2" s="1"/>
  <c r="AO95" i="2"/>
  <c r="BB95" i="2" s="1"/>
  <c r="AN95" i="2"/>
  <c r="BK95" i="2" s="1"/>
  <c r="AM95" i="2"/>
  <c r="AL95" i="2"/>
  <c r="BG95" i="2" s="1"/>
  <c r="AK95" i="2"/>
  <c r="AP95" i="2" s="1"/>
  <c r="AO94" i="2"/>
  <c r="AK94" i="2" s="1"/>
  <c r="AN94" i="2"/>
  <c r="BK94" i="2" s="1"/>
  <c r="AM94" i="2"/>
  <c r="AL94" i="2"/>
  <c r="AO93" i="2"/>
  <c r="AN93" i="2"/>
  <c r="BK93" i="2" s="1"/>
  <c r="AM93" i="2"/>
  <c r="AL93" i="2"/>
  <c r="BG93" i="2" s="1"/>
  <c r="AK93" i="2"/>
  <c r="AP93" i="2" s="1"/>
  <c r="AO92" i="2"/>
  <c r="AN92" i="2"/>
  <c r="BK92" i="2" s="1"/>
  <c r="AM92" i="2"/>
  <c r="AL92" i="2"/>
  <c r="BG92" i="2" s="1"/>
  <c r="AK92" i="2"/>
  <c r="AP92" i="2" s="1"/>
  <c r="AO91" i="2"/>
  <c r="AN91" i="2"/>
  <c r="BK91" i="2" s="1"/>
  <c r="AM91" i="2"/>
  <c r="AL91" i="2"/>
  <c r="BG91" i="2" s="1"/>
  <c r="AO90" i="2"/>
  <c r="AN90" i="2"/>
  <c r="BK90" i="2" s="1"/>
  <c r="AM90" i="2"/>
  <c r="AL90" i="2"/>
  <c r="BG90" i="2" s="1"/>
  <c r="AK90" i="2"/>
  <c r="AP90" i="2" s="1"/>
  <c r="AO89" i="2"/>
  <c r="AN89" i="2"/>
  <c r="BK89" i="2" s="1"/>
  <c r="AM89" i="2"/>
  <c r="AL89" i="2"/>
  <c r="BG89" i="2" s="1"/>
  <c r="AK89" i="2"/>
  <c r="CA89" i="2" s="1"/>
  <c r="CB89" i="2" s="1"/>
  <c r="AO88" i="2"/>
  <c r="AN88" i="2"/>
  <c r="BK88" i="2" s="1"/>
  <c r="AM88" i="2"/>
  <c r="AL88" i="2"/>
  <c r="BG88" i="2" s="1"/>
  <c r="AK88" i="2"/>
  <c r="AP88" i="2" s="1"/>
  <c r="AO87" i="2"/>
  <c r="AN87" i="2"/>
  <c r="BK87" i="2" s="1"/>
  <c r="AM87" i="2"/>
  <c r="AL87" i="2"/>
  <c r="BG87" i="2" s="1"/>
  <c r="BW87" i="2" s="1"/>
  <c r="BY87" i="2" s="1"/>
  <c r="AK87" i="2"/>
  <c r="AO86" i="2"/>
  <c r="AN86" i="2"/>
  <c r="BK86" i="2" s="1"/>
  <c r="AM86" i="2"/>
  <c r="AL86" i="2"/>
  <c r="BG86" i="2" s="1"/>
  <c r="AO85" i="2"/>
  <c r="AN85" i="2"/>
  <c r="BK85" i="2" s="1"/>
  <c r="AM85" i="2"/>
  <c r="AL85" i="2"/>
  <c r="BG85" i="2" s="1"/>
  <c r="AK85" i="2"/>
  <c r="AP85" i="2" s="1"/>
  <c r="AO84" i="2"/>
  <c r="AN84" i="2"/>
  <c r="BK84" i="2" s="1"/>
  <c r="AM84" i="2"/>
  <c r="AL84" i="2"/>
  <c r="BG84" i="2" s="1"/>
  <c r="AO83" i="2"/>
  <c r="AN83" i="2"/>
  <c r="BK83" i="2" s="1"/>
  <c r="AM83" i="2"/>
  <c r="AL83" i="2"/>
  <c r="BG83" i="2" s="1"/>
  <c r="AK83" i="2"/>
  <c r="AP83" i="2" s="1"/>
  <c r="AO82" i="2"/>
  <c r="AN82" i="2"/>
  <c r="BK82" i="2" s="1"/>
  <c r="AM82" i="2"/>
  <c r="AL82" i="2"/>
  <c r="BG82" i="2" s="1"/>
  <c r="AK82" i="2"/>
  <c r="AP82" i="2" s="1"/>
  <c r="AO81" i="2"/>
  <c r="AN81" i="2"/>
  <c r="BK81" i="2" s="1"/>
  <c r="AM81" i="2"/>
  <c r="AL81" i="2"/>
  <c r="BG81" i="2" s="1"/>
  <c r="AO80" i="2"/>
  <c r="AN80" i="2"/>
  <c r="BK80" i="2" s="1"/>
  <c r="AM80" i="2"/>
  <c r="AL80" i="2"/>
  <c r="BG80" i="2" s="1"/>
  <c r="BW80" i="2" s="1"/>
  <c r="AK80" i="2"/>
  <c r="AP80" i="2" s="1"/>
  <c r="AO79" i="2"/>
  <c r="AK79" i="2" s="1"/>
  <c r="AP79" i="2" s="1"/>
  <c r="AN79" i="2"/>
  <c r="BK79" i="2" s="1"/>
  <c r="AM79" i="2"/>
  <c r="AL79" i="2"/>
  <c r="BG79" i="2" s="1"/>
  <c r="AO78" i="2"/>
  <c r="AN78" i="2"/>
  <c r="AM78" i="2"/>
  <c r="AL78" i="2"/>
  <c r="BG78" i="2" s="1"/>
  <c r="AK78" i="2"/>
  <c r="AP78" i="2" s="1"/>
  <c r="AO77" i="2"/>
  <c r="AN77" i="2"/>
  <c r="BK77" i="2" s="1"/>
  <c r="AM77" i="2"/>
  <c r="AL77" i="2"/>
  <c r="BG77" i="2" s="1"/>
  <c r="AK77" i="2"/>
  <c r="AO76" i="2"/>
  <c r="AN76" i="2"/>
  <c r="BK76" i="2" s="1"/>
  <c r="AM76" i="2"/>
  <c r="AL76" i="2"/>
  <c r="BG76" i="2" s="1"/>
  <c r="BW76" i="2" s="1"/>
  <c r="AO75" i="2"/>
  <c r="AN75" i="2"/>
  <c r="AM75" i="2"/>
  <c r="AL75" i="2"/>
  <c r="AK75" i="2"/>
  <c r="AP75" i="2" s="1"/>
  <c r="AO74" i="2"/>
  <c r="AN74" i="2"/>
  <c r="BK74" i="2" s="1"/>
  <c r="AM74" i="2"/>
  <c r="AL74" i="2"/>
  <c r="BG74" i="2" s="1"/>
  <c r="AK74" i="2"/>
  <c r="AP74" i="2" s="1"/>
  <c r="AO73" i="2"/>
  <c r="AN73" i="2"/>
  <c r="BK73" i="2" s="1"/>
  <c r="AM73" i="2"/>
  <c r="AL73" i="2"/>
  <c r="BG73" i="2" s="1"/>
  <c r="AK73" i="2"/>
  <c r="AP73" i="2" s="1"/>
  <c r="AO72" i="2"/>
  <c r="AN72" i="2"/>
  <c r="BK72" i="2" s="1"/>
  <c r="AM72" i="2"/>
  <c r="AL72" i="2"/>
  <c r="BG72" i="2" s="1"/>
  <c r="BW72" i="2" s="1"/>
  <c r="AK72" i="2"/>
  <c r="AP72" i="2" s="1"/>
  <c r="AO71" i="2"/>
  <c r="AN71" i="2"/>
  <c r="BK71" i="2" s="1"/>
  <c r="AM71" i="2"/>
  <c r="AL71" i="2"/>
  <c r="BG71" i="2" s="1"/>
  <c r="BW71" i="2" s="1"/>
  <c r="AO70" i="2"/>
  <c r="AN70" i="2"/>
  <c r="BK70" i="2" s="1"/>
  <c r="AM70" i="2"/>
  <c r="AL70" i="2"/>
  <c r="BG70" i="2" s="1"/>
  <c r="AK70" i="2"/>
  <c r="AP70" i="2" s="1"/>
  <c r="AO69" i="2"/>
  <c r="AN69" i="2"/>
  <c r="BK69" i="2" s="1"/>
  <c r="AM69" i="2"/>
  <c r="AL69" i="2"/>
  <c r="BG69" i="2" s="1"/>
  <c r="BW69" i="2" s="1"/>
  <c r="BY69" i="2" s="1"/>
  <c r="AK69" i="2"/>
  <c r="AO68" i="2"/>
  <c r="BF68" i="2" s="1"/>
  <c r="BJ68" i="2" s="1"/>
  <c r="AN68" i="2"/>
  <c r="BK68" i="2" s="1"/>
  <c r="AM68" i="2"/>
  <c r="AL68" i="2"/>
  <c r="BG68" i="2" s="1"/>
  <c r="AK68" i="2"/>
  <c r="AP68" i="2" s="1"/>
  <c r="AO67" i="2"/>
  <c r="AN67" i="2"/>
  <c r="BK67" i="2" s="1"/>
  <c r="AM67" i="2"/>
  <c r="AL67" i="2"/>
  <c r="BG67" i="2" s="1"/>
  <c r="BW67" i="2" s="1"/>
  <c r="AK67" i="2"/>
  <c r="AO66" i="2"/>
  <c r="AN66" i="2"/>
  <c r="BK66" i="2" s="1"/>
  <c r="AM66" i="2"/>
  <c r="AL66" i="2"/>
  <c r="BG66" i="2" s="1"/>
  <c r="BW66" i="2" s="1"/>
  <c r="AO65" i="2"/>
  <c r="AN65" i="2"/>
  <c r="AM65" i="2"/>
  <c r="AL65" i="2"/>
  <c r="BG65" i="2" s="1"/>
  <c r="BW65" i="2" s="1"/>
  <c r="BY65" i="2" s="1"/>
  <c r="AK65" i="2"/>
  <c r="CA65" i="2" s="1"/>
  <c r="CB65" i="2" s="1"/>
  <c r="AO64" i="2"/>
  <c r="AN64" i="2"/>
  <c r="BK64" i="2" s="1"/>
  <c r="AM64" i="2"/>
  <c r="AL64" i="2"/>
  <c r="BG64" i="2" s="1"/>
  <c r="BW64" i="2" s="1"/>
  <c r="AK64" i="2"/>
  <c r="AP64" i="2" s="1"/>
  <c r="AO63" i="2"/>
  <c r="AN63" i="2"/>
  <c r="BK63" i="2" s="1"/>
  <c r="AM63" i="2"/>
  <c r="AL63" i="2"/>
  <c r="BG63" i="2" s="1"/>
  <c r="AK63" i="2"/>
  <c r="AP63" i="2" s="1"/>
  <c r="AO62" i="2"/>
  <c r="AN62" i="2"/>
  <c r="BK62" i="2" s="1"/>
  <c r="AM62" i="2"/>
  <c r="AL62" i="2"/>
  <c r="BG62" i="2" s="1"/>
  <c r="AK62" i="2"/>
  <c r="AO61" i="2"/>
  <c r="AN61" i="2"/>
  <c r="BK61" i="2" s="1"/>
  <c r="AM61" i="2"/>
  <c r="AL61" i="2"/>
  <c r="BG61" i="2" s="1"/>
  <c r="BW61" i="2" s="1"/>
  <c r="AO60" i="2"/>
  <c r="AN60" i="2"/>
  <c r="BK60" i="2" s="1"/>
  <c r="AM60" i="2"/>
  <c r="AL60" i="2"/>
  <c r="BG60" i="2" s="1"/>
  <c r="AK60" i="2"/>
  <c r="AP60" i="2" s="1"/>
  <c r="AO59" i="2"/>
  <c r="AK59" i="2" s="1"/>
  <c r="AP59" i="2" s="1"/>
  <c r="AN59" i="2"/>
  <c r="BK59" i="2" s="1"/>
  <c r="AM59" i="2"/>
  <c r="AL59" i="2"/>
  <c r="BG59" i="2" s="1"/>
  <c r="AO58" i="2"/>
  <c r="BI58" i="2" s="1"/>
  <c r="AN58" i="2"/>
  <c r="BK58" i="2" s="1"/>
  <c r="AM58" i="2"/>
  <c r="AL58" i="2"/>
  <c r="AK58" i="2"/>
  <c r="CA58" i="2" s="1"/>
  <c r="CB58" i="2" s="1"/>
  <c r="AO57" i="2"/>
  <c r="AN57" i="2"/>
  <c r="BK57" i="2" s="1"/>
  <c r="AM57" i="2"/>
  <c r="AL57" i="2"/>
  <c r="AK57" i="2"/>
  <c r="AP57" i="2" s="1"/>
  <c r="AO56" i="2"/>
  <c r="AN56" i="2"/>
  <c r="BK56" i="2" s="1"/>
  <c r="AM56" i="2"/>
  <c r="AL56" i="2"/>
  <c r="BG56" i="2" s="1"/>
  <c r="AO55" i="2"/>
  <c r="AN55" i="2"/>
  <c r="BK55" i="2" s="1"/>
  <c r="AM55" i="2"/>
  <c r="AL55" i="2"/>
  <c r="BG55" i="2" s="1"/>
  <c r="AK55" i="2"/>
  <c r="AP55" i="2" s="1"/>
  <c r="AO54" i="2"/>
  <c r="AN54" i="2"/>
  <c r="BK54" i="2" s="1"/>
  <c r="AM54" i="2"/>
  <c r="AL54" i="2"/>
  <c r="BG54" i="2" s="1"/>
  <c r="BW54" i="2" s="1"/>
  <c r="BY54" i="2" s="1"/>
  <c r="AK54" i="2"/>
  <c r="AP54" i="2" s="1"/>
  <c r="AO53" i="2"/>
  <c r="AN53" i="2"/>
  <c r="BK53" i="2" s="1"/>
  <c r="AM53" i="2"/>
  <c r="AL53" i="2"/>
  <c r="BG53" i="2" s="1"/>
  <c r="AK53" i="2"/>
  <c r="CA53" i="2" s="1"/>
  <c r="CB53" i="2" s="1"/>
  <c r="AO52" i="2"/>
  <c r="AN52" i="2"/>
  <c r="BK52" i="2" s="1"/>
  <c r="AM52" i="2"/>
  <c r="AL52" i="2"/>
  <c r="BG52" i="2" s="1"/>
  <c r="AK52" i="2"/>
  <c r="AP52" i="2" s="1"/>
  <c r="AO51" i="2"/>
  <c r="AN51" i="2"/>
  <c r="BK51" i="2" s="1"/>
  <c r="AM51" i="2"/>
  <c r="AL51" i="2"/>
  <c r="BG51" i="2" s="1"/>
  <c r="AO50" i="2"/>
  <c r="AN50" i="2"/>
  <c r="BK50" i="2" s="1"/>
  <c r="AM50" i="2"/>
  <c r="AL50" i="2"/>
  <c r="BG50" i="2" s="1"/>
  <c r="AK50" i="2"/>
  <c r="AP50" i="2" s="1"/>
  <c r="AO49" i="2"/>
  <c r="AK49" i="2" s="1"/>
  <c r="AP49" i="2" s="1"/>
  <c r="AN49" i="2"/>
  <c r="BK49" i="2" s="1"/>
  <c r="AM49" i="2"/>
  <c r="AL49" i="2"/>
  <c r="BG49" i="2" s="1"/>
  <c r="AO48" i="2"/>
  <c r="AN48" i="2"/>
  <c r="BK48" i="2" s="1"/>
  <c r="AM48" i="2"/>
  <c r="AL48" i="2"/>
  <c r="BG48" i="2" s="1"/>
  <c r="AK48" i="2"/>
  <c r="CA48" i="2" s="1"/>
  <c r="AO47" i="2"/>
  <c r="BF47" i="2" s="1"/>
  <c r="BJ47" i="2" s="1"/>
  <c r="AN47" i="2"/>
  <c r="BK47" i="2" s="1"/>
  <c r="AM47" i="2"/>
  <c r="AL47" i="2"/>
  <c r="BG47" i="2" s="1"/>
  <c r="AK47" i="2"/>
  <c r="AP47" i="2" s="1"/>
  <c r="AO46" i="2"/>
  <c r="AN46" i="2"/>
  <c r="BK46" i="2" s="1"/>
  <c r="AM46" i="2"/>
  <c r="AL46" i="2"/>
  <c r="BG46" i="2" s="1"/>
  <c r="AO45" i="2"/>
  <c r="AN45" i="2"/>
  <c r="BK45" i="2" s="1"/>
  <c r="AM45" i="2"/>
  <c r="AL45" i="2"/>
  <c r="BG45" i="2" s="1"/>
  <c r="AK45" i="2"/>
  <c r="AP45" i="2" s="1"/>
  <c r="AO44" i="2"/>
  <c r="AN44" i="2"/>
  <c r="BK44" i="2" s="1"/>
  <c r="AM44" i="2"/>
  <c r="AL44" i="2"/>
  <c r="BG44" i="2" s="1"/>
  <c r="AK44" i="2"/>
  <c r="AP44" i="2" s="1"/>
  <c r="AO43" i="2"/>
  <c r="AN43" i="2"/>
  <c r="BK43" i="2" s="1"/>
  <c r="AM43" i="2"/>
  <c r="AL43" i="2"/>
  <c r="BG43" i="2" s="1"/>
  <c r="AK43" i="2"/>
  <c r="AP43" i="2" s="1"/>
  <c r="AO42" i="2"/>
  <c r="AN42" i="2"/>
  <c r="BK42" i="2" s="1"/>
  <c r="AM42" i="2"/>
  <c r="AL42" i="2"/>
  <c r="BG42" i="2" s="1"/>
  <c r="AK42" i="2"/>
  <c r="AO41" i="2"/>
  <c r="AN41" i="2"/>
  <c r="BK41" i="2" s="1"/>
  <c r="AM41" i="2"/>
  <c r="AL41" i="2"/>
  <c r="BG41" i="2" s="1"/>
  <c r="AO40" i="2"/>
  <c r="BF40" i="2" s="1"/>
  <c r="BJ40" i="2" s="1"/>
  <c r="AN40" i="2"/>
  <c r="BK40" i="2" s="1"/>
  <c r="AM40" i="2"/>
  <c r="AL40" i="2"/>
  <c r="AK40" i="2"/>
  <c r="AP40" i="2" s="1"/>
  <c r="AO39" i="2"/>
  <c r="AN39" i="2"/>
  <c r="BK39" i="2" s="1"/>
  <c r="AM39" i="2"/>
  <c r="AL39" i="2"/>
  <c r="AO38" i="2"/>
  <c r="AN38" i="2"/>
  <c r="BK38" i="2" s="1"/>
  <c r="AM38" i="2"/>
  <c r="AL38" i="2"/>
  <c r="BG38" i="2" s="1"/>
  <c r="AK38" i="2"/>
  <c r="AP38" i="2" s="1"/>
  <c r="AO37" i="2"/>
  <c r="AN37" i="2"/>
  <c r="BK37" i="2" s="1"/>
  <c r="AM37" i="2"/>
  <c r="AL37" i="2"/>
  <c r="BG37" i="2" s="1"/>
  <c r="AK37" i="2"/>
  <c r="AP37" i="2" s="1"/>
  <c r="AO36" i="2"/>
  <c r="AN36" i="2"/>
  <c r="BK36" i="2" s="1"/>
  <c r="AM36" i="2"/>
  <c r="AL36" i="2"/>
  <c r="BG36" i="2" s="1"/>
  <c r="AO35" i="2"/>
  <c r="AN35" i="2"/>
  <c r="BK35" i="2" s="1"/>
  <c r="AM35" i="2"/>
  <c r="AL35" i="2"/>
  <c r="BG35" i="2" s="1"/>
  <c r="AK35" i="2"/>
  <c r="AP35" i="2" s="1"/>
  <c r="AO34" i="2"/>
  <c r="AN34" i="2"/>
  <c r="BK34" i="2" s="1"/>
  <c r="AM34" i="2"/>
  <c r="AL34" i="2"/>
  <c r="BG34" i="2" s="1"/>
  <c r="AK34" i="2"/>
  <c r="AP34" i="2" s="1"/>
  <c r="AO33" i="2"/>
  <c r="BD33" i="2" s="1"/>
  <c r="AN33" i="2"/>
  <c r="BK33" i="2" s="1"/>
  <c r="AM33" i="2"/>
  <c r="AL33" i="2"/>
  <c r="BG33" i="2" s="1"/>
  <c r="AK33" i="2"/>
  <c r="AP33" i="2" s="1"/>
  <c r="AO32" i="2"/>
  <c r="AN32" i="2"/>
  <c r="BK32" i="2" s="1"/>
  <c r="AM32" i="2"/>
  <c r="AL32" i="2"/>
  <c r="BG32" i="2" s="1"/>
  <c r="AK32" i="2"/>
  <c r="AP32" i="2" s="1"/>
  <c r="AO31" i="2"/>
  <c r="AN31" i="2"/>
  <c r="BK31" i="2" s="1"/>
  <c r="AM31" i="2"/>
  <c r="AL31" i="2"/>
  <c r="BG31" i="2" s="1"/>
  <c r="BW31" i="2" s="1"/>
  <c r="AO30" i="2"/>
  <c r="AN30" i="2"/>
  <c r="AM30" i="2"/>
  <c r="AL30" i="2"/>
  <c r="AK30" i="2"/>
  <c r="AP30" i="2" s="1"/>
  <c r="AO29" i="2"/>
  <c r="AN29" i="2"/>
  <c r="BK29" i="2" s="1"/>
  <c r="AM29" i="2"/>
  <c r="AL29" i="2"/>
  <c r="BG29" i="2" s="1"/>
  <c r="BW29" i="2" s="1"/>
  <c r="BY29" i="2" s="1"/>
  <c r="AK29" i="2"/>
  <c r="AP29" i="2" s="1"/>
  <c r="AO28" i="2"/>
  <c r="AN28" i="2"/>
  <c r="BK28" i="2" s="1"/>
  <c r="AM28" i="2"/>
  <c r="AL28" i="2"/>
  <c r="BG28" i="2" s="1"/>
  <c r="AK28" i="2"/>
  <c r="AP28" i="2" s="1"/>
  <c r="AO27" i="2"/>
  <c r="BE27" i="2" s="1"/>
  <c r="BH27" i="2" s="1"/>
  <c r="AN27" i="2"/>
  <c r="BK27" i="2" s="1"/>
  <c r="AM27" i="2"/>
  <c r="AL27" i="2"/>
  <c r="BG27" i="2" s="1"/>
  <c r="AK27" i="2"/>
  <c r="AP27" i="2" s="1"/>
  <c r="AO26" i="2"/>
  <c r="AN26" i="2"/>
  <c r="BK26" i="2" s="1"/>
  <c r="AM26" i="2"/>
  <c r="AL26" i="2"/>
  <c r="BG26" i="2" s="1"/>
  <c r="AO25" i="2"/>
  <c r="AN25" i="2"/>
  <c r="AM25" i="2"/>
  <c r="AL25" i="2"/>
  <c r="AK25" i="2"/>
  <c r="CA25" i="2" s="1"/>
  <c r="CB25" i="2" s="1"/>
  <c r="AO24" i="2"/>
  <c r="AN24" i="2"/>
  <c r="BK24" i="2" s="1"/>
  <c r="AM24" i="2"/>
  <c r="AL24" i="2"/>
  <c r="BG24" i="2" s="1"/>
  <c r="AK24" i="2"/>
  <c r="AP24" i="2" s="1"/>
  <c r="F40" i="2" a="1"/>
  <c r="F40" i="2" s="1"/>
  <c r="R47" i="2" s="1"/>
  <c r="FZ11" i="2"/>
  <c r="U14" i="2" a="1"/>
  <c r="BO32" i="2"/>
  <c r="BO86" i="2"/>
  <c r="AJ237" i="2" a="1"/>
  <c r="AJ234" i="2" a="1"/>
  <c r="AJ229" i="2" a="1"/>
  <c r="BP86" i="2"/>
  <c r="BP32" i="2"/>
  <c r="AJ232" i="2" a="1"/>
  <c r="AJ224" i="2" a="1"/>
  <c r="AJ219" i="2" a="1"/>
  <c r="AJ214" i="2" a="1"/>
  <c r="AJ209" i="2" a="1"/>
  <c r="AJ204" i="2" a="1"/>
  <c r="AJ199" i="2" a="1"/>
  <c r="AJ194" i="2" a="1"/>
  <c r="AJ189" i="2" a="1"/>
  <c r="AJ184" i="2" a="1"/>
  <c r="AJ179" i="2" a="1"/>
  <c r="AJ174" i="2" a="1"/>
  <c r="AJ169" i="2" a="1"/>
  <c r="AJ164" i="2" a="1"/>
  <c r="AJ159" i="2" a="1"/>
  <c r="AJ154" i="2" a="1"/>
  <c r="AJ149" i="2" a="1"/>
  <c r="AJ144" i="2" a="1"/>
  <c r="AJ139" i="2" a="1"/>
  <c r="AJ134" i="2" a="1"/>
  <c r="AJ129" i="2" a="1"/>
  <c r="AJ124" i="2" a="1"/>
  <c r="AJ119" i="2" a="1"/>
  <c r="AJ114" i="2" a="1"/>
  <c r="AJ109" i="2" a="1"/>
  <c r="AJ104" i="2" a="1"/>
  <c r="AJ99" i="2" a="1"/>
  <c r="AJ94" i="2" a="1"/>
  <c r="AJ226" i="2" a="1"/>
  <c r="AJ221" i="2" a="1"/>
  <c r="AJ216" i="2" a="1"/>
  <c r="AJ211" i="2" a="1"/>
  <c r="AJ206" i="2" a="1"/>
  <c r="AJ201" i="2" a="1"/>
  <c r="AJ196" i="2" a="1"/>
  <c r="AJ191" i="2" a="1"/>
  <c r="AJ186" i="2" a="1"/>
  <c r="AJ181" i="2" a="1"/>
  <c r="AJ176" i="2" a="1"/>
  <c r="AJ171" i="2" a="1"/>
  <c r="AJ166" i="2" a="1"/>
  <c r="AJ161" i="2" a="1"/>
  <c r="AJ156" i="2" a="1"/>
  <c r="AJ151" i="2" a="1"/>
  <c r="AJ146" i="2" a="1"/>
  <c r="AJ141" i="2" a="1"/>
  <c r="AJ136" i="2" a="1"/>
  <c r="AJ131" i="2" a="1"/>
  <c r="AJ126" i="2" a="1"/>
  <c r="AJ121" i="2" a="1"/>
  <c r="AJ233" i="2" a="1"/>
  <c r="AJ132" i="2" a="1"/>
  <c r="AJ89" i="2" a="1"/>
  <c r="AJ84" i="2" a="1"/>
  <c r="AJ79" i="2" a="1"/>
  <c r="AJ74" i="2" a="1"/>
  <c r="AJ69" i="2" a="1"/>
  <c r="AJ64" i="2" a="1"/>
  <c r="AJ59" i="2" a="1"/>
  <c r="AJ54" i="2" a="1"/>
  <c r="AJ49" i="2" a="1"/>
  <c r="AJ44" i="2" a="1"/>
  <c r="AJ39" i="2" a="1"/>
  <c r="AJ34" i="2" a="1"/>
  <c r="AJ29" i="2" a="1"/>
  <c r="AJ24" i="2" a="1"/>
  <c r="AJ142" i="2" a="1"/>
  <c r="AJ85" i="2" a="1"/>
  <c r="AJ45" i="2" a="1"/>
  <c r="AJ192" i="2" a="1"/>
  <c r="AJ158" i="2" a="1"/>
  <c r="AJ107" i="2" a="1"/>
  <c r="AJ71" i="2" a="1"/>
  <c r="AJ26" i="2" a="1"/>
  <c r="AJ38" i="2" a="1"/>
  <c r="AJ227" i="2" a="1"/>
  <c r="AJ198" i="2" a="1"/>
  <c r="AJ195" i="2" a="1"/>
  <c r="AJ173" i="2" a="1"/>
  <c r="AJ155" i="2" a="1"/>
  <c r="AJ152" i="2" a="1"/>
  <c r="AJ143" i="2" a="1"/>
  <c r="AJ115" i="2" a="1"/>
  <c r="AJ76" i="2" a="1"/>
  <c r="AJ46" i="2" a="1"/>
  <c r="AJ36" i="2" a="1"/>
  <c r="AJ200" i="2" a="1"/>
  <c r="AJ178" i="2" a="1"/>
  <c r="AJ103" i="2" a="1"/>
  <c r="AJ235" i="2" a="1"/>
  <c r="AJ80" i="2" a="1"/>
  <c r="AJ30" i="2" a="1"/>
  <c r="AJ230" i="2" a="1"/>
  <c r="AJ170" i="2" a="1"/>
  <c r="AJ167" i="2" a="1"/>
  <c r="AJ140" i="2" a="1"/>
  <c r="AJ123" i="2" a="1"/>
  <c r="AJ81" i="2" a="1"/>
  <c r="AJ66" i="2" a="1"/>
  <c r="AJ56" i="2" a="1"/>
  <c r="AJ31" i="2" a="1"/>
  <c r="AJ172" i="2" a="1"/>
  <c r="AJ90" i="2" a="1"/>
  <c r="AJ65" i="2" a="1"/>
  <c r="AJ25" i="2" a="1"/>
  <c r="AJ236" i="2" a="1"/>
  <c r="AJ217" i="2" a="1"/>
  <c r="AJ112" i="2" a="1"/>
  <c r="AJ91" i="2" a="1"/>
  <c r="AJ86" i="2" a="1"/>
  <c r="AJ61" i="2" a="1"/>
  <c r="AJ51" i="2" a="1"/>
  <c r="AJ41" i="2" a="1"/>
  <c r="AJ28" i="2" a="1"/>
  <c r="AJ203" i="2" a="1"/>
  <c r="AJ175" i="2" a="1"/>
  <c r="AJ133" i="2" a="1"/>
  <c r="AJ75" i="2" a="1"/>
  <c r="AJ50" i="2" a="1"/>
  <c r="AJ220" i="2" a="1"/>
  <c r="AJ182" i="2" a="1"/>
  <c r="AJ137" i="2" a="1"/>
  <c r="AJ120" i="2" a="1"/>
  <c r="AJ96" i="2" a="1"/>
  <c r="AJ23" i="2" a="1"/>
  <c r="AJ60" i="2" a="1"/>
  <c r="AJ223" i="2" a="1"/>
  <c r="AJ207" i="2" a="1"/>
  <c r="AJ188" i="2" a="1"/>
  <c r="AJ185" i="2" a="1"/>
  <c r="AJ101" i="2" a="1"/>
  <c r="AJ210" i="2" a="1"/>
  <c r="AJ128" i="2" a="1"/>
  <c r="AJ117" i="2" a="1"/>
  <c r="AJ78" i="2" a="1"/>
  <c r="AJ68" i="2" a="1"/>
  <c r="AJ63" i="2" a="1"/>
  <c r="AJ58" i="2" a="1"/>
  <c r="AJ53" i="2" a="1"/>
  <c r="AJ48" i="2" a="1"/>
  <c r="AJ43" i="2" a="1"/>
  <c r="AJ33" i="2" a="1"/>
  <c r="AJ35" i="2" a="1"/>
  <c r="AJ213" i="2" a="1"/>
  <c r="AJ163" i="2" a="1"/>
  <c r="AJ148" i="2" a="1"/>
  <c r="AJ106" i="2" a="1"/>
  <c r="AJ93" i="2" a="1"/>
  <c r="AJ88" i="2" a="1"/>
  <c r="AJ83" i="2" a="1"/>
  <c r="AJ73" i="2" a="1"/>
  <c r="AJ70" i="2" a="1"/>
  <c r="AJ197" i="2" a="1"/>
  <c r="AJ160" i="2" a="1"/>
  <c r="AJ157" i="2" a="1"/>
  <c r="AJ145" i="2" a="1"/>
  <c r="AJ125" i="2" a="1"/>
  <c r="AJ98" i="2" a="1"/>
  <c r="AJ238" i="2" a="1"/>
  <c r="AJ40" i="2" a="1"/>
  <c r="AJ122" i="2" a="1"/>
  <c r="AJ111" i="2" a="1"/>
  <c r="AJ55" i="2" a="1"/>
  <c r="AJ168" i="2" a="1"/>
  <c r="AJ130" i="2" a="1"/>
  <c r="AJ105" i="2" a="1"/>
  <c r="AJ67" i="2" a="1"/>
  <c r="AJ222" i="2" a="1"/>
  <c r="AJ218" i="2" a="1"/>
  <c r="AJ113" i="2" a="1"/>
  <c r="AJ215" i="2" a="1"/>
  <c r="AJ108" i="2" a="1"/>
  <c r="AJ77" i="2" a="1"/>
  <c r="AJ212" i="2" a="1"/>
  <c r="AJ177" i="2" a="1"/>
  <c r="AJ187" i="2" a="1"/>
  <c r="AJ32" i="2" a="1"/>
  <c r="AJ82" i="2" a="1"/>
  <c r="AJ102" i="2" a="1"/>
  <c r="AJ180" i="2" a="1"/>
  <c r="AJ183" i="2" a="1"/>
  <c r="AJ118" i="2" a="1"/>
  <c r="AJ87" i="2" a="1"/>
  <c r="AJ208" i="2" a="1"/>
  <c r="AJ47" i="2" a="1"/>
  <c r="AJ57" i="2" a="1"/>
  <c r="AJ225" i="2" a="1"/>
  <c r="AJ42" i="2" a="1"/>
  <c r="AJ147" i="2" a="1"/>
  <c r="AJ95" i="2" a="1"/>
  <c r="AJ202" i="2" a="1"/>
  <c r="AJ97" i="2" a="1"/>
  <c r="AJ72" i="2" a="1"/>
  <c r="AJ150" i="2" a="1"/>
  <c r="AJ190" i="2" a="1"/>
  <c r="AJ52" i="2" a="1"/>
  <c r="AJ92" i="2" a="1"/>
  <c r="AJ127" i="2" a="1"/>
  <c r="AJ62" i="2" a="1"/>
  <c r="AJ110" i="2" a="1"/>
  <c r="AJ162" i="2" a="1"/>
  <c r="AJ231" i="2" a="1"/>
  <c r="AJ116" i="2" a="1"/>
  <c r="AJ165" i="2" a="1"/>
  <c r="AJ205" i="2" a="1"/>
  <c r="AJ100" i="2" a="1"/>
  <c r="AJ27" i="2" a="1"/>
  <c r="AJ135" i="2" a="1"/>
  <c r="AJ37" i="2" a="1"/>
  <c r="AJ138" i="2" a="1"/>
  <c r="AJ153" i="2" a="1"/>
  <c r="AJ228" i="2" a="1"/>
  <c r="AJ193" i="2" a="1"/>
  <c r="R48" i="2" l="1"/>
  <c r="R20" i="2"/>
  <c r="AJ193" i="2"/>
  <c r="AJ228" i="2"/>
  <c r="AJ153" i="2"/>
  <c r="AJ138" i="2"/>
  <c r="AJ37" i="2"/>
  <c r="AJ135" i="2"/>
  <c r="AJ27" i="2"/>
  <c r="AJ100" i="2"/>
  <c r="AJ205" i="2"/>
  <c r="AJ165" i="2"/>
  <c r="AJ116" i="2"/>
  <c r="AJ231" i="2"/>
  <c r="AJ162" i="2"/>
  <c r="AJ110" i="2"/>
  <c r="AJ62" i="2"/>
  <c r="AJ127" i="2"/>
  <c r="AJ92" i="2"/>
  <c r="AJ52" i="2"/>
  <c r="AJ190" i="2"/>
  <c r="AJ150" i="2"/>
  <c r="AJ72" i="2"/>
  <c r="AJ97" i="2"/>
  <c r="AJ202" i="2"/>
  <c r="AJ95" i="2"/>
  <c r="AJ147" i="2"/>
  <c r="AJ42" i="2"/>
  <c r="AJ225" i="2"/>
  <c r="AJ57" i="2"/>
  <c r="AJ47" i="2"/>
  <c r="AJ208" i="2"/>
  <c r="AJ87" i="2"/>
  <c r="AJ118" i="2"/>
  <c r="AJ183" i="2"/>
  <c r="AJ180" i="2"/>
  <c r="AJ102" i="2"/>
  <c r="AJ82" i="2"/>
  <c r="AJ32" i="2"/>
  <c r="AJ187" i="2"/>
  <c r="AJ177" i="2"/>
  <c r="AJ212" i="2"/>
  <c r="AJ77" i="2"/>
  <c r="AJ108" i="2"/>
  <c r="AJ215" i="2"/>
  <c r="AJ113" i="2"/>
  <c r="AJ218" i="2"/>
  <c r="AJ222" i="2"/>
  <c r="AJ67" i="2"/>
  <c r="AJ105" i="2"/>
  <c r="AJ130" i="2"/>
  <c r="AJ168" i="2"/>
  <c r="AJ55" i="2"/>
  <c r="AJ111" i="2"/>
  <c r="AJ122" i="2"/>
  <c r="AJ40" i="2"/>
  <c r="AJ238" i="2"/>
  <c r="AJ98" i="2"/>
  <c r="AJ125" i="2"/>
  <c r="AJ145" i="2"/>
  <c r="AJ157" i="2"/>
  <c r="AJ160" i="2"/>
  <c r="AJ197" i="2"/>
  <c r="AJ70" i="2"/>
  <c r="AJ73" i="2"/>
  <c r="AJ83" i="2"/>
  <c r="AJ88" i="2"/>
  <c r="AJ93" i="2"/>
  <c r="AJ106" i="2"/>
  <c r="AJ148" i="2"/>
  <c r="AJ163" i="2"/>
  <c r="AJ213" i="2"/>
  <c r="AJ35" i="2"/>
  <c r="AJ33" i="2"/>
  <c r="AJ43" i="2"/>
  <c r="AJ48" i="2"/>
  <c r="AJ53" i="2"/>
  <c r="AJ58" i="2"/>
  <c r="AJ63" i="2"/>
  <c r="AJ68" i="2"/>
  <c r="AJ78" i="2"/>
  <c r="AJ117" i="2"/>
  <c r="AJ128" i="2"/>
  <c r="AJ210" i="2"/>
  <c r="AJ101" i="2"/>
  <c r="AJ185" i="2"/>
  <c r="AJ188" i="2"/>
  <c r="AJ207" i="2"/>
  <c r="AJ223" i="2"/>
  <c r="AJ60" i="2"/>
  <c r="AJ96" i="2"/>
  <c r="AJ120" i="2"/>
  <c r="AJ137" i="2"/>
  <c r="AJ182" i="2"/>
  <c r="AJ220" i="2"/>
  <c r="AJ50" i="2"/>
  <c r="AJ75" i="2"/>
  <c r="AJ133" i="2"/>
  <c r="AJ175" i="2"/>
  <c r="AJ203" i="2"/>
  <c r="AJ28" i="2"/>
  <c r="AJ41" i="2"/>
  <c r="AJ51" i="2"/>
  <c r="AJ61" i="2"/>
  <c r="AJ86" i="2"/>
  <c r="AJ91" i="2"/>
  <c r="AJ112" i="2"/>
  <c r="AJ217" i="2"/>
  <c r="AJ236" i="2"/>
  <c r="AJ25" i="2"/>
  <c r="AJ65" i="2"/>
  <c r="AJ90" i="2"/>
  <c r="AJ172" i="2"/>
  <c r="AJ31" i="2"/>
  <c r="AJ56" i="2"/>
  <c r="AJ66" i="2"/>
  <c r="AJ81" i="2"/>
  <c r="AJ123" i="2"/>
  <c r="AJ140" i="2"/>
  <c r="AJ167" i="2"/>
  <c r="AJ170" i="2"/>
  <c r="AJ230" i="2"/>
  <c r="AJ30" i="2"/>
  <c r="AJ80" i="2"/>
  <c r="AJ235" i="2"/>
  <c r="AJ103" i="2"/>
  <c r="AJ178" i="2"/>
  <c r="AJ200" i="2"/>
  <c r="AJ36" i="2"/>
  <c r="AJ46" i="2"/>
  <c r="AJ76" i="2"/>
  <c r="AJ115" i="2"/>
  <c r="AJ143" i="2"/>
  <c r="AJ152" i="2"/>
  <c r="AJ155" i="2"/>
  <c r="AJ173" i="2"/>
  <c r="AJ195" i="2"/>
  <c r="AJ198" i="2"/>
  <c r="AJ227" i="2"/>
  <c r="AJ38" i="2"/>
  <c r="AJ26" i="2"/>
  <c r="AJ71" i="2"/>
  <c r="AJ107" i="2"/>
  <c r="AJ158" i="2"/>
  <c r="AJ192" i="2"/>
  <c r="AJ45" i="2"/>
  <c r="AJ85" i="2"/>
  <c r="AJ142" i="2"/>
  <c r="AJ24" i="2"/>
  <c r="AJ29" i="2"/>
  <c r="AJ34" i="2"/>
  <c r="AJ39" i="2"/>
  <c r="AJ44" i="2"/>
  <c r="AJ49" i="2"/>
  <c r="AJ54" i="2"/>
  <c r="AJ59" i="2"/>
  <c r="AJ64" i="2"/>
  <c r="AJ69" i="2"/>
  <c r="AJ74" i="2"/>
  <c r="AJ79" i="2"/>
  <c r="AJ84" i="2"/>
  <c r="AJ89" i="2"/>
  <c r="AJ132" i="2"/>
  <c r="AJ233" i="2"/>
  <c r="AJ121" i="2"/>
  <c r="AJ126" i="2"/>
  <c r="AJ131" i="2"/>
  <c r="AJ136" i="2"/>
  <c r="AJ141" i="2"/>
  <c r="AJ146" i="2"/>
  <c r="AJ151" i="2"/>
  <c r="AJ156" i="2"/>
  <c r="AJ161" i="2"/>
  <c r="AJ166" i="2"/>
  <c r="AJ171" i="2"/>
  <c r="AJ176" i="2"/>
  <c r="AJ181" i="2"/>
  <c r="AJ186" i="2"/>
  <c r="AJ191" i="2"/>
  <c r="AJ196" i="2"/>
  <c r="AJ201" i="2"/>
  <c r="AJ206" i="2"/>
  <c r="AJ211" i="2"/>
  <c r="AJ216" i="2"/>
  <c r="AJ221" i="2"/>
  <c r="AJ226" i="2"/>
  <c r="AJ94" i="2"/>
  <c r="AJ99" i="2"/>
  <c r="AJ104" i="2"/>
  <c r="AJ109" i="2"/>
  <c r="AJ114" i="2"/>
  <c r="AJ119" i="2"/>
  <c r="AJ124" i="2"/>
  <c r="AJ129" i="2"/>
  <c r="AJ134" i="2"/>
  <c r="AJ139" i="2"/>
  <c r="AJ144" i="2"/>
  <c r="AJ149" i="2"/>
  <c r="AJ154" i="2"/>
  <c r="AJ159" i="2"/>
  <c r="AJ164" i="2"/>
  <c r="AJ169" i="2"/>
  <c r="AJ174" i="2"/>
  <c r="AJ179" i="2"/>
  <c r="AJ184" i="2"/>
  <c r="AJ189" i="2"/>
  <c r="AJ194" i="2"/>
  <c r="AJ199" i="2"/>
  <c r="AJ204" i="2"/>
  <c r="AJ209" i="2"/>
  <c r="AJ214" i="2"/>
  <c r="AJ219" i="2"/>
  <c r="AJ224" i="2"/>
  <c r="AJ232" i="2"/>
  <c r="AJ229" i="2"/>
  <c r="AJ234" i="2"/>
  <c r="AJ237" i="2"/>
  <c r="BQ86" i="2"/>
  <c r="BR86" i="2" s="1"/>
  <c r="BS86" i="2" s="1"/>
  <c r="BL86" i="2"/>
  <c r="BM86" i="2" s="1"/>
  <c r="BN86" i="2" s="1"/>
  <c r="BQ32" i="2"/>
  <c r="BR32" i="2" s="1"/>
  <c r="BS32" i="2" s="1"/>
  <c r="BL32" i="2"/>
  <c r="CA94" i="2"/>
  <c r="CB94" i="2" s="1"/>
  <c r="AP94" i="2"/>
  <c r="CC54" i="2"/>
  <c r="CD54" i="2" s="1"/>
  <c r="BZ54" i="2"/>
  <c r="CE54" i="2" s="1"/>
  <c r="CF54" i="2" s="1"/>
  <c r="BZ29" i="2"/>
  <c r="CA131" i="2"/>
  <c r="CB131" i="2" s="1"/>
  <c r="BC99" i="2"/>
  <c r="BB99" i="2"/>
  <c r="BA99" i="2"/>
  <c r="BI99" i="2"/>
  <c r="BF99" i="2"/>
  <c r="BJ99" i="2" s="1"/>
  <c r="BE99" i="2"/>
  <c r="BH99" i="2" s="1"/>
  <c r="BD99" i="2"/>
  <c r="AK99" i="2"/>
  <c r="AP113" i="2"/>
  <c r="AP135" i="2"/>
  <c r="BZ143" i="2"/>
  <c r="BY162" i="2"/>
  <c r="CA212" i="2"/>
  <c r="CB212" i="2" s="1"/>
  <c r="AP212" i="2"/>
  <c r="CA101" i="2"/>
  <c r="CB101" i="2" s="1"/>
  <c r="BF118" i="2"/>
  <c r="BJ118" i="2" s="1"/>
  <c r="BE118" i="2"/>
  <c r="BH118" i="2" s="1"/>
  <c r="BI118" i="2"/>
  <c r="BD118" i="2"/>
  <c r="BC118" i="2"/>
  <c r="BB118" i="2"/>
  <c r="BA118" i="2"/>
  <c r="BI91" i="2"/>
  <c r="BE91" i="2"/>
  <c r="BH91" i="2" s="1"/>
  <c r="BD91" i="2"/>
  <c r="BC91" i="2"/>
  <c r="BF91" i="2"/>
  <c r="BJ91" i="2" s="1"/>
  <c r="BB91" i="2"/>
  <c r="BA91" i="2"/>
  <c r="AK91" i="2"/>
  <c r="AP91" i="2" s="1"/>
  <c r="BF195" i="2"/>
  <c r="BJ195" i="2" s="1"/>
  <c r="BE195" i="2"/>
  <c r="BH195" i="2" s="1"/>
  <c r="BD195" i="2"/>
  <c r="BC195" i="2"/>
  <c r="BB195" i="2"/>
  <c r="BA195" i="2"/>
  <c r="BI195" i="2"/>
  <c r="AK195" i="2"/>
  <c r="AP195" i="2" s="1"/>
  <c r="CA207" i="2"/>
  <c r="CB207" i="2" s="1"/>
  <c r="AP207" i="2"/>
  <c r="BY138" i="2"/>
  <c r="CA122" i="2"/>
  <c r="CB122" i="2" s="1"/>
  <c r="BD227" i="2"/>
  <c r="BC227" i="2"/>
  <c r="BB227" i="2"/>
  <c r="BA227" i="2"/>
  <c r="BI227" i="2"/>
  <c r="BF227" i="2"/>
  <c r="BJ227" i="2" s="1"/>
  <c r="BE227" i="2"/>
  <c r="BH227" i="2" s="1"/>
  <c r="AK227" i="2"/>
  <c r="BI54" i="2"/>
  <c r="BE54" i="2"/>
  <c r="BH54" i="2" s="1"/>
  <c r="BF54" i="2"/>
  <c r="BJ54" i="2" s="1"/>
  <c r="BD54" i="2"/>
  <c r="BC54" i="2"/>
  <c r="BB54" i="2"/>
  <c r="BA54" i="2"/>
  <c r="BI120" i="2"/>
  <c r="BF120" i="2"/>
  <c r="BJ120" i="2" s="1"/>
  <c r="BD120" i="2"/>
  <c r="BC120" i="2"/>
  <c r="BB120" i="2"/>
  <c r="BA120" i="2"/>
  <c r="BE120" i="2"/>
  <c r="BH120" i="2" s="1"/>
  <c r="AK120" i="2"/>
  <c r="AP120" i="2" s="1"/>
  <c r="BI189" i="2"/>
  <c r="BF189" i="2"/>
  <c r="BJ189" i="2" s="1"/>
  <c r="BE189" i="2"/>
  <c r="BH189" i="2" s="1"/>
  <c r="BD189" i="2"/>
  <c r="BC189" i="2"/>
  <c r="BB189" i="2"/>
  <c r="BA189" i="2"/>
  <c r="AK189" i="2"/>
  <c r="AP189" i="2" s="1"/>
  <c r="BI214" i="2"/>
  <c r="BF214" i="2"/>
  <c r="BJ214" i="2" s="1"/>
  <c r="BE214" i="2"/>
  <c r="BH214" i="2" s="1"/>
  <c r="BD214" i="2"/>
  <c r="BC214" i="2"/>
  <c r="BB214" i="2"/>
  <c r="BA214" i="2"/>
  <c r="AK214" i="2"/>
  <c r="AP214" i="2" s="1"/>
  <c r="BI29" i="2"/>
  <c r="BE29" i="2"/>
  <c r="BH29" i="2" s="1"/>
  <c r="BF29" i="2"/>
  <c r="BJ29" i="2" s="1"/>
  <c r="BD29" i="2"/>
  <c r="BC29" i="2"/>
  <c r="BB29" i="2"/>
  <c r="BA29" i="2"/>
  <c r="BF26" i="2"/>
  <c r="BJ26" i="2" s="1"/>
  <c r="BE26" i="2"/>
  <c r="BH26" i="2" s="1"/>
  <c r="BA26" i="2"/>
  <c r="BI26" i="2"/>
  <c r="BC26" i="2"/>
  <c r="BB26" i="2"/>
  <c r="AK26" i="2"/>
  <c r="AP26" i="2" s="1"/>
  <c r="BI74" i="2"/>
  <c r="BF74" i="2"/>
  <c r="BJ74" i="2" s="1"/>
  <c r="BE74" i="2"/>
  <c r="BH74" i="2" s="1"/>
  <c r="BD74" i="2"/>
  <c r="BC74" i="2"/>
  <c r="BB74" i="2"/>
  <c r="BA74" i="2"/>
  <c r="CA79" i="2"/>
  <c r="CB79" i="2" s="1"/>
  <c r="BD192" i="2"/>
  <c r="BC192" i="2"/>
  <c r="BB192" i="2"/>
  <c r="BA192" i="2"/>
  <c r="BI192" i="2"/>
  <c r="BF192" i="2"/>
  <c r="BJ192" i="2" s="1"/>
  <c r="BE192" i="2"/>
  <c r="BH192" i="2" s="1"/>
  <c r="BW24" i="2"/>
  <c r="BY24" i="2" s="1"/>
  <c r="BF61" i="2"/>
  <c r="BJ61" i="2" s="1"/>
  <c r="BE61" i="2"/>
  <c r="BH61" i="2" s="1"/>
  <c r="BD61" i="2"/>
  <c r="BB61" i="2"/>
  <c r="BA61" i="2"/>
  <c r="BI61" i="2"/>
  <c r="BC61" i="2"/>
  <c r="AK61" i="2"/>
  <c r="AP61" i="2" s="1"/>
  <c r="CA147" i="2"/>
  <c r="CB147" i="2" s="1"/>
  <c r="AP147" i="2"/>
  <c r="CC25" i="2"/>
  <c r="CD25" i="2" s="1"/>
  <c r="BZ25" i="2"/>
  <c r="CE25" i="2" s="1"/>
  <c r="CF25" i="2" s="1"/>
  <c r="BI44" i="2"/>
  <c r="BE44" i="2"/>
  <c r="BH44" i="2" s="1"/>
  <c r="BF44" i="2"/>
  <c r="BJ44" i="2" s="1"/>
  <c r="BD44" i="2"/>
  <c r="BC44" i="2"/>
  <c r="BB44" i="2"/>
  <c r="BA44" i="2"/>
  <c r="BY72" i="2"/>
  <c r="BI96" i="2"/>
  <c r="BF96" i="2"/>
  <c r="BJ96" i="2" s="1"/>
  <c r="BD96" i="2"/>
  <c r="BC96" i="2"/>
  <c r="BB96" i="2"/>
  <c r="BE96" i="2"/>
  <c r="BH96" i="2" s="1"/>
  <c r="BA96" i="2"/>
  <c r="AK96" i="2"/>
  <c r="AP96" i="2" s="1"/>
  <c r="CA29" i="2"/>
  <c r="CB29" i="2" s="1"/>
  <c r="BF137" i="2"/>
  <c r="BJ137" i="2" s="1"/>
  <c r="BE137" i="2"/>
  <c r="BH137" i="2" s="1"/>
  <c r="BD137" i="2"/>
  <c r="BC137" i="2"/>
  <c r="BB137" i="2"/>
  <c r="BA137" i="2"/>
  <c r="BI137" i="2"/>
  <c r="AK137" i="2"/>
  <c r="BI164" i="2"/>
  <c r="BF164" i="2"/>
  <c r="BJ164" i="2" s="1"/>
  <c r="BE164" i="2"/>
  <c r="BH164" i="2" s="1"/>
  <c r="BB164" i="2"/>
  <c r="BA164" i="2"/>
  <c r="AK164" i="2"/>
  <c r="AP164" i="2" s="1"/>
  <c r="BD164" i="2"/>
  <c r="BC164" i="2"/>
  <c r="BI39" i="2"/>
  <c r="BE39" i="2"/>
  <c r="BH39" i="2" s="1"/>
  <c r="BD39" i="2"/>
  <c r="BC39" i="2"/>
  <c r="BB39" i="2"/>
  <c r="BA39" i="2"/>
  <c r="BF39" i="2"/>
  <c r="BJ39" i="2" s="1"/>
  <c r="BF36" i="2"/>
  <c r="BJ36" i="2" s="1"/>
  <c r="BE36" i="2"/>
  <c r="BH36" i="2" s="1"/>
  <c r="BA36" i="2"/>
  <c r="BI36" i="2"/>
  <c r="BD36" i="2"/>
  <c r="BC36" i="2"/>
  <c r="AK36" i="2"/>
  <c r="AP36" i="2" s="1"/>
  <c r="BB36" i="2"/>
  <c r="BF81" i="2"/>
  <c r="BJ81" i="2" s="1"/>
  <c r="BE81" i="2"/>
  <c r="BH81" i="2" s="1"/>
  <c r="BD81" i="2"/>
  <c r="BC81" i="2"/>
  <c r="BB81" i="2"/>
  <c r="BA81" i="2"/>
  <c r="BI81" i="2"/>
  <c r="AK81" i="2"/>
  <c r="AP81" i="2" s="1"/>
  <c r="BE112" i="2"/>
  <c r="BH112" i="2" s="1"/>
  <c r="BD112" i="2"/>
  <c r="BC112" i="2"/>
  <c r="BB112" i="2"/>
  <c r="BI112" i="2"/>
  <c r="BF112" i="2"/>
  <c r="BJ112" i="2" s="1"/>
  <c r="BA112" i="2"/>
  <c r="AK112" i="2"/>
  <c r="BF146" i="2"/>
  <c r="BJ146" i="2" s="1"/>
  <c r="BI146" i="2"/>
  <c r="BE146" i="2"/>
  <c r="BH146" i="2" s="1"/>
  <c r="BD146" i="2"/>
  <c r="BC146" i="2"/>
  <c r="BB146" i="2"/>
  <c r="BA146" i="2"/>
  <c r="AK146" i="2"/>
  <c r="BF51" i="2"/>
  <c r="BJ51" i="2" s="1"/>
  <c r="BE51" i="2"/>
  <c r="BH51" i="2" s="1"/>
  <c r="BD51" i="2"/>
  <c r="BA51" i="2"/>
  <c r="BI51" i="2"/>
  <c r="BC51" i="2"/>
  <c r="BB51" i="2"/>
  <c r="AK51" i="2"/>
  <c r="AP51" i="2" s="1"/>
  <c r="BZ65" i="2"/>
  <c r="CC65" i="2"/>
  <c r="CD65" i="2" s="1"/>
  <c r="BF41" i="2"/>
  <c r="BJ41" i="2" s="1"/>
  <c r="BE41" i="2"/>
  <c r="BH41" i="2" s="1"/>
  <c r="BD41" i="2"/>
  <c r="BA41" i="2"/>
  <c r="BC41" i="2"/>
  <c r="BB41" i="2"/>
  <c r="BI41" i="2"/>
  <c r="AK41" i="2"/>
  <c r="AP41" i="2" s="1"/>
  <c r="AP62" i="2"/>
  <c r="CA69" i="2"/>
  <c r="CB69" i="2" s="1"/>
  <c r="BC89" i="2"/>
  <c r="BB89" i="2"/>
  <c r="BA89" i="2"/>
  <c r="BF89" i="2"/>
  <c r="BJ89" i="2" s="1"/>
  <c r="BE89" i="2"/>
  <c r="BH89" i="2" s="1"/>
  <c r="BD89" i="2"/>
  <c r="BI89" i="2"/>
  <c r="BY110" i="2"/>
  <c r="AP144" i="2"/>
  <c r="CA205" i="2"/>
  <c r="CB205" i="2" s="1"/>
  <c r="AP205" i="2"/>
  <c r="BF220" i="2"/>
  <c r="BJ220" i="2" s="1"/>
  <c r="BE220" i="2"/>
  <c r="BH220" i="2" s="1"/>
  <c r="BD220" i="2"/>
  <c r="BC220" i="2"/>
  <c r="BB220" i="2"/>
  <c r="BA220" i="2"/>
  <c r="BI220" i="2"/>
  <c r="AK220" i="2"/>
  <c r="AP220" i="2" s="1"/>
  <c r="BI224" i="2"/>
  <c r="BF224" i="2"/>
  <c r="BJ224" i="2" s="1"/>
  <c r="BE224" i="2"/>
  <c r="BH224" i="2" s="1"/>
  <c r="BD224" i="2"/>
  <c r="BC224" i="2"/>
  <c r="BB224" i="2"/>
  <c r="BA224" i="2"/>
  <c r="AK224" i="2"/>
  <c r="AP224" i="2" s="1"/>
  <c r="BX59" i="2"/>
  <c r="CA59" i="2" s="1"/>
  <c r="CB59" i="2" s="1"/>
  <c r="BW59" i="2"/>
  <c r="BY59" i="2" s="1"/>
  <c r="BF46" i="2"/>
  <c r="BJ46" i="2" s="1"/>
  <c r="BE46" i="2"/>
  <c r="BH46" i="2" s="1"/>
  <c r="BD46" i="2"/>
  <c r="BA46" i="2"/>
  <c r="BI46" i="2"/>
  <c r="BB46" i="2"/>
  <c r="BC46" i="2"/>
  <c r="AK46" i="2"/>
  <c r="AP46" i="2" s="1"/>
  <c r="BI234" i="2"/>
  <c r="BD234" i="2"/>
  <c r="BC234" i="2"/>
  <c r="BB234" i="2"/>
  <c r="BA234" i="2"/>
  <c r="BF234" i="2"/>
  <c r="BJ234" i="2" s="1"/>
  <c r="BE234" i="2"/>
  <c r="BH234" i="2" s="1"/>
  <c r="AK234" i="2"/>
  <c r="AP234" i="2" s="1"/>
  <c r="BZ69" i="2"/>
  <c r="BI86" i="2"/>
  <c r="BF86" i="2"/>
  <c r="BJ86" i="2" s="1"/>
  <c r="BE86" i="2"/>
  <c r="BH86" i="2" s="1"/>
  <c r="AK86" i="2"/>
  <c r="CC144" i="2"/>
  <c r="CD144" i="2" s="1"/>
  <c r="BZ144" i="2"/>
  <c r="BF170" i="2"/>
  <c r="BJ170" i="2" s="1"/>
  <c r="BE170" i="2"/>
  <c r="BH170" i="2" s="1"/>
  <c r="BD170" i="2"/>
  <c r="BC170" i="2"/>
  <c r="BB170" i="2"/>
  <c r="BA170" i="2"/>
  <c r="BI170" i="2"/>
  <c r="AK170" i="2"/>
  <c r="AP170" i="2" s="1"/>
  <c r="CA180" i="2"/>
  <c r="CB180" i="2" s="1"/>
  <c r="AP180" i="2"/>
  <c r="BC84" i="2"/>
  <c r="BB84" i="2"/>
  <c r="BA84" i="2"/>
  <c r="BI84" i="2"/>
  <c r="BF84" i="2"/>
  <c r="BJ84" i="2" s="1"/>
  <c r="BE84" i="2"/>
  <c r="BH84" i="2" s="1"/>
  <c r="BD84" i="2"/>
  <c r="BF123" i="2"/>
  <c r="BJ123" i="2" s="1"/>
  <c r="BE123" i="2"/>
  <c r="BH123" i="2" s="1"/>
  <c r="BI123" i="2"/>
  <c r="BD123" i="2"/>
  <c r="BB123" i="2"/>
  <c r="BA123" i="2"/>
  <c r="BC123" i="2"/>
  <c r="AK123" i="2"/>
  <c r="AP123" i="2" s="1"/>
  <c r="CA162" i="2"/>
  <c r="CB162" i="2" s="1"/>
  <c r="AP162" i="2"/>
  <c r="BI155" i="2"/>
  <c r="BF155" i="2"/>
  <c r="BJ155" i="2" s="1"/>
  <c r="BE155" i="2"/>
  <c r="BH155" i="2" s="1"/>
  <c r="BD155" i="2"/>
  <c r="BC155" i="2"/>
  <c r="BB155" i="2"/>
  <c r="BA155" i="2"/>
  <c r="AK155" i="2"/>
  <c r="AP155" i="2" s="1"/>
  <c r="BB182" i="2"/>
  <c r="BA182" i="2"/>
  <c r="BF182" i="2"/>
  <c r="BJ182" i="2" s="1"/>
  <c r="BI182" i="2"/>
  <c r="BE182" i="2"/>
  <c r="BH182" i="2" s="1"/>
  <c r="BD182" i="2"/>
  <c r="BC182" i="2"/>
  <c r="AK182" i="2"/>
  <c r="AP182" i="2" s="1"/>
  <c r="BD26" i="2"/>
  <c r="BM32" i="2"/>
  <c r="BN32" i="2" s="1"/>
  <c r="BZ62" i="2"/>
  <c r="CA192" i="2"/>
  <c r="CB192" i="2" s="1"/>
  <c r="AP192" i="2"/>
  <c r="BY64" i="2"/>
  <c r="AP134" i="2"/>
  <c r="BF31" i="2"/>
  <c r="BJ31" i="2" s="1"/>
  <c r="BE31" i="2"/>
  <c r="BH31" i="2" s="1"/>
  <c r="BA31" i="2"/>
  <c r="BB31" i="2"/>
  <c r="BC31" i="2"/>
  <c r="AK31" i="2"/>
  <c r="AP31" i="2" s="1"/>
  <c r="BI31" i="2"/>
  <c r="BD31" i="2"/>
  <c r="BI24" i="2"/>
  <c r="BE24" i="2"/>
  <c r="BH24" i="2" s="1"/>
  <c r="BB24" i="2"/>
  <c r="BF24" i="2"/>
  <c r="BJ24" i="2" s="1"/>
  <c r="BD24" i="2"/>
  <c r="BC24" i="2"/>
  <c r="BA24" i="2"/>
  <c r="BF76" i="2"/>
  <c r="BJ76" i="2" s="1"/>
  <c r="BE76" i="2"/>
  <c r="BH76" i="2" s="1"/>
  <c r="BD76" i="2"/>
  <c r="BB76" i="2"/>
  <c r="BA76" i="2"/>
  <c r="BC76" i="2"/>
  <c r="BI76" i="2"/>
  <c r="AK76" i="2"/>
  <c r="AP76" i="2" s="1"/>
  <c r="BE107" i="2"/>
  <c r="BH107" i="2" s="1"/>
  <c r="BD107" i="2"/>
  <c r="BI107" i="2"/>
  <c r="BF107" i="2"/>
  <c r="BJ107" i="2" s="1"/>
  <c r="BB107" i="2"/>
  <c r="BC107" i="2"/>
  <c r="BA107" i="2"/>
  <c r="BI110" i="2"/>
  <c r="BF110" i="2"/>
  <c r="BJ110" i="2" s="1"/>
  <c r="BD110" i="2"/>
  <c r="BC110" i="2"/>
  <c r="BB110" i="2"/>
  <c r="BA110" i="2"/>
  <c r="BE110" i="2"/>
  <c r="BH110" i="2" s="1"/>
  <c r="BZ198" i="2"/>
  <c r="CA202" i="2"/>
  <c r="CB202" i="2" s="1"/>
  <c r="AP202" i="2"/>
  <c r="CC55" i="2"/>
  <c r="CD55" i="2" s="1"/>
  <c r="BZ55" i="2"/>
  <c r="BZ60" i="2"/>
  <c r="BI115" i="2"/>
  <c r="BF115" i="2"/>
  <c r="BJ115" i="2" s="1"/>
  <c r="BD115" i="2"/>
  <c r="BC115" i="2"/>
  <c r="BB115" i="2"/>
  <c r="BA115" i="2"/>
  <c r="BE115" i="2"/>
  <c r="BH115" i="2" s="1"/>
  <c r="AK115" i="2"/>
  <c r="AP115" i="2" s="1"/>
  <c r="BY67" i="2"/>
  <c r="BF230" i="2"/>
  <c r="BJ230" i="2" s="1"/>
  <c r="BE230" i="2"/>
  <c r="BH230" i="2" s="1"/>
  <c r="BD230" i="2"/>
  <c r="BC230" i="2"/>
  <c r="BB230" i="2"/>
  <c r="BA230" i="2"/>
  <c r="BI230" i="2"/>
  <c r="AK230" i="2"/>
  <c r="AP230" i="2" s="1"/>
  <c r="BY192" i="2"/>
  <c r="BY177" i="2"/>
  <c r="AP89" i="2"/>
  <c r="BC79" i="2"/>
  <c r="BA79" i="2"/>
  <c r="BI79" i="2"/>
  <c r="BD79" i="2"/>
  <c r="BB79" i="2"/>
  <c r="BF79" i="2"/>
  <c r="BJ79" i="2" s="1"/>
  <c r="BE79" i="2"/>
  <c r="BH79" i="2" s="1"/>
  <c r="AP42" i="2"/>
  <c r="BI69" i="2"/>
  <c r="BF69" i="2"/>
  <c r="BJ69" i="2" s="1"/>
  <c r="BE69" i="2"/>
  <c r="BH69" i="2" s="1"/>
  <c r="BD69" i="2"/>
  <c r="BC69" i="2"/>
  <c r="BB69" i="2"/>
  <c r="BA69" i="2"/>
  <c r="BI121" i="2"/>
  <c r="BF121" i="2"/>
  <c r="BJ121" i="2" s="1"/>
  <c r="BE121" i="2"/>
  <c r="BH121" i="2" s="1"/>
  <c r="BC121" i="2"/>
  <c r="BB121" i="2"/>
  <c r="BA121" i="2"/>
  <c r="BD121" i="2"/>
  <c r="BI140" i="2"/>
  <c r="BF140" i="2"/>
  <c r="BJ140" i="2" s="1"/>
  <c r="BE140" i="2"/>
  <c r="BH140" i="2" s="1"/>
  <c r="BD140" i="2"/>
  <c r="BC140" i="2"/>
  <c r="BB140" i="2"/>
  <c r="BA140" i="2"/>
  <c r="AK140" i="2"/>
  <c r="AP140" i="2" s="1"/>
  <c r="BY202" i="2"/>
  <c r="BG237" i="2"/>
  <c r="BW237" i="2" s="1"/>
  <c r="BY237" i="2" s="1"/>
  <c r="AP237" i="2"/>
  <c r="BW35" i="2"/>
  <c r="BY35" i="2" s="1"/>
  <c r="BZ40" i="2"/>
  <c r="BW45" i="2"/>
  <c r="BY45" i="2" s="1"/>
  <c r="CA116" i="2"/>
  <c r="CB116" i="2" s="1"/>
  <c r="BC94" i="2"/>
  <c r="BB94" i="2"/>
  <c r="BA94" i="2"/>
  <c r="BI94" i="2"/>
  <c r="BE94" i="2"/>
  <c r="BH94" i="2" s="1"/>
  <c r="BD94" i="2"/>
  <c r="CA67" i="2"/>
  <c r="CB67" i="2" s="1"/>
  <c r="AP67" i="2"/>
  <c r="BB149" i="2"/>
  <c r="BA149" i="2"/>
  <c r="BI149" i="2"/>
  <c r="BF149" i="2"/>
  <c r="BJ149" i="2" s="1"/>
  <c r="BD149" i="2"/>
  <c r="BC149" i="2"/>
  <c r="BE149" i="2"/>
  <c r="BH149" i="2" s="1"/>
  <c r="AK149" i="2"/>
  <c r="AP149" i="2" s="1"/>
  <c r="BF71" i="2"/>
  <c r="BJ71" i="2" s="1"/>
  <c r="BE71" i="2"/>
  <c r="BH71" i="2" s="1"/>
  <c r="BD71" i="2"/>
  <c r="BB71" i="2"/>
  <c r="BA71" i="2"/>
  <c r="BI71" i="2"/>
  <c r="BC71" i="2"/>
  <c r="AK71" i="2"/>
  <c r="AP71" i="2" s="1"/>
  <c r="BW37" i="2"/>
  <c r="BY37" i="2" s="1"/>
  <c r="BI64" i="2"/>
  <c r="BF64" i="2"/>
  <c r="BJ64" i="2" s="1"/>
  <c r="BE64" i="2"/>
  <c r="BH64" i="2" s="1"/>
  <c r="BD64" i="2"/>
  <c r="BC64" i="2"/>
  <c r="BB64" i="2"/>
  <c r="BA64" i="2"/>
  <c r="BI34" i="2"/>
  <c r="BE34" i="2"/>
  <c r="BH34" i="2" s="1"/>
  <c r="BD34" i="2"/>
  <c r="BF34" i="2"/>
  <c r="BJ34" i="2" s="1"/>
  <c r="BC34" i="2"/>
  <c r="BB34" i="2"/>
  <c r="BA34" i="2"/>
  <c r="BF132" i="2"/>
  <c r="BJ132" i="2" s="1"/>
  <c r="BE132" i="2"/>
  <c r="BH132" i="2" s="1"/>
  <c r="BD132" i="2"/>
  <c r="BC132" i="2"/>
  <c r="BB132" i="2"/>
  <c r="BA132" i="2"/>
  <c r="BI132" i="2"/>
  <c r="BF66" i="2"/>
  <c r="BJ66" i="2" s="1"/>
  <c r="BE66" i="2"/>
  <c r="BH66" i="2" s="1"/>
  <c r="BD66" i="2"/>
  <c r="BB66" i="2"/>
  <c r="BA66" i="2"/>
  <c r="BI66" i="2"/>
  <c r="BC66" i="2"/>
  <c r="AK66" i="2"/>
  <c r="AP66" i="2" s="1"/>
  <c r="AP69" i="2"/>
  <c r="AP87" i="2"/>
  <c r="BA104" i="2"/>
  <c r="BE104" i="2"/>
  <c r="BH104" i="2" s="1"/>
  <c r="BF104" i="2"/>
  <c r="BJ104" i="2" s="1"/>
  <c r="BD104" i="2"/>
  <c r="BC104" i="2"/>
  <c r="BB104" i="2"/>
  <c r="BI104" i="2"/>
  <c r="AK104" i="2"/>
  <c r="AP104" i="2" s="1"/>
  <c r="AK118" i="2"/>
  <c r="AP118" i="2" s="1"/>
  <c r="BA129" i="2"/>
  <c r="BF129" i="2"/>
  <c r="BJ129" i="2" s="1"/>
  <c r="BE129" i="2"/>
  <c r="BH129" i="2" s="1"/>
  <c r="BC129" i="2"/>
  <c r="BI129" i="2"/>
  <c r="BD129" i="2"/>
  <c r="BB129" i="2"/>
  <c r="BB167" i="2"/>
  <c r="BA167" i="2"/>
  <c r="BI167" i="2"/>
  <c r="BF167" i="2"/>
  <c r="BJ167" i="2" s="1"/>
  <c r="BE167" i="2"/>
  <c r="BH167" i="2" s="1"/>
  <c r="BD167" i="2"/>
  <c r="BC167" i="2"/>
  <c r="AK167" i="2"/>
  <c r="AP167" i="2" s="1"/>
  <c r="AP183" i="2"/>
  <c r="BD217" i="2"/>
  <c r="BC217" i="2"/>
  <c r="BB217" i="2"/>
  <c r="BA217" i="2"/>
  <c r="BI217" i="2"/>
  <c r="BF217" i="2"/>
  <c r="BJ217" i="2" s="1"/>
  <c r="BE217" i="2"/>
  <c r="BH217" i="2" s="1"/>
  <c r="AK217" i="2"/>
  <c r="BW116" i="2"/>
  <c r="BY116" i="2" s="1"/>
  <c r="BI49" i="2"/>
  <c r="BE49" i="2"/>
  <c r="BH49" i="2" s="1"/>
  <c r="BD49" i="2"/>
  <c r="BC49" i="2"/>
  <c r="BF49" i="2"/>
  <c r="BJ49" i="2" s="1"/>
  <c r="BB49" i="2"/>
  <c r="BA49" i="2"/>
  <c r="BY218" i="2"/>
  <c r="BY227" i="2"/>
  <c r="BF94" i="2"/>
  <c r="BJ94" i="2" s="1"/>
  <c r="AK39" i="2"/>
  <c r="AP39" i="2" s="1"/>
  <c r="BI59" i="2"/>
  <c r="BF59" i="2"/>
  <c r="BJ59" i="2" s="1"/>
  <c r="BE59" i="2"/>
  <c r="BH59" i="2" s="1"/>
  <c r="BC59" i="2"/>
  <c r="BB59" i="2"/>
  <c r="BA59" i="2"/>
  <c r="BD59" i="2"/>
  <c r="BZ87" i="2"/>
  <c r="BF152" i="2"/>
  <c r="BJ152" i="2" s="1"/>
  <c r="BE152" i="2"/>
  <c r="BH152" i="2" s="1"/>
  <c r="BD152" i="2"/>
  <c r="BC152" i="2"/>
  <c r="BB152" i="2"/>
  <c r="BA152" i="2"/>
  <c r="BI152" i="2"/>
  <c r="AK152" i="2"/>
  <c r="AP152" i="2" s="1"/>
  <c r="BY26" i="2"/>
  <c r="BY131" i="2"/>
  <c r="BF56" i="2"/>
  <c r="BJ56" i="2" s="1"/>
  <c r="BE56" i="2"/>
  <c r="BH56" i="2" s="1"/>
  <c r="BD56" i="2"/>
  <c r="BA56" i="2"/>
  <c r="BC56" i="2"/>
  <c r="BB56" i="2"/>
  <c r="BI56" i="2"/>
  <c r="AK56" i="2"/>
  <c r="AP56" i="2" s="1"/>
  <c r="AP77" i="2"/>
  <c r="AK84" i="2"/>
  <c r="AP84" i="2" s="1"/>
  <c r="BI126" i="2"/>
  <c r="BE126" i="2"/>
  <c r="BH126" i="2" s="1"/>
  <c r="BD126" i="2"/>
  <c r="BC126" i="2"/>
  <c r="BB126" i="2"/>
  <c r="BF126" i="2"/>
  <c r="BJ126" i="2" s="1"/>
  <c r="BA126" i="2"/>
  <c r="AK126" i="2"/>
  <c r="AP126" i="2" s="1"/>
  <c r="CA26" i="2"/>
  <c r="CB26" i="2" s="1"/>
  <c r="BF97" i="2"/>
  <c r="BJ97" i="2" s="1"/>
  <c r="BE97" i="2"/>
  <c r="BH97" i="2" s="1"/>
  <c r="BD97" i="2"/>
  <c r="BC97" i="2"/>
  <c r="BB97" i="2"/>
  <c r="BA97" i="2"/>
  <c r="BI97" i="2"/>
  <c r="AP108" i="2"/>
  <c r="BA124" i="2"/>
  <c r="BI124" i="2"/>
  <c r="BF124" i="2"/>
  <c r="BJ124" i="2" s="1"/>
  <c r="BE124" i="2"/>
  <c r="BH124" i="2" s="1"/>
  <c r="BD124" i="2"/>
  <c r="BC124" i="2"/>
  <c r="BB124" i="2"/>
  <c r="BB144" i="2"/>
  <c r="BA144" i="2"/>
  <c r="BI144" i="2"/>
  <c r="BF144" i="2"/>
  <c r="BJ144" i="2" s="1"/>
  <c r="BD144" i="2"/>
  <c r="BC144" i="2"/>
  <c r="BE144" i="2"/>
  <c r="BH144" i="2" s="1"/>
  <c r="BY153" i="2"/>
  <c r="BI159" i="2"/>
  <c r="BD159" i="2"/>
  <c r="BC159" i="2"/>
  <c r="BF159" i="2"/>
  <c r="BJ159" i="2" s="1"/>
  <c r="BE159" i="2"/>
  <c r="BH159" i="2" s="1"/>
  <c r="BB159" i="2"/>
  <c r="BA159" i="2"/>
  <c r="AK159" i="2"/>
  <c r="AP159" i="2" s="1"/>
  <c r="BB177" i="2"/>
  <c r="BA177" i="2"/>
  <c r="BD177" i="2"/>
  <c r="BC177" i="2"/>
  <c r="BI177" i="2"/>
  <c r="BF177" i="2"/>
  <c r="BJ177" i="2" s="1"/>
  <c r="BE177" i="2"/>
  <c r="BH177" i="2" s="1"/>
  <c r="CA187" i="2"/>
  <c r="CB187" i="2" s="1"/>
  <c r="AP187" i="2"/>
  <c r="BY193" i="2"/>
  <c r="BD202" i="2"/>
  <c r="BC202" i="2"/>
  <c r="BB202" i="2"/>
  <c r="BA202" i="2"/>
  <c r="BI202" i="2"/>
  <c r="BF202" i="2"/>
  <c r="BJ202" i="2" s="1"/>
  <c r="BE202" i="2"/>
  <c r="BH202" i="2" s="1"/>
  <c r="CA222" i="2"/>
  <c r="CB222" i="2" s="1"/>
  <c r="AP222" i="2"/>
  <c r="CA231" i="2"/>
  <c r="CB231" i="2" s="1"/>
  <c r="AP231" i="2"/>
  <c r="CA28" i="2"/>
  <c r="CB28" i="2" s="1"/>
  <c r="BF58" i="2"/>
  <c r="BJ58" i="2" s="1"/>
  <c r="BX60" i="2"/>
  <c r="CA60" i="2" s="1"/>
  <c r="CB60" i="2" s="1"/>
  <c r="BW70" i="2"/>
  <c r="BY70" i="2" s="1"/>
  <c r="CA72" i="2"/>
  <c r="CB72" i="2" s="1"/>
  <c r="BF141" i="2"/>
  <c r="BJ141" i="2" s="1"/>
  <c r="BB141" i="2"/>
  <c r="BA141" i="2"/>
  <c r="BI141" i="2"/>
  <c r="BE141" i="2"/>
  <c r="BH141" i="2" s="1"/>
  <c r="AK141" i="2"/>
  <c r="AP141" i="2" s="1"/>
  <c r="BD141" i="2"/>
  <c r="BC141" i="2"/>
  <c r="BW75" i="2"/>
  <c r="BY75" i="2" s="1"/>
  <c r="BF82" i="2"/>
  <c r="BJ82" i="2" s="1"/>
  <c r="BE82" i="2"/>
  <c r="BH82" i="2" s="1"/>
  <c r="BI82" i="2"/>
  <c r="BC82" i="2"/>
  <c r="BB82" i="2"/>
  <c r="BA82" i="2"/>
  <c r="BD82" i="2"/>
  <c r="BY80" i="2"/>
  <c r="BY111" i="2"/>
  <c r="BI116" i="2"/>
  <c r="BF116" i="2"/>
  <c r="BJ116" i="2" s="1"/>
  <c r="BE116" i="2"/>
  <c r="BH116" i="2" s="1"/>
  <c r="BD116" i="2"/>
  <c r="BC116" i="2"/>
  <c r="BA116" i="2"/>
  <c r="BB116" i="2"/>
  <c r="BE127" i="2"/>
  <c r="BH127" i="2" s="1"/>
  <c r="BD127" i="2"/>
  <c r="BC127" i="2"/>
  <c r="BB127" i="2"/>
  <c r="BI127" i="2"/>
  <c r="BF127" i="2"/>
  <c r="BJ127" i="2" s="1"/>
  <c r="BA127" i="2"/>
  <c r="BY133" i="2"/>
  <c r="BI150" i="2"/>
  <c r="BF150" i="2"/>
  <c r="BJ150" i="2" s="1"/>
  <c r="BE150" i="2"/>
  <c r="BH150" i="2" s="1"/>
  <c r="BD150" i="2"/>
  <c r="BC150" i="2"/>
  <c r="BB150" i="2"/>
  <c r="BA150" i="2"/>
  <c r="BI209" i="2"/>
  <c r="BD209" i="2"/>
  <c r="BC209" i="2"/>
  <c r="BB209" i="2"/>
  <c r="BA209" i="2"/>
  <c r="BF209" i="2"/>
  <c r="BJ209" i="2" s="1"/>
  <c r="BE209" i="2"/>
  <c r="BH209" i="2" s="1"/>
  <c r="AK209" i="2"/>
  <c r="AP209" i="2" s="1"/>
  <c r="BD212" i="2"/>
  <c r="BC212" i="2"/>
  <c r="BB212" i="2"/>
  <c r="BA212" i="2"/>
  <c r="BI212" i="2"/>
  <c r="BF212" i="2"/>
  <c r="BJ212" i="2" s="1"/>
  <c r="BE212" i="2"/>
  <c r="BH212" i="2" s="1"/>
  <c r="BY235" i="2"/>
  <c r="CC28" i="2"/>
  <c r="CD28" i="2" s="1"/>
  <c r="CE28" i="2" s="1"/>
  <c r="CF28" i="2" s="1"/>
  <c r="BX30" i="2"/>
  <c r="CA30" i="2" s="1"/>
  <c r="CB30" i="2" s="1"/>
  <c r="BW30" i="2"/>
  <c r="BY30" i="2" s="1"/>
  <c r="BW46" i="2"/>
  <c r="BY46" i="2" s="1"/>
  <c r="BW73" i="2"/>
  <c r="BY73" i="2" s="1"/>
  <c r="CA87" i="2"/>
  <c r="CB87" i="2" s="1"/>
  <c r="CA144" i="2"/>
  <c r="CB144" i="2" s="1"/>
  <c r="BZ119" i="2"/>
  <c r="CA46" i="2"/>
  <c r="CB46" i="2" s="1"/>
  <c r="CA103" i="2"/>
  <c r="CB103" i="2" s="1"/>
  <c r="AP103" i="2"/>
  <c r="BY139" i="2"/>
  <c r="BI184" i="2"/>
  <c r="BF184" i="2"/>
  <c r="BJ184" i="2" s="1"/>
  <c r="BE184" i="2"/>
  <c r="BH184" i="2" s="1"/>
  <c r="BD184" i="2"/>
  <c r="BC184" i="2"/>
  <c r="BB184" i="2"/>
  <c r="BA184" i="2"/>
  <c r="AK184" i="2"/>
  <c r="AP184" i="2" s="1"/>
  <c r="BF190" i="2"/>
  <c r="BJ190" i="2" s="1"/>
  <c r="BE190" i="2"/>
  <c r="BH190" i="2" s="1"/>
  <c r="BD190" i="2"/>
  <c r="BC190" i="2"/>
  <c r="BB190" i="2"/>
  <c r="BA190" i="2"/>
  <c r="BI190" i="2"/>
  <c r="BF225" i="2"/>
  <c r="BJ225" i="2" s="1"/>
  <c r="BE225" i="2"/>
  <c r="BH225" i="2" s="1"/>
  <c r="BD225" i="2"/>
  <c r="BC225" i="2"/>
  <c r="BB225" i="2"/>
  <c r="BA225" i="2"/>
  <c r="BI225" i="2"/>
  <c r="BY232" i="2"/>
  <c r="BB27" i="2"/>
  <c r="CA32" i="2"/>
  <c r="CB32" i="2" s="1"/>
  <c r="BD68" i="2"/>
  <c r="CA126" i="2"/>
  <c r="CB126" i="2" s="1"/>
  <c r="BE102" i="2"/>
  <c r="BH102" i="2" s="1"/>
  <c r="BD102" i="2"/>
  <c r="BI102" i="2"/>
  <c r="BC102" i="2"/>
  <c r="BF102" i="2"/>
  <c r="BJ102" i="2" s="1"/>
  <c r="BB102" i="2"/>
  <c r="BA102" i="2"/>
  <c r="BI135" i="2"/>
  <c r="BF135" i="2"/>
  <c r="BJ135" i="2" s="1"/>
  <c r="BE135" i="2"/>
  <c r="BH135" i="2" s="1"/>
  <c r="BD135" i="2"/>
  <c r="BC135" i="2"/>
  <c r="BB135" i="2"/>
  <c r="BA135" i="2"/>
  <c r="BB162" i="2"/>
  <c r="BA162" i="2"/>
  <c r="BF162" i="2"/>
  <c r="BJ162" i="2" s="1"/>
  <c r="BI162" i="2"/>
  <c r="BE162" i="2"/>
  <c r="BH162" i="2" s="1"/>
  <c r="BD162" i="2"/>
  <c r="BC162" i="2"/>
  <c r="BI100" i="2"/>
  <c r="BE100" i="2"/>
  <c r="BH100" i="2" s="1"/>
  <c r="BC100" i="2"/>
  <c r="BB100" i="2"/>
  <c r="BI95" i="2"/>
  <c r="BF95" i="2"/>
  <c r="BJ95" i="2" s="1"/>
  <c r="BE95" i="2"/>
  <c r="BH95" i="2" s="1"/>
  <c r="BD95" i="2"/>
  <c r="BA95" i="2"/>
  <c r="BF108" i="2"/>
  <c r="BJ108" i="2" s="1"/>
  <c r="BE108" i="2"/>
  <c r="BH108" i="2" s="1"/>
  <c r="BI108" i="2"/>
  <c r="BD108" i="2"/>
  <c r="BC108" i="2"/>
  <c r="BB108" i="2"/>
  <c r="BA108" i="2"/>
  <c r="BA119" i="2"/>
  <c r="BI119" i="2"/>
  <c r="BF119" i="2"/>
  <c r="BJ119" i="2" s="1"/>
  <c r="BD119" i="2"/>
  <c r="BC119" i="2"/>
  <c r="BB119" i="2"/>
  <c r="BE119" i="2"/>
  <c r="BH119" i="2" s="1"/>
  <c r="BF130" i="2"/>
  <c r="BJ130" i="2" s="1"/>
  <c r="BE130" i="2"/>
  <c r="BH130" i="2" s="1"/>
  <c r="BI130" i="2"/>
  <c r="BD130" i="2"/>
  <c r="BC130" i="2"/>
  <c r="BB130" i="2"/>
  <c r="BA130" i="2"/>
  <c r="BF136" i="2"/>
  <c r="BJ136" i="2" s="1"/>
  <c r="BI136" i="2"/>
  <c r="BE136" i="2"/>
  <c r="BH136" i="2" s="1"/>
  <c r="BD136" i="2"/>
  <c r="BC136" i="2"/>
  <c r="BB136" i="2"/>
  <c r="BA136" i="2"/>
  <c r="AK136" i="2"/>
  <c r="AP136" i="2" s="1"/>
  <c r="BY154" i="2"/>
  <c r="CA160" i="2"/>
  <c r="CB160" i="2" s="1"/>
  <c r="BY172" i="2"/>
  <c r="BD187" i="2"/>
  <c r="BC187" i="2"/>
  <c r="BB187" i="2"/>
  <c r="BA187" i="2"/>
  <c r="BE187" i="2"/>
  <c r="BH187" i="2" s="1"/>
  <c r="BI187" i="2"/>
  <c r="BF187" i="2"/>
  <c r="BJ187" i="2" s="1"/>
  <c r="CA197" i="2"/>
  <c r="CB197" i="2" s="1"/>
  <c r="AP197" i="2"/>
  <c r="CA206" i="2"/>
  <c r="CB206" i="2" s="1"/>
  <c r="AP206" i="2"/>
  <c r="BI219" i="2"/>
  <c r="BF219" i="2"/>
  <c r="BJ219" i="2" s="1"/>
  <c r="BE219" i="2"/>
  <c r="BH219" i="2" s="1"/>
  <c r="BD219" i="2"/>
  <c r="BC219" i="2"/>
  <c r="BB219" i="2"/>
  <c r="BA219" i="2"/>
  <c r="AK219" i="2"/>
  <c r="AP219" i="2" s="1"/>
  <c r="BD222" i="2"/>
  <c r="BC222" i="2"/>
  <c r="BB222" i="2"/>
  <c r="BA222" i="2"/>
  <c r="BF222" i="2"/>
  <c r="BJ222" i="2" s="1"/>
  <c r="BE222" i="2"/>
  <c r="BH222" i="2" s="1"/>
  <c r="BI222" i="2"/>
  <c r="BE68" i="2"/>
  <c r="BH68" i="2" s="1"/>
  <c r="BW126" i="2"/>
  <c r="BY126" i="2" s="1"/>
  <c r="BI199" i="2"/>
  <c r="BF199" i="2"/>
  <c r="BJ199" i="2" s="1"/>
  <c r="BE199" i="2"/>
  <c r="BH199" i="2" s="1"/>
  <c r="BD199" i="2"/>
  <c r="BC199" i="2"/>
  <c r="BB199" i="2"/>
  <c r="BA199" i="2"/>
  <c r="AK199" i="2"/>
  <c r="AP199" i="2" s="1"/>
  <c r="CA64" i="2"/>
  <c r="CB64" i="2" s="1"/>
  <c r="BX151" i="2"/>
  <c r="BW151" i="2"/>
  <c r="BI37" i="2"/>
  <c r="BD37" i="2"/>
  <c r="BC37" i="2"/>
  <c r="BF37" i="2"/>
  <c r="BJ37" i="2" s="1"/>
  <c r="BE37" i="2"/>
  <c r="BH37" i="2" s="1"/>
  <c r="BB37" i="2"/>
  <c r="BA37" i="2"/>
  <c r="BI77" i="2"/>
  <c r="BB77" i="2"/>
  <c r="BA77" i="2"/>
  <c r="BD77" i="2"/>
  <c r="BC77" i="2"/>
  <c r="BZ187" i="2"/>
  <c r="BF215" i="2"/>
  <c r="BJ215" i="2" s="1"/>
  <c r="BE215" i="2"/>
  <c r="BH215" i="2" s="1"/>
  <c r="BD215" i="2"/>
  <c r="BC215" i="2"/>
  <c r="BB215" i="2"/>
  <c r="BA215" i="2"/>
  <c r="BI215" i="2"/>
  <c r="BI60" i="2"/>
  <c r="BF60" i="2"/>
  <c r="BJ60" i="2" s="1"/>
  <c r="BE60" i="2"/>
  <c r="BH60" i="2" s="1"/>
  <c r="BD60" i="2"/>
  <c r="BC60" i="2"/>
  <c r="BB60" i="2"/>
  <c r="BA60" i="2"/>
  <c r="BI65" i="2"/>
  <c r="BF65" i="2"/>
  <c r="BJ65" i="2" s="1"/>
  <c r="BE65" i="2"/>
  <c r="BH65" i="2" s="1"/>
  <c r="BD65" i="2"/>
  <c r="BC65" i="2"/>
  <c r="BB65" i="2"/>
  <c r="BA65" i="2"/>
  <c r="BF70" i="2"/>
  <c r="BJ70" i="2" s="1"/>
  <c r="BE70" i="2"/>
  <c r="BH70" i="2" s="1"/>
  <c r="BI70" i="2"/>
  <c r="BD70" i="2"/>
  <c r="BC70" i="2"/>
  <c r="BB70" i="2"/>
  <c r="BA70" i="2"/>
  <c r="BF75" i="2"/>
  <c r="BJ75" i="2" s="1"/>
  <c r="BE75" i="2"/>
  <c r="BH75" i="2" s="1"/>
  <c r="BD75" i="2"/>
  <c r="BB75" i="2"/>
  <c r="BA75" i="2"/>
  <c r="BI80" i="2"/>
  <c r="BF80" i="2"/>
  <c r="BJ80" i="2" s="1"/>
  <c r="BE80" i="2"/>
  <c r="BH80" i="2" s="1"/>
  <c r="BD80" i="2"/>
  <c r="BC80" i="2"/>
  <c r="BA80" i="2"/>
  <c r="BB80" i="2"/>
  <c r="BI85" i="2"/>
  <c r="BF85" i="2"/>
  <c r="BJ85" i="2" s="1"/>
  <c r="BE85" i="2"/>
  <c r="BH85" i="2" s="1"/>
  <c r="BD85" i="2"/>
  <c r="BC85" i="2"/>
  <c r="BA85" i="2"/>
  <c r="BB85" i="2"/>
  <c r="BI90" i="2"/>
  <c r="BF90" i="2"/>
  <c r="BJ90" i="2" s="1"/>
  <c r="BE90" i="2"/>
  <c r="BH90" i="2" s="1"/>
  <c r="BD90" i="2"/>
  <c r="BC90" i="2"/>
  <c r="BB90" i="2"/>
  <c r="BY98" i="2"/>
  <c r="BI111" i="2"/>
  <c r="BE111" i="2"/>
  <c r="BH111" i="2" s="1"/>
  <c r="BD111" i="2"/>
  <c r="BC111" i="2"/>
  <c r="BB111" i="2"/>
  <c r="BA111" i="2"/>
  <c r="BF111" i="2"/>
  <c r="BJ111" i="2" s="1"/>
  <c r="AP148" i="2"/>
  <c r="AP163" i="2"/>
  <c r="BY197" i="2"/>
  <c r="AP213" i="2"/>
  <c r="BF235" i="2"/>
  <c r="BJ235" i="2" s="1"/>
  <c r="BE235" i="2"/>
  <c r="BH235" i="2" s="1"/>
  <c r="BD235" i="2"/>
  <c r="BC235" i="2"/>
  <c r="BB235" i="2"/>
  <c r="BA235" i="2"/>
  <c r="BI235" i="2"/>
  <c r="BX34" i="2"/>
  <c r="CA34" i="2" s="1"/>
  <c r="CB34" i="2" s="1"/>
  <c r="BW34" i="2"/>
  <c r="BY34" i="2" s="1"/>
  <c r="BX91" i="2"/>
  <c r="CA91" i="2" s="1"/>
  <c r="CB91" i="2" s="1"/>
  <c r="BW91" i="2"/>
  <c r="BY91" i="2" s="1"/>
  <c r="BF180" i="2"/>
  <c r="BJ180" i="2" s="1"/>
  <c r="BE180" i="2"/>
  <c r="BH180" i="2" s="1"/>
  <c r="BD180" i="2"/>
  <c r="BC180" i="2"/>
  <c r="BB180" i="2"/>
  <c r="BA180" i="2"/>
  <c r="BI180" i="2"/>
  <c r="BW79" i="2"/>
  <c r="BY79" i="2" s="1"/>
  <c r="BI52" i="2"/>
  <c r="BB52" i="2"/>
  <c r="BA52" i="2"/>
  <c r="BF52" i="2"/>
  <c r="BJ52" i="2" s="1"/>
  <c r="BE52" i="2"/>
  <c r="BH52" i="2" s="1"/>
  <c r="BD52" i="2"/>
  <c r="BC52" i="2"/>
  <c r="BF87" i="2"/>
  <c r="BJ87" i="2" s="1"/>
  <c r="BE87" i="2"/>
  <c r="BH87" i="2" s="1"/>
  <c r="BI87" i="2"/>
  <c r="BD87" i="2"/>
  <c r="BA87" i="2"/>
  <c r="BF113" i="2"/>
  <c r="BJ113" i="2" s="1"/>
  <c r="BE113" i="2"/>
  <c r="BH113" i="2" s="1"/>
  <c r="BD113" i="2"/>
  <c r="BC113" i="2"/>
  <c r="BB113" i="2"/>
  <c r="BA113" i="2"/>
  <c r="BI113" i="2"/>
  <c r="AP65" i="2"/>
  <c r="BE122" i="2"/>
  <c r="BH122" i="2" s="1"/>
  <c r="BD122" i="2"/>
  <c r="BC122" i="2"/>
  <c r="BB122" i="2"/>
  <c r="BI122" i="2"/>
  <c r="BF122" i="2"/>
  <c r="BJ122" i="2" s="1"/>
  <c r="BA122" i="2"/>
  <c r="AP128" i="2"/>
  <c r="BB139" i="2"/>
  <c r="BA139" i="2"/>
  <c r="BI139" i="2"/>
  <c r="BF139" i="2"/>
  <c r="BJ139" i="2" s="1"/>
  <c r="BE139" i="2"/>
  <c r="BH139" i="2" s="1"/>
  <c r="BC139" i="2"/>
  <c r="BD139" i="2"/>
  <c r="CC148" i="2"/>
  <c r="CD148" i="2" s="1"/>
  <c r="BZ148" i="2"/>
  <c r="BI169" i="2"/>
  <c r="BF169" i="2"/>
  <c r="BJ169" i="2" s="1"/>
  <c r="BE169" i="2"/>
  <c r="BH169" i="2" s="1"/>
  <c r="BD169" i="2"/>
  <c r="BC169" i="2"/>
  <c r="BB169" i="2"/>
  <c r="BA169" i="2"/>
  <c r="AK169" i="2"/>
  <c r="AP169" i="2" s="1"/>
  <c r="BI229" i="2"/>
  <c r="BF229" i="2"/>
  <c r="BJ229" i="2" s="1"/>
  <c r="BE229" i="2"/>
  <c r="BH229" i="2" s="1"/>
  <c r="BD229" i="2"/>
  <c r="BC229" i="2"/>
  <c r="BB229" i="2"/>
  <c r="BA229" i="2"/>
  <c r="AK229" i="2"/>
  <c r="AP229" i="2" s="1"/>
  <c r="BD232" i="2"/>
  <c r="BC232" i="2"/>
  <c r="BB232" i="2"/>
  <c r="BA232" i="2"/>
  <c r="BI232" i="2"/>
  <c r="BF232" i="2"/>
  <c r="BJ232" i="2" s="1"/>
  <c r="BE232" i="2"/>
  <c r="BH232" i="2" s="1"/>
  <c r="AP235" i="2"/>
  <c r="AP238" i="2"/>
  <c r="BW36" i="2"/>
  <c r="BX44" i="2"/>
  <c r="CA44" i="2" s="1"/>
  <c r="CB44" i="2" s="1"/>
  <c r="BW44" i="2"/>
  <c r="BY44" i="2" s="1"/>
  <c r="BY212" i="2"/>
  <c r="CA204" i="2"/>
  <c r="CB204" i="2" s="1"/>
  <c r="BB103" i="2"/>
  <c r="BA103" i="2"/>
  <c r="BI103" i="2"/>
  <c r="BF103" i="2"/>
  <c r="BJ103" i="2" s="1"/>
  <c r="BC103" i="2"/>
  <c r="BF142" i="2"/>
  <c r="BJ142" i="2" s="1"/>
  <c r="BE142" i="2"/>
  <c r="BH142" i="2" s="1"/>
  <c r="BD142" i="2"/>
  <c r="BC142" i="2"/>
  <c r="BB142" i="2"/>
  <c r="BA142" i="2"/>
  <c r="BI142" i="2"/>
  <c r="BF151" i="2"/>
  <c r="BJ151" i="2" s="1"/>
  <c r="BE151" i="2"/>
  <c r="BH151" i="2" s="1"/>
  <c r="BD151" i="2"/>
  <c r="BC151" i="2"/>
  <c r="BB151" i="2"/>
  <c r="BA151" i="2"/>
  <c r="AK151" i="2"/>
  <c r="AP151" i="2" s="1"/>
  <c r="BB154" i="2"/>
  <c r="BA154" i="2"/>
  <c r="BI154" i="2"/>
  <c r="BF154" i="2"/>
  <c r="BJ154" i="2" s="1"/>
  <c r="BE154" i="2"/>
  <c r="BH154" i="2" s="1"/>
  <c r="BC154" i="2"/>
  <c r="BD154" i="2"/>
  <c r="AK154" i="2"/>
  <c r="AP154" i="2" s="1"/>
  <c r="BB172" i="2"/>
  <c r="BA172" i="2"/>
  <c r="BI172" i="2"/>
  <c r="BF172" i="2"/>
  <c r="BJ172" i="2" s="1"/>
  <c r="BE172" i="2"/>
  <c r="BH172" i="2" s="1"/>
  <c r="BC172" i="2"/>
  <c r="BF175" i="2"/>
  <c r="BJ175" i="2" s="1"/>
  <c r="BE175" i="2"/>
  <c r="BH175" i="2" s="1"/>
  <c r="BD175" i="2"/>
  <c r="BC175" i="2"/>
  <c r="BB175" i="2"/>
  <c r="BA175" i="2"/>
  <c r="BI175" i="2"/>
  <c r="BI194" i="2"/>
  <c r="BF194" i="2"/>
  <c r="BJ194" i="2" s="1"/>
  <c r="BE194" i="2"/>
  <c r="BH194" i="2" s="1"/>
  <c r="BD194" i="2"/>
  <c r="BC194" i="2"/>
  <c r="BB194" i="2"/>
  <c r="BA194" i="2"/>
  <c r="AK194" i="2"/>
  <c r="BF200" i="2"/>
  <c r="BJ200" i="2" s="1"/>
  <c r="BE200" i="2"/>
  <c r="BH200" i="2" s="1"/>
  <c r="BD200" i="2"/>
  <c r="BC200" i="2"/>
  <c r="BB200" i="2"/>
  <c r="BA200" i="2"/>
  <c r="BI200" i="2"/>
  <c r="AP223" i="2"/>
  <c r="AP232" i="2"/>
  <c r="CA47" i="2"/>
  <c r="CB47" i="2" s="1"/>
  <c r="BW49" i="2"/>
  <c r="BY49" i="2" s="1"/>
  <c r="BW58" i="2"/>
  <c r="BY58" i="2" s="1"/>
  <c r="BE77" i="2"/>
  <c r="BH77" i="2" s="1"/>
  <c r="BW84" i="2"/>
  <c r="BY84" i="2" s="1"/>
  <c r="BA100" i="2"/>
  <c r="CA111" i="2"/>
  <c r="CB111" i="2" s="1"/>
  <c r="BF147" i="2"/>
  <c r="BJ147" i="2" s="1"/>
  <c r="BE147" i="2"/>
  <c r="BH147" i="2" s="1"/>
  <c r="BD147" i="2"/>
  <c r="BC147" i="2"/>
  <c r="BB147" i="2"/>
  <c r="BA147" i="2"/>
  <c r="BI147" i="2"/>
  <c r="BE25" i="2"/>
  <c r="BH25" i="2" s="1"/>
  <c r="BD25" i="2"/>
  <c r="BC25" i="2"/>
  <c r="BB25" i="2"/>
  <c r="BA25" i="2"/>
  <c r="BI40" i="2"/>
  <c r="BE40" i="2"/>
  <c r="BH40" i="2" s="1"/>
  <c r="BD40" i="2"/>
  <c r="BC40" i="2"/>
  <c r="BB40" i="2"/>
  <c r="BA40" i="2"/>
  <c r="BI55" i="2"/>
  <c r="BF55" i="2"/>
  <c r="BJ55" i="2" s="1"/>
  <c r="BE55" i="2"/>
  <c r="BH55" i="2" s="1"/>
  <c r="BD55" i="2"/>
  <c r="BC55" i="2"/>
  <c r="AP25" i="2"/>
  <c r="BA114" i="2"/>
  <c r="BF114" i="2"/>
  <c r="BJ114" i="2" s="1"/>
  <c r="BE114" i="2"/>
  <c r="BH114" i="2" s="1"/>
  <c r="BD114" i="2"/>
  <c r="BB114" i="2"/>
  <c r="BI114" i="2"/>
  <c r="BC114" i="2"/>
  <c r="BI98" i="2"/>
  <c r="BA98" i="2"/>
  <c r="BF98" i="2"/>
  <c r="BJ98" i="2" s="1"/>
  <c r="BD98" i="2"/>
  <c r="BC98" i="2"/>
  <c r="BA106" i="2"/>
  <c r="BD106" i="2"/>
  <c r="BC106" i="2"/>
  <c r="BB106" i="2"/>
  <c r="BI106" i="2"/>
  <c r="BF106" i="2"/>
  <c r="BJ106" i="2" s="1"/>
  <c r="BE106" i="2"/>
  <c r="BH106" i="2" s="1"/>
  <c r="BI125" i="2"/>
  <c r="BF125" i="2"/>
  <c r="BJ125" i="2" s="1"/>
  <c r="BD125" i="2"/>
  <c r="BC125" i="2"/>
  <c r="BB125" i="2"/>
  <c r="BA125" i="2"/>
  <c r="BE125" i="2"/>
  <c r="BH125" i="2" s="1"/>
  <c r="BY134" i="2"/>
  <c r="BI145" i="2"/>
  <c r="BF145" i="2"/>
  <c r="BJ145" i="2" s="1"/>
  <c r="BE145" i="2"/>
  <c r="BH145" i="2" s="1"/>
  <c r="BD145" i="2"/>
  <c r="BC145" i="2"/>
  <c r="BA145" i="2"/>
  <c r="BB145" i="2"/>
  <c r="BF157" i="2"/>
  <c r="BJ157" i="2" s="1"/>
  <c r="BE157" i="2"/>
  <c r="BH157" i="2" s="1"/>
  <c r="BD157" i="2"/>
  <c r="BC157" i="2"/>
  <c r="BB157" i="2"/>
  <c r="BA157" i="2"/>
  <c r="BI157" i="2"/>
  <c r="BF160" i="2"/>
  <c r="BJ160" i="2" s="1"/>
  <c r="BE160" i="2"/>
  <c r="BH160" i="2" s="1"/>
  <c r="BD160" i="2"/>
  <c r="BC160" i="2"/>
  <c r="BB160" i="2"/>
  <c r="BA160" i="2"/>
  <c r="BI160" i="2"/>
  <c r="BD197" i="2"/>
  <c r="BC197" i="2"/>
  <c r="BB197" i="2"/>
  <c r="BA197" i="2"/>
  <c r="BF197" i="2"/>
  <c r="BJ197" i="2" s="1"/>
  <c r="BE197" i="2"/>
  <c r="BH197" i="2" s="1"/>
  <c r="BI197" i="2"/>
  <c r="BY207" i="2"/>
  <c r="CC223" i="2"/>
  <c r="CD223" i="2" s="1"/>
  <c r="BZ223" i="2"/>
  <c r="CE223" i="2" s="1"/>
  <c r="CF223" i="2" s="1"/>
  <c r="BW27" i="2"/>
  <c r="BY27" i="2" s="1"/>
  <c r="BX42" i="2"/>
  <c r="CA42" i="2" s="1"/>
  <c r="CB42" i="2" s="1"/>
  <c r="BW42" i="2"/>
  <c r="BY42" i="2" s="1"/>
  <c r="CA49" i="2"/>
  <c r="CB49" i="2" s="1"/>
  <c r="BW68" i="2"/>
  <c r="BY68" i="2" s="1"/>
  <c r="BF77" i="2"/>
  <c r="BJ77" i="2" s="1"/>
  <c r="CA84" i="2"/>
  <c r="CB84" i="2" s="1"/>
  <c r="BD100" i="2"/>
  <c r="CA128" i="2"/>
  <c r="CB128" i="2" s="1"/>
  <c r="BA174" i="2"/>
  <c r="BI174" i="2"/>
  <c r="BF174" i="2"/>
  <c r="BJ174" i="2" s="1"/>
  <c r="BE174" i="2"/>
  <c r="BH174" i="2" s="1"/>
  <c r="BD174" i="2"/>
  <c r="BC174" i="2"/>
  <c r="BB174" i="2"/>
  <c r="AK174" i="2"/>
  <c r="AP174" i="2" s="1"/>
  <c r="BF205" i="2"/>
  <c r="BJ205" i="2" s="1"/>
  <c r="BE205" i="2"/>
  <c r="BH205" i="2" s="1"/>
  <c r="BD205" i="2"/>
  <c r="BC205" i="2"/>
  <c r="BB205" i="2"/>
  <c r="BA205" i="2"/>
  <c r="BI205" i="2"/>
  <c r="BW39" i="2"/>
  <c r="BY39" i="2" s="1"/>
  <c r="BI32" i="2"/>
  <c r="BI72" i="2"/>
  <c r="BF72" i="2"/>
  <c r="BJ72" i="2" s="1"/>
  <c r="BD72" i="2"/>
  <c r="BC72" i="2"/>
  <c r="BB72" i="2"/>
  <c r="BA72" i="2"/>
  <c r="BI30" i="2"/>
  <c r="BD30" i="2"/>
  <c r="BF30" i="2"/>
  <c r="BJ30" i="2" s="1"/>
  <c r="BE30" i="2"/>
  <c r="BH30" i="2" s="1"/>
  <c r="BC30" i="2"/>
  <c r="BB30" i="2"/>
  <c r="BA30" i="2"/>
  <c r="BI35" i="2"/>
  <c r="BD35" i="2"/>
  <c r="BC35" i="2"/>
  <c r="BI50" i="2"/>
  <c r="BF50" i="2"/>
  <c r="BJ50" i="2" s="1"/>
  <c r="BE50" i="2"/>
  <c r="BH50" i="2" s="1"/>
  <c r="BC28" i="2"/>
  <c r="BB28" i="2"/>
  <c r="BA28" i="2"/>
  <c r="BI28" i="2"/>
  <c r="BF28" i="2"/>
  <c r="BJ28" i="2" s="1"/>
  <c r="BC33" i="2"/>
  <c r="BB33" i="2"/>
  <c r="BA33" i="2"/>
  <c r="BI33" i="2"/>
  <c r="BC38" i="2"/>
  <c r="BB38" i="2"/>
  <c r="BA38" i="2"/>
  <c r="BD38" i="2"/>
  <c r="BI38" i="2"/>
  <c r="BF38" i="2"/>
  <c r="BJ38" i="2" s="1"/>
  <c r="BE38" i="2"/>
  <c r="BH38" i="2" s="1"/>
  <c r="BC43" i="2"/>
  <c r="BB43" i="2"/>
  <c r="BA43" i="2"/>
  <c r="BF43" i="2"/>
  <c r="BJ43" i="2" s="1"/>
  <c r="BE43" i="2"/>
  <c r="BH43" i="2" s="1"/>
  <c r="BD43" i="2"/>
  <c r="BC48" i="2"/>
  <c r="BB48" i="2"/>
  <c r="BA48" i="2"/>
  <c r="BC53" i="2"/>
  <c r="BB53" i="2"/>
  <c r="BA53" i="2"/>
  <c r="BI53" i="2"/>
  <c r="BF53" i="2"/>
  <c r="BJ53" i="2" s="1"/>
  <c r="BE53" i="2"/>
  <c r="BH53" i="2" s="1"/>
  <c r="BD53" i="2"/>
  <c r="BC58" i="2"/>
  <c r="BB58" i="2"/>
  <c r="BA58" i="2"/>
  <c r="BE58" i="2"/>
  <c r="BH58" i="2" s="1"/>
  <c r="BD58" i="2"/>
  <c r="BC63" i="2"/>
  <c r="BB63" i="2"/>
  <c r="BA63" i="2"/>
  <c r="BF63" i="2"/>
  <c r="BJ63" i="2" s="1"/>
  <c r="BE63" i="2"/>
  <c r="BH63" i="2" s="1"/>
  <c r="BC68" i="2"/>
  <c r="BB68" i="2"/>
  <c r="BA68" i="2"/>
  <c r="BI68" i="2"/>
  <c r="BC73" i="2"/>
  <c r="BB73" i="2"/>
  <c r="BA73" i="2"/>
  <c r="BI73" i="2"/>
  <c r="BF73" i="2"/>
  <c r="BJ73" i="2" s="1"/>
  <c r="BE73" i="2"/>
  <c r="BH73" i="2" s="1"/>
  <c r="BD73" i="2"/>
  <c r="BD78" i="2"/>
  <c r="BC78" i="2"/>
  <c r="BB78" i="2"/>
  <c r="BA78" i="2"/>
  <c r="BE78" i="2"/>
  <c r="BH78" i="2" s="1"/>
  <c r="BF78" i="2"/>
  <c r="BJ78" i="2" s="1"/>
  <c r="BB83" i="2"/>
  <c r="BA83" i="2"/>
  <c r="BI83" i="2"/>
  <c r="BF83" i="2"/>
  <c r="BJ83" i="2" s="1"/>
  <c r="BE83" i="2"/>
  <c r="BH83" i="2" s="1"/>
  <c r="BD83" i="2"/>
  <c r="BC83" i="2"/>
  <c r="BE88" i="2"/>
  <c r="BH88" i="2" s="1"/>
  <c r="BD88" i="2"/>
  <c r="BC88" i="2"/>
  <c r="BB88" i="2"/>
  <c r="BI88" i="2"/>
  <c r="BF88" i="2"/>
  <c r="BJ88" i="2" s="1"/>
  <c r="BA88" i="2"/>
  <c r="BA93" i="2"/>
  <c r="BI93" i="2"/>
  <c r="BF93" i="2"/>
  <c r="BJ93" i="2" s="1"/>
  <c r="BC93" i="2"/>
  <c r="BB93" i="2"/>
  <c r="BF131" i="2"/>
  <c r="BJ131" i="2" s="1"/>
  <c r="BE131" i="2"/>
  <c r="BH131" i="2" s="1"/>
  <c r="BC131" i="2"/>
  <c r="BB131" i="2"/>
  <c r="BA131" i="2"/>
  <c r="BD131" i="2"/>
  <c r="BI131" i="2"/>
  <c r="AK131" i="2"/>
  <c r="AP131" i="2" s="1"/>
  <c r="AP160" i="2"/>
  <c r="AP233" i="2"/>
  <c r="BE33" i="2"/>
  <c r="BH33" i="2" s="1"/>
  <c r="BA35" i="2"/>
  <c r="CA40" i="2"/>
  <c r="CB40" i="2" s="1"/>
  <c r="BI43" i="2"/>
  <c r="CA68" i="2"/>
  <c r="CB68" i="2" s="1"/>
  <c r="BD93" i="2"/>
  <c r="BF100" i="2"/>
  <c r="BJ100" i="2" s="1"/>
  <c r="CA102" i="2"/>
  <c r="CB102" i="2" s="1"/>
  <c r="BI47" i="2"/>
  <c r="BC47" i="2"/>
  <c r="BB47" i="2"/>
  <c r="BA47" i="2"/>
  <c r="BE47" i="2"/>
  <c r="BH47" i="2" s="1"/>
  <c r="BD47" i="2"/>
  <c r="BI57" i="2"/>
  <c r="BA57" i="2"/>
  <c r="BI67" i="2"/>
  <c r="BF67" i="2"/>
  <c r="BJ67" i="2" s="1"/>
  <c r="BE67" i="2"/>
  <c r="BH67" i="2" s="1"/>
  <c r="BD67" i="2"/>
  <c r="BA67" i="2"/>
  <c r="BF165" i="2"/>
  <c r="BJ165" i="2" s="1"/>
  <c r="BE165" i="2"/>
  <c r="BH165" i="2" s="1"/>
  <c r="BD165" i="2"/>
  <c r="BC165" i="2"/>
  <c r="BB165" i="2"/>
  <c r="BA165" i="2"/>
  <c r="BI165" i="2"/>
  <c r="BF45" i="2"/>
  <c r="BJ45" i="2" s="1"/>
  <c r="BI45" i="2"/>
  <c r="BE45" i="2"/>
  <c r="BH45" i="2" s="1"/>
  <c r="BD45" i="2"/>
  <c r="BC45" i="2"/>
  <c r="BB45" i="2"/>
  <c r="BA45" i="2"/>
  <c r="AP48" i="2"/>
  <c r="AP53" i="2"/>
  <c r="AP58" i="2"/>
  <c r="BY71" i="2"/>
  <c r="BY76" i="2"/>
  <c r="BA109" i="2"/>
  <c r="BF109" i="2"/>
  <c r="BJ109" i="2" s="1"/>
  <c r="BE109" i="2"/>
  <c r="BH109" i="2" s="1"/>
  <c r="BD109" i="2"/>
  <c r="BC109" i="2"/>
  <c r="BB109" i="2"/>
  <c r="BI109" i="2"/>
  <c r="BE117" i="2"/>
  <c r="BH117" i="2" s="1"/>
  <c r="BD117" i="2"/>
  <c r="BC117" i="2"/>
  <c r="BB117" i="2"/>
  <c r="BI117" i="2"/>
  <c r="BA117" i="2"/>
  <c r="BY146" i="2"/>
  <c r="BY161" i="2"/>
  <c r="BF210" i="2"/>
  <c r="BJ210" i="2" s="1"/>
  <c r="BE210" i="2"/>
  <c r="BH210" i="2" s="1"/>
  <c r="BD210" i="2"/>
  <c r="BC210" i="2"/>
  <c r="BB210" i="2"/>
  <c r="BA210" i="2"/>
  <c r="BI210" i="2"/>
  <c r="BY217" i="2"/>
  <c r="BF33" i="2"/>
  <c r="BJ33" i="2" s="1"/>
  <c r="BB35" i="2"/>
  <c r="BA50" i="2"/>
  <c r="BB57" i="2"/>
  <c r="CA85" i="2"/>
  <c r="CB85" i="2" s="1"/>
  <c r="BE93" i="2"/>
  <c r="BH93" i="2" s="1"/>
  <c r="BW96" i="2"/>
  <c r="BI27" i="2"/>
  <c r="BF27" i="2"/>
  <c r="BJ27" i="2" s="1"/>
  <c r="BA27" i="2"/>
  <c r="BD27" i="2"/>
  <c r="BC27" i="2"/>
  <c r="BI42" i="2"/>
  <c r="BD42" i="2"/>
  <c r="BC42" i="2"/>
  <c r="BF42" i="2"/>
  <c r="BJ42" i="2" s="1"/>
  <c r="BE42" i="2"/>
  <c r="BH42" i="2" s="1"/>
  <c r="BB42" i="2"/>
  <c r="BA42" i="2"/>
  <c r="BI62" i="2"/>
  <c r="BF62" i="2"/>
  <c r="BJ62" i="2" s="1"/>
  <c r="BE62" i="2"/>
  <c r="BH62" i="2" s="1"/>
  <c r="BC62" i="2"/>
  <c r="BB62" i="2"/>
  <c r="BA62" i="2"/>
  <c r="BF92" i="2"/>
  <c r="BJ92" i="2" s="1"/>
  <c r="BE92" i="2"/>
  <c r="BH92" i="2" s="1"/>
  <c r="BD92" i="2"/>
  <c r="BC92" i="2"/>
  <c r="BB92" i="2"/>
  <c r="BA92" i="2"/>
  <c r="BI92" i="2"/>
  <c r="BI105" i="2"/>
  <c r="BD105" i="2"/>
  <c r="BF105" i="2"/>
  <c r="BJ105" i="2" s="1"/>
  <c r="BE105" i="2"/>
  <c r="BH105" i="2" s="1"/>
  <c r="BC105" i="2"/>
  <c r="BA105" i="2"/>
  <c r="CC222" i="2"/>
  <c r="CD222" i="2" s="1"/>
  <c r="BZ222" i="2"/>
  <c r="CE222" i="2" s="1"/>
  <c r="CF222" i="2" s="1"/>
  <c r="BI101" i="2"/>
  <c r="BE101" i="2"/>
  <c r="BH101" i="2" s="1"/>
  <c r="BD101" i="2"/>
  <c r="BC101" i="2"/>
  <c r="BB101" i="2"/>
  <c r="BA101" i="2"/>
  <c r="BF101" i="2"/>
  <c r="BJ101" i="2" s="1"/>
  <c r="BB134" i="2"/>
  <c r="BA134" i="2"/>
  <c r="BI134" i="2"/>
  <c r="BF134" i="2"/>
  <c r="BJ134" i="2" s="1"/>
  <c r="BE134" i="2"/>
  <c r="BH134" i="2" s="1"/>
  <c r="BD134" i="2"/>
  <c r="BC134" i="2"/>
  <c r="AP143" i="2"/>
  <c r="BY149" i="2"/>
  <c r="BY167" i="2"/>
  <c r="AP173" i="2"/>
  <c r="BF179" i="2"/>
  <c r="BJ179" i="2" s="1"/>
  <c r="BE179" i="2"/>
  <c r="BH179" i="2" s="1"/>
  <c r="BD179" i="2"/>
  <c r="BC179" i="2"/>
  <c r="BB179" i="2"/>
  <c r="BA179" i="2"/>
  <c r="BI179" i="2"/>
  <c r="AK179" i="2"/>
  <c r="AP179" i="2" s="1"/>
  <c r="BF185" i="2"/>
  <c r="BJ185" i="2" s="1"/>
  <c r="BE185" i="2"/>
  <c r="BH185" i="2" s="1"/>
  <c r="BD185" i="2"/>
  <c r="BC185" i="2"/>
  <c r="BB185" i="2"/>
  <c r="BA185" i="2"/>
  <c r="BI185" i="2"/>
  <c r="AP198" i="2"/>
  <c r="BI204" i="2"/>
  <c r="BF204" i="2"/>
  <c r="BJ204" i="2" s="1"/>
  <c r="BE204" i="2"/>
  <c r="BH204" i="2" s="1"/>
  <c r="BD204" i="2"/>
  <c r="BC204" i="2"/>
  <c r="BB204" i="2"/>
  <c r="BA204" i="2"/>
  <c r="AK204" i="2"/>
  <c r="AP204" i="2" s="1"/>
  <c r="BD207" i="2"/>
  <c r="BC207" i="2"/>
  <c r="BB207" i="2"/>
  <c r="BA207" i="2"/>
  <c r="BI207" i="2"/>
  <c r="BF207" i="2"/>
  <c r="BJ207" i="2" s="1"/>
  <c r="BE207" i="2"/>
  <c r="BH207" i="2" s="1"/>
  <c r="BY230" i="2"/>
  <c r="BE35" i="2"/>
  <c r="BH35" i="2" s="1"/>
  <c r="BD48" i="2"/>
  <c r="BB50" i="2"/>
  <c r="BC57" i="2"/>
  <c r="BC75" i="2"/>
  <c r="BD172" i="2"/>
  <c r="BY180" i="2"/>
  <c r="BY190" i="2"/>
  <c r="BY200" i="2"/>
  <c r="BY205" i="2"/>
  <c r="BY210" i="2"/>
  <c r="BY215" i="2"/>
  <c r="BY225" i="2"/>
  <c r="BW43" i="2"/>
  <c r="BY43" i="2" s="1"/>
  <c r="BW52" i="2"/>
  <c r="BY52" i="2" s="1"/>
  <c r="CA95" i="2"/>
  <c r="CB95" i="2" s="1"/>
  <c r="CA171" i="2"/>
  <c r="CB171" i="2" s="1"/>
  <c r="CA38" i="2"/>
  <c r="CB38" i="2" s="1"/>
  <c r="CA52" i="2"/>
  <c r="CB52" i="2" s="1"/>
  <c r="BI238" i="2"/>
  <c r="BF238" i="2"/>
  <c r="BJ238" i="2" s="1"/>
  <c r="BE238" i="2"/>
  <c r="BH238" i="2" s="1"/>
  <c r="BD238" i="2"/>
  <c r="BA238" i="2"/>
  <c r="BC238" i="2"/>
  <c r="BB238" i="2"/>
  <c r="CA41" i="2"/>
  <c r="CB41" i="2" s="1"/>
  <c r="BW63" i="2"/>
  <c r="BY63" i="2" s="1"/>
  <c r="BX140" i="2"/>
  <c r="BW140" i="2"/>
  <c r="CA196" i="2"/>
  <c r="CB196" i="2" s="1"/>
  <c r="BW41" i="2"/>
  <c r="BY41" i="2" s="1"/>
  <c r="BW50" i="2"/>
  <c r="BY50" i="2" s="1"/>
  <c r="BW51" i="2"/>
  <c r="BY51" i="2" s="1"/>
  <c r="CA63" i="2"/>
  <c r="CB63" i="2" s="1"/>
  <c r="BI233" i="2"/>
  <c r="BF233" i="2"/>
  <c r="BJ233" i="2" s="1"/>
  <c r="BE233" i="2"/>
  <c r="BH233" i="2" s="1"/>
  <c r="BD233" i="2"/>
  <c r="BA233" i="2"/>
  <c r="BB233" i="2"/>
  <c r="CA82" i="2"/>
  <c r="CB82" i="2" s="1"/>
  <c r="BW128" i="2"/>
  <c r="BY128" i="2" s="1"/>
  <c r="BF128" i="2"/>
  <c r="BJ128" i="2" s="1"/>
  <c r="BE128" i="2"/>
  <c r="BH128" i="2" s="1"/>
  <c r="BD128" i="2"/>
  <c r="BC128" i="2"/>
  <c r="BB128" i="2"/>
  <c r="BA128" i="2"/>
  <c r="BI128" i="2"/>
  <c r="BI133" i="2"/>
  <c r="BF133" i="2"/>
  <c r="BJ133" i="2" s="1"/>
  <c r="BE133" i="2"/>
  <c r="BH133" i="2" s="1"/>
  <c r="BD133" i="2"/>
  <c r="BB133" i="2"/>
  <c r="BA133" i="2"/>
  <c r="BC133" i="2"/>
  <c r="BI138" i="2"/>
  <c r="BB138" i="2"/>
  <c r="BF138" i="2"/>
  <c r="BJ138" i="2" s="1"/>
  <c r="BE138" i="2"/>
  <c r="BH138" i="2" s="1"/>
  <c r="BD138" i="2"/>
  <c r="BA138" i="2"/>
  <c r="BC138" i="2"/>
  <c r="BI143" i="2"/>
  <c r="BB143" i="2"/>
  <c r="BE143" i="2"/>
  <c r="BH143" i="2" s="1"/>
  <c r="BD143" i="2"/>
  <c r="BC143" i="2"/>
  <c r="BA143" i="2"/>
  <c r="BF143" i="2"/>
  <c r="BJ143" i="2" s="1"/>
  <c r="BI148" i="2"/>
  <c r="BC148" i="2"/>
  <c r="BB148" i="2"/>
  <c r="BA148" i="2"/>
  <c r="BF148" i="2"/>
  <c r="BJ148" i="2" s="1"/>
  <c r="BE148" i="2"/>
  <c r="BH148" i="2" s="1"/>
  <c r="BD148" i="2"/>
  <c r="BI153" i="2"/>
  <c r="BC153" i="2"/>
  <c r="BB153" i="2"/>
  <c r="BF153" i="2"/>
  <c r="BJ153" i="2" s="1"/>
  <c r="BE153" i="2"/>
  <c r="BH153" i="2" s="1"/>
  <c r="BD153" i="2"/>
  <c r="BA153" i="2"/>
  <c r="BI158" i="2"/>
  <c r="BF158" i="2"/>
  <c r="BJ158" i="2" s="1"/>
  <c r="BC158" i="2"/>
  <c r="BD158" i="2"/>
  <c r="BB158" i="2"/>
  <c r="BE158" i="2"/>
  <c r="BH158" i="2" s="1"/>
  <c r="BA158" i="2"/>
  <c r="BI163" i="2"/>
  <c r="BF163" i="2"/>
  <c r="BJ163" i="2" s="1"/>
  <c r="BE163" i="2"/>
  <c r="BH163" i="2" s="1"/>
  <c r="BD163" i="2"/>
  <c r="BC163" i="2"/>
  <c r="BB163" i="2"/>
  <c r="BA163" i="2"/>
  <c r="BI168" i="2"/>
  <c r="BF168" i="2"/>
  <c r="BJ168" i="2" s="1"/>
  <c r="BE168" i="2"/>
  <c r="BH168" i="2" s="1"/>
  <c r="BD168" i="2"/>
  <c r="BC168" i="2"/>
  <c r="BB168" i="2"/>
  <c r="BA168" i="2"/>
  <c r="BI173" i="2"/>
  <c r="BF173" i="2"/>
  <c r="BJ173" i="2" s="1"/>
  <c r="BE173" i="2"/>
  <c r="BH173" i="2" s="1"/>
  <c r="BD173" i="2"/>
  <c r="BC173" i="2"/>
  <c r="BB173" i="2"/>
  <c r="BA173" i="2"/>
  <c r="AK176" i="2"/>
  <c r="AP176" i="2" s="1"/>
  <c r="BI178" i="2"/>
  <c r="BF178" i="2"/>
  <c r="BJ178" i="2" s="1"/>
  <c r="BE178" i="2"/>
  <c r="BH178" i="2" s="1"/>
  <c r="BD178" i="2"/>
  <c r="BC178" i="2"/>
  <c r="BA178" i="2"/>
  <c r="BB178" i="2"/>
  <c r="BI183" i="2"/>
  <c r="BF183" i="2"/>
  <c r="BJ183" i="2" s="1"/>
  <c r="BE183" i="2"/>
  <c r="BH183" i="2" s="1"/>
  <c r="BD183" i="2"/>
  <c r="BC183" i="2"/>
  <c r="BB183" i="2"/>
  <c r="BA183" i="2"/>
  <c r="BI188" i="2"/>
  <c r="BF188" i="2"/>
  <c r="BJ188" i="2" s="1"/>
  <c r="BE188" i="2"/>
  <c r="BH188" i="2" s="1"/>
  <c r="BA188" i="2"/>
  <c r="BD188" i="2"/>
  <c r="BC188" i="2"/>
  <c r="BB188" i="2"/>
  <c r="BI193" i="2"/>
  <c r="BF193" i="2"/>
  <c r="BJ193" i="2" s="1"/>
  <c r="BE193" i="2"/>
  <c r="BH193" i="2" s="1"/>
  <c r="BD193" i="2"/>
  <c r="BA193" i="2"/>
  <c r="BC193" i="2"/>
  <c r="BB193" i="2"/>
  <c r="BI198" i="2"/>
  <c r="BF198" i="2"/>
  <c r="BJ198" i="2" s="1"/>
  <c r="BE198" i="2"/>
  <c r="BH198" i="2" s="1"/>
  <c r="BD198" i="2"/>
  <c r="BA198" i="2"/>
  <c r="BC198" i="2"/>
  <c r="BB198" i="2"/>
  <c r="BI203" i="2"/>
  <c r="BF203" i="2"/>
  <c r="BJ203" i="2" s="1"/>
  <c r="BE203" i="2"/>
  <c r="BH203" i="2" s="1"/>
  <c r="BD203" i="2"/>
  <c r="BA203" i="2"/>
  <c r="BC203" i="2"/>
  <c r="BB203" i="2"/>
  <c r="BI208" i="2"/>
  <c r="BF208" i="2"/>
  <c r="BJ208" i="2" s="1"/>
  <c r="BE208" i="2"/>
  <c r="BH208" i="2" s="1"/>
  <c r="BD208" i="2"/>
  <c r="BA208" i="2"/>
  <c r="BC208" i="2"/>
  <c r="BB208" i="2"/>
  <c r="BI213" i="2"/>
  <c r="BF213" i="2"/>
  <c r="BJ213" i="2" s="1"/>
  <c r="BE213" i="2"/>
  <c r="BH213" i="2" s="1"/>
  <c r="BD213" i="2"/>
  <c r="BA213" i="2"/>
  <c r="BC213" i="2"/>
  <c r="BB213" i="2"/>
  <c r="BI218" i="2"/>
  <c r="BF218" i="2"/>
  <c r="BJ218" i="2" s="1"/>
  <c r="BE218" i="2"/>
  <c r="BH218" i="2" s="1"/>
  <c r="BD218" i="2"/>
  <c r="BA218" i="2"/>
  <c r="BC218" i="2"/>
  <c r="BB218" i="2"/>
  <c r="BI223" i="2"/>
  <c r="BF223" i="2"/>
  <c r="BJ223" i="2" s="1"/>
  <c r="BE223" i="2"/>
  <c r="BH223" i="2" s="1"/>
  <c r="BD223" i="2"/>
  <c r="BA223" i="2"/>
  <c r="BC223" i="2"/>
  <c r="BB223" i="2"/>
  <c r="BI228" i="2"/>
  <c r="BF228" i="2"/>
  <c r="BJ228" i="2" s="1"/>
  <c r="BE228" i="2"/>
  <c r="BH228" i="2" s="1"/>
  <c r="BD228" i="2"/>
  <c r="BA228" i="2"/>
  <c r="BC228" i="2"/>
  <c r="BB228" i="2"/>
  <c r="BY231" i="2"/>
  <c r="BW57" i="2"/>
  <c r="BY57" i="2" s="1"/>
  <c r="BW82" i="2"/>
  <c r="BY82" i="2" s="1"/>
  <c r="BX100" i="2"/>
  <c r="CA100" i="2" s="1"/>
  <c r="CB100" i="2" s="1"/>
  <c r="BW100" i="2"/>
  <c r="BY100" i="2" s="1"/>
  <c r="BY121" i="2"/>
  <c r="BY186" i="2"/>
  <c r="BY206" i="2"/>
  <c r="BW32" i="2"/>
  <c r="BY32" i="2" s="1"/>
  <c r="CA57" i="2"/>
  <c r="CB57" i="2" s="1"/>
  <c r="BW114" i="2"/>
  <c r="BY114" i="2" s="1"/>
  <c r="CA119" i="2"/>
  <c r="CB119" i="2" s="1"/>
  <c r="BI236" i="2"/>
  <c r="BE236" i="2"/>
  <c r="BH236" i="2" s="1"/>
  <c r="BF236" i="2"/>
  <c r="BJ236" i="2" s="1"/>
  <c r="BD236" i="2"/>
  <c r="BC236" i="2"/>
  <c r="BB236" i="2"/>
  <c r="BA236" i="2"/>
  <c r="CA124" i="2"/>
  <c r="CB124" i="2" s="1"/>
  <c r="BB176" i="2"/>
  <c r="CA199" i="2"/>
  <c r="CB199" i="2" s="1"/>
  <c r="BI231" i="2"/>
  <c r="BE231" i="2"/>
  <c r="BH231" i="2" s="1"/>
  <c r="BF231" i="2"/>
  <c r="BJ231" i="2" s="1"/>
  <c r="BD231" i="2"/>
  <c r="BC231" i="2"/>
  <c r="BB231" i="2"/>
  <c r="BA231" i="2"/>
  <c r="BW33" i="2"/>
  <c r="BY33" i="2" s="1"/>
  <c r="CA62" i="2"/>
  <c r="CB62" i="2" s="1"/>
  <c r="BF156" i="2"/>
  <c r="BJ156" i="2" s="1"/>
  <c r="BD156" i="2"/>
  <c r="BC156" i="2"/>
  <c r="BB156" i="2"/>
  <c r="BA156" i="2"/>
  <c r="BE156" i="2"/>
  <c r="BH156" i="2" s="1"/>
  <c r="BI156" i="2"/>
  <c r="BI161" i="2"/>
  <c r="BF161" i="2"/>
  <c r="BJ161" i="2" s="1"/>
  <c r="BC161" i="2"/>
  <c r="BB161" i="2"/>
  <c r="BE161" i="2"/>
  <c r="BH161" i="2" s="1"/>
  <c r="BD161" i="2"/>
  <c r="BA161" i="2"/>
  <c r="BI166" i="2"/>
  <c r="BE166" i="2"/>
  <c r="BH166" i="2" s="1"/>
  <c r="BD166" i="2"/>
  <c r="BF166" i="2"/>
  <c r="BJ166" i="2" s="1"/>
  <c r="BB166" i="2"/>
  <c r="BA166" i="2"/>
  <c r="BC166" i="2"/>
  <c r="BI171" i="2"/>
  <c r="BF171" i="2"/>
  <c r="BJ171" i="2" s="1"/>
  <c r="BE171" i="2"/>
  <c r="BH171" i="2" s="1"/>
  <c r="BD171" i="2"/>
  <c r="BC171" i="2"/>
  <c r="BB171" i="2"/>
  <c r="BA171" i="2"/>
  <c r="BI176" i="2"/>
  <c r="BF176" i="2"/>
  <c r="BJ176" i="2" s="1"/>
  <c r="BE176" i="2"/>
  <c r="BH176" i="2" s="1"/>
  <c r="BC176" i="2"/>
  <c r="BA176" i="2"/>
  <c r="BI181" i="2"/>
  <c r="BE181" i="2"/>
  <c r="BH181" i="2" s="1"/>
  <c r="BD181" i="2"/>
  <c r="BC181" i="2"/>
  <c r="BF181" i="2"/>
  <c r="BJ181" i="2" s="1"/>
  <c r="BB181" i="2"/>
  <c r="BA181" i="2"/>
  <c r="BI186" i="2"/>
  <c r="BE186" i="2"/>
  <c r="BH186" i="2" s="1"/>
  <c r="BC186" i="2"/>
  <c r="BB186" i="2"/>
  <c r="BA186" i="2"/>
  <c r="BF186" i="2"/>
  <c r="BJ186" i="2" s="1"/>
  <c r="BD186" i="2"/>
  <c r="BI191" i="2"/>
  <c r="BE191" i="2"/>
  <c r="BH191" i="2" s="1"/>
  <c r="BF191" i="2"/>
  <c r="BJ191" i="2" s="1"/>
  <c r="BD191" i="2"/>
  <c r="BC191" i="2"/>
  <c r="BB191" i="2"/>
  <c r="BA191" i="2"/>
  <c r="BI196" i="2"/>
  <c r="BE196" i="2"/>
  <c r="BH196" i="2" s="1"/>
  <c r="BD196" i="2"/>
  <c r="BC196" i="2"/>
  <c r="BB196" i="2"/>
  <c r="BA196" i="2"/>
  <c r="BF196" i="2"/>
  <c r="BJ196" i="2" s="1"/>
  <c r="BI201" i="2"/>
  <c r="BE201" i="2"/>
  <c r="BH201" i="2" s="1"/>
  <c r="BF201" i="2"/>
  <c r="BJ201" i="2" s="1"/>
  <c r="BD201" i="2"/>
  <c r="BC201" i="2"/>
  <c r="BB201" i="2"/>
  <c r="BA201" i="2"/>
  <c r="BI206" i="2"/>
  <c r="BE206" i="2"/>
  <c r="BH206" i="2" s="1"/>
  <c r="BF206" i="2"/>
  <c r="BJ206" i="2" s="1"/>
  <c r="BD206" i="2"/>
  <c r="BC206" i="2"/>
  <c r="BB206" i="2"/>
  <c r="BA206" i="2"/>
  <c r="BI211" i="2"/>
  <c r="BE211" i="2"/>
  <c r="BH211" i="2" s="1"/>
  <c r="BF211" i="2"/>
  <c r="BJ211" i="2" s="1"/>
  <c r="BD211" i="2"/>
  <c r="BC211" i="2"/>
  <c r="BB211" i="2"/>
  <c r="BA211" i="2"/>
  <c r="BI216" i="2"/>
  <c r="BE216" i="2"/>
  <c r="BH216" i="2" s="1"/>
  <c r="BD216" i="2"/>
  <c r="BC216" i="2"/>
  <c r="BB216" i="2"/>
  <c r="BA216" i="2"/>
  <c r="BF216" i="2"/>
  <c r="BJ216" i="2" s="1"/>
  <c r="BI221" i="2"/>
  <c r="BE221" i="2"/>
  <c r="BH221" i="2" s="1"/>
  <c r="BD221" i="2"/>
  <c r="BC221" i="2"/>
  <c r="BF221" i="2"/>
  <c r="BJ221" i="2" s="1"/>
  <c r="BB221" i="2"/>
  <c r="BA221" i="2"/>
  <c r="BI226" i="2"/>
  <c r="BE226" i="2"/>
  <c r="BH226" i="2" s="1"/>
  <c r="BF226" i="2"/>
  <c r="BJ226" i="2" s="1"/>
  <c r="BD226" i="2"/>
  <c r="BC226" i="2"/>
  <c r="BB226" i="2"/>
  <c r="BA226" i="2"/>
  <c r="CA74" i="2"/>
  <c r="CB74" i="2" s="1"/>
  <c r="CA77" i="2"/>
  <c r="CB77" i="2" s="1"/>
  <c r="BW101" i="2"/>
  <c r="BY101" i="2" s="1"/>
  <c r="BY224" i="2"/>
  <c r="BX56" i="2"/>
  <c r="CA56" i="2" s="1"/>
  <c r="CB56" i="2" s="1"/>
  <c r="BW56" i="2"/>
  <c r="BY56" i="2" s="1"/>
  <c r="CA61" i="2"/>
  <c r="CB61" i="2" s="1"/>
  <c r="BW74" i="2"/>
  <c r="BY74" i="2" s="1"/>
  <c r="CA90" i="2"/>
  <c r="CB90" i="2" s="1"/>
  <c r="BX104" i="2"/>
  <c r="BW104" i="2"/>
  <c r="BW129" i="2"/>
  <c r="BY129" i="2" s="1"/>
  <c r="CA157" i="2"/>
  <c r="CB157" i="2" s="1"/>
  <c r="BX78" i="2"/>
  <c r="CA78" i="2" s="1"/>
  <c r="CB78" i="2" s="1"/>
  <c r="BW78" i="2"/>
  <c r="BY78" i="2" s="1"/>
  <c r="CA80" i="2"/>
  <c r="CB80" i="2" s="1"/>
  <c r="BW109" i="2"/>
  <c r="BY109" i="2" s="1"/>
  <c r="CA120" i="2"/>
  <c r="CB120" i="2" s="1"/>
  <c r="BX123" i="2"/>
  <c r="CA123" i="2" s="1"/>
  <c r="CB123" i="2" s="1"/>
  <c r="BW123" i="2"/>
  <c r="BY123" i="2" s="1"/>
  <c r="CA129" i="2"/>
  <c r="CB129" i="2" s="1"/>
  <c r="CA164" i="2"/>
  <c r="CB164" i="2" s="1"/>
  <c r="BW90" i="2"/>
  <c r="BY90" i="2" s="1"/>
  <c r="BX109" i="2"/>
  <c r="CA109" i="2" s="1"/>
  <c r="CB109" i="2" s="1"/>
  <c r="CA165" i="2"/>
  <c r="CB165" i="2" s="1"/>
  <c r="BW77" i="2"/>
  <c r="BY77" i="2" s="1"/>
  <c r="BW95" i="2"/>
  <c r="BY95" i="2" s="1"/>
  <c r="CA107" i="2"/>
  <c r="CB107" i="2" s="1"/>
  <c r="CA211" i="2"/>
  <c r="CB211" i="2" s="1"/>
  <c r="CA224" i="2"/>
  <c r="CB224" i="2" s="1"/>
  <c r="BW47" i="2"/>
  <c r="BY47" i="2" s="1"/>
  <c r="BX105" i="2"/>
  <c r="CA105" i="2" s="1"/>
  <c r="CB105" i="2" s="1"/>
  <c r="BW105" i="2"/>
  <c r="BY105" i="2" s="1"/>
  <c r="BW107" i="2"/>
  <c r="BY107" i="2" s="1"/>
  <c r="BW124" i="2"/>
  <c r="BY124" i="2" s="1"/>
  <c r="BW38" i="2"/>
  <c r="BY38" i="2" s="1"/>
  <c r="BW48" i="2"/>
  <c r="BY48" i="2" s="1"/>
  <c r="CA88" i="2"/>
  <c r="CB88" i="2" s="1"/>
  <c r="BW102" i="2"/>
  <c r="BY102" i="2" s="1"/>
  <c r="CA121" i="2"/>
  <c r="CB121" i="2" s="1"/>
  <c r="CA154" i="2"/>
  <c r="CB154" i="2" s="1"/>
  <c r="BW53" i="2"/>
  <c r="BY53" i="2" s="1"/>
  <c r="BW86" i="2"/>
  <c r="BY86" i="2" s="1"/>
  <c r="BW118" i="2"/>
  <c r="BY118" i="2" s="1"/>
  <c r="CA127" i="2"/>
  <c r="CB127" i="2" s="1"/>
  <c r="CA175" i="2"/>
  <c r="CB175" i="2" s="1"/>
  <c r="BW204" i="2"/>
  <c r="BY204" i="2" s="1"/>
  <c r="BX93" i="2"/>
  <c r="CA93" i="2" s="1"/>
  <c r="CB93" i="2" s="1"/>
  <c r="BW93" i="2"/>
  <c r="BY93" i="2" s="1"/>
  <c r="CA98" i="2"/>
  <c r="CB98" i="2" s="1"/>
  <c r="BX118" i="2"/>
  <c r="CA118" i="2" s="1"/>
  <c r="CB118" i="2" s="1"/>
  <c r="CA132" i="2"/>
  <c r="CB132" i="2" s="1"/>
  <c r="CA161" i="2"/>
  <c r="CB161" i="2" s="1"/>
  <c r="BW85" i="2"/>
  <c r="BY85" i="2" s="1"/>
  <c r="BW88" i="2"/>
  <c r="BY88" i="2" s="1"/>
  <c r="BX92" i="2"/>
  <c r="CA92" i="2" s="1"/>
  <c r="CB92" i="2" s="1"/>
  <c r="BW92" i="2"/>
  <c r="BY92" i="2" s="1"/>
  <c r="BX97" i="2"/>
  <c r="CA97" i="2" s="1"/>
  <c r="CB97" i="2" s="1"/>
  <c r="BW97" i="2"/>
  <c r="BY97" i="2" s="1"/>
  <c r="BW156" i="2"/>
  <c r="BY156" i="2" s="1"/>
  <c r="CA186" i="2"/>
  <c r="CB186" i="2" s="1"/>
  <c r="CA125" i="2"/>
  <c r="CB125" i="2" s="1"/>
  <c r="CA156" i="2"/>
  <c r="CB156" i="2" s="1"/>
  <c r="BW99" i="2"/>
  <c r="BY99" i="2" s="1"/>
  <c r="CA117" i="2"/>
  <c r="CB117" i="2" s="1"/>
  <c r="BW83" i="2"/>
  <c r="BY83" i="2" s="1"/>
  <c r="BX113" i="2"/>
  <c r="CA113" i="2" s="1"/>
  <c r="CB113" i="2" s="1"/>
  <c r="BW113" i="2"/>
  <c r="BY113" i="2" s="1"/>
  <c r="BX189" i="2"/>
  <c r="BW189" i="2"/>
  <c r="BW89" i="2"/>
  <c r="BY89" i="2" s="1"/>
  <c r="CA142" i="2"/>
  <c r="CB142" i="2" s="1"/>
  <c r="CA219" i="2"/>
  <c r="CB219" i="2" s="1"/>
  <c r="BD237" i="2"/>
  <c r="BC237" i="2"/>
  <c r="BB237" i="2"/>
  <c r="BA237" i="2"/>
  <c r="BI237" i="2"/>
  <c r="BF237" i="2"/>
  <c r="BJ237" i="2" s="1"/>
  <c r="BE237" i="2"/>
  <c r="BH237" i="2" s="1"/>
  <c r="BW94" i="2"/>
  <c r="BY94" i="2" s="1"/>
  <c r="BW108" i="2"/>
  <c r="BY108" i="2" s="1"/>
  <c r="BX135" i="2"/>
  <c r="CA135" i="2" s="1"/>
  <c r="CB135" i="2" s="1"/>
  <c r="BW135" i="2"/>
  <c r="BY135" i="2" s="1"/>
  <c r="CA184" i="2"/>
  <c r="CB184" i="2" s="1"/>
  <c r="CA110" i="2"/>
  <c r="CB110" i="2" s="1"/>
  <c r="CA133" i="2"/>
  <c r="CB133" i="2" s="1"/>
  <c r="CA153" i="2"/>
  <c r="CB153" i="2" s="1"/>
  <c r="CA169" i="2"/>
  <c r="CB169" i="2" s="1"/>
  <c r="BX191" i="2"/>
  <c r="CA191" i="2" s="1"/>
  <c r="CB191" i="2" s="1"/>
  <c r="BW191" i="2"/>
  <c r="BY191" i="2" s="1"/>
  <c r="CA139" i="2"/>
  <c r="CB139" i="2" s="1"/>
  <c r="BW159" i="2"/>
  <c r="BX145" i="2"/>
  <c r="CA145" i="2" s="1"/>
  <c r="CB145" i="2" s="1"/>
  <c r="BW145" i="2"/>
  <c r="BY145" i="2" s="1"/>
  <c r="CA177" i="2"/>
  <c r="CB177" i="2" s="1"/>
  <c r="CA236" i="2"/>
  <c r="CB236" i="2" s="1"/>
  <c r="BW103" i="2"/>
  <c r="BY103" i="2" s="1"/>
  <c r="CA149" i="2"/>
  <c r="CB149" i="2" s="1"/>
  <c r="BX163" i="2"/>
  <c r="CA163" i="2" s="1"/>
  <c r="CB163" i="2" s="1"/>
  <c r="BW163" i="2"/>
  <c r="BY163" i="2" s="1"/>
  <c r="CA201" i="2"/>
  <c r="CB201" i="2" s="1"/>
  <c r="BW106" i="2"/>
  <c r="BY106" i="2" s="1"/>
  <c r="BX130" i="2"/>
  <c r="CA130" i="2" s="1"/>
  <c r="CB130" i="2" s="1"/>
  <c r="BW130" i="2"/>
  <c r="BY130" i="2" s="1"/>
  <c r="BX209" i="2"/>
  <c r="CA209" i="2" s="1"/>
  <c r="CB209" i="2" s="1"/>
  <c r="BW209" i="2"/>
  <c r="BY209" i="2" s="1"/>
  <c r="CA230" i="2"/>
  <c r="CB230" i="2" s="1"/>
  <c r="CA167" i="2"/>
  <c r="CB167" i="2" s="1"/>
  <c r="CA143" i="2"/>
  <c r="CB143" i="2" s="1"/>
  <c r="CA166" i="2"/>
  <c r="CB166" i="2" s="1"/>
  <c r="CA183" i="2"/>
  <c r="CB183" i="2" s="1"/>
  <c r="BW141" i="2"/>
  <c r="BY141" i="2" s="1"/>
  <c r="BX150" i="2"/>
  <c r="CA150" i="2" s="1"/>
  <c r="CB150" i="2" s="1"/>
  <c r="BW150" i="2"/>
  <c r="BY150" i="2" s="1"/>
  <c r="CA170" i="2"/>
  <c r="CB170" i="2" s="1"/>
  <c r="CA226" i="2"/>
  <c r="CB226" i="2" s="1"/>
  <c r="CA172" i="2"/>
  <c r="CB172" i="2" s="1"/>
  <c r="CA176" i="2"/>
  <c r="CB176" i="2" s="1"/>
  <c r="BW115" i="2"/>
  <c r="BW120" i="2"/>
  <c r="BW125" i="2"/>
  <c r="BY125" i="2" s="1"/>
  <c r="CA155" i="2"/>
  <c r="CB155" i="2" s="1"/>
  <c r="BX158" i="2"/>
  <c r="CA158" i="2" s="1"/>
  <c r="CB158" i="2" s="1"/>
  <c r="BW158" i="2"/>
  <c r="BY158" i="2" s="1"/>
  <c r="BX181" i="2"/>
  <c r="CA181" i="2" s="1"/>
  <c r="CB181" i="2" s="1"/>
  <c r="BW181" i="2"/>
  <c r="BY181" i="2" s="1"/>
  <c r="BW184" i="2"/>
  <c r="BY184" i="2" s="1"/>
  <c r="CA188" i="2"/>
  <c r="CB188" i="2" s="1"/>
  <c r="BW236" i="2"/>
  <c r="BY236" i="2" s="1"/>
  <c r="BW112" i="2"/>
  <c r="BY112" i="2" s="1"/>
  <c r="BW117" i="2"/>
  <c r="BY117" i="2" s="1"/>
  <c r="BW122" i="2"/>
  <c r="BY122" i="2" s="1"/>
  <c r="BW127" i="2"/>
  <c r="BY127" i="2" s="1"/>
  <c r="CA148" i="2"/>
  <c r="CB148" i="2" s="1"/>
  <c r="CA138" i="2"/>
  <c r="CB138" i="2" s="1"/>
  <c r="BX179" i="2"/>
  <c r="CA179" i="2" s="1"/>
  <c r="CB179" i="2" s="1"/>
  <c r="BW179" i="2"/>
  <c r="BY179" i="2" s="1"/>
  <c r="CA218" i="2"/>
  <c r="CB218" i="2" s="1"/>
  <c r="CA223" i="2"/>
  <c r="CB223" i="2" s="1"/>
  <c r="BX178" i="2"/>
  <c r="CA178" i="2" s="1"/>
  <c r="CB178" i="2" s="1"/>
  <c r="BW178" i="2"/>
  <c r="BY178" i="2" s="1"/>
  <c r="CA210" i="2"/>
  <c r="CB210" i="2" s="1"/>
  <c r="BW155" i="2"/>
  <c r="BY155" i="2" s="1"/>
  <c r="BX234" i="2"/>
  <c r="BW234" i="2"/>
  <c r="BW174" i="2"/>
  <c r="BY174" i="2" s="1"/>
  <c r="CA221" i="2"/>
  <c r="CB221" i="2" s="1"/>
  <c r="BW229" i="2"/>
  <c r="BW176" i="2"/>
  <c r="BY176" i="2" s="1"/>
  <c r="BW169" i="2"/>
  <c r="BY169" i="2" s="1"/>
  <c r="BW132" i="2"/>
  <c r="BY132" i="2" s="1"/>
  <c r="BW137" i="2"/>
  <c r="BW142" i="2"/>
  <c r="BY142" i="2" s="1"/>
  <c r="BW147" i="2"/>
  <c r="BY147" i="2" s="1"/>
  <c r="BW152" i="2"/>
  <c r="BW157" i="2"/>
  <c r="BY157" i="2" s="1"/>
  <c r="BW171" i="2"/>
  <c r="BY171" i="2" s="1"/>
  <c r="BX173" i="2"/>
  <c r="CA173" i="2" s="1"/>
  <c r="CB173" i="2" s="1"/>
  <c r="BW173" i="2"/>
  <c r="BY173" i="2" s="1"/>
  <c r="BW211" i="2"/>
  <c r="BY211" i="2" s="1"/>
  <c r="BW164" i="2"/>
  <c r="BY164" i="2" s="1"/>
  <c r="BX216" i="2"/>
  <c r="CA216" i="2" s="1"/>
  <c r="CB216" i="2" s="1"/>
  <c r="BW216" i="2"/>
  <c r="BY216" i="2" s="1"/>
  <c r="BW166" i="2"/>
  <c r="BY166" i="2" s="1"/>
  <c r="BX168" i="2"/>
  <c r="CA168" i="2" s="1"/>
  <c r="CB168" i="2" s="1"/>
  <c r="BW168" i="2"/>
  <c r="BY168" i="2" s="1"/>
  <c r="CA193" i="2"/>
  <c r="CB193" i="2" s="1"/>
  <c r="CA198" i="2"/>
  <c r="CB198" i="2" s="1"/>
  <c r="CA214" i="2"/>
  <c r="CB214" i="2" s="1"/>
  <c r="CA190" i="2"/>
  <c r="CB190" i="2" s="1"/>
  <c r="CA203" i="2"/>
  <c r="CB203" i="2" s="1"/>
  <c r="CA228" i="2"/>
  <c r="CB228" i="2" s="1"/>
  <c r="BW203" i="2"/>
  <c r="BY203" i="2" s="1"/>
  <c r="CA215" i="2"/>
  <c r="CB215" i="2" s="1"/>
  <c r="BW228" i="2"/>
  <c r="BY228" i="2" s="1"/>
  <c r="BW183" i="2"/>
  <c r="BY183" i="2" s="1"/>
  <c r="BW188" i="2"/>
  <c r="BY188" i="2" s="1"/>
  <c r="BW196" i="2"/>
  <c r="BY196" i="2" s="1"/>
  <c r="BW214" i="2"/>
  <c r="BY214" i="2" s="1"/>
  <c r="BW221" i="2"/>
  <c r="BY221" i="2" s="1"/>
  <c r="CA208" i="2"/>
  <c r="CB208" i="2" s="1"/>
  <c r="CA233" i="2"/>
  <c r="CB233" i="2" s="1"/>
  <c r="CA185" i="2"/>
  <c r="CB185" i="2" s="1"/>
  <c r="CA195" i="2"/>
  <c r="CB195" i="2" s="1"/>
  <c r="BW208" i="2"/>
  <c r="BY208" i="2" s="1"/>
  <c r="CA220" i="2"/>
  <c r="CB220" i="2" s="1"/>
  <c r="BW233" i="2"/>
  <c r="BY233" i="2" s="1"/>
  <c r="BW160" i="2"/>
  <c r="BY160" i="2" s="1"/>
  <c r="BW165" i="2"/>
  <c r="BY165" i="2" s="1"/>
  <c r="BW170" i="2"/>
  <c r="BY170" i="2" s="1"/>
  <c r="BW175" i="2"/>
  <c r="BY175" i="2" s="1"/>
  <c r="BW194" i="2"/>
  <c r="BY194" i="2" s="1"/>
  <c r="BW201" i="2"/>
  <c r="BY201" i="2" s="1"/>
  <c r="BW219" i="2"/>
  <c r="BY219" i="2" s="1"/>
  <c r="BW226" i="2"/>
  <c r="BY226" i="2" s="1"/>
  <c r="CA213" i="2"/>
  <c r="CB213" i="2" s="1"/>
  <c r="CA238" i="2"/>
  <c r="CB238" i="2" s="1"/>
  <c r="CA200" i="2"/>
  <c r="CB200" i="2" s="1"/>
  <c r="BW213" i="2"/>
  <c r="BY213" i="2" s="1"/>
  <c r="CA225" i="2"/>
  <c r="CB225" i="2" s="1"/>
  <c r="BW238" i="2"/>
  <c r="BY238" i="2" s="1"/>
  <c r="BW185" i="2"/>
  <c r="BY185" i="2" s="1"/>
  <c r="U14" i="2"/>
  <c r="Q11" i="2" s="1"/>
  <c r="AJ23" i="2"/>
  <c r="BO164" i="2"/>
  <c r="BP164" i="2"/>
  <c r="BO79" i="2"/>
  <c r="BP79" i="2"/>
  <c r="BO49" i="2"/>
  <c r="BP49" i="2"/>
  <c r="BO126" i="2"/>
  <c r="BP126" i="2"/>
  <c r="BO116" i="2"/>
  <c r="BP116" i="2"/>
  <c r="BO75" i="2"/>
  <c r="BP75" i="2"/>
  <c r="BO90" i="2"/>
  <c r="BP90" i="2"/>
  <c r="BO169" i="2"/>
  <c r="BP169" i="2"/>
  <c r="BP63" i="2"/>
  <c r="BO63" i="2"/>
  <c r="BP142" i="2"/>
  <c r="BO142" i="2"/>
  <c r="BP100" i="2"/>
  <c r="BO100" i="2"/>
  <c r="BO68" i="2"/>
  <c r="BP68" i="2"/>
  <c r="BP47" i="2"/>
  <c r="BO47" i="2"/>
  <c r="BO74" i="2"/>
  <c r="BP74" i="2"/>
  <c r="BO94" i="2"/>
  <c r="BP94" i="2"/>
  <c r="BO141" i="2"/>
  <c r="BP141" i="2"/>
  <c r="BP93" i="2"/>
  <c r="BO93" i="2"/>
  <c r="BO36" i="2"/>
  <c r="BP36" i="2"/>
  <c r="BO190" i="2"/>
  <c r="BP190" i="2"/>
  <c r="BO58" i="2"/>
  <c r="BP58" i="2"/>
  <c r="BO211" i="2"/>
  <c r="BP211" i="2"/>
  <c r="BO189" i="2"/>
  <c r="BP189" i="2"/>
  <c r="BO234" i="2"/>
  <c r="BP234" i="2"/>
  <c r="BO202" i="2"/>
  <c r="BP202" i="2"/>
  <c r="BO229" i="2"/>
  <c r="BP229" i="2"/>
  <c r="BP78" i="2"/>
  <c r="BO78" i="2"/>
  <c r="BP37" i="2"/>
  <c r="BO37" i="2"/>
  <c r="BO128" i="2"/>
  <c r="BP128" i="2"/>
  <c r="BO156" i="2"/>
  <c r="BP156" i="2"/>
  <c r="BO170" i="2"/>
  <c r="BP170" i="2"/>
  <c r="BO122" i="2"/>
  <c r="BP122" i="2"/>
  <c r="BO149" i="2"/>
  <c r="BP149" i="2"/>
  <c r="BO59" i="2"/>
  <c r="BP59" i="2"/>
  <c r="BO130" i="2"/>
  <c r="BP130" i="2"/>
  <c r="BP77" i="2"/>
  <c r="BO77" i="2"/>
  <c r="BO60" i="2"/>
  <c r="BP60" i="2"/>
  <c r="BO232" i="2"/>
  <c r="BP232" i="2"/>
  <c r="BP83" i="2"/>
  <c r="BO83" i="2"/>
  <c r="BO158" i="2"/>
  <c r="BP158" i="2"/>
  <c r="BO188" i="2"/>
  <c r="BP188" i="2"/>
  <c r="BP171" i="2"/>
  <c r="BO171" i="2"/>
  <c r="BO201" i="2"/>
  <c r="BP201" i="2"/>
  <c r="BO216" i="2"/>
  <c r="BP216" i="2"/>
  <c r="BO73" i="2"/>
  <c r="BP73" i="2"/>
  <c r="BO162" i="2"/>
  <c r="BP162" i="2"/>
  <c r="BO38" i="2"/>
  <c r="BP38" i="2"/>
  <c r="BO45" i="2"/>
  <c r="BP45" i="2"/>
  <c r="BO196" i="2"/>
  <c r="BP196" i="2"/>
  <c r="BO89" i="2"/>
  <c r="BP89" i="2"/>
  <c r="BO71" i="2"/>
  <c r="BP71" i="2"/>
  <c r="BO124" i="2"/>
  <c r="BP124" i="2"/>
  <c r="BP31" i="2"/>
  <c r="BO31" i="2"/>
  <c r="BO125" i="2"/>
  <c r="BP125" i="2"/>
  <c r="BO118" i="2"/>
  <c r="BP118" i="2"/>
  <c r="BO55" i="2"/>
  <c r="BP55" i="2"/>
  <c r="BO224" i="2"/>
  <c r="BP224" i="2"/>
  <c r="BO95" i="2"/>
  <c r="BP95" i="2"/>
  <c r="BP107" i="2"/>
  <c r="BO107" i="2"/>
  <c r="BO230" i="2"/>
  <c r="BP230" i="2"/>
  <c r="BO144" i="2"/>
  <c r="BP144" i="2"/>
  <c r="BO139" i="2"/>
  <c r="BP139" i="2"/>
  <c r="BO174" i="2"/>
  <c r="BP174" i="2"/>
  <c r="BO109" i="2"/>
  <c r="BP109" i="2"/>
  <c r="BP62" i="2"/>
  <c r="BO62" i="2"/>
  <c r="BO238" i="2"/>
  <c r="BP238" i="2"/>
  <c r="BO173" i="2"/>
  <c r="BP173" i="2"/>
  <c r="BO172" i="2"/>
  <c r="BP172" i="2"/>
  <c r="BO91" i="2"/>
  <c r="BP91" i="2"/>
  <c r="BP41" i="2"/>
  <c r="BO41" i="2"/>
  <c r="BO180" i="2"/>
  <c r="BP180" i="2"/>
  <c r="BO113" i="2"/>
  <c r="BP113" i="2"/>
  <c r="BO106" i="2"/>
  <c r="BP106" i="2"/>
  <c r="BP28" i="2"/>
  <c r="BO28" i="2"/>
  <c r="BO101" i="2"/>
  <c r="BP101" i="2"/>
  <c r="BO204" i="2"/>
  <c r="BP204" i="2"/>
  <c r="BO203" i="2"/>
  <c r="BP203" i="2"/>
  <c r="BO82" i="2"/>
  <c r="BP82" i="2"/>
  <c r="BO48" i="2"/>
  <c r="BP48" i="2"/>
  <c r="BP133" i="2"/>
  <c r="BO133" i="2"/>
  <c r="BO178" i="2"/>
  <c r="BP178" i="2"/>
  <c r="BO221" i="2"/>
  <c r="BP221" i="2"/>
  <c r="BO220" i="2"/>
  <c r="BP220" i="2"/>
  <c r="BO208" i="2"/>
  <c r="BP208" i="2"/>
  <c r="BO140" i="2"/>
  <c r="BP140" i="2"/>
  <c r="BO117" i="2"/>
  <c r="BP117" i="2"/>
  <c r="BO187" i="2"/>
  <c r="BP187" i="2"/>
  <c r="BO226" i="2"/>
  <c r="BP226" i="2"/>
  <c r="BO104" i="2"/>
  <c r="BP104" i="2"/>
  <c r="BP228" i="2"/>
  <c r="BO228" i="2"/>
  <c r="BO43" i="2"/>
  <c r="BP43" i="2"/>
  <c r="BP143" i="2"/>
  <c r="BO143" i="2"/>
  <c r="BO214" i="2"/>
  <c r="BP214" i="2"/>
  <c r="BO123" i="2"/>
  <c r="BP123" i="2"/>
  <c r="BO121" i="2"/>
  <c r="BP121" i="2"/>
  <c r="BP132" i="2"/>
  <c r="BO132" i="2"/>
  <c r="BO56" i="2"/>
  <c r="BP56" i="2"/>
  <c r="BO177" i="2"/>
  <c r="BP177" i="2"/>
  <c r="BO197" i="2"/>
  <c r="BP197" i="2"/>
  <c r="BP72" i="2"/>
  <c r="BO72" i="2"/>
  <c r="BO165" i="2"/>
  <c r="BP165" i="2"/>
  <c r="BO179" i="2"/>
  <c r="BP179" i="2"/>
  <c r="BO148" i="2"/>
  <c r="BP148" i="2"/>
  <c r="BO218" i="2"/>
  <c r="BP218" i="2"/>
  <c r="BO209" i="2"/>
  <c r="BP209" i="2"/>
  <c r="BP25" i="2"/>
  <c r="BO25" i="2"/>
  <c r="BO145" i="2"/>
  <c r="BP145" i="2"/>
  <c r="BO131" i="2"/>
  <c r="BP131" i="2"/>
  <c r="BO233" i="2"/>
  <c r="BP233" i="2"/>
  <c r="BO193" i="2"/>
  <c r="BP193" i="2"/>
  <c r="BO138" i="2"/>
  <c r="BP138" i="2"/>
  <c r="BP137" i="2"/>
  <c r="BO137" i="2"/>
  <c r="BO85" i="2"/>
  <c r="BP85" i="2"/>
  <c r="BP88" i="2"/>
  <c r="BO88" i="2"/>
  <c r="BO181" i="2"/>
  <c r="BP181" i="2"/>
  <c r="BO70" i="2"/>
  <c r="BP70" i="2"/>
  <c r="BO99" i="2"/>
  <c r="BP99" i="2"/>
  <c r="BO34" i="2"/>
  <c r="BP34" i="2"/>
  <c r="BP42" i="2"/>
  <c r="BO42" i="2"/>
  <c r="BO183" i="2"/>
  <c r="BP183" i="2"/>
  <c r="BO114" i="2"/>
  <c r="BP114" i="2"/>
  <c r="BO50" i="2"/>
  <c r="BP50" i="2"/>
  <c r="BO160" i="2"/>
  <c r="BP160" i="2"/>
  <c r="BO227" i="2"/>
  <c r="BP227" i="2"/>
  <c r="BP44" i="2"/>
  <c r="BO44" i="2"/>
  <c r="BO146" i="2"/>
  <c r="BP146" i="2"/>
  <c r="BO155" i="2"/>
  <c r="BP155" i="2"/>
  <c r="BP64" i="2"/>
  <c r="BO64" i="2"/>
  <c r="BP103" i="2"/>
  <c r="BO103" i="2"/>
  <c r="BO185" i="2"/>
  <c r="BP185" i="2"/>
  <c r="BO222" i="2"/>
  <c r="BP222" i="2"/>
  <c r="BO168" i="2"/>
  <c r="BP168" i="2"/>
  <c r="BO54" i="2"/>
  <c r="BP54" i="2"/>
  <c r="BO150" i="2"/>
  <c r="BP150" i="2"/>
  <c r="BO167" i="2"/>
  <c r="BP167" i="2"/>
  <c r="BO87" i="2"/>
  <c r="BP87" i="2"/>
  <c r="BP147" i="2"/>
  <c r="BO147" i="2"/>
  <c r="BP67" i="2"/>
  <c r="BO67" i="2"/>
  <c r="BP175" i="2"/>
  <c r="BO175" i="2"/>
  <c r="BO81" i="2"/>
  <c r="BP81" i="2"/>
  <c r="BO184" i="2"/>
  <c r="BP184" i="2"/>
  <c r="BO225" i="2"/>
  <c r="BP225" i="2"/>
  <c r="BO135" i="2"/>
  <c r="BP135" i="2"/>
  <c r="BO108" i="2"/>
  <c r="BP108" i="2"/>
  <c r="BO80" i="2"/>
  <c r="BP80" i="2"/>
  <c r="BO236" i="2"/>
  <c r="BP236" i="2"/>
  <c r="BO176" i="2"/>
  <c r="BP176" i="2"/>
  <c r="BO84" i="2"/>
  <c r="BP84" i="2"/>
  <c r="BO200" i="2"/>
  <c r="BP200" i="2"/>
  <c r="BO159" i="2"/>
  <c r="BP159" i="2"/>
  <c r="BO154" i="2"/>
  <c r="BP154" i="2"/>
  <c r="BO237" i="2"/>
  <c r="BP237" i="2"/>
  <c r="BO120" i="2"/>
  <c r="BP120" i="2"/>
  <c r="BO46" i="2"/>
  <c r="BP46" i="2"/>
  <c r="BO24" i="2"/>
  <c r="BP24" i="2"/>
  <c r="BO129" i="2"/>
  <c r="BP129" i="2"/>
  <c r="BO199" i="2"/>
  <c r="BP199" i="2"/>
  <c r="BO111" i="2"/>
  <c r="BP111" i="2"/>
  <c r="BO194" i="2"/>
  <c r="BP194" i="2"/>
  <c r="BP27" i="2"/>
  <c r="BO27" i="2"/>
  <c r="BO134" i="2"/>
  <c r="BP134" i="2"/>
  <c r="BO161" i="2"/>
  <c r="BP161" i="2"/>
  <c r="BO191" i="2"/>
  <c r="BP191" i="2"/>
  <c r="BO195" i="2"/>
  <c r="BP195" i="2"/>
  <c r="BO215" i="2"/>
  <c r="BP215" i="2"/>
  <c r="BO166" i="2"/>
  <c r="BP166" i="2"/>
  <c r="BO29" i="2"/>
  <c r="BP29" i="2"/>
  <c r="BO205" i="2"/>
  <c r="BP205" i="2"/>
  <c r="BO35" i="2"/>
  <c r="BP35" i="2"/>
  <c r="BO69" i="2"/>
  <c r="BP69" i="2"/>
  <c r="BO198" i="2"/>
  <c r="BP198" i="2"/>
  <c r="BO102" i="2"/>
  <c r="BP102" i="2"/>
  <c r="BP98" i="2"/>
  <c r="BO98" i="2"/>
  <c r="BO61" i="2"/>
  <c r="BP61" i="2"/>
  <c r="BO182" i="2"/>
  <c r="BP182" i="2"/>
  <c r="BO110" i="2"/>
  <c r="BP110" i="2"/>
  <c r="BO217" i="2"/>
  <c r="BP217" i="2"/>
  <c r="BP127" i="2"/>
  <c r="BO127" i="2"/>
  <c r="BO119" i="2"/>
  <c r="BP119" i="2"/>
  <c r="BO136" i="2"/>
  <c r="BP136" i="2"/>
  <c r="BO65" i="2"/>
  <c r="BP65" i="2"/>
  <c r="BO235" i="2"/>
  <c r="BP235" i="2"/>
  <c r="BP52" i="2"/>
  <c r="BO52" i="2"/>
  <c r="BO33" i="2"/>
  <c r="BP33" i="2"/>
  <c r="BO53" i="2"/>
  <c r="BP53" i="2"/>
  <c r="BP92" i="2"/>
  <c r="BO92" i="2"/>
  <c r="BO207" i="2"/>
  <c r="BP207" i="2"/>
  <c r="BO163" i="2"/>
  <c r="BP163" i="2"/>
  <c r="BO206" i="2"/>
  <c r="BP206" i="2"/>
  <c r="BO219" i="2"/>
  <c r="BP219" i="2"/>
  <c r="BO231" i="2"/>
  <c r="BP231" i="2"/>
  <c r="BP57" i="2"/>
  <c r="BO57" i="2"/>
  <c r="BO151" i="2"/>
  <c r="BP151" i="2"/>
  <c r="BO153" i="2"/>
  <c r="BP153" i="2"/>
  <c r="BO112" i="2"/>
  <c r="BP112" i="2"/>
  <c r="BO105" i="2"/>
  <c r="BP105" i="2"/>
  <c r="BO96" i="2"/>
  <c r="BP96" i="2"/>
  <c r="BO213" i="2"/>
  <c r="BP213" i="2"/>
  <c r="BO26" i="2"/>
  <c r="BP26" i="2"/>
  <c r="BO186" i="2"/>
  <c r="BP186" i="2"/>
  <c r="BO192" i="2"/>
  <c r="BP192" i="2"/>
  <c r="BO39" i="2"/>
  <c r="BP39" i="2"/>
  <c r="BO51" i="2"/>
  <c r="BP51" i="2"/>
  <c r="BO115" i="2"/>
  <c r="BP115" i="2"/>
  <c r="BP97" i="2"/>
  <c r="BO97" i="2"/>
  <c r="BO40" i="2"/>
  <c r="BP40" i="2"/>
  <c r="BO30" i="2"/>
  <c r="BP30" i="2"/>
  <c r="BO223" i="2"/>
  <c r="BP223" i="2"/>
  <c r="BO76" i="2"/>
  <c r="BP76" i="2"/>
  <c r="BO66" i="2"/>
  <c r="BP66" i="2"/>
  <c r="BP152" i="2"/>
  <c r="BO152" i="2"/>
  <c r="BO212" i="2"/>
  <c r="BP212" i="2"/>
  <c r="BP157" i="2"/>
  <c r="BO157" i="2"/>
  <c r="BO210" i="2"/>
  <c r="BP210" i="2"/>
  <c r="BQ210" i="2" l="1"/>
  <c r="BL210" i="2"/>
  <c r="BM210" i="2" s="1"/>
  <c r="BN210" i="2" s="1"/>
  <c r="BL157" i="2"/>
  <c r="BM157" i="2" s="1"/>
  <c r="BN157" i="2" s="1"/>
  <c r="BQ157" i="2"/>
  <c r="BR157" i="2" s="1"/>
  <c r="BS157" i="2" s="1"/>
  <c r="BQ212" i="2"/>
  <c r="BL212" i="2"/>
  <c r="BM212" i="2" s="1"/>
  <c r="BN212" i="2" s="1"/>
  <c r="BL152" i="2"/>
  <c r="BM152" i="2" s="1"/>
  <c r="BN152" i="2" s="1"/>
  <c r="BQ152" i="2"/>
  <c r="BL66" i="2"/>
  <c r="BM66" i="2" s="1"/>
  <c r="BN66" i="2" s="1"/>
  <c r="BQ66" i="2"/>
  <c r="BR66" i="2" s="1"/>
  <c r="BS66" i="2" s="1"/>
  <c r="BL76" i="2"/>
  <c r="BM76" i="2" s="1"/>
  <c r="BN76" i="2" s="1"/>
  <c r="BQ76" i="2"/>
  <c r="BL223" i="2"/>
  <c r="BM223" i="2" s="1"/>
  <c r="BN223" i="2" s="1"/>
  <c r="BQ223" i="2"/>
  <c r="BR223" i="2" s="1"/>
  <c r="BS223" i="2" s="1"/>
  <c r="BQ30" i="2"/>
  <c r="BR30" i="2" s="1"/>
  <c r="BS30" i="2" s="1"/>
  <c r="BL30" i="2"/>
  <c r="BM30" i="2" s="1"/>
  <c r="BN30" i="2" s="1"/>
  <c r="BQ40" i="2"/>
  <c r="BL40" i="2"/>
  <c r="BM40" i="2" s="1"/>
  <c r="BN40" i="2" s="1"/>
  <c r="BL97" i="2"/>
  <c r="BM97" i="2" s="1"/>
  <c r="BN97" i="2" s="1"/>
  <c r="BQ97" i="2"/>
  <c r="BL115" i="2"/>
  <c r="BM115" i="2" s="1"/>
  <c r="BN115" i="2" s="1"/>
  <c r="BQ115" i="2"/>
  <c r="BQ51" i="2"/>
  <c r="BR51" i="2" s="1"/>
  <c r="BS51" i="2" s="1"/>
  <c r="BL51" i="2"/>
  <c r="BM51" i="2" s="1"/>
  <c r="BN51" i="2" s="1"/>
  <c r="BQ39" i="2"/>
  <c r="BL39" i="2"/>
  <c r="BM39" i="2" s="1"/>
  <c r="BN39" i="2" s="1"/>
  <c r="BQ192" i="2"/>
  <c r="BL192" i="2"/>
  <c r="BM192" i="2" s="1"/>
  <c r="BN192" i="2" s="1"/>
  <c r="BL186" i="2"/>
  <c r="BM186" i="2" s="1"/>
  <c r="BN186" i="2" s="1"/>
  <c r="BQ186" i="2"/>
  <c r="BR186" i="2" s="1"/>
  <c r="BS186" i="2" s="1"/>
  <c r="BQ26" i="2"/>
  <c r="BR26" i="2" s="1"/>
  <c r="BS26" i="2" s="1"/>
  <c r="BL26" i="2"/>
  <c r="BM26" i="2" s="1"/>
  <c r="BN26" i="2" s="1"/>
  <c r="BL213" i="2"/>
  <c r="BM213" i="2" s="1"/>
  <c r="BN213" i="2" s="1"/>
  <c r="BQ213" i="2"/>
  <c r="BQ96" i="2"/>
  <c r="BR96" i="2" s="1"/>
  <c r="BS96" i="2" s="1"/>
  <c r="BL96" i="2"/>
  <c r="BM96" i="2" s="1"/>
  <c r="BN96" i="2" s="1"/>
  <c r="BQ105" i="2"/>
  <c r="BR105" i="2" s="1"/>
  <c r="BS105" i="2" s="1"/>
  <c r="BL105" i="2"/>
  <c r="BM105" i="2" s="1"/>
  <c r="BN105" i="2" s="1"/>
  <c r="BQ112" i="2"/>
  <c r="BL112" i="2"/>
  <c r="BM112" i="2" s="1"/>
  <c r="BN112" i="2" s="1"/>
  <c r="BL153" i="2"/>
  <c r="BM153" i="2" s="1"/>
  <c r="BN153" i="2" s="1"/>
  <c r="BQ153" i="2"/>
  <c r="BQ151" i="2"/>
  <c r="BL151" i="2"/>
  <c r="BM151" i="2" s="1"/>
  <c r="BN151" i="2" s="1"/>
  <c r="BL57" i="2"/>
  <c r="BM57" i="2" s="1"/>
  <c r="BN57" i="2" s="1"/>
  <c r="BQ57" i="2"/>
  <c r="BL231" i="2"/>
  <c r="BM231" i="2" s="1"/>
  <c r="BN231" i="2" s="1"/>
  <c r="BQ231" i="2"/>
  <c r="BQ219" i="2"/>
  <c r="BL219" i="2"/>
  <c r="BM219" i="2" s="1"/>
  <c r="BN219" i="2" s="1"/>
  <c r="BL206" i="2"/>
  <c r="BM206" i="2" s="1"/>
  <c r="BN206" i="2" s="1"/>
  <c r="BQ206" i="2"/>
  <c r="BQ163" i="2"/>
  <c r="BL163" i="2"/>
  <c r="BM163" i="2" s="1"/>
  <c r="BN163" i="2" s="1"/>
  <c r="BQ207" i="2"/>
  <c r="BL207" i="2"/>
  <c r="BM207" i="2" s="1"/>
  <c r="BN207" i="2" s="1"/>
  <c r="BL92" i="2"/>
  <c r="BM92" i="2" s="1"/>
  <c r="BN92" i="2" s="1"/>
  <c r="BQ92" i="2"/>
  <c r="BQ53" i="2"/>
  <c r="BR53" i="2" s="1"/>
  <c r="BS53" i="2" s="1"/>
  <c r="BL53" i="2"/>
  <c r="BM53" i="2" s="1"/>
  <c r="BN53" i="2" s="1"/>
  <c r="BQ33" i="2"/>
  <c r="BR33" i="2" s="1"/>
  <c r="BS33" i="2" s="1"/>
  <c r="BL33" i="2"/>
  <c r="BM33" i="2" s="1"/>
  <c r="BN33" i="2" s="1"/>
  <c r="BL52" i="2"/>
  <c r="BM52" i="2" s="1"/>
  <c r="BN52" i="2" s="1"/>
  <c r="BQ52" i="2"/>
  <c r="BR52" i="2" s="1"/>
  <c r="BS52" i="2" s="1"/>
  <c r="BQ235" i="2"/>
  <c r="BL235" i="2"/>
  <c r="BM235" i="2" s="1"/>
  <c r="BN235" i="2" s="1"/>
  <c r="BQ65" i="2"/>
  <c r="BR65" i="2" s="1"/>
  <c r="BS65" i="2" s="1"/>
  <c r="BL65" i="2"/>
  <c r="BM65" i="2" s="1"/>
  <c r="BN65" i="2" s="1"/>
  <c r="BQ136" i="2"/>
  <c r="BL136" i="2"/>
  <c r="BM136" i="2" s="1"/>
  <c r="BN136" i="2" s="1"/>
  <c r="BQ119" i="2"/>
  <c r="BR119" i="2" s="1"/>
  <c r="BS119" i="2" s="1"/>
  <c r="BL119" i="2"/>
  <c r="BM119" i="2" s="1"/>
  <c r="BN119" i="2" s="1"/>
  <c r="BQ127" i="2"/>
  <c r="BL127" i="2"/>
  <c r="BM127" i="2" s="1"/>
  <c r="BN127" i="2" s="1"/>
  <c r="BQ217" i="2"/>
  <c r="BL217" i="2"/>
  <c r="BM217" i="2" s="1"/>
  <c r="BN217" i="2" s="1"/>
  <c r="BQ110" i="2"/>
  <c r="BL110" i="2"/>
  <c r="BM110" i="2" s="1"/>
  <c r="BN110" i="2" s="1"/>
  <c r="BQ182" i="2"/>
  <c r="BL182" i="2"/>
  <c r="BM182" i="2" s="1"/>
  <c r="BN182" i="2" s="1"/>
  <c r="BL61" i="2"/>
  <c r="BM61" i="2" s="1"/>
  <c r="BN61" i="2" s="1"/>
  <c r="BQ61" i="2"/>
  <c r="BL98" i="2"/>
  <c r="BM98" i="2" s="1"/>
  <c r="BN98" i="2" s="1"/>
  <c r="BQ98" i="2"/>
  <c r="BQ102" i="2"/>
  <c r="BR102" i="2" s="1"/>
  <c r="BS102" i="2" s="1"/>
  <c r="BL102" i="2"/>
  <c r="BM102" i="2" s="1"/>
  <c r="BN102" i="2" s="1"/>
  <c r="BL198" i="2"/>
  <c r="BM198" i="2" s="1"/>
  <c r="BN198" i="2" s="1"/>
  <c r="BQ198" i="2"/>
  <c r="BR198" i="2" s="1"/>
  <c r="BS198" i="2" s="1"/>
  <c r="BQ69" i="2"/>
  <c r="BR69" i="2" s="1"/>
  <c r="BS69" i="2" s="1"/>
  <c r="BL69" i="2"/>
  <c r="BM69" i="2" s="1"/>
  <c r="BN69" i="2" s="1"/>
  <c r="BQ35" i="2"/>
  <c r="BR35" i="2" s="1"/>
  <c r="BS35" i="2" s="1"/>
  <c r="BL35" i="2"/>
  <c r="BM35" i="2" s="1"/>
  <c r="BN35" i="2" s="1"/>
  <c r="BQ205" i="2"/>
  <c r="BL205" i="2"/>
  <c r="BM205" i="2" s="1"/>
  <c r="BN205" i="2" s="1"/>
  <c r="BQ29" i="2"/>
  <c r="BL29" i="2"/>
  <c r="BM29" i="2" s="1"/>
  <c r="BN29" i="2" s="1"/>
  <c r="BL166" i="2"/>
  <c r="BM166" i="2" s="1"/>
  <c r="BN166" i="2" s="1"/>
  <c r="BQ166" i="2"/>
  <c r="BQ215" i="2"/>
  <c r="BR215" i="2" s="1"/>
  <c r="BS215" i="2" s="1"/>
  <c r="BL215" i="2"/>
  <c r="BM215" i="2" s="1"/>
  <c r="BN215" i="2" s="1"/>
  <c r="BQ195" i="2"/>
  <c r="BL195" i="2"/>
  <c r="BM195" i="2" s="1"/>
  <c r="BN195" i="2" s="1"/>
  <c r="BL191" i="2"/>
  <c r="BM191" i="2" s="1"/>
  <c r="BN191" i="2" s="1"/>
  <c r="BQ191" i="2"/>
  <c r="BL161" i="2"/>
  <c r="BM161" i="2" s="1"/>
  <c r="BN161" i="2" s="1"/>
  <c r="BQ161" i="2"/>
  <c r="BQ134" i="2"/>
  <c r="BL134" i="2"/>
  <c r="BM134" i="2" s="1"/>
  <c r="BN134" i="2" s="1"/>
  <c r="BQ27" i="2"/>
  <c r="BL27" i="2"/>
  <c r="BM27" i="2" s="1"/>
  <c r="BN27" i="2" s="1"/>
  <c r="BQ194" i="2"/>
  <c r="BR194" i="2" s="1"/>
  <c r="BS194" i="2" s="1"/>
  <c r="BL194" i="2"/>
  <c r="BM194" i="2" s="1"/>
  <c r="BN194" i="2" s="1"/>
  <c r="BQ111" i="2"/>
  <c r="BL111" i="2"/>
  <c r="BM111" i="2" s="1"/>
  <c r="BN111" i="2" s="1"/>
  <c r="BQ199" i="2"/>
  <c r="BL199" i="2"/>
  <c r="BM199" i="2" s="1"/>
  <c r="BN199" i="2" s="1"/>
  <c r="BL129" i="2"/>
  <c r="BM129" i="2" s="1"/>
  <c r="BN129" i="2" s="1"/>
  <c r="BQ129" i="2"/>
  <c r="BR129" i="2" s="1"/>
  <c r="BS129" i="2" s="1"/>
  <c r="BL24" i="2"/>
  <c r="BM24" i="2" s="1"/>
  <c r="BN24" i="2" s="1"/>
  <c r="BQ24" i="2"/>
  <c r="BQ46" i="2"/>
  <c r="BR46" i="2" s="1"/>
  <c r="BS46" i="2" s="1"/>
  <c r="BL46" i="2"/>
  <c r="BM46" i="2" s="1"/>
  <c r="BN46" i="2" s="1"/>
  <c r="BL120" i="2"/>
  <c r="BM120" i="2" s="1"/>
  <c r="BN120" i="2" s="1"/>
  <c r="BQ120" i="2"/>
  <c r="BQ237" i="2"/>
  <c r="BR237" i="2" s="1"/>
  <c r="BS237" i="2" s="1"/>
  <c r="BL237" i="2"/>
  <c r="BM237" i="2" s="1"/>
  <c r="BN237" i="2" s="1"/>
  <c r="BQ154" i="2"/>
  <c r="BL154" i="2"/>
  <c r="BM154" i="2" s="1"/>
  <c r="BN154" i="2" s="1"/>
  <c r="BQ159" i="2"/>
  <c r="BR159" i="2" s="1"/>
  <c r="BS159" i="2" s="1"/>
  <c r="BL159" i="2"/>
  <c r="BM159" i="2" s="1"/>
  <c r="BN159" i="2" s="1"/>
  <c r="BQ200" i="2"/>
  <c r="BR200" i="2" s="1"/>
  <c r="BS200" i="2" s="1"/>
  <c r="BL200" i="2"/>
  <c r="BM200" i="2" s="1"/>
  <c r="BN200" i="2" s="1"/>
  <c r="BQ84" i="2"/>
  <c r="BR84" i="2" s="1"/>
  <c r="BS84" i="2" s="1"/>
  <c r="BL84" i="2"/>
  <c r="BM84" i="2" s="1"/>
  <c r="BN84" i="2" s="1"/>
  <c r="BL176" i="2"/>
  <c r="BM176" i="2" s="1"/>
  <c r="BN176" i="2" s="1"/>
  <c r="BQ176" i="2"/>
  <c r="BR176" i="2" s="1"/>
  <c r="BS176" i="2" s="1"/>
  <c r="BL236" i="2"/>
  <c r="BM236" i="2" s="1"/>
  <c r="BN236" i="2" s="1"/>
  <c r="BQ236" i="2"/>
  <c r="BQ80" i="2"/>
  <c r="BL80" i="2"/>
  <c r="BM80" i="2" s="1"/>
  <c r="BN80" i="2" s="1"/>
  <c r="BL108" i="2"/>
  <c r="BM108" i="2" s="1"/>
  <c r="BN108" i="2" s="1"/>
  <c r="BQ108" i="2"/>
  <c r="BQ135" i="2"/>
  <c r="BL135" i="2"/>
  <c r="BM135" i="2" s="1"/>
  <c r="BN135" i="2" s="1"/>
  <c r="BQ225" i="2"/>
  <c r="BL225" i="2"/>
  <c r="BM225" i="2" s="1"/>
  <c r="BN225" i="2" s="1"/>
  <c r="BQ184" i="2"/>
  <c r="BL184" i="2"/>
  <c r="BM184" i="2" s="1"/>
  <c r="BN184" i="2" s="1"/>
  <c r="BQ81" i="2"/>
  <c r="BL81" i="2"/>
  <c r="BM81" i="2" s="1"/>
  <c r="BN81" i="2" s="1"/>
  <c r="BQ175" i="2"/>
  <c r="BR175" i="2" s="1"/>
  <c r="BS175" i="2" s="1"/>
  <c r="BL175" i="2"/>
  <c r="BM175" i="2" s="1"/>
  <c r="BN175" i="2" s="1"/>
  <c r="BL67" i="2"/>
  <c r="BM67" i="2" s="1"/>
  <c r="BN67" i="2" s="1"/>
  <c r="BQ67" i="2"/>
  <c r="BR67" i="2" s="1"/>
  <c r="BS67" i="2" s="1"/>
  <c r="BQ147" i="2"/>
  <c r="BR147" i="2" s="1"/>
  <c r="BS147" i="2" s="1"/>
  <c r="BL147" i="2"/>
  <c r="BM147" i="2" s="1"/>
  <c r="BN147" i="2" s="1"/>
  <c r="BL87" i="2"/>
  <c r="BM87" i="2" s="1"/>
  <c r="BN87" i="2" s="1"/>
  <c r="BQ87" i="2"/>
  <c r="BR87" i="2" s="1"/>
  <c r="BS87" i="2" s="1"/>
  <c r="BQ167" i="2"/>
  <c r="BL167" i="2"/>
  <c r="BM167" i="2" s="1"/>
  <c r="BN167" i="2" s="1"/>
  <c r="BL150" i="2"/>
  <c r="BM150" i="2" s="1"/>
  <c r="BN150" i="2" s="1"/>
  <c r="BQ150" i="2"/>
  <c r="BR150" i="2" s="1"/>
  <c r="BS150" i="2" s="1"/>
  <c r="BQ54" i="2"/>
  <c r="BL54" i="2"/>
  <c r="BM54" i="2" s="1"/>
  <c r="BN54" i="2" s="1"/>
  <c r="BQ168" i="2"/>
  <c r="BR168" i="2" s="1"/>
  <c r="BS168" i="2" s="1"/>
  <c r="BL168" i="2"/>
  <c r="BM168" i="2" s="1"/>
  <c r="BN168" i="2" s="1"/>
  <c r="BQ222" i="2"/>
  <c r="BL222" i="2"/>
  <c r="BM222" i="2" s="1"/>
  <c r="BN222" i="2" s="1"/>
  <c r="BQ185" i="2"/>
  <c r="BR185" i="2" s="1"/>
  <c r="BS185" i="2" s="1"/>
  <c r="BL185" i="2"/>
  <c r="BM185" i="2" s="1"/>
  <c r="BN185" i="2" s="1"/>
  <c r="BL103" i="2"/>
  <c r="BM103" i="2" s="1"/>
  <c r="BN103" i="2" s="1"/>
  <c r="BQ103" i="2"/>
  <c r="BL64" i="2"/>
  <c r="BM64" i="2" s="1"/>
  <c r="BN64" i="2" s="1"/>
  <c r="BQ64" i="2"/>
  <c r="BQ155" i="2"/>
  <c r="BL155" i="2"/>
  <c r="BM155" i="2" s="1"/>
  <c r="BN155" i="2" s="1"/>
  <c r="BQ146" i="2"/>
  <c r="BL146" i="2"/>
  <c r="BM146" i="2" s="1"/>
  <c r="BN146" i="2" s="1"/>
  <c r="BL44" i="2"/>
  <c r="BM44" i="2" s="1"/>
  <c r="BN44" i="2" s="1"/>
  <c r="BQ44" i="2"/>
  <c r="BQ227" i="2"/>
  <c r="BL227" i="2"/>
  <c r="BM227" i="2" s="1"/>
  <c r="BN227" i="2" s="1"/>
  <c r="BQ160" i="2"/>
  <c r="BR160" i="2" s="1"/>
  <c r="BS160" i="2" s="1"/>
  <c r="BL160" i="2"/>
  <c r="BM160" i="2" s="1"/>
  <c r="BN160" i="2" s="1"/>
  <c r="BQ50" i="2"/>
  <c r="BR50" i="2" s="1"/>
  <c r="BS50" i="2" s="1"/>
  <c r="BL50" i="2"/>
  <c r="BM50" i="2" s="1"/>
  <c r="BN50" i="2" s="1"/>
  <c r="BQ114" i="2"/>
  <c r="BL114" i="2"/>
  <c r="BM114" i="2" s="1"/>
  <c r="BN114" i="2" s="1"/>
  <c r="BQ183" i="2"/>
  <c r="BR183" i="2" s="1"/>
  <c r="BS183" i="2" s="1"/>
  <c r="BL183" i="2"/>
  <c r="BM183" i="2" s="1"/>
  <c r="BN183" i="2" s="1"/>
  <c r="BL42" i="2"/>
  <c r="BM42" i="2" s="1"/>
  <c r="BN42" i="2" s="1"/>
  <c r="BQ42" i="2"/>
  <c r="BQ34" i="2"/>
  <c r="BL34" i="2"/>
  <c r="BM34" i="2" s="1"/>
  <c r="BN34" i="2" s="1"/>
  <c r="BQ99" i="2"/>
  <c r="BR99" i="2" s="1"/>
  <c r="BS99" i="2" s="1"/>
  <c r="BL99" i="2"/>
  <c r="BM99" i="2" s="1"/>
  <c r="BN99" i="2" s="1"/>
  <c r="BQ70" i="2"/>
  <c r="BR70" i="2" s="1"/>
  <c r="BS70" i="2" s="1"/>
  <c r="BL70" i="2"/>
  <c r="BM70" i="2" s="1"/>
  <c r="BN70" i="2" s="1"/>
  <c r="BL181" i="2"/>
  <c r="BM181" i="2" s="1"/>
  <c r="BN181" i="2" s="1"/>
  <c r="BQ181" i="2"/>
  <c r="BL88" i="2"/>
  <c r="BM88" i="2" s="1"/>
  <c r="BN88" i="2" s="1"/>
  <c r="BQ88" i="2"/>
  <c r="BQ85" i="2"/>
  <c r="BL85" i="2"/>
  <c r="BM85" i="2" s="1"/>
  <c r="BN85" i="2" s="1"/>
  <c r="BQ137" i="2"/>
  <c r="BL137" i="2"/>
  <c r="BM137" i="2" s="1"/>
  <c r="BN137" i="2" s="1"/>
  <c r="BL138" i="2"/>
  <c r="BM138" i="2" s="1"/>
  <c r="BN138" i="2" s="1"/>
  <c r="BQ138" i="2"/>
  <c r="BR138" i="2" s="1"/>
  <c r="BS138" i="2" s="1"/>
  <c r="BL193" i="2"/>
  <c r="BM193" i="2" s="1"/>
  <c r="BN193" i="2" s="1"/>
  <c r="BQ193" i="2"/>
  <c r="BL233" i="2"/>
  <c r="BM233" i="2" s="1"/>
  <c r="BN233" i="2" s="1"/>
  <c r="BQ233" i="2"/>
  <c r="BQ131" i="2"/>
  <c r="BL131" i="2"/>
  <c r="BM131" i="2" s="1"/>
  <c r="BN131" i="2" s="1"/>
  <c r="BL145" i="2"/>
  <c r="BM145" i="2" s="1"/>
  <c r="BN145" i="2" s="1"/>
  <c r="BQ145" i="2"/>
  <c r="BR145" i="2" s="1"/>
  <c r="BS145" i="2" s="1"/>
  <c r="BQ25" i="2"/>
  <c r="BR25" i="2" s="1"/>
  <c r="BS25" i="2" s="1"/>
  <c r="BL25" i="2"/>
  <c r="BM25" i="2" s="1"/>
  <c r="BN25" i="2" s="1"/>
  <c r="BQ209" i="2"/>
  <c r="BL209" i="2"/>
  <c r="BM209" i="2" s="1"/>
  <c r="BN209" i="2" s="1"/>
  <c r="BL218" i="2"/>
  <c r="BM218" i="2" s="1"/>
  <c r="BN218" i="2" s="1"/>
  <c r="BQ218" i="2"/>
  <c r="BR218" i="2" s="1"/>
  <c r="BS218" i="2" s="1"/>
  <c r="BL148" i="2"/>
  <c r="BM148" i="2" s="1"/>
  <c r="BN148" i="2" s="1"/>
  <c r="BQ148" i="2"/>
  <c r="BQ179" i="2"/>
  <c r="BR179" i="2" s="1"/>
  <c r="BS179" i="2" s="1"/>
  <c r="BL179" i="2"/>
  <c r="BM179" i="2" s="1"/>
  <c r="BN179" i="2" s="1"/>
  <c r="BQ165" i="2"/>
  <c r="BR165" i="2" s="1"/>
  <c r="BS165" i="2" s="1"/>
  <c r="BL165" i="2"/>
  <c r="BM165" i="2" s="1"/>
  <c r="BN165" i="2" s="1"/>
  <c r="BL72" i="2"/>
  <c r="BM72" i="2" s="1"/>
  <c r="BN72" i="2" s="1"/>
  <c r="BQ72" i="2"/>
  <c r="BQ197" i="2"/>
  <c r="BL197" i="2"/>
  <c r="BM197" i="2" s="1"/>
  <c r="BN197" i="2" s="1"/>
  <c r="BQ177" i="2"/>
  <c r="BL177" i="2"/>
  <c r="BM177" i="2" s="1"/>
  <c r="BN177" i="2" s="1"/>
  <c r="BQ56" i="2"/>
  <c r="BL56" i="2"/>
  <c r="BM56" i="2" s="1"/>
  <c r="BN56" i="2" s="1"/>
  <c r="BL132" i="2"/>
  <c r="BM132" i="2" s="1"/>
  <c r="BN132" i="2" s="1"/>
  <c r="BQ132" i="2"/>
  <c r="BR132" i="2" s="1"/>
  <c r="BS132" i="2" s="1"/>
  <c r="BQ121" i="2"/>
  <c r="BL121" i="2"/>
  <c r="BM121" i="2" s="1"/>
  <c r="BN121" i="2" s="1"/>
  <c r="BL123" i="2"/>
  <c r="BM123" i="2" s="1"/>
  <c r="BN123" i="2" s="1"/>
  <c r="BQ123" i="2"/>
  <c r="BQ214" i="2"/>
  <c r="BL214" i="2"/>
  <c r="BM214" i="2" s="1"/>
  <c r="BN214" i="2" s="1"/>
  <c r="BL143" i="2"/>
  <c r="BM143" i="2" s="1"/>
  <c r="BN143" i="2" s="1"/>
  <c r="BQ143" i="2"/>
  <c r="BR143" i="2" s="1"/>
  <c r="BS143" i="2" s="1"/>
  <c r="BQ43" i="2"/>
  <c r="BL43" i="2"/>
  <c r="BM43" i="2" s="1"/>
  <c r="BN43" i="2" s="1"/>
  <c r="BL228" i="2"/>
  <c r="BM228" i="2" s="1"/>
  <c r="BN228" i="2" s="1"/>
  <c r="BQ228" i="2"/>
  <c r="BR228" i="2" s="1"/>
  <c r="BS228" i="2" s="1"/>
  <c r="BQ104" i="2"/>
  <c r="BR104" i="2" s="1"/>
  <c r="BS104" i="2" s="1"/>
  <c r="BL104" i="2"/>
  <c r="BM104" i="2" s="1"/>
  <c r="BN104" i="2" s="1"/>
  <c r="BL226" i="2"/>
  <c r="BM226" i="2" s="1"/>
  <c r="BN226" i="2" s="1"/>
  <c r="BQ226" i="2"/>
  <c r="BR226" i="2" s="1"/>
  <c r="BS226" i="2" s="1"/>
  <c r="BQ187" i="2"/>
  <c r="BR187" i="2" s="1"/>
  <c r="BS187" i="2" s="1"/>
  <c r="BL187" i="2"/>
  <c r="BM187" i="2" s="1"/>
  <c r="BN187" i="2" s="1"/>
  <c r="BQ117" i="2"/>
  <c r="BL117" i="2"/>
  <c r="BM117" i="2" s="1"/>
  <c r="BN117" i="2" s="1"/>
  <c r="BQ140" i="2"/>
  <c r="BR140" i="2" s="1"/>
  <c r="BS140" i="2" s="1"/>
  <c r="BL140" i="2"/>
  <c r="BM140" i="2" s="1"/>
  <c r="BN140" i="2" s="1"/>
  <c r="BL208" i="2"/>
  <c r="BM208" i="2" s="1"/>
  <c r="BN208" i="2" s="1"/>
  <c r="BQ208" i="2"/>
  <c r="BQ220" i="2"/>
  <c r="BL220" i="2"/>
  <c r="BM220" i="2" s="1"/>
  <c r="BN220" i="2" s="1"/>
  <c r="BL221" i="2"/>
  <c r="BM221" i="2" s="1"/>
  <c r="BN221" i="2" s="1"/>
  <c r="BQ221" i="2"/>
  <c r="BR221" i="2" s="1"/>
  <c r="BS221" i="2" s="1"/>
  <c r="BQ178" i="2"/>
  <c r="BR178" i="2" s="1"/>
  <c r="BS178" i="2" s="1"/>
  <c r="BL178" i="2"/>
  <c r="BM178" i="2" s="1"/>
  <c r="BN178" i="2" s="1"/>
  <c r="BL133" i="2"/>
  <c r="BM133" i="2" s="1"/>
  <c r="BN133" i="2" s="1"/>
  <c r="BQ133" i="2"/>
  <c r="BR133" i="2" s="1"/>
  <c r="BS133" i="2" s="1"/>
  <c r="BQ48" i="2"/>
  <c r="BL48" i="2"/>
  <c r="BM48" i="2" s="1"/>
  <c r="BN48" i="2" s="1"/>
  <c r="BL82" i="2"/>
  <c r="BM82" i="2" s="1"/>
  <c r="BN82" i="2" s="1"/>
  <c r="BQ82" i="2"/>
  <c r="BR82" i="2" s="1"/>
  <c r="BS82" i="2" s="1"/>
  <c r="BL203" i="2"/>
  <c r="BM203" i="2" s="1"/>
  <c r="BN203" i="2" s="1"/>
  <c r="BQ203" i="2"/>
  <c r="BQ204" i="2"/>
  <c r="BR204" i="2" s="1"/>
  <c r="BS204" i="2" s="1"/>
  <c r="BL204" i="2"/>
  <c r="BM204" i="2" s="1"/>
  <c r="BN204" i="2" s="1"/>
  <c r="BQ101" i="2"/>
  <c r="BR101" i="2" s="1"/>
  <c r="BS101" i="2" s="1"/>
  <c r="BL101" i="2"/>
  <c r="BM101" i="2" s="1"/>
  <c r="BN101" i="2" s="1"/>
  <c r="BQ28" i="2"/>
  <c r="BL28" i="2"/>
  <c r="BM28" i="2" s="1"/>
  <c r="BN28" i="2" s="1"/>
  <c r="BQ106" i="2"/>
  <c r="BR106" i="2" s="1"/>
  <c r="BS106" i="2" s="1"/>
  <c r="BL106" i="2"/>
  <c r="BM106" i="2" s="1"/>
  <c r="BN106" i="2" s="1"/>
  <c r="BL113" i="2"/>
  <c r="BM113" i="2" s="1"/>
  <c r="BN113" i="2" s="1"/>
  <c r="BQ113" i="2"/>
  <c r="BR113" i="2" s="1"/>
  <c r="BS113" i="2" s="1"/>
  <c r="BQ180" i="2"/>
  <c r="BR180" i="2" s="1"/>
  <c r="BS180" i="2" s="1"/>
  <c r="BL180" i="2"/>
  <c r="BM180" i="2" s="1"/>
  <c r="BN180" i="2" s="1"/>
  <c r="BQ41" i="2"/>
  <c r="BL41" i="2"/>
  <c r="BM41" i="2" s="1"/>
  <c r="BN41" i="2" s="1"/>
  <c r="BQ91" i="2"/>
  <c r="BR91" i="2" s="1"/>
  <c r="BS91" i="2" s="1"/>
  <c r="BL91" i="2"/>
  <c r="BM91" i="2" s="1"/>
  <c r="BN91" i="2" s="1"/>
  <c r="BQ172" i="2"/>
  <c r="BR172" i="2" s="1"/>
  <c r="BS172" i="2" s="1"/>
  <c r="BL172" i="2"/>
  <c r="BM172" i="2" s="1"/>
  <c r="BN172" i="2" s="1"/>
  <c r="BQ173" i="2"/>
  <c r="BR173" i="2" s="1"/>
  <c r="BS173" i="2" s="1"/>
  <c r="BL173" i="2"/>
  <c r="BM173" i="2" s="1"/>
  <c r="BN173" i="2" s="1"/>
  <c r="BL238" i="2"/>
  <c r="BM238" i="2" s="1"/>
  <c r="BN238" i="2" s="1"/>
  <c r="BQ238" i="2"/>
  <c r="BL62" i="2"/>
  <c r="BM62" i="2" s="1"/>
  <c r="BN62" i="2" s="1"/>
  <c r="BQ62" i="2"/>
  <c r="BR62" i="2" s="1"/>
  <c r="BS62" i="2" s="1"/>
  <c r="BQ109" i="2"/>
  <c r="BL109" i="2"/>
  <c r="BM109" i="2" s="1"/>
  <c r="BN109" i="2" s="1"/>
  <c r="BQ174" i="2"/>
  <c r="BR174" i="2" s="1"/>
  <c r="BS174" i="2" s="1"/>
  <c r="BL174" i="2"/>
  <c r="BM174" i="2" s="1"/>
  <c r="BN174" i="2" s="1"/>
  <c r="BQ139" i="2"/>
  <c r="BR139" i="2" s="1"/>
  <c r="BS139" i="2" s="1"/>
  <c r="BL139" i="2"/>
  <c r="BM139" i="2" s="1"/>
  <c r="BN139" i="2" s="1"/>
  <c r="BQ144" i="2"/>
  <c r="BL144" i="2"/>
  <c r="BM144" i="2" s="1"/>
  <c r="BN144" i="2" s="1"/>
  <c r="BQ230" i="2"/>
  <c r="BR230" i="2" s="1"/>
  <c r="BS230" i="2" s="1"/>
  <c r="BL230" i="2"/>
  <c r="BM230" i="2" s="1"/>
  <c r="BN230" i="2" s="1"/>
  <c r="BL107" i="2"/>
  <c r="BM107" i="2" s="1"/>
  <c r="BN107" i="2" s="1"/>
  <c r="BQ107" i="2"/>
  <c r="BR107" i="2" s="1"/>
  <c r="BS107" i="2" s="1"/>
  <c r="BQ95" i="2"/>
  <c r="BR95" i="2" s="1"/>
  <c r="BS95" i="2" s="1"/>
  <c r="BL95" i="2"/>
  <c r="BM95" i="2" s="1"/>
  <c r="BN95" i="2" s="1"/>
  <c r="BQ224" i="2"/>
  <c r="BR224" i="2" s="1"/>
  <c r="BS224" i="2" s="1"/>
  <c r="BL224" i="2"/>
  <c r="BM224" i="2" s="1"/>
  <c r="BN224" i="2" s="1"/>
  <c r="BQ55" i="2"/>
  <c r="BR55" i="2" s="1"/>
  <c r="BS55" i="2" s="1"/>
  <c r="BL55" i="2"/>
  <c r="BM55" i="2" s="1"/>
  <c r="BN55" i="2" s="1"/>
  <c r="BL118" i="2"/>
  <c r="BM118" i="2" s="1"/>
  <c r="BN118" i="2" s="1"/>
  <c r="BQ118" i="2"/>
  <c r="BL125" i="2"/>
  <c r="BM125" i="2" s="1"/>
  <c r="BN125" i="2" s="1"/>
  <c r="BQ125" i="2"/>
  <c r="BQ31" i="2"/>
  <c r="BL31" i="2"/>
  <c r="BM31" i="2" s="1"/>
  <c r="BN31" i="2" s="1"/>
  <c r="BL124" i="2"/>
  <c r="BM124" i="2" s="1"/>
  <c r="BN124" i="2" s="1"/>
  <c r="BQ124" i="2"/>
  <c r="BR124" i="2" s="1"/>
  <c r="BS124" i="2" s="1"/>
  <c r="BL71" i="2"/>
  <c r="BM71" i="2" s="1"/>
  <c r="BN71" i="2" s="1"/>
  <c r="BQ71" i="2"/>
  <c r="BQ89" i="2"/>
  <c r="BR89" i="2" s="1"/>
  <c r="BS89" i="2" s="1"/>
  <c r="BL89" i="2"/>
  <c r="BM89" i="2" s="1"/>
  <c r="BN89" i="2" s="1"/>
  <c r="BL196" i="2"/>
  <c r="BM196" i="2" s="1"/>
  <c r="BN196" i="2" s="1"/>
  <c r="BQ196" i="2"/>
  <c r="BR196" i="2" s="1"/>
  <c r="BS196" i="2" s="1"/>
  <c r="BQ45" i="2"/>
  <c r="BL45" i="2"/>
  <c r="BM45" i="2" s="1"/>
  <c r="BN45" i="2" s="1"/>
  <c r="BQ38" i="2"/>
  <c r="BR38" i="2" s="1"/>
  <c r="BS38" i="2" s="1"/>
  <c r="BL38" i="2"/>
  <c r="BM38" i="2" s="1"/>
  <c r="BN38" i="2" s="1"/>
  <c r="BQ162" i="2"/>
  <c r="BL162" i="2"/>
  <c r="BM162" i="2" s="1"/>
  <c r="BN162" i="2" s="1"/>
  <c r="BQ73" i="2"/>
  <c r="BR73" i="2" s="1"/>
  <c r="BS73" i="2" s="1"/>
  <c r="BL73" i="2"/>
  <c r="BM73" i="2" s="1"/>
  <c r="BN73" i="2" s="1"/>
  <c r="BL216" i="2"/>
  <c r="BM216" i="2" s="1"/>
  <c r="BN216" i="2" s="1"/>
  <c r="BQ216" i="2"/>
  <c r="BL201" i="2"/>
  <c r="BM201" i="2" s="1"/>
  <c r="BN201" i="2" s="1"/>
  <c r="BQ201" i="2"/>
  <c r="BR201" i="2" s="1"/>
  <c r="BS201" i="2" s="1"/>
  <c r="BL171" i="2"/>
  <c r="BM171" i="2" s="1"/>
  <c r="BN171" i="2" s="1"/>
  <c r="BQ171" i="2"/>
  <c r="BR171" i="2" s="1"/>
  <c r="BS171" i="2" s="1"/>
  <c r="BL188" i="2"/>
  <c r="BM188" i="2" s="1"/>
  <c r="BN188" i="2" s="1"/>
  <c r="BQ188" i="2"/>
  <c r="BR188" i="2" s="1"/>
  <c r="BS188" i="2" s="1"/>
  <c r="BQ158" i="2"/>
  <c r="BL158" i="2"/>
  <c r="BM158" i="2" s="1"/>
  <c r="BN158" i="2" s="1"/>
  <c r="BQ83" i="2"/>
  <c r="BL83" i="2"/>
  <c r="BM83" i="2" s="1"/>
  <c r="BN83" i="2" s="1"/>
  <c r="BQ232" i="2"/>
  <c r="BR232" i="2" s="1"/>
  <c r="BS232" i="2" s="1"/>
  <c r="BL232" i="2"/>
  <c r="BM232" i="2" s="1"/>
  <c r="BN232" i="2" s="1"/>
  <c r="BQ60" i="2"/>
  <c r="BR60" i="2" s="1"/>
  <c r="BS60" i="2" s="1"/>
  <c r="BL60" i="2"/>
  <c r="BM60" i="2" s="1"/>
  <c r="BN60" i="2" s="1"/>
  <c r="BL77" i="2"/>
  <c r="BM77" i="2" s="1"/>
  <c r="BN77" i="2" s="1"/>
  <c r="BQ77" i="2"/>
  <c r="BL130" i="2"/>
  <c r="BM130" i="2" s="1"/>
  <c r="BN130" i="2" s="1"/>
  <c r="BQ130" i="2"/>
  <c r="BR130" i="2" s="1"/>
  <c r="BS130" i="2" s="1"/>
  <c r="BL59" i="2"/>
  <c r="BM59" i="2" s="1"/>
  <c r="BN59" i="2" s="1"/>
  <c r="BQ59" i="2"/>
  <c r="BR59" i="2" s="1"/>
  <c r="BS59" i="2" s="1"/>
  <c r="BQ149" i="2"/>
  <c r="BR149" i="2" s="1"/>
  <c r="BS149" i="2" s="1"/>
  <c r="BL149" i="2"/>
  <c r="BM149" i="2" s="1"/>
  <c r="BN149" i="2" s="1"/>
  <c r="BQ122" i="2"/>
  <c r="BR122" i="2" s="1"/>
  <c r="BS122" i="2" s="1"/>
  <c r="BL122" i="2"/>
  <c r="BM122" i="2" s="1"/>
  <c r="BN122" i="2" s="1"/>
  <c r="BQ170" i="2"/>
  <c r="BR170" i="2" s="1"/>
  <c r="BS170" i="2" s="1"/>
  <c r="BL170" i="2"/>
  <c r="BM170" i="2" s="1"/>
  <c r="BN170" i="2" s="1"/>
  <c r="BQ156" i="2"/>
  <c r="BR156" i="2" s="1"/>
  <c r="BS156" i="2" s="1"/>
  <c r="BL156" i="2"/>
  <c r="BM156" i="2" s="1"/>
  <c r="BN156" i="2" s="1"/>
  <c r="BL128" i="2"/>
  <c r="BM128" i="2" s="1"/>
  <c r="BN128" i="2" s="1"/>
  <c r="BQ128" i="2"/>
  <c r="BR128" i="2" s="1"/>
  <c r="BS128" i="2" s="1"/>
  <c r="BL37" i="2"/>
  <c r="BM37" i="2" s="1"/>
  <c r="BN37" i="2" s="1"/>
  <c r="BQ37" i="2"/>
  <c r="BR37" i="2" s="1"/>
  <c r="BS37" i="2" s="1"/>
  <c r="BQ78" i="2"/>
  <c r="BR78" i="2" s="1"/>
  <c r="BS78" i="2" s="1"/>
  <c r="BL78" i="2"/>
  <c r="BM78" i="2" s="1"/>
  <c r="BN78" i="2" s="1"/>
  <c r="BQ229" i="2"/>
  <c r="BL229" i="2"/>
  <c r="BM229" i="2" s="1"/>
  <c r="BN229" i="2" s="1"/>
  <c r="BQ202" i="2"/>
  <c r="BR202" i="2" s="1"/>
  <c r="BS202" i="2" s="1"/>
  <c r="BL202" i="2"/>
  <c r="BM202" i="2" s="1"/>
  <c r="BN202" i="2" s="1"/>
  <c r="BQ234" i="2"/>
  <c r="BR234" i="2" s="1"/>
  <c r="BS234" i="2" s="1"/>
  <c r="BL234" i="2"/>
  <c r="BM234" i="2" s="1"/>
  <c r="BN234" i="2" s="1"/>
  <c r="BQ189" i="2"/>
  <c r="BL189" i="2"/>
  <c r="BM189" i="2" s="1"/>
  <c r="BN189" i="2" s="1"/>
  <c r="BL211" i="2"/>
  <c r="BM211" i="2" s="1"/>
  <c r="BN211" i="2" s="1"/>
  <c r="BQ211" i="2"/>
  <c r="BQ58" i="2"/>
  <c r="BR58" i="2" s="1"/>
  <c r="BS58" i="2" s="1"/>
  <c r="BL58" i="2"/>
  <c r="BM58" i="2" s="1"/>
  <c r="BN58" i="2" s="1"/>
  <c r="BQ190" i="2"/>
  <c r="BL190" i="2"/>
  <c r="BM190" i="2" s="1"/>
  <c r="BN190" i="2" s="1"/>
  <c r="BL36" i="2"/>
  <c r="BM36" i="2" s="1"/>
  <c r="BN36" i="2" s="1"/>
  <c r="BQ36" i="2"/>
  <c r="BR36" i="2" s="1"/>
  <c r="BS36" i="2" s="1"/>
  <c r="BL93" i="2"/>
  <c r="BM93" i="2" s="1"/>
  <c r="BN93" i="2" s="1"/>
  <c r="BQ93" i="2"/>
  <c r="BQ141" i="2"/>
  <c r="BR141" i="2" s="1"/>
  <c r="BS141" i="2" s="1"/>
  <c r="BL141" i="2"/>
  <c r="BM141" i="2" s="1"/>
  <c r="BN141" i="2" s="1"/>
  <c r="BQ94" i="2"/>
  <c r="BL94" i="2"/>
  <c r="BM94" i="2" s="1"/>
  <c r="BN94" i="2" s="1"/>
  <c r="BQ74" i="2"/>
  <c r="BL74" i="2"/>
  <c r="BM74" i="2" s="1"/>
  <c r="BN74" i="2" s="1"/>
  <c r="BL47" i="2"/>
  <c r="BM47" i="2" s="1"/>
  <c r="BN47" i="2" s="1"/>
  <c r="BQ47" i="2"/>
  <c r="BR47" i="2" s="1"/>
  <c r="BS47" i="2" s="1"/>
  <c r="BQ68" i="2"/>
  <c r="BR68" i="2" s="1"/>
  <c r="BS68" i="2" s="1"/>
  <c r="BL68" i="2"/>
  <c r="BM68" i="2" s="1"/>
  <c r="BN68" i="2" s="1"/>
  <c r="BQ100" i="2"/>
  <c r="BR100" i="2" s="1"/>
  <c r="BS100" i="2" s="1"/>
  <c r="BL100" i="2"/>
  <c r="BM100" i="2" s="1"/>
  <c r="BN100" i="2" s="1"/>
  <c r="BL142" i="2"/>
  <c r="BM142" i="2" s="1"/>
  <c r="BN142" i="2" s="1"/>
  <c r="BQ142" i="2"/>
  <c r="BR142" i="2" s="1"/>
  <c r="BS142" i="2" s="1"/>
  <c r="BQ63" i="2"/>
  <c r="BR63" i="2" s="1"/>
  <c r="BS63" i="2" s="1"/>
  <c r="BL63" i="2"/>
  <c r="BM63" i="2" s="1"/>
  <c r="BN63" i="2" s="1"/>
  <c r="BQ169" i="2"/>
  <c r="BR169" i="2" s="1"/>
  <c r="BS169" i="2" s="1"/>
  <c r="BL169" i="2"/>
  <c r="BM169" i="2" s="1"/>
  <c r="BN169" i="2" s="1"/>
  <c r="BQ90" i="2"/>
  <c r="BR90" i="2" s="1"/>
  <c r="BS90" i="2" s="1"/>
  <c r="BL90" i="2"/>
  <c r="BM90" i="2" s="1"/>
  <c r="BN90" i="2" s="1"/>
  <c r="BQ75" i="2"/>
  <c r="BR75" i="2" s="1"/>
  <c r="BS75" i="2" s="1"/>
  <c r="BL75" i="2"/>
  <c r="BM75" i="2" s="1"/>
  <c r="BN75" i="2" s="1"/>
  <c r="BQ116" i="2"/>
  <c r="BR116" i="2" s="1"/>
  <c r="BS116" i="2" s="1"/>
  <c r="BL116" i="2"/>
  <c r="BM116" i="2" s="1"/>
  <c r="BN116" i="2" s="1"/>
  <c r="BQ126" i="2"/>
  <c r="BR126" i="2" s="1"/>
  <c r="BS126" i="2" s="1"/>
  <c r="BL126" i="2"/>
  <c r="BM126" i="2" s="1"/>
  <c r="BN126" i="2" s="1"/>
  <c r="BQ49" i="2"/>
  <c r="BR49" i="2" s="1"/>
  <c r="BS49" i="2" s="1"/>
  <c r="BL49" i="2"/>
  <c r="BM49" i="2" s="1"/>
  <c r="BN49" i="2" s="1"/>
  <c r="BQ79" i="2"/>
  <c r="BL79" i="2"/>
  <c r="BM79" i="2" s="1"/>
  <c r="BN79" i="2" s="1"/>
  <c r="BQ164" i="2"/>
  <c r="BR164" i="2" s="1"/>
  <c r="BS164" i="2" s="1"/>
  <c r="BL164" i="2"/>
  <c r="BM164" i="2" s="1"/>
  <c r="BN164" i="2" s="1"/>
  <c r="BT102" i="2"/>
  <c r="BU102" i="2" s="1"/>
  <c r="BT124" i="2"/>
  <c r="BU124" i="2" s="1"/>
  <c r="BT149" i="2"/>
  <c r="BU149" i="2" s="1"/>
  <c r="BT174" i="2"/>
  <c r="BU174" i="2" s="1"/>
  <c r="BT119" i="2"/>
  <c r="BU119" i="2" s="1"/>
  <c r="BT99" i="2"/>
  <c r="BU99" i="2" s="1"/>
  <c r="BT223" i="2"/>
  <c r="BU223" i="2" s="1"/>
  <c r="BT47" i="2"/>
  <c r="BU47" i="2" s="1"/>
  <c r="BT25" i="2"/>
  <c r="BU25" i="2" s="1"/>
  <c r="BT172" i="2"/>
  <c r="BU172" i="2" s="1"/>
  <c r="BT70" i="2"/>
  <c r="BU70" i="2" s="1"/>
  <c r="BT160" i="2"/>
  <c r="BU160" i="2" s="1"/>
  <c r="BT159" i="2"/>
  <c r="BU159" i="2" s="1"/>
  <c r="BT84" i="2"/>
  <c r="BU84" i="2" s="1"/>
  <c r="BT237" i="2"/>
  <c r="BU237" i="2" s="1"/>
  <c r="BT186" i="2"/>
  <c r="BU186" i="2" s="1"/>
  <c r="BT196" i="2"/>
  <c r="BU196" i="2" s="1"/>
  <c r="BT185" i="2"/>
  <c r="BU185" i="2" s="1"/>
  <c r="BT200" i="2"/>
  <c r="BU200" i="2" s="1"/>
  <c r="BT104" i="2"/>
  <c r="BU104" i="2" s="1"/>
  <c r="BT69" i="2"/>
  <c r="BU69" i="2" s="1"/>
  <c r="BT138" i="2"/>
  <c r="BU138" i="2" s="1"/>
  <c r="BT59" i="2"/>
  <c r="BU59" i="2" s="1"/>
  <c r="BT228" i="2"/>
  <c r="BU228" i="2" s="1"/>
  <c r="BT164" i="2"/>
  <c r="BU164" i="2" s="1"/>
  <c r="BT49" i="2"/>
  <c r="BU49" i="2" s="1"/>
  <c r="BT170" i="2"/>
  <c r="BU170" i="2" s="1"/>
  <c r="BT168" i="2"/>
  <c r="BU168" i="2" s="1"/>
  <c r="BT89" i="2"/>
  <c r="BU89" i="2" s="1"/>
  <c r="BT188" i="2"/>
  <c r="BU188" i="2" s="1"/>
  <c r="BT87" i="2"/>
  <c r="BU87" i="2" s="1"/>
  <c r="BT33" i="2"/>
  <c r="BU33" i="2" s="1"/>
  <c r="BT60" i="2"/>
  <c r="BU60" i="2" s="1"/>
  <c r="BT198" i="2"/>
  <c r="BU198" i="2" s="1"/>
  <c r="BT232" i="2"/>
  <c r="BU232" i="2" s="1"/>
  <c r="BT58" i="2"/>
  <c r="BU58" i="2" s="1"/>
  <c r="BT106" i="2"/>
  <c r="BU106" i="2" s="1"/>
  <c r="BT142" i="2"/>
  <c r="BU142" i="2" s="1"/>
  <c r="BT113" i="2"/>
  <c r="BU113" i="2" s="1"/>
  <c r="BT180" i="2"/>
  <c r="BU180" i="2" s="1"/>
  <c r="BT234" i="2"/>
  <c r="BU234" i="2" s="1"/>
  <c r="BT95" i="2"/>
  <c r="BU95" i="2" s="1"/>
  <c r="BT179" i="2"/>
  <c r="BU179" i="2" s="1"/>
  <c r="BT165" i="2"/>
  <c r="BU165" i="2" s="1"/>
  <c r="BT173" i="2"/>
  <c r="BU173" i="2" s="1"/>
  <c r="BT156" i="2"/>
  <c r="BU156" i="2" s="1"/>
  <c r="BT100" i="2"/>
  <c r="BU100" i="2" s="1"/>
  <c r="BT46" i="2"/>
  <c r="BU46" i="2" s="1"/>
  <c r="BT139" i="2"/>
  <c r="BU139" i="2" s="1"/>
  <c r="BT65" i="2"/>
  <c r="BU65" i="2" s="1"/>
  <c r="BT183" i="2"/>
  <c r="BU183" i="2" s="1"/>
  <c r="BT221" i="2"/>
  <c r="BU221" i="2" s="1"/>
  <c r="BT218" i="2"/>
  <c r="BU218" i="2" s="1"/>
  <c r="BT133" i="2"/>
  <c r="BU133" i="2" s="1"/>
  <c r="BT55" i="2"/>
  <c r="BU55" i="2" s="1"/>
  <c r="BT141" i="2"/>
  <c r="BU141" i="2" s="1"/>
  <c r="BT224" i="2"/>
  <c r="BU224" i="2" s="1"/>
  <c r="BT51" i="2"/>
  <c r="BU51" i="2" s="1"/>
  <c r="BT201" i="2"/>
  <c r="BU201" i="2" s="1"/>
  <c r="BT122" i="2"/>
  <c r="BU122" i="2" s="1"/>
  <c r="BT66" i="2"/>
  <c r="BU66" i="2" s="1"/>
  <c r="BT157" i="2"/>
  <c r="BU157" i="2" s="1"/>
  <c r="BT68" i="2"/>
  <c r="BU68" i="2" s="1"/>
  <c r="CC191" i="2"/>
  <c r="CD191" i="2" s="1"/>
  <c r="BZ191" i="2"/>
  <c r="CE191" i="2" s="1"/>
  <c r="CF191" i="2" s="1"/>
  <c r="CC172" i="2"/>
  <c r="CD172" i="2" s="1"/>
  <c r="BZ172" i="2"/>
  <c r="BT150" i="2"/>
  <c r="BU150" i="2" s="1"/>
  <c r="CC193" i="2"/>
  <c r="CD193" i="2" s="1"/>
  <c r="BZ193" i="2"/>
  <c r="CE193" i="2" s="1"/>
  <c r="CF193" i="2" s="1"/>
  <c r="CA217" i="2"/>
  <c r="CB217" i="2" s="1"/>
  <c r="AP217" i="2"/>
  <c r="CC216" i="2"/>
  <c r="CD216" i="2" s="1"/>
  <c r="BZ216" i="2"/>
  <c r="CE216" i="2" s="1"/>
  <c r="CF216" i="2" s="1"/>
  <c r="CC155" i="2"/>
  <c r="CD155" i="2" s="1"/>
  <c r="BZ155" i="2"/>
  <c r="CA182" i="2"/>
  <c r="CB182" i="2" s="1"/>
  <c r="CA189" i="2"/>
  <c r="CB189" i="2" s="1"/>
  <c r="CC33" i="2"/>
  <c r="CD33" i="2" s="1"/>
  <c r="BZ33" i="2"/>
  <c r="CC27" i="2"/>
  <c r="CD27" i="2" s="1"/>
  <c r="BZ27" i="2"/>
  <c r="CC212" i="2"/>
  <c r="CD212" i="2" s="1"/>
  <c r="BZ212" i="2"/>
  <c r="CE148" i="2"/>
  <c r="CF148" i="2" s="1"/>
  <c r="BY151" i="2"/>
  <c r="CC80" i="2"/>
  <c r="CD80" i="2" s="1"/>
  <c r="BZ80" i="2"/>
  <c r="CE144" i="2"/>
  <c r="CF144" i="2" s="1"/>
  <c r="BZ141" i="2"/>
  <c r="CC141" i="2"/>
  <c r="CD141" i="2" s="1"/>
  <c r="BZ134" i="2"/>
  <c r="CC134" i="2"/>
  <c r="CD134" i="2" s="1"/>
  <c r="BZ71" i="2"/>
  <c r="CC71" i="2"/>
  <c r="CD71" i="2" s="1"/>
  <c r="BZ165" i="2"/>
  <c r="CE165" i="2" s="1"/>
  <c r="CF165" i="2" s="1"/>
  <c r="CC165" i="2"/>
  <c r="CD165" i="2" s="1"/>
  <c r="BZ146" i="2"/>
  <c r="CC197" i="2"/>
  <c r="CD197" i="2" s="1"/>
  <c r="BZ197" i="2"/>
  <c r="CE197" i="2" s="1"/>
  <c r="CF197" i="2" s="1"/>
  <c r="CC68" i="2"/>
  <c r="CD68" i="2" s="1"/>
  <c r="BZ68" i="2"/>
  <c r="CE68" i="2" s="1"/>
  <c r="CF68" i="2" s="1"/>
  <c r="BZ230" i="2"/>
  <c r="CC230" i="2"/>
  <c r="CD230" i="2" s="1"/>
  <c r="BZ78" i="2"/>
  <c r="CC78" i="2"/>
  <c r="CD78" i="2" s="1"/>
  <c r="CA96" i="2"/>
  <c r="CB96" i="2" s="1"/>
  <c r="BZ41" i="2"/>
  <c r="CC41" i="2"/>
  <c r="CD41" i="2" s="1"/>
  <c r="CC34" i="2"/>
  <c r="CD34" i="2" s="1"/>
  <c r="BZ34" i="2"/>
  <c r="CE34" i="2" s="1"/>
  <c r="CF34" i="2" s="1"/>
  <c r="CC158" i="2"/>
  <c r="CD158" i="2" s="1"/>
  <c r="BZ158" i="2"/>
  <c r="CE158" i="2" s="1"/>
  <c r="CF158" i="2" s="1"/>
  <c r="BZ93" i="2"/>
  <c r="CE93" i="2" s="1"/>
  <c r="CF93" i="2" s="1"/>
  <c r="CC93" i="2"/>
  <c r="CD93" i="2" s="1"/>
  <c r="CC44" i="2"/>
  <c r="CD44" i="2" s="1"/>
  <c r="BZ44" i="2"/>
  <c r="CA227" i="2"/>
  <c r="CB227" i="2" s="1"/>
  <c r="AP227" i="2"/>
  <c r="CC221" i="2"/>
  <c r="CD221" i="2" s="1"/>
  <c r="BZ221" i="2"/>
  <c r="CC211" i="2"/>
  <c r="CD211" i="2" s="1"/>
  <c r="BZ211" i="2"/>
  <c r="BY120" i="2"/>
  <c r="CC106" i="2"/>
  <c r="CD106" i="2" s="1"/>
  <c r="BZ106" i="2"/>
  <c r="CE106" i="2" s="1"/>
  <c r="CF106" i="2" s="1"/>
  <c r="CC135" i="2"/>
  <c r="CD135" i="2" s="1"/>
  <c r="BZ135" i="2"/>
  <c r="CE135" i="2" s="1"/>
  <c r="CF135" i="2" s="1"/>
  <c r="BZ83" i="2"/>
  <c r="CC83" i="2"/>
  <c r="CD83" i="2" s="1"/>
  <c r="CA66" i="2"/>
  <c r="CB66" i="2" s="1"/>
  <c r="CA104" i="2"/>
  <c r="CB104" i="2" s="1"/>
  <c r="BY136" i="2"/>
  <c r="CA140" i="2"/>
  <c r="CB140" i="2" s="1"/>
  <c r="BY220" i="2"/>
  <c r="BZ207" i="2"/>
  <c r="CE207" i="2" s="1"/>
  <c r="CF207" i="2" s="1"/>
  <c r="CC207" i="2"/>
  <c r="CD207" i="2" s="1"/>
  <c r="CA194" i="2"/>
  <c r="CB194" i="2" s="1"/>
  <c r="AP194" i="2"/>
  <c r="BZ232" i="2"/>
  <c r="CE232" i="2" s="1"/>
  <c r="CF232" i="2" s="1"/>
  <c r="CC232" i="2"/>
  <c r="CD232" i="2" s="1"/>
  <c r="CC72" i="2"/>
  <c r="CD72" i="2" s="1"/>
  <c r="BZ72" i="2"/>
  <c r="CE72" i="2" s="1"/>
  <c r="CF72" i="2" s="1"/>
  <c r="CE29" i="2"/>
  <c r="CF29" i="2" s="1"/>
  <c r="BZ101" i="2"/>
  <c r="CE101" i="2" s="1"/>
  <c r="CF101" i="2" s="1"/>
  <c r="CC101" i="2"/>
  <c r="CD101" i="2" s="1"/>
  <c r="CC161" i="2"/>
  <c r="CD161" i="2" s="1"/>
  <c r="BZ161" i="2"/>
  <c r="CE161" i="2" s="1"/>
  <c r="CF161" i="2" s="1"/>
  <c r="BY159" i="2"/>
  <c r="CC39" i="2"/>
  <c r="CD39" i="2" s="1"/>
  <c r="BZ39" i="2"/>
  <c r="CE39" i="2" s="1"/>
  <c r="CF39" i="2" s="1"/>
  <c r="BZ160" i="2"/>
  <c r="CC160" i="2"/>
  <c r="CD160" i="2" s="1"/>
  <c r="CA112" i="2"/>
  <c r="CB112" i="2" s="1"/>
  <c r="AP112" i="2"/>
  <c r="CC168" i="2"/>
  <c r="CD168" i="2" s="1"/>
  <c r="BZ168" i="2"/>
  <c r="CE168" i="2" s="1"/>
  <c r="CF168" i="2" s="1"/>
  <c r="CA141" i="2"/>
  <c r="CB141" i="2" s="1"/>
  <c r="CC208" i="2"/>
  <c r="CD208" i="2" s="1"/>
  <c r="BZ208" i="2"/>
  <c r="CC89" i="2"/>
  <c r="CD89" i="2" s="1"/>
  <c r="BZ89" i="2"/>
  <c r="CC166" i="2"/>
  <c r="CD166" i="2" s="1"/>
  <c r="BZ166" i="2"/>
  <c r="CE166" i="2" s="1"/>
  <c r="CF166" i="2" s="1"/>
  <c r="CC105" i="2"/>
  <c r="CD105" i="2" s="1"/>
  <c r="BZ105" i="2"/>
  <c r="BZ128" i="2"/>
  <c r="CC128" i="2"/>
  <c r="CD128" i="2" s="1"/>
  <c r="BT86" i="2"/>
  <c r="BU86" i="2" s="1"/>
  <c r="BY140" i="2"/>
  <c r="CC70" i="2"/>
  <c r="CD70" i="2" s="1"/>
  <c r="BZ70" i="2"/>
  <c r="CE70" i="2" s="1"/>
  <c r="CF70" i="2" s="1"/>
  <c r="CC213" i="2"/>
  <c r="CD213" i="2" s="1"/>
  <c r="BZ213" i="2"/>
  <c r="CC214" i="2"/>
  <c r="CD214" i="2" s="1"/>
  <c r="BZ214" i="2"/>
  <c r="CC173" i="2"/>
  <c r="CD173" i="2" s="1"/>
  <c r="BZ173" i="2"/>
  <c r="BY115" i="2"/>
  <c r="CC204" i="2"/>
  <c r="CD204" i="2" s="1"/>
  <c r="BZ204" i="2"/>
  <c r="CE204" i="2" s="1"/>
  <c r="CF204" i="2" s="1"/>
  <c r="CC121" i="2"/>
  <c r="CD121" i="2" s="1"/>
  <c r="BZ121" i="2"/>
  <c r="CE121" i="2" s="1"/>
  <c r="CF121" i="2" s="1"/>
  <c r="BZ63" i="2"/>
  <c r="CC63" i="2"/>
  <c r="CD63" i="2" s="1"/>
  <c r="BZ215" i="2"/>
  <c r="CC215" i="2"/>
  <c r="CD215" i="2" s="1"/>
  <c r="BY36" i="2"/>
  <c r="CE187" i="2"/>
  <c r="CF187" i="2" s="1"/>
  <c r="CC119" i="2"/>
  <c r="CD119" i="2" s="1"/>
  <c r="CE119" i="2" s="1"/>
  <c r="CF119" i="2" s="1"/>
  <c r="CC192" i="2"/>
  <c r="CD192" i="2" s="1"/>
  <c r="BZ192" i="2"/>
  <c r="CE192" i="2" s="1"/>
  <c r="CF192" i="2" s="1"/>
  <c r="CC64" i="2"/>
  <c r="CD64" i="2" s="1"/>
  <c r="BZ64" i="2"/>
  <c r="CA86" i="2"/>
  <c r="CB86" i="2" s="1"/>
  <c r="AP86" i="2"/>
  <c r="CA81" i="2"/>
  <c r="CB81" i="2" s="1"/>
  <c r="CC29" i="2"/>
  <c r="CD29" i="2" s="1"/>
  <c r="BZ76" i="2"/>
  <c r="CC75" i="2"/>
  <c r="CD75" i="2" s="1"/>
  <c r="BZ75" i="2"/>
  <c r="BY229" i="2"/>
  <c r="CC149" i="2"/>
  <c r="CD149" i="2" s="1"/>
  <c r="BZ149" i="2"/>
  <c r="CE149" i="2" s="1"/>
  <c r="CF149" i="2" s="1"/>
  <c r="CC67" i="2"/>
  <c r="CD67" i="2" s="1"/>
  <c r="BZ67" i="2"/>
  <c r="CE67" i="2" s="1"/>
  <c r="CF67" i="2" s="1"/>
  <c r="CC184" i="2"/>
  <c r="CD184" i="2" s="1"/>
  <c r="BZ184" i="2"/>
  <c r="CE184" i="2" s="1"/>
  <c r="CF184" i="2" s="1"/>
  <c r="BZ51" i="2"/>
  <c r="CC51" i="2"/>
  <c r="CD51" i="2" s="1"/>
  <c r="CC181" i="2"/>
  <c r="CD181" i="2" s="1"/>
  <c r="BZ181" i="2"/>
  <c r="BZ217" i="2"/>
  <c r="CC153" i="2"/>
  <c r="CD153" i="2" s="1"/>
  <c r="BZ153" i="2"/>
  <c r="CE153" i="2" s="1"/>
  <c r="CF153" i="2" s="1"/>
  <c r="CC186" i="2"/>
  <c r="CD186" i="2" s="1"/>
  <c r="BZ186" i="2"/>
  <c r="CE186" i="2" s="1"/>
  <c r="CF186" i="2" s="1"/>
  <c r="CC133" i="2"/>
  <c r="CD133" i="2" s="1"/>
  <c r="BZ133" i="2"/>
  <c r="CE133" i="2" s="1"/>
  <c r="CF133" i="2" s="1"/>
  <c r="CC227" i="2"/>
  <c r="CD227" i="2" s="1"/>
  <c r="BZ227" i="2"/>
  <c r="CE227" i="2" s="1"/>
  <c r="CF227" i="2" s="1"/>
  <c r="CC196" i="2"/>
  <c r="CD196" i="2" s="1"/>
  <c r="BZ196" i="2"/>
  <c r="CE196" i="2" s="1"/>
  <c r="CF196" i="2" s="1"/>
  <c r="CC163" i="2"/>
  <c r="CD163" i="2" s="1"/>
  <c r="BZ163" i="2"/>
  <c r="CE163" i="2" s="1"/>
  <c r="CF163" i="2" s="1"/>
  <c r="CA115" i="2"/>
  <c r="CB115" i="2" s="1"/>
  <c r="BZ99" i="2"/>
  <c r="CC99" i="2"/>
  <c r="CD99" i="2" s="1"/>
  <c r="CC95" i="2"/>
  <c r="CD95" i="2" s="1"/>
  <c r="BZ95" i="2"/>
  <c r="CC74" i="2"/>
  <c r="CD74" i="2" s="1"/>
  <c r="BZ74" i="2"/>
  <c r="CC100" i="2"/>
  <c r="CD100" i="2" s="1"/>
  <c r="BZ100" i="2"/>
  <c r="CA51" i="2"/>
  <c r="CB51" i="2" s="1"/>
  <c r="BZ210" i="2"/>
  <c r="CC210" i="2"/>
  <c r="CD210" i="2" s="1"/>
  <c r="CC187" i="2"/>
  <c r="CD187" i="2" s="1"/>
  <c r="CA39" i="2"/>
  <c r="CB39" i="2" s="1"/>
  <c r="CC218" i="2"/>
  <c r="CD218" i="2" s="1"/>
  <c r="BZ218" i="2"/>
  <c r="CE218" i="2" s="1"/>
  <c r="CF218" i="2" s="1"/>
  <c r="BZ45" i="2"/>
  <c r="CC45" i="2"/>
  <c r="CD45" i="2" s="1"/>
  <c r="CA146" i="2"/>
  <c r="CB146" i="2" s="1"/>
  <c r="AP146" i="2"/>
  <c r="CC162" i="2"/>
  <c r="CD162" i="2" s="1"/>
  <c r="BZ162" i="2"/>
  <c r="CE162" i="2" s="1"/>
  <c r="CF162" i="2" s="1"/>
  <c r="CC117" i="2"/>
  <c r="CD117" i="2" s="1"/>
  <c r="BZ117" i="2"/>
  <c r="CE117" i="2" s="1"/>
  <c r="CF117" i="2" s="1"/>
  <c r="CC110" i="2"/>
  <c r="CD110" i="2" s="1"/>
  <c r="BZ110" i="2"/>
  <c r="BZ123" i="2"/>
  <c r="CC123" i="2"/>
  <c r="CD123" i="2" s="1"/>
  <c r="CC202" i="2"/>
  <c r="CD202" i="2" s="1"/>
  <c r="BZ202" i="2"/>
  <c r="CE202" i="2" s="1"/>
  <c r="CF202" i="2" s="1"/>
  <c r="CC138" i="2"/>
  <c r="CD138" i="2" s="1"/>
  <c r="BZ138" i="2"/>
  <c r="CE138" i="2" s="1"/>
  <c r="CF138" i="2" s="1"/>
  <c r="CC114" i="2"/>
  <c r="CD114" i="2" s="1"/>
  <c r="BZ114" i="2"/>
  <c r="CE114" i="2" s="1"/>
  <c r="CF114" i="2" s="1"/>
  <c r="CC233" i="2"/>
  <c r="CD233" i="2" s="1"/>
  <c r="BZ233" i="2"/>
  <c r="CE233" i="2" s="1"/>
  <c r="CF233" i="2" s="1"/>
  <c r="CC109" i="2"/>
  <c r="CD109" i="2" s="1"/>
  <c r="BZ109" i="2"/>
  <c r="CE109" i="2" s="1"/>
  <c r="CF109" i="2" s="1"/>
  <c r="BZ26" i="2"/>
  <c r="CC26" i="2"/>
  <c r="CD26" i="2" s="1"/>
  <c r="CA76" i="2"/>
  <c r="CB76" i="2" s="1"/>
  <c r="CC111" i="2"/>
  <c r="CD111" i="2" s="1"/>
  <c r="BZ111" i="2"/>
  <c r="CE111" i="2" s="1"/>
  <c r="CF111" i="2" s="1"/>
  <c r="CE40" i="2"/>
  <c r="CF40" i="2" s="1"/>
  <c r="BZ132" i="2"/>
  <c r="CC132" i="2"/>
  <c r="CD132" i="2" s="1"/>
  <c r="BZ139" i="2"/>
  <c r="CC139" i="2"/>
  <c r="CD139" i="2" s="1"/>
  <c r="CC176" i="2"/>
  <c r="CD176" i="2" s="1"/>
  <c r="BZ176" i="2"/>
  <c r="CE176" i="2" s="1"/>
  <c r="CF176" i="2" s="1"/>
  <c r="CC88" i="2"/>
  <c r="CD88" i="2" s="1"/>
  <c r="BZ88" i="2"/>
  <c r="CE88" i="2" s="1"/>
  <c r="CF88" i="2" s="1"/>
  <c r="CA137" i="2"/>
  <c r="CB137" i="2" s="1"/>
  <c r="AP137" i="2"/>
  <c r="CC32" i="2"/>
  <c r="CD32" i="2" s="1"/>
  <c r="BZ32" i="2"/>
  <c r="CE32" i="2" s="1"/>
  <c r="CF32" i="2" s="1"/>
  <c r="BY31" i="2"/>
  <c r="CC198" i="2"/>
  <c r="CD198" i="2" s="1"/>
  <c r="CE198" i="2" s="1"/>
  <c r="CF198" i="2" s="1"/>
  <c r="BY234" i="2"/>
  <c r="CC107" i="2"/>
  <c r="CD107" i="2" s="1"/>
  <c r="BZ107" i="2"/>
  <c r="CE107" i="2" s="1"/>
  <c r="CF107" i="2" s="1"/>
  <c r="CA234" i="2"/>
  <c r="CB234" i="2" s="1"/>
  <c r="CC238" i="2"/>
  <c r="CD238" i="2" s="1"/>
  <c r="BZ238" i="2"/>
  <c r="CC178" i="2"/>
  <c r="CD178" i="2" s="1"/>
  <c r="BZ178" i="2"/>
  <c r="CE178" i="2" s="1"/>
  <c r="CF178" i="2" s="1"/>
  <c r="BY104" i="2"/>
  <c r="BZ225" i="2"/>
  <c r="CE225" i="2" s="1"/>
  <c r="CF225" i="2" s="1"/>
  <c r="CC225" i="2"/>
  <c r="CD225" i="2" s="1"/>
  <c r="CC188" i="2"/>
  <c r="CD188" i="2" s="1"/>
  <c r="BZ188" i="2"/>
  <c r="CA136" i="2"/>
  <c r="CB136" i="2" s="1"/>
  <c r="CC183" i="2"/>
  <c r="CD183" i="2" s="1"/>
  <c r="BZ183" i="2"/>
  <c r="CE183" i="2" s="1"/>
  <c r="CF183" i="2" s="1"/>
  <c r="BZ157" i="2"/>
  <c r="CC157" i="2"/>
  <c r="CD157" i="2" s="1"/>
  <c r="BZ108" i="2"/>
  <c r="CC108" i="2"/>
  <c r="CD108" i="2" s="1"/>
  <c r="BZ118" i="2"/>
  <c r="CC118" i="2"/>
  <c r="CD118" i="2" s="1"/>
  <c r="BZ56" i="2"/>
  <c r="CC56" i="2"/>
  <c r="CD56" i="2" s="1"/>
  <c r="BZ82" i="2"/>
  <c r="CE82" i="2" s="1"/>
  <c r="CF82" i="2" s="1"/>
  <c r="CC82" i="2"/>
  <c r="CD82" i="2" s="1"/>
  <c r="BZ200" i="2"/>
  <c r="CC200" i="2"/>
  <c r="CD200" i="2" s="1"/>
  <c r="CC84" i="2"/>
  <c r="CD84" i="2" s="1"/>
  <c r="BZ84" i="2"/>
  <c r="CE84" i="2" s="1"/>
  <c r="CF84" i="2" s="1"/>
  <c r="BY199" i="2"/>
  <c r="CC87" i="2"/>
  <c r="CD87" i="2" s="1"/>
  <c r="CE87" i="2" s="1"/>
  <c r="CF87" i="2" s="1"/>
  <c r="CC40" i="2"/>
  <c r="CD40" i="2" s="1"/>
  <c r="CC60" i="2"/>
  <c r="CD60" i="2" s="1"/>
  <c r="CE60" i="2" s="1"/>
  <c r="CF60" i="2" s="1"/>
  <c r="CE62" i="2"/>
  <c r="CF62" i="2" s="1"/>
  <c r="CC143" i="2"/>
  <c r="CD143" i="2" s="1"/>
  <c r="CE143" i="2" s="1"/>
  <c r="CF143" i="2" s="1"/>
  <c r="BZ92" i="2"/>
  <c r="CC92" i="2"/>
  <c r="CD92" i="2" s="1"/>
  <c r="BZ170" i="2"/>
  <c r="CC170" i="2"/>
  <c r="CD170" i="2" s="1"/>
  <c r="BZ167" i="2"/>
  <c r="CC167" i="2"/>
  <c r="CD167" i="2" s="1"/>
  <c r="BT50" i="2"/>
  <c r="BU50" i="2" s="1"/>
  <c r="CC91" i="2"/>
  <c r="CD91" i="2" s="1"/>
  <c r="BZ91" i="2"/>
  <c r="CE65" i="2"/>
  <c r="CF65" i="2" s="1"/>
  <c r="CC124" i="2"/>
  <c r="CD124" i="2" s="1"/>
  <c r="BZ124" i="2"/>
  <c r="CC50" i="2"/>
  <c r="CD50" i="2" s="1"/>
  <c r="BZ50" i="2"/>
  <c r="BY66" i="2"/>
  <c r="CC209" i="2"/>
  <c r="CD209" i="2" s="1"/>
  <c r="BZ209" i="2"/>
  <c r="CE209" i="2" s="1"/>
  <c r="CF209" i="2" s="1"/>
  <c r="CA31" i="2"/>
  <c r="CB31" i="2" s="1"/>
  <c r="BY189" i="2"/>
  <c r="BZ43" i="2"/>
  <c r="CC43" i="2"/>
  <c r="CD43" i="2" s="1"/>
  <c r="CC130" i="2"/>
  <c r="CD130" i="2" s="1"/>
  <c r="BZ130" i="2"/>
  <c r="CE130" i="2" s="1"/>
  <c r="CF130" i="2" s="1"/>
  <c r="CC47" i="2"/>
  <c r="CD47" i="2" s="1"/>
  <c r="BZ47" i="2"/>
  <c r="CE47" i="2" s="1"/>
  <c r="CF47" i="2" s="1"/>
  <c r="BY182" i="2"/>
  <c r="BZ154" i="2"/>
  <c r="CE154" i="2" s="1"/>
  <c r="CF154" i="2" s="1"/>
  <c r="CC154" i="2"/>
  <c r="CD154" i="2" s="1"/>
  <c r="CC171" i="2"/>
  <c r="CD171" i="2" s="1"/>
  <c r="BZ171" i="2"/>
  <c r="BZ205" i="2"/>
  <c r="CE205" i="2" s="1"/>
  <c r="CF205" i="2" s="1"/>
  <c r="CC205" i="2"/>
  <c r="CD205" i="2" s="1"/>
  <c r="CC226" i="2"/>
  <c r="CD226" i="2" s="1"/>
  <c r="BZ226" i="2"/>
  <c r="CC228" i="2"/>
  <c r="CD228" i="2" s="1"/>
  <c r="BZ228" i="2"/>
  <c r="BY152" i="2"/>
  <c r="CC103" i="2"/>
  <c r="CD103" i="2" s="1"/>
  <c r="BZ103" i="2"/>
  <c r="CE103" i="2" s="1"/>
  <c r="CF103" i="2" s="1"/>
  <c r="CC94" i="2"/>
  <c r="CD94" i="2" s="1"/>
  <c r="BZ94" i="2"/>
  <c r="CE94" i="2" s="1"/>
  <c r="CF94" i="2" s="1"/>
  <c r="CC86" i="2"/>
  <c r="CD86" i="2" s="1"/>
  <c r="BZ86" i="2"/>
  <c r="CE86" i="2" s="1"/>
  <c r="CF86" i="2" s="1"/>
  <c r="CA71" i="2"/>
  <c r="CB71" i="2" s="1"/>
  <c r="BY195" i="2"/>
  <c r="CC73" i="2"/>
  <c r="CD73" i="2" s="1"/>
  <c r="BZ73" i="2"/>
  <c r="CE73" i="2" s="1"/>
  <c r="CF73" i="2" s="1"/>
  <c r="CC35" i="2"/>
  <c r="CD35" i="2" s="1"/>
  <c r="BZ35" i="2"/>
  <c r="CE55" i="2"/>
  <c r="CF55" i="2" s="1"/>
  <c r="CC62" i="2"/>
  <c r="CD62" i="2" s="1"/>
  <c r="CE69" i="2"/>
  <c r="CF69" i="2" s="1"/>
  <c r="CC24" i="2"/>
  <c r="CD24" i="2" s="1"/>
  <c r="BZ24" i="2"/>
  <c r="CE24" i="2" s="1"/>
  <c r="CF24" i="2" s="1"/>
  <c r="BY61" i="2"/>
  <c r="BY81" i="2"/>
  <c r="CA174" i="2"/>
  <c r="CB174" i="2" s="1"/>
  <c r="CC77" i="2"/>
  <c r="CD77" i="2" s="1"/>
  <c r="BZ77" i="2"/>
  <c r="CC219" i="2"/>
  <c r="CD219" i="2" s="1"/>
  <c r="BZ219" i="2"/>
  <c r="CE219" i="2" s="1"/>
  <c r="CF219" i="2" s="1"/>
  <c r="BZ147" i="2"/>
  <c r="CC147" i="2"/>
  <c r="CD147" i="2" s="1"/>
  <c r="BZ156" i="2"/>
  <c r="CC156" i="2"/>
  <c r="CD156" i="2" s="1"/>
  <c r="CC53" i="2"/>
  <c r="CD53" i="2" s="1"/>
  <c r="BZ53" i="2"/>
  <c r="CC90" i="2"/>
  <c r="CD90" i="2" s="1"/>
  <c r="BZ90" i="2"/>
  <c r="CC57" i="2"/>
  <c r="CD57" i="2" s="1"/>
  <c r="BZ57" i="2"/>
  <c r="BZ190" i="2"/>
  <c r="CE190" i="2" s="1"/>
  <c r="CF190" i="2" s="1"/>
  <c r="CC190" i="2"/>
  <c r="CD190" i="2" s="1"/>
  <c r="BY96" i="2"/>
  <c r="BZ58" i="2"/>
  <c r="CC58" i="2"/>
  <c r="CD58" i="2" s="1"/>
  <c r="BZ46" i="2"/>
  <c r="CC46" i="2"/>
  <c r="CD46" i="2" s="1"/>
  <c r="CC69" i="2"/>
  <c r="CD69" i="2" s="1"/>
  <c r="CC59" i="2"/>
  <c r="CD59" i="2" s="1"/>
  <c r="BZ59" i="2"/>
  <c r="CE59" i="2" s="1"/>
  <c r="CF59" i="2" s="1"/>
  <c r="BZ175" i="2"/>
  <c r="CC175" i="2"/>
  <c r="CD175" i="2" s="1"/>
  <c r="BZ102" i="2"/>
  <c r="CC102" i="2"/>
  <c r="CD102" i="2" s="1"/>
  <c r="BZ169" i="2"/>
  <c r="CE169" i="2" s="1"/>
  <c r="CF169" i="2" s="1"/>
  <c r="CC169" i="2"/>
  <c r="CD169" i="2" s="1"/>
  <c r="CA36" i="2"/>
  <c r="CB36" i="2" s="1"/>
  <c r="BZ48" i="2"/>
  <c r="CC48" i="2"/>
  <c r="CD48" i="2" s="1"/>
  <c r="CA159" i="2"/>
  <c r="CB159" i="2" s="1"/>
  <c r="CC131" i="2"/>
  <c r="CD131" i="2" s="1"/>
  <c r="BZ131" i="2"/>
  <c r="CC38" i="2"/>
  <c r="CD38" i="2" s="1"/>
  <c r="BZ38" i="2"/>
  <c r="BZ174" i="2"/>
  <c r="CC52" i="2"/>
  <c r="CD52" i="2" s="1"/>
  <c r="BZ52" i="2"/>
  <c r="CC42" i="2"/>
  <c r="CD42" i="2" s="1"/>
  <c r="BZ42" i="2"/>
  <c r="CE42" i="2" s="1"/>
  <c r="CF42" i="2" s="1"/>
  <c r="BZ185" i="2"/>
  <c r="CC185" i="2"/>
  <c r="CD185" i="2" s="1"/>
  <c r="BZ113" i="2"/>
  <c r="CC113" i="2"/>
  <c r="CD113" i="2" s="1"/>
  <c r="BT52" i="2"/>
  <c r="BU52" i="2" s="1"/>
  <c r="CA151" i="2"/>
  <c r="CB151" i="2" s="1"/>
  <c r="CC177" i="2"/>
  <c r="CD177" i="2" s="1"/>
  <c r="BZ177" i="2"/>
  <c r="CC125" i="2"/>
  <c r="CD125" i="2" s="1"/>
  <c r="BZ125" i="2"/>
  <c r="CC179" i="2"/>
  <c r="CD179" i="2" s="1"/>
  <c r="BZ179" i="2"/>
  <c r="CC79" i="2"/>
  <c r="CD79" i="2" s="1"/>
  <c r="BZ79" i="2"/>
  <c r="CC201" i="2"/>
  <c r="CD201" i="2" s="1"/>
  <c r="BZ201" i="2"/>
  <c r="CE201" i="2" s="1"/>
  <c r="CF201" i="2" s="1"/>
  <c r="CC203" i="2"/>
  <c r="CD203" i="2" s="1"/>
  <c r="BZ203" i="2"/>
  <c r="BZ142" i="2"/>
  <c r="CC142" i="2"/>
  <c r="CD142" i="2" s="1"/>
  <c r="CC127" i="2"/>
  <c r="CD127" i="2" s="1"/>
  <c r="BZ127" i="2"/>
  <c r="CE127" i="2" s="1"/>
  <c r="CF127" i="2" s="1"/>
  <c r="CC150" i="2"/>
  <c r="CD150" i="2" s="1"/>
  <c r="BZ150" i="2"/>
  <c r="CE150" i="2" s="1"/>
  <c r="CF150" i="2" s="1"/>
  <c r="CA229" i="2"/>
  <c r="CB229" i="2" s="1"/>
  <c r="BZ97" i="2"/>
  <c r="CE97" i="2" s="1"/>
  <c r="CF97" i="2" s="1"/>
  <c r="CC97" i="2"/>
  <c r="CD97" i="2" s="1"/>
  <c r="CC231" i="2"/>
  <c r="CD231" i="2" s="1"/>
  <c r="BZ231" i="2"/>
  <c r="CE231" i="2" s="1"/>
  <c r="CF231" i="2" s="1"/>
  <c r="BZ180" i="2"/>
  <c r="CC180" i="2"/>
  <c r="CD180" i="2" s="1"/>
  <c r="CC49" i="2"/>
  <c r="CD49" i="2" s="1"/>
  <c r="BZ49" i="2"/>
  <c r="CE49" i="2" s="1"/>
  <c r="CF49" i="2" s="1"/>
  <c r="CC98" i="2"/>
  <c r="CD98" i="2" s="1"/>
  <c r="BZ98" i="2"/>
  <c r="CE98" i="2" s="1"/>
  <c r="CF98" i="2" s="1"/>
  <c r="CC30" i="2"/>
  <c r="CD30" i="2" s="1"/>
  <c r="BZ30" i="2"/>
  <c r="CE30" i="2" s="1"/>
  <c r="CF30" i="2" s="1"/>
  <c r="CC237" i="2"/>
  <c r="CD237" i="2" s="1"/>
  <c r="BZ237" i="2"/>
  <c r="CE237" i="2" s="1"/>
  <c r="CF237" i="2" s="1"/>
  <c r="CA99" i="2"/>
  <c r="CB99" i="2" s="1"/>
  <c r="AP99" i="2"/>
  <c r="CC145" i="2"/>
  <c r="CD145" i="2" s="1"/>
  <c r="BZ145" i="2"/>
  <c r="CE145" i="2" s="1"/>
  <c r="CF145" i="2" s="1"/>
  <c r="CC112" i="2"/>
  <c r="CD112" i="2" s="1"/>
  <c r="BZ112" i="2"/>
  <c r="CE112" i="2" s="1"/>
  <c r="CF112" i="2" s="1"/>
  <c r="BZ235" i="2"/>
  <c r="CE235" i="2" s="1"/>
  <c r="CF235" i="2" s="1"/>
  <c r="CC235" i="2"/>
  <c r="CD235" i="2" s="1"/>
  <c r="CC37" i="2"/>
  <c r="CD37" i="2" s="1"/>
  <c r="BZ37" i="2"/>
  <c r="CE37" i="2" s="1"/>
  <c r="CF37" i="2" s="1"/>
  <c r="CC236" i="2"/>
  <c r="CD236" i="2" s="1"/>
  <c r="BZ236" i="2"/>
  <c r="CE236" i="2" s="1"/>
  <c r="CF236" i="2" s="1"/>
  <c r="CC85" i="2"/>
  <c r="CD85" i="2" s="1"/>
  <c r="BZ85" i="2"/>
  <c r="CC116" i="2"/>
  <c r="CD116" i="2" s="1"/>
  <c r="BZ116" i="2"/>
  <c r="CE116" i="2" s="1"/>
  <c r="CF116" i="2" s="1"/>
  <c r="CC129" i="2"/>
  <c r="CD129" i="2" s="1"/>
  <c r="BZ129" i="2"/>
  <c r="CC206" i="2"/>
  <c r="CD206" i="2" s="1"/>
  <c r="BZ206" i="2"/>
  <c r="CE206" i="2" s="1"/>
  <c r="CF206" i="2" s="1"/>
  <c r="CC164" i="2"/>
  <c r="CD164" i="2" s="1"/>
  <c r="BZ164" i="2"/>
  <c r="CE164" i="2" s="1"/>
  <c r="CF164" i="2" s="1"/>
  <c r="CC194" i="2"/>
  <c r="CD194" i="2" s="1"/>
  <c r="BZ194" i="2"/>
  <c r="CE194" i="2" s="1"/>
  <c r="CF194" i="2" s="1"/>
  <c r="BY137" i="2"/>
  <c r="CC122" i="2"/>
  <c r="CD122" i="2" s="1"/>
  <c r="BZ122" i="2"/>
  <c r="CA152" i="2"/>
  <c r="CB152" i="2" s="1"/>
  <c r="CC224" i="2"/>
  <c r="CD224" i="2" s="1"/>
  <c r="BZ224" i="2"/>
  <c r="CC126" i="2"/>
  <c r="CD126" i="2" s="1"/>
  <c r="BZ126" i="2"/>
  <c r="CE126" i="2" s="1"/>
  <c r="CF126" i="2" s="1"/>
  <c r="BT32" i="2"/>
  <c r="BU32" i="2" s="1"/>
  <c r="BV23" i="2"/>
  <c r="R81" i="2"/>
  <c r="I71" i="2"/>
  <c r="I70" i="2"/>
  <c r="I23" i="2"/>
  <c r="R36" i="2"/>
  <c r="H79" i="2"/>
  <c r="H78" i="2"/>
  <c r="H77" i="2"/>
  <c r="P30" i="2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Z195" i="2" l="1"/>
  <c r="CC195" i="2"/>
  <c r="CD195" i="2" s="1"/>
  <c r="BT53" i="2"/>
  <c r="BU53" i="2" s="1"/>
  <c r="BR92" i="2"/>
  <c r="BS92" i="2" s="1"/>
  <c r="BT92" i="2"/>
  <c r="BU92" i="2" s="1"/>
  <c r="CE134" i="2"/>
  <c r="CF134" i="2" s="1"/>
  <c r="BR229" i="2"/>
  <c r="BS229" i="2" s="1"/>
  <c r="BT229" i="2"/>
  <c r="BU229" i="2" s="1"/>
  <c r="BR110" i="2"/>
  <c r="BS110" i="2" s="1"/>
  <c r="BT110" i="2"/>
  <c r="BU110" i="2" s="1"/>
  <c r="CE147" i="2"/>
  <c r="CF147" i="2" s="1"/>
  <c r="BZ31" i="2"/>
  <c r="CE31" i="2" s="1"/>
  <c r="CF31" i="2" s="1"/>
  <c r="CC31" i="2"/>
  <c r="CD31" i="2" s="1"/>
  <c r="CE128" i="2"/>
  <c r="CF128" i="2" s="1"/>
  <c r="BT176" i="2"/>
  <c r="BU176" i="2" s="1"/>
  <c r="BR93" i="2"/>
  <c r="BS93" i="2" s="1"/>
  <c r="BT93" i="2"/>
  <c r="BU93" i="2" s="1"/>
  <c r="BR64" i="2"/>
  <c r="BS64" i="2" s="1"/>
  <c r="BT64" i="2"/>
  <c r="BU64" i="2" s="1"/>
  <c r="BR213" i="2"/>
  <c r="BS213" i="2" s="1"/>
  <c r="BT213" i="2"/>
  <c r="BU213" i="2" s="1"/>
  <c r="CE129" i="2"/>
  <c r="CF129" i="2" s="1"/>
  <c r="CE203" i="2"/>
  <c r="CF203" i="2" s="1"/>
  <c r="CE52" i="2"/>
  <c r="CF52" i="2" s="1"/>
  <c r="CE77" i="2"/>
  <c r="CF77" i="2" s="1"/>
  <c r="CE43" i="2"/>
  <c r="CF43" i="2" s="1"/>
  <c r="CE92" i="2"/>
  <c r="CF92" i="2" s="1"/>
  <c r="CE157" i="2"/>
  <c r="CF157" i="2" s="1"/>
  <c r="CE45" i="2"/>
  <c r="CF45" i="2" s="1"/>
  <c r="BT37" i="2"/>
  <c r="BU37" i="2" s="1"/>
  <c r="CE215" i="2"/>
  <c r="CF215" i="2" s="1"/>
  <c r="CE105" i="2"/>
  <c r="CF105" i="2" s="1"/>
  <c r="CE80" i="2"/>
  <c r="CF80" i="2" s="1"/>
  <c r="BR45" i="2"/>
  <c r="BS45" i="2" s="1"/>
  <c r="BT45" i="2"/>
  <c r="BU45" i="2" s="1"/>
  <c r="BR177" i="2"/>
  <c r="BS177" i="2" s="1"/>
  <c r="BT177" i="2"/>
  <c r="BU177" i="2" s="1"/>
  <c r="BR131" i="2"/>
  <c r="BS131" i="2" s="1"/>
  <c r="BT131" i="2"/>
  <c r="BU131" i="2" s="1"/>
  <c r="BR34" i="2"/>
  <c r="BS34" i="2" s="1"/>
  <c r="BT34" i="2"/>
  <c r="BU34" i="2" s="1"/>
  <c r="BR111" i="2"/>
  <c r="BS111" i="2" s="1"/>
  <c r="BT111" i="2"/>
  <c r="BU111" i="2" s="1"/>
  <c r="BR205" i="2"/>
  <c r="BS205" i="2" s="1"/>
  <c r="BT205" i="2"/>
  <c r="BU205" i="2" s="1"/>
  <c r="BR127" i="2"/>
  <c r="BS127" i="2" s="1"/>
  <c r="BT127" i="2"/>
  <c r="BU127" i="2" s="1"/>
  <c r="BR163" i="2"/>
  <c r="BS163" i="2" s="1"/>
  <c r="BT163" i="2"/>
  <c r="BU163" i="2" s="1"/>
  <c r="BR162" i="2"/>
  <c r="BS162" i="2" s="1"/>
  <c r="BT162" i="2"/>
  <c r="BU162" i="2" s="1"/>
  <c r="BR56" i="2"/>
  <c r="BS56" i="2" s="1"/>
  <c r="BT56" i="2"/>
  <c r="BU56" i="2" s="1"/>
  <c r="CE172" i="2"/>
  <c r="CF172" i="2" s="1"/>
  <c r="BR233" i="2"/>
  <c r="BS233" i="2" s="1"/>
  <c r="BT233" i="2"/>
  <c r="BU233" i="2" s="1"/>
  <c r="BR42" i="2"/>
  <c r="BS42" i="2" s="1"/>
  <c r="BT42" i="2"/>
  <c r="BU42" i="2" s="1"/>
  <c r="BR103" i="2"/>
  <c r="BS103" i="2" s="1"/>
  <c r="BT103" i="2"/>
  <c r="BU103" i="2" s="1"/>
  <c r="BR206" i="2"/>
  <c r="BS206" i="2" s="1"/>
  <c r="BT206" i="2"/>
  <c r="BU206" i="2" s="1"/>
  <c r="BR76" i="2"/>
  <c r="BS76" i="2" s="1"/>
  <c r="BT76" i="2"/>
  <c r="BU76" i="2" s="1"/>
  <c r="CE160" i="2"/>
  <c r="CF160" i="2" s="1"/>
  <c r="BR74" i="2"/>
  <c r="BS74" i="2" s="1"/>
  <c r="BT74" i="2"/>
  <c r="BU74" i="2" s="1"/>
  <c r="BR80" i="2"/>
  <c r="BS80" i="2" s="1"/>
  <c r="BT80" i="2"/>
  <c r="BU80" i="2" s="1"/>
  <c r="CE51" i="2"/>
  <c r="CF51" i="2" s="1"/>
  <c r="CC81" i="2"/>
  <c r="CD81" i="2" s="1"/>
  <c r="BZ81" i="2"/>
  <c r="BZ152" i="2"/>
  <c r="CC152" i="2"/>
  <c r="CD152" i="2" s="1"/>
  <c r="CC229" i="2"/>
  <c r="CD229" i="2" s="1"/>
  <c r="BZ229" i="2"/>
  <c r="CE229" i="2" s="1"/>
  <c r="CF229" i="2" s="1"/>
  <c r="CC120" i="2"/>
  <c r="CD120" i="2" s="1"/>
  <c r="BZ120" i="2"/>
  <c r="CE120" i="2" s="1"/>
  <c r="CF120" i="2" s="1"/>
  <c r="BT132" i="2"/>
  <c r="BU132" i="2" s="1"/>
  <c r="BT204" i="2"/>
  <c r="BU204" i="2" s="1"/>
  <c r="BR72" i="2"/>
  <c r="BS72" i="2" s="1"/>
  <c r="BT72" i="2"/>
  <c r="BU72" i="2" s="1"/>
  <c r="BR193" i="2"/>
  <c r="BS193" i="2" s="1"/>
  <c r="BT193" i="2"/>
  <c r="BU193" i="2" s="1"/>
  <c r="BR121" i="2"/>
  <c r="BS121" i="2" s="1"/>
  <c r="BT121" i="2"/>
  <c r="BU121" i="2" s="1"/>
  <c r="CE102" i="2"/>
  <c r="CF102" i="2" s="1"/>
  <c r="BR117" i="2"/>
  <c r="BS117" i="2" s="1"/>
  <c r="BT117" i="2"/>
  <c r="BU117" i="2" s="1"/>
  <c r="BR203" i="2"/>
  <c r="BS203" i="2" s="1"/>
  <c r="BT203" i="2"/>
  <c r="BU203" i="2" s="1"/>
  <c r="CE108" i="2"/>
  <c r="CF108" i="2" s="1"/>
  <c r="BT129" i="2"/>
  <c r="BU129" i="2" s="1"/>
  <c r="BR207" i="2"/>
  <c r="BS207" i="2" s="1"/>
  <c r="BT207" i="2"/>
  <c r="BU207" i="2" s="1"/>
  <c r="CC189" i="2"/>
  <c r="CD189" i="2" s="1"/>
  <c r="BZ189" i="2"/>
  <c r="CE189" i="2" s="1"/>
  <c r="CF189" i="2" s="1"/>
  <c r="CC174" i="2"/>
  <c r="CD174" i="2" s="1"/>
  <c r="CE174" i="2" s="1"/>
  <c r="CF174" i="2" s="1"/>
  <c r="CE85" i="2"/>
  <c r="CF85" i="2" s="1"/>
  <c r="CE79" i="2"/>
  <c r="CF79" i="2" s="1"/>
  <c r="CE38" i="2"/>
  <c r="CF38" i="2" s="1"/>
  <c r="CE58" i="2"/>
  <c r="CF58" i="2" s="1"/>
  <c r="BZ61" i="2"/>
  <c r="CC61" i="2"/>
  <c r="CD61" i="2" s="1"/>
  <c r="CE228" i="2"/>
  <c r="CF228" i="2" s="1"/>
  <c r="CE188" i="2"/>
  <c r="CF188" i="2" s="1"/>
  <c r="CE75" i="2"/>
  <c r="CF75" i="2" s="1"/>
  <c r="CE89" i="2"/>
  <c r="CF89" i="2" s="1"/>
  <c r="CE211" i="2"/>
  <c r="CF211" i="2" s="1"/>
  <c r="CE230" i="2"/>
  <c r="CF230" i="2" s="1"/>
  <c r="CE212" i="2"/>
  <c r="CF212" i="2" s="1"/>
  <c r="BT38" i="2"/>
  <c r="BU38" i="2" s="1"/>
  <c r="BT175" i="2"/>
  <c r="BU175" i="2" s="1"/>
  <c r="BR190" i="2"/>
  <c r="BS190" i="2" s="1"/>
  <c r="BT190" i="2"/>
  <c r="BU190" i="2" s="1"/>
  <c r="BR158" i="2"/>
  <c r="BS158" i="2" s="1"/>
  <c r="BT158" i="2"/>
  <c r="BU158" i="2" s="1"/>
  <c r="BR41" i="2"/>
  <c r="BS41" i="2" s="1"/>
  <c r="BT41" i="2"/>
  <c r="BU41" i="2" s="1"/>
  <c r="BR81" i="2"/>
  <c r="BS81" i="2" s="1"/>
  <c r="BT81" i="2"/>
  <c r="BU81" i="2" s="1"/>
  <c r="BR27" i="2"/>
  <c r="BS27" i="2" s="1"/>
  <c r="BT27" i="2"/>
  <c r="BU27" i="2" s="1"/>
  <c r="BR136" i="2"/>
  <c r="BS136" i="2" s="1"/>
  <c r="BT136" i="2"/>
  <c r="BU136" i="2" s="1"/>
  <c r="BR219" i="2"/>
  <c r="BS219" i="2" s="1"/>
  <c r="BT219" i="2"/>
  <c r="BU219" i="2" s="1"/>
  <c r="BR167" i="2"/>
  <c r="BS167" i="2" s="1"/>
  <c r="BT167" i="2"/>
  <c r="BU167" i="2" s="1"/>
  <c r="BR238" i="2"/>
  <c r="BS238" i="2" s="1"/>
  <c r="BT238" i="2"/>
  <c r="BU238" i="2" s="1"/>
  <c r="BR166" i="2"/>
  <c r="BS166" i="2" s="1"/>
  <c r="BT166" i="2"/>
  <c r="BU166" i="2" s="1"/>
  <c r="BZ36" i="2"/>
  <c r="CC36" i="2"/>
  <c r="CD36" i="2" s="1"/>
  <c r="BT73" i="2"/>
  <c r="BU73" i="2" s="1"/>
  <c r="BR155" i="2"/>
  <c r="BS155" i="2" s="1"/>
  <c r="BT155" i="2"/>
  <c r="BU155" i="2" s="1"/>
  <c r="BR197" i="2"/>
  <c r="BS197" i="2" s="1"/>
  <c r="BT197" i="2"/>
  <c r="BU197" i="2" s="1"/>
  <c r="BT130" i="2"/>
  <c r="BU130" i="2" s="1"/>
  <c r="BT202" i="2"/>
  <c r="BU202" i="2" s="1"/>
  <c r="BT126" i="2"/>
  <c r="BU126" i="2" s="1"/>
  <c r="BR71" i="2"/>
  <c r="BS71" i="2" s="1"/>
  <c r="BT71" i="2"/>
  <c r="BU71" i="2" s="1"/>
  <c r="BR231" i="2"/>
  <c r="BS231" i="2" s="1"/>
  <c r="BT231" i="2"/>
  <c r="BU231" i="2" s="1"/>
  <c r="BR152" i="2"/>
  <c r="BS152" i="2" s="1"/>
  <c r="BT152" i="2"/>
  <c r="BU152" i="2" s="1"/>
  <c r="BR182" i="2"/>
  <c r="BS182" i="2" s="1"/>
  <c r="BT182" i="2"/>
  <c r="BU182" i="2" s="1"/>
  <c r="CE83" i="2"/>
  <c r="CF83" i="2" s="1"/>
  <c r="BR29" i="2"/>
  <c r="BS29" i="2" s="1"/>
  <c r="BT29" i="2"/>
  <c r="BU29" i="2" s="1"/>
  <c r="BR48" i="2"/>
  <c r="BS48" i="2" s="1"/>
  <c r="BT48" i="2"/>
  <c r="BU48" i="2" s="1"/>
  <c r="BT116" i="2"/>
  <c r="BU116" i="2" s="1"/>
  <c r="CE179" i="2"/>
  <c r="CF179" i="2" s="1"/>
  <c r="CE131" i="2"/>
  <c r="CF131" i="2" s="1"/>
  <c r="CE226" i="2"/>
  <c r="CF226" i="2" s="1"/>
  <c r="CE50" i="2"/>
  <c r="CF50" i="2" s="1"/>
  <c r="CC199" i="2"/>
  <c r="CD199" i="2" s="1"/>
  <c r="BZ199" i="2"/>
  <c r="CE199" i="2" s="1"/>
  <c r="CF199" i="2" s="1"/>
  <c r="CE210" i="2"/>
  <c r="CF210" i="2" s="1"/>
  <c r="CC76" i="2"/>
  <c r="CD76" i="2" s="1"/>
  <c r="CE208" i="2"/>
  <c r="CF208" i="2" s="1"/>
  <c r="CE221" i="2"/>
  <c r="CF221" i="2" s="1"/>
  <c r="CE27" i="2"/>
  <c r="CF27" i="2" s="1"/>
  <c r="BT147" i="2"/>
  <c r="BU147" i="2" s="1"/>
  <c r="BT36" i="2"/>
  <c r="BU36" i="2" s="1"/>
  <c r="BT194" i="2"/>
  <c r="BU194" i="2" s="1"/>
  <c r="BT82" i="2"/>
  <c r="BU82" i="2" s="1"/>
  <c r="BR144" i="2"/>
  <c r="BS144" i="2" s="1"/>
  <c r="BT144" i="2"/>
  <c r="BU144" i="2" s="1"/>
  <c r="BR43" i="2"/>
  <c r="BS43" i="2" s="1"/>
  <c r="BT43" i="2"/>
  <c r="BU43" i="2" s="1"/>
  <c r="BR114" i="2"/>
  <c r="BS114" i="2" s="1"/>
  <c r="BT114" i="2"/>
  <c r="BU114" i="2" s="1"/>
  <c r="BR222" i="2"/>
  <c r="BS222" i="2" s="1"/>
  <c r="BT222" i="2"/>
  <c r="BU222" i="2" s="1"/>
  <c r="BR184" i="2"/>
  <c r="BS184" i="2" s="1"/>
  <c r="BT184" i="2"/>
  <c r="BU184" i="2" s="1"/>
  <c r="BR154" i="2"/>
  <c r="BS154" i="2" s="1"/>
  <c r="BT154" i="2"/>
  <c r="BU154" i="2" s="1"/>
  <c r="BR134" i="2"/>
  <c r="BS134" i="2" s="1"/>
  <c r="BT134" i="2"/>
  <c r="BU134" i="2" s="1"/>
  <c r="BR192" i="2"/>
  <c r="BS192" i="2" s="1"/>
  <c r="BT192" i="2"/>
  <c r="BU192" i="2" s="1"/>
  <c r="CE156" i="2"/>
  <c r="CF156" i="2" s="1"/>
  <c r="BR236" i="2"/>
  <c r="BS236" i="2" s="1"/>
  <c r="BT236" i="2"/>
  <c r="BU236" i="2" s="1"/>
  <c r="CE170" i="2"/>
  <c r="CF170" i="2" s="1"/>
  <c r="CE141" i="2"/>
  <c r="CF141" i="2" s="1"/>
  <c r="BR217" i="2"/>
  <c r="BS217" i="2" s="1"/>
  <c r="BT217" i="2"/>
  <c r="BU217" i="2" s="1"/>
  <c r="CE78" i="2"/>
  <c r="CF78" i="2" s="1"/>
  <c r="BZ66" i="2"/>
  <c r="CC66" i="2"/>
  <c r="CD66" i="2" s="1"/>
  <c r="CE76" i="2"/>
  <c r="CF76" i="2" s="1"/>
  <c r="CC115" i="2"/>
  <c r="CD115" i="2" s="1"/>
  <c r="BZ115" i="2"/>
  <c r="CE115" i="2" s="1"/>
  <c r="CF115" i="2" s="1"/>
  <c r="BT62" i="2"/>
  <c r="BU62" i="2" s="1"/>
  <c r="BT140" i="2"/>
  <c r="BU140" i="2" s="1"/>
  <c r="BT107" i="2"/>
  <c r="BU107" i="2" s="1"/>
  <c r="BT215" i="2"/>
  <c r="BU215" i="2" s="1"/>
  <c r="BR211" i="2"/>
  <c r="BS211" i="2" s="1"/>
  <c r="BT211" i="2"/>
  <c r="BU211" i="2" s="1"/>
  <c r="BR161" i="2"/>
  <c r="BS161" i="2" s="1"/>
  <c r="BT161" i="2"/>
  <c r="BU161" i="2" s="1"/>
  <c r="BR57" i="2"/>
  <c r="BS57" i="2" s="1"/>
  <c r="BT57" i="2"/>
  <c r="BU57" i="2" s="1"/>
  <c r="BR97" i="2"/>
  <c r="BS97" i="2" s="1"/>
  <c r="BT97" i="2"/>
  <c r="BU97" i="2" s="1"/>
  <c r="BZ182" i="2"/>
  <c r="CC182" i="2"/>
  <c r="CD182" i="2" s="1"/>
  <c r="BZ136" i="2"/>
  <c r="CC136" i="2"/>
  <c r="CD136" i="2" s="1"/>
  <c r="BR77" i="2"/>
  <c r="BS77" i="2" s="1"/>
  <c r="BT77" i="2"/>
  <c r="BU77" i="2" s="1"/>
  <c r="CE167" i="2"/>
  <c r="CF167" i="2" s="1"/>
  <c r="CC140" i="2"/>
  <c r="CD140" i="2" s="1"/>
  <c r="BZ140" i="2"/>
  <c r="CE140" i="2" s="1"/>
  <c r="CF140" i="2" s="1"/>
  <c r="CE63" i="2"/>
  <c r="CF63" i="2" s="1"/>
  <c r="BT30" i="2"/>
  <c r="BU30" i="2" s="1"/>
  <c r="BR83" i="2"/>
  <c r="BS83" i="2" s="1"/>
  <c r="BT83" i="2"/>
  <c r="BU83" i="2" s="1"/>
  <c r="CE224" i="2"/>
  <c r="CF224" i="2" s="1"/>
  <c r="CE180" i="2"/>
  <c r="CF180" i="2" s="1"/>
  <c r="CE125" i="2"/>
  <c r="CF125" i="2" s="1"/>
  <c r="CE57" i="2"/>
  <c r="CF57" i="2" s="1"/>
  <c r="CE124" i="2"/>
  <c r="CF124" i="2" s="1"/>
  <c r="BZ104" i="2"/>
  <c r="CC104" i="2"/>
  <c r="CD104" i="2" s="1"/>
  <c r="CE139" i="2"/>
  <c r="CF139" i="2" s="1"/>
  <c r="CE100" i="2"/>
  <c r="CF100" i="2" s="1"/>
  <c r="CE173" i="2"/>
  <c r="CF173" i="2" s="1"/>
  <c r="CE33" i="2"/>
  <c r="CF33" i="2" s="1"/>
  <c r="BT101" i="2"/>
  <c r="BU101" i="2" s="1"/>
  <c r="BT63" i="2"/>
  <c r="BU63" i="2" s="1"/>
  <c r="BR137" i="2"/>
  <c r="BS137" i="2" s="1"/>
  <c r="BT137" i="2"/>
  <c r="BU137" i="2" s="1"/>
  <c r="BR225" i="2"/>
  <c r="BS225" i="2" s="1"/>
  <c r="BT225" i="2"/>
  <c r="BU225" i="2" s="1"/>
  <c r="BR235" i="2"/>
  <c r="BS235" i="2" s="1"/>
  <c r="BT235" i="2"/>
  <c r="BU235" i="2" s="1"/>
  <c r="BR39" i="2"/>
  <c r="BS39" i="2" s="1"/>
  <c r="BT39" i="2"/>
  <c r="BU39" i="2" s="1"/>
  <c r="BR212" i="2"/>
  <c r="BS212" i="2" s="1"/>
  <c r="BT212" i="2"/>
  <c r="BU212" i="2" s="1"/>
  <c r="BR44" i="2"/>
  <c r="BS44" i="2" s="1"/>
  <c r="BT44" i="2"/>
  <c r="BU44" i="2" s="1"/>
  <c r="BR209" i="2"/>
  <c r="BS209" i="2" s="1"/>
  <c r="BT209" i="2"/>
  <c r="BU209" i="2" s="1"/>
  <c r="CE99" i="2"/>
  <c r="CF99" i="2" s="1"/>
  <c r="CE118" i="2"/>
  <c r="CF118" i="2" s="1"/>
  <c r="BR94" i="2"/>
  <c r="BS94" i="2" s="1"/>
  <c r="BT94" i="2"/>
  <c r="BU94" i="2" s="1"/>
  <c r="BR146" i="2"/>
  <c r="BS146" i="2" s="1"/>
  <c r="BT146" i="2"/>
  <c r="BU146" i="2" s="1"/>
  <c r="CE175" i="2"/>
  <c r="CF175" i="2" s="1"/>
  <c r="CE26" i="2"/>
  <c r="CF26" i="2" s="1"/>
  <c r="CE142" i="2"/>
  <c r="CF142" i="2" s="1"/>
  <c r="CC146" i="2"/>
  <c r="CD146" i="2" s="1"/>
  <c r="BT26" i="2"/>
  <c r="BU26" i="2" s="1"/>
  <c r="BT78" i="2"/>
  <c r="BU78" i="2" s="1"/>
  <c r="BT35" i="2"/>
  <c r="BU35" i="2" s="1"/>
  <c r="BR148" i="2"/>
  <c r="BS148" i="2" s="1"/>
  <c r="BT148" i="2"/>
  <c r="BU148" i="2" s="1"/>
  <c r="BR120" i="2"/>
  <c r="BS120" i="2" s="1"/>
  <c r="BT120" i="2"/>
  <c r="BU120" i="2" s="1"/>
  <c r="BR191" i="2"/>
  <c r="BS191" i="2" s="1"/>
  <c r="BT191" i="2"/>
  <c r="BU191" i="2" s="1"/>
  <c r="BR98" i="2"/>
  <c r="BS98" i="2" s="1"/>
  <c r="BT98" i="2"/>
  <c r="BU98" i="2" s="1"/>
  <c r="BZ137" i="2"/>
  <c r="CC137" i="2"/>
  <c r="CD137" i="2" s="1"/>
  <c r="BR118" i="2"/>
  <c r="BS118" i="2" s="1"/>
  <c r="BT118" i="2"/>
  <c r="BU118" i="2" s="1"/>
  <c r="CE56" i="2"/>
  <c r="CF56" i="2" s="1"/>
  <c r="CE71" i="2"/>
  <c r="CF71" i="2" s="1"/>
  <c r="BR112" i="2"/>
  <c r="BS112" i="2" s="1"/>
  <c r="BT112" i="2"/>
  <c r="BU112" i="2" s="1"/>
  <c r="CC234" i="2"/>
  <c r="CD234" i="2" s="1"/>
  <c r="BZ234" i="2"/>
  <c r="CE234" i="2" s="1"/>
  <c r="CF234" i="2" s="1"/>
  <c r="BR40" i="2"/>
  <c r="BS40" i="2" s="1"/>
  <c r="BT40" i="2"/>
  <c r="BU40" i="2" s="1"/>
  <c r="CC159" i="2"/>
  <c r="CD159" i="2" s="1"/>
  <c r="BZ159" i="2"/>
  <c r="CE159" i="2" s="1"/>
  <c r="CF159" i="2" s="1"/>
  <c r="CE46" i="2"/>
  <c r="CF46" i="2" s="1"/>
  <c r="CC96" i="2"/>
  <c r="CD96" i="2" s="1"/>
  <c r="BZ96" i="2"/>
  <c r="CE177" i="2"/>
  <c r="CF177" i="2" s="1"/>
  <c r="CE48" i="2"/>
  <c r="CF48" i="2" s="1"/>
  <c r="CE90" i="2"/>
  <c r="CF90" i="2" s="1"/>
  <c r="CE35" i="2"/>
  <c r="CF35" i="2" s="1"/>
  <c r="CE171" i="2"/>
  <c r="CF171" i="2" s="1"/>
  <c r="CE200" i="2"/>
  <c r="CF200" i="2" s="1"/>
  <c r="CE132" i="2"/>
  <c r="CF132" i="2" s="1"/>
  <c r="CE123" i="2"/>
  <c r="CF123" i="2" s="1"/>
  <c r="CE74" i="2"/>
  <c r="CF74" i="2" s="1"/>
  <c r="CC217" i="2"/>
  <c r="CD217" i="2" s="1"/>
  <c r="CE217" i="2" s="1"/>
  <c r="CF217" i="2" s="1"/>
  <c r="CE214" i="2"/>
  <c r="CF214" i="2" s="1"/>
  <c r="CE44" i="2"/>
  <c r="CF44" i="2" s="1"/>
  <c r="CE146" i="2"/>
  <c r="CF146" i="2" s="1"/>
  <c r="BT145" i="2"/>
  <c r="BU145" i="2" s="1"/>
  <c r="BT178" i="2"/>
  <c r="BU178" i="2" s="1"/>
  <c r="BT67" i="2"/>
  <c r="BU67" i="2" s="1"/>
  <c r="BR79" i="2"/>
  <c r="BS79" i="2" s="1"/>
  <c r="BT79" i="2"/>
  <c r="BU79" i="2" s="1"/>
  <c r="BR189" i="2"/>
  <c r="BS189" i="2" s="1"/>
  <c r="BT189" i="2"/>
  <c r="BU189" i="2" s="1"/>
  <c r="BR31" i="2"/>
  <c r="BS31" i="2" s="1"/>
  <c r="BT31" i="2"/>
  <c r="BU31" i="2" s="1"/>
  <c r="BR220" i="2"/>
  <c r="BS220" i="2" s="1"/>
  <c r="BT220" i="2"/>
  <c r="BU220" i="2" s="1"/>
  <c r="BR214" i="2"/>
  <c r="BS214" i="2" s="1"/>
  <c r="BT214" i="2"/>
  <c r="BU214" i="2" s="1"/>
  <c r="BR85" i="2"/>
  <c r="BS85" i="2" s="1"/>
  <c r="BT85" i="2"/>
  <c r="BU85" i="2" s="1"/>
  <c r="BR54" i="2"/>
  <c r="BS54" i="2" s="1"/>
  <c r="BT54" i="2"/>
  <c r="BU54" i="2" s="1"/>
  <c r="BR135" i="2"/>
  <c r="BS135" i="2" s="1"/>
  <c r="BT135" i="2"/>
  <c r="BU135" i="2" s="1"/>
  <c r="BR151" i="2"/>
  <c r="BS151" i="2" s="1"/>
  <c r="BT151" i="2"/>
  <c r="BU151" i="2" s="1"/>
  <c r="BR181" i="2"/>
  <c r="BS181" i="2" s="1"/>
  <c r="BT181" i="2"/>
  <c r="BU181" i="2" s="1"/>
  <c r="CE113" i="2"/>
  <c r="CF113" i="2" s="1"/>
  <c r="CE185" i="2"/>
  <c r="CF185" i="2" s="1"/>
  <c r="BT187" i="2"/>
  <c r="BU187" i="2" s="1"/>
  <c r="CE122" i="2"/>
  <c r="CF122" i="2" s="1"/>
  <c r="CE238" i="2"/>
  <c r="CF238" i="2" s="1"/>
  <c r="CE110" i="2"/>
  <c r="CF110" i="2" s="1"/>
  <c r="BT128" i="2"/>
  <c r="BU128" i="2" s="1"/>
  <c r="BT171" i="2"/>
  <c r="BU171" i="2" s="1"/>
  <c r="BT105" i="2"/>
  <c r="BU105" i="2" s="1"/>
  <c r="BT226" i="2"/>
  <c r="BU226" i="2" s="1"/>
  <c r="BT90" i="2"/>
  <c r="BU90" i="2" s="1"/>
  <c r="BR216" i="2"/>
  <c r="BS216" i="2" s="1"/>
  <c r="BT216" i="2"/>
  <c r="BU216" i="2" s="1"/>
  <c r="BR125" i="2"/>
  <c r="BS125" i="2" s="1"/>
  <c r="BT125" i="2"/>
  <c r="BU125" i="2" s="1"/>
  <c r="BR208" i="2"/>
  <c r="BS208" i="2" s="1"/>
  <c r="BT208" i="2"/>
  <c r="BU208" i="2" s="1"/>
  <c r="BR123" i="2"/>
  <c r="BS123" i="2" s="1"/>
  <c r="BT123" i="2"/>
  <c r="BU123" i="2" s="1"/>
  <c r="BR88" i="2"/>
  <c r="BS88" i="2" s="1"/>
  <c r="BT88" i="2"/>
  <c r="BU88" i="2" s="1"/>
  <c r="BR108" i="2"/>
  <c r="BS108" i="2" s="1"/>
  <c r="BT108" i="2"/>
  <c r="BU108" i="2" s="1"/>
  <c r="BR61" i="2"/>
  <c r="BS61" i="2" s="1"/>
  <c r="BT61" i="2"/>
  <c r="BU61" i="2" s="1"/>
  <c r="BR153" i="2"/>
  <c r="BS153" i="2" s="1"/>
  <c r="BT153" i="2"/>
  <c r="BU153" i="2" s="1"/>
  <c r="BR115" i="2"/>
  <c r="BS115" i="2" s="1"/>
  <c r="BT115" i="2"/>
  <c r="BU115" i="2" s="1"/>
  <c r="BR24" i="2"/>
  <c r="BS24" i="2" s="1"/>
  <c r="BT24" i="2"/>
  <c r="BU24" i="2" s="1"/>
  <c r="BR199" i="2"/>
  <c r="BS199" i="2" s="1"/>
  <c r="BT199" i="2"/>
  <c r="BU199" i="2" s="1"/>
  <c r="CE41" i="2"/>
  <c r="CF41" i="2" s="1"/>
  <c r="BZ151" i="2"/>
  <c r="CC151" i="2"/>
  <c r="CD151" i="2" s="1"/>
  <c r="BT75" i="2"/>
  <c r="BU75" i="2" s="1"/>
  <c r="CE53" i="2"/>
  <c r="CF53" i="2" s="1"/>
  <c r="CE91" i="2"/>
  <c r="CF91" i="2" s="1"/>
  <c r="CE95" i="2"/>
  <c r="CF95" i="2" s="1"/>
  <c r="CE181" i="2"/>
  <c r="CF181" i="2" s="1"/>
  <c r="CE64" i="2"/>
  <c r="CF64" i="2" s="1"/>
  <c r="CE213" i="2"/>
  <c r="CF213" i="2" s="1"/>
  <c r="BZ220" i="2"/>
  <c r="CC220" i="2"/>
  <c r="CD220" i="2" s="1"/>
  <c r="CE155" i="2"/>
  <c r="CF155" i="2" s="1"/>
  <c r="BT96" i="2"/>
  <c r="BU96" i="2" s="1"/>
  <c r="BT143" i="2"/>
  <c r="BU143" i="2" s="1"/>
  <c r="BT230" i="2"/>
  <c r="BU230" i="2" s="1"/>
  <c r="BT169" i="2"/>
  <c r="BU169" i="2" s="1"/>
  <c r="BT91" i="2"/>
  <c r="BU91" i="2" s="1"/>
  <c r="BR109" i="2"/>
  <c r="BS109" i="2" s="1"/>
  <c r="BT109" i="2"/>
  <c r="BU109" i="2" s="1"/>
  <c r="BR28" i="2"/>
  <c r="BS28" i="2" s="1"/>
  <c r="BT28" i="2"/>
  <c r="BU28" i="2" s="1"/>
  <c r="BR227" i="2"/>
  <c r="BS227" i="2" s="1"/>
  <c r="BT227" i="2"/>
  <c r="BU227" i="2" s="1"/>
  <c r="BR195" i="2"/>
  <c r="BS195" i="2" s="1"/>
  <c r="BT195" i="2"/>
  <c r="BU195" i="2" s="1"/>
  <c r="BR210" i="2"/>
  <c r="BS210" i="2" s="1"/>
  <c r="BT210" i="2"/>
  <c r="BU210" i="2" s="1"/>
  <c r="R50" i="2"/>
  <c r="R51" i="2" s="1"/>
  <c r="CE36" i="2" l="1"/>
  <c r="CF36" i="2" s="1"/>
  <c r="CE220" i="2"/>
  <c r="CF220" i="2" s="1"/>
  <c r="CE96" i="2"/>
  <c r="CF96" i="2" s="1"/>
  <c r="CE104" i="2"/>
  <c r="CF104" i="2" s="1"/>
  <c r="CE152" i="2"/>
  <c r="CF152" i="2" s="1"/>
  <c r="CE81" i="2"/>
  <c r="CF81" i="2" s="1"/>
  <c r="CE136" i="2"/>
  <c r="CF136" i="2" s="1"/>
  <c r="CE61" i="2"/>
  <c r="CF61" i="2" s="1"/>
  <c r="CE66" i="2"/>
  <c r="CF66" i="2" s="1"/>
  <c r="CE182" i="2"/>
  <c r="CF182" i="2" s="1"/>
  <c r="CE137" i="2"/>
  <c r="CF137" i="2" s="1"/>
  <c r="CE151" i="2"/>
  <c r="CF151" i="2" s="1"/>
  <c r="CE195" i="2"/>
  <c r="CF195" i="2" s="1"/>
  <c r="AO23" i="2"/>
  <c r="AN23" i="2"/>
  <c r="AM23" i="2"/>
  <c r="AL23" i="2"/>
  <c r="I25" i="2" l="1"/>
  <c r="CZ11" i="2" l="1"/>
  <c r="BX23" i="2"/>
  <c r="BG23" i="2"/>
  <c r="R69" i="2" l="1"/>
  <c r="BW23" i="2"/>
  <c r="AG16" i="2"/>
  <c r="DD16" i="2" s="1"/>
  <c r="AG15" i="2"/>
  <c r="DD15" i="2" s="1"/>
  <c r="AG14" i="2"/>
  <c r="DD14" i="2" s="1"/>
  <c r="O55" i="2"/>
  <c r="Q55" i="2"/>
  <c r="AK23" i="2" l="1"/>
  <c r="AP23" i="2" s="1"/>
  <c r="BD23" i="2"/>
  <c r="BC23" i="2"/>
  <c r="BB23" i="2"/>
  <c r="BA23" i="2"/>
  <c r="BK23" i="2"/>
  <c r="BF23" i="2"/>
  <c r="R35" i="2"/>
  <c r="AL16" i="2" s="1"/>
  <c r="R22" i="2"/>
  <c r="R21" i="2"/>
  <c r="R29" i="2"/>
  <c r="R19" i="2" s="1"/>
  <c r="R28" i="2"/>
  <c r="R18" i="2"/>
  <c r="R17" i="2"/>
  <c r="CI19" i="3"/>
  <c r="CF19" i="3"/>
  <c r="CH19" i="3" s="1"/>
  <c r="CI18" i="3"/>
  <c r="CF18" i="3"/>
  <c r="CH18" i="3" s="1"/>
  <c r="CI17" i="3"/>
  <c r="CG17" i="3"/>
  <c r="CF17" i="3"/>
  <c r="CH17" i="3" s="1"/>
  <c r="CI16" i="3"/>
  <c r="CF16" i="3"/>
  <c r="CH16" i="3" s="1"/>
  <c r="CI15" i="3"/>
  <c r="CF15" i="3"/>
  <c r="CG15" i="3" s="1"/>
  <c r="BQ15" i="3"/>
  <c r="X15" i="3"/>
  <c r="CH14" i="3"/>
  <c r="CF14" i="3"/>
  <c r="BQ14" i="3"/>
  <c r="X14" i="3"/>
  <c r="CF13" i="3"/>
  <c r="CH13" i="3" s="1"/>
  <c r="BQ13" i="3"/>
  <c r="X13" i="3"/>
  <c r="CF12" i="3"/>
  <c r="CH12" i="3" s="1"/>
  <c r="BQ12" i="3"/>
  <c r="X12" i="3"/>
  <c r="CF11" i="3"/>
  <c r="CH11" i="3" s="1"/>
  <c r="BQ11" i="3"/>
  <c r="X11" i="3"/>
  <c r="CF10" i="3"/>
  <c r="CH10" i="3" s="1"/>
  <c r="BQ10" i="3"/>
  <c r="X10" i="3"/>
  <c r="BE23" i="2" s="1"/>
  <c r="CI9" i="3"/>
  <c r="CH9" i="3"/>
  <c r="CG9" i="3"/>
  <c r="CF9" i="3"/>
  <c r="BQ9" i="3"/>
  <c r="X9" i="3"/>
  <c r="CI8" i="3"/>
  <c r="CF8" i="3"/>
  <c r="CH8" i="3" s="1"/>
  <c r="BQ8" i="3"/>
  <c r="X8" i="3"/>
  <c r="CI7" i="3"/>
  <c r="CH7" i="3"/>
  <c r="CF7" i="3"/>
  <c r="CG7" i="3" s="1"/>
  <c r="BQ7" i="3"/>
  <c r="X7" i="3"/>
  <c r="CI6" i="3"/>
  <c r="CF6" i="3"/>
  <c r="CH6" i="3" s="1"/>
  <c r="BQ6" i="3"/>
  <c r="X6" i="3"/>
  <c r="DA5" i="3"/>
  <c r="DA6" i="3" s="1"/>
  <c r="DA7" i="3" s="1"/>
  <c r="DA8" i="3" s="1"/>
  <c r="DA9" i="3" s="1"/>
  <c r="DA10" i="3" s="1"/>
  <c r="DA11" i="3" s="1"/>
  <c r="DA12" i="3" s="1"/>
  <c r="DA13" i="3" s="1"/>
  <c r="DA14" i="3" s="1"/>
  <c r="DA15" i="3" s="1"/>
  <c r="DA16" i="3" s="1"/>
  <c r="DA17" i="3" s="1"/>
  <c r="DA18" i="3" s="1"/>
  <c r="DA19" i="3" s="1"/>
  <c r="DA20" i="3" s="1"/>
  <c r="DA21" i="3" s="1"/>
  <c r="DA22" i="3" s="1"/>
  <c r="DA23" i="3" s="1"/>
  <c r="CI5" i="3"/>
  <c r="CH5" i="3"/>
  <c r="CF5" i="3"/>
  <c r="CG5" i="3" s="1"/>
  <c r="DA4" i="3"/>
  <c r="CI4" i="3"/>
  <c r="CF4" i="3"/>
  <c r="CG4" i="3" s="1"/>
  <c r="DD2" i="3"/>
  <c r="DE2" i="3" s="1"/>
  <c r="DF2" i="3" s="1"/>
  <c r="DG2" i="3" s="1"/>
  <c r="DH2" i="3" s="1"/>
  <c r="DI2" i="3" s="1"/>
  <c r="DJ2" i="3" s="1"/>
  <c r="DK2" i="3" s="1"/>
  <c r="DL2" i="3" s="1"/>
  <c r="DM2" i="3" s="1"/>
  <c r="DN2" i="3" s="1"/>
  <c r="DO2" i="3" s="1"/>
  <c r="DP2" i="3" s="1"/>
  <c r="DQ2" i="3" s="1"/>
  <c r="DR2" i="3" s="1"/>
  <c r="DS2" i="3" s="1"/>
  <c r="DT2" i="3" s="1"/>
  <c r="DU2" i="3" s="1"/>
  <c r="DV2" i="3" s="1"/>
  <c r="DW2" i="3" s="1"/>
  <c r="DX2" i="3" s="1"/>
  <c r="DY2" i="3" s="1"/>
  <c r="BP23" i="2"/>
  <c r="BO23" i="2"/>
  <c r="BL23" i="2" l="1"/>
  <c r="AL15" i="2"/>
  <c r="R31" i="2"/>
  <c r="BQ23" i="2"/>
  <c r="CG19" i="3"/>
  <c r="BY23" i="2"/>
  <c r="CA23" i="2"/>
  <c r="CB23" i="2" s="1"/>
  <c r="AL14" i="2"/>
  <c r="CH15" i="3"/>
  <c r="CG8" i="3"/>
  <c r="CG18" i="3"/>
  <c r="CH4" i="3"/>
  <c r="CG16" i="3"/>
  <c r="CG6" i="3"/>
  <c r="CC23" i="2" l="1"/>
  <c r="L99" i="2"/>
  <c r="H74" i="2" l="1"/>
  <c r="H93" i="2" l="1"/>
  <c r="N99" i="2"/>
  <c r="L100" i="2"/>
  <c r="M101" i="2"/>
  <c r="L101" i="2"/>
  <c r="N100" i="2"/>
  <c r="M100" i="2"/>
  <c r="M99" i="2"/>
  <c r="H92" i="2"/>
  <c r="P101" i="2" l="1"/>
  <c r="Q101" i="2" s="1"/>
  <c r="O99" i="2"/>
  <c r="P99" i="2" s="1"/>
  <c r="Q99" i="2" s="1"/>
  <c r="O100" i="2"/>
  <c r="P100" i="2" s="1"/>
  <c r="Q100" i="2" s="1"/>
  <c r="O101" i="2"/>
  <c r="H91" i="2"/>
  <c r="H89" i="2"/>
  <c r="H86" i="2"/>
  <c r="H85" i="2"/>
  <c r="H87" i="2"/>
  <c r="H88" i="2"/>
  <c r="H84" i="2"/>
  <c r="H83" i="2"/>
  <c r="H82" i="2"/>
  <c r="R83" i="2"/>
  <c r="H81" i="2"/>
  <c r="H75" i="2"/>
  <c r="H67" i="2"/>
  <c r="R25" i="2"/>
  <c r="I24" i="2"/>
  <c r="R24" i="2"/>
  <c r="R53" i="2"/>
  <c r="Q53" i="2"/>
  <c r="P53" i="2"/>
  <c r="O53" i="2"/>
  <c r="G11" i="2"/>
  <c r="P55" i="2"/>
  <c r="N55" i="2"/>
  <c r="R55" i="2"/>
  <c r="S55" i="2"/>
  <c r="L55" i="2"/>
  <c r="M55" i="2"/>
  <c r="S53" i="2"/>
  <c r="R56" i="2"/>
  <c r="R49" i="2" l="1"/>
  <c r="R70" i="2"/>
  <c r="R71" i="2" s="1"/>
  <c r="BH23" i="2"/>
  <c r="R65" i="2"/>
  <c r="R77" i="2" s="1"/>
  <c r="R74" i="2"/>
  <c r="BJ23" i="2"/>
  <c r="BR23" i="2" s="1"/>
  <c r="BS23" i="2" s="1"/>
  <c r="R66" i="2"/>
  <c r="BI23" i="2"/>
  <c r="R91" i="2"/>
  <c r="R93" i="2"/>
  <c r="R92" i="2"/>
  <c r="R86" i="2"/>
  <c r="R87" i="2" s="1"/>
  <c r="R82" i="2"/>
  <c r="I62" i="2"/>
  <c r="I61" i="2"/>
  <c r="I60" i="2"/>
  <c r="I31" i="2"/>
  <c r="H95" i="2"/>
  <c r="H94" i="2"/>
  <c r="H69" i="2"/>
  <c r="BM23" i="2" l="1"/>
  <c r="BN23" i="2" s="1"/>
  <c r="BT23" i="2"/>
  <c r="BU23" i="2" s="1"/>
  <c r="R72" i="2"/>
  <c r="R84" i="2"/>
  <c r="R88" i="2" s="1"/>
  <c r="R94" i="2"/>
  <c r="S87" i="2"/>
  <c r="H65" i="2"/>
  <c r="I21" i="2"/>
  <c r="H66" i="2"/>
  <c r="R37" i="2"/>
  <c r="R39" i="2" s="1"/>
  <c r="R30" i="2"/>
  <c r="BZ23" i="2" l="1"/>
  <c r="CD23" i="2"/>
  <c r="R85" i="2"/>
  <c r="S85" i="2" s="1"/>
  <c r="R89" i="2"/>
  <c r="S89" i="2" s="1"/>
  <c r="I27" i="2"/>
  <c r="R67" i="2"/>
  <c r="R78" i="2" s="1"/>
  <c r="I19" i="2"/>
  <c r="I18" i="2"/>
  <c r="I17" i="2"/>
  <c r="CE23" i="2" l="1"/>
  <c r="CF23" i="2" s="1"/>
  <c r="R95" i="2"/>
  <c r="R75" i="2"/>
  <c r="H72" i="2"/>
  <c r="I39" i="2"/>
  <c r="I38" i="2"/>
  <c r="I37" i="2"/>
  <c r="I36" i="2"/>
  <c r="I35" i="2"/>
  <c r="I34" i="2"/>
  <c r="I32" i="2"/>
  <c r="I30" i="2"/>
  <c r="I29" i="2"/>
  <c r="I28" i="2"/>
  <c r="I22" i="2"/>
  <c r="I20" i="2"/>
  <c r="I16" i="2"/>
  <c r="Z11" i="2"/>
  <c r="S95" i="2" l="1"/>
  <c r="S75" i="2"/>
  <c r="R79" i="2"/>
  <c r="S79" i="2" s="1"/>
  <c r="S72" i="2"/>
  <c r="H9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Toan</author>
  </authors>
  <commentList>
    <comment ref="AZ3" authorId="0" shapeId="0" xr:uid="{65AC946C-2EE8-4FF9-BE95-C6A29573DD8B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E43, E51: TCVN 5575:2024, Bảng C.1 (Phụ lục C). fwf = 0,55*fwun/gamma_wm, gamma_wm = 1,25 khi fwun &lt;= 510 MPa.</t>
        </r>
      </text>
    </comment>
    <comment ref="AZ5" authorId="0" shapeId="0" xr:uid="{3162A974-0013-4EDF-A22D-2A165DCBC7BD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N42, N46, N50: TCVN 5575:2012, Bảng 8 (que hàn theo TCVN 3223:1994). Bản 5575:2024 không liệt kê que hàn loại N. Lưu ý: theo công thức Bảng 4 của 5575:2024 thì N46 có fwf = 0,55*450/1,25 = 198 MPa; bảng 2012 làm tròn thành 200 MPa.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Toan</author>
  </authors>
  <commentList>
    <comment ref="G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Z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CZ1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FZ11" authorId="0" shapeId="0" xr:uid="{2F445567-4A35-4869-BDE4-65BE86A4061D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S1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Toàn:
Bu lông cấp chính xác (TCVN 5575- Bảng 5)
- Đối với liên kết cấu tạo, sử dụng bu lông cấp chính xác B.
- Đối với liên kết tính toán (truyền lực), sử dụng bu lông cấp chính xác B hoặc cấp chính xác A
- Trong kết cấu thép Max fy = 375MPa, nên sử dụng cấp B</t>
        </r>
      </text>
    </comment>
    <comment ref="BL21" authorId="1" shapeId="0" xr:uid="{5EED6710-11CD-4793-95D6-7BA36E893EA0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khi L &gt; 16d thì số bu lông nb theo CT (189) tăng lên bằng cách chia cho b = 1 - 0,005*(L/d - 16), lấy không nhỏ hơn 0,75. Lấy L = hmax (khoảng cách giữa 2 bu lông ngoài cùng dọc theo lực trượt). Đồng bộ với ô R71 của phần thuyết minh.</t>
        </r>
      </text>
    </comment>
    <comment ref="EL21" authorId="1" shapeId="0" xr:uid="{D56EB48A-9AFD-482A-890F-70255D755579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khi L &gt; 16d thì số bu lông nb theo CT (189) tăng lên bằng cách chia cho b = 1 - 0,005*(L/d - 16), lấy không nhỏ hơn 0,75. Lấy L = hmax (khoảng cách giữa 2 bu lông ngoài cùng dọc theo lực trượt). Đồng bộ với ô R71 của phần thuyết minh.</t>
        </r>
      </text>
    </comment>
    <comment ref="R23" authorId="1" shapeId="0" xr:uid="{C454A944-13E9-40AC-9E16-C45E75DD0895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14.2.9, CT (186): nv là số mặt cắt tính toán của một bu lông. Liên kết bản bích: nv = 1 (cắt đơn).</t>
        </r>
      </text>
    </comment>
    <comment ref="EV23" authorId="1" shapeId="0" xr:uid="{48A1DC3A-03CF-4029-8234-8C2B9B95042C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Cánh tay đòn lấy bằng (h - tf), đồng bộ với ô R81 của phần thuyết minh.</t>
        </r>
      </text>
    </comment>
    <comment ref="S5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EQ: Khoảng cách giữa 2 bu lông giữa nên không được nhỏ hơn P</t>
        </r>
      </text>
    </comment>
    <comment ref="R61" authorId="0" shapeId="0" xr:uid="{00000000-0006-0000-0100-000007000000}">
      <text>
        <r>
          <rPr>
            <sz val="9"/>
            <color indexed="81"/>
            <rFont val="Tahoma"/>
            <family val="2"/>
          </rPr>
          <t xml:space="preserve">Toàn:
N &gt; 0: Lực kéo
N &lt; 0: Lực nén
</t>
        </r>
      </text>
    </comment>
    <comment ref="R70" authorId="1" shapeId="0" xr:uid="{C467340E-E8EB-417C-A7E3-51A61E6743BA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L là khoảng cách giữa các bu lông ngoài cùng dọc theo lực trượt. Hàng bu lông dưới cùng là gốc tính (h = 0), nên L = h1.</t>
        </r>
      </text>
    </comment>
    <comment ref="R71" authorId="1" shapeId="0" xr:uid="{1E5053E9-03A7-4874-AC17-6DD6EC2B4C3E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khi L &gt; 16d thì số bu lông nb theo CT (189) được tăng lên bằng cách chia cho delta = 1 - 0,005*(L/d - 16), lấy không nhỏ hơn 0,75. Bỏ qua yêu cầu này khi lực tác dụng trên toàn bộ chiều dài liên kết (ví dụ: liên kết cánh với bụng dầm). L = khoảng cách giữa 2 bu lông ngoài cùng dọc theo lực trượt.</t>
        </r>
      </text>
    </comment>
    <comment ref="R77" authorId="1" shapeId="0" xr:uid="{C5306EC5-B9C4-48FB-A3E3-5BBC3B48EC89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CT (190) - 14.2.13 dùng Nvb xác định theo 14.2.9, không kể hệ số delta của 14.2.10 (delta chỉ áp dụng khi xác định số bu lông nb theo CT (189), xem mục 1.1).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<sst xmlns="http://schemas.openxmlformats.org/spreadsheetml/2006/main" count="1232" uniqueCount="354">
  <si>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</si>
  <si>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</si>
  <si>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</si>
  <si>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d =</t>
  </si>
  <si>
    <t>mm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</si>
  <si>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</si>
  <si>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</si>
  <si>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</si>
  <si>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</si>
  <si>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</si>
  <si>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</si>
  <si>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</si>
  <si>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1.3 Đường hàn</t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</si>
  <si>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</si>
  <si>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</si>
  <si>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</si>
  <si>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</si>
  <si>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</si>
  <si>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</si>
  <si>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</si>
  <si>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</si>
  <si>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kNm</t>
  </si>
  <si>
    <t>Bảng C.4 Cường độ tiêu chuẩn
 của thép làm bu lông</t>
  </si>
  <si>
    <t>Cấp</t>
  </si>
  <si>
    <r>
      <t>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</si>
  <si>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</si>
  <si>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</t>
    </r>
  </si>
  <si>
    <t>A</t>
  </si>
  <si>
    <t>B</t>
  </si>
  <si>
    <t>Bảng C.6 Diện tích tiết diện bu lông</t>
  </si>
  <si>
    <t>D</t>
  </si>
  <si>
    <t>p</t>
  </si>
  <si>
    <t>Ab</t>
  </si>
  <si>
    <t>z</t>
  </si>
  <si>
    <t>2. Thông số liên kết</t>
  </si>
  <si>
    <t>1.2 Bản mã liên kết:</t>
  </si>
  <si>
    <t>1.1 Bu lông:</t>
  </si>
  <si>
    <t>1. Vật liệu: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</si>
  <si>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</si>
  <si>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</si>
  <si>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</si>
  <si>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</si>
  <si>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</si>
  <si>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</si>
  <si>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</si>
  <si>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</si>
  <si>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</si>
  <si>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</si>
  <si>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</si>
  <si>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</si>
  <si>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</si>
  <si>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</si>
  <si>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</si>
  <si>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</si>
  <si>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</si>
  <si>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</si>
  <si>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</si>
  <si>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</si>
  <si>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</si>
  <si>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</si>
  <si>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</si>
  <si>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</si>
  <si>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</si>
  <si>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</si>
  <si>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</si>
  <si>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</si>
  <si>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</si>
  <si>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</si>
  <si>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</si>
  <si>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</si>
  <si>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t>3. Nội lực tác dụng</t>
  </si>
  <si>
    <t>V =</t>
  </si>
  <si>
    <t>1. Kiểm tra liên kết</t>
  </si>
  <si>
    <r>
      <t>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</si>
  <si>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</si>
  <si>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.d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t.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</si>
  <si>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</si>
  <si>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t>M =</t>
  </si>
  <si>
    <t>N =</t>
  </si>
  <si>
    <t>bu lông</t>
  </si>
  <si>
    <t>F</t>
  </si>
  <si>
    <t>C</t>
  </si>
  <si>
    <t>P</t>
  </si>
  <si>
    <t>Bảng tra khoảng cách bu lông</t>
  </si>
  <si>
    <t>EQ</t>
  </si>
  <si>
    <t>Tổng số lượng bu lông, n =</t>
  </si>
  <si>
    <t>Khoảng cách, G =</t>
  </si>
  <si>
    <r>
      <t>Chiều cao đường hàn bản mã với cánh dầm, h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</si>
  <si>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Chiều cao đường hàn bản mã với bụng dầm, h</t>
    </r>
    <r>
      <rPr>
        <vertAlign val="subscript"/>
        <sz val="10"/>
        <color theme="1"/>
        <rFont val="Calibri"/>
        <family val="2"/>
        <scheme val="minor"/>
      </rPr>
      <t>ww</t>
    </r>
    <r>
      <rPr>
        <sz val="10"/>
        <color theme="1"/>
        <rFont val="Calibri"/>
        <family val="2"/>
        <scheme val="minor"/>
      </rPr>
      <t xml:space="preserve"> =</t>
    </r>
  </si>
  <si>
    <t>Bề rộng bản đế</t>
  </si>
  <si>
    <t>W</t>
  </si>
  <si>
    <r>
      <t>B</t>
    </r>
    <r>
      <rPr>
        <vertAlign val="subscript"/>
        <sz val="11"/>
        <color theme="1"/>
        <rFont val="Calibri"/>
        <family val="2"/>
        <scheme val="minor"/>
      </rPr>
      <t>bđ</t>
    </r>
  </si>
  <si>
    <r>
      <t>h</t>
    </r>
    <r>
      <rPr>
        <vertAlign val="subscript"/>
        <sz val="10"/>
        <color theme="1"/>
        <rFont val="Calibri"/>
        <family val="2"/>
        <scheme val="minor"/>
      </rPr>
      <t>1</t>
    </r>
  </si>
  <si>
    <r>
      <t>h</t>
    </r>
    <r>
      <rPr>
        <vertAlign val="subscript"/>
        <sz val="10"/>
        <color theme="1"/>
        <rFont val="Calibri"/>
        <family val="2"/>
        <scheme val="minor"/>
      </rPr>
      <t>2</t>
    </r>
  </si>
  <si>
    <r>
      <t>h</t>
    </r>
    <r>
      <rPr>
        <vertAlign val="subscript"/>
        <sz val="10"/>
        <color theme="1"/>
        <rFont val="Calibri"/>
        <family val="2"/>
        <scheme val="minor"/>
      </rPr>
      <t>3</t>
    </r>
  </si>
  <si>
    <r>
      <t>h</t>
    </r>
    <r>
      <rPr>
        <vertAlign val="subscript"/>
        <sz val="10"/>
        <color theme="1"/>
        <rFont val="Calibri"/>
        <family val="2"/>
        <scheme val="minor"/>
      </rPr>
      <t>4</t>
    </r>
  </si>
  <si>
    <r>
      <t>h</t>
    </r>
    <r>
      <rPr>
        <vertAlign val="subscript"/>
        <sz val="10"/>
        <color theme="1"/>
        <rFont val="Calibri"/>
        <family val="2"/>
        <scheme val="minor"/>
      </rPr>
      <t>5</t>
    </r>
  </si>
  <si>
    <r>
      <t>h</t>
    </r>
    <r>
      <rPr>
        <vertAlign val="subscript"/>
        <sz val="10"/>
        <color theme="1"/>
        <rFont val="Calibri"/>
        <family val="2"/>
        <scheme val="minor"/>
      </rPr>
      <t>6</t>
    </r>
  </si>
  <si>
    <r>
      <t>h</t>
    </r>
    <r>
      <rPr>
        <vertAlign val="subscript"/>
        <sz val="10"/>
        <color theme="1"/>
        <rFont val="Calibri"/>
        <family val="2"/>
        <scheme val="minor"/>
      </rPr>
      <t>7</t>
    </r>
  </si>
  <si>
    <r>
      <t>h</t>
    </r>
    <r>
      <rPr>
        <vertAlign val="subscript"/>
        <sz val="10"/>
        <color theme="1"/>
        <rFont val="Calibri"/>
        <family val="2"/>
        <scheme val="minor"/>
      </rPr>
      <t>8</t>
    </r>
  </si>
  <si>
    <r>
      <t>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bn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</si>
  <si>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1.1. Kiểm tra khả năng chịu cắt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</si>
  <si>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 V/n =</t>
    </r>
  </si>
  <si>
    <t>1.2. Kiểm tra khả năng chịu kéo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</si>
  <si>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  <r>
      <rPr>
        <sz val="10"/>
        <color theme="1"/>
        <rFont val="Calibri"/>
        <family val="2"/>
        <scheme val="minor"/>
      </rPr>
      <t xml:space="preserve"> = M.l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/(m.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</t>
    </r>
    <r>
      <rPr>
        <sz val="10"/>
        <color theme="1"/>
        <rFont val="Symbol"/>
        <family val="1"/>
        <charset val="2"/>
      </rPr>
      <t xml:space="preserve"> ±</t>
    </r>
    <r>
      <rPr>
        <sz val="10"/>
        <color theme="1"/>
        <rFont val="Calibri"/>
        <family val="2"/>
      </rPr>
      <t>N/n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</si>
  <si>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  <r>
      <rPr>
        <sz val="10"/>
        <color theme="1"/>
        <rFont val="Calibri"/>
        <family val="2"/>
        <scheme val="minor"/>
      </rPr>
      <t xml:space="preserve"> /N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=</t>
    </r>
  </si>
  <si>
    <t>2.2 Mặt bích, bu lông, đường hàn:</t>
  </si>
  <si>
    <r>
      <t>Chiều cao mặt bích, 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</si>
  <si>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r>
      <t>Chiều dày mặt bích, 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</si>
  <si>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r>
      <t>Bề rộng mặt bích, B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</si>
  <si>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t>Chiều cao tiết diện, h =</t>
  </si>
  <si>
    <t>Bề rộng bản cánh, b =</t>
  </si>
  <si>
    <r>
      <t>Chiều dày bản bụng, 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</si>
  <si>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Chiều dày bản cánh, 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</si>
  <si>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Khoảng cách bu lông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</si>
  <si>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</si>
  <si>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=P*G/8=</t>
    </r>
  </si>
  <si>
    <r>
      <t>V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=P/2=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</si>
  <si>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</si>
  <si>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</si>
  <si>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scheme val="minor"/>
      </rPr>
      <t xml:space="preserve"> = (</t>
    </r>
    <r>
      <rPr>
        <sz val="10"/>
        <color theme="1"/>
        <rFont val="Symbol"/>
        <family val="1"/>
        <charset val="2"/>
      </rPr>
      <t>s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+3</t>
    </r>
    <r>
      <rPr>
        <sz val="10"/>
        <color theme="1"/>
        <rFont val="Symbol"/>
        <family val="1"/>
        <charset val="2"/>
      </rPr>
      <t>t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</si>
  <si>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scheme val="minor"/>
      </rPr>
      <t xml:space="preserve"> /(1.15.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</si>
  <si>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  6M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t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</si>
  <si>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 = V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)=</t>
    </r>
  </si>
  <si>
    <r>
      <t>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</si>
  <si>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Mặt ngoài cánh</t>
  </si>
  <si>
    <t>Mặt trong cánh</t>
  </si>
  <si>
    <t>Bụng</t>
  </si>
  <si>
    <t>b</t>
  </si>
  <si>
    <t>h</t>
  </si>
  <si>
    <t>d</t>
  </si>
  <si>
    <t>d: Cánh tay đòn từ tâm đến trục trung hòa</t>
  </si>
  <si>
    <t>Số lượng</t>
  </si>
  <si>
    <t>J</t>
  </si>
  <si>
    <r>
      <t>J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</si>
  <si>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</si>
  <si>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</si>
  <si>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Thông số đường hàn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</si>
  <si>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=[(M/W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+N/A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+(V/A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]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</si>
  <si>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/[(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]</t>
    </r>
    <r>
      <rPr>
        <sz val="10"/>
        <color theme="1"/>
        <rFont val="Calibri"/>
        <family val="1"/>
        <charset val="2"/>
        <scheme val="minor"/>
      </rPr>
      <t>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</si>
  <si>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</si>
  <si>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Bảng C5: Cường độ ép mặt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</si>
  <si>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</si>
  <si>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</si>
  <si>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</si>
  <si>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</si>
  <si>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Bảng D3</t>
  </si>
  <si>
    <r>
      <t xml:space="preserve">Hệ số </t>
    </r>
    <r>
      <rPr>
        <b/>
        <sz val="11"/>
        <color theme="1"/>
        <rFont val="Arial"/>
        <family val="2"/>
      </rPr>
      <t>φ</t>
    </r>
    <r>
      <rPr>
        <b/>
        <sz val="11"/>
        <color theme="1"/>
        <rFont val="Calibri"/>
        <family val="2"/>
      </rPr>
      <t>e để kiểm tra ổn định của cấu kiện tiết diện đặc, chịu nén lệch tâm (nén uốn), mặt phẳng tác dụng của moment trùng với mặt phẳng đối xứng</t>
    </r>
  </si>
  <si>
    <t>fu</t>
  </si>
  <si>
    <t>NÉN</t>
  </si>
  <si>
    <t>KÉO</t>
  </si>
  <si>
    <t>Loại thép</t>
  </si>
  <si>
    <t>fy</t>
  </si>
  <si>
    <r>
      <t>R</t>
    </r>
    <r>
      <rPr>
        <vertAlign val="subscript"/>
        <sz val="10"/>
        <color rgb="FF0070C0"/>
        <rFont val="Arial"/>
        <family val="2"/>
      </rPr>
      <t>sn</t>
    </r>
  </si>
  <si>
    <r>
      <t>R</t>
    </r>
    <r>
      <rPr>
        <vertAlign val="subscript"/>
        <sz val="10"/>
        <color rgb="FF0070C0"/>
        <rFont val="Arial"/>
        <family val="2"/>
      </rPr>
      <t>s</t>
    </r>
  </si>
  <si>
    <r>
      <t>R</t>
    </r>
    <r>
      <rPr>
        <vertAlign val="subscript"/>
        <sz val="10"/>
        <color rgb="FF0070C0"/>
        <rFont val="Arial"/>
        <family val="2"/>
      </rPr>
      <t>sc</t>
    </r>
  </si>
  <si>
    <r>
      <t>R</t>
    </r>
    <r>
      <rPr>
        <vertAlign val="subscript"/>
        <sz val="10"/>
        <color rgb="FF0070C0"/>
        <rFont val="Arial"/>
        <family val="2"/>
      </rPr>
      <t>sw</t>
    </r>
  </si>
  <si>
    <r>
      <t>E</t>
    </r>
    <r>
      <rPr>
        <vertAlign val="subscript"/>
        <sz val="10"/>
        <color rgb="FF0070C0"/>
        <rFont val="Arial"/>
        <family val="2"/>
      </rPr>
      <t>s</t>
    </r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</si>
  <si>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</si>
  <si>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</si>
  <si>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</si>
  <si>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</si>
  <si>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</si>
  <si>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</si>
  <si>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</si>
  <si>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</si>
  <si>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</si>
  <si>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Tên</t>
  </si>
  <si>
    <t>fck</t>
  </si>
  <si>
    <t>CI</t>
  </si>
  <si>
    <t>M150</t>
  </si>
  <si>
    <t>B10</t>
  </si>
  <si>
    <t>CII</t>
  </si>
  <si>
    <t>M200</t>
  </si>
  <si>
    <t>B15</t>
  </si>
  <si>
    <t>C12/15</t>
  </si>
  <si>
    <t>CIII</t>
  </si>
  <si>
    <t>M250</t>
  </si>
  <si>
    <t>B20</t>
  </si>
  <si>
    <t>C16/20</t>
  </si>
  <si>
    <t>AI</t>
  </si>
  <si>
    <t>M350</t>
  </si>
  <si>
    <t>B25</t>
  </si>
  <si>
    <t>C20/25</t>
  </si>
  <si>
    <t>AII</t>
  </si>
  <si>
    <t>M400</t>
  </si>
  <si>
    <t>B30</t>
  </si>
  <si>
    <t>C25/30</t>
  </si>
  <si>
    <t>AIII</t>
  </si>
  <si>
    <t>M450</t>
  </si>
  <si>
    <t>B35</t>
  </si>
  <si>
    <t>C28/35</t>
  </si>
  <si>
    <t>CB240-T</t>
  </si>
  <si>
    <t>M500</t>
  </si>
  <si>
    <t>B40</t>
  </si>
  <si>
    <t>C32/40</t>
  </si>
  <si>
    <t>CB300-T</t>
  </si>
  <si>
    <t>M600</t>
  </si>
  <si>
    <t>B45</t>
  </si>
  <si>
    <t>C35/45</t>
  </si>
  <si>
    <t>CB300-V</t>
  </si>
  <si>
    <t>M700</t>
  </si>
  <si>
    <t>B50</t>
  </si>
  <si>
    <t>C40/50</t>
  </si>
  <si>
    <t>CB400-V</t>
  </si>
  <si>
    <t>B55</t>
  </si>
  <si>
    <t>C45/55</t>
  </si>
  <si>
    <t>CB500-V</t>
  </si>
  <si>
    <t>M800</t>
  </si>
  <si>
    <t>B60</t>
  </si>
  <si>
    <t>C50/60</t>
  </si>
  <si>
    <t>SR235</t>
  </si>
  <si>
    <t>SR295</t>
  </si>
  <si>
    <t>SD295</t>
  </si>
  <si>
    <t>SD390</t>
  </si>
  <si>
    <t>SD490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</si>
  <si>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</si>
  <si>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</si>
  <si>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</si>
  <si>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</si>
  <si>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</si>
  <si>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</si>
  <si>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</si>
  <si>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</si>
  <si>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(Theo TCVN 5575-2024)</t>
  </si>
  <si>
    <t>A. THÔNG SỐ THIẾT KẾ</t>
  </si>
  <si>
    <t>1.2 Thép tấm</t>
  </si>
  <si>
    <t>B. TÍNH TOÁN</t>
  </si>
  <si>
    <t>Thông số lực</t>
  </si>
  <si>
    <t>Phần tử</t>
  </si>
  <si>
    <t>Vị trí</t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</si>
  <si>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</si>
  <si>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</si>
  <si>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</si>
  <si>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t>Bu lông</t>
  </si>
  <si>
    <t>Tổ hợp</t>
  </si>
  <si>
    <t>N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</si>
  <si>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</si>
  <si>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</si>
  <si>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T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</si>
  <si>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</si>
  <si>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</si>
  <si>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n</t>
  </si>
  <si>
    <t>(m)</t>
  </si>
  <si>
    <t>(mm)</t>
  </si>
  <si>
    <t>CT1</t>
  </si>
  <si>
    <t>1.1 Bu lông</t>
  </si>
  <si>
    <t>Thông số cấu kiện</t>
  </si>
  <si>
    <t>Thông số bản bích</t>
  </si>
  <si>
    <t>Bảng tra bản bích</t>
  </si>
  <si>
    <t>thk</t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</si>
  <si>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vb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</si>
  <si>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</si>
  <si>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</si>
  <si>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cb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</si>
  <si>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tb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</si>
  <si>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v</t>
    </r>
  </si>
  <si>
    <t>D/C</t>
  </si>
  <si>
    <t>Kiểm tra V</t>
  </si>
  <si>
    <t>Kiểm tra M</t>
  </si>
  <si>
    <t>Thông số bu lông</t>
  </si>
  <si>
    <t>Kiểm tra 
N bu lông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</si>
  <si>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</si>
  <si>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</si>
  <si>
    <t>Kiểm tra chiều dày mặt bích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</si>
  <si>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</si>
  <si>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t>G</t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</si>
  <si>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</si>
  <si>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</si>
  <si>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</si>
  <si>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</si>
  <si>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</si>
  <si>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rPr>
        <b/>
        <sz val="10"/>
        <color rgb="FF0070C0"/>
        <rFont val="Symbol"/>
        <family val="1"/>
        <charset val="2"/>
      </rPr>
      <t>t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</si>
  <si>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t>s</t>
    </r>
    <r>
      <rPr>
        <b/>
        <vertAlign val="subscript"/>
        <sz val="10"/>
        <color rgb="FF0070C0"/>
        <rFont val="Calibri"/>
        <family val="2"/>
        <scheme val="minor"/>
      </rPr>
      <t>tđ</t>
    </r>
  </si>
  <si>
    <r>
      <t>H</t>
    </r>
    <r>
      <rPr>
        <vertAlign val="subscript"/>
        <sz val="11"/>
        <color theme="1"/>
        <rFont val="Calibri"/>
        <family val="2"/>
        <scheme val="minor"/>
      </rPr>
      <t>ck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</si>
  <si>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max</t>
    </r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</si>
  <si>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</si>
  <si>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</si>
  <si>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</si>
  <si>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</si>
  <si>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</si>
  <si>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1.4. Kiểm tra chiều dày mặt bích</t>
  </si>
  <si>
    <t xml:space="preserve">1.3. Kiểm tra khả năng chịu cắt và kéo của một bu lông 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</si>
  <si>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/ 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</si>
  <si>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/ 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</si>
  <si>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[(N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/N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+(N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>/N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]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</si>
  <si>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t>1.5. Kiểm tra liên kết hàn bản mã với dầm</t>
  </si>
  <si>
    <t>nv =</t>
  </si>
  <si>
    <t>mặt cắt</t>
  </si>
  <si>
    <r>
      <t>L = h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</si>
  <si>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b</t>
    </r>
    <r>
      <rPr>
        <sz val="10"/>
        <color theme="1"/>
        <rFont val="Calibri"/>
        <family val="2"/>
        <scheme val="minor"/>
      </rPr>
      <t xml:space="preserve"> =</t>
    </r>
  </si>
  <si>
    <r>
      <t>NV /(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.min(N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,N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))=</t>
    </r>
  </si>
  <si>
    <r>
      <t>P = M/(h-t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) ± N=</t>
    </r>
  </si>
  <si>
    <t>Tiết diện</t>
  </si>
  <si>
    <t>Label</t>
  </si>
  <si>
    <t>H Tổng</t>
  </si>
  <si>
    <t>Cột AA</t>
  </si>
  <si>
    <t>Tên tiết diện</t>
  </si>
  <si>
    <t>Tùy chọn</t>
  </si>
  <si>
    <t>CTxxx</t>
  </si>
  <si>
    <t>Uni.</t>
  </si>
  <si>
    <t>Kiểm tra (1)</t>
  </si>
  <si>
    <t>Kết luận</t>
  </si>
  <si>
    <t>Kiểm tra M &amp; V</t>
  </si>
  <si>
    <t>Kiểm tra (2)</t>
  </si>
  <si>
    <t>Kiểm tra
(3)</t>
  </si>
  <si>
    <t>(1) Kiểm tra khả năng chịu cắt của một bu lông</t>
  </si>
  <si>
    <t>(2) Kiểm tra khả năng chịu kéo của một bu lông</t>
  </si>
  <si>
    <t>(3) Kiểm tra khả năng chịu cắt và kéo của một bu lông</t>
  </si>
  <si>
    <t>(4) Kiểm tra chiều dày mặt bích</t>
  </si>
  <si>
    <t>D/C: Chỉ số huy động của cấu kiện</t>
  </si>
  <si>
    <t>B217</t>
  </si>
  <si>
    <t>B248</t>
  </si>
  <si>
    <t>1_LRFD1 (1.4D)</t>
  </si>
  <si>
    <t>1_LRFD2 (1.2D+1.6L+0.5Lr)</t>
  </si>
  <si>
    <t>1_LRFD30 (1.2D+1.6Lr+L)</t>
  </si>
  <si>
    <t>1_LRFD31 (1.2D+1.6Lr+0.5W)</t>
  </si>
  <si>
    <t>1_LRFD32 (1.2D+1.6Lr+0.5W)</t>
  </si>
  <si>
    <t>1_LRFD33 (1.2D+1.6Lr+0.5W)</t>
  </si>
  <si>
    <t>1_LRFD34 (1.2D+1.6Lr+0.5W)</t>
  </si>
  <si>
    <t>1_LRFD35 (1.2D+1.6Lr+0.5W)</t>
  </si>
  <si>
    <t>1_LRFD36 (1.2D+1.6Lr+0.5W)</t>
  </si>
  <si>
    <t>1_LRFD37 (1.2D+1.6Lr+0.5W)</t>
  </si>
  <si>
    <t>1_LRFD38 (1.2D+1.6Lr+0.5W)</t>
  </si>
  <si>
    <t>1_LRFD41 (1.2D+1.0W+L+0.5Lr)</t>
  </si>
  <si>
    <t>1_LRFD42 (1.2D+1.0W+L+0.5Lr)</t>
  </si>
  <si>
    <t>1_LRFD43 (1.2D+1.0W+L+0.5Lr)</t>
  </si>
  <si>
    <t>1_LRFD44 (1.2D+1.0W+L+0.5Lr)</t>
  </si>
  <si>
    <t>1_LRFD45 (1.2D+1.0W+L+0.5Lr)</t>
  </si>
  <si>
    <t>1_LRFD46 (1.2D+1.0W+L+0.5Lr)</t>
  </si>
  <si>
    <t>1_LRFD47 (1.2D+1.0W+L+0.5Lr)</t>
  </si>
  <si>
    <t>1_LRFD48 (1.2D+1.0W+L+0.5Lr)</t>
  </si>
  <si>
    <t>1_LRFD51(0.9D+1.0W)</t>
  </si>
  <si>
    <t>1_LRFD52(0.9D+1.0W)</t>
  </si>
  <si>
    <t>1_LRFD53(0.9D+1.0W)</t>
  </si>
  <si>
    <t>1_LRFD54(0.9D+1.0W)</t>
  </si>
  <si>
    <t>1_LRFD55(0.9D+1.0W)</t>
  </si>
  <si>
    <t>1_LRFD56(0.9D+1.0W)</t>
  </si>
  <si>
    <t>1_LRFD57(0.9D+1.0W)</t>
  </si>
  <si>
    <t>1_LRFD58(0.9D+1.0W)</t>
  </si>
  <si>
    <t>B376</t>
  </si>
  <si>
    <t>B378</t>
  </si>
  <si>
    <t>500x300x10x14</t>
  </si>
  <si>
    <t>760x300x25 + 8M24</t>
  </si>
  <si>
    <t>OK</t>
  </si>
  <si>
    <t>O/S</t>
  </si>
  <si>
    <t>Kiểm tra
(4)</t>
  </si>
  <si>
    <t>2.1 Cấu kiện:</t>
  </si>
  <si>
    <t>1100x350x14x18</t>
  </si>
  <si>
    <t>1360x350x25 + 16M27</t>
  </si>
  <si>
    <t>THIẾT KẾ LIÊN KẾT MOMENT DẦM - DẦM THEO TCVN 5575:2024</t>
  </si>
  <si>
    <t>BẢNG TỔNG HỢP CHI TIẾT  - THUYẾT MINH LIÊN KẾT MOMENT DẦM - DẦM</t>
  </si>
  <si>
    <t>750x350x14x18</t>
  </si>
  <si>
    <t>1010x350x25 + 12M24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</si>
</sst>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E+00"/>
    <numFmt numFmtId="166" formatCode="0.000"/>
    <numFmt numFmtId="167" formatCode="_(* #,##0_);_(* \(#,##0\);_(* &quot;-&quot;??_);_(@_)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0"/>
      <color theme="5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i/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b/>
      <u/>
      <sz val="11"/>
      <color rgb="FFFF0000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indexed="8"/>
      <name val="Calibri"/>
      <family val="2"/>
    </font>
    <font>
      <sz val="10"/>
      <color rgb="FF0070C0"/>
      <name val="Arial"/>
      <family val="2"/>
    </font>
    <font>
      <vertAlign val="subscript"/>
      <sz val="10"/>
      <color rgb="FF0070C0"/>
      <name val="Arial"/>
      <family val="2"/>
    </font>
    <font>
      <sz val="11"/>
      <name val="Times New Roman"/>
      <family val="1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3"/>
      <color theme="0"/>
      <name val="Calibri"/>
      <family val="2"/>
      <scheme val="minor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sz val="10"/>
      <color rgb="FF0070C0"/>
      <name val="Symbol"/>
      <family val="1"/>
      <charset val="2"/>
    </font>
    <font>
      <b/>
      <sz val="10"/>
      <color rgb="FF0070C0"/>
      <name val="Calibri"/>
      <family val="1"/>
      <charset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  <font>
      <b/>
      <sz val="14"/>
      <color rgb="FF0000CC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/>
      <right style="thin">
        <color rgb="FFBFBFBF"/>
      </right>
      <top/>
      <bottom/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hair">
        <color rgb="FFBFBFBF"/>
      </top>
      <bottom/>
      <diagonal/>
    </border>
    <border>
      <left style="thin">
        <color rgb="FFBFBFBF"/>
      </left>
      <right/>
      <top style="hair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BFBFBF"/>
      </left>
      <right/>
      <top style="thin">
        <color rgb="FFBFBFBF"/>
      </top>
      <bottom style="medium">
        <color rgb="FFBFBFBF"/>
      </bottom>
      <diagonal/>
    </border>
    <border>
      <left/>
      <right/>
      <top style="thin">
        <color rgb="FFBFBFBF"/>
      </top>
      <bottom style="medium">
        <color rgb="FFBFBFBF"/>
      </bottom>
      <diagonal/>
    </border>
    <border>
      <left/>
      <right style="thin">
        <color rgb="FFBFBFBF"/>
      </right>
      <top style="hair">
        <color rgb="FFBFBFB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/>
      <bottom style="thin">
        <color rgb="FF7F7F7F"/>
      </bottom>
      <diagonal/>
    </border>
    <border>
      <left style="thin">
        <color rgb="FFBFBFBF"/>
      </left>
      <right/>
      <top style="thin">
        <color rgb="FFBFBFBF"/>
      </top>
      <bottom style="thin">
        <color indexed="64"/>
      </bottom>
      <diagonal/>
    </border>
    <border>
      <left style="thin">
        <color rgb="FFBFBFBF"/>
      </left>
      <right/>
      <top style="thin">
        <color rgb="FFBFBFBF"/>
      </top>
      <bottom style="thin">
        <color rgb="FF7F7F7F"/>
      </bottom>
      <diagonal/>
    </border>
  </borders>
  <cellStyleXfs count="9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1" fillId="9" borderId="0" applyNumberFormat="0" applyBorder="0" applyAlignment="0" applyProtection="0"/>
    <xf numFmtId="0" fontId="34" fillId="0" borderId="0"/>
    <xf numFmtId="0" fontId="40" fillId="0" borderId="0"/>
    <xf numFmtId="0" fontId="43" fillId="0" borderId="0"/>
    <xf numFmtId="164" fontId="34" fillId="0" borderId="0" applyFont="0" applyFill="0" applyBorder="0" applyAlignment="0" applyProtection="0"/>
    <xf numFmtId="0" fontId="43" fillId="0" borderId="0"/>
  </cellStyleXfs>
  <cellXfs count="375">
    <xf numFmtId="0" fontId="0" fillId="0" borderId="0" xfId="0"/>
    <xf numFmtId="0" fontId="3" fillId="0" borderId="0" xfId="0" applyFont="1"/>
    <xf numFmtId="0" fontId="3" fillId="4" borderId="0" xfId="0" applyFont="1" applyFill="1"/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3" fillId="7" borderId="0" xfId="0" applyFont="1" applyFill="1"/>
    <xf numFmtId="0" fontId="10" fillId="7" borderId="0" xfId="0" applyFont="1" applyFill="1" applyAlignment="1">
      <alignment horizontal="center" vertical="center"/>
    </xf>
    <xf numFmtId="0" fontId="3" fillId="7" borderId="2" xfId="0" applyFont="1" applyFill="1" applyBorder="1"/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10" fillId="7" borderId="0" xfId="0" applyFont="1" applyFill="1"/>
    <xf numFmtId="0" fontId="17" fillId="7" borderId="3" xfId="0" applyFont="1" applyFill="1" applyBorder="1" applyAlignment="1">
      <alignment horizontal="center" vertical="center"/>
    </xf>
    <xf numFmtId="0" fontId="3" fillId="7" borderId="6" xfId="0" applyFont="1" applyFill="1" applyBorder="1"/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/>
    <xf numFmtId="1" fontId="3" fillId="7" borderId="3" xfId="0" applyNumberFormat="1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25" fillId="8" borderId="0" xfId="0" applyFont="1" applyFill="1" applyAlignment="1">
      <alignment horizontal="center" wrapText="1"/>
    </xf>
    <xf numFmtId="164" fontId="3" fillId="7" borderId="0" xfId="0" applyNumberFormat="1" applyFont="1" applyFill="1" applyAlignment="1">
      <alignment horizontal="center" vertical="center"/>
    </xf>
    <xf numFmtId="0" fontId="25" fillId="8" borderId="0" xfId="0" applyFont="1" applyFill="1" applyAlignment="1">
      <alignment horizontal="center"/>
    </xf>
    <xf numFmtId="0" fontId="25" fillId="8" borderId="0" xfId="0" applyFont="1" applyFill="1" applyAlignment="1">
      <alignment horizontal="center" vertical="center" wrapText="1"/>
    </xf>
    <xf numFmtId="0" fontId="27" fillId="7" borderId="0" xfId="0" applyFont="1" applyFill="1" applyAlignment="1">
      <alignment horizontal="center" vertical="center"/>
    </xf>
    <xf numFmtId="0" fontId="48" fillId="7" borderId="3" xfId="6" applyFont="1" applyFill="1" applyBorder="1" applyAlignment="1">
      <alignment vertical="center"/>
    </xf>
    <xf numFmtId="0" fontId="48" fillId="7" borderId="4" xfId="6" applyFont="1" applyFill="1" applyBorder="1" applyAlignment="1">
      <alignment vertical="center"/>
    </xf>
    <xf numFmtId="0" fontId="48" fillId="7" borderId="3" xfId="6" applyFont="1" applyFill="1" applyBorder="1" applyAlignment="1">
      <alignment horizontal="center" vertical="center"/>
    </xf>
    <xf numFmtId="2" fontId="10" fillId="7" borderId="0" xfId="0" applyNumberFormat="1" applyFont="1" applyFill="1"/>
    <xf numFmtId="2" fontId="10" fillId="7" borderId="0" xfId="0" applyNumberFormat="1" applyFont="1" applyFill="1" applyAlignment="1">
      <alignment horizontal="center" vertical="center"/>
    </xf>
    <xf numFmtId="0" fontId="10" fillId="7" borderId="3" xfId="0" applyFont="1" applyFill="1" applyBorder="1"/>
    <xf numFmtId="2" fontId="10" fillId="7" borderId="3" xfId="0" applyNumberFormat="1" applyFont="1" applyFill="1" applyBorder="1"/>
    <xf numFmtId="0" fontId="10" fillId="7" borderId="3" xfId="0" applyFont="1" applyFill="1" applyBorder="1" applyAlignment="1">
      <alignment horizontal="center" vertical="center"/>
    </xf>
    <xf numFmtId="1" fontId="17" fillId="7" borderId="3" xfId="0" applyNumberFormat="1" applyFont="1" applyFill="1" applyBorder="1" applyAlignment="1">
      <alignment horizontal="center" vertical="center"/>
    </xf>
    <xf numFmtId="2" fontId="3" fillId="7" borderId="3" xfId="0" applyNumberFormat="1" applyFont="1" applyFill="1" applyBorder="1"/>
    <xf numFmtId="0" fontId="3" fillId="7" borderId="3" xfId="0" applyFont="1" applyFill="1" applyBorder="1"/>
    <xf numFmtId="1" fontId="3" fillId="7" borderId="3" xfId="0" applyNumberFormat="1" applyFont="1" applyFill="1" applyBorder="1"/>
    <xf numFmtId="2" fontId="3" fillId="7" borderId="3" xfId="0" applyNumberFormat="1" applyFont="1" applyFill="1" applyBorder="1" applyAlignment="1">
      <alignment horizontal="center" vertical="center"/>
    </xf>
    <xf numFmtId="1" fontId="10" fillId="7" borderId="3" xfId="0" applyNumberFormat="1" applyFont="1" applyFill="1" applyBorder="1" applyAlignment="1">
      <alignment horizontal="center" vertical="center"/>
    </xf>
    <xf numFmtId="164" fontId="3" fillId="7" borderId="3" xfId="0" applyNumberFormat="1" applyFont="1" applyFill="1" applyBorder="1" applyAlignment="1">
      <alignment horizontal="center" vertical="center"/>
    </xf>
    <xf numFmtId="11" fontId="3" fillId="7" borderId="3" xfId="0" applyNumberFormat="1" applyFont="1" applyFill="1" applyBorder="1"/>
    <xf numFmtId="0" fontId="3" fillId="7" borderId="0" xfId="0" applyFont="1" applyFill="1" applyAlignment="1">
      <alignment horizontal="left" indent="1"/>
    </xf>
    <xf numFmtId="0" fontId="17" fillId="7" borderId="0" xfId="0" applyFont="1" applyFill="1" applyAlignment="1">
      <alignment horizontal="left"/>
    </xf>
    <xf numFmtId="0" fontId="3" fillId="7" borderId="0" xfId="0" applyFont="1" applyFill="1" applyAlignment="1">
      <alignment vertical="center"/>
    </xf>
    <xf numFmtId="164" fontId="18" fillId="2" borderId="1" xfId="1" applyNumberFormat="1" applyFont="1" applyAlignment="1">
      <alignment horizontal="center" vertical="center"/>
    </xf>
    <xf numFmtId="164" fontId="18" fillId="2" borderId="9" xfId="1" applyNumberFormat="1" applyFont="1" applyBorder="1" applyAlignment="1">
      <alignment horizontal="center" vertical="center"/>
    </xf>
    <xf numFmtId="2" fontId="10" fillId="7" borderId="6" xfId="0" applyNumberFormat="1" applyFont="1" applyFill="1" applyBorder="1" applyAlignment="1">
      <alignment horizontal="center" vertical="center"/>
    </xf>
    <xf numFmtId="1" fontId="10" fillId="7" borderId="0" xfId="0" applyNumberFormat="1" applyFont="1" applyFill="1" applyAlignment="1">
      <alignment horizontal="center" vertical="center"/>
    </xf>
    <xf numFmtId="1" fontId="10" fillId="7" borderId="6" xfId="0" applyNumberFormat="1" applyFont="1" applyFill="1" applyBorder="1" applyAlignment="1">
      <alignment horizontal="center" vertical="center"/>
    </xf>
    <xf numFmtId="0" fontId="3" fillId="7" borderId="0" xfId="0" quotePrefix="1" applyFont="1" applyFill="1"/>
    <xf numFmtId="0" fontId="3" fillId="0" borderId="10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3" xfId="0" applyFont="1" applyBorder="1"/>
    <xf numFmtId="0" fontId="3" fillId="0" borderId="17" xfId="0" applyFont="1" applyBorder="1"/>
    <xf numFmtId="0" fontId="3" fillId="7" borderId="10" xfId="0" applyFont="1" applyFill="1" applyBorder="1" applyAlignment="1">
      <alignment vertical="top"/>
    </xf>
    <xf numFmtId="0" fontId="25" fillId="5" borderId="0" xfId="0" applyFont="1" applyFill="1" applyAlignment="1">
      <alignment horizontal="centerContinuous"/>
    </xf>
    <xf numFmtId="1" fontId="25" fillId="5" borderId="0" xfId="0" applyNumberFormat="1" applyFont="1" applyFill="1" applyAlignment="1">
      <alignment horizontal="centerContinuous"/>
    </xf>
    <xf numFmtId="0" fontId="25" fillId="5" borderId="0" xfId="0" applyFont="1" applyFill="1" applyAlignment="1">
      <alignment horizontal="center" vertical="center"/>
    </xf>
    <xf numFmtId="0" fontId="50" fillId="7" borderId="10" xfId="0" applyFont="1" applyFill="1" applyBorder="1" applyAlignment="1">
      <alignment horizontal="left" indent="1"/>
    </xf>
    <xf numFmtId="2" fontId="10" fillId="7" borderId="10" xfId="0" applyNumberFormat="1" applyFont="1" applyFill="1" applyBorder="1"/>
    <xf numFmtId="0" fontId="10" fillId="7" borderId="10" xfId="0" applyFont="1" applyFill="1" applyBorder="1" applyAlignment="1">
      <alignment horizontal="center" vertical="center"/>
    </xf>
    <xf numFmtId="0" fontId="10" fillId="7" borderId="10" xfId="0" applyFont="1" applyFill="1" applyBorder="1"/>
    <xf numFmtId="1" fontId="10" fillId="7" borderId="10" xfId="0" applyNumberFormat="1" applyFont="1" applyFill="1" applyBorder="1" applyAlignment="1">
      <alignment horizontal="center" vertical="center"/>
    </xf>
    <xf numFmtId="2" fontId="10" fillId="7" borderId="10" xfId="0" applyNumberFormat="1" applyFont="1" applyFill="1" applyBorder="1" applyAlignment="1">
      <alignment horizontal="center" vertical="center"/>
    </xf>
    <xf numFmtId="0" fontId="3" fillId="7" borderId="10" xfId="0" applyFont="1" applyFill="1" applyBorder="1"/>
    <xf numFmtId="0" fontId="3" fillId="7" borderId="10" xfId="0" applyFont="1" applyFill="1" applyBorder="1" applyAlignment="1">
      <alignment horizontal="center" vertical="center"/>
    </xf>
    <xf numFmtId="0" fontId="3" fillId="7" borderId="10" xfId="0" quotePrefix="1" applyFont="1" applyFill="1" applyBorder="1"/>
    <xf numFmtId="0" fontId="3" fillId="7" borderId="0" xfId="0" applyFont="1" applyFill="1" applyAlignment="1">
      <alignment vertical="top"/>
    </xf>
    <xf numFmtId="0" fontId="7" fillId="6" borderId="10" xfId="0" applyFont="1" applyFill="1" applyBorder="1"/>
    <xf numFmtId="0" fontId="50" fillId="7" borderId="0" xfId="0" applyFont="1" applyFill="1" applyAlignment="1">
      <alignment horizontal="left" indent="1"/>
    </xf>
    <xf numFmtId="0" fontId="7" fillId="6" borderId="0" xfId="0" applyFont="1" applyFill="1"/>
    <xf numFmtId="0" fontId="10" fillId="7" borderId="8" xfId="0" applyFont="1" applyFill="1" applyBorder="1"/>
    <xf numFmtId="2" fontId="10" fillId="7" borderId="8" xfId="0" applyNumberFormat="1" applyFont="1" applyFill="1" applyBorder="1"/>
    <xf numFmtId="1" fontId="10" fillId="7" borderId="8" xfId="0" applyNumberFormat="1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1" fontId="17" fillId="7" borderId="8" xfId="0" applyNumberFormat="1" applyFont="1" applyFill="1" applyBorder="1" applyAlignment="1">
      <alignment horizontal="center" vertical="center"/>
    </xf>
    <xf numFmtId="0" fontId="17" fillId="7" borderId="8" xfId="0" applyFont="1" applyFill="1" applyBorder="1" applyAlignment="1">
      <alignment horizontal="center" vertical="center"/>
    </xf>
    <xf numFmtId="0" fontId="3" fillId="7" borderId="8" xfId="0" applyFont="1" applyFill="1" applyBorder="1"/>
    <xf numFmtId="11" fontId="3" fillId="7" borderId="8" xfId="0" applyNumberFormat="1" applyFont="1" applyFill="1" applyBorder="1"/>
    <xf numFmtId="1" fontId="3" fillId="7" borderId="8" xfId="0" applyNumberFormat="1" applyFont="1" applyFill="1" applyBorder="1" applyAlignment="1">
      <alignment horizontal="center" vertical="center"/>
    </xf>
    <xf numFmtId="164" fontId="3" fillId="7" borderId="8" xfId="0" applyNumberFormat="1" applyFont="1" applyFill="1" applyBorder="1" applyAlignment="1">
      <alignment horizontal="center" vertical="center"/>
    </xf>
    <xf numFmtId="1" fontId="3" fillId="7" borderId="8" xfId="0" applyNumberFormat="1" applyFont="1" applyFill="1" applyBorder="1"/>
    <xf numFmtId="2" fontId="3" fillId="7" borderId="8" xfId="0" applyNumberFormat="1" applyFont="1" applyFill="1" applyBorder="1" applyAlignment="1">
      <alignment horizontal="center" vertical="center"/>
    </xf>
    <xf numFmtId="2" fontId="3" fillId="7" borderId="8" xfId="0" applyNumberFormat="1" applyFont="1" applyFill="1" applyBorder="1"/>
    <xf numFmtId="0" fontId="6" fillId="9" borderId="0" xfId="3" applyFont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17" fillId="7" borderId="22" xfId="0" applyFont="1" applyFill="1" applyBorder="1" applyAlignment="1">
      <alignment horizontal="center" vertical="center"/>
    </xf>
    <xf numFmtId="0" fontId="14" fillId="7" borderId="10" xfId="0" applyFont="1" applyFill="1" applyBorder="1" applyAlignment="1">
      <alignment horizontal="right" vertical="center"/>
    </xf>
    <xf numFmtId="165" fontId="17" fillId="7" borderId="10" xfId="0" applyNumberFormat="1" applyFont="1" applyFill="1" applyBorder="1" applyAlignment="1">
      <alignment horizontal="center" vertical="center"/>
    </xf>
    <xf numFmtId="0" fontId="3" fillId="7" borderId="12" xfId="0" applyFont="1" applyFill="1" applyBorder="1"/>
    <xf numFmtId="0" fontId="3" fillId="7" borderId="12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right" vertical="center"/>
    </xf>
    <xf numFmtId="0" fontId="14" fillId="7" borderId="0" xfId="0" applyFont="1" applyFill="1" applyAlignment="1">
      <alignment horizontal="right" vertical="center"/>
    </xf>
    <xf numFmtId="0" fontId="3" fillId="7" borderId="14" xfId="0" applyFont="1" applyFill="1" applyBorder="1" applyAlignment="1">
      <alignment horizontal="center" vertical="center"/>
    </xf>
    <xf numFmtId="0" fontId="1" fillId="3" borderId="14" xfId="2" applyBorder="1" applyAlignment="1">
      <alignment horizontal="center" vertical="center"/>
    </xf>
    <xf numFmtId="0" fontId="1" fillId="3" borderId="13" xfId="2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0" fillId="3" borderId="14" xfId="2" applyFont="1" applyBorder="1" applyAlignment="1">
      <alignment horizontal="center" vertical="center"/>
    </xf>
    <xf numFmtId="0" fontId="9" fillId="7" borderId="14" xfId="0" applyFont="1" applyFill="1" applyBorder="1" applyAlignment="1">
      <alignment horizontal="center" vertical="center"/>
    </xf>
    <xf numFmtId="0" fontId="9" fillId="7" borderId="13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indent="1"/>
    </xf>
    <xf numFmtId="0" fontId="3" fillId="4" borderId="15" xfId="0" applyFont="1" applyFill="1" applyBorder="1"/>
    <xf numFmtId="0" fontId="8" fillId="7" borderId="15" xfId="0" applyFont="1" applyFill="1" applyBorder="1" applyAlignment="1">
      <alignment horizontal="left" indent="1"/>
    </xf>
    <xf numFmtId="0" fontId="3" fillId="7" borderId="15" xfId="0" applyFont="1" applyFill="1" applyBorder="1" applyAlignment="1">
      <alignment horizontal="left" vertical="top" indent="2"/>
    </xf>
    <xf numFmtId="0" fontId="3" fillId="7" borderId="15" xfId="0" applyFont="1" applyFill="1" applyBorder="1"/>
    <xf numFmtId="0" fontId="3" fillId="7" borderId="23" xfId="0" applyFont="1" applyFill="1" applyBorder="1" applyAlignment="1">
      <alignment horizontal="center" vertical="center"/>
    </xf>
    <xf numFmtId="0" fontId="10" fillId="0" borderId="14" xfId="0" applyFont="1" applyBorder="1"/>
    <xf numFmtId="0" fontId="10" fillId="0" borderId="13" xfId="0" applyFont="1" applyBorder="1"/>
    <xf numFmtId="0" fontId="50" fillId="7" borderId="15" xfId="0" applyFont="1" applyFill="1" applyBorder="1" applyAlignment="1">
      <alignment horizontal="left" indent="1"/>
    </xf>
    <xf numFmtId="0" fontId="10" fillId="7" borderId="15" xfId="0" applyFont="1" applyFill="1" applyBorder="1"/>
    <xf numFmtId="0" fontId="7" fillId="6" borderId="15" xfId="0" applyFont="1" applyFill="1" applyBorder="1"/>
    <xf numFmtId="0" fontId="7" fillId="6" borderId="15" xfId="0" applyFont="1" applyFill="1" applyBorder="1" applyAlignment="1">
      <alignment horizontal="center" vertical="top"/>
    </xf>
    <xf numFmtId="0" fontId="10" fillId="7" borderId="14" xfId="0" applyFont="1" applyFill="1" applyBorder="1"/>
    <xf numFmtId="0" fontId="7" fillId="6" borderId="15" xfId="0" applyFont="1" applyFill="1" applyBorder="1" applyAlignment="1">
      <alignment vertical="top" wrapText="1"/>
    </xf>
    <xf numFmtId="0" fontId="7" fillId="6" borderId="15" xfId="0" applyFont="1" applyFill="1" applyBorder="1" applyAlignment="1">
      <alignment horizontal="center" vertical="top" wrapText="1"/>
    </xf>
    <xf numFmtId="2" fontId="7" fillId="6" borderId="14" xfId="0" applyNumberFormat="1" applyFont="1" applyFill="1" applyBorder="1" applyAlignment="1">
      <alignment horizontal="center"/>
    </xf>
    <xf numFmtId="2" fontId="7" fillId="6" borderId="15" xfId="0" applyNumberFormat="1" applyFont="1" applyFill="1" applyBorder="1" applyAlignment="1">
      <alignment horizontal="center" vertical="center"/>
    </xf>
    <xf numFmtId="2" fontId="10" fillId="7" borderId="14" xfId="0" applyNumberFormat="1" applyFont="1" applyFill="1" applyBorder="1"/>
    <xf numFmtId="0" fontId="7" fillId="6" borderId="14" xfId="0" applyFont="1" applyFill="1" applyBorder="1" applyAlignment="1">
      <alignment horizontal="center" vertical="center"/>
    </xf>
    <xf numFmtId="0" fontId="7" fillId="6" borderId="15" xfId="0" applyFont="1" applyFill="1" applyBorder="1" applyAlignment="1">
      <alignment horizontal="center" vertical="center"/>
    </xf>
    <xf numFmtId="2" fontId="7" fillId="6" borderId="14" xfId="0" applyNumberFormat="1" applyFont="1" applyFill="1" applyBorder="1" applyAlignment="1">
      <alignment horizontal="center" vertical="center"/>
    </xf>
    <xf numFmtId="1" fontId="10" fillId="7" borderId="14" xfId="0" applyNumberFormat="1" applyFont="1" applyFill="1" applyBorder="1" applyAlignment="1">
      <alignment horizontal="center" vertical="center"/>
    </xf>
    <xf numFmtId="0" fontId="10" fillId="7" borderId="14" xfId="0" applyFont="1" applyFill="1" applyBorder="1" applyAlignment="1">
      <alignment horizontal="center" vertical="center"/>
    </xf>
    <xf numFmtId="1" fontId="17" fillId="7" borderId="14" xfId="0" applyNumberFormat="1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1" fontId="7" fillId="6" borderId="14" xfId="0" applyNumberFormat="1" applyFont="1" applyFill="1" applyBorder="1" applyAlignment="1">
      <alignment horizontal="center" vertical="center"/>
    </xf>
    <xf numFmtId="1" fontId="7" fillId="6" borderId="15" xfId="0" applyNumberFormat="1" applyFont="1" applyFill="1" applyBorder="1" applyAlignment="1">
      <alignment horizontal="center" vertical="center"/>
    </xf>
    <xf numFmtId="164" fontId="7" fillId="6" borderId="14" xfId="0" applyNumberFormat="1" applyFont="1" applyFill="1" applyBorder="1" applyAlignment="1">
      <alignment horizontal="center" vertical="center"/>
    </xf>
    <xf numFmtId="164" fontId="7" fillId="6" borderId="15" xfId="0" applyNumberFormat="1" applyFont="1" applyFill="1" applyBorder="1" applyAlignment="1">
      <alignment horizontal="center" vertical="center"/>
    </xf>
    <xf numFmtId="164" fontId="7" fillId="6" borderId="10" xfId="0" applyNumberFormat="1" applyFont="1" applyFill="1" applyBorder="1" applyAlignment="1">
      <alignment horizontal="center" vertical="center"/>
    </xf>
    <xf numFmtId="164" fontId="7" fillId="6" borderId="0" xfId="0" applyNumberFormat="1" applyFont="1" applyFill="1" applyAlignment="1">
      <alignment horizontal="center" vertical="center"/>
    </xf>
    <xf numFmtId="164" fontId="3" fillId="7" borderId="14" xfId="0" applyNumberFormat="1" applyFont="1" applyFill="1" applyBorder="1" applyAlignment="1">
      <alignment horizontal="center" vertical="center"/>
    </xf>
    <xf numFmtId="164" fontId="52" fillId="10" borderId="14" xfId="0" applyNumberFormat="1" applyFont="1" applyFill="1" applyBorder="1" applyAlignment="1">
      <alignment horizontal="center" vertical="center"/>
    </xf>
    <xf numFmtId="164" fontId="7" fillId="10" borderId="15" xfId="0" applyNumberFormat="1" applyFont="1" applyFill="1" applyBorder="1" applyAlignment="1">
      <alignment horizontal="center" vertical="center"/>
    </xf>
    <xf numFmtId="2" fontId="17" fillId="7" borderId="14" xfId="0" applyNumberFormat="1" applyFont="1" applyFill="1" applyBorder="1" applyAlignment="1">
      <alignment horizontal="center" vertical="center"/>
    </xf>
    <xf numFmtId="0" fontId="3" fillId="7" borderId="14" xfId="0" applyFont="1" applyFill="1" applyBorder="1"/>
    <xf numFmtId="11" fontId="3" fillId="7" borderId="14" xfId="0" applyNumberFormat="1" applyFont="1" applyFill="1" applyBorder="1"/>
    <xf numFmtId="1" fontId="3" fillId="7" borderId="14" xfId="0" applyNumberFormat="1" applyFont="1" applyFill="1" applyBorder="1" applyAlignment="1">
      <alignment horizontal="center" vertical="center"/>
    </xf>
    <xf numFmtId="1" fontId="3" fillId="7" borderId="13" xfId="0" applyNumberFormat="1" applyFont="1" applyFill="1" applyBorder="1" applyAlignment="1">
      <alignment horizontal="center" vertical="center"/>
    </xf>
    <xf numFmtId="1" fontId="3" fillId="7" borderId="14" xfId="0" applyNumberFormat="1" applyFont="1" applyFill="1" applyBorder="1"/>
    <xf numFmtId="2" fontId="53" fillId="6" borderId="14" xfId="0" applyNumberFormat="1" applyFont="1" applyFill="1" applyBorder="1" applyAlignment="1">
      <alignment horizontal="center" vertical="center"/>
    </xf>
    <xf numFmtId="2" fontId="3" fillId="7" borderId="14" xfId="0" applyNumberFormat="1" applyFont="1" applyFill="1" applyBorder="1" applyAlignment="1">
      <alignment horizontal="center" vertical="center"/>
    </xf>
    <xf numFmtId="2" fontId="53" fillId="6" borderId="14" xfId="0" applyNumberFormat="1" applyFont="1" applyFill="1" applyBorder="1" applyAlignment="1">
      <alignment vertical="center"/>
    </xf>
    <xf numFmtId="2" fontId="3" fillId="7" borderId="14" xfId="0" applyNumberFormat="1" applyFont="1" applyFill="1" applyBorder="1"/>
    <xf numFmtId="2" fontId="52" fillId="6" borderId="14" xfId="0" applyNumberFormat="1" applyFont="1" applyFill="1" applyBorder="1" applyAlignment="1">
      <alignment vertical="center"/>
    </xf>
    <xf numFmtId="0" fontId="25" fillId="5" borderId="15" xfId="0" applyFont="1" applyFill="1" applyBorder="1" applyAlignment="1">
      <alignment horizontal="centerContinuous"/>
    </xf>
    <xf numFmtId="0" fontId="3" fillId="7" borderId="15" xfId="0" applyFont="1" applyFill="1" applyBorder="1" applyAlignment="1">
      <alignment horizontal="left" indent="1"/>
    </xf>
    <xf numFmtId="2" fontId="7" fillId="6" borderId="14" xfId="0" applyNumberFormat="1" applyFont="1" applyFill="1" applyBorder="1" applyAlignment="1">
      <alignment vertical="center"/>
    </xf>
    <xf numFmtId="2" fontId="7" fillId="6" borderId="15" xfId="0" applyNumberFormat="1" applyFont="1" applyFill="1" applyBorder="1" applyAlignment="1">
      <alignment vertical="center"/>
    </xf>
    <xf numFmtId="0" fontId="3" fillId="7" borderId="24" xfId="0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3" fillId="4" borderId="19" xfId="0" applyFont="1" applyFill="1" applyBorder="1"/>
    <xf numFmtId="0" fontId="16" fillId="0" borderId="0" xfId="0" applyFont="1"/>
    <xf numFmtId="0" fontId="3" fillId="7" borderId="19" xfId="0" applyFont="1" applyFill="1" applyBorder="1" applyAlignment="1">
      <alignment vertical="top"/>
    </xf>
    <xf numFmtId="0" fontId="10" fillId="7" borderId="19" xfId="0" applyFont="1" applyFill="1" applyBorder="1" applyAlignment="1">
      <alignment horizontal="left" vertical="center"/>
    </xf>
    <xf numFmtId="0" fontId="3" fillId="7" borderId="19" xfId="0" applyFont="1" applyFill="1" applyBorder="1" applyAlignment="1">
      <alignment vertical="center"/>
    </xf>
    <xf numFmtId="0" fontId="3" fillId="7" borderId="19" xfId="0" applyFont="1" applyFill="1" applyBorder="1"/>
    <xf numFmtId="0" fontId="3" fillId="7" borderId="18" xfId="0" applyFont="1" applyFill="1" applyBorder="1" applyAlignment="1">
      <alignment horizontal="center" vertical="center"/>
    </xf>
    <xf numFmtId="0" fontId="3" fillId="0" borderId="24" xfId="0" applyFont="1" applyBorder="1"/>
    <xf numFmtId="0" fontId="7" fillId="6" borderId="14" xfId="0" applyFont="1" applyFill="1" applyBorder="1" applyAlignment="1">
      <alignment horizontal="center" vertical="top"/>
    </xf>
    <xf numFmtId="2" fontId="7" fillId="6" borderId="10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center" vertical="center"/>
    </xf>
    <xf numFmtId="2" fontId="7" fillId="6" borderId="10" xfId="0" applyNumberFormat="1" applyFont="1" applyFill="1" applyBorder="1" applyAlignment="1">
      <alignment horizontal="center" vertical="center"/>
    </xf>
    <xf numFmtId="1" fontId="17" fillId="7" borderId="10" xfId="0" applyNumberFormat="1" applyFont="1" applyFill="1" applyBorder="1" applyAlignment="1">
      <alignment horizontal="center" vertical="center"/>
    </xf>
    <xf numFmtId="0" fontId="3" fillId="7" borderId="21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24" xfId="0" applyFont="1" applyFill="1" applyBorder="1" applyAlignment="1">
      <alignment horizontal="center" vertical="center"/>
    </xf>
    <xf numFmtId="0" fontId="17" fillId="7" borderId="17" xfId="0" applyFont="1" applyFill="1" applyBorder="1" applyAlignment="1">
      <alignment horizontal="center" vertical="center"/>
    </xf>
    <xf numFmtId="0" fontId="25" fillId="8" borderId="10" xfId="0" applyFont="1" applyFill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48" fillId="7" borderId="8" xfId="6" applyFont="1" applyFill="1" applyBorder="1" applyAlignment="1">
      <alignment vertical="center"/>
    </xf>
    <xf numFmtId="0" fontId="48" fillId="7" borderId="5" xfId="6" applyFont="1" applyFill="1" applyBorder="1" applyAlignment="1">
      <alignment vertical="center"/>
    </xf>
    <xf numFmtId="0" fontId="48" fillId="7" borderId="8" xfId="6" applyFont="1" applyFill="1" applyBorder="1" applyAlignment="1">
      <alignment horizontal="center" vertical="center"/>
    </xf>
    <xf numFmtId="0" fontId="25" fillId="8" borderId="10" xfId="0" applyFont="1" applyFill="1" applyBorder="1" applyAlignment="1">
      <alignment horizontal="center" vertical="center"/>
    </xf>
    <xf numFmtId="0" fontId="37" fillId="0" borderId="0" xfId="0" applyFont="1"/>
    <xf numFmtId="0" fontId="33" fillId="0" borderId="0" xfId="0" applyFont="1"/>
    <xf numFmtId="0" fontId="3" fillId="7" borderId="14" xfId="0" applyFont="1" applyFill="1" applyBorder="1" applyAlignment="1">
      <alignment horizontal="right" vertical="center"/>
    </xf>
    <xf numFmtId="0" fontId="3" fillId="7" borderId="13" xfId="0" applyFont="1" applyFill="1" applyBorder="1" applyAlignment="1">
      <alignment horizontal="right" vertical="center"/>
    </xf>
    <xf numFmtId="0" fontId="25" fillId="8" borderId="14" xfId="0" applyFont="1" applyFill="1" applyBorder="1" applyAlignment="1">
      <alignment horizontal="center"/>
    </xf>
    <xf numFmtId="0" fontId="25" fillId="8" borderId="15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8" fillId="7" borderId="14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0" fontId="35" fillId="8" borderId="14" xfId="4" applyFont="1" applyFill="1" applyBorder="1" applyAlignment="1">
      <alignment horizontal="center" vertical="center" wrapText="1"/>
    </xf>
    <xf numFmtId="0" fontId="35" fillId="8" borderId="15" xfId="4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7" fontId="48" fillId="0" borderId="14" xfId="7" applyNumberFormat="1" applyFont="1" applyBorder="1" applyAlignment="1" applyProtection="1">
      <alignment horizontal="center" vertical="center"/>
      <protection hidden="1"/>
    </xf>
    <xf numFmtId="167" fontId="48" fillId="0" borderId="26" xfId="7" applyNumberFormat="1" applyFont="1" applyBorder="1" applyAlignment="1" applyProtection="1">
      <alignment horizontal="center" vertical="center"/>
      <protection hidden="1"/>
    </xf>
    <xf numFmtId="164" fontId="48" fillId="0" borderId="14" xfId="4" applyNumberFormat="1" applyFont="1" applyBorder="1" applyAlignment="1" applyProtection="1">
      <alignment horizontal="center" vertical="center"/>
      <protection hidden="1"/>
    </xf>
    <xf numFmtId="164" fontId="48" fillId="0" borderId="26" xfId="4" applyNumberFormat="1" applyFont="1" applyBorder="1" applyAlignment="1" applyProtection="1">
      <alignment horizontal="center" vertical="center"/>
      <protection hidden="1"/>
    </xf>
    <xf numFmtId="2" fontId="48" fillId="0" borderId="14" xfId="4" applyNumberFormat="1" applyFont="1" applyBorder="1" applyAlignment="1" applyProtection="1">
      <alignment horizontal="center" vertical="center"/>
      <protection hidden="1"/>
    </xf>
    <xf numFmtId="2" fontId="48" fillId="0" borderId="26" xfId="4" applyNumberFormat="1" applyFont="1" applyBorder="1" applyAlignment="1" applyProtection="1">
      <alignment horizontal="center" vertical="center"/>
      <protection hidden="1"/>
    </xf>
    <xf numFmtId="0" fontId="41" fillId="6" borderId="14" xfId="5" applyFont="1" applyFill="1" applyBorder="1" applyAlignment="1">
      <alignment horizontal="center" vertical="center"/>
    </xf>
    <xf numFmtId="0" fontId="46" fillId="7" borderId="14" xfId="5" applyFont="1" applyFill="1" applyBorder="1" applyAlignment="1">
      <alignment horizontal="left" vertical="center"/>
    </xf>
    <xf numFmtId="1" fontId="48" fillId="7" borderId="14" xfId="6" applyNumberFormat="1" applyFont="1" applyFill="1" applyBorder="1" applyAlignment="1">
      <alignment vertical="center"/>
    </xf>
    <xf numFmtId="0" fontId="48" fillId="7" borderId="14" xfId="6" applyFont="1" applyFill="1" applyBorder="1" applyAlignment="1">
      <alignment vertical="center"/>
    </xf>
    <xf numFmtId="0" fontId="48" fillId="7" borderId="13" xfId="6" applyFont="1" applyFill="1" applyBorder="1" applyAlignment="1">
      <alignment vertical="center"/>
    </xf>
    <xf numFmtId="0" fontId="41" fillId="6" borderId="14" xfId="0" applyFont="1" applyFill="1" applyBorder="1" applyAlignment="1">
      <alignment horizontal="center" vertical="center"/>
    </xf>
    <xf numFmtId="0" fontId="46" fillId="7" borderId="14" xfId="5" applyFont="1" applyFill="1" applyBorder="1" applyAlignment="1">
      <alignment horizontal="center" vertical="center"/>
    </xf>
    <xf numFmtId="1" fontId="48" fillId="7" borderId="14" xfId="6" applyNumberFormat="1" applyFont="1" applyFill="1" applyBorder="1" applyAlignment="1">
      <alignment horizontal="center" vertical="center"/>
    </xf>
    <xf numFmtId="0" fontId="48" fillId="7" borderId="14" xfId="6" applyFont="1" applyFill="1" applyBorder="1" applyAlignment="1">
      <alignment horizontal="center" vertical="center"/>
    </xf>
    <xf numFmtId="0" fontId="48" fillId="7" borderId="13" xfId="6" applyFont="1" applyFill="1" applyBorder="1" applyAlignment="1">
      <alignment horizontal="center" vertical="center"/>
    </xf>
    <xf numFmtId="0" fontId="41" fillId="6" borderId="14" xfId="0" applyFont="1" applyFill="1" applyBorder="1" applyAlignment="1">
      <alignment vertical="center"/>
    </xf>
    <xf numFmtId="0" fontId="41" fillId="6" borderId="10" xfId="6" applyFont="1" applyFill="1" applyBorder="1" applyAlignment="1">
      <alignment horizontal="center" vertical="center"/>
    </xf>
    <xf numFmtId="0" fontId="41" fillId="6" borderId="10" xfId="5" applyFont="1" applyFill="1" applyBorder="1" applyAlignment="1">
      <alignment horizontal="center" vertical="center"/>
    </xf>
    <xf numFmtId="0" fontId="46" fillId="7" borderId="10" xfId="5" applyFont="1" applyFill="1" applyBorder="1" applyAlignment="1">
      <alignment horizontal="left" vertical="center"/>
    </xf>
    <xf numFmtId="0" fontId="46" fillId="7" borderId="10" xfId="6" applyFont="1" applyFill="1" applyBorder="1" applyAlignment="1">
      <alignment horizontal="left" vertical="center"/>
    </xf>
    <xf numFmtId="0" fontId="46" fillId="7" borderId="10" xfId="8" applyFont="1" applyFill="1" applyBorder="1" applyAlignment="1">
      <alignment horizontal="left" vertical="center"/>
    </xf>
    <xf numFmtId="0" fontId="48" fillId="7" borderId="10" xfId="6" applyFont="1" applyFill="1" applyBorder="1" applyAlignment="1">
      <alignment vertical="center"/>
    </xf>
    <xf numFmtId="0" fontId="48" fillId="7" borderId="11" xfId="6" applyFont="1" applyFill="1" applyBorder="1" applyAlignment="1">
      <alignment vertical="center"/>
    </xf>
    <xf numFmtId="2" fontId="0" fillId="0" borderId="14" xfId="0" applyNumberFormat="1" applyBorder="1" applyAlignment="1">
      <alignment horizontal="center" vertical="center"/>
    </xf>
    <xf numFmtId="2" fontId="33" fillId="0" borderId="14" xfId="0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25" fillId="8" borderId="25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17" xfId="0" applyFont="1" applyFill="1" applyBorder="1" applyAlignment="1">
      <alignment horizontal="center"/>
    </xf>
    <xf numFmtId="0" fontId="54" fillId="8" borderId="24" xfId="0" applyFont="1" applyFill="1" applyBorder="1" applyAlignment="1">
      <alignment horizontal="center"/>
    </xf>
    <xf numFmtId="0" fontId="27" fillId="7" borderId="24" xfId="0" applyFont="1" applyFill="1" applyBorder="1" applyAlignment="1">
      <alignment horizontal="center" vertical="center"/>
    </xf>
    <xf numFmtId="0" fontId="25" fillId="8" borderId="18" xfId="0" applyFont="1" applyFill="1" applyBorder="1" applyAlignment="1">
      <alignment horizontal="center"/>
    </xf>
    <xf numFmtId="0" fontId="3" fillId="4" borderId="25" xfId="0" applyFont="1" applyFill="1" applyBorder="1"/>
    <xf numFmtId="0" fontId="47" fillId="0" borderId="10" xfId="4" applyFont="1" applyBorder="1" applyAlignment="1" applyProtection="1">
      <alignment horizontal="center" vertical="center"/>
      <protection hidden="1"/>
    </xf>
    <xf numFmtId="0" fontId="47" fillId="0" borderId="27" xfId="4" applyFont="1" applyBorder="1" applyAlignment="1" applyProtection="1">
      <alignment horizontal="center" vertical="center"/>
      <protection hidden="1"/>
    </xf>
    <xf numFmtId="0" fontId="35" fillId="8" borderId="25" xfId="4" applyFont="1" applyFill="1" applyBorder="1" applyAlignment="1">
      <alignment horizontal="center" vertical="center" wrapText="1"/>
    </xf>
    <xf numFmtId="0" fontId="35" fillId="8" borderId="24" xfId="4" applyFont="1" applyFill="1" applyBorder="1" applyAlignment="1">
      <alignment vertical="center"/>
    </xf>
    <xf numFmtId="0" fontId="46" fillId="7" borderId="24" xfId="5" applyFont="1" applyFill="1" applyBorder="1" applyAlignment="1">
      <alignment horizontal="left" vertical="center"/>
    </xf>
    <xf numFmtId="0" fontId="48" fillId="7" borderId="24" xfId="6" applyFont="1" applyFill="1" applyBorder="1" applyAlignment="1">
      <alignment vertical="center"/>
    </xf>
    <xf numFmtId="0" fontId="48" fillId="7" borderId="17" xfId="6" applyFont="1" applyFill="1" applyBorder="1" applyAlignment="1">
      <alignment vertical="center"/>
    </xf>
    <xf numFmtId="0" fontId="41" fillId="6" borderId="24" xfId="5" applyFont="1" applyFill="1" applyBorder="1" applyAlignment="1">
      <alignment horizontal="center" vertical="center"/>
    </xf>
    <xf numFmtId="0" fontId="41" fillId="6" borderId="24" xfId="0" applyFont="1" applyFill="1" applyBorder="1" applyAlignment="1">
      <alignment vertical="center"/>
    </xf>
    <xf numFmtId="166" fontId="0" fillId="0" borderId="24" xfId="0" applyNumberFormat="1" applyBorder="1" applyAlignment="1">
      <alignment horizontal="center" vertical="center"/>
    </xf>
    <xf numFmtId="166" fontId="0" fillId="0" borderId="17" xfId="0" applyNumberFormat="1" applyBorder="1" applyAlignment="1">
      <alignment horizontal="center" vertical="center"/>
    </xf>
    <xf numFmtId="1" fontId="33" fillId="0" borderId="24" xfId="0" applyNumberFormat="1" applyFont="1" applyBorder="1" applyAlignment="1">
      <alignment horizontal="center" vertical="center"/>
    </xf>
    <xf numFmtId="0" fontId="3" fillId="11" borderId="10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17" fillId="11" borderId="19" xfId="0" applyFont="1" applyFill="1" applyBorder="1" applyAlignment="1">
      <alignment horizontal="center" vertical="center"/>
    </xf>
    <xf numFmtId="0" fontId="49" fillId="5" borderId="10" xfId="0" applyFont="1" applyFill="1" applyBorder="1" applyAlignment="1">
      <alignment horizontal="centerContinuous"/>
    </xf>
    <xf numFmtId="1" fontId="49" fillId="5" borderId="10" xfId="0" applyNumberFormat="1" applyFont="1" applyFill="1" applyBorder="1" applyAlignment="1">
      <alignment horizontal="centerContinuous"/>
    </xf>
    <xf numFmtId="0" fontId="49" fillId="5" borderId="10" xfId="0" applyFont="1" applyFill="1" applyBorder="1" applyAlignment="1">
      <alignment horizontal="center" vertical="center"/>
    </xf>
    <xf numFmtId="0" fontId="50" fillId="7" borderId="14" xfId="0" applyFont="1" applyFill="1" applyBorder="1" applyAlignment="1">
      <alignment horizontal="left" indent="1"/>
    </xf>
    <xf numFmtId="0" fontId="8" fillId="7" borderId="14" xfId="0" applyFont="1" applyFill="1" applyBorder="1" applyAlignment="1">
      <alignment horizontal="left" indent="1"/>
    </xf>
    <xf numFmtId="0" fontId="7" fillId="6" borderId="14" xfId="0" applyFont="1" applyFill="1" applyBorder="1"/>
    <xf numFmtId="1" fontId="17" fillId="7" borderId="0" xfId="0" applyNumberFormat="1" applyFont="1" applyFill="1" applyAlignment="1">
      <alignment horizontal="center" vertical="center"/>
    </xf>
    <xf numFmtId="164" fontId="3" fillId="7" borderId="15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horizontal="right" vertical="top"/>
    </xf>
    <xf numFmtId="0" fontId="17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vertical="center"/>
    </xf>
    <xf numFmtId="164" fontId="18" fillId="2" borderId="29" xfId="1" applyNumberFormat="1" applyFont="1" applyBorder="1" applyAlignment="1">
      <alignment horizontal="center" vertical="center"/>
    </xf>
    <xf numFmtId="164" fontId="18" fillId="2" borderId="30" xfId="1" applyNumberFormat="1" applyFont="1" applyBorder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/>
    </xf>
    <xf numFmtId="0" fontId="19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center" vertical="center"/>
    </xf>
    <xf numFmtId="0" fontId="3" fillId="7" borderId="15" xfId="0" applyFont="1" applyFill="1" applyBorder="1" applyAlignment="1">
      <alignment horizontal="left" vertical="top" indent="3"/>
    </xf>
    <xf numFmtId="0" fontId="23" fillId="7" borderId="15" xfId="0" applyFont="1" applyFill="1" applyBorder="1" applyAlignment="1">
      <alignment horizontal="left" indent="1"/>
    </xf>
    <xf numFmtId="0" fontId="3" fillId="0" borderId="1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11" borderId="14" xfId="0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/>
    </xf>
    <xf numFmtId="11" fontId="3" fillId="0" borderId="14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164" fontId="3" fillId="7" borderId="0" xfId="0" applyNumberFormat="1" applyFont="1" applyFill="1"/>
    <xf numFmtId="2" fontId="18" fillId="2" borderId="13" xfId="1" applyNumberFormat="1" applyFont="1" applyBorder="1" applyAlignment="1">
      <alignment horizontal="center" vertical="center"/>
    </xf>
    <xf numFmtId="0" fontId="49" fillId="5" borderId="14" xfId="0" applyFont="1" applyFill="1" applyBorder="1" applyAlignment="1">
      <alignment horizontal="centerContinuous"/>
    </xf>
    <xf numFmtId="0" fontId="10" fillId="7" borderId="31" xfId="0" applyFont="1" applyFill="1" applyBorder="1"/>
    <xf numFmtId="2" fontId="10" fillId="7" borderId="31" xfId="0" applyNumberFormat="1" applyFont="1" applyFill="1" applyBorder="1"/>
    <xf numFmtId="1" fontId="10" fillId="7" borderId="31" xfId="0" applyNumberFormat="1" applyFont="1" applyFill="1" applyBorder="1" applyAlignment="1">
      <alignment horizontal="center" vertical="center"/>
    </xf>
    <xf numFmtId="0" fontId="10" fillId="7" borderId="31" xfId="0" applyFont="1" applyFill="1" applyBorder="1" applyAlignment="1">
      <alignment horizontal="center" vertical="center"/>
    </xf>
    <xf numFmtId="1" fontId="17" fillId="7" borderId="31" xfId="0" applyNumberFormat="1" applyFont="1" applyFill="1" applyBorder="1" applyAlignment="1">
      <alignment horizontal="center" vertical="center"/>
    </xf>
    <xf numFmtId="0" fontId="17" fillId="7" borderId="31" xfId="0" applyFont="1" applyFill="1" applyBorder="1" applyAlignment="1">
      <alignment horizontal="center" vertical="center"/>
    </xf>
    <xf numFmtId="164" fontId="3" fillId="7" borderId="31" xfId="0" applyNumberFormat="1" applyFont="1" applyFill="1" applyBorder="1" applyAlignment="1">
      <alignment horizontal="center" vertical="center"/>
    </xf>
    <xf numFmtId="164" fontId="18" fillId="2" borderId="14" xfId="1" applyNumberFormat="1" applyFont="1" applyBorder="1" applyAlignment="1">
      <alignment horizontal="center" vertical="center"/>
    </xf>
    <xf numFmtId="164" fontId="18" fillId="2" borderId="32" xfId="1" applyNumberFormat="1" applyFont="1" applyBorder="1" applyAlignment="1">
      <alignment horizontal="center" vertical="center"/>
    </xf>
    <xf numFmtId="0" fontId="3" fillId="7" borderId="31" xfId="0" applyFont="1" applyFill="1" applyBorder="1"/>
    <xf numFmtId="11" fontId="3" fillId="7" borderId="31" xfId="0" applyNumberFormat="1" applyFont="1" applyFill="1" applyBorder="1"/>
    <xf numFmtId="1" fontId="3" fillId="7" borderId="31" xfId="0" applyNumberFormat="1" applyFont="1" applyFill="1" applyBorder="1" applyAlignment="1">
      <alignment horizontal="center" vertical="center"/>
    </xf>
    <xf numFmtId="1" fontId="3" fillId="7" borderId="31" xfId="0" applyNumberFormat="1" applyFont="1" applyFill="1" applyBorder="1"/>
    <xf numFmtId="2" fontId="3" fillId="7" borderId="31" xfId="0" applyNumberFormat="1" applyFont="1" applyFill="1" applyBorder="1" applyAlignment="1">
      <alignment horizontal="center" vertical="center"/>
    </xf>
    <xf numFmtId="2" fontId="3" fillId="7" borderId="31" xfId="0" applyNumberFormat="1" applyFont="1" applyFill="1" applyBorder="1"/>
    <xf numFmtId="0" fontId="3" fillId="7" borderId="18" xfId="0" applyFont="1" applyFill="1" applyBorder="1" applyAlignment="1">
      <alignment vertical="top"/>
    </xf>
    <xf numFmtId="0" fontId="9" fillId="7" borderId="0" xfId="0" applyFont="1" applyFill="1" applyAlignment="1">
      <alignment vertical="top"/>
    </xf>
    <xf numFmtId="0" fontId="11" fillId="7" borderId="0" xfId="0" applyFont="1" applyFill="1"/>
    <xf numFmtId="1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right"/>
    </xf>
    <xf numFmtId="164" fontId="10" fillId="7" borderId="0" xfId="0" applyNumberFormat="1" applyFont="1" applyFill="1" applyAlignment="1">
      <alignment horizontal="center" vertical="center"/>
    </xf>
    <xf numFmtId="2" fontId="10" fillId="7" borderId="0" xfId="0" applyNumberFormat="1" applyFont="1" applyFill="1" applyAlignment="1">
      <alignment horizontal="right" vertical="center"/>
    </xf>
    <xf numFmtId="0" fontId="7" fillId="7" borderId="0" xfId="0" applyFont="1" applyFill="1" applyAlignment="1">
      <alignment horizontal="left" vertical="center"/>
    </xf>
    <xf numFmtId="164" fontId="17" fillId="7" borderId="0" xfId="0" applyNumberFormat="1" applyFont="1" applyFill="1" applyAlignment="1">
      <alignment horizontal="center" vertical="center"/>
    </xf>
    <xf numFmtId="3" fontId="17" fillId="7" borderId="0" xfId="0" applyNumberFormat="1" applyFont="1" applyFill="1" applyAlignment="1">
      <alignment horizontal="center" vertical="center"/>
    </xf>
    <xf numFmtId="166" fontId="17" fillId="7" borderId="0" xfId="0" applyNumberFormat="1" applyFont="1" applyFill="1" applyAlignment="1">
      <alignment horizontal="center" vertical="center"/>
    </xf>
    <xf numFmtId="0" fontId="19" fillId="7" borderId="25" xfId="0" applyFont="1" applyFill="1" applyBorder="1" applyAlignment="1">
      <alignment horizontal="center" vertical="center"/>
    </xf>
    <xf numFmtId="0" fontId="19" fillId="7" borderId="19" xfId="0" applyFont="1" applyFill="1" applyBorder="1" applyAlignment="1">
      <alignment horizontal="center" vertical="center"/>
    </xf>
    <xf numFmtId="2" fontId="17" fillId="7" borderId="0" xfId="0" applyNumberFormat="1" applyFont="1" applyFill="1" applyAlignment="1">
      <alignment horizontal="center" vertical="center"/>
    </xf>
    <xf numFmtId="1" fontId="3" fillId="7" borderId="0" xfId="0" applyNumberFormat="1" applyFont="1" applyFill="1"/>
    <xf numFmtId="165" fontId="3" fillId="7" borderId="0" xfId="0" applyNumberFormat="1" applyFont="1" applyFill="1" applyAlignment="1">
      <alignment horizontal="center"/>
    </xf>
    <xf numFmtId="11" fontId="3" fillId="7" borderId="0" xfId="0" applyNumberFormat="1" applyFont="1" applyFill="1" applyAlignment="1">
      <alignment horizontal="center"/>
    </xf>
    <xf numFmtId="0" fontId="21" fillId="7" borderId="0" xfId="0" applyFont="1" applyFill="1" applyAlignment="1">
      <alignment horizontal="right"/>
    </xf>
    <xf numFmtId="164" fontId="3" fillId="7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right" vertical="center"/>
    </xf>
    <xf numFmtId="0" fontId="23" fillId="7" borderId="16" xfId="0" applyFont="1" applyFill="1" applyBorder="1" applyAlignment="1">
      <alignment horizontal="left" indent="1"/>
    </xf>
    <xf numFmtId="0" fontId="15" fillId="7" borderId="12" xfId="0" applyFont="1" applyFill="1" applyBorder="1" applyAlignment="1">
      <alignment horizontal="center"/>
    </xf>
    <xf numFmtId="0" fontId="19" fillId="7" borderId="12" xfId="0" applyFont="1" applyFill="1" applyBorder="1" applyAlignment="1">
      <alignment horizontal="left" vertical="center"/>
    </xf>
    <xf numFmtId="2" fontId="3" fillId="7" borderId="12" xfId="0" applyNumberFormat="1" applyFont="1" applyFill="1" applyBorder="1" applyAlignment="1">
      <alignment horizontal="center" vertical="center"/>
    </xf>
    <xf numFmtId="0" fontId="14" fillId="7" borderId="12" xfId="0" applyFont="1" applyFill="1" applyBorder="1" applyAlignment="1">
      <alignment horizontal="right" vertical="center"/>
    </xf>
    <xf numFmtId="164" fontId="3" fillId="7" borderId="12" xfId="0" applyNumberFormat="1" applyFont="1" applyFill="1" applyBorder="1"/>
    <xf numFmtId="0" fontId="3" fillId="7" borderId="20" xfId="0" applyFont="1" applyFill="1" applyBorder="1"/>
    <xf numFmtId="164" fontId="7" fillId="6" borderId="14" xfId="0" applyNumberFormat="1" applyFont="1" applyFill="1" applyBorder="1" applyAlignment="1">
      <alignment horizontal="center" vertical="center"/>
    </xf>
    <xf numFmtId="164" fontId="7" fillId="6" borderId="15" xfId="0" applyNumberFormat="1" applyFont="1" applyFill="1" applyBorder="1" applyAlignment="1">
      <alignment horizontal="center" vertical="center"/>
    </xf>
    <xf numFmtId="164" fontId="7" fillId="6" borderId="10" xfId="0" applyNumberFormat="1" applyFont="1" applyFill="1" applyBorder="1" applyAlignment="1">
      <alignment horizontal="center" vertical="center" wrapText="1"/>
    </xf>
    <xf numFmtId="164" fontId="7" fillId="6" borderId="0" xfId="0" applyNumberFormat="1" applyFont="1" applyFill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top" wrapText="1"/>
    </xf>
    <xf numFmtId="2" fontId="7" fillId="6" borderId="10" xfId="0" applyNumberFormat="1" applyFont="1" applyFill="1" applyBorder="1" applyAlignment="1">
      <alignment horizontal="center" vertical="center" wrapText="1"/>
    </xf>
    <xf numFmtId="2" fontId="7" fillId="6" borderId="0" xfId="0" applyNumberFormat="1" applyFont="1" applyFill="1" applyAlignment="1">
      <alignment horizontal="center" vertical="center" wrapText="1"/>
    </xf>
    <xf numFmtId="2" fontId="7" fillId="6" borderId="14" xfId="0" applyNumberFormat="1" applyFont="1" applyFill="1" applyBorder="1" applyAlignment="1">
      <alignment horizontal="center" vertical="top"/>
    </xf>
    <xf numFmtId="0" fontId="7" fillId="6" borderId="15" xfId="0" applyFont="1" applyFill="1" applyBorder="1" applyAlignment="1">
      <alignment horizontal="center" vertical="top" wrapText="1"/>
    </xf>
    <xf numFmtId="164" fontId="7" fillId="6" borderId="14" xfId="0" applyNumberFormat="1" applyFont="1" applyFill="1" applyBorder="1" applyAlignment="1">
      <alignment horizontal="center" vertical="center" wrapText="1"/>
    </xf>
    <xf numFmtId="164" fontId="7" fillId="6" borderId="15" xfId="0" applyNumberFormat="1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5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/>
    </xf>
    <xf numFmtId="0" fontId="7" fillId="6" borderId="15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56" fillId="7" borderId="10" xfId="0" applyFont="1" applyFill="1" applyBorder="1" applyAlignment="1">
      <alignment horizontal="center" vertical="center"/>
    </xf>
    <xf numFmtId="0" fontId="56" fillId="7" borderId="14" xfId="0" applyFont="1" applyFill="1" applyBorder="1" applyAlignment="1">
      <alignment horizontal="center" vertical="center"/>
    </xf>
    <xf numFmtId="164" fontId="7" fillId="10" borderId="14" xfId="0" applyNumberFormat="1" applyFont="1" applyFill="1" applyBorder="1" applyAlignment="1">
      <alignment horizontal="center" vertical="center"/>
    </xf>
    <xf numFmtId="164" fontId="7" fillId="10" borderId="15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horizontal="left" vertical="center" indent="1"/>
    </xf>
    <xf numFmtId="0" fontId="3" fillId="0" borderId="13" xfId="0" applyFont="1" applyBorder="1" applyAlignment="1">
      <alignment horizontal="left" vertical="center" indent="1"/>
    </xf>
    <xf numFmtId="0" fontId="3" fillId="0" borderId="14" xfId="0" applyFont="1" applyBorder="1" applyAlignment="1">
      <alignment horizontal="left" indent="1"/>
    </xf>
    <xf numFmtId="0" fontId="3" fillId="0" borderId="14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6" xfId="0" applyFont="1" applyBorder="1" applyAlignment="1">
      <alignment horizontal="center"/>
    </xf>
    <xf numFmtId="0" fontId="7" fillId="6" borderId="14" xfId="0" applyFont="1" applyFill="1" applyBorder="1" applyAlignment="1">
      <alignment horizontal="left" vertical="center"/>
    </xf>
    <xf numFmtId="0" fontId="7" fillId="6" borderId="10" xfId="0" applyFont="1" applyFill="1" applyBorder="1" applyAlignment="1">
      <alignment horizontal="left" vertical="center"/>
    </xf>
    <xf numFmtId="0" fontId="30" fillId="5" borderId="14" xfId="0" applyFont="1" applyFill="1" applyBorder="1" applyAlignment="1">
      <alignment horizontal="center" vertical="center"/>
    </xf>
    <xf numFmtId="0" fontId="30" fillId="5" borderId="10" xfId="0" applyFont="1" applyFill="1" applyBorder="1" applyAlignment="1">
      <alignment horizontal="center" vertical="center"/>
    </xf>
    <xf numFmtId="0" fontId="30" fillId="5" borderId="15" xfId="0" applyFont="1" applyFill="1" applyBorder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6" borderId="18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19" xfId="0" applyFont="1" applyFill="1" applyBorder="1" applyAlignment="1">
      <alignment horizontal="center" vertical="center"/>
    </xf>
    <xf numFmtId="0" fontId="31" fillId="9" borderId="0" xfId="3" applyBorder="1" applyAlignment="1">
      <alignment horizontal="center" vertical="center"/>
    </xf>
    <xf numFmtId="0" fontId="6" fillId="9" borderId="0" xfId="3" applyFont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17" fillId="11" borderId="15" xfId="0" applyFont="1" applyFill="1" applyBorder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35" fillId="8" borderId="14" xfId="4" applyFont="1" applyFill="1" applyBorder="1" applyAlignment="1">
      <alignment horizontal="center" vertical="center"/>
    </xf>
    <xf numFmtId="0" fontId="35" fillId="8" borderId="14" xfId="4" applyFont="1" applyFill="1" applyBorder="1" applyAlignment="1">
      <alignment horizontal="center" vertical="center" wrapText="1"/>
    </xf>
    <xf numFmtId="0" fontId="35" fillId="8" borderId="24" xfId="4" applyFont="1" applyFill="1" applyBorder="1" applyAlignment="1">
      <alignment horizontal="center" vertical="center"/>
    </xf>
    <xf numFmtId="0" fontId="35" fillId="8" borderId="13" xfId="4" applyFont="1" applyFill="1" applyBorder="1" applyAlignment="1">
      <alignment horizontal="center" vertical="center"/>
    </xf>
    <xf numFmtId="0" fontId="35" fillId="8" borderId="0" xfId="4" applyFont="1" applyFill="1" applyAlignment="1">
      <alignment horizontal="center" vertical="center" wrapText="1"/>
    </xf>
    <xf numFmtId="0" fontId="41" fillId="6" borderId="14" xfId="5" applyFont="1" applyFill="1" applyBorder="1" applyAlignment="1">
      <alignment horizontal="center" vertical="center"/>
    </xf>
    <xf numFmtId="0" fontId="35" fillId="8" borderId="15" xfId="4" applyFont="1" applyFill="1" applyBorder="1" applyAlignment="1">
      <alignment horizontal="center" vertical="center"/>
    </xf>
    <xf numFmtId="0" fontId="35" fillId="8" borderId="10" xfId="4" applyFont="1" applyFill="1" applyBorder="1" applyAlignment="1">
      <alignment horizontal="center" vertical="center" wrapText="1"/>
    </xf>
    <xf numFmtId="0" fontId="35" fillId="8" borderId="15" xfId="4" applyFont="1" applyFill="1" applyBorder="1" applyAlignment="1">
      <alignment horizontal="center" vertical="center" wrapText="1"/>
    </xf>
    <xf numFmtId="0" fontId="25" fillId="8" borderId="10" xfId="0" applyFont="1" applyFill="1" applyBorder="1" applyAlignment="1">
      <alignment horizontal="center" wrapText="1"/>
    </xf>
    <xf numFmtId="0" fontId="25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 vertical="center" wrapText="1"/>
    </xf>
    <xf numFmtId="0" fontId="25" fillId="8" borderId="10" xfId="0" applyFont="1" applyFill="1" applyBorder="1" applyAlignment="1">
      <alignment horizontal="center"/>
    </xf>
    <xf numFmtId="0" fontId="25" fillId="8" borderId="18" xfId="0" applyFont="1" applyFill="1" applyBorder="1" applyAlignment="1">
      <alignment horizontal="center"/>
    </xf>
  </cellXfs>
  <cellStyles count="9">
    <cellStyle name="20% - Accent1" xfId="2" builtinId="30"/>
    <cellStyle name="Accent5" xfId="3" builtinId="45"/>
    <cellStyle name="Calculation" xfId="1" builtinId="22"/>
    <cellStyle name="Comma 2" xfId="7" xr:uid="{00000000-0005-0000-0000-000003000000}"/>
    <cellStyle name="Normal" xfId="0" builtinId="0"/>
    <cellStyle name="Normal 2" xfId="6" xr:uid="{00000000-0005-0000-0000-000005000000}"/>
    <cellStyle name="Normal 2 2" xfId="8" xr:uid="{00000000-0005-0000-0000-000006000000}"/>
    <cellStyle name="Normal 5" xfId="4" xr:uid="{00000000-0005-0000-0000-000007000000}"/>
    <cellStyle name="Normal_Sheet3" xfId="5" xr:uid="{00000000-0005-0000-0000-000008000000}"/>
  </cellStyles>
  <dxfs count="26"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108231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BD73F3-1040-4A0D-86C5-E588D4C9F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E61A5C5D-7871-45F9-86AE-709FD1B87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74244</xdr:colOff>
      <xdr:row>40</xdr:row>
      <xdr:rowOff>16328</xdr:rowOff>
    </xdr:from>
    <xdr:to>
      <xdr:col>10</xdr:col>
      <xdr:colOff>263771</xdr:colOff>
      <xdr:row>57</xdr:row>
      <xdr:rowOff>133170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B8831EB-CDF7-FB93-F8A1-8F4095102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2032" y="4947347"/>
          <a:ext cx="1720854" cy="2866636"/>
        </a:xfrm>
        <a:prstGeom prst="rect">
          <a:avLst/>
        </a:prstGeom>
      </xdr:spPr>
    </xdr:pic>
    <xdr:clientData/>
  </xdr:twoCellAnchor>
  <xdr:twoCellAnchor editAs="oneCell">
    <xdr:from>
      <xdr:col>11</xdr:col>
      <xdr:colOff>446942</xdr:colOff>
      <xdr:row>15</xdr:row>
      <xdr:rowOff>14654</xdr:rowOff>
    </xdr:from>
    <xdr:to>
      <xdr:col>16</xdr:col>
      <xdr:colOff>271644</xdr:colOff>
      <xdr:row>22</xdr:row>
      <xdr:rowOff>139315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757285-27AD-45D9-9DC4-D5F0E52E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89634" y="1077058"/>
          <a:ext cx="2418433" cy="12530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1897e0139b14c7e2/03%20Spreadsheet/01%20CALCULATION%20REPORT/00%20UPDATED%20SEND%20DUY/2025.04.06%20Send%20Duy/41%20TCVN%205575%202024%20Cau%20Kien%20Dam%20Chiu%20Uon%20Cap%20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1897e0139b14c7e2/03%20Spreadsheet/01%20CALCULATION%20REPORT/00%20UPDATED%20SEND%20DUY/2025.04.06%20Send%20Duy/47%20Tai%20trong%20tieu%20chuan%20cau%20truc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iMoment"/>
      <sheetName val="Class23"/>
      <sheetName val="Other"/>
    </sheetNames>
    <sheetDataSet>
      <sheetData sheetId="0" refreshError="1"/>
      <sheetData sheetId="1" refreshError="1"/>
      <sheetData sheetId="2">
        <row r="16">
          <cell r="F16">
            <v>6</v>
          </cell>
        </row>
        <row r="17">
          <cell r="F17">
            <v>200</v>
          </cell>
        </row>
        <row r="18">
          <cell r="F18">
            <v>8</v>
          </cell>
        </row>
        <row r="21">
          <cell r="F21">
            <v>434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Force"/>
      <sheetName val="Cal"/>
      <sheetName val="Pic"/>
    </sheetNames>
    <sheetDataSet>
      <sheetData sheetId="0"/>
      <sheetData sheetId="1"/>
      <sheetData sheetId="2"/>
      <sheetData sheetId="3">
        <row r="2">
          <cell r="A2" t="str">
            <v>1 Dầm (ELV/ELK)</v>
          </cell>
        </row>
        <row r="3">
          <cell r="A3" t="str">
            <v>2 Dầm (ZLK)</v>
          </cell>
        </row>
        <row r="4">
          <cell r="B4" t="str">
            <v>2 Dầm (ZLK)</v>
          </cell>
        </row>
        <row r="6">
          <cell r="A6">
            <v>1</v>
          </cell>
        </row>
        <row r="7">
          <cell r="A7">
            <v>2</v>
          </cell>
        </row>
        <row r="8">
          <cell r="B8">
            <v>2</v>
          </cell>
        </row>
        <row r="9">
          <cell r="A9">
            <v>1</v>
          </cell>
        </row>
        <row r="10">
          <cell r="A10">
            <v>2</v>
          </cell>
        </row>
        <row r="11">
          <cell r="B11">
            <v>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FEE5AD-F608-46CA-AA7C-EECDEA7DB46D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0b438c32-23e5-438b-bc01-342dd2cfa5dc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EB34"/>
  <sheetViews>
    <sheetView showGridLines="0" topLeftCell="C3" zoomScale="115" zoomScaleNormal="115" zoomScaleSheetLayoutView="100" workbookViewId="0">
      <selection activeCell="AZ5" sqref="AZ5"/>
    </sheetView>
  </sheetViews>
  <sheetFormatPr defaultColWidth="7.28515625" defaultRowHeight="12.75"/>
  <cols>
    <col min="1" max="1" width="9.85546875" style="1" customWidth="1"/>
    <col min="2" max="4" width="7.28515625" style="1"/>
    <col min="5" max="5" width="7.28515625" style="1" customWidth="1"/>
    <col min="6" max="9" width="7.28515625" style="1" hidden="1" customWidth="1"/>
    <col min="10" max="10" width="3.28515625" style="2" customWidth="1"/>
    <col min="11" max="15" width="7.28515625" style="1"/>
    <col min="16" max="20" width="0" style="1" hidden="1" customWidth="1"/>
    <col min="21" max="21" width="3.28515625" style="2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2" customWidth="1"/>
    <col min="48" max="50" width="7.28515625" style="1"/>
    <col min="51" max="51" width="3.28515625" style="2" customWidth="1"/>
    <col min="52" max="54" width="7.28515625" style="1"/>
    <col min="55" max="59" width="0" style="1" hidden="1" customWidth="1"/>
    <col min="60" max="60" width="3.28515625" style="2" customWidth="1"/>
    <col min="61" max="62" width="7.28515625" style="1"/>
    <col min="63" max="63" width="7.85546875" style="1" bestFit="1" customWidth="1"/>
    <col min="64" max="69" width="7.28515625" style="1"/>
    <col min="70" max="79" width="0" style="1" hidden="1" customWidth="1"/>
    <col min="80" max="80" width="3.28515625" style="2" customWidth="1"/>
    <col min="81" max="81" width="9.5703125" style="23" bestFit="1" customWidth="1"/>
    <col min="82" max="83" width="9.5703125" style="25" customWidth="1"/>
    <col min="84" max="85" width="5" style="23" bestFit="1" customWidth="1"/>
    <col min="86" max="86" width="5" style="23" customWidth="1"/>
    <col min="87" max="87" width="5" style="23" bestFit="1" customWidth="1"/>
    <col min="88" max="88" width="7" style="24" bestFit="1" customWidth="1"/>
    <col min="89" max="103" width="0" style="1" hidden="1" customWidth="1"/>
    <col min="104" max="104" width="3.28515625" style="2" customWidth="1"/>
    <col min="105" max="16384" width="7.28515625" style="1"/>
  </cols>
  <sheetData>
    <row r="1" spans="1:132" ht="14.25" customHeight="1">
      <c r="A1" s="173" t="s">
        <v>38</v>
      </c>
      <c r="B1" s="178" t="s">
        <v>39</v>
      </c>
      <c r="C1" s="178" t="s">
        <v>40</v>
      </c>
      <c r="D1" s="178" t="s">
        <v>41</v>
      </c>
      <c r="E1" s="221" t="s">
        <v>276</v>
      </c>
      <c r="F1" s="20"/>
      <c r="G1" s="20"/>
      <c r="H1" s="20"/>
      <c r="I1" s="20"/>
      <c r="J1" s="151"/>
      <c r="K1" s="370" t="s">
        <v>22</v>
      </c>
      <c r="L1" s="370"/>
      <c r="M1" s="370"/>
      <c r="N1" s="370"/>
      <c r="O1" s="370"/>
      <c r="P1" s="18"/>
      <c r="Q1" s="18"/>
      <c r="R1" s="18"/>
      <c r="S1" s="18"/>
      <c r="T1" s="18"/>
      <c r="V1" s="372" t="s">
        <v>29</v>
      </c>
      <c r="W1" s="372"/>
      <c r="X1" s="372"/>
      <c r="Y1" s="372"/>
      <c r="Z1" s="372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151"/>
      <c r="AV1" s="373" t="s">
        <v>141</v>
      </c>
      <c r="AW1" s="373"/>
      <c r="AX1" s="373"/>
      <c r="AY1" s="224"/>
      <c r="AZ1" s="373" t="s">
        <v>62</v>
      </c>
      <c r="BA1" s="373"/>
      <c r="BB1" s="374"/>
      <c r="BI1" s="368" t="s">
        <v>142</v>
      </c>
      <c r="BJ1" s="362"/>
      <c r="BK1" s="361" t="s">
        <v>143</v>
      </c>
      <c r="BL1" s="362" t="s">
        <v>144</v>
      </c>
      <c r="BM1" s="362"/>
      <c r="BN1" s="362"/>
      <c r="BO1" s="362"/>
      <c r="BP1" s="361" t="s">
        <v>145</v>
      </c>
      <c r="BQ1" s="363"/>
      <c r="CB1" s="151"/>
      <c r="CC1" s="365" t="s">
        <v>144</v>
      </c>
      <c r="CD1" s="365"/>
      <c r="CE1" s="365"/>
      <c r="CF1" s="365"/>
      <c r="CG1" s="365"/>
      <c r="CH1" s="365"/>
      <c r="CI1" s="365"/>
      <c r="CJ1" s="365"/>
      <c r="DA1" s="174" t="s">
        <v>146</v>
      </c>
      <c r="DB1" s="175"/>
      <c r="DC1" s="175" t="s">
        <v>147</v>
      </c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</row>
    <row r="2" spans="1:132" ht="15.75">
      <c r="A2" s="169"/>
      <c r="B2" s="179" t="s">
        <v>42</v>
      </c>
      <c r="C2" s="179" t="s">
        <v>42</v>
      </c>
      <c r="D2" s="179" t="s">
        <v>42</v>
      </c>
      <c r="E2" s="218"/>
      <c r="F2" s="20"/>
      <c r="G2" s="20"/>
      <c r="H2" s="20"/>
      <c r="I2" s="20"/>
      <c r="J2" s="151"/>
      <c r="K2" s="371"/>
      <c r="L2" s="371"/>
      <c r="M2" s="371"/>
      <c r="N2" s="371"/>
      <c r="O2" s="371"/>
      <c r="P2" s="18"/>
      <c r="Q2" s="18"/>
      <c r="R2" s="18"/>
      <c r="S2" s="18"/>
      <c r="T2" s="18"/>
      <c r="V2" s="372"/>
      <c r="W2" s="372"/>
      <c r="X2" s="372"/>
      <c r="Y2" s="372"/>
      <c r="Z2" s="372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V2" s="178" t="s">
        <v>148</v>
      </c>
      <c r="AW2" s="178" t="s">
        <v>27</v>
      </c>
      <c r="AX2" s="168" t="s">
        <v>28</v>
      </c>
      <c r="AY2" s="100"/>
      <c r="AZ2" s="178" t="s">
        <v>63</v>
      </c>
      <c r="BA2" s="178" t="s">
        <v>64</v>
      </c>
      <c r="BB2" s="223" t="s">
        <v>65</v>
      </c>
      <c r="BI2" s="368"/>
      <c r="BJ2" s="362"/>
      <c r="BK2" s="361"/>
      <c r="BL2" s="362" t="s">
        <v>149</v>
      </c>
      <c r="BM2" s="362"/>
      <c r="BN2" s="362" t="s">
        <v>150</v>
      </c>
      <c r="BO2" s="362"/>
      <c r="BP2" s="364"/>
      <c r="BQ2" s="363"/>
      <c r="CC2" s="366" t="s">
        <v>151</v>
      </c>
      <c r="CD2" s="200" t="s">
        <v>152</v>
      </c>
      <c r="CE2" s="200" t="s">
        <v>148</v>
      </c>
      <c r="CF2" s="205" t="s">
        <v>153</v>
      </c>
      <c r="CG2" s="205" t="s">
        <v>154</v>
      </c>
      <c r="CH2" s="205" t="s">
        <v>155</v>
      </c>
      <c r="CI2" s="233" t="s">
        <v>156</v>
      </c>
      <c r="CJ2" s="206" t="s">
        <v>157</v>
      </c>
      <c r="DA2" s="213"/>
      <c r="DB2" s="214">
        <v>0.1</v>
      </c>
      <c r="DC2" s="214">
        <v>0.25</v>
      </c>
      <c r="DD2" s="214">
        <f t="shared" ref="DD2:DJ2" si="0">DC2+0.25</f>
        <v>0.5</v>
      </c>
      <c r="DE2" s="214">
        <f t="shared" si="0"/>
        <v>0.75</v>
      </c>
      <c r="DF2" s="214">
        <f t="shared" si="0"/>
        <v>1</v>
      </c>
      <c r="DG2" s="214">
        <f t="shared" si="0"/>
        <v>1.25</v>
      </c>
      <c r="DH2" s="214">
        <f t="shared" si="0"/>
        <v>1.5</v>
      </c>
      <c r="DI2" s="214">
        <f t="shared" si="0"/>
        <v>1.75</v>
      </c>
      <c r="DJ2" s="214">
        <f t="shared" si="0"/>
        <v>2</v>
      </c>
      <c r="DK2" s="214">
        <f t="shared" ref="DK2:DT2" si="1">DJ2+0.5</f>
        <v>2.5</v>
      </c>
      <c r="DL2" s="214">
        <f t="shared" si="1"/>
        <v>3</v>
      </c>
      <c r="DM2" s="214">
        <f t="shared" si="1"/>
        <v>3.5</v>
      </c>
      <c r="DN2" s="214">
        <f t="shared" si="1"/>
        <v>4</v>
      </c>
      <c r="DO2" s="214">
        <f t="shared" si="1"/>
        <v>4.5</v>
      </c>
      <c r="DP2" s="214">
        <f t="shared" si="1"/>
        <v>5</v>
      </c>
      <c r="DQ2" s="214">
        <f t="shared" si="1"/>
        <v>5.5</v>
      </c>
      <c r="DR2" s="214">
        <f t="shared" si="1"/>
        <v>6</v>
      </c>
      <c r="DS2" s="214">
        <f t="shared" si="1"/>
        <v>6.5</v>
      </c>
      <c r="DT2" s="214">
        <f t="shared" si="1"/>
        <v>7</v>
      </c>
      <c r="DU2" s="214">
        <f>DT2+1</f>
        <v>8</v>
      </c>
      <c r="DV2" s="214">
        <f>DU2+1</f>
        <v>9</v>
      </c>
      <c r="DW2" s="214">
        <f>DV2+1</f>
        <v>10</v>
      </c>
      <c r="DX2" s="214">
        <f>DW2+2</f>
        <v>12</v>
      </c>
      <c r="DY2" s="214">
        <f>DX2+2</f>
        <v>14</v>
      </c>
      <c r="DZ2" s="214">
        <v>17</v>
      </c>
      <c r="EA2" s="214">
        <v>20</v>
      </c>
      <c r="EB2" s="236">
        <v>10000</v>
      </c>
    </row>
    <row r="3" spans="1:132" ht="15.75">
      <c r="A3" s="176" t="s">
        <v>43</v>
      </c>
      <c r="B3" s="180">
        <f>2.06*10^5</f>
        <v>206000</v>
      </c>
      <c r="C3" s="180">
        <v>235</v>
      </c>
      <c r="D3" s="180">
        <v>370</v>
      </c>
      <c r="E3" s="219">
        <v>1.1000000000000001</v>
      </c>
      <c r="F3" s="17"/>
      <c r="G3" s="17"/>
      <c r="H3" s="17"/>
      <c r="I3" s="17"/>
      <c r="K3" s="123" t="s">
        <v>23</v>
      </c>
      <c r="L3" s="123" t="s">
        <v>158</v>
      </c>
      <c r="M3" s="123" t="s">
        <v>159</v>
      </c>
      <c r="N3" s="123" t="s">
        <v>160</v>
      </c>
      <c r="O3" s="166" t="s">
        <v>161</v>
      </c>
      <c r="P3" s="16"/>
      <c r="Q3" s="16"/>
      <c r="R3" s="16"/>
      <c r="S3" s="16"/>
      <c r="T3" s="16"/>
      <c r="V3" s="182" t="s">
        <v>30</v>
      </c>
      <c r="W3" s="182" t="s">
        <v>31</v>
      </c>
      <c r="X3" s="182" t="s">
        <v>32</v>
      </c>
      <c r="Y3" s="182" t="s">
        <v>162</v>
      </c>
      <c r="Z3" s="222" t="s">
        <v>33</v>
      </c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V3" s="92">
        <v>360</v>
      </c>
      <c r="AW3" s="92">
        <v>560</v>
      </c>
      <c r="AX3" s="64">
        <v>475</v>
      </c>
      <c r="AY3" s="100"/>
      <c r="AZ3" s="92" t="s">
        <v>66</v>
      </c>
      <c r="BA3" s="92">
        <v>430</v>
      </c>
      <c r="BB3" s="157">
        <v>180</v>
      </c>
      <c r="BI3" s="368"/>
      <c r="BJ3" s="362"/>
      <c r="BK3" s="361"/>
      <c r="BL3" s="185" t="s">
        <v>163</v>
      </c>
      <c r="BM3" s="185" t="s">
        <v>164</v>
      </c>
      <c r="BN3" s="185" t="s">
        <v>165</v>
      </c>
      <c r="BO3" s="185" t="s">
        <v>166</v>
      </c>
      <c r="BP3" s="367" t="s">
        <v>167</v>
      </c>
      <c r="BQ3" s="228" t="s">
        <v>168</v>
      </c>
      <c r="CC3" s="366"/>
      <c r="CD3" s="195" t="s">
        <v>2</v>
      </c>
      <c r="CE3" s="195" t="s">
        <v>2</v>
      </c>
      <c r="CF3" s="195" t="s">
        <v>2</v>
      </c>
      <c r="CG3" s="195" t="s">
        <v>2</v>
      </c>
      <c r="CH3" s="195" t="s">
        <v>2</v>
      </c>
      <c r="CI3" s="232" t="s">
        <v>2</v>
      </c>
      <c r="CJ3" s="207" t="s">
        <v>2</v>
      </c>
      <c r="DA3" s="214">
        <v>0.5</v>
      </c>
      <c r="DB3" s="216">
        <v>0.96699999999999997</v>
      </c>
      <c r="DC3" s="216">
        <v>0.92200000000000004</v>
      </c>
      <c r="DD3" s="216">
        <v>0.85</v>
      </c>
      <c r="DE3" s="216">
        <v>0.78200000000000003</v>
      </c>
      <c r="DF3" s="216">
        <v>0.72199999999999998</v>
      </c>
      <c r="DG3" s="216">
        <v>0.66900000000000004</v>
      </c>
      <c r="DH3" s="216">
        <v>0.62</v>
      </c>
      <c r="DI3" s="216">
        <v>0.57699999999999996</v>
      </c>
      <c r="DJ3" s="216">
        <v>0.53800000000000003</v>
      </c>
      <c r="DK3" s="216">
        <v>0.46899999999999997</v>
      </c>
      <c r="DL3" s="216">
        <v>0.41699999999999998</v>
      </c>
      <c r="DM3" s="216">
        <v>0.37</v>
      </c>
      <c r="DN3" s="216">
        <v>0.33700000000000002</v>
      </c>
      <c r="DO3" s="216">
        <v>0.307</v>
      </c>
      <c r="DP3" s="216">
        <v>0.28000000000000003</v>
      </c>
      <c r="DQ3" s="216">
        <v>0.26</v>
      </c>
      <c r="DR3" s="216">
        <v>0.23699999999999999</v>
      </c>
      <c r="DS3" s="216">
        <v>0.222</v>
      </c>
      <c r="DT3" s="216">
        <v>0.21</v>
      </c>
      <c r="DU3" s="216">
        <v>0.183</v>
      </c>
      <c r="DV3" s="216">
        <v>0.16400000000000001</v>
      </c>
      <c r="DW3" s="216">
        <v>0.15</v>
      </c>
      <c r="DX3" s="216">
        <v>0.125</v>
      </c>
      <c r="DY3" s="216">
        <v>0.106</v>
      </c>
      <c r="DZ3" s="216">
        <v>0.09</v>
      </c>
      <c r="EA3" s="216">
        <v>7.6999999999999999E-2</v>
      </c>
      <c r="EB3" s="234">
        <v>7.6999999999999999E-2</v>
      </c>
    </row>
    <row r="4" spans="1:132" ht="15">
      <c r="A4" s="176" t="s">
        <v>44</v>
      </c>
      <c r="B4" s="180">
        <f t="shared" ref="B4:B33" si="2">2.06*10^5</f>
        <v>206000</v>
      </c>
      <c r="C4" s="180">
        <v>345</v>
      </c>
      <c r="D4" s="180">
        <v>510</v>
      </c>
      <c r="E4" s="219">
        <v>1.1000000000000001</v>
      </c>
      <c r="F4" s="17"/>
      <c r="G4" s="17"/>
      <c r="H4" s="17"/>
      <c r="I4" s="17"/>
      <c r="K4" s="123">
        <v>5.6</v>
      </c>
      <c r="L4" s="123">
        <v>500</v>
      </c>
      <c r="M4" s="123">
        <v>300</v>
      </c>
      <c r="N4" s="123">
        <v>210</v>
      </c>
      <c r="O4" s="166">
        <v>225</v>
      </c>
      <c r="P4" s="16"/>
      <c r="Q4" s="16"/>
      <c r="R4" s="16"/>
      <c r="S4" s="16"/>
      <c r="T4" s="16"/>
      <c r="V4" s="183">
        <v>10</v>
      </c>
      <c r="W4" s="92">
        <v>1.5</v>
      </c>
      <c r="X4" s="137">
        <v>78.5</v>
      </c>
      <c r="Y4" s="92">
        <v>57.1</v>
      </c>
      <c r="Z4" s="149">
        <v>1</v>
      </c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V4" s="92">
        <v>370</v>
      </c>
      <c r="AW4" s="92">
        <v>580</v>
      </c>
      <c r="AX4" s="64">
        <v>485</v>
      </c>
      <c r="AY4" s="100"/>
      <c r="AZ4" s="92" t="s">
        <v>67</v>
      </c>
      <c r="BA4" s="92">
        <v>510</v>
      </c>
      <c r="BB4" s="157">
        <v>225</v>
      </c>
      <c r="BI4" s="365"/>
      <c r="BJ4" s="369"/>
      <c r="BK4" s="186" t="s">
        <v>2</v>
      </c>
      <c r="BL4" s="186" t="s">
        <v>2</v>
      </c>
      <c r="BM4" s="186" t="s">
        <v>2</v>
      </c>
      <c r="BN4" s="186" t="s">
        <v>2</v>
      </c>
      <c r="BO4" s="186" t="s">
        <v>2</v>
      </c>
      <c r="BP4" s="367"/>
      <c r="BQ4" s="227" t="s">
        <v>2</v>
      </c>
      <c r="CC4" s="196" t="s">
        <v>169</v>
      </c>
      <c r="CD4" s="201">
        <v>235</v>
      </c>
      <c r="CE4" s="201">
        <v>373</v>
      </c>
      <c r="CF4" s="196">
        <f>CD4</f>
        <v>235</v>
      </c>
      <c r="CG4" s="196">
        <f>CF4/1.15</f>
        <v>204.34782608695653</v>
      </c>
      <c r="CH4" s="196">
        <f>CF4</f>
        <v>235</v>
      </c>
      <c r="CI4" s="229">
        <f>0.7*CD4</f>
        <v>164.5</v>
      </c>
      <c r="CJ4" s="208">
        <v>200000</v>
      </c>
      <c r="DA4" s="214">
        <f t="shared" ref="DA4:DA16" si="3">DA3+0.5</f>
        <v>1</v>
      </c>
      <c r="DB4" s="216">
        <v>0.92500000000000004</v>
      </c>
      <c r="DC4" s="216">
        <v>0.85399999999999998</v>
      </c>
      <c r="DD4" s="216">
        <v>0.77800000000000002</v>
      </c>
      <c r="DE4" s="216">
        <v>0.71099999999999997</v>
      </c>
      <c r="DF4" s="216">
        <v>0.65300000000000002</v>
      </c>
      <c r="DG4" s="216">
        <v>0.6</v>
      </c>
      <c r="DH4" s="216">
        <v>0.56299999999999994</v>
      </c>
      <c r="DI4" s="216">
        <v>0.52</v>
      </c>
      <c r="DJ4" s="216">
        <v>0.48399999999999999</v>
      </c>
      <c r="DK4" s="216">
        <v>0.42699999999999999</v>
      </c>
      <c r="DL4" s="216">
        <v>0.38200000000000001</v>
      </c>
      <c r="DM4" s="216">
        <v>0.34100000000000003</v>
      </c>
      <c r="DN4" s="216">
        <v>0.307</v>
      </c>
      <c r="DO4" s="216">
        <v>0.28299999999999997</v>
      </c>
      <c r="DP4" s="216">
        <v>0.25900000000000001</v>
      </c>
      <c r="DQ4" s="216">
        <v>0.24</v>
      </c>
      <c r="DR4" s="216">
        <v>0.22500000000000001</v>
      </c>
      <c r="DS4" s="216">
        <v>0.20899999999999999</v>
      </c>
      <c r="DT4" s="216">
        <v>0.19600000000000001</v>
      </c>
      <c r="DU4" s="216">
        <v>0.17499999999999999</v>
      </c>
      <c r="DV4" s="216">
        <v>0.157</v>
      </c>
      <c r="DW4" s="216">
        <v>0.14199999999999999</v>
      </c>
      <c r="DX4" s="216">
        <v>0.121</v>
      </c>
      <c r="DY4" s="216">
        <v>0.10299999999999999</v>
      </c>
      <c r="DZ4" s="216">
        <v>8.5999999999999993E-2</v>
      </c>
      <c r="EA4" s="216">
        <v>7.3999999999999996E-2</v>
      </c>
      <c r="EB4" s="234">
        <v>7.3999999999999996E-2</v>
      </c>
    </row>
    <row r="5" spans="1:132" ht="15">
      <c r="A5" s="176" t="s">
        <v>277</v>
      </c>
      <c r="B5" s="180">
        <f t="shared" si="2"/>
        <v>206000</v>
      </c>
      <c r="C5" s="180">
        <v>355</v>
      </c>
      <c r="D5" s="180">
        <v>510</v>
      </c>
      <c r="E5" s="219">
        <v>1.1000000000000001</v>
      </c>
      <c r="F5" s="17"/>
      <c r="G5" s="17"/>
      <c r="H5" s="17"/>
      <c r="I5" s="17"/>
      <c r="K5" s="123">
        <v>5.8</v>
      </c>
      <c r="L5" s="123">
        <v>500</v>
      </c>
      <c r="M5" s="123">
        <v>400</v>
      </c>
      <c r="N5" s="123">
        <v>210</v>
      </c>
      <c r="O5" s="166">
        <v>210</v>
      </c>
      <c r="P5" s="16"/>
      <c r="Q5" s="16"/>
      <c r="R5" s="16"/>
      <c r="S5" s="16"/>
      <c r="T5" s="16"/>
      <c r="V5" s="183">
        <v>12</v>
      </c>
      <c r="W5" s="92">
        <v>1.5</v>
      </c>
      <c r="X5" s="137">
        <v>113</v>
      </c>
      <c r="Y5" s="92">
        <v>84.2</v>
      </c>
      <c r="Z5" s="149">
        <v>1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V5" s="92">
        <v>380</v>
      </c>
      <c r="AW5" s="92">
        <v>590</v>
      </c>
      <c r="AX5" s="64">
        <v>500</v>
      </c>
      <c r="AY5" s="100"/>
      <c r="AZ5" s="92" t="s">
        <v>13</v>
      </c>
      <c r="BA5" s="92">
        <v>410</v>
      </c>
      <c r="BB5" s="157">
        <v>180</v>
      </c>
      <c r="BI5" s="225" t="s">
        <v>170</v>
      </c>
      <c r="BJ5" s="187" t="s">
        <v>171</v>
      </c>
      <c r="BK5" s="189">
        <v>19000</v>
      </c>
      <c r="BL5" s="191">
        <v>7.5</v>
      </c>
      <c r="BM5" s="191">
        <v>6</v>
      </c>
      <c r="BN5" s="193">
        <v>0.85</v>
      </c>
      <c r="BO5" s="193">
        <v>0.56000000000000005</v>
      </c>
      <c r="BP5" s="49"/>
      <c r="BQ5" s="158"/>
      <c r="CC5" s="196" t="s">
        <v>172</v>
      </c>
      <c r="CD5" s="201">
        <v>295</v>
      </c>
      <c r="CE5" s="201">
        <v>490</v>
      </c>
      <c r="CF5" s="196">
        <f t="shared" ref="CF5:CF19" si="4">CD5</f>
        <v>295</v>
      </c>
      <c r="CG5" s="196">
        <f t="shared" ref="CG5:CG19" si="5">CF5/1.15</f>
        <v>256.52173913043481</v>
      </c>
      <c r="CH5" s="196">
        <f t="shared" ref="CH5:CH19" si="6">CF5</f>
        <v>295</v>
      </c>
      <c r="CI5" s="229">
        <f t="shared" ref="CI5:CI19" si="7">0.7*CD5</f>
        <v>206.5</v>
      </c>
      <c r="CJ5" s="208">
        <v>200000</v>
      </c>
      <c r="DA5" s="214">
        <f t="shared" si="3"/>
        <v>1.5</v>
      </c>
      <c r="DB5" s="216">
        <v>0.875</v>
      </c>
      <c r="DC5" s="216">
        <v>0.80400000000000005</v>
      </c>
      <c r="DD5" s="216">
        <v>0.71599999999999997</v>
      </c>
      <c r="DE5" s="216">
        <v>0.64700000000000002</v>
      </c>
      <c r="DF5" s="216">
        <v>0.59299999999999997</v>
      </c>
      <c r="DG5" s="216">
        <v>0.54800000000000004</v>
      </c>
      <c r="DH5" s="216">
        <v>0.50700000000000001</v>
      </c>
      <c r="DI5" s="216">
        <v>0.47</v>
      </c>
      <c r="DJ5" s="216">
        <v>0.439</v>
      </c>
      <c r="DK5" s="216">
        <v>0.38800000000000001</v>
      </c>
      <c r="DL5" s="216">
        <v>0.34699999999999998</v>
      </c>
      <c r="DM5" s="216">
        <v>0.312</v>
      </c>
      <c r="DN5" s="216">
        <v>0.28299999999999997</v>
      </c>
      <c r="DO5" s="216">
        <v>0.26200000000000001</v>
      </c>
      <c r="DP5" s="216">
        <v>0.24</v>
      </c>
      <c r="DQ5" s="216">
        <v>0.223</v>
      </c>
      <c r="DR5" s="216">
        <v>0.20699999999999999</v>
      </c>
      <c r="DS5" s="216">
        <v>0.19500000000000001</v>
      </c>
      <c r="DT5" s="216">
        <v>0.182</v>
      </c>
      <c r="DU5" s="216">
        <v>0.16300000000000001</v>
      </c>
      <c r="DV5" s="216">
        <v>0.14799999999999999</v>
      </c>
      <c r="DW5" s="216">
        <v>0.13400000000000001</v>
      </c>
      <c r="DX5" s="216">
        <v>0.114</v>
      </c>
      <c r="DY5" s="216">
        <v>9.9000000000000005E-2</v>
      </c>
      <c r="DZ5" s="216">
        <v>8.2000000000000003E-2</v>
      </c>
      <c r="EA5" s="216">
        <v>7.0000000000000007E-2</v>
      </c>
      <c r="EB5" s="234">
        <v>7.0000000000000007E-2</v>
      </c>
    </row>
    <row r="6" spans="1:132" ht="15">
      <c r="A6" s="176" t="s">
        <v>45</v>
      </c>
      <c r="B6" s="180">
        <f t="shared" si="2"/>
        <v>206000</v>
      </c>
      <c r="C6" s="180">
        <v>250</v>
      </c>
      <c r="D6" s="180">
        <v>400</v>
      </c>
      <c r="E6" s="219">
        <v>1.1000000000000001</v>
      </c>
      <c r="F6" s="17"/>
      <c r="G6" s="17"/>
      <c r="H6" s="17"/>
      <c r="I6" s="17"/>
      <c r="K6" s="123">
        <v>8.8000000000000007</v>
      </c>
      <c r="L6" s="123">
        <v>830</v>
      </c>
      <c r="M6" s="123">
        <v>660</v>
      </c>
      <c r="N6" s="123">
        <v>332</v>
      </c>
      <c r="O6" s="166">
        <v>448</v>
      </c>
      <c r="P6" s="16"/>
      <c r="Q6" s="16"/>
      <c r="R6" s="16"/>
      <c r="S6" s="16"/>
      <c r="T6" s="16"/>
      <c r="V6" s="183">
        <v>16</v>
      </c>
      <c r="W6" s="92">
        <v>2</v>
      </c>
      <c r="X6" s="137">
        <f t="shared" ref="X6:X15" si="8">PI()*V6^2/4</f>
        <v>201.06192982974676</v>
      </c>
      <c r="Y6" s="92">
        <v>157</v>
      </c>
      <c r="Z6" s="149">
        <v>1</v>
      </c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V6" s="92">
        <v>390</v>
      </c>
      <c r="AW6" s="92">
        <v>610</v>
      </c>
      <c r="AX6" s="64">
        <v>515</v>
      </c>
      <c r="AY6" s="100"/>
      <c r="AZ6" s="92" t="s">
        <v>68</v>
      </c>
      <c r="BA6" s="92">
        <v>450</v>
      </c>
      <c r="BB6" s="157">
        <v>200</v>
      </c>
      <c r="BI6" s="225" t="s">
        <v>173</v>
      </c>
      <c r="BJ6" s="187" t="s">
        <v>174</v>
      </c>
      <c r="BK6" s="189">
        <v>24000</v>
      </c>
      <c r="BL6" s="191">
        <v>11</v>
      </c>
      <c r="BM6" s="191">
        <v>8.5</v>
      </c>
      <c r="BN6" s="193">
        <v>1.1000000000000001</v>
      </c>
      <c r="BO6" s="193">
        <v>0.75</v>
      </c>
      <c r="BP6" s="49" t="s">
        <v>175</v>
      </c>
      <c r="BQ6" s="158">
        <f>VALUE(MID(BP6,2,2))</f>
        <v>12</v>
      </c>
      <c r="CC6" s="196" t="s">
        <v>176</v>
      </c>
      <c r="CD6" s="201">
        <v>390</v>
      </c>
      <c r="CE6" s="201">
        <v>590</v>
      </c>
      <c r="CF6" s="196">
        <f t="shared" si="4"/>
        <v>390</v>
      </c>
      <c r="CG6" s="196">
        <f t="shared" si="5"/>
        <v>339.13043478260875</v>
      </c>
      <c r="CH6" s="196">
        <f t="shared" si="6"/>
        <v>390</v>
      </c>
      <c r="CI6" s="229">
        <f t="shared" si="7"/>
        <v>273</v>
      </c>
      <c r="CJ6" s="208">
        <v>200000</v>
      </c>
      <c r="DA6" s="214">
        <f t="shared" si="3"/>
        <v>2</v>
      </c>
      <c r="DB6" s="216">
        <v>0.81299999999999994</v>
      </c>
      <c r="DC6" s="216">
        <v>0.74199999999999999</v>
      </c>
      <c r="DD6" s="216">
        <v>0.65300000000000002</v>
      </c>
      <c r="DE6" s="216">
        <v>0.58699999999999997</v>
      </c>
      <c r="DF6" s="216">
        <v>0.53600000000000003</v>
      </c>
      <c r="DG6" s="216">
        <v>0.496</v>
      </c>
      <c r="DH6" s="216">
        <v>0.45700000000000002</v>
      </c>
      <c r="DI6" s="216">
        <v>0.42499999999999999</v>
      </c>
      <c r="DJ6" s="216">
        <v>0.39700000000000002</v>
      </c>
      <c r="DK6" s="216">
        <v>0.35199999999999998</v>
      </c>
      <c r="DL6" s="216">
        <v>0.315</v>
      </c>
      <c r="DM6" s="216">
        <v>0.28599999999999998</v>
      </c>
      <c r="DN6" s="216">
        <v>0.26</v>
      </c>
      <c r="DO6" s="216">
        <v>0.24</v>
      </c>
      <c r="DP6" s="216">
        <v>0.222</v>
      </c>
      <c r="DQ6" s="216">
        <v>0.20599999999999999</v>
      </c>
      <c r="DR6" s="216">
        <v>0.193</v>
      </c>
      <c r="DS6" s="216">
        <v>0.182</v>
      </c>
      <c r="DT6" s="216">
        <v>0.17</v>
      </c>
      <c r="DU6" s="216">
        <v>0.153</v>
      </c>
      <c r="DV6" s="216">
        <v>0.13800000000000001</v>
      </c>
      <c r="DW6" s="216">
        <v>0.125</v>
      </c>
      <c r="DX6" s="216">
        <v>0.107</v>
      </c>
      <c r="DY6" s="216">
        <v>9.4E-2</v>
      </c>
      <c r="DZ6" s="216">
        <v>7.9000000000000001E-2</v>
      </c>
      <c r="EA6" s="216">
        <v>6.7000000000000004E-2</v>
      </c>
      <c r="EB6" s="234">
        <v>6.7000000000000004E-2</v>
      </c>
    </row>
    <row r="7" spans="1:132" ht="15">
      <c r="A7" s="176" t="s">
        <v>46</v>
      </c>
      <c r="B7" s="180">
        <f t="shared" si="2"/>
        <v>206000</v>
      </c>
      <c r="C7" s="180">
        <v>345</v>
      </c>
      <c r="D7" s="180">
        <v>450</v>
      </c>
      <c r="E7" s="219">
        <v>1.1000000000000001</v>
      </c>
      <c r="F7" s="17"/>
      <c r="G7" s="17"/>
      <c r="H7" s="17"/>
      <c r="I7" s="17"/>
      <c r="K7" s="123">
        <v>10.9</v>
      </c>
      <c r="L7" s="123">
        <v>1040</v>
      </c>
      <c r="M7" s="123">
        <v>940</v>
      </c>
      <c r="N7" s="123">
        <v>416</v>
      </c>
      <c r="O7" s="166">
        <v>728</v>
      </c>
      <c r="P7" s="16"/>
      <c r="Q7" s="16"/>
      <c r="R7" s="16"/>
      <c r="S7" s="16"/>
      <c r="T7" s="16"/>
      <c r="V7" s="183">
        <v>18</v>
      </c>
      <c r="W7" s="92">
        <v>2.5</v>
      </c>
      <c r="X7" s="137">
        <f t="shared" si="8"/>
        <v>254.46900494077323</v>
      </c>
      <c r="Y7" s="92">
        <v>192</v>
      </c>
      <c r="Z7" s="149">
        <v>1.05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V7" s="92">
        <v>430</v>
      </c>
      <c r="AW7" s="92">
        <v>670</v>
      </c>
      <c r="AX7" s="64">
        <v>565</v>
      </c>
      <c r="AY7" s="100"/>
      <c r="AZ7" s="95" t="s">
        <v>69</v>
      </c>
      <c r="BA7" s="95">
        <v>490</v>
      </c>
      <c r="BB7" s="164">
        <v>215</v>
      </c>
      <c r="BI7" s="225" t="s">
        <v>177</v>
      </c>
      <c r="BJ7" s="187" t="s">
        <v>178</v>
      </c>
      <c r="BK7" s="189">
        <v>27500</v>
      </c>
      <c r="BL7" s="191">
        <v>15</v>
      </c>
      <c r="BM7" s="191">
        <v>11.5</v>
      </c>
      <c r="BN7" s="193">
        <v>1.35</v>
      </c>
      <c r="BO7" s="193">
        <v>0.9</v>
      </c>
      <c r="BP7" s="49" t="s">
        <v>179</v>
      </c>
      <c r="BQ7" s="158">
        <f t="shared" ref="BQ7:BQ15" si="9">VALUE(MID(BP7,2,2))</f>
        <v>16</v>
      </c>
      <c r="CC7" s="196" t="s">
        <v>180</v>
      </c>
      <c r="CD7" s="201">
        <v>235</v>
      </c>
      <c r="CE7" s="201">
        <v>373</v>
      </c>
      <c r="CF7" s="196">
        <f t="shared" si="4"/>
        <v>235</v>
      </c>
      <c r="CG7" s="196">
        <f t="shared" si="5"/>
        <v>204.34782608695653</v>
      </c>
      <c r="CH7" s="196">
        <f t="shared" si="6"/>
        <v>235</v>
      </c>
      <c r="CI7" s="229">
        <f t="shared" si="7"/>
        <v>164.5</v>
      </c>
      <c r="CJ7" s="209">
        <v>200000</v>
      </c>
      <c r="DA7" s="214">
        <f t="shared" si="3"/>
        <v>2.5</v>
      </c>
      <c r="DB7" s="216">
        <v>0.74199999999999999</v>
      </c>
      <c r="DC7" s="216">
        <v>0.67200000000000004</v>
      </c>
      <c r="DD7" s="216">
        <v>0.58699999999999997</v>
      </c>
      <c r="DE7" s="216">
        <v>0.52600000000000002</v>
      </c>
      <c r="DF7" s="216">
        <v>0.48</v>
      </c>
      <c r="DG7" s="216">
        <v>0.442</v>
      </c>
      <c r="DH7" s="216">
        <v>0.41</v>
      </c>
      <c r="DI7" s="216">
        <v>0.38300000000000001</v>
      </c>
      <c r="DJ7" s="216">
        <v>0.35699999999999998</v>
      </c>
      <c r="DK7" s="216">
        <v>0.317</v>
      </c>
      <c r="DL7" s="216">
        <v>0.28699999999999998</v>
      </c>
      <c r="DM7" s="216">
        <v>0.26200000000000001</v>
      </c>
      <c r="DN7" s="216">
        <v>0.23799999999999999</v>
      </c>
      <c r="DO7" s="216">
        <v>0.22</v>
      </c>
      <c r="DP7" s="216">
        <v>0.20399999999999999</v>
      </c>
      <c r="DQ7" s="216">
        <v>0.19</v>
      </c>
      <c r="DR7" s="216">
        <v>0.17799999999999999</v>
      </c>
      <c r="DS7" s="216">
        <v>0.16800000000000001</v>
      </c>
      <c r="DT7" s="216">
        <v>0.158</v>
      </c>
      <c r="DU7" s="216">
        <v>0.14399999999999999</v>
      </c>
      <c r="DV7" s="216">
        <v>0.13</v>
      </c>
      <c r="DW7" s="216">
        <v>0.11799999999999999</v>
      </c>
      <c r="DX7" s="216">
        <v>0.10100000000000001</v>
      </c>
      <c r="DY7" s="216">
        <v>0.09</v>
      </c>
      <c r="DZ7" s="216">
        <v>7.5999999999999998E-2</v>
      </c>
      <c r="EA7" s="216">
        <v>6.5000000000000002E-2</v>
      </c>
      <c r="EB7" s="234">
        <v>6.5000000000000002E-2</v>
      </c>
    </row>
    <row r="8" spans="1:132" ht="15">
      <c r="A8" s="176" t="s">
        <v>47</v>
      </c>
      <c r="B8" s="180">
        <f t="shared" si="2"/>
        <v>206000</v>
      </c>
      <c r="C8" s="180">
        <v>235</v>
      </c>
      <c r="D8" s="180">
        <v>360</v>
      </c>
      <c r="E8" s="219">
        <v>1.05</v>
      </c>
      <c r="F8" s="17"/>
      <c r="G8" s="17"/>
      <c r="H8" s="17"/>
      <c r="I8" s="17"/>
      <c r="K8" s="124">
        <v>12.9</v>
      </c>
      <c r="L8" s="124">
        <v>1220</v>
      </c>
      <c r="M8" s="124">
        <v>1100</v>
      </c>
      <c r="N8" s="124">
        <v>427</v>
      </c>
      <c r="O8" s="167">
        <v>854</v>
      </c>
      <c r="P8" s="16"/>
      <c r="Q8" s="16"/>
      <c r="R8" s="16"/>
      <c r="S8" s="16"/>
      <c r="T8" s="16"/>
      <c r="V8" s="183">
        <v>20</v>
      </c>
      <c r="W8" s="92">
        <v>2.5</v>
      </c>
      <c r="X8" s="137">
        <f t="shared" si="8"/>
        <v>314.15926535897933</v>
      </c>
      <c r="Y8" s="92">
        <v>245</v>
      </c>
      <c r="Z8" s="149">
        <v>1.1000000000000001</v>
      </c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V8" s="92">
        <v>440</v>
      </c>
      <c r="AW8" s="92">
        <v>685</v>
      </c>
      <c r="AX8" s="157">
        <v>580</v>
      </c>
      <c r="BI8" s="225" t="s">
        <v>181</v>
      </c>
      <c r="BJ8" s="187" t="s">
        <v>182</v>
      </c>
      <c r="BK8" s="189">
        <v>30000</v>
      </c>
      <c r="BL8" s="191">
        <v>18.5</v>
      </c>
      <c r="BM8" s="191">
        <v>14.5</v>
      </c>
      <c r="BN8" s="193">
        <v>1.55</v>
      </c>
      <c r="BO8" s="193">
        <v>1.05</v>
      </c>
      <c r="BP8" s="49" t="s">
        <v>183</v>
      </c>
      <c r="BQ8" s="158">
        <f t="shared" si="9"/>
        <v>20</v>
      </c>
      <c r="CC8" s="196" t="s">
        <v>184</v>
      </c>
      <c r="CD8" s="201">
        <v>295</v>
      </c>
      <c r="CE8" s="201">
        <v>490</v>
      </c>
      <c r="CF8" s="196">
        <f t="shared" si="4"/>
        <v>295</v>
      </c>
      <c r="CG8" s="196">
        <f t="shared" si="5"/>
        <v>256.52173913043481</v>
      </c>
      <c r="CH8" s="196">
        <f t="shared" si="6"/>
        <v>295</v>
      </c>
      <c r="CI8" s="229">
        <f t="shared" si="7"/>
        <v>206.5</v>
      </c>
      <c r="CJ8" s="209">
        <v>200000</v>
      </c>
      <c r="DA8" s="214">
        <f t="shared" si="3"/>
        <v>3</v>
      </c>
      <c r="DB8" s="216">
        <v>0.66700000000000004</v>
      </c>
      <c r="DC8" s="216">
        <v>0.59699999999999998</v>
      </c>
      <c r="DD8" s="216">
        <v>0.52</v>
      </c>
      <c r="DE8" s="216">
        <v>0.46500000000000002</v>
      </c>
      <c r="DF8" s="216">
        <v>0.42499999999999999</v>
      </c>
      <c r="DG8" s="216">
        <v>0.39500000000000002</v>
      </c>
      <c r="DH8" s="216">
        <v>0.36499999999999999</v>
      </c>
      <c r="DI8" s="216">
        <v>0.34200000000000003</v>
      </c>
      <c r="DJ8" s="216">
        <v>0.32</v>
      </c>
      <c r="DK8" s="216">
        <v>0.28699999999999998</v>
      </c>
      <c r="DL8" s="216">
        <v>0.26</v>
      </c>
      <c r="DM8" s="216">
        <v>0.23799999999999999</v>
      </c>
      <c r="DN8" s="216">
        <v>0.217</v>
      </c>
      <c r="DO8" s="216">
        <v>0.20200000000000001</v>
      </c>
      <c r="DP8" s="216">
        <v>0.187</v>
      </c>
      <c r="DQ8" s="216">
        <v>0.17499999999999999</v>
      </c>
      <c r="DR8" s="216">
        <v>0.16600000000000001</v>
      </c>
      <c r="DS8" s="216">
        <v>0.156</v>
      </c>
      <c r="DT8" s="216">
        <v>0.14699999999999999</v>
      </c>
      <c r="DU8" s="216">
        <v>0.13500000000000001</v>
      </c>
      <c r="DV8" s="216">
        <v>0.123</v>
      </c>
      <c r="DW8" s="216">
        <v>0.112</v>
      </c>
      <c r="DX8" s="216">
        <v>9.7000000000000003E-2</v>
      </c>
      <c r="DY8" s="216">
        <v>8.5999999999999993E-2</v>
      </c>
      <c r="DZ8" s="216">
        <v>7.2999999999999995E-2</v>
      </c>
      <c r="EA8" s="216">
        <v>6.3E-2</v>
      </c>
      <c r="EB8" s="234">
        <v>6.3E-2</v>
      </c>
    </row>
    <row r="9" spans="1:132" ht="15">
      <c r="A9" s="176" t="s">
        <v>48</v>
      </c>
      <c r="B9" s="180">
        <f t="shared" si="2"/>
        <v>206000</v>
      </c>
      <c r="C9" s="180">
        <v>225</v>
      </c>
      <c r="D9" s="180">
        <v>360</v>
      </c>
      <c r="E9" s="219">
        <v>1.05</v>
      </c>
      <c r="F9" s="17"/>
      <c r="G9" s="17"/>
      <c r="H9" s="17"/>
      <c r="I9" s="17"/>
      <c r="V9" s="183">
        <v>22</v>
      </c>
      <c r="W9" s="92">
        <v>2.5</v>
      </c>
      <c r="X9" s="137">
        <f t="shared" si="8"/>
        <v>380.13271108436498</v>
      </c>
      <c r="Y9" s="92">
        <v>303</v>
      </c>
      <c r="Z9" s="149">
        <v>1.1000000000000001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V9" s="92">
        <v>450</v>
      </c>
      <c r="AW9" s="92">
        <v>700</v>
      </c>
      <c r="AX9" s="157">
        <v>595</v>
      </c>
      <c r="BI9" s="225" t="s">
        <v>185</v>
      </c>
      <c r="BJ9" s="187" t="s">
        <v>186</v>
      </c>
      <c r="BK9" s="189">
        <v>32500</v>
      </c>
      <c r="BL9" s="191">
        <v>22</v>
      </c>
      <c r="BM9" s="191">
        <v>17</v>
      </c>
      <c r="BN9" s="193">
        <v>1.75</v>
      </c>
      <c r="BO9" s="193">
        <v>1.1499999999999999</v>
      </c>
      <c r="BP9" s="49" t="s">
        <v>187</v>
      </c>
      <c r="BQ9" s="158">
        <f t="shared" si="9"/>
        <v>25</v>
      </c>
      <c r="CC9" s="196" t="s">
        <v>188</v>
      </c>
      <c r="CD9" s="201">
        <v>390</v>
      </c>
      <c r="CE9" s="201">
        <v>590</v>
      </c>
      <c r="CF9" s="196">
        <f t="shared" si="4"/>
        <v>390</v>
      </c>
      <c r="CG9" s="196">
        <f t="shared" si="5"/>
        <v>339.13043478260875</v>
      </c>
      <c r="CH9" s="196">
        <f t="shared" si="6"/>
        <v>390</v>
      </c>
      <c r="CI9" s="229">
        <f t="shared" si="7"/>
        <v>273</v>
      </c>
      <c r="CJ9" s="209">
        <v>200000</v>
      </c>
      <c r="DA9" s="214">
        <f t="shared" si="3"/>
        <v>3.5</v>
      </c>
      <c r="DB9" s="216">
        <v>0.58699999999999997</v>
      </c>
      <c r="DC9" s="216">
        <v>0.52200000000000002</v>
      </c>
      <c r="DD9" s="216">
        <v>0.45500000000000002</v>
      </c>
      <c r="DE9" s="216">
        <v>0.40799999999999997</v>
      </c>
      <c r="DF9" s="216">
        <v>0.375</v>
      </c>
      <c r="DG9" s="216">
        <v>0.35</v>
      </c>
      <c r="DH9" s="216">
        <v>0.32500000000000001</v>
      </c>
      <c r="DI9" s="216">
        <v>0.30299999999999999</v>
      </c>
      <c r="DJ9" s="216">
        <v>0.28699999999999998</v>
      </c>
      <c r="DK9" s="216">
        <v>0.25800000000000001</v>
      </c>
      <c r="DL9" s="216">
        <v>0.23300000000000001</v>
      </c>
      <c r="DM9" s="216">
        <v>0.216</v>
      </c>
      <c r="DN9" s="216">
        <v>0.19800000000000001</v>
      </c>
      <c r="DO9" s="216">
        <v>0.183</v>
      </c>
      <c r="DP9" s="216">
        <v>0.17199999999999999</v>
      </c>
      <c r="DQ9" s="216">
        <v>0.16200000000000001</v>
      </c>
      <c r="DR9" s="216">
        <v>0.153</v>
      </c>
      <c r="DS9" s="216">
        <v>0.14499999999999999</v>
      </c>
      <c r="DT9" s="216">
        <v>0.13700000000000001</v>
      </c>
      <c r="DU9" s="216">
        <v>0.125</v>
      </c>
      <c r="DV9" s="216">
        <v>0.115</v>
      </c>
      <c r="DW9" s="216">
        <v>0.106</v>
      </c>
      <c r="DX9" s="216">
        <v>9.1999999999999998E-2</v>
      </c>
      <c r="DY9" s="216">
        <v>8.2000000000000003E-2</v>
      </c>
      <c r="DZ9" s="216">
        <v>6.9000000000000006E-2</v>
      </c>
      <c r="EA9" s="216">
        <v>0.06</v>
      </c>
      <c r="EB9" s="234">
        <v>0.06</v>
      </c>
    </row>
    <row r="10" spans="1:132" ht="15">
      <c r="A10" s="176" t="s">
        <v>49</v>
      </c>
      <c r="B10" s="180">
        <f t="shared" si="2"/>
        <v>206000</v>
      </c>
      <c r="C10" s="180">
        <v>215</v>
      </c>
      <c r="D10" s="180">
        <v>360</v>
      </c>
      <c r="E10" s="219">
        <v>1.05</v>
      </c>
      <c r="F10" s="17"/>
      <c r="G10" s="17"/>
      <c r="H10" s="17"/>
      <c r="I10" s="17"/>
      <c r="V10" s="183">
        <v>24</v>
      </c>
      <c r="W10" s="92">
        <v>3</v>
      </c>
      <c r="X10" s="137">
        <f t="shared" si="8"/>
        <v>452.38934211693021</v>
      </c>
      <c r="Y10" s="92">
        <v>353</v>
      </c>
      <c r="Z10" s="149">
        <v>1.1000000000000001</v>
      </c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V10" s="92">
        <v>460</v>
      </c>
      <c r="AW10" s="92">
        <v>720</v>
      </c>
      <c r="AX10" s="157">
        <v>605</v>
      </c>
      <c r="BI10" s="225" t="s">
        <v>189</v>
      </c>
      <c r="BJ10" s="187" t="s">
        <v>190</v>
      </c>
      <c r="BK10" s="189">
        <v>34500</v>
      </c>
      <c r="BL10" s="191">
        <v>25.5</v>
      </c>
      <c r="BM10" s="191">
        <v>19.5</v>
      </c>
      <c r="BN10" s="193">
        <v>1.95</v>
      </c>
      <c r="BO10" s="193">
        <v>1.3</v>
      </c>
      <c r="BP10" s="49" t="s">
        <v>191</v>
      </c>
      <c r="BQ10" s="158">
        <f t="shared" si="9"/>
        <v>28</v>
      </c>
      <c r="CC10" s="196" t="s">
        <v>192</v>
      </c>
      <c r="CD10" s="201">
        <v>240</v>
      </c>
      <c r="CE10" s="201">
        <v>380</v>
      </c>
      <c r="CF10" s="196">
        <f t="shared" si="4"/>
        <v>240</v>
      </c>
      <c r="CG10" s="196"/>
      <c r="CH10" s="196">
        <f t="shared" si="6"/>
        <v>240</v>
      </c>
      <c r="CI10" s="229">
        <v>170</v>
      </c>
      <c r="CJ10" s="208">
        <v>200000</v>
      </c>
      <c r="DA10" s="214">
        <f t="shared" si="3"/>
        <v>4</v>
      </c>
      <c r="DB10" s="216">
        <v>0.505</v>
      </c>
      <c r="DC10" s="216">
        <v>0.44700000000000001</v>
      </c>
      <c r="DD10" s="216">
        <v>0.39400000000000002</v>
      </c>
      <c r="DE10" s="216">
        <v>0.35599999999999998</v>
      </c>
      <c r="DF10" s="216">
        <v>0.33</v>
      </c>
      <c r="DG10" s="216">
        <v>0.309</v>
      </c>
      <c r="DH10" s="216">
        <v>0.28899999999999998</v>
      </c>
      <c r="DI10" s="216">
        <v>0.27</v>
      </c>
      <c r="DJ10" s="216">
        <v>0.25600000000000001</v>
      </c>
      <c r="DK10" s="216">
        <v>0.23200000000000001</v>
      </c>
      <c r="DL10" s="216">
        <v>0.21199999999999999</v>
      </c>
      <c r="DM10" s="216">
        <v>0.19700000000000001</v>
      </c>
      <c r="DN10" s="216">
        <v>0.18099999999999999</v>
      </c>
      <c r="DO10" s="216">
        <v>0.16800000000000001</v>
      </c>
      <c r="DP10" s="216">
        <v>0.158</v>
      </c>
      <c r="DQ10" s="216">
        <v>0.14899999999999999</v>
      </c>
      <c r="DR10" s="216">
        <v>0.14000000000000001</v>
      </c>
      <c r="DS10" s="216">
        <v>0.13500000000000001</v>
      </c>
      <c r="DT10" s="216">
        <v>0.127</v>
      </c>
      <c r="DU10" s="216">
        <v>0.11799999999999999</v>
      </c>
      <c r="DV10" s="216">
        <v>0.108</v>
      </c>
      <c r="DW10" s="216">
        <v>9.8000000000000004E-2</v>
      </c>
      <c r="DX10" s="216">
        <v>8.7999999999999995E-2</v>
      </c>
      <c r="DY10" s="216">
        <v>7.8E-2</v>
      </c>
      <c r="DZ10" s="216">
        <v>6.6000000000000003E-2</v>
      </c>
      <c r="EA10" s="216">
        <v>5.7000000000000002E-2</v>
      </c>
      <c r="EB10" s="234">
        <v>5.7000000000000002E-2</v>
      </c>
    </row>
    <row r="11" spans="1:132" ht="15">
      <c r="A11" s="176" t="s">
        <v>50</v>
      </c>
      <c r="B11" s="180">
        <f t="shared" si="2"/>
        <v>206000</v>
      </c>
      <c r="C11" s="180">
        <v>215</v>
      </c>
      <c r="D11" s="180">
        <v>360</v>
      </c>
      <c r="E11" s="219">
        <v>1.05</v>
      </c>
      <c r="F11" s="17"/>
      <c r="G11" s="17"/>
      <c r="H11" s="17"/>
      <c r="I11" s="17"/>
      <c r="V11" s="183">
        <v>27</v>
      </c>
      <c r="W11" s="92">
        <v>3</v>
      </c>
      <c r="X11" s="137">
        <f t="shared" si="8"/>
        <v>572.55526111673976</v>
      </c>
      <c r="Y11" s="92">
        <v>459</v>
      </c>
      <c r="Z11" s="149">
        <v>1.2</v>
      </c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V11" s="92">
        <v>470</v>
      </c>
      <c r="AW11" s="92">
        <v>735</v>
      </c>
      <c r="AX11" s="157">
        <v>620</v>
      </c>
      <c r="BI11" s="225" t="s">
        <v>193</v>
      </c>
      <c r="BJ11" s="187" t="s">
        <v>194</v>
      </c>
      <c r="BK11" s="189">
        <v>36000</v>
      </c>
      <c r="BL11" s="191">
        <v>29</v>
      </c>
      <c r="BM11" s="191">
        <v>22</v>
      </c>
      <c r="BN11" s="193">
        <v>2.1</v>
      </c>
      <c r="BO11" s="193">
        <v>1.4</v>
      </c>
      <c r="BP11" s="49" t="s">
        <v>195</v>
      </c>
      <c r="BQ11" s="158">
        <f t="shared" si="9"/>
        <v>32</v>
      </c>
      <c r="CC11" s="196" t="s">
        <v>196</v>
      </c>
      <c r="CD11" s="201">
        <v>300</v>
      </c>
      <c r="CE11" s="201">
        <v>440</v>
      </c>
      <c r="CF11" s="196">
        <f t="shared" si="4"/>
        <v>300</v>
      </c>
      <c r="CG11" s="196"/>
      <c r="CH11" s="196">
        <f t="shared" si="6"/>
        <v>300</v>
      </c>
      <c r="CI11" s="229">
        <v>210</v>
      </c>
      <c r="CJ11" s="208">
        <v>200000</v>
      </c>
      <c r="DA11" s="214">
        <f t="shared" si="3"/>
        <v>4.5</v>
      </c>
      <c r="DB11" s="216">
        <v>0.41799999999999998</v>
      </c>
      <c r="DC11" s="216">
        <v>0.38200000000000001</v>
      </c>
      <c r="DD11" s="216">
        <v>0.34200000000000003</v>
      </c>
      <c r="DE11" s="216">
        <v>0.31</v>
      </c>
      <c r="DF11" s="216">
        <v>0.28799999999999998</v>
      </c>
      <c r="DG11" s="216">
        <v>0.27200000000000002</v>
      </c>
      <c r="DH11" s="216">
        <v>0.25700000000000001</v>
      </c>
      <c r="DI11" s="216">
        <v>0.24199999999999999</v>
      </c>
      <c r="DJ11" s="216">
        <v>0.22900000000000001</v>
      </c>
      <c r="DK11" s="216">
        <v>0.20799999999999999</v>
      </c>
      <c r="DL11" s="216">
        <v>0.192</v>
      </c>
      <c r="DM11" s="216">
        <v>0.17799999999999999</v>
      </c>
      <c r="DN11" s="216">
        <v>0.16500000000000001</v>
      </c>
      <c r="DO11" s="216">
        <v>0.155</v>
      </c>
      <c r="DP11" s="216">
        <v>0.14599999999999999</v>
      </c>
      <c r="DQ11" s="216">
        <v>0.13700000000000001</v>
      </c>
      <c r="DR11" s="216">
        <v>0.13</v>
      </c>
      <c r="DS11" s="216">
        <v>0.125</v>
      </c>
      <c r="DT11" s="216">
        <v>0.11799999999999999</v>
      </c>
      <c r="DU11" s="216">
        <v>0.11</v>
      </c>
      <c r="DV11" s="216">
        <v>0.10100000000000001</v>
      </c>
      <c r="DW11" s="216">
        <v>9.2999999999999999E-2</v>
      </c>
      <c r="DX11" s="216">
        <v>8.3000000000000004E-2</v>
      </c>
      <c r="DY11" s="216">
        <v>7.4999999999999997E-2</v>
      </c>
      <c r="DZ11" s="216">
        <v>6.4000000000000001E-2</v>
      </c>
      <c r="EA11" s="216">
        <v>5.5E-2</v>
      </c>
      <c r="EB11" s="234">
        <v>5.5E-2</v>
      </c>
    </row>
    <row r="12" spans="1:132" ht="15">
      <c r="A12" s="176" t="s">
        <v>51</v>
      </c>
      <c r="B12" s="180">
        <f t="shared" si="2"/>
        <v>206000</v>
      </c>
      <c r="C12" s="180">
        <v>215</v>
      </c>
      <c r="D12" s="180">
        <v>360</v>
      </c>
      <c r="E12" s="219">
        <v>1.05</v>
      </c>
      <c r="F12" s="17"/>
      <c r="G12" s="17"/>
      <c r="H12" s="17"/>
      <c r="I12" s="17"/>
      <c r="V12" s="183">
        <v>30</v>
      </c>
      <c r="W12" s="92">
        <v>3.5</v>
      </c>
      <c r="X12" s="137">
        <f t="shared" si="8"/>
        <v>706.85834705770344</v>
      </c>
      <c r="Y12" s="92">
        <v>561</v>
      </c>
      <c r="Z12" s="149">
        <v>1.3</v>
      </c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V12" s="92">
        <v>480</v>
      </c>
      <c r="AW12" s="92">
        <v>750</v>
      </c>
      <c r="AX12" s="157">
        <v>630</v>
      </c>
      <c r="BI12" s="225" t="s">
        <v>197</v>
      </c>
      <c r="BJ12" s="187" t="s">
        <v>198</v>
      </c>
      <c r="BK12" s="189">
        <v>37000</v>
      </c>
      <c r="BL12" s="191">
        <v>32</v>
      </c>
      <c r="BM12" s="191">
        <v>25</v>
      </c>
      <c r="BN12" s="193">
        <v>2.25</v>
      </c>
      <c r="BO12" s="193">
        <v>1.5</v>
      </c>
      <c r="BP12" s="49" t="s">
        <v>199</v>
      </c>
      <c r="BQ12" s="158">
        <f t="shared" si="9"/>
        <v>35</v>
      </c>
      <c r="CC12" s="196" t="s">
        <v>200</v>
      </c>
      <c r="CD12" s="201">
        <v>300</v>
      </c>
      <c r="CE12" s="201">
        <v>450</v>
      </c>
      <c r="CF12" s="196">
        <f t="shared" si="4"/>
        <v>300</v>
      </c>
      <c r="CG12" s="196"/>
      <c r="CH12" s="196">
        <f t="shared" si="6"/>
        <v>300</v>
      </c>
      <c r="CI12" s="229">
        <v>210</v>
      </c>
      <c r="CJ12" s="208">
        <v>200000</v>
      </c>
      <c r="DA12" s="214">
        <f t="shared" si="3"/>
        <v>5</v>
      </c>
      <c r="DB12" s="216">
        <v>0.35399999999999998</v>
      </c>
      <c r="DC12" s="216">
        <v>0.32600000000000001</v>
      </c>
      <c r="DD12" s="216">
        <v>0.29499999999999998</v>
      </c>
      <c r="DE12" s="216">
        <v>0.27300000000000002</v>
      </c>
      <c r="DF12" s="216">
        <v>0.253</v>
      </c>
      <c r="DG12" s="216">
        <v>0.23899999999999999</v>
      </c>
      <c r="DH12" s="216">
        <v>0.22500000000000001</v>
      </c>
      <c r="DI12" s="216">
        <v>0.215</v>
      </c>
      <c r="DJ12" s="216">
        <v>0.20499999999999999</v>
      </c>
      <c r="DK12" s="216">
        <v>0.188</v>
      </c>
      <c r="DL12" s="216">
        <v>0.17499999999999999</v>
      </c>
      <c r="DM12" s="216">
        <v>0.16200000000000001</v>
      </c>
      <c r="DN12" s="216">
        <v>0.15</v>
      </c>
      <c r="DO12" s="216">
        <v>0.14299999999999999</v>
      </c>
      <c r="DP12" s="216">
        <v>0.13500000000000001</v>
      </c>
      <c r="DQ12" s="216">
        <v>0.126</v>
      </c>
      <c r="DR12" s="216">
        <v>0.12</v>
      </c>
      <c r="DS12" s="216">
        <v>0.11700000000000001</v>
      </c>
      <c r="DT12" s="216">
        <v>0.111</v>
      </c>
      <c r="DU12" s="216">
        <v>0.10299999999999999</v>
      </c>
      <c r="DV12" s="216">
        <v>9.5000000000000001E-2</v>
      </c>
      <c r="DW12" s="216">
        <v>8.7999999999999995E-2</v>
      </c>
      <c r="DX12" s="216">
        <v>7.9000000000000001E-2</v>
      </c>
      <c r="DY12" s="216">
        <v>7.1999999999999995E-2</v>
      </c>
      <c r="DZ12" s="216">
        <v>6.2E-2</v>
      </c>
      <c r="EA12" s="216">
        <v>5.2999999999999999E-2</v>
      </c>
      <c r="EB12" s="234">
        <v>5.2999999999999999E-2</v>
      </c>
    </row>
    <row r="13" spans="1:132" ht="15">
      <c r="A13" s="176" t="s">
        <v>52</v>
      </c>
      <c r="B13" s="180">
        <f t="shared" si="2"/>
        <v>206000</v>
      </c>
      <c r="C13" s="180">
        <v>275</v>
      </c>
      <c r="D13" s="180">
        <v>410</v>
      </c>
      <c r="E13" s="219">
        <v>1.05</v>
      </c>
      <c r="F13" s="17"/>
      <c r="G13" s="17"/>
      <c r="H13" s="17"/>
      <c r="I13" s="17"/>
      <c r="V13" s="183">
        <v>36</v>
      </c>
      <c r="W13" s="92">
        <v>4</v>
      </c>
      <c r="X13" s="137">
        <f t="shared" si="8"/>
        <v>1017.8760197630929</v>
      </c>
      <c r="Y13" s="92">
        <v>816</v>
      </c>
      <c r="Z13" s="149">
        <v>1.3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V13" s="92">
        <v>490</v>
      </c>
      <c r="AW13" s="92">
        <v>765</v>
      </c>
      <c r="AX13" s="157">
        <v>645</v>
      </c>
      <c r="BI13" s="225" t="s">
        <v>201</v>
      </c>
      <c r="BJ13" s="187" t="s">
        <v>202</v>
      </c>
      <c r="BK13" s="189">
        <v>38000</v>
      </c>
      <c r="BL13" s="191">
        <v>36</v>
      </c>
      <c r="BM13" s="191">
        <v>27.5</v>
      </c>
      <c r="BN13" s="193">
        <v>2.4500000000000002</v>
      </c>
      <c r="BO13" s="193">
        <v>1.6</v>
      </c>
      <c r="BP13" s="49" t="s">
        <v>203</v>
      </c>
      <c r="BQ13" s="158">
        <f t="shared" si="9"/>
        <v>40</v>
      </c>
      <c r="CC13" s="196" t="s">
        <v>204</v>
      </c>
      <c r="CD13" s="201">
        <v>400</v>
      </c>
      <c r="CE13" s="201">
        <v>570</v>
      </c>
      <c r="CF13" s="196">
        <f t="shared" si="4"/>
        <v>400</v>
      </c>
      <c r="CG13" s="196"/>
      <c r="CH13" s="196">
        <f t="shared" si="6"/>
        <v>400</v>
      </c>
      <c r="CI13" s="229">
        <v>280</v>
      </c>
      <c r="CJ13" s="208">
        <v>200000</v>
      </c>
      <c r="DA13" s="214">
        <f t="shared" si="3"/>
        <v>5.5</v>
      </c>
      <c r="DB13" s="216">
        <v>0.30199999999999999</v>
      </c>
      <c r="DC13" s="216">
        <v>0.28000000000000003</v>
      </c>
      <c r="DD13" s="216">
        <v>0.25600000000000001</v>
      </c>
      <c r="DE13" s="216">
        <v>0.24</v>
      </c>
      <c r="DF13" s="216">
        <v>0.224</v>
      </c>
      <c r="DG13" s="216">
        <v>0.21199999999999999</v>
      </c>
      <c r="DH13" s="216">
        <v>0.2</v>
      </c>
      <c r="DI13" s="216">
        <v>0.192</v>
      </c>
      <c r="DJ13" s="216">
        <v>0.184</v>
      </c>
      <c r="DK13" s="216">
        <v>0.17</v>
      </c>
      <c r="DL13" s="216">
        <v>0.158</v>
      </c>
      <c r="DM13" s="216">
        <v>0.14799999999999999</v>
      </c>
      <c r="DN13" s="216">
        <v>0.13800000000000001</v>
      </c>
      <c r="DO13" s="216">
        <v>0.13200000000000001</v>
      </c>
      <c r="DP13" s="216">
        <v>0.124</v>
      </c>
      <c r="DQ13" s="216">
        <v>0.11700000000000001</v>
      </c>
      <c r="DR13" s="216">
        <v>0.112</v>
      </c>
      <c r="DS13" s="216">
        <v>0.108</v>
      </c>
      <c r="DT13" s="216">
        <v>0.104</v>
      </c>
      <c r="DU13" s="216">
        <v>9.5000000000000001E-2</v>
      </c>
      <c r="DV13" s="216">
        <v>8.8999999999999996E-2</v>
      </c>
      <c r="DW13" s="216">
        <v>8.4000000000000005E-2</v>
      </c>
      <c r="DX13" s="216">
        <v>7.4999999999999997E-2</v>
      </c>
      <c r="DY13" s="216">
        <v>6.9000000000000006E-2</v>
      </c>
      <c r="DZ13" s="216">
        <v>0.06</v>
      </c>
      <c r="EA13" s="216">
        <v>5.0999999999999997E-2</v>
      </c>
      <c r="EB13" s="234">
        <v>5.0999999999999997E-2</v>
      </c>
    </row>
    <row r="14" spans="1:132" ht="15">
      <c r="A14" s="176" t="s">
        <v>53</v>
      </c>
      <c r="B14" s="180">
        <f t="shared" si="2"/>
        <v>206000</v>
      </c>
      <c r="C14" s="180">
        <v>265</v>
      </c>
      <c r="D14" s="180">
        <v>410</v>
      </c>
      <c r="E14" s="219">
        <v>1.05</v>
      </c>
      <c r="F14" s="17"/>
      <c r="G14" s="17"/>
      <c r="H14" s="17"/>
      <c r="I14" s="17"/>
      <c r="V14" s="183">
        <v>42</v>
      </c>
      <c r="W14" s="92">
        <v>4.5</v>
      </c>
      <c r="X14" s="137">
        <f t="shared" si="8"/>
        <v>1385.4423602330987</v>
      </c>
      <c r="Y14" s="92">
        <v>1120</v>
      </c>
      <c r="Z14" s="149">
        <v>1.6</v>
      </c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V14" s="92">
        <v>510</v>
      </c>
      <c r="AW14" s="92">
        <v>795</v>
      </c>
      <c r="AX14" s="157">
        <v>670</v>
      </c>
      <c r="BI14" s="225" t="s">
        <v>201</v>
      </c>
      <c r="BJ14" s="187" t="s">
        <v>205</v>
      </c>
      <c r="BK14" s="189">
        <v>39000</v>
      </c>
      <c r="BL14" s="191">
        <v>39.5</v>
      </c>
      <c r="BM14" s="191">
        <v>30</v>
      </c>
      <c r="BN14" s="193">
        <v>2.6</v>
      </c>
      <c r="BO14" s="193">
        <v>1.7</v>
      </c>
      <c r="BP14" s="49" t="s">
        <v>206</v>
      </c>
      <c r="BQ14" s="158">
        <f t="shared" si="9"/>
        <v>45</v>
      </c>
      <c r="CC14" s="196" t="s">
        <v>207</v>
      </c>
      <c r="CD14" s="201">
        <v>500</v>
      </c>
      <c r="CE14" s="201">
        <v>650</v>
      </c>
      <c r="CF14" s="196">
        <f t="shared" si="4"/>
        <v>500</v>
      </c>
      <c r="CG14" s="196"/>
      <c r="CH14" s="196">
        <f t="shared" si="6"/>
        <v>500</v>
      </c>
      <c r="CI14" s="229">
        <v>300</v>
      </c>
      <c r="CJ14" s="208">
        <v>200000</v>
      </c>
      <c r="DA14" s="214">
        <f t="shared" si="3"/>
        <v>6</v>
      </c>
      <c r="DB14" s="216">
        <v>0.25800000000000001</v>
      </c>
      <c r="DC14" s="216">
        <v>0.24399999999999999</v>
      </c>
      <c r="DD14" s="216">
        <v>0.223</v>
      </c>
      <c r="DE14" s="216">
        <v>0.21</v>
      </c>
      <c r="DF14" s="216">
        <v>0.19800000000000001</v>
      </c>
      <c r="DG14" s="216">
        <v>0.19</v>
      </c>
      <c r="DH14" s="216">
        <v>0.17799999999999999</v>
      </c>
      <c r="DI14" s="216">
        <v>0.17199999999999999</v>
      </c>
      <c r="DJ14" s="216">
        <v>0.16600000000000001</v>
      </c>
      <c r="DK14" s="216">
        <v>0.153</v>
      </c>
      <c r="DL14" s="216">
        <v>0.14499999999999999</v>
      </c>
      <c r="DM14" s="216">
        <v>0.13700000000000001</v>
      </c>
      <c r="DN14" s="216">
        <v>0.128</v>
      </c>
      <c r="DO14" s="216">
        <v>0.12</v>
      </c>
      <c r="DP14" s="216">
        <v>0.115</v>
      </c>
      <c r="DQ14" s="216">
        <v>0.109</v>
      </c>
      <c r="DR14" s="216">
        <v>0.104</v>
      </c>
      <c r="DS14" s="216">
        <v>0.1</v>
      </c>
      <c r="DT14" s="216">
        <v>9.6000000000000002E-2</v>
      </c>
      <c r="DU14" s="216">
        <v>8.8999999999999996E-2</v>
      </c>
      <c r="DV14" s="216">
        <v>8.4000000000000005E-2</v>
      </c>
      <c r="DW14" s="216">
        <v>7.9000000000000001E-2</v>
      </c>
      <c r="DX14" s="216">
        <v>7.1999999999999995E-2</v>
      </c>
      <c r="DY14" s="216">
        <v>6.6000000000000003E-2</v>
      </c>
      <c r="DZ14" s="216">
        <v>5.7000000000000002E-2</v>
      </c>
      <c r="EA14" s="216">
        <v>4.9000000000000002E-2</v>
      </c>
      <c r="EB14" s="234">
        <v>4.9000000000000002E-2</v>
      </c>
    </row>
    <row r="15" spans="1:132" ht="15.75" thickBot="1">
      <c r="A15" s="176" t="s">
        <v>54</v>
      </c>
      <c r="B15" s="180">
        <f t="shared" si="2"/>
        <v>206000</v>
      </c>
      <c r="C15" s="180">
        <v>255</v>
      </c>
      <c r="D15" s="180">
        <v>410</v>
      </c>
      <c r="E15" s="219">
        <v>1.05</v>
      </c>
      <c r="F15" s="17"/>
      <c r="G15" s="17"/>
      <c r="H15" s="17"/>
      <c r="I15" s="17"/>
      <c r="V15" s="184">
        <v>48</v>
      </c>
      <c r="W15" s="95">
        <v>5</v>
      </c>
      <c r="X15" s="138">
        <f t="shared" si="8"/>
        <v>1809.5573684677208</v>
      </c>
      <c r="Y15" s="95">
        <v>1472</v>
      </c>
      <c r="Z15" s="150">
        <v>1.6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V15" s="92">
        <v>540</v>
      </c>
      <c r="AW15" s="92">
        <v>845</v>
      </c>
      <c r="AX15" s="157">
        <v>710</v>
      </c>
      <c r="BI15" s="226" t="s">
        <v>208</v>
      </c>
      <c r="BJ15" s="188" t="s">
        <v>209</v>
      </c>
      <c r="BK15" s="190">
        <v>39500</v>
      </c>
      <c r="BL15" s="192">
        <v>43</v>
      </c>
      <c r="BM15" s="192">
        <v>33</v>
      </c>
      <c r="BN15" s="194">
        <v>2.75</v>
      </c>
      <c r="BO15" s="194">
        <v>1.8</v>
      </c>
      <c r="BP15" s="51" t="s">
        <v>210</v>
      </c>
      <c r="BQ15" s="52">
        <f t="shared" si="9"/>
        <v>50</v>
      </c>
      <c r="CC15" s="196" t="s">
        <v>211</v>
      </c>
      <c r="CD15" s="201">
        <v>235</v>
      </c>
      <c r="CE15" s="201">
        <v>380</v>
      </c>
      <c r="CF15" s="196">
        <f t="shared" si="4"/>
        <v>235</v>
      </c>
      <c r="CG15" s="196">
        <f t="shared" si="5"/>
        <v>204.34782608695653</v>
      </c>
      <c r="CH15" s="196">
        <f t="shared" si="6"/>
        <v>235</v>
      </c>
      <c r="CI15" s="229">
        <f t="shared" si="7"/>
        <v>164.5</v>
      </c>
      <c r="CJ15" s="210">
        <v>200000</v>
      </c>
      <c r="DA15" s="214">
        <f t="shared" si="3"/>
        <v>6.5</v>
      </c>
      <c r="DB15" s="216">
        <v>0.223</v>
      </c>
      <c r="DC15" s="216">
        <v>0.21299999999999999</v>
      </c>
      <c r="DD15" s="216">
        <v>0.19600000000000001</v>
      </c>
      <c r="DE15" s="216">
        <v>0.185</v>
      </c>
      <c r="DF15" s="216">
        <v>0.17599999999999999</v>
      </c>
      <c r="DG15" s="216">
        <v>0.17</v>
      </c>
      <c r="DH15" s="216">
        <v>0.16</v>
      </c>
      <c r="DI15" s="216">
        <v>0.155</v>
      </c>
      <c r="DJ15" s="216">
        <v>0.14899999999999999</v>
      </c>
      <c r="DK15" s="216">
        <v>0.14000000000000001</v>
      </c>
      <c r="DL15" s="216">
        <v>0.13200000000000001</v>
      </c>
      <c r="DM15" s="216">
        <v>0.125</v>
      </c>
      <c r="DN15" s="216">
        <v>0.11700000000000001</v>
      </c>
      <c r="DO15" s="216">
        <v>0.112</v>
      </c>
      <c r="DP15" s="216">
        <v>0.106</v>
      </c>
      <c r="DQ15" s="216">
        <v>0.10100000000000001</v>
      </c>
      <c r="DR15" s="216">
        <v>9.7000000000000003E-2</v>
      </c>
      <c r="DS15" s="216">
        <v>9.4E-2</v>
      </c>
      <c r="DT15" s="216">
        <v>8.8999999999999996E-2</v>
      </c>
      <c r="DU15" s="216">
        <v>8.3000000000000004E-2</v>
      </c>
      <c r="DV15" s="216">
        <v>0.08</v>
      </c>
      <c r="DW15" s="216">
        <v>7.3999999999999996E-2</v>
      </c>
      <c r="DX15" s="216">
        <v>6.8000000000000005E-2</v>
      </c>
      <c r="DY15" s="216">
        <v>6.2E-2</v>
      </c>
      <c r="DZ15" s="216">
        <v>5.3999999999999999E-2</v>
      </c>
      <c r="EA15" s="216">
        <v>4.7E-2</v>
      </c>
      <c r="EB15" s="234">
        <v>4.7E-2</v>
      </c>
    </row>
    <row r="16" spans="1:132" ht="15">
      <c r="A16" s="176" t="s">
        <v>55</v>
      </c>
      <c r="B16" s="180">
        <f t="shared" si="2"/>
        <v>206000</v>
      </c>
      <c r="C16" s="180">
        <v>245</v>
      </c>
      <c r="D16" s="180">
        <v>410</v>
      </c>
      <c r="E16" s="219">
        <v>1.05</v>
      </c>
      <c r="F16" s="17"/>
      <c r="G16" s="17"/>
      <c r="H16" s="17"/>
      <c r="I16" s="17"/>
      <c r="AV16" s="92">
        <v>570</v>
      </c>
      <c r="AW16" s="92">
        <v>890</v>
      </c>
      <c r="AX16" s="157">
        <v>750</v>
      </c>
      <c r="CC16" s="196" t="s">
        <v>212</v>
      </c>
      <c r="CD16" s="201">
        <v>295</v>
      </c>
      <c r="CE16" s="201">
        <v>440</v>
      </c>
      <c r="CF16" s="196">
        <f t="shared" si="4"/>
        <v>295</v>
      </c>
      <c r="CG16" s="196">
        <f t="shared" si="5"/>
        <v>256.52173913043481</v>
      </c>
      <c r="CH16" s="196">
        <f t="shared" si="6"/>
        <v>295</v>
      </c>
      <c r="CI16" s="229">
        <f t="shared" si="7"/>
        <v>206.5</v>
      </c>
      <c r="CJ16" s="210">
        <v>200000</v>
      </c>
      <c r="DA16" s="214">
        <f t="shared" si="3"/>
        <v>7</v>
      </c>
      <c r="DB16" s="216">
        <v>0.19400000000000001</v>
      </c>
      <c r="DC16" s="216">
        <v>0.186</v>
      </c>
      <c r="DD16" s="216">
        <v>0.17299999999999999</v>
      </c>
      <c r="DE16" s="216">
        <v>0.16300000000000001</v>
      </c>
      <c r="DF16" s="216">
        <v>0.157</v>
      </c>
      <c r="DG16" s="216">
        <v>0.152</v>
      </c>
      <c r="DH16" s="216">
        <v>0.14499999999999999</v>
      </c>
      <c r="DI16" s="216">
        <v>0.14099999999999999</v>
      </c>
      <c r="DJ16" s="216">
        <v>0.13600000000000001</v>
      </c>
      <c r="DK16" s="216">
        <v>0.127</v>
      </c>
      <c r="DL16" s="216">
        <v>0.121</v>
      </c>
      <c r="DM16" s="216">
        <v>0.115</v>
      </c>
      <c r="DN16" s="216">
        <v>0.108</v>
      </c>
      <c r="DO16" s="216">
        <v>0.10199999999999999</v>
      </c>
      <c r="DP16" s="216">
        <v>9.8000000000000004E-2</v>
      </c>
      <c r="DQ16" s="216">
        <v>9.4E-2</v>
      </c>
      <c r="DR16" s="216">
        <v>9.0999999999999998E-2</v>
      </c>
      <c r="DS16" s="216">
        <v>8.6999999999999994E-2</v>
      </c>
      <c r="DT16" s="216">
        <v>8.3000000000000004E-2</v>
      </c>
      <c r="DU16" s="216">
        <v>7.8E-2</v>
      </c>
      <c r="DV16" s="216">
        <v>7.3999999999999996E-2</v>
      </c>
      <c r="DW16" s="216">
        <v>7.0000000000000007E-2</v>
      </c>
      <c r="DX16" s="216">
        <v>6.4000000000000001E-2</v>
      </c>
      <c r="DY16" s="216">
        <v>5.8999999999999997E-2</v>
      </c>
      <c r="DZ16" s="216">
        <v>5.1999999999999998E-2</v>
      </c>
      <c r="EA16" s="216">
        <v>4.4999999999999998E-2</v>
      </c>
      <c r="EB16" s="234">
        <v>4.4999999999999998E-2</v>
      </c>
    </row>
    <row r="17" spans="1:132" ht="15">
      <c r="A17" s="176" t="s">
        <v>56</v>
      </c>
      <c r="B17" s="180">
        <f t="shared" si="2"/>
        <v>206000</v>
      </c>
      <c r="C17" s="180">
        <v>235</v>
      </c>
      <c r="D17" s="180">
        <v>410</v>
      </c>
      <c r="E17" s="219">
        <v>1.05</v>
      </c>
      <c r="F17" s="17"/>
      <c r="G17" s="17"/>
      <c r="H17" s="17"/>
      <c r="I17" s="17"/>
      <c r="AV17" s="92">
        <v>590</v>
      </c>
      <c r="AW17" s="92">
        <v>920</v>
      </c>
      <c r="AX17" s="157">
        <v>775</v>
      </c>
      <c r="CC17" s="196" t="s">
        <v>213</v>
      </c>
      <c r="CD17" s="201">
        <v>295</v>
      </c>
      <c r="CE17" s="201">
        <v>440</v>
      </c>
      <c r="CF17" s="196">
        <f t="shared" si="4"/>
        <v>295</v>
      </c>
      <c r="CG17" s="196">
        <f t="shared" si="5"/>
        <v>256.52173913043481</v>
      </c>
      <c r="CH17" s="196">
        <f t="shared" si="6"/>
        <v>295</v>
      </c>
      <c r="CI17" s="229">
        <f t="shared" si="7"/>
        <v>206.5</v>
      </c>
      <c r="CJ17" s="210">
        <v>200000</v>
      </c>
      <c r="DA17" s="214">
        <f t="shared" ref="DA17:DA23" si="10">DA16+1</f>
        <v>8</v>
      </c>
      <c r="DB17" s="216">
        <v>0.152</v>
      </c>
      <c r="DC17" s="216">
        <v>0.14599999999999999</v>
      </c>
      <c r="DD17" s="216">
        <v>0.13800000000000001</v>
      </c>
      <c r="DE17" s="216">
        <v>0.13300000000000001</v>
      </c>
      <c r="DF17" s="216">
        <v>0.128</v>
      </c>
      <c r="DG17" s="216">
        <v>0.121</v>
      </c>
      <c r="DH17" s="216">
        <v>0.11700000000000001</v>
      </c>
      <c r="DI17" s="216">
        <v>0.115</v>
      </c>
      <c r="DJ17" s="216">
        <v>0.113</v>
      </c>
      <c r="DK17" s="216">
        <v>0.106</v>
      </c>
      <c r="DL17" s="216">
        <v>0.1</v>
      </c>
      <c r="DM17" s="216">
        <v>9.5000000000000001E-2</v>
      </c>
      <c r="DN17" s="216">
        <v>9.0999999999999998E-2</v>
      </c>
      <c r="DO17" s="216">
        <v>8.6999999999999994E-2</v>
      </c>
      <c r="DP17" s="216">
        <v>8.3000000000000004E-2</v>
      </c>
      <c r="DQ17" s="216">
        <v>8.1000000000000003E-2</v>
      </c>
      <c r="DR17" s="216">
        <v>7.8E-2</v>
      </c>
      <c r="DS17" s="216">
        <v>7.5999999999999998E-2</v>
      </c>
      <c r="DT17" s="216">
        <v>7.3999999999999996E-2</v>
      </c>
      <c r="DU17" s="216">
        <v>6.8000000000000005E-2</v>
      </c>
      <c r="DV17" s="216">
        <v>6.5000000000000002E-2</v>
      </c>
      <c r="DW17" s="216">
        <v>6.2E-2</v>
      </c>
      <c r="DX17" s="216">
        <v>5.7000000000000002E-2</v>
      </c>
      <c r="DY17" s="216">
        <v>5.2999999999999999E-2</v>
      </c>
      <c r="DZ17" s="216">
        <v>4.7E-2</v>
      </c>
      <c r="EA17" s="216">
        <v>4.1000000000000002E-2</v>
      </c>
      <c r="EB17" s="234">
        <v>4.1000000000000002E-2</v>
      </c>
    </row>
    <row r="18" spans="1:132" ht="15">
      <c r="A18" s="176" t="s">
        <v>57</v>
      </c>
      <c r="B18" s="180">
        <f t="shared" si="2"/>
        <v>206000</v>
      </c>
      <c r="C18" s="180">
        <v>355</v>
      </c>
      <c r="D18" s="180">
        <v>470</v>
      </c>
      <c r="E18" s="219">
        <v>1.05</v>
      </c>
      <c r="F18" s="17"/>
      <c r="G18" s="17"/>
      <c r="H18" s="17"/>
      <c r="I18" s="17"/>
      <c r="AV18" s="92"/>
      <c r="AW18" s="92"/>
      <c r="AX18" s="157"/>
      <c r="CC18" s="196" t="s">
        <v>214</v>
      </c>
      <c r="CD18" s="201">
        <v>390</v>
      </c>
      <c r="CE18" s="201">
        <v>560</v>
      </c>
      <c r="CF18" s="196">
        <f t="shared" si="4"/>
        <v>390</v>
      </c>
      <c r="CG18" s="196">
        <f t="shared" si="5"/>
        <v>339.13043478260875</v>
      </c>
      <c r="CH18" s="196">
        <f t="shared" si="6"/>
        <v>390</v>
      </c>
      <c r="CI18" s="229">
        <f t="shared" si="7"/>
        <v>273</v>
      </c>
      <c r="CJ18" s="209">
        <v>200000</v>
      </c>
      <c r="DA18" s="214">
        <f t="shared" si="10"/>
        <v>9</v>
      </c>
      <c r="DB18" s="216">
        <v>0.122</v>
      </c>
      <c r="DC18" s="216">
        <v>0.11700000000000001</v>
      </c>
      <c r="DD18" s="216">
        <v>0.112</v>
      </c>
      <c r="DE18" s="216">
        <v>0.107</v>
      </c>
      <c r="DF18" s="216">
        <v>0.10299999999999999</v>
      </c>
      <c r="DG18" s="216">
        <v>0.1</v>
      </c>
      <c r="DH18" s="216">
        <v>9.8000000000000004E-2</v>
      </c>
      <c r="DI18" s="216">
        <v>9.6000000000000002E-2</v>
      </c>
      <c r="DJ18" s="216">
        <v>9.2999999999999999E-2</v>
      </c>
      <c r="DK18" s="216">
        <v>8.7999999999999995E-2</v>
      </c>
      <c r="DL18" s="216">
        <v>8.5000000000000006E-2</v>
      </c>
      <c r="DM18" s="216">
        <v>8.2000000000000003E-2</v>
      </c>
      <c r="DN18" s="216">
        <v>7.9000000000000001E-2</v>
      </c>
      <c r="DO18" s="216">
        <v>7.4999999999999997E-2</v>
      </c>
      <c r="DP18" s="216">
        <v>7.1999999999999995E-2</v>
      </c>
      <c r="DQ18" s="216">
        <v>6.9000000000000006E-2</v>
      </c>
      <c r="DR18" s="216">
        <v>6.6000000000000003E-2</v>
      </c>
      <c r="DS18" s="216">
        <v>6.5000000000000002E-2</v>
      </c>
      <c r="DT18" s="216">
        <v>6.4000000000000001E-2</v>
      </c>
      <c r="DU18" s="216">
        <v>6.0999999999999999E-2</v>
      </c>
      <c r="DV18" s="216">
        <v>5.8000000000000003E-2</v>
      </c>
      <c r="DW18" s="216">
        <v>5.5E-2</v>
      </c>
      <c r="DX18" s="216">
        <v>5.0999999999999997E-2</v>
      </c>
      <c r="DY18" s="216">
        <v>4.8000000000000001E-2</v>
      </c>
      <c r="DZ18" s="216">
        <v>4.2999999999999997E-2</v>
      </c>
      <c r="EA18" s="216">
        <v>3.7999999999999999E-2</v>
      </c>
      <c r="EB18" s="234">
        <v>3.7999999999999999E-2</v>
      </c>
    </row>
    <row r="19" spans="1:132" ht="15">
      <c r="A19" s="176" t="s">
        <v>58</v>
      </c>
      <c r="B19" s="180">
        <f t="shared" si="2"/>
        <v>206000</v>
      </c>
      <c r="C19" s="180">
        <v>345</v>
      </c>
      <c r="D19" s="180">
        <v>470</v>
      </c>
      <c r="E19" s="219">
        <v>1.05</v>
      </c>
      <c r="F19" s="17"/>
      <c r="G19" s="17"/>
      <c r="H19" s="17"/>
      <c r="I19" s="17"/>
      <c r="AV19" s="92"/>
      <c r="AW19" s="92"/>
      <c r="AX19" s="157"/>
      <c r="CC19" s="196" t="s">
        <v>215</v>
      </c>
      <c r="CD19" s="201">
        <v>490</v>
      </c>
      <c r="CE19" s="201">
        <v>620</v>
      </c>
      <c r="CF19" s="196">
        <f t="shared" si="4"/>
        <v>490</v>
      </c>
      <c r="CG19" s="196">
        <f t="shared" si="5"/>
        <v>426.08695652173918</v>
      </c>
      <c r="CH19" s="196">
        <f t="shared" si="6"/>
        <v>490</v>
      </c>
      <c r="CI19" s="229">
        <f t="shared" si="7"/>
        <v>343</v>
      </c>
      <c r="CJ19" s="210">
        <v>200000</v>
      </c>
      <c r="DA19" s="214">
        <f t="shared" si="10"/>
        <v>10</v>
      </c>
      <c r="DB19" s="216">
        <v>0.1</v>
      </c>
      <c r="DC19" s="216">
        <v>9.7000000000000003E-2</v>
      </c>
      <c r="DD19" s="216">
        <v>9.2999999999999999E-2</v>
      </c>
      <c r="DE19" s="216">
        <v>9.0999999999999998E-2</v>
      </c>
      <c r="DF19" s="216">
        <v>0.09</v>
      </c>
      <c r="DG19" s="216">
        <v>8.5000000000000006E-2</v>
      </c>
      <c r="DH19" s="216">
        <v>8.1000000000000003E-2</v>
      </c>
      <c r="DI19" s="216">
        <v>0.08</v>
      </c>
      <c r="DJ19" s="216">
        <v>7.9000000000000001E-2</v>
      </c>
      <c r="DK19" s="216">
        <v>7.4999999999999997E-2</v>
      </c>
      <c r="DL19" s="216">
        <v>7.1999999999999995E-2</v>
      </c>
      <c r="DM19" s="216">
        <v>7.0000000000000007E-2</v>
      </c>
      <c r="DN19" s="216">
        <v>6.9000000000000006E-2</v>
      </c>
      <c r="DO19" s="216">
        <v>6.5000000000000002E-2</v>
      </c>
      <c r="DP19" s="216">
        <v>6.2E-2</v>
      </c>
      <c r="DQ19" s="216">
        <v>0.06</v>
      </c>
      <c r="DR19" s="216">
        <v>5.8999999999999997E-2</v>
      </c>
      <c r="DS19" s="216">
        <v>5.8000000000000003E-2</v>
      </c>
      <c r="DT19" s="216">
        <v>5.7000000000000002E-2</v>
      </c>
      <c r="DU19" s="216">
        <v>5.5E-2</v>
      </c>
      <c r="DV19" s="216">
        <v>5.1999999999999998E-2</v>
      </c>
      <c r="DW19" s="216">
        <v>4.9000000000000002E-2</v>
      </c>
      <c r="DX19" s="216">
        <v>4.5999999999999999E-2</v>
      </c>
      <c r="DY19" s="216">
        <v>4.2999999999999997E-2</v>
      </c>
      <c r="DZ19" s="216">
        <v>3.9E-2</v>
      </c>
      <c r="EA19" s="216">
        <v>3.5000000000000003E-2</v>
      </c>
      <c r="EB19" s="234">
        <v>3.5000000000000003E-2</v>
      </c>
    </row>
    <row r="20" spans="1:132" ht="15">
      <c r="A20" s="176" t="s">
        <v>59</v>
      </c>
      <c r="B20" s="180">
        <f t="shared" si="2"/>
        <v>206000</v>
      </c>
      <c r="C20" s="180">
        <v>335</v>
      </c>
      <c r="D20" s="180">
        <v>470</v>
      </c>
      <c r="E20" s="219">
        <v>1.05</v>
      </c>
      <c r="F20" s="17"/>
      <c r="G20" s="17"/>
      <c r="H20" s="17"/>
      <c r="I20" s="17"/>
      <c r="AV20" s="92"/>
      <c r="AW20" s="92"/>
      <c r="AX20" s="157"/>
      <c r="CC20" s="197"/>
      <c r="CD20" s="202"/>
      <c r="CE20" s="202"/>
      <c r="CF20" s="198"/>
      <c r="CG20" s="198"/>
      <c r="CH20" s="198"/>
      <c r="CI20" s="230"/>
      <c r="CJ20" s="211"/>
      <c r="DA20" s="214">
        <f t="shared" si="10"/>
        <v>11</v>
      </c>
      <c r="DB20" s="216">
        <v>8.3000000000000004E-2</v>
      </c>
      <c r="DC20" s="216">
        <v>7.9000000000000001E-2</v>
      </c>
      <c r="DD20" s="216">
        <v>7.6999999999999999E-2</v>
      </c>
      <c r="DE20" s="216">
        <v>7.5999999999999998E-2</v>
      </c>
      <c r="DF20" s="216">
        <v>7.4999999999999997E-2</v>
      </c>
      <c r="DG20" s="216">
        <v>7.2999999999999995E-2</v>
      </c>
      <c r="DH20" s="216">
        <v>7.0999999999999994E-2</v>
      </c>
      <c r="DI20" s="216">
        <v>6.9000000000000006E-2</v>
      </c>
      <c r="DJ20" s="216">
        <v>6.8000000000000005E-2</v>
      </c>
      <c r="DK20" s="216">
        <v>6.3E-2</v>
      </c>
      <c r="DL20" s="216">
        <v>6.2E-2</v>
      </c>
      <c r="DM20" s="216">
        <v>6.0999999999999999E-2</v>
      </c>
      <c r="DN20" s="216">
        <v>0.06</v>
      </c>
      <c r="DO20" s="216">
        <v>5.7000000000000002E-2</v>
      </c>
      <c r="DP20" s="216">
        <v>5.5E-2</v>
      </c>
      <c r="DQ20" s="216">
        <v>5.2999999999999999E-2</v>
      </c>
      <c r="DR20" s="216">
        <v>5.1999999999999998E-2</v>
      </c>
      <c r="DS20" s="216">
        <v>5.0999999999999997E-2</v>
      </c>
      <c r="DT20" s="216">
        <v>0.05</v>
      </c>
      <c r="DU20" s="216">
        <v>4.8000000000000001E-2</v>
      </c>
      <c r="DV20" s="216">
        <v>4.5999999999999999E-2</v>
      </c>
      <c r="DW20" s="216">
        <v>4.3999999999999997E-2</v>
      </c>
      <c r="DX20" s="216">
        <v>0.04</v>
      </c>
      <c r="DY20" s="216">
        <v>3.7999999999999999E-2</v>
      </c>
      <c r="DZ20" s="216">
        <v>3.5000000000000003E-2</v>
      </c>
      <c r="EA20" s="216">
        <v>3.2000000000000001E-2</v>
      </c>
      <c r="EB20" s="234">
        <v>3.2000000000000001E-2</v>
      </c>
    </row>
    <row r="21" spans="1:132" ht="15">
      <c r="A21" s="176" t="s">
        <v>60</v>
      </c>
      <c r="B21" s="180">
        <f t="shared" si="2"/>
        <v>206000</v>
      </c>
      <c r="C21" s="180">
        <v>325</v>
      </c>
      <c r="D21" s="180">
        <v>470</v>
      </c>
      <c r="E21" s="219">
        <v>1.05</v>
      </c>
      <c r="F21" s="17"/>
      <c r="G21" s="17"/>
      <c r="H21" s="17"/>
      <c r="I21" s="17"/>
      <c r="AV21" s="92"/>
      <c r="AW21" s="92"/>
      <c r="AX21" s="157"/>
      <c r="CC21" s="197"/>
      <c r="CD21" s="202"/>
      <c r="CE21" s="202"/>
      <c r="CF21" s="198"/>
      <c r="CG21" s="198"/>
      <c r="CH21" s="198"/>
      <c r="CI21" s="230"/>
      <c r="CJ21" s="211"/>
      <c r="DA21" s="214">
        <f t="shared" si="10"/>
        <v>12</v>
      </c>
      <c r="DB21" s="216">
        <v>6.9000000000000006E-2</v>
      </c>
      <c r="DC21" s="216">
        <v>6.7000000000000004E-2</v>
      </c>
      <c r="DD21" s="216">
        <v>6.4000000000000001E-2</v>
      </c>
      <c r="DE21" s="216">
        <v>6.3E-2</v>
      </c>
      <c r="DF21" s="216">
        <v>6.2E-2</v>
      </c>
      <c r="DG21" s="216">
        <v>0.06</v>
      </c>
      <c r="DH21" s="216">
        <v>5.8999999999999997E-2</v>
      </c>
      <c r="DI21" s="216">
        <v>5.8999999999999997E-2</v>
      </c>
      <c r="DJ21" s="216">
        <v>5.8000000000000003E-2</v>
      </c>
      <c r="DK21" s="216">
        <v>5.5E-2</v>
      </c>
      <c r="DL21" s="216">
        <v>5.3999999999999999E-2</v>
      </c>
      <c r="DM21" s="216">
        <v>5.2999999999999999E-2</v>
      </c>
      <c r="DN21" s="216">
        <v>5.1999999999999998E-2</v>
      </c>
      <c r="DO21" s="216">
        <v>5.0999999999999997E-2</v>
      </c>
      <c r="DP21" s="216">
        <v>0.05</v>
      </c>
      <c r="DQ21" s="216">
        <v>4.9000000000000002E-2</v>
      </c>
      <c r="DR21" s="216">
        <v>4.8000000000000001E-2</v>
      </c>
      <c r="DS21" s="216">
        <v>4.7E-2</v>
      </c>
      <c r="DT21" s="216">
        <v>4.5999999999999999E-2</v>
      </c>
      <c r="DU21" s="216">
        <v>4.3999999999999997E-2</v>
      </c>
      <c r="DV21" s="216">
        <v>4.2000000000000003E-2</v>
      </c>
      <c r="DW21" s="216">
        <v>0.04</v>
      </c>
      <c r="DX21" s="216">
        <v>3.6999999999999998E-2</v>
      </c>
      <c r="DY21" s="216">
        <v>3.5000000000000003E-2</v>
      </c>
      <c r="DZ21" s="216">
        <v>3.2000000000000001E-2</v>
      </c>
      <c r="EA21" s="216">
        <v>2.9000000000000001E-2</v>
      </c>
      <c r="EB21" s="234">
        <v>2.9000000000000001E-2</v>
      </c>
    </row>
    <row r="22" spans="1:132" ht="15">
      <c r="A22" s="176" t="s">
        <v>61</v>
      </c>
      <c r="B22" s="180">
        <f t="shared" si="2"/>
        <v>206000</v>
      </c>
      <c r="C22" s="180">
        <v>315</v>
      </c>
      <c r="D22" s="180">
        <v>470</v>
      </c>
      <c r="E22" s="219">
        <v>1.05</v>
      </c>
      <c r="F22" s="17"/>
      <c r="G22" s="17"/>
      <c r="H22" s="17"/>
      <c r="I22" s="17"/>
      <c r="AV22" s="92"/>
      <c r="AW22" s="92"/>
      <c r="AX22" s="157"/>
      <c r="CC22" s="198"/>
      <c r="CD22" s="203"/>
      <c r="CE22" s="203"/>
      <c r="CF22" s="198"/>
      <c r="CG22" s="198"/>
      <c r="CH22" s="198"/>
      <c r="CI22" s="230"/>
      <c r="CJ22" s="211"/>
      <c r="DA22" s="214">
        <f t="shared" si="10"/>
        <v>13</v>
      </c>
      <c r="DB22" s="216">
        <v>6.2E-2</v>
      </c>
      <c r="DC22" s="216">
        <v>6.0999999999999999E-2</v>
      </c>
      <c r="DD22" s="216">
        <v>5.3999999999999999E-2</v>
      </c>
      <c r="DE22" s="216">
        <v>5.2999999999999999E-2</v>
      </c>
      <c r="DF22" s="216">
        <v>5.1999999999999998E-2</v>
      </c>
      <c r="DG22" s="216">
        <v>5.0999999999999997E-2</v>
      </c>
      <c r="DH22" s="216">
        <v>5.0999999999999997E-2</v>
      </c>
      <c r="DI22" s="216">
        <v>0.05</v>
      </c>
      <c r="DJ22" s="216">
        <v>4.9000000000000002E-2</v>
      </c>
      <c r="DK22" s="216">
        <v>4.9000000000000002E-2</v>
      </c>
      <c r="DL22" s="216">
        <v>4.8000000000000001E-2</v>
      </c>
      <c r="DM22" s="216">
        <v>4.8000000000000001E-2</v>
      </c>
      <c r="DN22" s="216">
        <v>4.7E-2</v>
      </c>
      <c r="DO22" s="216">
        <v>4.4999999999999998E-2</v>
      </c>
      <c r="DP22" s="216">
        <v>4.3999999999999997E-2</v>
      </c>
      <c r="DQ22" s="216">
        <v>4.2999999999999997E-2</v>
      </c>
      <c r="DR22" s="216">
        <v>4.2000000000000003E-2</v>
      </c>
      <c r="DS22" s="216">
        <v>4.1000000000000002E-2</v>
      </c>
      <c r="DT22" s="216">
        <v>4.1000000000000002E-2</v>
      </c>
      <c r="DU22" s="216">
        <v>3.9E-2</v>
      </c>
      <c r="DV22" s="216">
        <v>3.7999999999999999E-2</v>
      </c>
      <c r="DW22" s="216">
        <v>3.6999999999999998E-2</v>
      </c>
      <c r="DX22" s="216">
        <v>3.5000000000000003E-2</v>
      </c>
      <c r="DY22" s="216">
        <v>3.3000000000000002E-2</v>
      </c>
      <c r="DZ22" s="216">
        <v>0.03</v>
      </c>
      <c r="EA22" s="216">
        <v>2.7E-2</v>
      </c>
      <c r="EB22" s="234">
        <v>2.7E-2</v>
      </c>
    </row>
    <row r="23" spans="1:132" ht="15">
      <c r="A23" s="176" t="s">
        <v>216</v>
      </c>
      <c r="B23" s="180">
        <f t="shared" si="2"/>
        <v>206000</v>
      </c>
      <c r="C23" s="180">
        <v>205</v>
      </c>
      <c r="D23" s="180">
        <v>330</v>
      </c>
      <c r="E23" s="219">
        <v>1.05</v>
      </c>
      <c r="F23" s="17"/>
      <c r="G23" s="17"/>
      <c r="H23" s="17"/>
      <c r="I23" s="17"/>
      <c r="AV23" s="95"/>
      <c r="AW23" s="95"/>
      <c r="AX23" s="164"/>
      <c r="CC23" s="198"/>
      <c r="CD23" s="203"/>
      <c r="CE23" s="203"/>
      <c r="CF23" s="198"/>
      <c r="CG23" s="198"/>
      <c r="CH23" s="198"/>
      <c r="CI23" s="230"/>
      <c r="CJ23" s="211"/>
      <c r="DA23" s="214">
        <f t="shared" si="10"/>
        <v>14</v>
      </c>
      <c r="DB23" s="216">
        <v>5.1999999999999998E-2</v>
      </c>
      <c r="DC23" s="216">
        <v>4.9000000000000002E-2</v>
      </c>
      <c r="DD23" s="216">
        <v>4.9000000000000002E-2</v>
      </c>
      <c r="DE23" s="216">
        <v>4.8000000000000001E-2</v>
      </c>
      <c r="DF23" s="216">
        <v>4.8000000000000001E-2</v>
      </c>
      <c r="DG23" s="216">
        <v>4.7E-2</v>
      </c>
      <c r="DH23" s="216">
        <v>4.7E-2</v>
      </c>
      <c r="DI23" s="216">
        <v>4.5999999999999999E-2</v>
      </c>
      <c r="DJ23" s="216">
        <v>4.4999999999999998E-2</v>
      </c>
      <c r="DK23" s="216">
        <v>4.3999999999999997E-2</v>
      </c>
      <c r="DL23" s="216">
        <v>4.2999999999999997E-2</v>
      </c>
      <c r="DM23" s="216">
        <v>4.2999999999999997E-2</v>
      </c>
      <c r="DN23" s="216">
        <v>4.2000000000000003E-2</v>
      </c>
      <c r="DO23" s="216">
        <v>4.1000000000000002E-2</v>
      </c>
      <c r="DP23" s="216">
        <v>0.04</v>
      </c>
      <c r="DQ23" s="216">
        <v>0.04</v>
      </c>
      <c r="DR23" s="216">
        <v>3.9E-2</v>
      </c>
      <c r="DS23" s="216">
        <v>3.9E-2</v>
      </c>
      <c r="DT23" s="216">
        <v>3.7999999999999999E-2</v>
      </c>
      <c r="DU23" s="216">
        <v>3.6999999999999998E-2</v>
      </c>
      <c r="DV23" s="216">
        <v>3.5999999999999997E-2</v>
      </c>
      <c r="DW23" s="216">
        <v>3.5999999999999997E-2</v>
      </c>
      <c r="DX23" s="216">
        <v>3.4000000000000002E-2</v>
      </c>
      <c r="DY23" s="216">
        <v>3.2000000000000001E-2</v>
      </c>
      <c r="DZ23" s="216">
        <v>2.9000000000000001E-2</v>
      </c>
      <c r="EA23" s="216">
        <v>2.5999999999999999E-2</v>
      </c>
      <c r="EB23" s="234">
        <v>2.5999999999999999E-2</v>
      </c>
    </row>
    <row r="24" spans="1:132" ht="15">
      <c r="A24" s="176" t="s">
        <v>217</v>
      </c>
      <c r="B24" s="180">
        <f t="shared" si="2"/>
        <v>206000</v>
      </c>
      <c r="C24" s="180">
        <v>195</v>
      </c>
      <c r="D24" s="180">
        <v>330</v>
      </c>
      <c r="E24" s="219">
        <v>1.05</v>
      </c>
      <c r="F24" s="17"/>
      <c r="G24" s="17"/>
      <c r="H24" s="17"/>
      <c r="I24" s="17"/>
      <c r="CC24" s="198"/>
      <c r="CD24" s="203"/>
      <c r="CE24" s="203"/>
      <c r="CF24" s="198"/>
      <c r="CG24" s="198"/>
      <c r="CH24" s="198"/>
      <c r="CI24" s="230"/>
      <c r="CJ24" s="211"/>
      <c r="DA24" s="215">
        <v>10000</v>
      </c>
      <c r="DB24" s="217">
        <v>5.1999999999999998E-2</v>
      </c>
      <c r="DC24" s="217">
        <v>4.9000000000000002E-2</v>
      </c>
      <c r="DD24" s="217">
        <v>4.9000000000000002E-2</v>
      </c>
      <c r="DE24" s="217">
        <v>4.8000000000000001E-2</v>
      </c>
      <c r="DF24" s="217">
        <v>4.8000000000000001E-2</v>
      </c>
      <c r="DG24" s="217">
        <v>4.7E-2</v>
      </c>
      <c r="DH24" s="217">
        <v>4.7E-2</v>
      </c>
      <c r="DI24" s="217">
        <v>4.5999999999999999E-2</v>
      </c>
      <c r="DJ24" s="217">
        <v>4.4999999999999998E-2</v>
      </c>
      <c r="DK24" s="217">
        <v>4.3999999999999997E-2</v>
      </c>
      <c r="DL24" s="217">
        <v>4.2999999999999997E-2</v>
      </c>
      <c r="DM24" s="217">
        <v>4.2999999999999997E-2</v>
      </c>
      <c r="DN24" s="217">
        <v>4.2000000000000003E-2</v>
      </c>
      <c r="DO24" s="217">
        <v>4.1000000000000002E-2</v>
      </c>
      <c r="DP24" s="217">
        <v>0.04</v>
      </c>
      <c r="DQ24" s="217">
        <v>0.04</v>
      </c>
      <c r="DR24" s="217">
        <v>3.9E-2</v>
      </c>
      <c r="DS24" s="217">
        <v>3.9E-2</v>
      </c>
      <c r="DT24" s="217">
        <v>3.7999999999999999E-2</v>
      </c>
      <c r="DU24" s="217">
        <v>3.6999999999999998E-2</v>
      </c>
      <c r="DV24" s="217">
        <v>3.5999999999999997E-2</v>
      </c>
      <c r="DW24" s="217">
        <v>3.5999999999999997E-2</v>
      </c>
      <c r="DX24" s="217">
        <v>3.4000000000000002E-2</v>
      </c>
      <c r="DY24" s="217">
        <v>3.2000000000000001E-2</v>
      </c>
      <c r="DZ24" s="217">
        <v>2.9000000000000001E-2</v>
      </c>
      <c r="EA24" s="217">
        <v>2.5999999999999999E-2</v>
      </c>
      <c r="EB24" s="235">
        <v>2.5999999999999999E-2</v>
      </c>
    </row>
    <row r="25" spans="1:132">
      <c r="A25" s="176" t="s">
        <v>218</v>
      </c>
      <c r="B25" s="180">
        <f t="shared" si="2"/>
        <v>206000</v>
      </c>
      <c r="C25" s="180">
        <v>245</v>
      </c>
      <c r="D25" s="180">
        <v>400</v>
      </c>
      <c r="E25" s="219">
        <v>1.05</v>
      </c>
      <c r="F25" s="17"/>
      <c r="G25" s="17"/>
      <c r="H25" s="17"/>
      <c r="I25" s="17"/>
      <c r="CC25" s="198"/>
      <c r="CD25" s="203"/>
      <c r="CE25" s="203"/>
      <c r="CF25" s="198"/>
      <c r="CG25" s="198"/>
      <c r="CH25" s="198"/>
      <c r="CI25" s="230"/>
      <c r="CJ25" s="211"/>
    </row>
    <row r="26" spans="1:132">
      <c r="A26" s="176" t="s">
        <v>219</v>
      </c>
      <c r="B26" s="180">
        <f t="shared" si="2"/>
        <v>206000</v>
      </c>
      <c r="C26" s="180">
        <v>235</v>
      </c>
      <c r="D26" s="180">
        <v>400</v>
      </c>
      <c r="E26" s="219">
        <v>1.05</v>
      </c>
      <c r="F26" s="17"/>
      <c r="G26" s="17"/>
      <c r="H26" s="17"/>
      <c r="I26" s="17"/>
      <c r="CC26" s="198"/>
      <c r="CD26" s="203"/>
      <c r="CE26" s="203"/>
      <c r="CF26" s="198"/>
      <c r="CG26" s="198"/>
      <c r="CH26" s="198"/>
      <c r="CI26" s="230"/>
      <c r="CJ26" s="211"/>
    </row>
    <row r="27" spans="1:132">
      <c r="A27" s="176" t="s">
        <v>220</v>
      </c>
      <c r="B27" s="180">
        <f t="shared" si="2"/>
        <v>206000</v>
      </c>
      <c r="C27" s="180">
        <v>285</v>
      </c>
      <c r="D27" s="180">
        <v>490</v>
      </c>
      <c r="E27" s="219">
        <v>1.05</v>
      </c>
      <c r="F27" s="17"/>
      <c r="G27" s="17"/>
      <c r="H27" s="17"/>
      <c r="I27" s="17"/>
      <c r="CC27" s="198"/>
      <c r="CD27" s="203"/>
      <c r="CE27" s="203"/>
      <c r="CF27" s="198"/>
      <c r="CG27" s="198"/>
      <c r="CH27" s="198"/>
      <c r="CI27" s="230"/>
      <c r="CJ27" s="211"/>
    </row>
    <row r="28" spans="1:132">
      <c r="A28" s="176" t="s">
        <v>221</v>
      </c>
      <c r="B28" s="180">
        <f t="shared" si="2"/>
        <v>206000</v>
      </c>
      <c r="C28" s="180">
        <v>275</v>
      </c>
      <c r="D28" s="180">
        <v>490</v>
      </c>
      <c r="E28" s="219">
        <v>1.05</v>
      </c>
      <c r="F28" s="17"/>
      <c r="G28" s="17"/>
      <c r="H28" s="17"/>
      <c r="I28" s="17"/>
      <c r="CC28" s="198"/>
      <c r="CD28" s="203"/>
      <c r="CE28" s="203"/>
      <c r="CF28" s="198"/>
      <c r="CG28" s="198"/>
      <c r="CH28" s="198"/>
      <c r="CI28" s="230"/>
      <c r="CJ28" s="211"/>
    </row>
    <row r="29" spans="1:132">
      <c r="A29" s="176" t="s">
        <v>222</v>
      </c>
      <c r="B29" s="180">
        <f t="shared" si="2"/>
        <v>206000</v>
      </c>
      <c r="C29" s="180">
        <v>400</v>
      </c>
      <c r="D29" s="180">
        <v>540</v>
      </c>
      <c r="E29" s="219">
        <v>1.05</v>
      </c>
      <c r="F29" s="17"/>
      <c r="G29" s="17"/>
      <c r="H29" s="17"/>
      <c r="I29" s="17"/>
      <c r="CC29" s="198"/>
      <c r="CD29" s="203"/>
      <c r="CE29" s="203"/>
      <c r="CF29" s="198"/>
      <c r="CG29" s="198"/>
      <c r="CH29" s="198"/>
      <c r="CI29" s="230"/>
      <c r="CJ29" s="211"/>
    </row>
    <row r="30" spans="1:132">
      <c r="A30" s="176" t="s">
        <v>223</v>
      </c>
      <c r="B30" s="180">
        <f t="shared" si="2"/>
        <v>206000</v>
      </c>
      <c r="C30" s="180">
        <v>390</v>
      </c>
      <c r="D30" s="180">
        <v>540</v>
      </c>
      <c r="E30" s="219">
        <v>1.05</v>
      </c>
      <c r="CC30" s="198"/>
      <c r="CD30" s="203"/>
      <c r="CE30" s="203"/>
      <c r="CF30" s="198"/>
      <c r="CG30" s="198"/>
      <c r="CH30" s="198"/>
      <c r="CI30" s="230"/>
      <c r="CJ30" s="211"/>
    </row>
    <row r="31" spans="1:132">
      <c r="A31" s="176" t="s">
        <v>278</v>
      </c>
      <c r="B31" s="180">
        <f t="shared" si="2"/>
        <v>206000</v>
      </c>
      <c r="C31" s="180">
        <v>220</v>
      </c>
      <c r="D31" s="180">
        <v>340</v>
      </c>
      <c r="E31" s="219">
        <v>1.05</v>
      </c>
      <c r="CC31" s="198"/>
      <c r="CD31" s="203"/>
      <c r="CE31" s="203"/>
      <c r="CF31" s="198"/>
      <c r="CG31" s="198"/>
      <c r="CH31" s="198"/>
      <c r="CI31" s="230"/>
      <c r="CJ31" s="211"/>
    </row>
    <row r="32" spans="1:132">
      <c r="A32" s="176" t="s">
        <v>279</v>
      </c>
      <c r="B32" s="180">
        <f t="shared" si="2"/>
        <v>206000</v>
      </c>
      <c r="C32" s="180">
        <v>240</v>
      </c>
      <c r="D32" s="180">
        <v>380</v>
      </c>
      <c r="E32" s="219">
        <v>1.05</v>
      </c>
      <c r="CC32" s="198"/>
      <c r="CD32" s="203"/>
      <c r="CE32" s="203"/>
      <c r="CF32" s="198"/>
      <c r="CG32" s="198"/>
      <c r="CH32" s="198"/>
      <c r="CI32" s="230"/>
      <c r="CJ32" s="211"/>
    </row>
    <row r="33" spans="1:88">
      <c r="A33" s="177" t="s">
        <v>280</v>
      </c>
      <c r="B33" s="181">
        <f t="shared" si="2"/>
        <v>206000</v>
      </c>
      <c r="C33" s="181">
        <v>260</v>
      </c>
      <c r="D33" s="181">
        <v>420</v>
      </c>
      <c r="E33" s="220">
        <v>1.05</v>
      </c>
      <c r="CC33" s="199"/>
      <c r="CD33" s="204"/>
      <c r="CE33" s="204"/>
      <c r="CF33" s="199"/>
      <c r="CG33" s="199"/>
      <c r="CH33" s="199"/>
      <c r="CI33" s="231"/>
      <c r="CJ33" s="212"/>
    </row>
    <row r="34" spans="1:88">
      <c r="CC34" s="170"/>
      <c r="CD34" s="172"/>
      <c r="CE34" s="172"/>
      <c r="CF34" s="170"/>
      <c r="CG34" s="170"/>
      <c r="CH34" s="170"/>
      <c r="CI34" s="170"/>
      <c r="CJ34" s="171"/>
    </row>
  </sheetData>
  <mergeCells count="13">
    <mergeCell ref="BI1:BJ4"/>
    <mergeCell ref="K1:O2"/>
    <mergeCell ref="V1:Z2"/>
    <mergeCell ref="AV1:AX1"/>
    <mergeCell ref="AZ1:BB1"/>
    <mergeCell ref="BK1:BK3"/>
    <mergeCell ref="BL1:BO1"/>
    <mergeCell ref="BP1:BQ2"/>
    <mergeCell ref="CC1:CJ1"/>
    <mergeCell ref="BL2:BM2"/>
    <mergeCell ref="BN2:BO2"/>
    <mergeCell ref="CC2:CC3"/>
    <mergeCell ref="BP3:BP4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  <pageSetUpPr fitToPage="1"/>
  </sheetPr>
  <dimension ref="B1:FZ703"/>
  <sheetViews>
    <sheetView showGridLines="0" tabSelected="1" topLeftCell="A57" zoomScale="130" zoomScaleNormal="130" zoomScaleSheetLayoutView="100" workbookViewId="0">
      <selection activeCell="DA26" sqref="DA26:FZ26"/>
    </sheetView>
  </sheetViews>
  <sheetFormatPr defaultColWidth="7.28515625" defaultRowHeight="12.75"/>
  <cols>
    <col min="1" max="1" width="1.5703125" style="1" customWidth="1"/>
    <col min="2" max="6" width="6.7109375" style="1" customWidth="1"/>
    <col min="7" max="7" width="2.85546875" style="2" customWidth="1"/>
    <col min="8" max="9" width="7.28515625" style="1"/>
    <col min="10" max="10" width="8.42578125" style="1" bestFit="1" customWidth="1"/>
    <col min="11" max="11" width="7.28515625" style="1"/>
    <col min="12" max="12" width="7.28515625" style="1" customWidth="1"/>
    <col min="13" max="13" width="7.28515625" style="1"/>
    <col min="14" max="14" width="8.5703125" style="1" customWidth="1"/>
    <col min="15" max="15" width="7.7109375" style="1" customWidth="1"/>
    <col min="16" max="16" width="8.140625" style="1" bestFit="1" customWidth="1"/>
    <col min="17" max="17" width="8.140625" style="1" customWidth="1"/>
    <col min="18" max="18" width="8.5703125" style="1" bestFit="1" customWidth="1"/>
    <col min="19" max="19" width="7.7109375" style="1" customWidth="1"/>
    <col min="20" max="20" width="10.42578125" style="1" customWidth="1"/>
    <col min="21" max="21" width="12.5703125" style="1" bestFit="1" customWidth="1"/>
    <col min="22" max="22" width="7.28515625" style="1" customWidth="1"/>
    <col min="23" max="25" width="7.28515625" style="1" hidden="1" customWidth="1"/>
    <col min="26" max="26" width="2.85546875" style="2" customWidth="1"/>
    <col min="27" max="29" width="5.28515625" style="28" customWidth="1"/>
    <col min="30" max="30" width="5.28515625" style="29" customWidth="1"/>
    <col min="31" max="34" width="5.28515625" style="30" customWidth="1"/>
    <col min="35" max="35" width="5.28515625" style="30" hidden="1" customWidth="1"/>
    <col min="36" max="36" width="13.7109375" style="30" hidden="1" customWidth="1"/>
    <col min="37" max="41" width="5.28515625" style="28" customWidth="1"/>
    <col min="42" max="42" width="17.5703125" style="28" hidden="1" customWidth="1"/>
    <col min="43" max="43" width="6.140625" style="28" customWidth="1"/>
    <col min="44" max="45" width="6.140625" style="36" customWidth="1"/>
    <col min="46" max="48" width="6.140625" style="36" hidden="1" customWidth="1"/>
    <col min="49" max="49" width="6.140625" style="36" customWidth="1"/>
    <col min="50" max="52" width="7.28515625" style="45" hidden="1" customWidth="1"/>
    <col min="53" max="59" width="4.5703125" style="27" customWidth="1"/>
    <col min="60" max="62" width="4.7109375" style="27" customWidth="1"/>
    <col min="63" max="63" width="5.42578125" style="5" bestFit="1" customWidth="1"/>
    <col min="64" max="64" width="6.42578125" style="5" customWidth="1"/>
    <col min="65" max="67" width="4.7109375" style="5" customWidth="1"/>
    <col min="68" max="68" width="8.140625" style="5" bestFit="1" customWidth="1"/>
    <col min="69" max="71" width="4.7109375" style="5" customWidth="1"/>
    <col min="72" max="72" width="6.140625" style="9" customWidth="1"/>
    <col min="73" max="73" width="6.140625" style="5" customWidth="1"/>
    <col min="74" max="77" width="4.7109375" style="5" customWidth="1"/>
    <col min="78" max="78" width="5.42578125" style="5" bestFit="1" customWidth="1"/>
    <col min="79" max="79" width="6" style="5" bestFit="1" customWidth="1"/>
    <col min="80" max="84" width="4.7109375" style="5" customWidth="1"/>
    <col min="85" max="103" width="7.28515625" style="1" hidden="1" customWidth="1"/>
    <col min="104" max="104" width="2.85546875" style="2" customWidth="1"/>
    <col min="105" max="107" width="5.28515625" style="28" customWidth="1"/>
    <col min="108" max="108" width="5.28515625" style="29" customWidth="1"/>
    <col min="109" max="113" width="5.28515625" style="30" hidden="1" customWidth="1"/>
    <col min="114" max="114" width="13.7109375" style="30" bestFit="1" customWidth="1"/>
    <col min="115" max="119" width="5.28515625" style="28" hidden="1" customWidth="1"/>
    <col min="120" max="120" width="17.5703125" style="28" customWidth="1"/>
    <col min="121" max="121" width="6.140625" style="28" customWidth="1"/>
    <col min="122" max="123" width="6.140625" style="36" customWidth="1"/>
    <col min="124" max="126" width="6.140625" style="36" hidden="1" customWidth="1"/>
    <col min="127" max="127" width="6.140625" style="36" customWidth="1"/>
    <col min="128" max="130" width="0" style="45" hidden="1" customWidth="1"/>
    <col min="131" max="137" width="4.5703125" style="27" hidden="1" customWidth="1"/>
    <col min="138" max="140" width="4.7109375" style="27" hidden="1" customWidth="1"/>
    <col min="141" max="141" width="5.42578125" style="5" hidden="1" customWidth="1"/>
    <col min="142" max="142" width="6.42578125" style="5" hidden="1" customWidth="1"/>
    <col min="143" max="144" width="4.7109375" style="5" customWidth="1"/>
    <col min="145" max="145" width="4.7109375" style="5" hidden="1" customWidth="1"/>
    <col min="146" max="146" width="8.140625" style="5" hidden="1" customWidth="1"/>
    <col min="147" max="147" width="4.7109375" style="5" hidden="1" customWidth="1"/>
    <col min="148" max="149" width="4.7109375" style="5" customWidth="1"/>
    <col min="150" max="151" width="6.140625" style="5" customWidth="1"/>
    <col min="152" max="155" width="4.7109375" style="5" hidden="1" customWidth="1"/>
    <col min="156" max="156" width="5.42578125" style="5" hidden="1" customWidth="1"/>
    <col min="157" max="157" width="6" style="5" hidden="1" customWidth="1"/>
    <col min="158" max="160" width="4.7109375" style="5" hidden="1" customWidth="1"/>
    <col min="161" max="161" width="4.7109375" style="5" customWidth="1"/>
    <col min="162" max="162" width="5.42578125" style="5" customWidth="1"/>
    <col min="163" max="181" width="7.28515625" style="1" hidden="1" customWidth="1"/>
    <col min="182" max="182" width="2.85546875" style="2" customWidth="1"/>
    <col min="183" max="16384" width="7.28515625" style="1"/>
  </cols>
  <sheetData>
    <row r="1" spans="2:182" ht="12.75" hidden="1" customHeight="1">
      <c r="AA1" s="10"/>
      <c r="AB1" s="10"/>
      <c r="AC1" s="10"/>
      <c r="AD1" s="26"/>
      <c r="AE1" s="6"/>
      <c r="AF1" s="6"/>
      <c r="AG1" s="6"/>
      <c r="AH1" s="6"/>
      <c r="AI1" s="6"/>
      <c r="AJ1" s="6"/>
      <c r="AK1" s="10"/>
      <c r="AL1" s="10"/>
      <c r="AM1" s="10"/>
      <c r="AN1" s="10"/>
      <c r="AO1" s="10"/>
      <c r="AP1" s="10"/>
      <c r="AQ1" s="10"/>
      <c r="AR1" s="45"/>
      <c r="AS1" s="45"/>
      <c r="AT1" s="45"/>
      <c r="AU1" s="45"/>
      <c r="AV1" s="45"/>
      <c r="AW1" s="45"/>
      <c r="DA1" s="10"/>
      <c r="DB1" s="10"/>
      <c r="DC1" s="10"/>
      <c r="DD1" s="26"/>
      <c r="DE1" s="6"/>
      <c r="DF1" s="6"/>
      <c r="DG1" s="6"/>
      <c r="DH1" s="6"/>
      <c r="DI1" s="6"/>
      <c r="DJ1" s="6"/>
      <c r="DK1" s="10"/>
      <c r="DL1" s="10"/>
      <c r="DM1" s="10"/>
      <c r="DN1" s="10"/>
      <c r="DO1" s="10"/>
      <c r="DP1" s="10"/>
      <c r="DQ1" s="10"/>
      <c r="DR1" s="45"/>
      <c r="DS1" s="45"/>
      <c r="DT1" s="45"/>
      <c r="DU1" s="45"/>
      <c r="DV1" s="45"/>
      <c r="DW1" s="45"/>
    </row>
    <row r="2" spans="2:182" ht="12.75" hidden="1" customHeight="1">
      <c r="AA2" s="10"/>
      <c r="AB2" s="10"/>
      <c r="AC2" s="10"/>
      <c r="AD2" s="26"/>
      <c r="AE2" s="6"/>
      <c r="AF2" s="6"/>
      <c r="AG2" s="6"/>
      <c r="AH2" s="6"/>
      <c r="AI2" s="6"/>
      <c r="AJ2" s="6"/>
      <c r="AK2" s="10"/>
      <c r="AL2" s="10"/>
      <c r="AM2" s="10"/>
      <c r="AN2" s="10"/>
      <c r="AO2" s="10"/>
      <c r="AP2" s="10"/>
      <c r="AQ2" s="10"/>
      <c r="AR2" s="45"/>
      <c r="AS2" s="45"/>
      <c r="AT2" s="45"/>
      <c r="AU2" s="45"/>
      <c r="AV2" s="45"/>
      <c r="AW2" s="45"/>
      <c r="DA2" s="10"/>
      <c r="DB2" s="10"/>
      <c r="DC2" s="10"/>
      <c r="DD2" s="26"/>
      <c r="DE2" s="6"/>
      <c r="DF2" s="6"/>
      <c r="DG2" s="6"/>
      <c r="DH2" s="6"/>
      <c r="DI2" s="6"/>
      <c r="DJ2" s="6"/>
      <c r="DK2" s="10"/>
      <c r="DL2" s="10"/>
      <c r="DM2" s="10"/>
      <c r="DN2" s="10"/>
      <c r="DO2" s="10"/>
      <c r="DP2" s="10"/>
      <c r="DQ2" s="10"/>
      <c r="DR2" s="45"/>
      <c r="DS2" s="45"/>
      <c r="DT2" s="45"/>
      <c r="DU2" s="45"/>
      <c r="DV2" s="45"/>
      <c r="DW2" s="45"/>
    </row>
    <row r="3" spans="2:182" ht="12.75" hidden="1" customHeight="1">
      <c r="AA3" s="10"/>
      <c r="AB3" s="10"/>
      <c r="AC3" s="10"/>
      <c r="AD3" s="26"/>
      <c r="AE3" s="6"/>
      <c r="AF3" s="6"/>
      <c r="AG3" s="6"/>
      <c r="AH3" s="6"/>
      <c r="AI3" s="6"/>
      <c r="AJ3" s="6"/>
      <c r="AK3" s="10"/>
      <c r="AL3" s="10"/>
      <c r="AM3" s="10"/>
      <c r="AN3" s="10"/>
      <c r="AO3" s="10"/>
      <c r="AP3" s="10"/>
      <c r="AQ3" s="10"/>
      <c r="AR3" s="45"/>
      <c r="AS3" s="45"/>
      <c r="AT3" s="45"/>
      <c r="AU3" s="45"/>
      <c r="AV3" s="45"/>
      <c r="AW3" s="45"/>
      <c r="DA3" s="10"/>
      <c r="DB3" s="10"/>
      <c r="DC3" s="10"/>
      <c r="DD3" s="26"/>
      <c r="DE3" s="6"/>
      <c r="DF3" s="6"/>
      <c r="DG3" s="6"/>
      <c r="DH3" s="6"/>
      <c r="DI3" s="6"/>
      <c r="DJ3" s="6"/>
      <c r="DK3" s="10"/>
      <c r="DL3" s="10"/>
      <c r="DM3" s="10"/>
      <c r="DN3" s="10"/>
      <c r="DO3" s="10"/>
      <c r="DP3" s="10"/>
      <c r="DQ3" s="10"/>
      <c r="DR3" s="45"/>
      <c r="DS3" s="45"/>
      <c r="DT3" s="45"/>
      <c r="DU3" s="45"/>
      <c r="DV3" s="45"/>
      <c r="DW3" s="45"/>
    </row>
    <row r="4" spans="2:182" ht="12.75" hidden="1" customHeight="1">
      <c r="AA4" s="10"/>
      <c r="AB4" s="10"/>
      <c r="AC4" s="10"/>
      <c r="AD4" s="26"/>
      <c r="AE4" s="6"/>
      <c r="AF4" s="6"/>
      <c r="AG4" s="6"/>
      <c r="AH4" s="6"/>
      <c r="AI4" s="6"/>
      <c r="AJ4" s="6"/>
      <c r="AK4" s="10"/>
      <c r="AL4" s="10"/>
      <c r="AM4" s="10"/>
      <c r="AN4" s="10"/>
      <c r="AO4" s="10"/>
      <c r="AP4" s="10"/>
      <c r="AQ4" s="10"/>
      <c r="AR4" s="45"/>
      <c r="AS4" s="45"/>
      <c r="AT4" s="45"/>
      <c r="AU4" s="45"/>
      <c r="AV4" s="45"/>
      <c r="AW4" s="45"/>
      <c r="DA4" s="10"/>
      <c r="DB4" s="10"/>
      <c r="DC4" s="10"/>
      <c r="DD4" s="26"/>
      <c r="DE4" s="6"/>
      <c r="DF4" s="6"/>
      <c r="DG4" s="6"/>
      <c r="DH4" s="6"/>
      <c r="DI4" s="6"/>
      <c r="DJ4" s="6"/>
      <c r="DK4" s="10"/>
      <c r="DL4" s="10"/>
      <c r="DM4" s="10"/>
      <c r="DN4" s="10"/>
      <c r="DO4" s="10"/>
      <c r="DP4" s="10"/>
      <c r="DQ4" s="10"/>
      <c r="DR4" s="45"/>
      <c r="DS4" s="45"/>
      <c r="DT4" s="45"/>
      <c r="DU4" s="45"/>
      <c r="DV4" s="45"/>
      <c r="DW4" s="45"/>
    </row>
    <row r="5" spans="2:182" ht="12.75" hidden="1" customHeight="1">
      <c r="AA5" s="10"/>
      <c r="AB5" s="10"/>
      <c r="AC5" s="10"/>
      <c r="AD5" s="26"/>
      <c r="AE5" s="6"/>
      <c r="AF5" s="6"/>
      <c r="AG5" s="6"/>
      <c r="AH5" s="6"/>
      <c r="AI5" s="6"/>
      <c r="AJ5" s="6"/>
      <c r="AK5" s="10"/>
      <c r="AL5" s="10"/>
      <c r="AM5" s="10"/>
      <c r="AN5" s="10"/>
      <c r="AO5" s="10"/>
      <c r="AP5" s="10"/>
      <c r="AQ5" s="10"/>
      <c r="AR5" s="45"/>
      <c r="AS5" s="45"/>
      <c r="AT5" s="45"/>
      <c r="AU5" s="45"/>
      <c r="AV5" s="45"/>
      <c r="AW5" s="45"/>
      <c r="DA5" s="10"/>
      <c r="DB5" s="10"/>
      <c r="DC5" s="10"/>
      <c r="DD5" s="26"/>
      <c r="DE5" s="6"/>
      <c r="DF5" s="6"/>
      <c r="DG5" s="6"/>
      <c r="DH5" s="6"/>
      <c r="DI5" s="6"/>
      <c r="DJ5" s="6"/>
      <c r="DK5" s="10"/>
      <c r="DL5" s="10"/>
      <c r="DM5" s="10"/>
      <c r="DN5" s="10"/>
      <c r="DO5" s="10"/>
      <c r="DP5" s="10"/>
      <c r="DQ5" s="10"/>
      <c r="DR5" s="45"/>
      <c r="DS5" s="45"/>
      <c r="DT5" s="45"/>
      <c r="DU5" s="45"/>
      <c r="DV5" s="45"/>
      <c r="DW5" s="45"/>
    </row>
    <row r="6" spans="2:182" ht="12.75" hidden="1" customHeight="1">
      <c r="AA6" s="10"/>
      <c r="AB6" s="10"/>
      <c r="AC6" s="10"/>
      <c r="AD6" s="26"/>
      <c r="AE6" s="6"/>
      <c r="AF6" s="6"/>
      <c r="AG6" s="6"/>
      <c r="AH6" s="6"/>
      <c r="AI6" s="6"/>
      <c r="AJ6" s="6"/>
      <c r="AK6" s="10"/>
      <c r="AL6" s="10"/>
      <c r="AM6" s="10"/>
      <c r="AN6" s="10"/>
      <c r="AO6" s="10"/>
      <c r="AP6" s="10"/>
      <c r="AQ6" s="10"/>
      <c r="AR6" s="45"/>
      <c r="AS6" s="45"/>
      <c r="AT6" s="45"/>
      <c r="AU6" s="45"/>
      <c r="AV6" s="45"/>
      <c r="AW6" s="45"/>
      <c r="DA6" s="10"/>
      <c r="DB6" s="10"/>
      <c r="DC6" s="10"/>
      <c r="DD6" s="26"/>
      <c r="DE6" s="6"/>
      <c r="DF6" s="6"/>
      <c r="DG6" s="6"/>
      <c r="DH6" s="6"/>
      <c r="DI6" s="6"/>
      <c r="DJ6" s="6"/>
      <c r="DK6" s="10"/>
      <c r="DL6" s="10"/>
      <c r="DM6" s="10"/>
      <c r="DN6" s="10"/>
      <c r="DO6" s="10"/>
      <c r="DP6" s="10"/>
      <c r="DQ6" s="10"/>
      <c r="DR6" s="45"/>
      <c r="DS6" s="45"/>
      <c r="DT6" s="45"/>
      <c r="DU6" s="45"/>
      <c r="DV6" s="45"/>
      <c r="DW6" s="45"/>
    </row>
    <row r="7" spans="2:182" ht="12.75" hidden="1" customHeight="1">
      <c r="AA7" s="10"/>
      <c r="AB7" s="10"/>
      <c r="AC7" s="10"/>
      <c r="AD7" s="26"/>
      <c r="AE7" s="6"/>
      <c r="AF7" s="6"/>
      <c r="AG7" s="6"/>
      <c r="AH7" s="6"/>
      <c r="AI7" s="6"/>
      <c r="AJ7" s="6"/>
      <c r="AK7" s="10"/>
      <c r="AL7" s="10"/>
      <c r="AM7" s="10"/>
      <c r="AN7" s="10"/>
      <c r="AO7" s="10"/>
      <c r="AP7" s="10"/>
      <c r="AQ7" s="10"/>
      <c r="AR7" s="45"/>
      <c r="AS7" s="45"/>
      <c r="AT7" s="45"/>
      <c r="AU7" s="45"/>
      <c r="AV7" s="45"/>
      <c r="AW7" s="45"/>
      <c r="DA7" s="10"/>
      <c r="DB7" s="10"/>
      <c r="DC7" s="10"/>
      <c r="DD7" s="26"/>
      <c r="DE7" s="6"/>
      <c r="DF7" s="6"/>
      <c r="DG7" s="6"/>
      <c r="DH7" s="6"/>
      <c r="DI7" s="6"/>
      <c r="DJ7" s="6"/>
      <c r="DK7" s="10"/>
      <c r="DL7" s="10"/>
      <c r="DM7" s="10"/>
      <c r="DN7" s="10"/>
      <c r="DO7" s="10"/>
      <c r="DP7" s="10"/>
      <c r="DQ7" s="10"/>
      <c r="DR7" s="45"/>
      <c r="DS7" s="45"/>
      <c r="DT7" s="45"/>
      <c r="DU7" s="45"/>
      <c r="DV7" s="45"/>
      <c r="DW7" s="45"/>
    </row>
    <row r="8" spans="2:182" ht="12.75" hidden="1" customHeight="1">
      <c r="AA8" s="10"/>
      <c r="AB8" s="10"/>
      <c r="AC8" s="10"/>
      <c r="AD8" s="26"/>
      <c r="AE8" s="6"/>
      <c r="AF8" s="6"/>
      <c r="AG8" s="6"/>
      <c r="AH8" s="6"/>
      <c r="AI8" s="6"/>
      <c r="AJ8" s="6"/>
      <c r="AK8" s="10"/>
      <c r="AL8" s="10"/>
      <c r="AM8" s="10"/>
      <c r="AN8" s="10"/>
      <c r="AO8" s="10"/>
      <c r="AP8" s="10"/>
      <c r="AQ8" s="10"/>
      <c r="AR8" s="45"/>
      <c r="AS8" s="45"/>
      <c r="AT8" s="45"/>
      <c r="AU8" s="45"/>
      <c r="AV8" s="45"/>
      <c r="AW8" s="45"/>
      <c r="DA8" s="10"/>
      <c r="DB8" s="10"/>
      <c r="DC8" s="10"/>
      <c r="DD8" s="26"/>
      <c r="DE8" s="6"/>
      <c r="DF8" s="6"/>
      <c r="DG8" s="6"/>
      <c r="DH8" s="6"/>
      <c r="DI8" s="6"/>
      <c r="DJ8" s="6"/>
      <c r="DK8" s="10"/>
      <c r="DL8" s="10"/>
      <c r="DM8" s="10"/>
      <c r="DN8" s="10"/>
      <c r="DO8" s="10"/>
      <c r="DP8" s="10"/>
      <c r="DQ8" s="10"/>
      <c r="DR8" s="45"/>
      <c r="DS8" s="45"/>
      <c r="DT8" s="45"/>
      <c r="DU8" s="45"/>
      <c r="DV8" s="45"/>
      <c r="DW8" s="45"/>
    </row>
    <row r="9" spans="2:182" ht="12.75" hidden="1" customHeight="1">
      <c r="AA9" s="10"/>
      <c r="AB9" s="10"/>
      <c r="AC9" s="10"/>
      <c r="AD9" s="26"/>
      <c r="AE9" s="6"/>
      <c r="AF9" s="6"/>
      <c r="AG9" s="6"/>
      <c r="AH9" s="6"/>
      <c r="AI9" s="6"/>
      <c r="AJ9" s="6"/>
      <c r="AK9" s="10"/>
      <c r="AL9" s="10"/>
      <c r="AM9" s="10"/>
      <c r="AN9" s="10"/>
      <c r="AO9" s="10"/>
      <c r="AP9" s="10"/>
      <c r="AQ9" s="10"/>
      <c r="AR9" s="45"/>
      <c r="AS9" s="45"/>
      <c r="AT9" s="45"/>
      <c r="AU9" s="45"/>
      <c r="AV9" s="45"/>
      <c r="AW9" s="45"/>
      <c r="DA9" s="10"/>
      <c r="DB9" s="10"/>
      <c r="DC9" s="10"/>
      <c r="DD9" s="26"/>
      <c r="DE9" s="6"/>
      <c r="DF9" s="6"/>
      <c r="DG9" s="6"/>
      <c r="DH9" s="6"/>
      <c r="DI9" s="6"/>
      <c r="DJ9" s="6"/>
      <c r="DK9" s="10"/>
      <c r="DL9" s="10"/>
      <c r="DM9" s="10"/>
      <c r="DN9" s="10"/>
      <c r="DO9" s="10"/>
      <c r="DP9" s="10"/>
      <c r="DQ9" s="10"/>
      <c r="DR9" s="45"/>
      <c r="DS9" s="45"/>
      <c r="DT9" s="45"/>
      <c r="DU9" s="45"/>
      <c r="DV9" s="45"/>
      <c r="DW9" s="45"/>
    </row>
    <row r="10" spans="2:182" ht="10.5" customHeight="1">
      <c r="AA10" s="10"/>
      <c r="AB10" s="10"/>
      <c r="AC10" s="10"/>
      <c r="AD10" s="26"/>
      <c r="AE10" s="6"/>
      <c r="AF10" s="6"/>
      <c r="AG10" s="6"/>
      <c r="AH10" s="6"/>
      <c r="AI10" s="6"/>
      <c r="AJ10" s="6"/>
      <c r="AK10" s="10"/>
      <c r="AL10" s="10"/>
      <c r="AM10" s="10"/>
      <c r="AN10" s="10"/>
      <c r="AO10" s="10"/>
      <c r="AP10" s="10"/>
      <c r="AQ10" s="10"/>
      <c r="AR10" s="45"/>
      <c r="AS10" s="45"/>
      <c r="AT10" s="45"/>
      <c r="AU10" s="45"/>
      <c r="AV10" s="45"/>
      <c r="AW10" s="45"/>
      <c r="DA10" s="10"/>
      <c r="DB10" s="10"/>
      <c r="DC10" s="10"/>
      <c r="DD10" s="26"/>
      <c r="DE10" s="6"/>
      <c r="DF10" s="6"/>
      <c r="DG10" s="6"/>
      <c r="DH10" s="6"/>
      <c r="DI10" s="6"/>
      <c r="DJ10" s="6"/>
      <c r="DK10" s="10"/>
      <c r="DL10" s="10"/>
      <c r="DM10" s="10"/>
      <c r="DN10" s="10"/>
      <c r="DO10" s="10"/>
      <c r="DP10" s="10"/>
      <c r="DQ10" s="10"/>
      <c r="DR10" s="45"/>
      <c r="DS10" s="45"/>
      <c r="DT10" s="45"/>
      <c r="DU10" s="45"/>
      <c r="DV10" s="45"/>
      <c r="DW10" s="45"/>
    </row>
    <row r="11" spans="2:182" ht="20.25" customHeight="1">
      <c r="B11" s="355" t="s">
        <v>83</v>
      </c>
      <c r="C11" s="355"/>
      <c r="D11" s="355"/>
      <c r="E11" s="355"/>
      <c r="F11" s="355"/>
      <c r="G11" s="3">
        <f>MAX(COUNTA(#REF!)+21,23)</f>
        <v>23</v>
      </c>
      <c r="H11" s="347" t="s">
        <v>350</v>
      </c>
      <c r="I11" s="348"/>
      <c r="J11" s="348"/>
      <c r="K11" s="348"/>
      <c r="L11" s="348"/>
      <c r="M11" s="348"/>
      <c r="N11" s="348"/>
      <c r="O11" s="348"/>
      <c r="P11" s="348"/>
      <c r="Q11" s="351" t="str">
        <f>INDEX($U$13:$U$15,MATCH(T11,$T$13:$T$15,0))</f>
        <v>500x300x10x14</v>
      </c>
      <c r="R11" s="351"/>
      <c r="S11" s="352"/>
      <c r="T11" s="333" t="s">
        <v>297</v>
      </c>
      <c r="U11" s="334"/>
      <c r="V11" s="334"/>
      <c r="W11" s="50"/>
      <c r="Z11" s="3">
        <f>MAX(COUNTA(#REF!)+21,23)</f>
        <v>23</v>
      </c>
      <c r="AA11" s="268" t="s">
        <v>351</v>
      </c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2"/>
      <c r="AS11" s="242"/>
      <c r="AT11" s="242"/>
      <c r="AU11" s="242"/>
      <c r="AV11" s="242"/>
      <c r="AW11" s="242"/>
      <c r="AX11" s="242"/>
      <c r="AY11" s="242"/>
      <c r="AZ11" s="242"/>
      <c r="BA11" s="241"/>
      <c r="BB11" s="241"/>
      <c r="BC11" s="241"/>
      <c r="BD11" s="241"/>
      <c r="BE11" s="241"/>
      <c r="BF11" s="241"/>
      <c r="BG11" s="241"/>
      <c r="BH11" s="241"/>
      <c r="BI11" s="241"/>
      <c r="BJ11" s="241"/>
      <c r="BK11" s="241"/>
      <c r="BL11" s="241"/>
      <c r="BM11" s="241"/>
      <c r="BN11" s="241"/>
      <c r="BO11" s="241"/>
      <c r="BP11" s="241"/>
      <c r="BQ11" s="241"/>
      <c r="BR11" s="241"/>
      <c r="BS11" s="241"/>
      <c r="BT11" s="243"/>
      <c r="BU11" s="241"/>
      <c r="BV11" s="241"/>
      <c r="BW11" s="241"/>
      <c r="BX11" s="241"/>
      <c r="BY11" s="241"/>
      <c r="BZ11" s="241"/>
      <c r="CA11" s="241"/>
      <c r="CB11" s="241"/>
      <c r="CC11" s="241"/>
      <c r="CD11" s="241"/>
      <c r="CE11" s="241"/>
      <c r="CF11" s="268"/>
      <c r="CG11" s="50"/>
      <c r="CZ11" s="3">
        <f>MAX(COUNTA(#REF!)+21,23)</f>
        <v>23</v>
      </c>
      <c r="DA11" s="268" t="s">
        <v>351</v>
      </c>
      <c r="DB11" s="241"/>
      <c r="DC11" s="241"/>
      <c r="DD11" s="241"/>
      <c r="DE11" s="241"/>
      <c r="DF11" s="241"/>
      <c r="DG11" s="241"/>
      <c r="DH11" s="241"/>
      <c r="DI11" s="241"/>
      <c r="DJ11" s="241"/>
      <c r="DK11" s="241"/>
      <c r="DL11" s="241"/>
      <c r="DM11" s="241"/>
      <c r="DN11" s="241"/>
      <c r="DO11" s="241"/>
      <c r="DP11" s="241"/>
      <c r="DQ11" s="241"/>
      <c r="DR11" s="242"/>
      <c r="DS11" s="242"/>
      <c r="DT11" s="242"/>
      <c r="DU11" s="242"/>
      <c r="DV11" s="242"/>
      <c r="DW11" s="242"/>
      <c r="DX11" s="242"/>
      <c r="DY11" s="242"/>
      <c r="DZ11" s="242"/>
      <c r="EA11" s="241"/>
      <c r="EB11" s="241"/>
      <c r="EC11" s="241"/>
      <c r="ED11" s="241"/>
      <c r="EE11" s="241"/>
      <c r="EF11" s="241"/>
      <c r="EG11" s="241"/>
      <c r="EH11" s="241"/>
      <c r="EI11" s="241"/>
      <c r="EJ11" s="241"/>
      <c r="EK11" s="241"/>
      <c r="EL11" s="241"/>
      <c r="EM11" s="241"/>
      <c r="EN11" s="241"/>
      <c r="EO11" s="241"/>
      <c r="EP11" s="241"/>
      <c r="EQ11" s="241"/>
      <c r="ER11" s="241"/>
      <c r="ES11" s="241"/>
      <c r="ET11" s="241"/>
      <c r="EU11" s="241"/>
      <c r="EV11" s="241"/>
      <c r="EW11" s="241"/>
      <c r="EX11" s="241"/>
      <c r="EY11" s="241"/>
      <c r="EZ11" s="241"/>
      <c r="FA11" s="241"/>
      <c r="FB11" s="241"/>
      <c r="FC11" s="241"/>
      <c r="FD11" s="241"/>
      <c r="FE11" s="241"/>
      <c r="FF11" s="268"/>
      <c r="FG11" s="50"/>
      <c r="FZ11" s="3">
        <f>MAX(COUNTA(#REF!)+21,23)</f>
        <v>23</v>
      </c>
    </row>
    <row r="12" spans="2:182" ht="12.75" customHeight="1">
      <c r="B12" s="92"/>
      <c r="C12" s="93" t="s">
        <v>80</v>
      </c>
      <c r="D12" s="93" t="s">
        <v>28</v>
      </c>
      <c r="E12" s="93" t="s">
        <v>81</v>
      </c>
      <c r="F12" s="93" t="s">
        <v>82</v>
      </c>
      <c r="G12" s="4"/>
      <c r="H12" s="349"/>
      <c r="I12" s="350"/>
      <c r="J12" s="350"/>
      <c r="K12" s="350"/>
      <c r="L12" s="350"/>
      <c r="M12" s="350"/>
      <c r="N12" s="350"/>
      <c r="O12" s="350"/>
      <c r="P12" s="350"/>
      <c r="Q12" s="353"/>
      <c r="R12" s="353"/>
      <c r="S12" s="354"/>
      <c r="T12" s="333"/>
      <c r="U12" s="334"/>
      <c r="V12" s="334"/>
      <c r="W12" s="50"/>
      <c r="Z12" s="4"/>
      <c r="AA12" s="145" t="s">
        <v>224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55"/>
      <c r="AW12" s="55"/>
      <c r="AX12" s="55"/>
      <c r="AY12" s="55"/>
      <c r="AZ12" s="55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6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145"/>
      <c r="CG12" s="50"/>
      <c r="CZ12" s="4"/>
      <c r="DA12" s="145" t="s">
        <v>224</v>
      </c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  <c r="DO12" s="54"/>
      <c r="DP12" s="54"/>
      <c r="DQ12" s="54"/>
      <c r="DR12" s="55"/>
      <c r="DS12" s="55"/>
      <c r="DT12" s="55"/>
      <c r="DU12" s="55"/>
      <c r="DV12" s="55"/>
      <c r="DW12" s="55"/>
      <c r="DX12" s="55"/>
      <c r="DY12" s="55"/>
      <c r="DZ12" s="55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54"/>
      <c r="EL12" s="54"/>
      <c r="EM12" s="54"/>
      <c r="EN12" s="54"/>
      <c r="EO12" s="54"/>
      <c r="EP12" s="54"/>
      <c r="EQ12" s="54"/>
      <c r="ER12" s="54"/>
      <c r="ES12" s="54"/>
      <c r="ET12" s="54"/>
      <c r="EU12" s="54"/>
      <c r="EV12" s="54"/>
      <c r="EW12" s="54"/>
      <c r="EX12" s="54"/>
      <c r="EY12" s="54"/>
      <c r="EZ12" s="54"/>
      <c r="FA12" s="54"/>
      <c r="FB12" s="54"/>
      <c r="FC12" s="54"/>
      <c r="FD12" s="54"/>
      <c r="FE12" s="54"/>
      <c r="FF12" s="54"/>
      <c r="FG12" s="50"/>
      <c r="FZ12" s="4"/>
    </row>
    <row r="13" spans="2:182" ht="15" customHeight="1">
      <c r="B13" s="93">
        <v>12</v>
      </c>
      <c r="C13" s="92">
        <v>50</v>
      </c>
      <c r="D13" s="92">
        <v>50</v>
      </c>
      <c r="E13" s="92">
        <v>60</v>
      </c>
      <c r="F13" s="92">
        <v>120</v>
      </c>
      <c r="H13" s="345" t="s">
        <v>0</v>
      </c>
      <c r="I13" s="346"/>
      <c r="J13" s="346"/>
      <c r="K13" s="53"/>
      <c r="L13" s="53"/>
      <c r="M13" s="53"/>
      <c r="N13" s="53"/>
      <c r="O13" s="53"/>
      <c r="P13" s="53"/>
      <c r="Q13" s="53"/>
      <c r="R13" s="53"/>
      <c r="S13" s="284"/>
      <c r="T13" s="48" t="s">
        <v>296</v>
      </c>
      <c r="U13" s="105" t="s">
        <v>245</v>
      </c>
      <c r="V13" s="49"/>
      <c r="W13" s="50"/>
      <c r="AA13" s="244" t="s">
        <v>225</v>
      </c>
      <c r="AB13" s="57"/>
      <c r="AC13" s="57"/>
      <c r="AD13" s="58"/>
      <c r="AE13" s="59"/>
      <c r="AF13" s="59"/>
      <c r="AG13" s="59"/>
      <c r="AH13" s="59"/>
      <c r="AI13" s="59"/>
      <c r="AJ13" s="59"/>
      <c r="AK13" s="60"/>
      <c r="AL13" s="60"/>
      <c r="AM13" s="60"/>
      <c r="AN13" s="60"/>
      <c r="AO13" s="60"/>
      <c r="AP13" s="60"/>
      <c r="AQ13" s="60"/>
      <c r="AR13" s="61"/>
      <c r="AS13" s="61"/>
      <c r="AT13" s="61"/>
      <c r="AU13" s="61"/>
      <c r="AV13" s="61"/>
      <c r="AW13" s="61"/>
      <c r="AX13" s="61"/>
      <c r="AY13" s="61"/>
      <c r="AZ13" s="61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3"/>
      <c r="BL13" s="63"/>
      <c r="BM13" s="63"/>
      <c r="BN13" s="63"/>
      <c r="BO13" s="63"/>
      <c r="BP13" s="63"/>
      <c r="BQ13" s="63"/>
      <c r="BR13" s="63"/>
      <c r="BS13" s="63"/>
      <c r="BT13" s="64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DA13" s="244" t="s">
        <v>225</v>
      </c>
      <c r="DB13" s="57"/>
      <c r="DC13" s="57"/>
      <c r="DD13" s="58"/>
      <c r="DE13" s="59"/>
      <c r="DF13" s="59"/>
      <c r="DG13" s="59"/>
      <c r="DH13" s="59"/>
      <c r="DI13" s="59"/>
      <c r="DJ13" s="59"/>
      <c r="DK13" s="60"/>
      <c r="DL13" s="60"/>
      <c r="DM13" s="60"/>
      <c r="DN13" s="60"/>
      <c r="DO13" s="60"/>
      <c r="DP13" s="60"/>
      <c r="DQ13" s="60"/>
      <c r="DR13" s="61"/>
      <c r="DS13" s="61"/>
      <c r="DT13" s="61"/>
      <c r="DU13" s="61"/>
      <c r="DV13" s="61"/>
      <c r="DW13" s="61"/>
      <c r="DX13" s="61"/>
      <c r="DY13" s="61"/>
      <c r="DZ13" s="61"/>
      <c r="EA13" s="62"/>
      <c r="EB13" s="62"/>
      <c r="EC13" s="62"/>
      <c r="ED13" s="62"/>
      <c r="EE13" s="62"/>
      <c r="EF13" s="62"/>
      <c r="EG13" s="62"/>
      <c r="EH13" s="62"/>
      <c r="EI13" s="62"/>
      <c r="EJ13" s="62"/>
      <c r="EK13" s="63"/>
      <c r="EL13" s="63"/>
      <c r="EM13" s="65" t="s">
        <v>306</v>
      </c>
      <c r="EN13" s="63"/>
      <c r="EO13" s="63"/>
      <c r="EP13" s="63"/>
      <c r="EQ13" s="63"/>
      <c r="ER13" s="63"/>
      <c r="ES13" s="63"/>
      <c r="ET13" s="63"/>
      <c r="EU13" s="63"/>
      <c r="EV13" s="63"/>
      <c r="EW13" s="63"/>
      <c r="EX13" s="63"/>
      <c r="EY13" s="63"/>
      <c r="EZ13" s="63"/>
      <c r="FA13" s="63"/>
      <c r="FB13" s="63"/>
      <c r="FC13" s="63"/>
      <c r="FD13" s="63"/>
      <c r="FE13" s="63"/>
      <c r="FF13" s="63"/>
      <c r="FG13" s="50"/>
    </row>
    <row r="14" spans="2:182" ht="12.75" customHeight="1">
      <c r="B14" s="93">
        <v>16</v>
      </c>
      <c r="C14" s="92">
        <v>50</v>
      </c>
      <c r="D14" s="92">
        <v>50</v>
      </c>
      <c r="E14" s="92">
        <v>60</v>
      </c>
      <c r="F14" s="92">
        <v>120</v>
      </c>
      <c r="H14" s="245" t="s">
        <v>37</v>
      </c>
      <c r="I14" s="53"/>
      <c r="J14" s="53"/>
      <c r="K14" s="66"/>
      <c r="L14" s="66"/>
      <c r="M14" s="66"/>
      <c r="N14" s="249"/>
      <c r="O14" s="285"/>
      <c r="P14" s="66"/>
      <c r="Q14" s="5"/>
      <c r="R14" s="5"/>
      <c r="S14" s="153"/>
      <c r="T14" s="48" t="s">
        <v>297</v>
      </c>
      <c r="U14" s="49" t="str" cm="1">
        <f t="array" ref="U14">_xll.Dce_Name_SectI(R42, R42, R43, R44, R45, "x", "-", V14)</f>
        <v>500x300x10x14</v>
      </c>
      <c r="V14" s="105" t="s">
        <v>295</v>
      </c>
      <c r="W14" s="50"/>
      <c r="AA14" s="108"/>
      <c r="AB14" s="10"/>
      <c r="AC14" s="10"/>
      <c r="AD14" s="39" t="s">
        <v>246</v>
      </c>
      <c r="AE14" s="6"/>
      <c r="AF14" s="6"/>
      <c r="AG14" s="40">
        <f>R16</f>
        <v>8.8000000000000007</v>
      </c>
      <c r="AH14" s="6"/>
      <c r="AI14" s="6"/>
      <c r="AJ14" s="6"/>
      <c r="AK14" s="8" t="s">
        <v>1</v>
      </c>
      <c r="AL14" s="9">
        <f>R17</f>
        <v>332</v>
      </c>
      <c r="AM14" s="41" t="s">
        <v>2</v>
      </c>
      <c r="AN14" s="10"/>
      <c r="AO14" s="10"/>
      <c r="AP14" s="10"/>
      <c r="AQ14" s="10"/>
      <c r="AR14" s="45"/>
      <c r="AS14" s="45"/>
      <c r="AT14" s="45"/>
      <c r="AU14" s="45"/>
      <c r="AV14" s="45"/>
      <c r="AW14" s="45"/>
      <c r="DA14" s="146" t="s">
        <v>246</v>
      </c>
      <c r="DB14" s="6"/>
      <c r="DC14" s="6"/>
      <c r="DD14" s="40">
        <f>AG14</f>
        <v>8.8000000000000007</v>
      </c>
      <c r="DE14" s="6"/>
      <c r="DF14" s="6"/>
      <c r="DG14" s="6"/>
      <c r="DH14" s="6"/>
      <c r="DI14" s="6"/>
      <c r="DJ14" s="6"/>
      <c r="DK14" s="10"/>
      <c r="DL14" s="10"/>
      <c r="DM14" s="10"/>
      <c r="DN14" s="10"/>
      <c r="DO14" s="10"/>
      <c r="DP14" s="10"/>
      <c r="DQ14" s="10"/>
      <c r="DR14" s="45"/>
      <c r="DS14" s="45"/>
      <c r="DT14" s="45"/>
      <c r="DU14" s="45"/>
      <c r="DV14" s="45"/>
      <c r="DW14" s="45"/>
      <c r="EM14" s="47" t="s">
        <v>307</v>
      </c>
      <c r="FG14" s="50"/>
    </row>
    <row r="15" spans="2:182" ht="12.75" customHeight="1">
      <c r="B15" s="93">
        <v>18</v>
      </c>
      <c r="C15" s="92">
        <v>50</v>
      </c>
      <c r="D15" s="92">
        <v>50</v>
      </c>
      <c r="E15" s="92">
        <v>60</v>
      </c>
      <c r="F15" s="92">
        <v>120</v>
      </c>
      <c r="H15" s="101" t="s">
        <v>36</v>
      </c>
      <c r="I15" s="66"/>
      <c r="J15" s="66"/>
      <c r="K15" s="66"/>
      <c r="L15" s="66"/>
      <c r="M15" s="66"/>
      <c r="N15" s="249"/>
      <c r="O15" s="285"/>
      <c r="P15" s="66"/>
      <c r="Q15" s="5"/>
      <c r="R15" s="5"/>
      <c r="S15" s="153"/>
      <c r="T15" s="48" t="s">
        <v>298</v>
      </c>
      <c r="U15" s="106" t="s">
        <v>299</v>
      </c>
      <c r="V15" s="51"/>
      <c r="W15" s="50"/>
      <c r="AA15" s="108"/>
      <c r="AB15" s="10"/>
      <c r="AC15" s="10"/>
      <c r="AD15" s="39" t="s">
        <v>226</v>
      </c>
      <c r="AE15" s="6"/>
      <c r="AF15" s="6"/>
      <c r="AG15" s="40" t="str">
        <f>R27</f>
        <v>CCT38</v>
      </c>
      <c r="AH15" s="6"/>
      <c r="AI15" s="6"/>
      <c r="AJ15" s="6"/>
      <c r="AK15" s="8" t="s">
        <v>1</v>
      </c>
      <c r="AL15" s="9">
        <f>R28</f>
        <v>240</v>
      </c>
      <c r="AM15" s="41" t="s">
        <v>2</v>
      </c>
      <c r="AN15" s="10"/>
      <c r="AO15" s="10"/>
      <c r="AP15" s="10"/>
      <c r="AQ15" s="10"/>
      <c r="AR15" s="45"/>
      <c r="AS15" s="45"/>
      <c r="AT15" s="45"/>
      <c r="AU15" s="45"/>
      <c r="AV15" s="45"/>
      <c r="AW15" s="45"/>
      <c r="DA15" s="146" t="s">
        <v>226</v>
      </c>
      <c r="DB15" s="6"/>
      <c r="DC15" s="6"/>
      <c r="DD15" s="40" t="str">
        <f>AG15</f>
        <v>CCT38</v>
      </c>
      <c r="DE15" s="6"/>
      <c r="DF15" s="6"/>
      <c r="DG15" s="6"/>
      <c r="DH15" s="6"/>
      <c r="DI15" s="6"/>
      <c r="DJ15" s="6"/>
      <c r="DK15" s="10"/>
      <c r="DL15" s="10"/>
      <c r="DM15" s="10"/>
      <c r="DN15" s="10"/>
      <c r="DO15" s="10"/>
      <c r="DP15" s="10"/>
      <c r="DQ15" s="10"/>
      <c r="DR15" s="45"/>
      <c r="DS15" s="45"/>
      <c r="DT15" s="45"/>
      <c r="DU15" s="45"/>
      <c r="DV15" s="45"/>
      <c r="DW15" s="45"/>
      <c r="EM15" s="47" t="s">
        <v>308</v>
      </c>
      <c r="FG15" s="50"/>
    </row>
    <row r="16" spans="2:182" ht="12.75" customHeight="1">
      <c r="B16" s="93">
        <v>20</v>
      </c>
      <c r="C16" s="92">
        <v>50</v>
      </c>
      <c r="D16" s="92">
        <v>50</v>
      </c>
      <c r="E16" s="92">
        <v>60</v>
      </c>
      <c r="F16" s="92">
        <v>120</v>
      </c>
      <c r="H16" s="102"/>
      <c r="I16" s="66" t="str">
        <f>"- Cấp độ bền bu lông:"</f>
        <v>- Cấp độ bền bu lông:</v>
      </c>
      <c r="J16" s="66"/>
      <c r="K16" s="249"/>
      <c r="L16" s="90"/>
      <c r="M16" s="66"/>
      <c r="N16" s="5"/>
      <c r="O16" s="5"/>
      <c r="P16" s="5"/>
      <c r="Q16" s="5"/>
      <c r="R16" s="6">
        <v>8.8000000000000007</v>
      </c>
      <c r="S16" s="154" t="s">
        <v>28</v>
      </c>
      <c r="T16" s="48"/>
      <c r="AA16" s="108"/>
      <c r="AB16" s="10"/>
      <c r="AC16" s="10"/>
      <c r="AD16" s="39" t="s">
        <v>12</v>
      </c>
      <c r="AE16" s="6"/>
      <c r="AF16" s="6"/>
      <c r="AG16" s="40" t="str">
        <f>R34</f>
        <v>N46</v>
      </c>
      <c r="AH16" s="6"/>
      <c r="AI16" s="6"/>
      <c r="AJ16" s="6"/>
      <c r="AK16" s="8" t="s">
        <v>14</v>
      </c>
      <c r="AL16" s="9">
        <f>R35</f>
        <v>450</v>
      </c>
      <c r="AM16" s="41" t="s">
        <v>2</v>
      </c>
      <c r="AN16" s="10"/>
      <c r="AO16" s="10"/>
      <c r="AP16" s="10"/>
      <c r="AQ16" s="10"/>
      <c r="AR16" s="45"/>
      <c r="AS16" s="45"/>
      <c r="AT16" s="45"/>
      <c r="AU16" s="45"/>
      <c r="AV16" s="45"/>
      <c r="AW16" s="45"/>
      <c r="DA16" s="146" t="s">
        <v>12</v>
      </c>
      <c r="DB16" s="6"/>
      <c r="DC16" s="6"/>
      <c r="DD16" s="40" t="str">
        <f>AG16</f>
        <v>N46</v>
      </c>
      <c r="DE16" s="6"/>
      <c r="DF16" s="6"/>
      <c r="DG16" s="6"/>
      <c r="DH16" s="6"/>
      <c r="DI16" s="6"/>
      <c r="DJ16" s="6"/>
      <c r="DK16" s="10"/>
      <c r="DL16" s="10"/>
      <c r="DM16" s="10"/>
      <c r="DN16" s="10"/>
      <c r="DO16" s="10"/>
      <c r="DP16" s="10"/>
      <c r="DQ16" s="10"/>
      <c r="DR16" s="45"/>
      <c r="DS16" s="45"/>
      <c r="DT16" s="45"/>
      <c r="DU16" s="45"/>
      <c r="DV16" s="45"/>
      <c r="DW16" s="45"/>
      <c r="EM16" s="47" t="s">
        <v>309</v>
      </c>
      <c r="FG16" s="50"/>
    </row>
    <row r="17" spans="2:163" ht="12.75" customHeight="1">
      <c r="B17" s="93">
        <v>24</v>
      </c>
      <c r="C17" s="92">
        <v>60</v>
      </c>
      <c r="D17" s="92">
        <v>70</v>
      </c>
      <c r="E17" s="92">
        <v>80</v>
      </c>
      <c r="F17" s="92">
        <v>150</v>
      </c>
      <c r="H17" s="102"/>
      <c r="I17" s="66" t="str">
        <f>"- Cường độ tính toán chịu cắt:"</f>
        <v>- Cường độ tính toán chịu cắt:</v>
      </c>
      <c r="J17" s="66"/>
      <c r="K17" s="249"/>
      <c r="L17" s="90"/>
      <c r="M17" s="66"/>
      <c r="N17" s="5"/>
      <c r="O17" s="5"/>
      <c r="P17" s="286"/>
      <c r="Q17" s="8" t="s">
        <v>24</v>
      </c>
      <c r="R17" s="16">
        <f>VLOOKUP(R16,Data!$K$4:$O$99,4,FALSE)</f>
        <v>332</v>
      </c>
      <c r="S17" s="155" t="s">
        <v>2</v>
      </c>
      <c r="AA17" s="108"/>
      <c r="AB17" s="10"/>
      <c r="AC17" s="10"/>
      <c r="AD17" s="39"/>
      <c r="AE17" s="6"/>
      <c r="AF17" s="6"/>
      <c r="AG17" s="40"/>
      <c r="AH17" s="6"/>
      <c r="AI17" s="6"/>
      <c r="AJ17" s="6"/>
      <c r="AK17" s="8"/>
      <c r="AL17" s="9"/>
      <c r="AM17" s="5"/>
      <c r="AN17" s="10"/>
      <c r="AO17" s="10"/>
      <c r="AP17" s="10"/>
      <c r="AQ17" s="10"/>
      <c r="AR17" s="45"/>
      <c r="AS17" s="45"/>
      <c r="AT17" s="45"/>
      <c r="AU17" s="45"/>
      <c r="AV17" s="45"/>
      <c r="AW17" s="45"/>
      <c r="DA17" s="108"/>
      <c r="DB17" s="10"/>
      <c r="DC17" s="10"/>
      <c r="DD17" s="39"/>
      <c r="DE17" s="6"/>
      <c r="DF17" s="6"/>
      <c r="DG17" s="40"/>
      <c r="DH17" s="6"/>
      <c r="DI17" s="6"/>
      <c r="DJ17" s="6"/>
      <c r="DK17" s="8"/>
      <c r="DL17" s="9"/>
      <c r="DM17" s="5"/>
      <c r="DN17" s="10"/>
      <c r="DO17" s="10"/>
      <c r="DP17" s="10"/>
      <c r="DQ17" s="10"/>
      <c r="DR17" s="45"/>
      <c r="DS17" s="45"/>
      <c r="DT17" s="45"/>
      <c r="DU17" s="45"/>
      <c r="DV17" s="45"/>
      <c r="DW17" s="45"/>
      <c r="EM17" s="5" t="s">
        <v>310</v>
      </c>
      <c r="FG17" s="50"/>
    </row>
    <row r="18" spans="2:163" ht="12.75" customHeight="1">
      <c r="B18" s="93">
        <v>27</v>
      </c>
      <c r="C18" s="92">
        <v>60</v>
      </c>
      <c r="D18" s="92">
        <v>70</v>
      </c>
      <c r="E18" s="92">
        <v>80</v>
      </c>
      <c r="F18" s="92">
        <v>160</v>
      </c>
      <c r="H18" s="102"/>
      <c r="I18" s="66" t="str">
        <f>"- Cường độ tính toán chịu kéo:"</f>
        <v>- Cường độ tính toán chịu kéo:</v>
      </c>
      <c r="J18" s="66"/>
      <c r="K18" s="249"/>
      <c r="L18" s="90"/>
      <c r="M18" s="66"/>
      <c r="N18" s="5"/>
      <c r="O18" s="5"/>
      <c r="P18" s="5"/>
      <c r="Q18" s="8" t="s">
        <v>25</v>
      </c>
      <c r="R18" s="16">
        <f>VLOOKUP(R16,Data!$K$4:$O$99,5,FALSE)</f>
        <v>448</v>
      </c>
      <c r="S18" s="155" t="s">
        <v>2</v>
      </c>
      <c r="AA18" s="107" t="s">
        <v>227</v>
      </c>
      <c r="AB18" s="68"/>
      <c r="AC18" s="68"/>
      <c r="AD18" s="26"/>
      <c r="AE18" s="6"/>
      <c r="AF18" s="6"/>
      <c r="AG18" s="6"/>
      <c r="AH18" s="6"/>
      <c r="AI18" s="6"/>
      <c r="AJ18" s="6"/>
      <c r="AK18" s="10"/>
      <c r="AL18" s="10"/>
      <c r="AM18" s="10"/>
      <c r="AN18" s="10"/>
      <c r="AO18" s="10"/>
      <c r="AP18" s="10"/>
      <c r="AQ18" s="10"/>
      <c r="AR18" s="45"/>
      <c r="AS18" s="45"/>
      <c r="AT18" s="45"/>
      <c r="AU18" s="45"/>
      <c r="AV18" s="45"/>
      <c r="AW18" s="45"/>
      <c r="DA18" s="107" t="s">
        <v>227</v>
      </c>
      <c r="DB18" s="68"/>
      <c r="DC18" s="68"/>
      <c r="DD18" s="26"/>
      <c r="DE18" s="6"/>
      <c r="DF18" s="6"/>
      <c r="DG18" s="6"/>
      <c r="DH18" s="6"/>
      <c r="DI18" s="6"/>
      <c r="DJ18" s="6"/>
      <c r="DK18" s="10"/>
      <c r="DL18" s="10"/>
      <c r="DM18" s="10"/>
      <c r="DN18" s="10"/>
      <c r="DO18" s="10"/>
      <c r="DP18" s="10"/>
      <c r="DQ18" s="10"/>
      <c r="DR18" s="45"/>
      <c r="DS18" s="45"/>
      <c r="DT18" s="45"/>
      <c r="DU18" s="45"/>
      <c r="DV18" s="45"/>
      <c r="DW18" s="45"/>
      <c r="FG18" s="50"/>
    </row>
    <row r="19" spans="2:163" ht="12.75" customHeight="1">
      <c r="B19" s="93">
        <v>30</v>
      </c>
      <c r="C19" s="92">
        <v>60</v>
      </c>
      <c r="D19" s="92">
        <v>70</v>
      </c>
      <c r="E19" s="92">
        <v>80</v>
      </c>
      <c r="F19" s="92">
        <v>200</v>
      </c>
      <c r="H19" s="102"/>
      <c r="I19" s="66" t="str">
        <f>"- Cường độ tính toán chịu ép mặt:"</f>
        <v>- Cường độ tính toán chịu ép mặt:</v>
      </c>
      <c r="J19" s="66"/>
      <c r="K19" s="249"/>
      <c r="L19" s="90"/>
      <c r="M19" s="66"/>
      <c r="N19" s="5"/>
      <c r="O19" s="5"/>
      <c r="P19" s="5"/>
      <c r="Q19" s="8" t="s">
        <v>26</v>
      </c>
      <c r="R19" s="247">
        <f>IFERROR(VLOOKUP(R29,Data!$AV$3:$AX$17,MATCH(Cal!S16,Data!$AV$2:$AX$2,0),FALSE),IF(S16="A",1.6,1.35)*R29/P30)</f>
        <v>500</v>
      </c>
      <c r="S19" s="155" t="s">
        <v>2</v>
      </c>
      <c r="AA19" s="246"/>
      <c r="AB19" s="67"/>
      <c r="AC19" s="67"/>
      <c r="AD19" s="67"/>
      <c r="AE19" s="329" t="s">
        <v>247</v>
      </c>
      <c r="AF19" s="331"/>
      <c r="AG19" s="331"/>
      <c r="AH19" s="331"/>
      <c r="AI19" s="331"/>
      <c r="AJ19" s="331"/>
      <c r="AK19" s="329" t="s">
        <v>248</v>
      </c>
      <c r="AL19" s="331"/>
      <c r="AM19" s="331"/>
      <c r="AN19" s="331"/>
      <c r="AO19" s="331"/>
      <c r="AP19" s="331"/>
      <c r="AQ19" s="329" t="s">
        <v>228</v>
      </c>
      <c r="AR19" s="329"/>
      <c r="AS19" s="329"/>
      <c r="AT19" s="329"/>
      <c r="AU19" s="329"/>
      <c r="AV19" s="329"/>
      <c r="AW19" s="329"/>
      <c r="AX19" s="117"/>
      <c r="AY19" s="117"/>
      <c r="AZ19" s="117"/>
      <c r="BA19" s="329" t="s">
        <v>260</v>
      </c>
      <c r="BB19" s="331"/>
      <c r="BC19" s="331"/>
      <c r="BD19" s="331"/>
      <c r="BE19" s="331"/>
      <c r="BF19" s="331"/>
      <c r="BG19" s="331"/>
      <c r="BH19" s="323" t="s">
        <v>261</v>
      </c>
      <c r="BI19" s="327"/>
      <c r="BJ19" s="327"/>
      <c r="BK19" s="323" t="s">
        <v>258</v>
      </c>
      <c r="BL19" s="323"/>
      <c r="BM19" s="323"/>
      <c r="BN19" s="323"/>
      <c r="BO19" s="323" t="s">
        <v>259</v>
      </c>
      <c r="BP19" s="323"/>
      <c r="BQ19" s="323"/>
      <c r="BR19" s="323"/>
      <c r="BS19" s="327"/>
      <c r="BT19" s="325" t="s">
        <v>303</v>
      </c>
      <c r="BU19" s="325"/>
      <c r="BV19" s="323" t="s">
        <v>264</v>
      </c>
      <c r="BW19" s="323"/>
      <c r="BX19" s="323"/>
      <c r="BY19" s="323"/>
      <c r="BZ19" s="323"/>
      <c r="CA19" s="323"/>
      <c r="CB19" s="323"/>
      <c r="CC19" s="323"/>
      <c r="CD19" s="323"/>
      <c r="CE19" s="323"/>
      <c r="CF19" s="323"/>
      <c r="CG19" s="50"/>
      <c r="DA19" s="329" t="s">
        <v>247</v>
      </c>
      <c r="DB19" s="331"/>
      <c r="DC19" s="331"/>
      <c r="DD19" s="331"/>
      <c r="DE19" s="331"/>
      <c r="DF19" s="331"/>
      <c r="DG19" s="331"/>
      <c r="DH19" s="331"/>
      <c r="DI19" s="331"/>
      <c r="DJ19" s="331"/>
      <c r="DK19" s="329" t="s">
        <v>248</v>
      </c>
      <c r="DL19" s="331"/>
      <c r="DM19" s="331"/>
      <c r="DN19" s="331"/>
      <c r="DO19" s="331"/>
      <c r="DP19" s="331"/>
      <c r="DQ19" s="329" t="s">
        <v>228</v>
      </c>
      <c r="DR19" s="329"/>
      <c r="DS19" s="329"/>
      <c r="DT19" s="329"/>
      <c r="DU19" s="329"/>
      <c r="DV19" s="329"/>
      <c r="DW19" s="329"/>
      <c r="DX19" s="117"/>
      <c r="DY19" s="117"/>
      <c r="DZ19" s="117"/>
      <c r="EA19" s="329" t="s">
        <v>260</v>
      </c>
      <c r="EB19" s="331"/>
      <c r="EC19" s="331"/>
      <c r="ED19" s="331"/>
      <c r="EE19" s="331"/>
      <c r="EF19" s="331"/>
      <c r="EG19" s="331"/>
      <c r="EH19" s="323" t="s">
        <v>261</v>
      </c>
      <c r="EI19" s="327"/>
      <c r="EJ19" s="327"/>
      <c r="EK19" s="323" t="s">
        <v>301</v>
      </c>
      <c r="EL19" s="323"/>
      <c r="EM19" s="323"/>
      <c r="EN19" s="323"/>
      <c r="EO19" s="323" t="s">
        <v>304</v>
      </c>
      <c r="EP19" s="323"/>
      <c r="EQ19" s="323"/>
      <c r="ER19" s="323"/>
      <c r="ES19" s="323"/>
      <c r="ET19" s="325" t="s">
        <v>305</v>
      </c>
      <c r="EU19" s="325"/>
      <c r="EV19" s="323" t="s">
        <v>346</v>
      </c>
      <c r="EW19" s="323"/>
      <c r="EX19" s="323"/>
      <c r="EY19" s="323"/>
      <c r="EZ19" s="323"/>
      <c r="FA19" s="323"/>
      <c r="FB19" s="323"/>
      <c r="FC19" s="323"/>
      <c r="FD19" s="323"/>
      <c r="FE19" s="323"/>
      <c r="FF19" s="327"/>
      <c r="FG19" s="50"/>
    </row>
    <row r="20" spans="2:163" ht="12.75" customHeight="1">
      <c r="B20" s="93">
        <v>33</v>
      </c>
      <c r="C20" s="92">
        <v>60</v>
      </c>
      <c r="D20" s="92">
        <v>70</v>
      </c>
      <c r="E20" s="92">
        <v>80</v>
      </c>
      <c r="F20" s="92">
        <v>200</v>
      </c>
      <c r="H20" s="102"/>
      <c r="I20" s="66" t="str">
        <f>"- Đường kính ngoài bu lông:"</f>
        <v>- Đường kính ngoài bu lông:</v>
      </c>
      <c r="J20" s="66"/>
      <c r="K20" s="249"/>
      <c r="L20" s="90"/>
      <c r="M20" s="66"/>
      <c r="N20" s="5"/>
      <c r="O20" s="5"/>
      <c r="P20" s="5"/>
      <c r="Q20" s="8" t="s">
        <v>3</v>
      </c>
      <c r="R20" s="6">
        <f>VLOOKUP(F40,$B$42:$F$60,3,FALSE)</f>
        <v>24</v>
      </c>
      <c r="S20" s="155" t="s">
        <v>4</v>
      </c>
      <c r="AA20" s="109"/>
      <c r="AB20" s="69"/>
      <c r="AC20" s="69"/>
      <c r="AD20" s="69"/>
      <c r="AE20" s="330"/>
      <c r="AF20" s="332"/>
      <c r="AG20" s="332"/>
      <c r="AH20" s="332"/>
      <c r="AI20" s="332"/>
      <c r="AJ20" s="332"/>
      <c r="AK20" s="330"/>
      <c r="AL20" s="332"/>
      <c r="AM20" s="332"/>
      <c r="AN20" s="332"/>
      <c r="AO20" s="332"/>
      <c r="AP20" s="332"/>
      <c r="AQ20" s="330"/>
      <c r="AR20" s="330"/>
      <c r="AS20" s="330"/>
      <c r="AT20" s="330"/>
      <c r="AU20" s="330"/>
      <c r="AV20" s="330"/>
      <c r="AW20" s="330"/>
      <c r="AX20" s="118"/>
      <c r="AY20" s="118"/>
      <c r="AZ20" s="118"/>
      <c r="BA20" s="330"/>
      <c r="BB20" s="332"/>
      <c r="BC20" s="332"/>
      <c r="BD20" s="332"/>
      <c r="BE20" s="332"/>
      <c r="BF20" s="332"/>
      <c r="BG20" s="332"/>
      <c r="BH20" s="324"/>
      <c r="BI20" s="328"/>
      <c r="BJ20" s="328"/>
      <c r="BK20" s="324"/>
      <c r="BL20" s="324"/>
      <c r="BM20" s="324"/>
      <c r="BN20" s="324"/>
      <c r="BO20" s="324"/>
      <c r="BP20" s="324"/>
      <c r="BQ20" s="324"/>
      <c r="BR20" s="324"/>
      <c r="BS20" s="328"/>
      <c r="BT20" s="326"/>
      <c r="BU20" s="326"/>
      <c r="BV20" s="324"/>
      <c r="BW20" s="324"/>
      <c r="BX20" s="324"/>
      <c r="BY20" s="324"/>
      <c r="BZ20" s="324"/>
      <c r="CA20" s="324"/>
      <c r="CB20" s="324"/>
      <c r="CC20" s="324"/>
      <c r="CD20" s="324"/>
      <c r="CE20" s="324"/>
      <c r="CF20" s="324"/>
      <c r="CG20" s="50"/>
      <c r="DA20" s="330"/>
      <c r="DB20" s="332"/>
      <c r="DC20" s="332"/>
      <c r="DD20" s="332"/>
      <c r="DE20" s="332"/>
      <c r="DF20" s="332"/>
      <c r="DG20" s="332"/>
      <c r="DH20" s="332"/>
      <c r="DI20" s="332"/>
      <c r="DJ20" s="332"/>
      <c r="DK20" s="330"/>
      <c r="DL20" s="332"/>
      <c r="DM20" s="332"/>
      <c r="DN20" s="332"/>
      <c r="DO20" s="332"/>
      <c r="DP20" s="332"/>
      <c r="DQ20" s="330"/>
      <c r="DR20" s="330"/>
      <c r="DS20" s="330"/>
      <c r="DT20" s="330"/>
      <c r="DU20" s="330"/>
      <c r="DV20" s="330"/>
      <c r="DW20" s="330"/>
      <c r="DX20" s="118"/>
      <c r="DY20" s="118"/>
      <c r="DZ20" s="118"/>
      <c r="EA20" s="330"/>
      <c r="EB20" s="332"/>
      <c r="EC20" s="332"/>
      <c r="ED20" s="332"/>
      <c r="EE20" s="332"/>
      <c r="EF20" s="332"/>
      <c r="EG20" s="332"/>
      <c r="EH20" s="324"/>
      <c r="EI20" s="328"/>
      <c r="EJ20" s="328"/>
      <c r="EK20" s="324"/>
      <c r="EL20" s="324"/>
      <c r="EM20" s="324"/>
      <c r="EN20" s="324"/>
      <c r="EO20" s="324"/>
      <c r="EP20" s="324"/>
      <c r="EQ20" s="324"/>
      <c r="ER20" s="324"/>
      <c r="ES20" s="324"/>
      <c r="ET20" s="326"/>
      <c r="EU20" s="326"/>
      <c r="EV20" s="324"/>
      <c r="EW20" s="324"/>
      <c r="EX20" s="324"/>
      <c r="EY20" s="324"/>
      <c r="EZ20" s="324"/>
      <c r="FA20" s="324"/>
      <c r="FB20" s="324"/>
      <c r="FC20" s="324"/>
      <c r="FD20" s="324"/>
      <c r="FE20" s="324"/>
      <c r="FF20" s="328"/>
      <c r="FG20" s="50"/>
    </row>
    <row r="21" spans="2:163" ht="12.75" customHeight="1">
      <c r="B21" s="94">
        <v>36</v>
      </c>
      <c r="C21" s="95">
        <v>60</v>
      </c>
      <c r="D21" s="95">
        <v>70</v>
      </c>
      <c r="E21" s="95">
        <v>80</v>
      </c>
      <c r="F21" s="95">
        <v>200</v>
      </c>
      <c r="H21" s="102"/>
      <c r="I21" s="66" t="str">
        <f>"- Diện tích tiết diện nguyên bu lông:"</f>
        <v>- Diện tích tiết diện nguyên bu lông:</v>
      </c>
      <c r="J21" s="66"/>
      <c r="K21" s="249"/>
      <c r="L21" s="90"/>
      <c r="M21" s="66"/>
      <c r="N21" s="5"/>
      <c r="O21" s="5"/>
      <c r="P21" s="5"/>
      <c r="Q21" s="8" t="s">
        <v>74</v>
      </c>
      <c r="R21" s="287">
        <f>VLOOKUP(R20,Data!$V$4:$Z$15,3,FALSE)</f>
        <v>452.38934211693021</v>
      </c>
      <c r="S21" s="155" t="s">
        <v>6</v>
      </c>
      <c r="AA21" s="159" t="s">
        <v>167</v>
      </c>
      <c r="AB21" s="316" t="s">
        <v>229</v>
      </c>
      <c r="AC21" s="316"/>
      <c r="AD21" s="160" t="s">
        <v>230</v>
      </c>
      <c r="AE21" s="119" t="s">
        <v>129</v>
      </c>
      <c r="AF21" s="119" t="s">
        <v>128</v>
      </c>
      <c r="AG21" s="119" t="s">
        <v>231</v>
      </c>
      <c r="AH21" s="119" t="s">
        <v>232</v>
      </c>
      <c r="AI21" s="119" t="s">
        <v>233</v>
      </c>
      <c r="AJ21" s="317" t="s">
        <v>293</v>
      </c>
      <c r="AK21" s="114" t="s">
        <v>271</v>
      </c>
      <c r="AL21" s="114" t="s">
        <v>267</v>
      </c>
      <c r="AM21" s="114" t="s">
        <v>268</v>
      </c>
      <c r="AN21" s="319" t="s">
        <v>234</v>
      </c>
      <c r="AO21" s="319"/>
      <c r="AP21" s="317" t="s">
        <v>293</v>
      </c>
      <c r="AQ21" s="316" t="s">
        <v>235</v>
      </c>
      <c r="AR21" s="125" t="s">
        <v>236</v>
      </c>
      <c r="AS21" s="125" t="s">
        <v>237</v>
      </c>
      <c r="AT21" s="125" t="s">
        <v>238</v>
      </c>
      <c r="AU21" s="125" t="s">
        <v>239</v>
      </c>
      <c r="AV21" s="125" t="s">
        <v>240</v>
      </c>
      <c r="AW21" s="125" t="s">
        <v>241</v>
      </c>
      <c r="AX21" s="125"/>
      <c r="AY21" s="125"/>
      <c r="AZ21" s="125"/>
      <c r="BA21" s="119" t="s">
        <v>80</v>
      </c>
      <c r="BB21" s="119" t="s">
        <v>28</v>
      </c>
      <c r="BC21" s="119" t="s">
        <v>81</v>
      </c>
      <c r="BD21" s="119" t="s">
        <v>82</v>
      </c>
      <c r="BE21" s="119" t="s">
        <v>252</v>
      </c>
      <c r="BF21" s="119" t="s">
        <v>253</v>
      </c>
      <c r="BG21" s="162" t="s">
        <v>266</v>
      </c>
      <c r="BH21" s="127" t="s">
        <v>251</v>
      </c>
      <c r="BI21" s="127" t="s">
        <v>254</v>
      </c>
      <c r="BJ21" s="129" t="s">
        <v>255</v>
      </c>
      <c r="BK21" s="127" t="s">
        <v>256</v>
      </c>
      <c r="BL21" s="132" t="s">
        <v>128</v>
      </c>
      <c r="BM21" s="312" t="s">
        <v>257</v>
      </c>
      <c r="BN21" s="321" t="s">
        <v>302</v>
      </c>
      <c r="BO21" s="127" t="s">
        <v>275</v>
      </c>
      <c r="BP21" s="127" t="s">
        <v>262</v>
      </c>
      <c r="BQ21" s="127" t="s">
        <v>263</v>
      </c>
      <c r="BR21" s="312" t="s">
        <v>257</v>
      </c>
      <c r="BS21" s="314" t="s">
        <v>302</v>
      </c>
      <c r="BT21" s="335" t="s">
        <v>257</v>
      </c>
      <c r="BU21" s="321" t="s">
        <v>302</v>
      </c>
      <c r="BV21" s="127" t="s">
        <v>82</v>
      </c>
      <c r="BW21" s="127" t="s">
        <v>265</v>
      </c>
      <c r="BX21" s="127" t="s">
        <v>269</v>
      </c>
      <c r="BY21" s="140" t="s">
        <v>270</v>
      </c>
      <c r="BZ21" s="140" t="s">
        <v>270</v>
      </c>
      <c r="CA21" s="142" t="s">
        <v>272</v>
      </c>
      <c r="CB21" s="142" t="s">
        <v>272</v>
      </c>
      <c r="CC21" s="144" t="s">
        <v>273</v>
      </c>
      <c r="CD21" s="144" t="s">
        <v>273</v>
      </c>
      <c r="CE21" s="312" t="s">
        <v>257</v>
      </c>
      <c r="CF21" s="321" t="s">
        <v>302</v>
      </c>
      <c r="CG21" s="50"/>
      <c r="DA21" s="159" t="s">
        <v>167</v>
      </c>
      <c r="DB21" s="316" t="s">
        <v>229</v>
      </c>
      <c r="DC21" s="316"/>
      <c r="DD21" s="114" t="s">
        <v>230</v>
      </c>
      <c r="DE21" s="147"/>
      <c r="DF21" s="119"/>
      <c r="DG21" s="119"/>
      <c r="DH21" s="119"/>
      <c r="DI21" s="119"/>
      <c r="DJ21" s="317" t="s">
        <v>293</v>
      </c>
      <c r="DK21" s="114" t="s">
        <v>271</v>
      </c>
      <c r="DL21" s="114" t="s">
        <v>267</v>
      </c>
      <c r="DM21" s="114" t="s">
        <v>268</v>
      </c>
      <c r="DN21" s="319" t="s">
        <v>234</v>
      </c>
      <c r="DO21" s="319"/>
      <c r="DP21" s="317" t="s">
        <v>293</v>
      </c>
      <c r="DQ21" s="316" t="s">
        <v>235</v>
      </c>
      <c r="DR21" s="125" t="s">
        <v>236</v>
      </c>
      <c r="DS21" s="125" t="s">
        <v>237</v>
      </c>
      <c r="DT21" s="125" t="s">
        <v>238</v>
      </c>
      <c r="DU21" s="125" t="s">
        <v>239</v>
      </c>
      <c r="DV21" s="125" t="s">
        <v>240</v>
      </c>
      <c r="DW21" s="125" t="s">
        <v>241</v>
      </c>
      <c r="DX21" s="125"/>
      <c r="DY21" s="125"/>
      <c r="DZ21" s="125"/>
      <c r="EA21" s="119" t="s">
        <v>80</v>
      </c>
      <c r="EB21" s="119" t="s">
        <v>28</v>
      </c>
      <c r="EC21" s="119" t="s">
        <v>81</v>
      </c>
      <c r="ED21" s="119" t="s">
        <v>82</v>
      </c>
      <c r="EE21" s="119" t="s">
        <v>252</v>
      </c>
      <c r="EF21" s="119" t="s">
        <v>253</v>
      </c>
      <c r="EG21" s="162" t="s">
        <v>266</v>
      </c>
      <c r="EH21" s="127" t="s">
        <v>251</v>
      </c>
      <c r="EI21" s="127" t="s">
        <v>254</v>
      </c>
      <c r="EJ21" s="129" t="s">
        <v>255</v>
      </c>
      <c r="EK21" s="127" t="s">
        <v>256</v>
      </c>
      <c r="EL21" s="132" t="s">
        <v>128</v>
      </c>
      <c r="EM21" s="312" t="s">
        <v>257</v>
      </c>
      <c r="EN21" s="321" t="s">
        <v>302</v>
      </c>
      <c r="EO21" s="127" t="s">
        <v>275</v>
      </c>
      <c r="EP21" s="127" t="s">
        <v>262</v>
      </c>
      <c r="EQ21" s="127" t="s">
        <v>263</v>
      </c>
      <c r="ER21" s="312" t="s">
        <v>257</v>
      </c>
      <c r="ES21" s="321" t="s">
        <v>302</v>
      </c>
      <c r="ET21" s="312" t="s">
        <v>257</v>
      </c>
      <c r="EU21" s="321" t="s">
        <v>302</v>
      </c>
      <c r="EV21" s="127" t="s">
        <v>82</v>
      </c>
      <c r="EW21" s="127" t="s">
        <v>265</v>
      </c>
      <c r="EX21" s="127" t="s">
        <v>269</v>
      </c>
      <c r="EY21" s="140" t="s">
        <v>270</v>
      </c>
      <c r="EZ21" s="140" t="s">
        <v>270</v>
      </c>
      <c r="FA21" s="142" t="s">
        <v>272</v>
      </c>
      <c r="FB21" s="142" t="s">
        <v>272</v>
      </c>
      <c r="FC21" s="144" t="s">
        <v>273</v>
      </c>
      <c r="FD21" s="144" t="s">
        <v>273</v>
      </c>
      <c r="FE21" s="312" t="s">
        <v>257</v>
      </c>
      <c r="FF21" s="314" t="s">
        <v>302</v>
      </c>
      <c r="FG21" s="50"/>
    </row>
    <row r="22" spans="2:163" ht="12.75" customHeight="1">
      <c r="B22" s="356" t="s">
        <v>89</v>
      </c>
      <c r="C22" s="356"/>
      <c r="H22" s="102"/>
      <c r="I22" s="66" t="str">
        <f>"- Diện tích thực thân bu lông:"</f>
        <v>- Diện tích thực thân bu lông:</v>
      </c>
      <c r="J22" s="66"/>
      <c r="K22" s="249"/>
      <c r="L22" s="90"/>
      <c r="M22" s="66"/>
      <c r="N22" s="5"/>
      <c r="O22" s="5"/>
      <c r="P22" s="5"/>
      <c r="Q22" s="8" t="s">
        <v>5</v>
      </c>
      <c r="R22" s="9">
        <f>VLOOKUP(R20,Data!$V$4:$Z$15,4,FALSE)</f>
        <v>353</v>
      </c>
      <c r="S22" s="155" t="s">
        <v>6</v>
      </c>
      <c r="AA22" s="110"/>
      <c r="AB22" s="112" t="s">
        <v>294</v>
      </c>
      <c r="AC22" s="113" t="s">
        <v>300</v>
      </c>
      <c r="AD22" s="161" t="s">
        <v>243</v>
      </c>
      <c r="AE22" s="115" t="s">
        <v>244</v>
      </c>
      <c r="AF22" s="115" t="s">
        <v>244</v>
      </c>
      <c r="AG22" s="115" t="s">
        <v>244</v>
      </c>
      <c r="AH22" s="115" t="s">
        <v>244</v>
      </c>
      <c r="AI22" s="115" t="s">
        <v>244</v>
      </c>
      <c r="AJ22" s="318"/>
      <c r="AK22" s="115" t="s">
        <v>244</v>
      </c>
      <c r="AL22" s="115" t="s">
        <v>244</v>
      </c>
      <c r="AM22" s="115" t="s">
        <v>244</v>
      </c>
      <c r="AN22" s="115" t="s">
        <v>242</v>
      </c>
      <c r="AO22" s="115" t="s">
        <v>130</v>
      </c>
      <c r="AP22" s="318"/>
      <c r="AQ22" s="320"/>
      <c r="AR22" s="126" t="s">
        <v>20</v>
      </c>
      <c r="AS22" s="126" t="s">
        <v>20</v>
      </c>
      <c r="AT22" s="126" t="s">
        <v>20</v>
      </c>
      <c r="AU22" s="126" t="s">
        <v>21</v>
      </c>
      <c r="AV22" s="126" t="s">
        <v>21</v>
      </c>
      <c r="AW22" s="126" t="s">
        <v>21</v>
      </c>
      <c r="AX22" s="126"/>
      <c r="AY22" s="126"/>
      <c r="AZ22" s="126"/>
      <c r="BA22" s="115" t="s">
        <v>244</v>
      </c>
      <c r="BB22" s="115" t="s">
        <v>244</v>
      </c>
      <c r="BC22" s="115" t="s">
        <v>244</v>
      </c>
      <c r="BD22" s="115" t="s">
        <v>244</v>
      </c>
      <c r="BE22" s="115" t="s">
        <v>6</v>
      </c>
      <c r="BF22" s="115" t="s">
        <v>6</v>
      </c>
      <c r="BG22" s="161" t="s">
        <v>244</v>
      </c>
      <c r="BH22" s="128" t="s">
        <v>20</v>
      </c>
      <c r="BI22" s="128" t="s">
        <v>20</v>
      </c>
      <c r="BJ22" s="130" t="s">
        <v>20</v>
      </c>
      <c r="BK22" s="128" t="s">
        <v>20</v>
      </c>
      <c r="BL22" s="133"/>
      <c r="BM22" s="313"/>
      <c r="BN22" s="322"/>
      <c r="BO22" s="115" t="s">
        <v>244</v>
      </c>
      <c r="BP22" s="115" t="s">
        <v>244</v>
      </c>
      <c r="BQ22" s="128" t="s">
        <v>20</v>
      </c>
      <c r="BR22" s="313"/>
      <c r="BS22" s="315"/>
      <c r="BT22" s="336"/>
      <c r="BU22" s="322"/>
      <c r="BV22" s="128" t="s">
        <v>20</v>
      </c>
      <c r="BW22" s="128" t="s">
        <v>21</v>
      </c>
      <c r="BX22" s="128" t="s">
        <v>20</v>
      </c>
      <c r="BY22" s="128" t="s">
        <v>2</v>
      </c>
      <c r="BZ22" s="128" t="s">
        <v>257</v>
      </c>
      <c r="CA22" s="128" t="s">
        <v>2</v>
      </c>
      <c r="CB22" s="128" t="s">
        <v>257</v>
      </c>
      <c r="CC22" s="128" t="s">
        <v>2</v>
      </c>
      <c r="CD22" s="128" t="s">
        <v>257</v>
      </c>
      <c r="CE22" s="313"/>
      <c r="CF22" s="322"/>
      <c r="CG22" s="50"/>
      <c r="DA22" s="110"/>
      <c r="DB22" s="112" t="s">
        <v>294</v>
      </c>
      <c r="DC22" s="113" t="s">
        <v>300</v>
      </c>
      <c r="DD22" s="115" t="s">
        <v>243</v>
      </c>
      <c r="DE22" s="148"/>
      <c r="DF22" s="115"/>
      <c r="DG22" s="115"/>
      <c r="DH22" s="115"/>
      <c r="DI22" s="115"/>
      <c r="DJ22" s="318"/>
      <c r="DK22" s="115" t="s">
        <v>244</v>
      </c>
      <c r="DL22" s="115" t="s">
        <v>244</v>
      </c>
      <c r="DM22" s="115" t="s">
        <v>244</v>
      </c>
      <c r="DN22" s="115" t="s">
        <v>242</v>
      </c>
      <c r="DO22" s="115" t="s">
        <v>130</v>
      </c>
      <c r="DP22" s="318"/>
      <c r="DQ22" s="320"/>
      <c r="DR22" s="126" t="s">
        <v>20</v>
      </c>
      <c r="DS22" s="126" t="s">
        <v>20</v>
      </c>
      <c r="DT22" s="126" t="s">
        <v>20</v>
      </c>
      <c r="DU22" s="126" t="s">
        <v>21</v>
      </c>
      <c r="DV22" s="126" t="s">
        <v>21</v>
      </c>
      <c r="DW22" s="126" t="s">
        <v>21</v>
      </c>
      <c r="DX22" s="126"/>
      <c r="DY22" s="126"/>
      <c r="DZ22" s="126"/>
      <c r="EA22" s="115" t="s">
        <v>244</v>
      </c>
      <c r="EB22" s="115" t="s">
        <v>244</v>
      </c>
      <c r="EC22" s="115" t="s">
        <v>244</v>
      </c>
      <c r="ED22" s="115" t="s">
        <v>244</v>
      </c>
      <c r="EE22" s="115" t="s">
        <v>6</v>
      </c>
      <c r="EF22" s="115" t="s">
        <v>6</v>
      </c>
      <c r="EG22" s="161" t="s">
        <v>244</v>
      </c>
      <c r="EH22" s="128" t="s">
        <v>20</v>
      </c>
      <c r="EI22" s="128" t="s">
        <v>20</v>
      </c>
      <c r="EJ22" s="130" t="s">
        <v>20</v>
      </c>
      <c r="EK22" s="128" t="s">
        <v>20</v>
      </c>
      <c r="EL22" s="133"/>
      <c r="EM22" s="313"/>
      <c r="EN22" s="322"/>
      <c r="EO22" s="115" t="s">
        <v>244</v>
      </c>
      <c r="EP22" s="115" t="s">
        <v>244</v>
      </c>
      <c r="EQ22" s="128" t="s">
        <v>20</v>
      </c>
      <c r="ER22" s="313"/>
      <c r="ES22" s="322"/>
      <c r="ET22" s="313"/>
      <c r="EU22" s="322"/>
      <c r="EV22" s="128" t="s">
        <v>20</v>
      </c>
      <c r="EW22" s="128" t="s">
        <v>21</v>
      </c>
      <c r="EX22" s="128" t="s">
        <v>20</v>
      </c>
      <c r="EY22" s="128" t="s">
        <v>2</v>
      </c>
      <c r="EZ22" s="128" t="s">
        <v>257</v>
      </c>
      <c r="FA22" s="128" t="s">
        <v>2</v>
      </c>
      <c r="FB22" s="128" t="s">
        <v>257</v>
      </c>
      <c r="FC22" s="128" t="s">
        <v>2</v>
      </c>
      <c r="FD22" s="128" t="s">
        <v>257</v>
      </c>
      <c r="FE22" s="313"/>
      <c r="FF22" s="315"/>
      <c r="FG22" s="50"/>
    </row>
    <row r="23" spans="2:163" ht="12.75" customHeight="1">
      <c r="B23" s="93" t="s">
        <v>90</v>
      </c>
      <c r="C23" s="96" t="s">
        <v>91</v>
      </c>
      <c r="D23" s="50"/>
      <c r="H23" s="102"/>
      <c r="I23" s="66" t="str">
        <f>"- Số mặt cắt tính toán của một bu lông:"</f>
        <v>- Số mặt cắt tính toán của một bu lông:</v>
      </c>
      <c r="J23" s="66"/>
      <c r="K23" s="249"/>
      <c r="L23" s="90"/>
      <c r="M23" s="66"/>
      <c r="N23" s="5"/>
      <c r="O23" s="5"/>
      <c r="P23" s="5"/>
      <c r="Q23" s="8" t="s">
        <v>287</v>
      </c>
      <c r="R23" s="6">
        <v>1</v>
      </c>
      <c r="S23" s="155" t="s">
        <v>288</v>
      </c>
      <c r="AA23" s="111" t="s">
        <v>245</v>
      </c>
      <c r="AB23" s="111" t="s">
        <v>311</v>
      </c>
      <c r="AC23" s="111">
        <v>44</v>
      </c>
      <c r="AD23" s="58">
        <v>0.3</v>
      </c>
      <c r="AE23" s="120">
        <v>500</v>
      </c>
      <c r="AF23" s="121">
        <v>300</v>
      </c>
      <c r="AG23" s="121">
        <v>10</v>
      </c>
      <c r="AH23" s="121">
        <v>14</v>
      </c>
      <c r="AI23" s="121">
        <v>472</v>
      </c>
      <c r="AJ23" s="64" t="str" cm="1">
        <f t="array" ref="AJ23">_xll.Dce_Name_SectI(AE23, AE23, AF23, AG23, AH23, "x", "-", "H Tổng")</f>
        <v>500x300x10x14</v>
      </c>
      <c r="AK23" s="122">
        <f t="shared" ref="AK23" si="0">AE23+2*(VLOOKUP(AO23,$B$13:$F$21,2,FALSE)+VLOOKUP(AO23,$B$13:$F$21,3,FALSE))</f>
        <v>760</v>
      </c>
      <c r="AL23" s="123">
        <f>IFERROR(INDEX($B$24:$B$31,IFERROR(MATCH(AF23,$B$24:$B$31,0),MATCH(AF23,$B$24:$B$31,1)+1)),$B$24)</f>
        <v>300</v>
      </c>
      <c r="AM23" s="123">
        <f>IFERROR(VLOOKUP(AE23,$B$42:$F$59,4,FALSE),INDEX($E$42:$E$58,MATCH(AE23,$B$42:$B$58,1)+1))</f>
        <v>25</v>
      </c>
      <c r="AN23" s="123">
        <f>IFERROR(VLOOKUP(AE23,$B$42:$F$59,2,FALSE),INDEX($C$42:$C$58,MATCH(AE23,$B$42:$B$58,1)+1))</f>
        <v>8</v>
      </c>
      <c r="AO23" s="123">
        <f>IFERROR(VLOOKUP(AE23,$B$42:$F$59,3,FALSE),INDEX($D$42:$D$58,MATCH(AE23,$B$42:$B$58,1)+1))</f>
        <v>24</v>
      </c>
      <c r="AP23" s="165" t="str">
        <f>AK23&amp;"x"&amp;AL23&amp;"x"&amp;AM23&amp;" + "&amp;AN23&amp;"M"&amp;AO23</f>
        <v>760x300x25 + 8M24</v>
      </c>
      <c r="AQ23" s="111" t="s">
        <v>313</v>
      </c>
      <c r="AR23" s="120">
        <v>0</v>
      </c>
      <c r="AS23" s="120">
        <v>-268.10675282921193</v>
      </c>
      <c r="AT23" s="120">
        <v>-1.8144419300369912E-13</v>
      </c>
      <c r="AU23" s="120">
        <v>-2.4997601063826954E-3</v>
      </c>
      <c r="AV23" s="120">
        <v>-3.558126991265452E-13</v>
      </c>
      <c r="AW23" s="120">
        <v>-506.97096502920334</v>
      </c>
      <c r="AX23" s="120"/>
      <c r="AY23" s="120"/>
      <c r="AZ23" s="120"/>
      <c r="BA23" s="122">
        <f t="shared" ref="BA23" si="1">VLOOKUP(AO23,$B$13:$F$21,2,FALSE)</f>
        <v>60</v>
      </c>
      <c r="BB23" s="122">
        <f t="shared" ref="BB23" si="2">VLOOKUP(AO23,$B$13:$F$21,3,FALSE)</f>
        <v>70</v>
      </c>
      <c r="BC23" s="122">
        <f t="shared" ref="BC23" si="3">VLOOKUP(AO23,$B$13:$F$21,4,FALSE)</f>
        <v>80</v>
      </c>
      <c r="BD23" s="122">
        <f t="shared" ref="BD23" si="4">VLOOKUP(AO23,$B$13:$F$21,5,FALSE)</f>
        <v>150</v>
      </c>
      <c r="BE23" s="122">
        <f>VLOOKUP(AO23,Data!$V$4:$Z$15,3,FALSE)</f>
        <v>452.38934211693021</v>
      </c>
      <c r="BF23" s="122">
        <f>VLOOKUP(AO23,Data!$V$4:$Z$15,4,FALSE)</f>
        <v>353</v>
      </c>
      <c r="BG23" s="163">
        <f t="shared" ref="BG23" si="5">VLOOKUP(AL23,$B$24:$C$39,2,FALSE)</f>
        <v>150</v>
      </c>
      <c r="BH23" s="122">
        <f>$R$17*BE23*$R$23*$R$24*$R$25/1000</f>
        <v>121.65654188208487</v>
      </c>
      <c r="BI23" s="122">
        <f>$R$19*AO23*AM23*$R$24*$R$25/1000</f>
        <v>243</v>
      </c>
      <c r="BJ23" s="163">
        <f>$R$18*BF23*$R$24/1000</f>
        <v>142.3296</v>
      </c>
      <c r="BK23" s="131">
        <f>ABS(AS23)/AN23</f>
        <v>33.513344103651491</v>
      </c>
      <c r="BL23" s="134">
        <f>MIN(1,MAX(0.75,1-0.005*(BO23/AO23-16)))</f>
        <v>0.94666666666666666</v>
      </c>
      <c r="BM23" s="135">
        <f>BK23/(BL23*MIN(BH23,BI23))</f>
        <v>0.29099478975913651</v>
      </c>
      <c r="BN23" s="92" t="str">
        <f>IF(BM23&lt;=1,"OK","O/S")</f>
        <v>OK</v>
      </c>
      <c r="BO23" s="135">
        <f>_xll.DCEBoltDisRS(AN23, AE23, BA23, BB23, BC23, BD23, "h1")</f>
        <v>640</v>
      </c>
      <c r="BP23" s="136">
        <f>_xll.DCEBoltDisRS(AN23, AE23, BA23, BB23, BC23, BD23, "Tong")</f>
        <v>672200</v>
      </c>
      <c r="BQ23" s="137">
        <f>ABS(AW23)*1000*BO23/(2*BP23)+AR23/AN23</f>
        <v>241.34291700289359</v>
      </c>
      <c r="BR23" s="135">
        <f>BQ23/BJ23</f>
        <v>1.6956621602456101</v>
      </c>
      <c r="BS23" s="64" t="str">
        <f>IF(BR23&lt;=1,"OK","O/S")</f>
        <v>O/S</v>
      </c>
      <c r="BT23" s="131">
        <f>SQRT((BK23/BH23)^2+(BQ23/BJ23)^2)</f>
        <v>1.7178930917200077</v>
      </c>
      <c r="BU23" s="92" t="str">
        <f>IF(BT23&lt;=1,"OK","O/S")</f>
        <v>O/S</v>
      </c>
      <c r="BV23" s="139">
        <f>ABS(ABS(AW23)/((AE23-AH23)/1000)+AR23)</f>
        <v>1043.1501338049452</v>
      </c>
      <c r="BW23" s="131">
        <f>BV23*(BG23/1000)/8</f>
        <v>19.559065008842722</v>
      </c>
      <c r="BX23" s="139">
        <f>BV23/2</f>
        <v>521.5750669024726</v>
      </c>
      <c r="BY23" s="123">
        <f>6*BW23*1000000/(AK23*AM23^2)</f>
        <v>247.06187379590807</v>
      </c>
      <c r="BZ23" s="141">
        <f>BY23/($R$32*$R$30)</f>
        <v>1.2009952198412199</v>
      </c>
      <c r="CA23" s="131">
        <f>BX23*1000/(AK23*AM23)</f>
        <v>27.451319310656451</v>
      </c>
      <c r="CB23" s="143">
        <f>CA23/($R$32*$R$31)</f>
        <v>0.23007571261326051</v>
      </c>
      <c r="CC23" s="123">
        <f>SQRT(BY23^2+3*CA23^2)</f>
        <v>251.59549733497232</v>
      </c>
      <c r="CD23" s="131">
        <f>CC23/(1.15*$R$32*$R$30)</f>
        <v>1.0635075370439653</v>
      </c>
      <c r="CE23" s="135">
        <f>MAX(BZ23,CB23,CD23)</f>
        <v>1.2009952198412199</v>
      </c>
      <c r="CF23" s="92" t="str">
        <f>IF(CE23&lt;=1,"OK","O/S")</f>
        <v>O/S</v>
      </c>
      <c r="CG23" s="50"/>
      <c r="DA23" s="135" t="s">
        <v>245</v>
      </c>
      <c r="DB23" s="135" t="s">
        <v>311</v>
      </c>
      <c r="DC23" s="135">
        <v>44</v>
      </c>
      <c r="DD23" s="143">
        <v>0.3</v>
      </c>
      <c r="DE23" s="137">
        <v>500</v>
      </c>
      <c r="DF23" s="92">
        <v>300</v>
      </c>
      <c r="DG23" s="92">
        <v>10</v>
      </c>
      <c r="DH23" s="92">
        <v>14</v>
      </c>
      <c r="DI23" s="92">
        <v>472</v>
      </c>
      <c r="DJ23" s="121" t="s">
        <v>342</v>
      </c>
      <c r="DK23" s="137">
        <v>760</v>
      </c>
      <c r="DL23" s="92">
        <v>300</v>
      </c>
      <c r="DM23" s="92">
        <v>25</v>
      </c>
      <c r="DN23" s="92">
        <v>8</v>
      </c>
      <c r="DO23" s="92">
        <v>24</v>
      </c>
      <c r="DP23" s="123" t="s">
        <v>343</v>
      </c>
      <c r="DQ23" s="111" t="s">
        <v>313</v>
      </c>
      <c r="DR23" s="120">
        <v>0</v>
      </c>
      <c r="DS23" s="120">
        <v>-268.10675282921193</v>
      </c>
      <c r="DT23" s="120">
        <v>-1.8144419300369912E-13</v>
      </c>
      <c r="DU23" s="120">
        <v>-2.4997601063826954E-3</v>
      </c>
      <c r="DV23" s="120">
        <v>-3.558126991265452E-13</v>
      </c>
      <c r="DW23" s="120">
        <v>-506.97096502920334</v>
      </c>
      <c r="DX23" s="120"/>
      <c r="DY23" s="120"/>
      <c r="DZ23" s="120"/>
      <c r="EA23" s="122">
        <v>60</v>
      </c>
      <c r="EB23" s="122">
        <v>70</v>
      </c>
      <c r="EC23" s="122">
        <v>80</v>
      </c>
      <c r="ED23" s="122">
        <v>150</v>
      </c>
      <c r="EE23" s="122">
        <v>452.38934211693021</v>
      </c>
      <c r="EF23" s="122">
        <v>353</v>
      </c>
      <c r="EG23" s="163">
        <v>150</v>
      </c>
      <c r="EH23" s="122">
        <v>121.65654188208487</v>
      </c>
      <c r="EI23" s="122">
        <v>243</v>
      </c>
      <c r="EJ23" s="163">
        <v>142.3296</v>
      </c>
      <c r="EK23" s="131">
        <v>33.513344103651491</v>
      </c>
      <c r="EL23" s="134">
        <v>0.94666666666666666</v>
      </c>
      <c r="EM23" s="131">
        <v>0.29099478975913651</v>
      </c>
      <c r="EN23" s="131" t="s">
        <v>344</v>
      </c>
      <c r="EO23" s="131">
        <v>640</v>
      </c>
      <c r="EP23" s="131">
        <v>672200</v>
      </c>
      <c r="EQ23" s="131">
        <v>241.34291700289359</v>
      </c>
      <c r="ER23" s="131">
        <v>1.6956621602456101</v>
      </c>
      <c r="ES23" s="131" t="s">
        <v>345</v>
      </c>
      <c r="ET23" s="131">
        <v>1.7178930917200077</v>
      </c>
      <c r="EU23" s="131" t="s">
        <v>345</v>
      </c>
      <c r="EV23" s="139">
        <v>1043.1501338049452</v>
      </c>
      <c r="EW23" s="131">
        <v>19.559065008842722</v>
      </c>
      <c r="EX23" s="139">
        <v>521.5750669024726</v>
      </c>
      <c r="EY23" s="123">
        <v>247.06187379590807</v>
      </c>
      <c r="EZ23" s="141">
        <v>1.2009952198412199</v>
      </c>
      <c r="FA23" s="131">
        <v>27.451319310656451</v>
      </c>
      <c r="FB23" s="143">
        <v>0.23007571261326051</v>
      </c>
      <c r="FC23" s="123">
        <v>251.59549733497232</v>
      </c>
      <c r="FD23" s="131">
        <v>1.0635075370439653</v>
      </c>
      <c r="FE23" s="131">
        <v>1.2009952198412199</v>
      </c>
      <c r="FF23" s="64" t="s">
        <v>345</v>
      </c>
      <c r="FG23" s="50"/>
    </row>
    <row r="24" spans="2:163" ht="12.75" customHeight="1">
      <c r="B24" s="92">
        <v>200</v>
      </c>
      <c r="C24" s="92">
        <v>100</v>
      </c>
      <c r="D24" s="50"/>
      <c r="H24" s="102"/>
      <c r="I24" s="66" t="str">
        <f>"- Hệ số điều kiện làm việc (bảng 1):"</f>
        <v>- Hệ số điều kiện làm việc (bảng 1):</v>
      </c>
      <c r="J24" s="66"/>
      <c r="K24" s="249"/>
      <c r="L24" s="90"/>
      <c r="M24" s="66"/>
      <c r="N24" s="5"/>
      <c r="O24" s="5"/>
      <c r="P24" s="5"/>
      <c r="Q24" s="91" t="s">
        <v>11</v>
      </c>
      <c r="R24" s="16">
        <f>IF(S16="A",1,0.9)</f>
        <v>0.9</v>
      </c>
      <c r="S24" s="156"/>
      <c r="AA24" s="111" t="s">
        <v>245</v>
      </c>
      <c r="AB24" s="111" t="s">
        <v>311</v>
      </c>
      <c r="AC24" s="111">
        <v>44</v>
      </c>
      <c r="AD24" s="58">
        <v>3</v>
      </c>
      <c r="AE24" s="120">
        <v>500</v>
      </c>
      <c r="AF24" s="121">
        <v>300</v>
      </c>
      <c r="AG24" s="121">
        <v>10</v>
      </c>
      <c r="AH24" s="121">
        <v>14</v>
      </c>
      <c r="AI24" s="121">
        <v>472</v>
      </c>
      <c r="AJ24" s="64" t="str" cm="1">
        <f t="array" ref="AJ24">_xll.Dce_Name_SectI(AE24, AE24, AF24, AG24, AH24, "x", "-", "H Tổng")</f>
        <v>500x300x10x14</v>
      </c>
      <c r="AK24" s="122">
        <f t="shared" ref="AK24:AK87" si="6">AE24+2*(VLOOKUP(AO24,$B$13:$F$21,2,FALSE)+VLOOKUP(AO24,$B$13:$F$21,3,FALSE))</f>
        <v>760</v>
      </c>
      <c r="AL24" s="123">
        <f t="shared" ref="AL24:AL87" si="7">IFERROR(INDEX($B$24:$B$31,IFERROR(MATCH(AF24,$B$24:$B$31,0),MATCH(AF24,$B$24:$B$31,1)+1)),$B$24)</f>
        <v>300</v>
      </c>
      <c r="AM24" s="123">
        <f t="shared" ref="AM24:AM87" si="8">IFERROR(VLOOKUP(AE24,$B$42:$F$59,4,FALSE),INDEX($E$42:$E$58,MATCH(AE24,$B$42:$B$58,1)+1))</f>
        <v>25</v>
      </c>
      <c r="AN24" s="123">
        <f t="shared" ref="AN24:AN87" si="9">IFERROR(VLOOKUP(AE24,$B$42:$F$59,2,FALSE),INDEX($C$42:$C$58,MATCH(AE24,$B$42:$B$58,1)+1))</f>
        <v>8</v>
      </c>
      <c r="AO24" s="123">
        <f t="shared" ref="AO24:AO87" si="10">IFERROR(VLOOKUP(AE24,$B$42:$F$59,3,FALSE),INDEX($D$42:$D$58,MATCH(AE24,$B$42:$B$58,1)+1))</f>
        <v>24</v>
      </c>
      <c r="AP24" s="165" t="str">
        <f t="shared" ref="AP24:AP87" si="11">AK24&amp;"x"&amp;AL24&amp;"x"&amp;AM24&amp;" + "&amp;AN24&amp;"M"&amp;AO24</f>
        <v>760x300x25 + 8M24</v>
      </c>
      <c r="AQ24" s="111" t="s">
        <v>313</v>
      </c>
      <c r="AR24" s="120">
        <v>0</v>
      </c>
      <c r="AS24" s="120">
        <v>-180.49405113589657</v>
      </c>
      <c r="AT24" s="120">
        <v>-1.0440999176353214E-13</v>
      </c>
      <c r="AU24" s="120">
        <v>-2.4990088123500857E-3</v>
      </c>
      <c r="AV24" s="120">
        <v>7.4691342888399936E-14</v>
      </c>
      <c r="AW24" s="120">
        <v>119.58351424904521</v>
      </c>
      <c r="AX24" s="120"/>
      <c r="AY24" s="120"/>
      <c r="AZ24" s="120"/>
      <c r="BA24" s="122">
        <f t="shared" ref="BA24:BA87" si="12">VLOOKUP(AO24,$B$13:$F$21,2,FALSE)</f>
        <v>60</v>
      </c>
      <c r="BB24" s="122">
        <f t="shared" ref="BB24:BB87" si="13">VLOOKUP(AO24,$B$13:$F$21,3,FALSE)</f>
        <v>70</v>
      </c>
      <c r="BC24" s="122">
        <f t="shared" ref="BC24:BC87" si="14">VLOOKUP(AO24,$B$13:$F$21,4,FALSE)</f>
        <v>80</v>
      </c>
      <c r="BD24" s="122">
        <f t="shared" ref="BD24:BD87" si="15">VLOOKUP(AO24,$B$13:$F$21,5,FALSE)</f>
        <v>150</v>
      </c>
      <c r="BE24" s="122">
        <f>VLOOKUP(AO24,Data!$V$4:$Z$15,3,FALSE)</f>
        <v>452.38934211693021</v>
      </c>
      <c r="BF24" s="122">
        <f>VLOOKUP(AO24,Data!$V$4:$Z$15,4,FALSE)</f>
        <v>353</v>
      </c>
      <c r="BG24" s="163">
        <f t="shared" ref="BG24:BG87" si="16">VLOOKUP(AL24,$B$24:$C$39,2,FALSE)</f>
        <v>150</v>
      </c>
      <c r="BH24" s="122">
        <f t="shared" ref="BH24:BH87" si="17">$R$17*BE24*$R$23*$R$24*$R$25/1000</f>
        <v>121.65654188208487</v>
      </c>
      <c r="BI24" s="122">
        <f t="shared" ref="BI24:BI87" si="18">$R$19*AO24*AM24*$R$24*$R$25/1000</f>
        <v>243</v>
      </c>
      <c r="BJ24" s="163">
        <f t="shared" ref="BJ24:BJ87" si="19">$R$18*BF24*$R$24/1000</f>
        <v>142.3296</v>
      </c>
      <c r="BK24" s="131">
        <f t="shared" ref="BK24:BK87" si="20">ABS(AS24)/AN24</f>
        <v>22.561756391987071</v>
      </c>
      <c r="BL24" s="134">
        <f t="shared" ref="BL24:BL87" si="21">MIN(1,MAX(0.75,1-0.005*(BO24/AO24-16)))</f>
        <v>0.94666666666666666</v>
      </c>
      <c r="BM24" s="135">
        <f t="shared" ref="BM24:BM87" si="22">BK24/(BL24*MIN(BH24,BI24))</f>
        <v>0.19590266902573281</v>
      </c>
      <c r="BN24" s="92" t="str">
        <f t="shared" ref="BN24:BN87" si="23">IF(BM24&lt;=1,"OK","O/S")</f>
        <v>OK</v>
      </c>
      <c r="BO24" s="135">
        <f>_xll.DCEBoltDisRS(AN24, AE24, BA24, BB24, BC24, BD24, "h1")</f>
        <v>640</v>
      </c>
      <c r="BP24" s="136">
        <f>_xll.DCEBoltDisRS(AN24, AE24, BA24, BB24, BC24, BD24, "Tong")</f>
        <v>672200</v>
      </c>
      <c r="BQ24" s="137">
        <f t="shared" ref="BQ24:BQ87" si="24">ABS(AW24)*1000*BO24/(2*BP24)+AR24/AN24</f>
        <v>56.927587860301202</v>
      </c>
      <c r="BR24" s="135">
        <f t="shared" ref="BR24:BR87" si="25">BQ24/BJ24</f>
        <v>0.39997012469859539</v>
      </c>
      <c r="BS24" s="64" t="str">
        <f t="shared" ref="BS24:BS87" si="26">IF(BR24&lt;=1,"OK","O/S")</f>
        <v>OK</v>
      </c>
      <c r="BT24" s="131">
        <f t="shared" ref="BT24:BT87" si="27">SQRT((BK24/BH24)^2+(BQ24/BJ24)^2)</f>
        <v>0.44087354436012299</v>
      </c>
      <c r="BU24" s="92" t="str">
        <f t="shared" ref="BU24:BU87" si="28">IF(BT24&lt;=1,"OK","O/S")</f>
        <v>OK</v>
      </c>
      <c r="BV24" s="139">
        <f t="shared" ref="BV24:BV87" si="29">ABS(ABS(AW24)/((AE24-AH24)/1000)+AR24)</f>
        <v>246.05661368116299</v>
      </c>
      <c r="BW24" s="131">
        <f t="shared" ref="BW24:BW87" si="30">BV24*(BG24/1000)/8</f>
        <v>4.6135615065218056</v>
      </c>
      <c r="BX24" s="139">
        <f t="shared" ref="BX24:BX87" si="31">BV24/2</f>
        <v>123.02830684058149</v>
      </c>
      <c r="BY24" s="123">
        <f t="shared" ref="BY24:BY87" si="32">6*BW24*1000000/(AK24*AM24^2)</f>
        <v>58.276566398170182</v>
      </c>
      <c r="BZ24" s="141">
        <f t="shared" ref="BZ24:BZ87" si="33">BY24/($R$32*$R$30)</f>
        <v>0.28328886443554951</v>
      </c>
      <c r="CA24" s="131">
        <f t="shared" ref="CA24:CA87" si="34">BX24*1000/(AK24*AM24)</f>
        <v>6.4751740442411316</v>
      </c>
      <c r="CB24" s="143">
        <f t="shared" ref="CB24:CB87" si="35">CA24/($R$32*$R$31)</f>
        <v>5.426989740144627E-2</v>
      </c>
      <c r="CC24" s="123">
        <f t="shared" ref="CC24:CC87" si="36">SQRT(BY24^2+3*CA24^2)</f>
        <v>59.345950391496636</v>
      </c>
      <c r="CD24" s="131">
        <f t="shared" ref="CD24:CD87" si="37">CC24/(1.15*$R$32*$R$30)</f>
        <v>0.25085848595439403</v>
      </c>
      <c r="CE24" s="135">
        <f t="shared" ref="CE24:CE87" si="38">MAX(BZ24,CB24,CD24)</f>
        <v>0.28328886443554951</v>
      </c>
      <c r="CF24" s="92" t="str">
        <f t="shared" ref="CF24:CF87" si="39">IF(CE24&lt;=1,"OK","O/S")</f>
        <v>OK</v>
      </c>
      <c r="CG24" s="50"/>
      <c r="DA24" s="135" t="s">
        <v>245</v>
      </c>
      <c r="DB24" s="135" t="s">
        <v>312</v>
      </c>
      <c r="DC24" s="135">
        <v>46</v>
      </c>
      <c r="DD24" s="143">
        <v>0</v>
      </c>
      <c r="DE24" s="137">
        <v>750</v>
      </c>
      <c r="DF24" s="92">
        <v>350</v>
      </c>
      <c r="DG24" s="92">
        <v>14</v>
      </c>
      <c r="DH24" s="92">
        <v>18.000000000000004</v>
      </c>
      <c r="DI24" s="92">
        <v>714</v>
      </c>
      <c r="DJ24" s="121" t="s">
        <v>352</v>
      </c>
      <c r="DK24" s="137">
        <v>1010</v>
      </c>
      <c r="DL24" s="92">
        <v>350</v>
      </c>
      <c r="DM24" s="92">
        <v>25</v>
      </c>
      <c r="DN24" s="92">
        <v>12</v>
      </c>
      <c r="DO24" s="92">
        <v>24</v>
      </c>
      <c r="DP24" s="123" t="s">
        <v>353</v>
      </c>
      <c r="DQ24" s="111" t="s">
        <v>313</v>
      </c>
      <c r="DR24" s="120">
        <v>0</v>
      </c>
      <c r="DS24" s="120">
        <v>256.38343897226935</v>
      </c>
      <c r="DT24" s="120">
        <v>-3.0559021979570381E-14</v>
      </c>
      <c r="DU24" s="120">
        <v>-2.5001251753249925E-3</v>
      </c>
      <c r="DV24" s="120">
        <v>2.0861625671386711E-14</v>
      </c>
      <c r="DW24" s="120">
        <v>-209.70737740730777</v>
      </c>
      <c r="DX24" s="120"/>
      <c r="DY24" s="120"/>
      <c r="DZ24" s="120"/>
      <c r="EA24" s="122">
        <v>60</v>
      </c>
      <c r="EB24" s="122">
        <v>70</v>
      </c>
      <c r="EC24" s="122">
        <v>80</v>
      </c>
      <c r="ED24" s="122">
        <v>150</v>
      </c>
      <c r="EE24" s="122">
        <v>452.38934211693021</v>
      </c>
      <c r="EF24" s="122">
        <v>353</v>
      </c>
      <c r="EG24" s="163">
        <v>180</v>
      </c>
      <c r="EH24" s="122">
        <v>121.65654188208487</v>
      </c>
      <c r="EI24" s="122">
        <v>243</v>
      </c>
      <c r="EJ24" s="163">
        <v>142.3296</v>
      </c>
      <c r="EK24" s="131">
        <v>21.365286581022445</v>
      </c>
      <c r="EL24" s="122">
        <v>0.89458333333333329</v>
      </c>
      <c r="EM24" s="131">
        <v>0.19631453354833209</v>
      </c>
      <c r="EN24" s="131" t="s">
        <v>344</v>
      </c>
      <c r="EO24" s="131">
        <v>890</v>
      </c>
      <c r="EP24" s="131">
        <v>1800300</v>
      </c>
      <c r="EQ24" s="131">
        <v>51.83568457826582</v>
      </c>
      <c r="ER24" s="131">
        <v>0.3641946901998307</v>
      </c>
      <c r="ES24" s="131" t="s">
        <v>344</v>
      </c>
      <c r="ET24" s="131">
        <v>0.40432666847636584</v>
      </c>
      <c r="EU24" s="131" t="s">
        <v>344</v>
      </c>
      <c r="EV24" s="139">
        <v>286.48548826134942</v>
      </c>
      <c r="EW24" s="131">
        <v>6.4459234858803613</v>
      </c>
      <c r="EX24" s="139">
        <v>143.24274413067471</v>
      </c>
      <c r="EY24" s="123">
        <v>61.268183628169773</v>
      </c>
      <c r="EZ24" s="141">
        <v>0.29783144819249197</v>
      </c>
      <c r="FA24" s="131">
        <v>5.672979965571276</v>
      </c>
      <c r="FB24" s="143">
        <v>4.7546527489222862E-2</v>
      </c>
      <c r="FC24" s="123">
        <v>62.051095318007476</v>
      </c>
      <c r="FD24" s="131">
        <v>0.26229327731041813</v>
      </c>
      <c r="FE24" s="131">
        <v>0.29783144819249197</v>
      </c>
      <c r="FF24" s="64" t="s">
        <v>344</v>
      </c>
      <c r="FG24" s="50"/>
    </row>
    <row r="25" spans="2:163" ht="12.75" customHeight="1">
      <c r="B25" s="92">
        <v>212</v>
      </c>
      <c r="C25" s="92">
        <v>120</v>
      </c>
      <c r="D25" s="50"/>
      <c r="H25" s="102"/>
      <c r="I25" s="66" t="str">
        <f>"- Hệ số điều kiện làm việc của liên kết:"</f>
        <v>- Hệ số điều kiện làm việc của liên kết:</v>
      </c>
      <c r="J25" s="66"/>
      <c r="K25" s="249"/>
      <c r="L25" s="90"/>
      <c r="M25" s="66"/>
      <c r="N25" s="5"/>
      <c r="O25" s="5"/>
      <c r="P25" s="5"/>
      <c r="Q25" s="91" t="s">
        <v>7</v>
      </c>
      <c r="R25" s="16">
        <f>IF(S16="A",1,0.9)</f>
        <v>0.9</v>
      </c>
      <c r="S25" s="156"/>
      <c r="AA25" s="111" t="s">
        <v>245</v>
      </c>
      <c r="AB25" s="111" t="s">
        <v>311</v>
      </c>
      <c r="AC25" s="111">
        <v>44</v>
      </c>
      <c r="AD25" s="58">
        <v>0.3</v>
      </c>
      <c r="AE25" s="120">
        <v>500</v>
      </c>
      <c r="AF25" s="121">
        <v>300</v>
      </c>
      <c r="AG25" s="121">
        <v>10</v>
      </c>
      <c r="AH25" s="121">
        <v>14</v>
      </c>
      <c r="AI25" s="121">
        <v>472</v>
      </c>
      <c r="AJ25" s="64" t="str" cm="1">
        <f t="array" ref="AJ25">_xll.Dce_Name_SectI(AE25, AE25, AF25, AG25, AH25, "x", "-", "H Tổng")</f>
        <v>500x300x10x14</v>
      </c>
      <c r="AK25" s="122">
        <f t="shared" si="6"/>
        <v>760</v>
      </c>
      <c r="AL25" s="123">
        <f t="shared" si="7"/>
        <v>300</v>
      </c>
      <c r="AM25" s="123">
        <f t="shared" si="8"/>
        <v>25</v>
      </c>
      <c r="AN25" s="123">
        <f t="shared" si="9"/>
        <v>8</v>
      </c>
      <c r="AO25" s="123">
        <f t="shared" si="10"/>
        <v>24</v>
      </c>
      <c r="AP25" s="165" t="str">
        <f t="shared" si="11"/>
        <v>760x300x25 + 8M24</v>
      </c>
      <c r="AQ25" s="111" t="s">
        <v>314</v>
      </c>
      <c r="AR25" s="120">
        <v>0</v>
      </c>
      <c r="AS25" s="120">
        <v>-732.27641330101324</v>
      </c>
      <c r="AT25" s="120">
        <v>-4.871225200986372E-13</v>
      </c>
      <c r="AU25" s="120">
        <v>-6.3338582843880343E-3</v>
      </c>
      <c r="AV25" s="120">
        <v>-9.8326282227390008E-13</v>
      </c>
      <c r="AW25" s="120">
        <v>-1402.2123925579715</v>
      </c>
      <c r="AX25" s="120"/>
      <c r="AY25" s="120"/>
      <c r="AZ25" s="120"/>
      <c r="BA25" s="122">
        <f t="shared" si="12"/>
        <v>60</v>
      </c>
      <c r="BB25" s="122">
        <f t="shared" si="13"/>
        <v>70</v>
      </c>
      <c r="BC25" s="122">
        <f t="shared" si="14"/>
        <v>80</v>
      </c>
      <c r="BD25" s="122">
        <f t="shared" si="15"/>
        <v>150</v>
      </c>
      <c r="BE25" s="122">
        <f>VLOOKUP(AO25,Data!$V$4:$Z$15,3,FALSE)</f>
        <v>452.38934211693021</v>
      </c>
      <c r="BF25" s="122">
        <f>VLOOKUP(AO25,Data!$V$4:$Z$15,4,FALSE)</f>
        <v>353</v>
      </c>
      <c r="BG25" s="163">
        <f t="shared" si="16"/>
        <v>150</v>
      </c>
      <c r="BH25" s="122">
        <f t="shared" si="17"/>
        <v>121.65654188208487</v>
      </c>
      <c r="BI25" s="122">
        <f t="shared" si="18"/>
        <v>243</v>
      </c>
      <c r="BJ25" s="163">
        <f t="shared" si="19"/>
        <v>142.3296</v>
      </c>
      <c r="BK25" s="131">
        <f t="shared" si="20"/>
        <v>91.534551662626654</v>
      </c>
      <c r="BL25" s="134">
        <f t="shared" si="21"/>
        <v>0.94666666666666666</v>
      </c>
      <c r="BM25" s="135">
        <f t="shared" si="22"/>
        <v>0.79479020459377825</v>
      </c>
      <c r="BN25" s="92" t="str">
        <f t="shared" si="23"/>
        <v>OK</v>
      </c>
      <c r="BO25" s="135">
        <f>_xll.DCEBoltDisRS(AN25, AE25, BA25, BB25, BC25, BD25, "h1")</f>
        <v>640</v>
      </c>
      <c r="BP25" s="136">
        <f>_xll.DCEBoltDisRS(AN25, AE25, BA25, BB25, BC25, BD25, "Tong")</f>
        <v>672200</v>
      </c>
      <c r="BQ25" s="137">
        <f t="shared" si="24"/>
        <v>667.52151981337522</v>
      </c>
      <c r="BR25" s="135">
        <f t="shared" si="25"/>
        <v>4.6899697590197347</v>
      </c>
      <c r="BS25" s="64" t="str">
        <f t="shared" si="26"/>
        <v>O/S</v>
      </c>
      <c r="BT25" s="131">
        <f t="shared" si="27"/>
        <v>4.7499393888484942</v>
      </c>
      <c r="BU25" s="92" t="str">
        <f t="shared" si="28"/>
        <v>O/S</v>
      </c>
      <c r="BV25" s="139">
        <f t="shared" si="29"/>
        <v>2885.2106842756616</v>
      </c>
      <c r="BW25" s="131">
        <f t="shared" si="30"/>
        <v>54.097700330168657</v>
      </c>
      <c r="BX25" s="139">
        <f t="shared" si="31"/>
        <v>1442.6053421378308</v>
      </c>
      <c r="BY25" s="123">
        <f t="shared" si="32"/>
        <v>683.33937259160405</v>
      </c>
      <c r="BZ25" s="141">
        <f t="shared" si="33"/>
        <v>3.3217886167647421</v>
      </c>
      <c r="CA25" s="131">
        <f t="shared" si="34"/>
        <v>75.926596954622667</v>
      </c>
      <c r="CB25" s="143">
        <f t="shared" si="35"/>
        <v>0.63635797256029536</v>
      </c>
      <c r="CC25" s="123">
        <f t="shared" si="36"/>
        <v>695.87875560992393</v>
      </c>
      <c r="CD25" s="131">
        <f t="shared" si="37"/>
        <v>2.9415164790274568</v>
      </c>
      <c r="CE25" s="135">
        <f t="shared" si="38"/>
        <v>3.3217886167647421</v>
      </c>
      <c r="CF25" s="92" t="str">
        <f t="shared" si="39"/>
        <v>O/S</v>
      </c>
      <c r="CG25" s="50"/>
      <c r="DA25" s="135" t="s">
        <v>245</v>
      </c>
      <c r="DB25" s="135" t="s">
        <v>340</v>
      </c>
      <c r="DC25" s="135">
        <v>102</v>
      </c>
      <c r="DD25" s="143">
        <v>0.3</v>
      </c>
      <c r="DE25" s="137">
        <v>1100</v>
      </c>
      <c r="DF25" s="92">
        <v>350</v>
      </c>
      <c r="DG25" s="92">
        <v>14</v>
      </c>
      <c r="DH25" s="92">
        <v>18.000000000000004</v>
      </c>
      <c r="DI25" s="92">
        <v>1064</v>
      </c>
      <c r="DJ25" s="121" t="s">
        <v>348</v>
      </c>
      <c r="DK25" s="137">
        <v>1360</v>
      </c>
      <c r="DL25" s="92">
        <v>350</v>
      </c>
      <c r="DM25" s="92">
        <v>25</v>
      </c>
      <c r="DN25" s="92">
        <v>16</v>
      </c>
      <c r="DO25" s="92">
        <v>27</v>
      </c>
      <c r="DP25" s="123" t="s">
        <v>349</v>
      </c>
      <c r="DQ25" s="111" t="s">
        <v>313</v>
      </c>
      <c r="DR25" s="120">
        <v>0</v>
      </c>
      <c r="DS25" s="120">
        <v>-307.3996282310876</v>
      </c>
      <c r="DT25" s="120">
        <v>-2.5465851649641983E-15</v>
      </c>
      <c r="DU25" s="120">
        <v>8.0310378246041276E-4</v>
      </c>
      <c r="DV25" s="120">
        <v>-1.8691935110837214E-15</v>
      </c>
      <c r="DW25" s="120">
        <v>-879.72158598988221</v>
      </c>
      <c r="DX25" s="120"/>
      <c r="DY25" s="120"/>
      <c r="DZ25" s="120"/>
      <c r="EA25" s="122">
        <v>60</v>
      </c>
      <c r="EB25" s="122">
        <v>70</v>
      </c>
      <c r="EC25" s="122">
        <v>80</v>
      </c>
      <c r="ED25" s="122">
        <v>160</v>
      </c>
      <c r="EE25" s="122">
        <v>572.55526111673976</v>
      </c>
      <c r="EF25" s="122">
        <v>459</v>
      </c>
      <c r="EG25" s="163">
        <v>180</v>
      </c>
      <c r="EH25" s="122">
        <v>153.97156081951366</v>
      </c>
      <c r="EI25" s="122">
        <v>273.375</v>
      </c>
      <c r="EJ25" s="163">
        <v>185.06880000000001</v>
      </c>
      <c r="EK25" s="131">
        <v>19.212476764442975</v>
      </c>
      <c r="EL25" s="122">
        <v>0.85037037037037044</v>
      </c>
      <c r="EM25" s="131">
        <v>0.1467353402511497</v>
      </c>
      <c r="EN25" s="131" t="s">
        <v>344</v>
      </c>
      <c r="EO25" s="131">
        <v>1240</v>
      </c>
      <c r="EP25" s="131">
        <v>4523000</v>
      </c>
      <c r="EQ25" s="131">
        <v>120.5897376329266</v>
      </c>
      <c r="ER25" s="131">
        <v>0.65159409707593385</v>
      </c>
      <c r="ES25" s="131" t="s">
        <v>344</v>
      </c>
      <c r="ET25" s="131">
        <v>0.66343406788003234</v>
      </c>
      <c r="EU25" s="131" t="s">
        <v>344</v>
      </c>
      <c r="EV25" s="139">
        <v>813.05137337327369</v>
      </c>
      <c r="EW25" s="131">
        <v>18.293655900898656</v>
      </c>
      <c r="EX25" s="139">
        <v>406.52568668663685</v>
      </c>
      <c r="EY25" s="123">
        <v>129.13168871222581</v>
      </c>
      <c r="EZ25" s="141">
        <v>0.62772348679554224</v>
      </c>
      <c r="FA25" s="131">
        <v>11.956637843724613</v>
      </c>
      <c r="FB25" s="143">
        <v>0.10021128460976089</v>
      </c>
      <c r="FC25" s="123">
        <v>130.78178999864295</v>
      </c>
      <c r="FD25" s="131">
        <v>0.55282157608122029</v>
      </c>
      <c r="FE25" s="131">
        <v>0.62772348679554224</v>
      </c>
      <c r="FF25" s="64" t="s">
        <v>344</v>
      </c>
      <c r="FG25" s="50"/>
    </row>
    <row r="26" spans="2:163" ht="12.75" customHeight="1">
      <c r="B26" s="92">
        <v>298</v>
      </c>
      <c r="C26" s="92">
        <v>150</v>
      </c>
      <c r="D26" s="50"/>
      <c r="H26" s="101" t="s">
        <v>35</v>
      </c>
      <c r="I26" s="66"/>
      <c r="J26" s="66"/>
      <c r="K26" s="66"/>
      <c r="L26" s="66"/>
      <c r="M26" s="66"/>
      <c r="N26" s="249"/>
      <c r="O26" s="285"/>
      <c r="P26" s="66"/>
      <c r="Q26" s="5"/>
      <c r="R26" s="5"/>
      <c r="S26" s="153"/>
      <c r="AA26" s="111" t="s">
        <v>245</v>
      </c>
      <c r="AB26" s="111" t="s">
        <v>311</v>
      </c>
      <c r="AC26" s="111">
        <v>44</v>
      </c>
      <c r="AD26" s="58">
        <v>3</v>
      </c>
      <c r="AE26" s="120">
        <v>500</v>
      </c>
      <c r="AF26" s="121">
        <v>300</v>
      </c>
      <c r="AG26" s="121">
        <v>10</v>
      </c>
      <c r="AH26" s="121">
        <v>14</v>
      </c>
      <c r="AI26" s="121">
        <v>472</v>
      </c>
      <c r="AJ26" s="64" t="str" cm="1">
        <f t="array" ref="AJ26">_xll.Dce_Name_SectI(AE26, AE26, AF26, AG26, AH26, "x", "-", "H Tổng")</f>
        <v>500x300x10x14</v>
      </c>
      <c r="AK26" s="122">
        <f t="shared" si="6"/>
        <v>760</v>
      </c>
      <c r="AL26" s="123">
        <f t="shared" si="7"/>
        <v>300</v>
      </c>
      <c r="AM26" s="123">
        <f t="shared" si="8"/>
        <v>25</v>
      </c>
      <c r="AN26" s="123">
        <f t="shared" si="9"/>
        <v>8</v>
      </c>
      <c r="AO26" s="123">
        <f t="shared" si="10"/>
        <v>24</v>
      </c>
      <c r="AP26" s="165" t="str">
        <f t="shared" si="11"/>
        <v>760x300x25 + 8M24</v>
      </c>
      <c r="AQ26" s="111" t="s">
        <v>314</v>
      </c>
      <c r="AR26" s="120">
        <v>0</v>
      </c>
      <c r="AS26" s="120">
        <v>-491.74263625139804</v>
      </c>
      <c r="AT26" s="120">
        <v>-2.9892817110521713E-13</v>
      </c>
      <c r="AU26" s="120">
        <v>-6.3319540854827588E-3</v>
      </c>
      <c r="AV26" s="120">
        <v>1.9862468434439499E-13</v>
      </c>
      <c r="AW26" s="120">
        <v>309.51489731442513</v>
      </c>
      <c r="AX26" s="120"/>
      <c r="AY26" s="120"/>
      <c r="AZ26" s="120"/>
      <c r="BA26" s="122">
        <f t="shared" si="12"/>
        <v>60</v>
      </c>
      <c r="BB26" s="122">
        <f t="shared" si="13"/>
        <v>70</v>
      </c>
      <c r="BC26" s="122">
        <f t="shared" si="14"/>
        <v>80</v>
      </c>
      <c r="BD26" s="122">
        <f t="shared" si="15"/>
        <v>150</v>
      </c>
      <c r="BE26" s="122">
        <f>VLOOKUP(AO26,Data!$V$4:$Z$15,3,FALSE)</f>
        <v>452.38934211693021</v>
      </c>
      <c r="BF26" s="122">
        <f>VLOOKUP(AO26,Data!$V$4:$Z$15,4,FALSE)</f>
        <v>353</v>
      </c>
      <c r="BG26" s="163">
        <f t="shared" si="16"/>
        <v>150</v>
      </c>
      <c r="BH26" s="122">
        <f t="shared" si="17"/>
        <v>121.65654188208487</v>
      </c>
      <c r="BI26" s="122">
        <f t="shared" si="18"/>
        <v>243</v>
      </c>
      <c r="BJ26" s="163">
        <f t="shared" si="19"/>
        <v>142.3296</v>
      </c>
      <c r="BK26" s="131">
        <f t="shared" si="20"/>
        <v>61.467829531424755</v>
      </c>
      <c r="BL26" s="134">
        <f t="shared" si="21"/>
        <v>0.94666666666666666</v>
      </c>
      <c r="BM26" s="135">
        <f t="shared" si="22"/>
        <v>0.53372227122803018</v>
      </c>
      <c r="BN26" s="92" t="str">
        <f t="shared" si="23"/>
        <v>OK</v>
      </c>
      <c r="BO26" s="135">
        <f>_xll.DCEBoltDisRS(AN26, AE26, BA26, BB26, BC26, BD26, "h1")</f>
        <v>640</v>
      </c>
      <c r="BP26" s="136">
        <f>_xll.DCEBoltDisRS(AN26, AE26, BA26, BB26, BC26, BD26, "Tong")</f>
        <v>672200</v>
      </c>
      <c r="BQ26" s="137">
        <f t="shared" si="24"/>
        <v>147.34419390154127</v>
      </c>
      <c r="BR26" s="135">
        <f t="shared" si="25"/>
        <v>1.0352322630116384</v>
      </c>
      <c r="BS26" s="64" t="str">
        <f t="shared" si="26"/>
        <v>O/S</v>
      </c>
      <c r="BT26" s="131">
        <f t="shared" si="27"/>
        <v>1.15195076228786</v>
      </c>
      <c r="BU26" s="92" t="str">
        <f t="shared" si="28"/>
        <v>O/S</v>
      </c>
      <c r="BV26" s="139">
        <f t="shared" si="29"/>
        <v>636.86192863050439</v>
      </c>
      <c r="BW26" s="131">
        <f t="shared" si="30"/>
        <v>11.941161161821958</v>
      </c>
      <c r="BX26" s="139">
        <f t="shared" si="31"/>
        <v>318.4309643152522</v>
      </c>
      <c r="BY26" s="123">
        <f t="shared" si="32"/>
        <v>150.83571993880366</v>
      </c>
      <c r="BZ26" s="141">
        <f t="shared" si="33"/>
        <v>0.7332291941469623</v>
      </c>
      <c r="CA26" s="131">
        <f t="shared" si="34"/>
        <v>16.759524437644853</v>
      </c>
      <c r="CB26" s="143">
        <f t="shared" si="35"/>
        <v>0.14046536286340275</v>
      </c>
      <c r="CC26" s="123">
        <f t="shared" si="36"/>
        <v>153.60357869393948</v>
      </c>
      <c r="CD26" s="131">
        <f t="shared" si="37"/>
        <v>0.64929048964829505</v>
      </c>
      <c r="CE26" s="135">
        <f t="shared" si="38"/>
        <v>0.7332291941469623</v>
      </c>
      <c r="CF26" s="92" t="str">
        <f t="shared" si="39"/>
        <v>OK</v>
      </c>
      <c r="CG26" s="50"/>
      <c r="DA26" s="135" t="s">
        <v>245</v>
      </c>
      <c r="DB26" s="135" t="s">
        <v>341</v>
      </c>
      <c r="DC26" s="135">
        <v>104</v>
      </c>
      <c r="DD26" s="143">
        <v>0</v>
      </c>
      <c r="DE26" s="137">
        <v>750</v>
      </c>
      <c r="DF26" s="92">
        <v>350</v>
      </c>
      <c r="DG26" s="92">
        <v>14</v>
      </c>
      <c r="DH26" s="92">
        <v>18.000000000000004</v>
      </c>
      <c r="DI26" s="92">
        <v>714</v>
      </c>
      <c r="DJ26" s="121" t="s">
        <v>352</v>
      </c>
      <c r="DK26" s="137">
        <v>1010</v>
      </c>
      <c r="DL26" s="92">
        <v>350</v>
      </c>
      <c r="DM26" s="92">
        <v>25</v>
      </c>
      <c r="DN26" s="92">
        <v>12</v>
      </c>
      <c r="DO26" s="92">
        <v>24</v>
      </c>
      <c r="DP26" s="123" t="s">
        <v>353</v>
      </c>
      <c r="DQ26" s="111" t="s">
        <v>313</v>
      </c>
      <c r="DR26" s="120">
        <v>0</v>
      </c>
      <c r="DS26" s="120">
        <v>220.56175492447633</v>
      </c>
      <c r="DT26" s="120">
        <v>-3.0559021979570381E-14</v>
      </c>
      <c r="DU26" s="120">
        <v>6.5641877763900319E-4</v>
      </c>
      <c r="DV26" s="120">
        <v>2.0861625671386711E-14</v>
      </c>
      <c r="DW26" s="120">
        <v>-154.67926139039986</v>
      </c>
      <c r="DX26" s="120"/>
      <c r="DY26" s="120"/>
      <c r="DZ26" s="120"/>
      <c r="EA26" s="122">
        <v>60</v>
      </c>
      <c r="EB26" s="122">
        <v>70</v>
      </c>
      <c r="EC26" s="122">
        <v>80</v>
      </c>
      <c r="ED26" s="122">
        <v>150</v>
      </c>
      <c r="EE26" s="122">
        <v>452.38934211693021</v>
      </c>
      <c r="EF26" s="122">
        <v>353</v>
      </c>
      <c r="EG26" s="163">
        <v>180</v>
      </c>
      <c r="EH26" s="122">
        <v>121.65654188208487</v>
      </c>
      <c r="EI26" s="122">
        <v>243</v>
      </c>
      <c r="EJ26" s="163">
        <v>142.3296</v>
      </c>
      <c r="EK26" s="131">
        <v>18.38014624370636</v>
      </c>
      <c r="EL26" s="122">
        <v>0.89458333333333329</v>
      </c>
      <c r="EM26" s="131">
        <v>0.16888562775415231</v>
      </c>
      <c r="EN26" s="131" t="s">
        <v>344</v>
      </c>
      <c r="EO26" s="131">
        <v>890</v>
      </c>
      <c r="EP26" s="131">
        <v>1800300</v>
      </c>
      <c r="EQ26" s="131">
        <v>38.233778436220597</v>
      </c>
      <c r="ER26" s="131">
        <v>0.26862844015735726</v>
      </c>
      <c r="ES26" s="131" t="s">
        <v>344</v>
      </c>
      <c r="ET26" s="131">
        <v>0.30819975748457024</v>
      </c>
      <c r="EU26" s="131" t="s">
        <v>344</v>
      </c>
      <c r="EV26" s="139">
        <v>211.31046638032768</v>
      </c>
      <c r="EW26" s="131">
        <v>4.7544854935573726</v>
      </c>
      <c r="EX26" s="139">
        <v>105.65523319016384</v>
      </c>
      <c r="EY26" s="123">
        <v>45.191149245693843</v>
      </c>
      <c r="EZ26" s="141">
        <v>0.21967919772212288</v>
      </c>
      <c r="FA26" s="131">
        <v>4.184365670897578</v>
      </c>
      <c r="FB26" s="143">
        <v>3.5070114578882962E-2</v>
      </c>
      <c r="FC26" s="123">
        <v>45.768621547408806</v>
      </c>
      <c r="FD26" s="131">
        <v>0.19346639542986818</v>
      </c>
      <c r="FE26" s="131">
        <v>0.21967919772212288</v>
      </c>
      <c r="FF26" s="64" t="s">
        <v>344</v>
      </c>
      <c r="FG26" s="50"/>
    </row>
    <row r="27" spans="2:163" ht="12.75" customHeight="1">
      <c r="B27" s="92">
        <v>300</v>
      </c>
      <c r="C27" s="92">
        <v>150</v>
      </c>
      <c r="D27" s="50"/>
      <c r="H27" s="102"/>
      <c r="I27" s="66" t="str">
        <f>"- Loại thép:"</f>
        <v>- Loại thép:</v>
      </c>
      <c r="J27" s="66"/>
      <c r="K27" s="249"/>
      <c r="L27" s="90"/>
      <c r="M27" s="66"/>
      <c r="N27" s="5"/>
      <c r="O27" s="5"/>
      <c r="P27" s="5"/>
      <c r="Q27" s="5"/>
      <c r="R27" s="6" t="s">
        <v>279</v>
      </c>
      <c r="S27" s="156"/>
      <c r="AA27" s="111" t="s">
        <v>245</v>
      </c>
      <c r="AB27" s="111" t="s">
        <v>311</v>
      </c>
      <c r="AC27" s="111">
        <v>44</v>
      </c>
      <c r="AD27" s="58">
        <v>0.3</v>
      </c>
      <c r="AE27" s="120">
        <v>500</v>
      </c>
      <c r="AF27" s="121">
        <v>300</v>
      </c>
      <c r="AG27" s="121">
        <v>10</v>
      </c>
      <c r="AH27" s="121">
        <v>14</v>
      </c>
      <c r="AI27" s="121">
        <v>472</v>
      </c>
      <c r="AJ27" s="64" t="str" cm="1">
        <f t="array" ref="AJ27">_xll.Dce_Name_SectI(AE27, AE27, AF27, AG27, AH27, "x", "-", "H Tổng")</f>
        <v>500x300x10x14</v>
      </c>
      <c r="AK27" s="122">
        <f t="shared" si="6"/>
        <v>760</v>
      </c>
      <c r="AL27" s="123">
        <f t="shared" si="7"/>
        <v>300</v>
      </c>
      <c r="AM27" s="123">
        <f t="shared" si="8"/>
        <v>25</v>
      </c>
      <c r="AN27" s="123">
        <f t="shared" si="9"/>
        <v>8</v>
      </c>
      <c r="AO27" s="123">
        <f t="shared" si="10"/>
        <v>24</v>
      </c>
      <c r="AP27" s="165" t="str">
        <f t="shared" si="11"/>
        <v>760x300x25 + 8M24</v>
      </c>
      <c r="AQ27" s="111" t="s">
        <v>315</v>
      </c>
      <c r="AR27" s="120">
        <v>0</v>
      </c>
      <c r="AS27" s="120">
        <v>-543.20865845266292</v>
      </c>
      <c r="AT27" s="120">
        <v>-3.622972144512459E-13</v>
      </c>
      <c r="AU27" s="120">
        <v>-4.7863980518434678E-3</v>
      </c>
      <c r="AV27" s="120">
        <v>-7.2413686211802965E-13</v>
      </c>
      <c r="AW27" s="120">
        <v>-1032.615253905318</v>
      </c>
      <c r="AX27" s="120"/>
      <c r="AY27" s="120"/>
      <c r="AZ27" s="120"/>
      <c r="BA27" s="122">
        <f t="shared" si="12"/>
        <v>60</v>
      </c>
      <c r="BB27" s="122">
        <f t="shared" si="13"/>
        <v>70</v>
      </c>
      <c r="BC27" s="122">
        <f t="shared" si="14"/>
        <v>80</v>
      </c>
      <c r="BD27" s="122">
        <f t="shared" si="15"/>
        <v>150</v>
      </c>
      <c r="BE27" s="122">
        <f>VLOOKUP(AO27,Data!$V$4:$Z$15,3,FALSE)</f>
        <v>452.38934211693021</v>
      </c>
      <c r="BF27" s="122">
        <f>VLOOKUP(AO27,Data!$V$4:$Z$15,4,FALSE)</f>
        <v>353</v>
      </c>
      <c r="BG27" s="163">
        <f t="shared" si="16"/>
        <v>150</v>
      </c>
      <c r="BH27" s="122">
        <f t="shared" si="17"/>
        <v>121.65654188208487</v>
      </c>
      <c r="BI27" s="122">
        <f t="shared" si="18"/>
        <v>243</v>
      </c>
      <c r="BJ27" s="163">
        <f t="shared" si="19"/>
        <v>142.3296</v>
      </c>
      <c r="BK27" s="131">
        <f t="shared" si="20"/>
        <v>67.901082306582865</v>
      </c>
      <c r="BL27" s="134">
        <f t="shared" si="21"/>
        <v>0.94666666666666666</v>
      </c>
      <c r="BM27" s="135">
        <f t="shared" si="22"/>
        <v>0.58958190233451069</v>
      </c>
      <c r="BN27" s="92" t="str">
        <f t="shared" si="23"/>
        <v>OK</v>
      </c>
      <c r="BO27" s="135">
        <f>_xll.DCEBoltDisRS(AN27, AE27, BA27, BB27, BC27, BD27, "h1")</f>
        <v>640</v>
      </c>
      <c r="BP27" s="136">
        <f>_xll.DCEBoltDisRS(AN27, AE27, BA27, BB27, BC27, BD27, "Tong")</f>
        <v>672200</v>
      </c>
      <c r="BQ27" s="137">
        <f t="shared" si="24"/>
        <v>491.57524732178183</v>
      </c>
      <c r="BR27" s="135">
        <f t="shared" si="25"/>
        <v>3.4537808531871224</v>
      </c>
      <c r="BS27" s="64" t="str">
        <f t="shared" si="26"/>
        <v>O/S</v>
      </c>
      <c r="BT27" s="131">
        <f t="shared" si="27"/>
        <v>3.4985882422680135</v>
      </c>
      <c r="BU27" s="92" t="str">
        <f t="shared" si="28"/>
        <v>O/S</v>
      </c>
      <c r="BV27" s="139">
        <f t="shared" si="29"/>
        <v>2124.7227446611482</v>
      </c>
      <c r="BW27" s="131">
        <f t="shared" si="30"/>
        <v>39.838551462396531</v>
      </c>
      <c r="BX27" s="139">
        <f t="shared" si="31"/>
        <v>1062.3613723305741</v>
      </c>
      <c r="BY27" s="123">
        <f t="shared" si="32"/>
        <v>503.22380794606141</v>
      </c>
      <c r="BZ27" s="141">
        <f t="shared" si="33"/>
        <v>2.446226844182243</v>
      </c>
      <c r="CA27" s="131">
        <f t="shared" si="34"/>
        <v>55.913756438451266</v>
      </c>
      <c r="CB27" s="143">
        <f t="shared" si="35"/>
        <v>0.46862583221882054</v>
      </c>
      <c r="CC27" s="123">
        <f t="shared" si="36"/>
        <v>512.45804253705478</v>
      </c>
      <c r="CD27" s="131">
        <f t="shared" si="37"/>
        <v>2.1661873778740244</v>
      </c>
      <c r="CE27" s="135">
        <f t="shared" si="38"/>
        <v>2.446226844182243</v>
      </c>
      <c r="CF27" s="92" t="str">
        <f t="shared" si="39"/>
        <v>O/S</v>
      </c>
      <c r="CG27" s="50"/>
      <c r="DA27" s="135"/>
      <c r="DB27" s="135"/>
      <c r="DC27" s="135"/>
      <c r="DD27" s="143"/>
      <c r="DE27" s="137"/>
      <c r="DF27" s="92"/>
      <c r="DG27" s="92"/>
      <c r="DH27" s="92"/>
      <c r="DI27" s="92"/>
      <c r="DJ27" s="121"/>
      <c r="DK27" s="137"/>
      <c r="DL27" s="92"/>
      <c r="DM27" s="92"/>
      <c r="DN27" s="92"/>
      <c r="DO27" s="92"/>
      <c r="DP27" s="123"/>
      <c r="DQ27" s="111"/>
      <c r="DR27" s="120"/>
      <c r="DS27" s="120"/>
      <c r="DT27" s="120"/>
      <c r="DU27" s="120"/>
      <c r="DV27" s="120"/>
      <c r="DW27" s="120"/>
      <c r="DX27" s="120"/>
      <c r="DY27" s="120"/>
      <c r="DZ27" s="120"/>
      <c r="EA27" s="122"/>
      <c r="EB27" s="122"/>
      <c r="EC27" s="122"/>
      <c r="ED27" s="122"/>
      <c r="EE27" s="122"/>
      <c r="EF27" s="122"/>
      <c r="EG27" s="163"/>
      <c r="EH27" s="122"/>
      <c r="EI27" s="122"/>
      <c r="EJ27" s="163"/>
      <c r="EK27" s="131"/>
      <c r="EL27" s="122"/>
      <c r="EM27" s="131"/>
      <c r="EN27" s="131"/>
      <c r="EO27" s="131"/>
      <c r="EP27" s="131"/>
      <c r="EQ27" s="131"/>
      <c r="ER27" s="131"/>
      <c r="ES27" s="131"/>
      <c r="ET27" s="131"/>
      <c r="EU27" s="131"/>
      <c r="EV27" s="139"/>
      <c r="EW27" s="131"/>
      <c r="EX27" s="139"/>
      <c r="EY27" s="123"/>
      <c r="EZ27" s="141"/>
      <c r="FA27" s="131"/>
      <c r="FB27" s="143"/>
      <c r="FC27" s="123"/>
      <c r="FD27" s="131"/>
      <c r="FE27" s="131"/>
      <c r="FF27" s="64"/>
      <c r="FG27" s="50"/>
    </row>
    <row r="28" spans="2:163" ht="12.75" customHeight="1">
      <c r="B28" s="92">
        <v>350</v>
      </c>
      <c r="C28" s="92">
        <v>180</v>
      </c>
      <c r="D28" s="50"/>
      <c r="H28" s="102"/>
      <c r="I28" s="66" t="str">
        <f>"- Cường độ tiêu chuẩn của thép:"</f>
        <v>- Cường độ tiêu chuẩn của thép:</v>
      </c>
      <c r="J28" s="66"/>
      <c r="K28" s="249"/>
      <c r="L28" s="90"/>
      <c r="M28" s="66"/>
      <c r="N28" s="5"/>
      <c r="O28" s="5"/>
      <c r="P28" s="5"/>
      <c r="Q28" s="8" t="s">
        <v>1</v>
      </c>
      <c r="R28" s="16">
        <f>VLOOKUP(R27,Data!$A$3:$D$99,3,FALSE)</f>
        <v>240</v>
      </c>
      <c r="S28" s="155" t="s">
        <v>2</v>
      </c>
      <c r="AA28" s="111" t="s">
        <v>245</v>
      </c>
      <c r="AB28" s="111" t="s">
        <v>311</v>
      </c>
      <c r="AC28" s="111">
        <v>44</v>
      </c>
      <c r="AD28" s="58">
        <v>3</v>
      </c>
      <c r="AE28" s="120">
        <v>500</v>
      </c>
      <c r="AF28" s="121">
        <v>300</v>
      </c>
      <c r="AG28" s="121">
        <v>10</v>
      </c>
      <c r="AH28" s="121">
        <v>14</v>
      </c>
      <c r="AI28" s="121">
        <v>472</v>
      </c>
      <c r="AJ28" s="64" t="str" cm="1">
        <f t="array" ref="AJ28">_xll.Dce_Name_SectI(AE28, AE28, AF28, AG28, AH28, "x", "-", "H Tổng")</f>
        <v>500x300x10x14</v>
      </c>
      <c r="AK28" s="122">
        <f t="shared" si="6"/>
        <v>760</v>
      </c>
      <c r="AL28" s="123">
        <f t="shared" si="7"/>
        <v>300</v>
      </c>
      <c r="AM28" s="123">
        <f t="shared" si="8"/>
        <v>25</v>
      </c>
      <c r="AN28" s="123">
        <f t="shared" si="9"/>
        <v>8</v>
      </c>
      <c r="AO28" s="123">
        <f t="shared" si="10"/>
        <v>24</v>
      </c>
      <c r="AP28" s="165" t="str">
        <f t="shared" si="11"/>
        <v>760x300x25 + 8M24</v>
      </c>
      <c r="AQ28" s="111" t="s">
        <v>315</v>
      </c>
      <c r="AR28" s="120">
        <v>0</v>
      </c>
      <c r="AS28" s="120">
        <v>-364.71382166729825</v>
      </c>
      <c r="AT28" s="120">
        <v>-2.200977178290486E-13</v>
      </c>
      <c r="AU28" s="120">
        <v>-4.7849592530946816E-3</v>
      </c>
      <c r="AV28" s="120">
        <v>1.5217592590488489E-13</v>
      </c>
      <c r="AW28" s="120">
        <v>236.87535293999892</v>
      </c>
      <c r="AX28" s="120"/>
      <c r="AY28" s="120"/>
      <c r="AZ28" s="120"/>
      <c r="BA28" s="122">
        <f t="shared" si="12"/>
        <v>60</v>
      </c>
      <c r="BB28" s="122">
        <f t="shared" si="13"/>
        <v>70</v>
      </c>
      <c r="BC28" s="122">
        <f t="shared" si="14"/>
        <v>80</v>
      </c>
      <c r="BD28" s="122">
        <f t="shared" si="15"/>
        <v>150</v>
      </c>
      <c r="BE28" s="122">
        <f>VLOOKUP(AO28,Data!$V$4:$Z$15,3,FALSE)</f>
        <v>452.38934211693021</v>
      </c>
      <c r="BF28" s="122">
        <f>VLOOKUP(AO28,Data!$V$4:$Z$15,4,FALSE)</f>
        <v>353</v>
      </c>
      <c r="BG28" s="163">
        <f t="shared" si="16"/>
        <v>150</v>
      </c>
      <c r="BH28" s="122">
        <f t="shared" si="17"/>
        <v>121.65654188208487</v>
      </c>
      <c r="BI28" s="122">
        <f t="shared" si="18"/>
        <v>243</v>
      </c>
      <c r="BJ28" s="163">
        <f t="shared" si="19"/>
        <v>142.3296</v>
      </c>
      <c r="BK28" s="131">
        <f t="shared" si="20"/>
        <v>45.589227708412281</v>
      </c>
      <c r="BL28" s="134">
        <f t="shared" si="21"/>
        <v>0.94666666666666666</v>
      </c>
      <c r="BM28" s="135">
        <f t="shared" si="22"/>
        <v>0.3958491188244444</v>
      </c>
      <c r="BN28" s="92" t="str">
        <f t="shared" si="23"/>
        <v>OK</v>
      </c>
      <c r="BO28" s="135">
        <f>_xll.DCEBoltDisRS(AN28, AE28, BA28, BB28, BC28, BD28, "h1")</f>
        <v>640</v>
      </c>
      <c r="BP28" s="136">
        <f>_xll.DCEBoltDisRS(AN28, AE28, BA28, BB28, BC28, BD28, "Tong")</f>
        <v>672200</v>
      </c>
      <c r="BQ28" s="137">
        <f t="shared" si="24"/>
        <v>112.76422633263859</v>
      </c>
      <c r="BR28" s="135">
        <f t="shared" si="25"/>
        <v>0.79227529855095913</v>
      </c>
      <c r="BS28" s="64" t="str">
        <f t="shared" si="26"/>
        <v>OK</v>
      </c>
      <c r="BT28" s="131">
        <f t="shared" si="27"/>
        <v>0.87642917120619224</v>
      </c>
      <c r="BU28" s="92" t="str">
        <f t="shared" si="28"/>
        <v>OK</v>
      </c>
      <c r="BV28" s="139">
        <f t="shared" si="29"/>
        <v>487.39784555555332</v>
      </c>
      <c r="BW28" s="131">
        <f t="shared" si="30"/>
        <v>9.1387096041666247</v>
      </c>
      <c r="BX28" s="139">
        <f t="shared" si="31"/>
        <v>243.69892277777666</v>
      </c>
      <c r="BY28" s="123">
        <f t="shared" si="32"/>
        <v>115.43633184210474</v>
      </c>
      <c r="BZ28" s="141">
        <f t="shared" si="33"/>
        <v>0.56114883534356474</v>
      </c>
      <c r="CA28" s="131">
        <f t="shared" si="34"/>
        <v>12.826259093567193</v>
      </c>
      <c r="CB28" s="143">
        <f t="shared" si="35"/>
        <v>0.10749977688574038</v>
      </c>
      <c r="CC28" s="123">
        <f t="shared" si="36"/>
        <v>117.55460635877469</v>
      </c>
      <c r="CD28" s="131">
        <f t="shared" si="37"/>
        <v>0.49690956794168056</v>
      </c>
      <c r="CE28" s="135">
        <f t="shared" si="38"/>
        <v>0.56114883534356474</v>
      </c>
      <c r="CF28" s="92" t="str">
        <f t="shared" si="39"/>
        <v>OK</v>
      </c>
      <c r="CG28" s="50"/>
      <c r="DA28" s="135"/>
      <c r="DB28" s="135"/>
      <c r="DC28" s="135"/>
      <c r="DD28" s="143"/>
      <c r="DE28" s="137"/>
      <c r="DF28" s="92"/>
      <c r="DG28" s="92"/>
      <c r="DH28" s="92"/>
      <c r="DI28" s="92"/>
      <c r="DJ28" s="121"/>
      <c r="DK28" s="137"/>
      <c r="DL28" s="92"/>
      <c r="DM28" s="92"/>
      <c r="DN28" s="92"/>
      <c r="DO28" s="92"/>
      <c r="DP28" s="123"/>
      <c r="DQ28" s="111"/>
      <c r="DR28" s="120"/>
      <c r="DS28" s="120"/>
      <c r="DT28" s="120"/>
      <c r="DU28" s="120"/>
      <c r="DV28" s="120"/>
      <c r="DW28" s="120"/>
      <c r="DX28" s="120"/>
      <c r="DY28" s="120"/>
      <c r="DZ28" s="120"/>
      <c r="EA28" s="122"/>
      <c r="EB28" s="122"/>
      <c r="EC28" s="122"/>
      <c r="ED28" s="122"/>
      <c r="EE28" s="122"/>
      <c r="EF28" s="122"/>
      <c r="EG28" s="163"/>
      <c r="EH28" s="122"/>
      <c r="EI28" s="122"/>
      <c r="EJ28" s="163"/>
      <c r="EK28" s="131"/>
      <c r="EL28" s="122"/>
      <c r="EM28" s="131"/>
      <c r="EN28" s="131"/>
      <c r="EO28" s="131"/>
      <c r="EP28" s="131"/>
      <c r="EQ28" s="131"/>
      <c r="ER28" s="131"/>
      <c r="ES28" s="131"/>
      <c r="ET28" s="131"/>
      <c r="EU28" s="131"/>
      <c r="EV28" s="139"/>
      <c r="EW28" s="131"/>
      <c r="EX28" s="139"/>
      <c r="EY28" s="123"/>
      <c r="EZ28" s="141"/>
      <c r="FA28" s="131"/>
      <c r="FB28" s="143"/>
      <c r="FC28" s="123"/>
      <c r="FD28" s="131"/>
      <c r="FE28" s="131"/>
      <c r="FF28" s="64"/>
      <c r="FG28" s="50"/>
    </row>
    <row r="29" spans="2:163" ht="12.75" customHeight="1">
      <c r="B29" s="92">
        <v>370</v>
      </c>
      <c r="C29" s="92">
        <v>200</v>
      </c>
      <c r="D29" s="50"/>
      <c r="H29" s="102"/>
      <c r="I29" s="66" t="str">
        <f>"- Cường độ tiêu chuẩn kéo đứt của thép:"</f>
        <v>- Cường độ tiêu chuẩn kéo đứt của thép:</v>
      </c>
      <c r="J29" s="66"/>
      <c r="K29" s="249"/>
      <c r="L29" s="90"/>
      <c r="M29" s="66"/>
      <c r="N29" s="5"/>
      <c r="O29" s="5"/>
      <c r="P29" s="5"/>
      <c r="Q29" s="8" t="s">
        <v>8</v>
      </c>
      <c r="R29" s="16">
        <f>VLOOKUP(R27,Data!$A$3:$D$99,4,FALSE)</f>
        <v>380</v>
      </c>
      <c r="S29" s="155" t="s">
        <v>2</v>
      </c>
      <c r="AA29" s="111" t="s">
        <v>245</v>
      </c>
      <c r="AB29" s="111" t="s">
        <v>311</v>
      </c>
      <c r="AC29" s="111">
        <v>44</v>
      </c>
      <c r="AD29" s="58">
        <v>0.3</v>
      </c>
      <c r="AE29" s="120">
        <v>500</v>
      </c>
      <c r="AF29" s="121">
        <v>300</v>
      </c>
      <c r="AG29" s="121">
        <v>10</v>
      </c>
      <c r="AH29" s="121">
        <v>14</v>
      </c>
      <c r="AI29" s="121">
        <v>472</v>
      </c>
      <c r="AJ29" s="64" t="str" cm="1">
        <f t="array" ref="AJ29">_xll.Dce_Name_SectI(AE29, AE29, AF29, AG29, AH29, "x", "-", "H Tổng")</f>
        <v>500x300x10x14</v>
      </c>
      <c r="AK29" s="122">
        <f t="shared" si="6"/>
        <v>760</v>
      </c>
      <c r="AL29" s="123">
        <f t="shared" si="7"/>
        <v>300</v>
      </c>
      <c r="AM29" s="123">
        <f t="shared" si="8"/>
        <v>25</v>
      </c>
      <c r="AN29" s="123">
        <f t="shared" si="9"/>
        <v>8</v>
      </c>
      <c r="AO29" s="123">
        <f t="shared" si="10"/>
        <v>24</v>
      </c>
      <c r="AP29" s="165" t="str">
        <f t="shared" si="11"/>
        <v>760x300x25 + 8M24</v>
      </c>
      <c r="AQ29" s="111" t="s">
        <v>316</v>
      </c>
      <c r="AR29" s="120">
        <v>0</v>
      </c>
      <c r="AS29" s="120">
        <v>-231.23627838170344</v>
      </c>
      <c r="AT29" s="120">
        <v>-1.4765646483283487E-13</v>
      </c>
      <c r="AU29" s="120">
        <v>-2.0929947304664767E-3</v>
      </c>
      <c r="AV29" s="120">
        <v>-3.1606477932655239E-13</v>
      </c>
      <c r="AW29" s="120">
        <v>-445.31410269539288</v>
      </c>
      <c r="AX29" s="120"/>
      <c r="AY29" s="120"/>
      <c r="AZ29" s="120"/>
      <c r="BA29" s="122">
        <f t="shared" si="12"/>
        <v>60</v>
      </c>
      <c r="BB29" s="122">
        <f t="shared" si="13"/>
        <v>70</v>
      </c>
      <c r="BC29" s="122">
        <f t="shared" si="14"/>
        <v>80</v>
      </c>
      <c r="BD29" s="122">
        <f t="shared" si="15"/>
        <v>150</v>
      </c>
      <c r="BE29" s="122">
        <f>VLOOKUP(AO29,Data!$V$4:$Z$15,3,FALSE)</f>
        <v>452.38934211693021</v>
      </c>
      <c r="BF29" s="122">
        <f>VLOOKUP(AO29,Data!$V$4:$Z$15,4,FALSE)</f>
        <v>353</v>
      </c>
      <c r="BG29" s="163">
        <f t="shared" si="16"/>
        <v>150</v>
      </c>
      <c r="BH29" s="122">
        <f t="shared" si="17"/>
        <v>121.65654188208487</v>
      </c>
      <c r="BI29" s="122">
        <f t="shared" si="18"/>
        <v>243</v>
      </c>
      <c r="BJ29" s="163">
        <f t="shared" si="19"/>
        <v>142.3296</v>
      </c>
      <c r="BK29" s="131">
        <f t="shared" si="20"/>
        <v>28.90453479771293</v>
      </c>
      <c r="BL29" s="134">
        <f t="shared" si="21"/>
        <v>0.94666666666666666</v>
      </c>
      <c r="BM29" s="135">
        <f t="shared" si="22"/>
        <v>0.25097671544003514</v>
      </c>
      <c r="BN29" s="92" t="str">
        <f t="shared" si="23"/>
        <v>OK</v>
      </c>
      <c r="BO29" s="135">
        <f>_xll.DCEBoltDisRS(AN29, AE29, BA29, BB29, BC29, BD29, "h1")</f>
        <v>640</v>
      </c>
      <c r="BP29" s="136">
        <f>_xll.DCEBoltDisRS(AN29, AE29, BA29, BB29, BC29, BD29, "Tong")</f>
        <v>672200</v>
      </c>
      <c r="BQ29" s="137">
        <f t="shared" si="24"/>
        <v>211.99124198531047</v>
      </c>
      <c r="BR29" s="135">
        <f t="shared" si="25"/>
        <v>1.4894388938443617</v>
      </c>
      <c r="BS29" s="64" t="str">
        <f t="shared" si="26"/>
        <v>O/S</v>
      </c>
      <c r="BT29" s="131">
        <f t="shared" si="27"/>
        <v>1.5082698166684769</v>
      </c>
      <c r="BU29" s="92" t="str">
        <f t="shared" si="28"/>
        <v>O/S</v>
      </c>
      <c r="BV29" s="139">
        <f t="shared" si="29"/>
        <v>916.28416192467671</v>
      </c>
      <c r="BW29" s="131">
        <f t="shared" si="30"/>
        <v>17.180328036087687</v>
      </c>
      <c r="BX29" s="139">
        <f t="shared" si="31"/>
        <v>458.14208096233835</v>
      </c>
      <c r="BY29" s="123">
        <f t="shared" si="32"/>
        <v>217.01466992952868</v>
      </c>
      <c r="BZ29" s="141">
        <f t="shared" si="33"/>
        <v>1.0549324232685422</v>
      </c>
      <c r="CA29" s="131">
        <f t="shared" si="34"/>
        <v>24.112741103280968</v>
      </c>
      <c r="CB29" s="143">
        <f t="shared" si="35"/>
        <v>0.20209433395949089</v>
      </c>
      <c r="CC29" s="123">
        <f t="shared" si="36"/>
        <v>220.99692263731603</v>
      </c>
      <c r="CD29" s="131">
        <f t="shared" si="37"/>
        <v>0.93416573578575635</v>
      </c>
      <c r="CE29" s="135">
        <f t="shared" si="38"/>
        <v>1.0549324232685422</v>
      </c>
      <c r="CF29" s="92" t="str">
        <f t="shared" si="39"/>
        <v>O/S</v>
      </c>
      <c r="CG29" s="50"/>
      <c r="DA29" s="135"/>
      <c r="DB29" s="135"/>
      <c r="DC29" s="135"/>
      <c r="DD29" s="143"/>
      <c r="DE29" s="137"/>
      <c r="DF29" s="92"/>
      <c r="DG29" s="92"/>
      <c r="DH29" s="92"/>
      <c r="DI29" s="92"/>
      <c r="DJ29" s="121"/>
      <c r="DK29" s="137"/>
      <c r="DL29" s="92"/>
      <c r="DM29" s="92"/>
      <c r="DN29" s="92"/>
      <c r="DO29" s="92"/>
      <c r="DP29" s="123"/>
      <c r="DQ29" s="111"/>
      <c r="DR29" s="120"/>
      <c r="DS29" s="120"/>
      <c r="DT29" s="120"/>
      <c r="DU29" s="120"/>
      <c r="DV29" s="120"/>
      <c r="DW29" s="120"/>
      <c r="DX29" s="120"/>
      <c r="DY29" s="120"/>
      <c r="DZ29" s="120"/>
      <c r="EA29" s="122"/>
      <c r="EB29" s="122"/>
      <c r="EC29" s="122"/>
      <c r="ED29" s="122"/>
      <c r="EE29" s="122"/>
      <c r="EF29" s="122"/>
      <c r="EG29" s="163"/>
      <c r="EH29" s="122"/>
      <c r="EI29" s="122"/>
      <c r="EJ29" s="163"/>
      <c r="EK29" s="131"/>
      <c r="EL29" s="122"/>
      <c r="EM29" s="131"/>
      <c r="EN29" s="131"/>
      <c r="EO29" s="131"/>
      <c r="EP29" s="131"/>
      <c r="EQ29" s="131"/>
      <c r="ER29" s="131"/>
      <c r="ES29" s="131"/>
      <c r="ET29" s="131"/>
      <c r="EU29" s="131"/>
      <c r="EV29" s="139"/>
      <c r="EW29" s="131"/>
      <c r="EX29" s="139"/>
      <c r="EY29" s="123"/>
      <c r="EZ29" s="141"/>
      <c r="FA29" s="131"/>
      <c r="FB29" s="143"/>
      <c r="FC29" s="123"/>
      <c r="FD29" s="131"/>
      <c r="FE29" s="131"/>
      <c r="FF29" s="64"/>
      <c r="FG29" s="50"/>
    </row>
    <row r="30" spans="2:163" ht="12.75" customHeight="1">
      <c r="B30" s="92">
        <v>400</v>
      </c>
      <c r="C30" s="92">
        <v>200</v>
      </c>
      <c r="D30" s="50"/>
      <c r="H30" s="102"/>
      <c r="I30" s="66" t="str">
        <f>"- Cường độ tính toán của thép:"</f>
        <v>- Cường độ tính toán của thép:</v>
      </c>
      <c r="J30" s="66"/>
      <c r="K30" s="249"/>
      <c r="L30" s="90"/>
      <c r="M30" s="5"/>
      <c r="N30" s="5"/>
      <c r="O30" s="91" t="s">
        <v>9</v>
      </c>
      <c r="P30" s="16">
        <f>VLOOKUP(R27,Data!$A$3:$E$99,5,FALSE)</f>
        <v>1.05</v>
      </c>
      <c r="Q30" s="8" t="s">
        <v>10</v>
      </c>
      <c r="R30" s="247">
        <f>R28/P30</f>
        <v>228.57142857142856</v>
      </c>
      <c r="S30" s="155" t="s">
        <v>2</v>
      </c>
      <c r="T30" s="152"/>
      <c r="AA30" s="111" t="s">
        <v>245</v>
      </c>
      <c r="AB30" s="111" t="s">
        <v>311</v>
      </c>
      <c r="AC30" s="111">
        <v>44</v>
      </c>
      <c r="AD30" s="58">
        <v>3</v>
      </c>
      <c r="AE30" s="120">
        <v>500</v>
      </c>
      <c r="AF30" s="121">
        <v>300</v>
      </c>
      <c r="AG30" s="121">
        <v>10</v>
      </c>
      <c r="AH30" s="121">
        <v>14</v>
      </c>
      <c r="AI30" s="121">
        <v>472</v>
      </c>
      <c r="AJ30" s="64" t="str" cm="1">
        <f t="array" ref="AJ30">_xll.Dce_Name_SectI(AE30, AE30, AF30, AG30, AH30, "x", "-", "H Tổng")</f>
        <v>500x300x10x14</v>
      </c>
      <c r="AK30" s="122">
        <f t="shared" si="6"/>
        <v>760</v>
      </c>
      <c r="AL30" s="123">
        <f t="shared" si="7"/>
        <v>300</v>
      </c>
      <c r="AM30" s="123">
        <f t="shared" si="8"/>
        <v>25</v>
      </c>
      <c r="AN30" s="123">
        <f t="shared" si="9"/>
        <v>8</v>
      </c>
      <c r="AO30" s="123">
        <f t="shared" si="10"/>
        <v>24</v>
      </c>
      <c r="AP30" s="165" t="str">
        <f t="shared" si="11"/>
        <v>760x300x25 + 8M24</v>
      </c>
      <c r="AQ30" s="111" t="s">
        <v>316</v>
      </c>
      <c r="AR30" s="120">
        <v>0</v>
      </c>
      <c r="AS30" s="120">
        <v>-156.13967721379601</v>
      </c>
      <c r="AT30" s="120">
        <v>2.7284841053187843E-14</v>
      </c>
      <c r="AU30" s="120">
        <v>-2.0923653566947979E-3</v>
      </c>
      <c r="AV30" s="120">
        <v>-5.78664185013622E-14</v>
      </c>
      <c r="AW30" s="120">
        <v>95.594920261956233</v>
      </c>
      <c r="AX30" s="120"/>
      <c r="AY30" s="120"/>
      <c r="AZ30" s="120"/>
      <c r="BA30" s="122">
        <f t="shared" si="12"/>
        <v>60</v>
      </c>
      <c r="BB30" s="122">
        <f t="shared" si="13"/>
        <v>70</v>
      </c>
      <c r="BC30" s="122">
        <f t="shared" si="14"/>
        <v>80</v>
      </c>
      <c r="BD30" s="122">
        <f t="shared" si="15"/>
        <v>150</v>
      </c>
      <c r="BE30" s="122">
        <f>VLOOKUP(AO30,Data!$V$4:$Z$15,3,FALSE)</f>
        <v>452.38934211693021</v>
      </c>
      <c r="BF30" s="122">
        <f>VLOOKUP(AO30,Data!$V$4:$Z$15,4,FALSE)</f>
        <v>353</v>
      </c>
      <c r="BG30" s="163">
        <f t="shared" si="16"/>
        <v>150</v>
      </c>
      <c r="BH30" s="122">
        <f t="shared" si="17"/>
        <v>121.65654188208487</v>
      </c>
      <c r="BI30" s="122">
        <f t="shared" si="18"/>
        <v>243</v>
      </c>
      <c r="BJ30" s="163">
        <f t="shared" si="19"/>
        <v>142.3296</v>
      </c>
      <c r="BK30" s="131">
        <f t="shared" si="20"/>
        <v>19.517459651724501</v>
      </c>
      <c r="BL30" s="134">
        <f t="shared" si="21"/>
        <v>0.94666666666666666</v>
      </c>
      <c r="BM30" s="135">
        <f t="shared" si="22"/>
        <v>0.16946918369054031</v>
      </c>
      <c r="BN30" s="92" t="str">
        <f t="shared" si="23"/>
        <v>OK</v>
      </c>
      <c r="BO30" s="135">
        <f>_xll.DCEBoltDisRS(AN30, AE30, BA30, BB30, BC30, BD30, "h1")</f>
        <v>640</v>
      </c>
      <c r="BP30" s="136">
        <f>_xll.DCEBoltDisRS(AN30, AE30, BA30, BB30, BC30, BD30, "Tong")</f>
        <v>672200</v>
      </c>
      <c r="BQ30" s="137">
        <f t="shared" si="24"/>
        <v>45.507846598967561</v>
      </c>
      <c r="BR30" s="135">
        <f t="shared" si="25"/>
        <v>0.31973564598627102</v>
      </c>
      <c r="BS30" s="64" t="str">
        <f t="shared" si="26"/>
        <v>OK</v>
      </c>
      <c r="BT30" s="131">
        <f t="shared" si="27"/>
        <v>0.35772745720591803</v>
      </c>
      <c r="BU30" s="92" t="str">
        <f t="shared" si="28"/>
        <v>OK</v>
      </c>
      <c r="BV30" s="139">
        <f t="shared" si="29"/>
        <v>196.69736679414862</v>
      </c>
      <c r="BW30" s="131">
        <f t="shared" si="30"/>
        <v>3.6880756273902864</v>
      </c>
      <c r="BX30" s="139">
        <f t="shared" si="31"/>
        <v>98.348683397074311</v>
      </c>
      <c r="BY30" s="123">
        <f t="shared" si="32"/>
        <v>46.58621845124572</v>
      </c>
      <c r="BZ30" s="141">
        <f t="shared" si="33"/>
        <v>0.22646078413800005</v>
      </c>
      <c r="CA30" s="131">
        <f t="shared" si="34"/>
        <v>5.176246494582859</v>
      </c>
      <c r="CB30" s="143">
        <f t="shared" si="35"/>
        <v>4.3383291980459787E-2</v>
      </c>
      <c r="CC30" s="123">
        <f t="shared" si="36"/>
        <v>47.441082754351541</v>
      </c>
      <c r="CD30" s="131">
        <f t="shared" si="37"/>
        <v>0.20053597782636526</v>
      </c>
      <c r="CE30" s="135">
        <f t="shared" si="38"/>
        <v>0.22646078413800005</v>
      </c>
      <c r="CF30" s="92" t="str">
        <f t="shared" si="39"/>
        <v>OK</v>
      </c>
      <c r="CG30" s="50"/>
      <c r="DA30" s="111"/>
      <c r="DB30" s="111"/>
      <c r="DC30" s="111"/>
      <c r="DD30" s="116"/>
      <c r="DE30" s="120"/>
      <c r="DF30" s="121"/>
      <c r="DG30" s="121"/>
      <c r="DH30" s="121"/>
      <c r="DI30" s="121"/>
      <c r="DJ30" s="121"/>
      <c r="DK30" s="122"/>
      <c r="DL30" s="123"/>
      <c r="DM30" s="123"/>
      <c r="DN30" s="123"/>
      <c r="DO30" s="123"/>
      <c r="DP30" s="123"/>
      <c r="DQ30" s="111"/>
      <c r="DR30" s="120"/>
      <c r="DS30" s="120"/>
      <c r="DT30" s="120"/>
      <c r="DU30" s="120"/>
      <c r="DV30" s="120"/>
      <c r="DW30" s="120"/>
      <c r="DX30" s="120"/>
      <c r="DY30" s="120"/>
      <c r="DZ30" s="120"/>
      <c r="EA30" s="122"/>
      <c r="EB30" s="122"/>
      <c r="EC30" s="122"/>
      <c r="ED30" s="122"/>
      <c r="EE30" s="122"/>
      <c r="EF30" s="122"/>
      <c r="EG30" s="163"/>
      <c r="EH30" s="122"/>
      <c r="EI30" s="122"/>
      <c r="EJ30" s="163"/>
      <c r="EK30" s="131"/>
      <c r="EL30" s="122"/>
      <c r="EM30" s="131"/>
      <c r="EN30" s="131"/>
      <c r="EO30" s="131"/>
      <c r="EP30" s="131"/>
      <c r="EQ30" s="131"/>
      <c r="ER30" s="131"/>
      <c r="ES30" s="131"/>
      <c r="ET30" s="131"/>
      <c r="EU30" s="131"/>
      <c r="EV30" s="139"/>
      <c r="EW30" s="131"/>
      <c r="EX30" s="139"/>
      <c r="EY30" s="123"/>
      <c r="EZ30" s="141"/>
      <c r="FA30" s="131"/>
      <c r="FB30" s="143"/>
      <c r="FC30" s="123"/>
      <c r="FD30" s="131"/>
      <c r="FE30" s="131"/>
      <c r="FF30" s="64"/>
      <c r="FG30" s="50"/>
    </row>
    <row r="31" spans="2:163" ht="12.75" customHeight="1">
      <c r="B31" s="95">
        <v>500</v>
      </c>
      <c r="C31" s="95">
        <v>250</v>
      </c>
      <c r="D31" s="50"/>
      <c r="H31" s="102"/>
      <c r="I31" s="66" t="str">
        <f>"- Cường độ tính toán chịu cắt của thép:"</f>
        <v>- Cường độ tính toán chịu cắt của thép:</v>
      </c>
      <c r="J31" s="66"/>
      <c r="K31" s="249"/>
      <c r="L31" s="90"/>
      <c r="M31" s="66"/>
      <c r="N31" s="5"/>
      <c r="O31" s="5"/>
      <c r="P31" s="5"/>
      <c r="Q31" s="8" t="s">
        <v>76</v>
      </c>
      <c r="R31" s="247">
        <f>0.58*R28/P30</f>
        <v>132.57142857142856</v>
      </c>
      <c r="S31" s="155" t="s">
        <v>2</v>
      </c>
      <c r="T31" s="152"/>
      <c r="AA31" s="111" t="s">
        <v>245</v>
      </c>
      <c r="AB31" s="111" t="s">
        <v>311</v>
      </c>
      <c r="AC31" s="111">
        <v>44</v>
      </c>
      <c r="AD31" s="58">
        <v>0.3</v>
      </c>
      <c r="AE31" s="120">
        <v>500</v>
      </c>
      <c r="AF31" s="121">
        <v>300</v>
      </c>
      <c r="AG31" s="121">
        <v>10</v>
      </c>
      <c r="AH31" s="121">
        <v>14</v>
      </c>
      <c r="AI31" s="121">
        <v>472</v>
      </c>
      <c r="AJ31" s="64" t="str" cm="1">
        <f t="array" ref="AJ31">_xll.Dce_Name_SectI(AE31, AE31, AF31, AG31, AH31, "x", "-", "H Tổng")</f>
        <v>500x300x10x14</v>
      </c>
      <c r="AK31" s="122">
        <f t="shared" si="6"/>
        <v>760</v>
      </c>
      <c r="AL31" s="123">
        <f t="shared" si="7"/>
        <v>300</v>
      </c>
      <c r="AM31" s="123">
        <f t="shared" si="8"/>
        <v>25</v>
      </c>
      <c r="AN31" s="123">
        <f t="shared" si="9"/>
        <v>8</v>
      </c>
      <c r="AO31" s="123">
        <f t="shared" si="10"/>
        <v>24</v>
      </c>
      <c r="AP31" s="165" t="str">
        <f t="shared" si="11"/>
        <v>760x300x25 + 8M24</v>
      </c>
      <c r="AQ31" s="111" t="s">
        <v>317</v>
      </c>
      <c r="AR31" s="120">
        <v>0</v>
      </c>
      <c r="AS31" s="120">
        <v>-230.70799999143375</v>
      </c>
      <c r="AT31" s="120">
        <v>-1.258285919902846E-13</v>
      </c>
      <c r="AU31" s="120">
        <v>-2.0894670370732054E-3</v>
      </c>
      <c r="AV31" s="120">
        <v>-3.0749370125704432E-13</v>
      </c>
      <c r="AW31" s="120">
        <v>-439.15689432400029</v>
      </c>
      <c r="AX31" s="120"/>
      <c r="AY31" s="120"/>
      <c r="AZ31" s="120"/>
      <c r="BA31" s="122">
        <f t="shared" si="12"/>
        <v>60</v>
      </c>
      <c r="BB31" s="122">
        <f t="shared" si="13"/>
        <v>70</v>
      </c>
      <c r="BC31" s="122">
        <f t="shared" si="14"/>
        <v>80</v>
      </c>
      <c r="BD31" s="122">
        <f t="shared" si="15"/>
        <v>150</v>
      </c>
      <c r="BE31" s="122">
        <f>VLOOKUP(AO31,Data!$V$4:$Z$15,3,FALSE)</f>
        <v>452.38934211693021</v>
      </c>
      <c r="BF31" s="122">
        <f>VLOOKUP(AO31,Data!$V$4:$Z$15,4,FALSE)</f>
        <v>353</v>
      </c>
      <c r="BG31" s="163">
        <f t="shared" si="16"/>
        <v>150</v>
      </c>
      <c r="BH31" s="122">
        <f t="shared" si="17"/>
        <v>121.65654188208487</v>
      </c>
      <c r="BI31" s="122">
        <f t="shared" si="18"/>
        <v>243</v>
      </c>
      <c r="BJ31" s="163">
        <f t="shared" si="19"/>
        <v>142.3296</v>
      </c>
      <c r="BK31" s="131">
        <f t="shared" si="20"/>
        <v>28.838499998929219</v>
      </c>
      <c r="BL31" s="134">
        <f t="shared" si="21"/>
        <v>0.94666666666666666</v>
      </c>
      <c r="BM31" s="135">
        <f t="shared" si="22"/>
        <v>0.25040333838970491</v>
      </c>
      <c r="BN31" s="92" t="str">
        <f t="shared" si="23"/>
        <v>OK</v>
      </c>
      <c r="BO31" s="135">
        <f>_xll.DCEBoltDisRS(AN31, AE31, BA31, BB31, BC31, BD31, "h1")</f>
        <v>640</v>
      </c>
      <c r="BP31" s="136">
        <f>_xll.DCEBoltDisRS(AN31, AE31, BA31, BB31, BC31, BD31, "Tong")</f>
        <v>672200</v>
      </c>
      <c r="BQ31" s="137">
        <f t="shared" si="24"/>
        <v>209.06011035953597</v>
      </c>
      <c r="BR31" s="135">
        <f t="shared" si="25"/>
        <v>1.4688449230485856</v>
      </c>
      <c r="BS31" s="64" t="str">
        <f t="shared" si="26"/>
        <v>O/S</v>
      </c>
      <c r="BT31" s="131">
        <f t="shared" si="27"/>
        <v>1.4878499239908138</v>
      </c>
      <c r="BU31" s="92" t="str">
        <f t="shared" si="28"/>
        <v>O/S</v>
      </c>
      <c r="BV31" s="139">
        <f t="shared" si="29"/>
        <v>903.61500889711999</v>
      </c>
      <c r="BW31" s="131">
        <f t="shared" si="30"/>
        <v>16.942781416820999</v>
      </c>
      <c r="BX31" s="139">
        <f t="shared" si="31"/>
        <v>451.80750444856</v>
      </c>
      <c r="BY31" s="123">
        <f t="shared" si="32"/>
        <v>214.01408105458103</v>
      </c>
      <c r="BZ31" s="141">
        <f t="shared" si="33"/>
        <v>1.0403462273486579</v>
      </c>
      <c r="CA31" s="131">
        <f t="shared" si="34"/>
        <v>23.779342339397896</v>
      </c>
      <c r="CB31" s="143">
        <f t="shared" si="35"/>
        <v>0.19930004355338277</v>
      </c>
      <c r="CC31" s="123">
        <f t="shared" si="36"/>
        <v>217.94127249311825</v>
      </c>
      <c r="CD31" s="131">
        <f t="shared" si="37"/>
        <v>0.92124934024868843</v>
      </c>
      <c r="CE31" s="135">
        <f t="shared" si="38"/>
        <v>1.0403462273486579</v>
      </c>
      <c r="CF31" s="92" t="str">
        <f t="shared" si="39"/>
        <v>O/S</v>
      </c>
      <c r="CG31" s="50"/>
      <c r="DA31" s="111"/>
      <c r="DB31" s="111"/>
      <c r="DC31" s="111"/>
      <c r="DD31" s="116"/>
      <c r="DE31" s="120"/>
      <c r="DF31" s="121"/>
      <c r="DG31" s="121"/>
      <c r="DH31" s="121"/>
      <c r="DI31" s="121"/>
      <c r="DJ31" s="121"/>
      <c r="DK31" s="122"/>
      <c r="DL31" s="123"/>
      <c r="DM31" s="123"/>
      <c r="DN31" s="123"/>
      <c r="DO31" s="123"/>
      <c r="DP31" s="123"/>
      <c r="DQ31" s="111"/>
      <c r="DR31" s="120"/>
      <c r="DS31" s="120"/>
      <c r="DT31" s="120"/>
      <c r="DU31" s="120"/>
      <c r="DV31" s="120"/>
      <c r="DW31" s="120"/>
      <c r="DX31" s="120"/>
      <c r="DY31" s="120"/>
      <c r="DZ31" s="120"/>
      <c r="EA31" s="122"/>
      <c r="EB31" s="122"/>
      <c r="EC31" s="122"/>
      <c r="ED31" s="122"/>
      <c r="EE31" s="122"/>
      <c r="EF31" s="122"/>
      <c r="EG31" s="163"/>
      <c r="EH31" s="122"/>
      <c r="EI31" s="122"/>
      <c r="EJ31" s="163"/>
      <c r="EK31" s="131"/>
      <c r="EL31" s="122"/>
      <c r="EM31" s="131"/>
      <c r="EN31" s="131"/>
      <c r="EO31" s="131"/>
      <c r="EP31" s="131"/>
      <c r="EQ31" s="131"/>
      <c r="ER31" s="131"/>
      <c r="ES31" s="131"/>
      <c r="ET31" s="131"/>
      <c r="EU31" s="131"/>
      <c r="EV31" s="139"/>
      <c r="EW31" s="131"/>
      <c r="EX31" s="139"/>
      <c r="EY31" s="123"/>
      <c r="EZ31" s="141"/>
      <c r="FA31" s="131"/>
      <c r="FB31" s="143"/>
      <c r="FC31" s="123"/>
      <c r="FD31" s="131"/>
      <c r="FE31" s="131"/>
      <c r="FF31" s="64"/>
      <c r="FG31" s="50"/>
    </row>
    <row r="32" spans="2:163" ht="12.75" customHeight="1">
      <c r="H32" s="102"/>
      <c r="I32" s="66" t="str">
        <f>"- Hệ số điều kiện làm việc của kết cấu (Bảng 1 - Mục 9):"</f>
        <v>- Hệ số điều kiện làm việc của kết cấu (Bảng 1 - Mục 9):</v>
      </c>
      <c r="J32" s="66"/>
      <c r="K32" s="249"/>
      <c r="L32" s="90"/>
      <c r="M32" s="66"/>
      <c r="N32" s="5"/>
      <c r="O32" s="5"/>
      <c r="P32" s="5"/>
      <c r="Q32" s="91" t="s">
        <v>11</v>
      </c>
      <c r="R32" s="6">
        <v>0.9</v>
      </c>
      <c r="S32" s="155" t="s">
        <v>2</v>
      </c>
      <c r="T32" s="152"/>
      <c r="AA32" s="111" t="s">
        <v>245</v>
      </c>
      <c r="AB32" s="111" t="s">
        <v>311</v>
      </c>
      <c r="AC32" s="111">
        <v>44</v>
      </c>
      <c r="AD32" s="58">
        <v>3</v>
      </c>
      <c r="AE32" s="120">
        <v>500</v>
      </c>
      <c r="AF32" s="121">
        <v>300</v>
      </c>
      <c r="AG32" s="121">
        <v>10</v>
      </c>
      <c r="AH32" s="121">
        <v>14</v>
      </c>
      <c r="AI32" s="121">
        <v>472</v>
      </c>
      <c r="AJ32" s="64" t="str" cm="1">
        <f t="array" ref="AJ32">_xll.Dce_Name_SectI(AE32, AE32, AF32, AG32, AH32, "x", "-", "H Tổng")</f>
        <v>500x300x10x14</v>
      </c>
      <c r="AK32" s="122">
        <f t="shared" si="6"/>
        <v>760</v>
      </c>
      <c r="AL32" s="123">
        <f t="shared" si="7"/>
        <v>300</v>
      </c>
      <c r="AM32" s="123">
        <f t="shared" si="8"/>
        <v>25</v>
      </c>
      <c r="AN32" s="123">
        <f t="shared" si="9"/>
        <v>8</v>
      </c>
      <c r="AO32" s="123">
        <f t="shared" si="10"/>
        <v>24</v>
      </c>
      <c r="AP32" s="165" t="str">
        <f t="shared" si="11"/>
        <v>760x300x25 + 8M24</v>
      </c>
      <c r="AQ32" s="111" t="s">
        <v>317</v>
      </c>
      <c r="AR32" s="120">
        <v>0</v>
      </c>
      <c r="AS32" s="120">
        <v>-155.61139819193087</v>
      </c>
      <c r="AT32" s="120">
        <v>1.4370016288012264E-13</v>
      </c>
      <c r="AU32" s="120">
        <v>-2.0888385411702566E-3</v>
      </c>
      <c r="AV32" s="120">
        <v>-6.5549829741939895E-14</v>
      </c>
      <c r="AW32" s="120">
        <v>100.3257394671402</v>
      </c>
      <c r="AX32" s="120"/>
      <c r="AY32" s="120"/>
      <c r="AZ32" s="120"/>
      <c r="BA32" s="122">
        <f t="shared" si="12"/>
        <v>60</v>
      </c>
      <c r="BB32" s="122">
        <f t="shared" si="13"/>
        <v>70</v>
      </c>
      <c r="BC32" s="122">
        <f t="shared" si="14"/>
        <v>80</v>
      </c>
      <c r="BD32" s="122">
        <f t="shared" si="15"/>
        <v>150</v>
      </c>
      <c r="BE32" s="122">
        <f>VLOOKUP(AO32,Data!$V$4:$Z$15,3,FALSE)</f>
        <v>452.38934211693021</v>
      </c>
      <c r="BF32" s="122">
        <f>VLOOKUP(AO32,Data!$V$4:$Z$15,4,FALSE)</f>
        <v>353</v>
      </c>
      <c r="BG32" s="163">
        <f t="shared" si="16"/>
        <v>150</v>
      </c>
      <c r="BH32" s="122">
        <f t="shared" si="17"/>
        <v>121.65654188208487</v>
      </c>
      <c r="BI32" s="122">
        <f t="shared" si="18"/>
        <v>243</v>
      </c>
      <c r="BJ32" s="163">
        <f t="shared" si="19"/>
        <v>142.3296</v>
      </c>
      <c r="BK32" s="131">
        <f t="shared" si="20"/>
        <v>19.451424773991359</v>
      </c>
      <c r="BL32" s="134">
        <f t="shared" si="21"/>
        <v>0.94666666666666666</v>
      </c>
      <c r="BM32" s="135">
        <f t="shared" si="22"/>
        <v>0.16889580595469592</v>
      </c>
      <c r="BN32" s="92" t="str">
        <f t="shared" si="23"/>
        <v>OK</v>
      </c>
      <c r="BO32" s="135">
        <f>_xll.DCEBoltDisRS(AN32, AE32, BA32, BB32, BC32, BD32, "h1")</f>
        <v>640</v>
      </c>
      <c r="BP32" s="136">
        <f>_xll.DCEBoltDisRS(AN32, AE32, BA32, BB32, BC32, BD32, "Tong")</f>
        <v>672200</v>
      </c>
      <c r="BQ32" s="137">
        <f t="shared" si="24"/>
        <v>47.759947380965279</v>
      </c>
      <c r="BR32" s="135">
        <f t="shared" si="25"/>
        <v>0.33555878314114057</v>
      </c>
      <c r="BS32" s="64" t="str">
        <f t="shared" si="26"/>
        <v>OK</v>
      </c>
      <c r="BT32" s="131">
        <f t="shared" si="27"/>
        <v>0.37170402064599872</v>
      </c>
      <c r="BU32" s="92" t="str">
        <f t="shared" si="28"/>
        <v>OK</v>
      </c>
      <c r="BV32" s="139">
        <f t="shared" si="29"/>
        <v>206.43156268958887</v>
      </c>
      <c r="BW32" s="131">
        <f t="shared" si="30"/>
        <v>3.870591800429791</v>
      </c>
      <c r="BX32" s="139">
        <f t="shared" si="31"/>
        <v>103.21578134479444</v>
      </c>
      <c r="BY32" s="123">
        <f t="shared" si="32"/>
        <v>48.891685900165783</v>
      </c>
      <c r="BZ32" s="141">
        <f t="shared" si="33"/>
        <v>0.23766791757025035</v>
      </c>
      <c r="CA32" s="131">
        <f t="shared" si="34"/>
        <v>5.4324095444628648</v>
      </c>
      <c r="CB32" s="143">
        <f t="shared" si="35"/>
        <v>4.5530252408093941E-2</v>
      </c>
      <c r="CC32" s="123">
        <f t="shared" si="36"/>
        <v>49.788855887003301</v>
      </c>
      <c r="CD32" s="131">
        <f t="shared" si="37"/>
        <v>0.21046013961897533</v>
      </c>
      <c r="CE32" s="135">
        <f t="shared" si="38"/>
        <v>0.23766791757025035</v>
      </c>
      <c r="CF32" s="92" t="str">
        <f t="shared" si="39"/>
        <v>OK</v>
      </c>
      <c r="CG32" s="50"/>
      <c r="DA32" s="111"/>
      <c r="DB32" s="111"/>
      <c r="DC32" s="111"/>
      <c r="DD32" s="116"/>
      <c r="DE32" s="120"/>
      <c r="DF32" s="121"/>
      <c r="DG32" s="121"/>
      <c r="DH32" s="121"/>
      <c r="DI32" s="121"/>
      <c r="DJ32" s="121"/>
      <c r="DK32" s="122"/>
      <c r="DL32" s="123"/>
      <c r="DM32" s="123"/>
      <c r="DN32" s="123"/>
      <c r="DO32" s="123"/>
      <c r="DP32" s="123"/>
      <c r="DQ32" s="111"/>
      <c r="DR32" s="120"/>
      <c r="DS32" s="120"/>
      <c r="DT32" s="120"/>
      <c r="DU32" s="120"/>
      <c r="DV32" s="120"/>
      <c r="DW32" s="120"/>
      <c r="DX32" s="120"/>
      <c r="DY32" s="120"/>
      <c r="DZ32" s="120"/>
      <c r="EA32" s="122"/>
      <c r="EB32" s="122"/>
      <c r="EC32" s="122"/>
      <c r="ED32" s="122"/>
      <c r="EE32" s="122"/>
      <c r="EF32" s="122"/>
      <c r="EG32" s="163"/>
      <c r="EH32" s="122"/>
      <c r="EI32" s="122"/>
      <c r="EJ32" s="163"/>
      <c r="EK32" s="131"/>
      <c r="EL32" s="122"/>
      <c r="EM32" s="131"/>
      <c r="EN32" s="131"/>
      <c r="EO32" s="131"/>
      <c r="EP32" s="131"/>
      <c r="EQ32" s="131"/>
      <c r="ER32" s="131"/>
      <c r="ES32" s="131"/>
      <c r="ET32" s="131"/>
      <c r="EU32" s="131"/>
      <c r="EV32" s="139"/>
      <c r="EW32" s="131"/>
      <c r="EX32" s="139"/>
      <c r="EY32" s="123"/>
      <c r="EZ32" s="141"/>
      <c r="FA32" s="131"/>
      <c r="FB32" s="143"/>
      <c r="FC32" s="123"/>
      <c r="FD32" s="131"/>
      <c r="FE32" s="131"/>
      <c r="FF32" s="64"/>
      <c r="FG32" s="50"/>
    </row>
    <row r="33" spans="2:163" ht="12.75" customHeight="1">
      <c r="H33" s="101" t="s">
        <v>12</v>
      </c>
      <c r="I33" s="66"/>
      <c r="J33" s="66"/>
      <c r="K33" s="66"/>
      <c r="L33" s="66"/>
      <c r="M33" s="66"/>
      <c r="N33" s="249"/>
      <c r="O33" s="285"/>
      <c r="P33" s="66"/>
      <c r="Q33" s="5"/>
      <c r="R33" s="5"/>
      <c r="S33" s="153"/>
      <c r="AA33" s="111" t="s">
        <v>245</v>
      </c>
      <c r="AB33" s="111" t="s">
        <v>311</v>
      </c>
      <c r="AC33" s="111">
        <v>44</v>
      </c>
      <c r="AD33" s="58">
        <v>0.3</v>
      </c>
      <c r="AE33" s="120">
        <v>500</v>
      </c>
      <c r="AF33" s="121">
        <v>300</v>
      </c>
      <c r="AG33" s="121">
        <v>10</v>
      </c>
      <c r="AH33" s="121">
        <v>14</v>
      </c>
      <c r="AI33" s="121">
        <v>472</v>
      </c>
      <c r="AJ33" s="64" t="str" cm="1">
        <f t="array" ref="AJ33">_xll.Dce_Name_SectI(AE33, AE33, AF33, AG33, AH33, "x", "-", "H Tổng")</f>
        <v>500x300x10x14</v>
      </c>
      <c r="AK33" s="122">
        <f t="shared" si="6"/>
        <v>760</v>
      </c>
      <c r="AL33" s="123">
        <f t="shared" si="7"/>
        <v>300</v>
      </c>
      <c r="AM33" s="123">
        <f t="shared" si="8"/>
        <v>25</v>
      </c>
      <c r="AN33" s="123">
        <f t="shared" si="9"/>
        <v>8</v>
      </c>
      <c r="AO33" s="123">
        <f t="shared" si="10"/>
        <v>24</v>
      </c>
      <c r="AP33" s="165" t="str">
        <f t="shared" si="11"/>
        <v>760x300x25 + 8M24</v>
      </c>
      <c r="AQ33" s="111" t="s">
        <v>318</v>
      </c>
      <c r="AR33" s="120">
        <v>0</v>
      </c>
      <c r="AS33" s="120">
        <v>-229.21448465575961</v>
      </c>
      <c r="AT33" s="120">
        <v>-1.4038050721865144E-13</v>
      </c>
      <c r="AU33" s="120">
        <v>-2.1691883958355972E-3</v>
      </c>
      <c r="AV33" s="120">
        <v>-3.0327364584081796E-13</v>
      </c>
      <c r="AW33" s="120">
        <v>-433.23389380225149</v>
      </c>
      <c r="AX33" s="120"/>
      <c r="AY33" s="120"/>
      <c r="AZ33" s="120"/>
      <c r="BA33" s="122">
        <f t="shared" si="12"/>
        <v>60</v>
      </c>
      <c r="BB33" s="122">
        <f t="shared" si="13"/>
        <v>70</v>
      </c>
      <c r="BC33" s="122">
        <f t="shared" si="14"/>
        <v>80</v>
      </c>
      <c r="BD33" s="122">
        <f t="shared" si="15"/>
        <v>150</v>
      </c>
      <c r="BE33" s="122">
        <f>VLOOKUP(AO33,Data!$V$4:$Z$15,3,FALSE)</f>
        <v>452.38934211693021</v>
      </c>
      <c r="BF33" s="122">
        <f>VLOOKUP(AO33,Data!$V$4:$Z$15,4,FALSE)</f>
        <v>353</v>
      </c>
      <c r="BG33" s="163">
        <f t="shared" si="16"/>
        <v>150</v>
      </c>
      <c r="BH33" s="122">
        <f t="shared" si="17"/>
        <v>121.65654188208487</v>
      </c>
      <c r="BI33" s="122">
        <f t="shared" si="18"/>
        <v>243</v>
      </c>
      <c r="BJ33" s="163">
        <f t="shared" si="19"/>
        <v>142.3296</v>
      </c>
      <c r="BK33" s="131">
        <f t="shared" si="20"/>
        <v>28.651810581969951</v>
      </c>
      <c r="BL33" s="134">
        <f t="shared" si="21"/>
        <v>0.94666666666666666</v>
      </c>
      <c r="BM33" s="135">
        <f t="shared" si="22"/>
        <v>0.24878232296760031</v>
      </c>
      <c r="BN33" s="92" t="str">
        <f t="shared" si="23"/>
        <v>OK</v>
      </c>
      <c r="BO33" s="135">
        <f>_xll.DCEBoltDisRS(AN33, AE33, BA33, BB33, BC33, BD33, "h1")</f>
        <v>640</v>
      </c>
      <c r="BP33" s="136">
        <f>_xll.DCEBoltDisRS(AN33, AE33, BA33, BB33, BC33, BD33, "Tong")</f>
        <v>672200</v>
      </c>
      <c r="BQ33" s="137">
        <f t="shared" si="24"/>
        <v>206.24047309836428</v>
      </c>
      <c r="BR33" s="135">
        <f t="shared" si="25"/>
        <v>1.4490343055721668</v>
      </c>
      <c r="BS33" s="64" t="str">
        <f t="shared" si="26"/>
        <v>O/S</v>
      </c>
      <c r="BT33" s="131">
        <f t="shared" si="27"/>
        <v>1.4680487836185545</v>
      </c>
      <c r="BU33" s="92" t="str">
        <f t="shared" si="28"/>
        <v>O/S</v>
      </c>
      <c r="BV33" s="139">
        <f t="shared" si="29"/>
        <v>891.42776502520883</v>
      </c>
      <c r="BW33" s="131">
        <f t="shared" si="30"/>
        <v>16.714270594222665</v>
      </c>
      <c r="BX33" s="139">
        <f t="shared" si="31"/>
        <v>445.71388251260441</v>
      </c>
      <c r="BY33" s="123">
        <f t="shared" si="32"/>
        <v>211.12762855860208</v>
      </c>
      <c r="BZ33" s="141">
        <f t="shared" si="33"/>
        <v>1.0263148610487602</v>
      </c>
      <c r="CA33" s="131">
        <f t="shared" si="34"/>
        <v>23.458625395400233</v>
      </c>
      <c r="CB33" s="143">
        <f t="shared" si="35"/>
        <v>0.19661204234650581</v>
      </c>
      <c r="CC33" s="123">
        <f t="shared" si="36"/>
        <v>215.00185314806987</v>
      </c>
      <c r="CD33" s="131">
        <f t="shared" si="37"/>
        <v>0.9088242584761409</v>
      </c>
      <c r="CE33" s="135">
        <f t="shared" si="38"/>
        <v>1.0263148610487602</v>
      </c>
      <c r="CF33" s="92" t="str">
        <f t="shared" si="39"/>
        <v>O/S</v>
      </c>
      <c r="CG33" s="50"/>
      <c r="DA33" s="111"/>
      <c r="DB33" s="111"/>
      <c r="DC33" s="111"/>
      <c r="DD33" s="116"/>
      <c r="DE33" s="120"/>
      <c r="DF33" s="121"/>
      <c r="DG33" s="121"/>
      <c r="DH33" s="121"/>
      <c r="DI33" s="121"/>
      <c r="DJ33" s="121"/>
      <c r="DK33" s="122"/>
      <c r="DL33" s="123"/>
      <c r="DM33" s="123"/>
      <c r="DN33" s="123"/>
      <c r="DO33" s="123"/>
      <c r="DP33" s="123"/>
      <c r="DQ33" s="111"/>
      <c r="DR33" s="120"/>
      <c r="DS33" s="120"/>
      <c r="DT33" s="120"/>
      <c r="DU33" s="120"/>
      <c r="DV33" s="120"/>
      <c r="DW33" s="120"/>
      <c r="DX33" s="120"/>
      <c r="DY33" s="120"/>
      <c r="DZ33" s="120"/>
      <c r="EA33" s="122"/>
      <c r="EB33" s="122"/>
      <c r="EC33" s="122"/>
      <c r="ED33" s="122"/>
      <c r="EE33" s="122"/>
      <c r="EF33" s="122"/>
      <c r="EG33" s="163"/>
      <c r="EH33" s="122"/>
      <c r="EI33" s="122"/>
      <c r="EJ33" s="163"/>
      <c r="EK33" s="131"/>
      <c r="EL33" s="122"/>
      <c r="EM33" s="131"/>
      <c r="EN33" s="131"/>
      <c r="EO33" s="131"/>
      <c r="EP33" s="131"/>
      <c r="EQ33" s="131"/>
      <c r="ER33" s="131"/>
      <c r="ES33" s="131"/>
      <c r="ET33" s="131"/>
      <c r="EU33" s="131"/>
      <c r="EV33" s="139"/>
      <c r="EW33" s="131"/>
      <c r="EX33" s="139"/>
      <c r="EY33" s="123"/>
      <c r="EZ33" s="141"/>
      <c r="FA33" s="131"/>
      <c r="FB33" s="143"/>
      <c r="FC33" s="123"/>
      <c r="FD33" s="131"/>
      <c r="FE33" s="131"/>
      <c r="FF33" s="64"/>
      <c r="FG33" s="50"/>
    </row>
    <row r="34" spans="2:163" ht="12.75" customHeight="1">
      <c r="H34" s="102"/>
      <c r="I34" s="66" t="str">
        <f>"- Que hàn:"</f>
        <v>- Que hàn:</v>
      </c>
      <c r="J34" s="66"/>
      <c r="K34" s="249"/>
      <c r="L34" s="90"/>
      <c r="M34" s="66"/>
      <c r="N34" s="5"/>
      <c r="O34" s="5"/>
      <c r="P34" s="5"/>
      <c r="Q34" s="5"/>
      <c r="R34" s="6" t="s">
        <v>68</v>
      </c>
      <c r="S34" s="156"/>
      <c r="AA34" s="111" t="s">
        <v>245</v>
      </c>
      <c r="AB34" s="111" t="s">
        <v>311</v>
      </c>
      <c r="AC34" s="111">
        <v>44</v>
      </c>
      <c r="AD34" s="58">
        <v>3</v>
      </c>
      <c r="AE34" s="120">
        <v>500</v>
      </c>
      <c r="AF34" s="121">
        <v>300</v>
      </c>
      <c r="AG34" s="121">
        <v>10</v>
      </c>
      <c r="AH34" s="121">
        <v>14</v>
      </c>
      <c r="AI34" s="121">
        <v>472</v>
      </c>
      <c r="AJ34" s="64" t="str" cm="1">
        <f t="array" ref="AJ34">_xll.Dce_Name_SectI(AE34, AE34, AF34, AG34, AH34, "x", "-", "H Tổng")</f>
        <v>500x300x10x14</v>
      </c>
      <c r="AK34" s="122">
        <f t="shared" si="6"/>
        <v>760</v>
      </c>
      <c r="AL34" s="123">
        <f t="shared" si="7"/>
        <v>300</v>
      </c>
      <c r="AM34" s="123">
        <f t="shared" si="8"/>
        <v>25</v>
      </c>
      <c r="AN34" s="123">
        <f t="shared" si="9"/>
        <v>8</v>
      </c>
      <c r="AO34" s="123">
        <f t="shared" si="10"/>
        <v>24</v>
      </c>
      <c r="AP34" s="165" t="str">
        <f t="shared" si="11"/>
        <v>760x300x25 + 8M24</v>
      </c>
      <c r="AQ34" s="111" t="s">
        <v>318</v>
      </c>
      <c r="AR34" s="120">
        <v>0</v>
      </c>
      <c r="AS34" s="120">
        <v>-154.11788384540262</v>
      </c>
      <c r="AT34" s="120">
        <v>-2.0554580260068174E-13</v>
      </c>
      <c r="AU34" s="120">
        <v>-2.168536836371358E-3</v>
      </c>
      <c r="AV34" s="120">
        <v>1.9591898308135562E-13</v>
      </c>
      <c r="AW34" s="120">
        <v>102.21633416803377</v>
      </c>
      <c r="AX34" s="120"/>
      <c r="AY34" s="120"/>
      <c r="AZ34" s="120"/>
      <c r="BA34" s="122">
        <f t="shared" si="12"/>
        <v>60</v>
      </c>
      <c r="BB34" s="122">
        <f t="shared" si="13"/>
        <v>70</v>
      </c>
      <c r="BC34" s="122">
        <f t="shared" si="14"/>
        <v>80</v>
      </c>
      <c r="BD34" s="122">
        <f t="shared" si="15"/>
        <v>150</v>
      </c>
      <c r="BE34" s="122">
        <f>VLOOKUP(AO34,Data!$V$4:$Z$15,3,FALSE)</f>
        <v>452.38934211693021</v>
      </c>
      <c r="BF34" s="122">
        <f>VLOOKUP(AO34,Data!$V$4:$Z$15,4,FALSE)</f>
        <v>353</v>
      </c>
      <c r="BG34" s="163">
        <f t="shared" si="16"/>
        <v>150</v>
      </c>
      <c r="BH34" s="122">
        <f t="shared" si="17"/>
        <v>121.65654188208487</v>
      </c>
      <c r="BI34" s="122">
        <f t="shared" si="18"/>
        <v>243</v>
      </c>
      <c r="BJ34" s="163">
        <f t="shared" si="19"/>
        <v>142.3296</v>
      </c>
      <c r="BK34" s="131">
        <f t="shared" si="20"/>
        <v>19.264735480675327</v>
      </c>
      <c r="BL34" s="134">
        <f t="shared" si="21"/>
        <v>0.94666666666666666</v>
      </c>
      <c r="BM34" s="135">
        <f t="shared" si="22"/>
        <v>0.1672747916061797</v>
      </c>
      <c r="BN34" s="92" t="str">
        <f t="shared" si="23"/>
        <v>OK</v>
      </c>
      <c r="BO34" s="135">
        <f>_xll.DCEBoltDisRS(AN34, AE34, BA34, BB34, BC34, BD34, "h1")</f>
        <v>640</v>
      </c>
      <c r="BP34" s="136">
        <f>_xll.DCEBoltDisRS(AN34, AE34, BA34, BB34, BC34, BD34, "Tong")</f>
        <v>672200</v>
      </c>
      <c r="BQ34" s="137">
        <f t="shared" si="24"/>
        <v>48.659962710161864</v>
      </c>
      <c r="BR34" s="135">
        <f t="shared" si="25"/>
        <v>0.34188224171333204</v>
      </c>
      <c r="BS34" s="64" t="str">
        <f t="shared" si="26"/>
        <v>OK</v>
      </c>
      <c r="BT34" s="131">
        <f t="shared" si="27"/>
        <v>0.37677485115900561</v>
      </c>
      <c r="BU34" s="92" t="str">
        <f t="shared" si="28"/>
        <v>OK</v>
      </c>
      <c r="BV34" s="139">
        <f t="shared" si="29"/>
        <v>210.32167524286785</v>
      </c>
      <c r="BW34" s="131">
        <f t="shared" si="30"/>
        <v>3.943531410803772</v>
      </c>
      <c r="BX34" s="139">
        <f t="shared" si="31"/>
        <v>105.16083762143393</v>
      </c>
      <c r="BY34" s="123">
        <f t="shared" si="32"/>
        <v>49.813028346995011</v>
      </c>
      <c r="BZ34" s="141">
        <f t="shared" si="33"/>
        <v>0.24214666557567022</v>
      </c>
      <c r="CA34" s="131">
        <f t="shared" si="34"/>
        <v>5.5347809274438911</v>
      </c>
      <c r="CB34" s="143">
        <f t="shared" si="35"/>
        <v>4.6388250110281658E-2</v>
      </c>
      <c r="CC34" s="123">
        <f t="shared" si="36"/>
        <v>50.727105110019025</v>
      </c>
      <c r="CD34" s="131">
        <f t="shared" si="37"/>
        <v>0.21442616894331717</v>
      </c>
      <c r="CE34" s="135">
        <f t="shared" si="38"/>
        <v>0.24214666557567022</v>
      </c>
      <c r="CF34" s="92" t="str">
        <f t="shared" si="39"/>
        <v>OK</v>
      </c>
      <c r="CG34" s="50"/>
      <c r="DA34" s="111"/>
      <c r="DB34" s="111"/>
      <c r="DC34" s="111"/>
      <c r="DD34" s="116"/>
      <c r="DE34" s="120"/>
      <c r="DF34" s="121"/>
      <c r="DG34" s="121"/>
      <c r="DH34" s="121"/>
      <c r="DI34" s="121"/>
      <c r="DJ34" s="121"/>
      <c r="DK34" s="122"/>
      <c r="DL34" s="123"/>
      <c r="DM34" s="123"/>
      <c r="DN34" s="123"/>
      <c r="DO34" s="123"/>
      <c r="DP34" s="123"/>
      <c r="DQ34" s="111"/>
      <c r="DR34" s="120"/>
      <c r="DS34" s="120"/>
      <c r="DT34" s="120"/>
      <c r="DU34" s="120"/>
      <c r="DV34" s="120"/>
      <c r="DW34" s="120"/>
      <c r="DX34" s="120"/>
      <c r="DY34" s="120"/>
      <c r="DZ34" s="120"/>
      <c r="EA34" s="122"/>
      <c r="EB34" s="122"/>
      <c r="EC34" s="122"/>
      <c r="ED34" s="122"/>
      <c r="EE34" s="122"/>
      <c r="EF34" s="122"/>
      <c r="EG34" s="163"/>
      <c r="EH34" s="122"/>
      <c r="EI34" s="122"/>
      <c r="EJ34" s="163"/>
      <c r="EK34" s="131"/>
      <c r="EL34" s="122"/>
      <c r="EM34" s="131"/>
      <c r="EN34" s="131"/>
      <c r="EO34" s="131"/>
      <c r="EP34" s="131"/>
      <c r="EQ34" s="131"/>
      <c r="ER34" s="131"/>
      <c r="ES34" s="131"/>
      <c r="ET34" s="131"/>
      <c r="EU34" s="131"/>
      <c r="EV34" s="139"/>
      <c r="EW34" s="131"/>
      <c r="EX34" s="139"/>
      <c r="EY34" s="123"/>
      <c r="EZ34" s="141"/>
      <c r="FA34" s="131"/>
      <c r="FB34" s="143"/>
      <c r="FC34" s="123"/>
      <c r="FD34" s="131"/>
      <c r="FE34" s="131"/>
      <c r="FF34" s="64"/>
      <c r="FG34" s="50"/>
    </row>
    <row r="35" spans="2:163" ht="12.75" customHeight="1">
      <c r="H35" s="102"/>
      <c r="I35" s="66" t="str">
        <f>"- Cường độ tiêu chuẩn theo giới hạn bền:"</f>
        <v>- Cường độ tiêu chuẩn theo giới hạn bền:</v>
      </c>
      <c r="J35" s="66"/>
      <c r="K35" s="249"/>
      <c r="L35" s="90"/>
      <c r="M35" s="66"/>
      <c r="N35" s="5"/>
      <c r="O35" s="5"/>
      <c r="P35" s="5"/>
      <c r="Q35" s="8" t="s">
        <v>14</v>
      </c>
      <c r="R35" s="9">
        <f>VLOOKUP(R34,Data!$AZ$3:$BB$7,2,FALSE)</f>
        <v>450</v>
      </c>
      <c r="S35" s="155" t="s">
        <v>2</v>
      </c>
      <c r="AA35" s="111" t="s">
        <v>245</v>
      </c>
      <c r="AB35" s="111" t="s">
        <v>311</v>
      </c>
      <c r="AC35" s="111">
        <v>44</v>
      </c>
      <c r="AD35" s="58">
        <v>0.3</v>
      </c>
      <c r="AE35" s="120">
        <v>500</v>
      </c>
      <c r="AF35" s="121">
        <v>300</v>
      </c>
      <c r="AG35" s="121">
        <v>10</v>
      </c>
      <c r="AH35" s="121">
        <v>14</v>
      </c>
      <c r="AI35" s="121">
        <v>472</v>
      </c>
      <c r="AJ35" s="64" t="str" cm="1">
        <f t="array" ref="AJ35">_xll.Dce_Name_SectI(AE35, AE35, AF35, AG35, AH35, "x", "-", "H Tổng")</f>
        <v>500x300x10x14</v>
      </c>
      <c r="AK35" s="122">
        <f t="shared" si="6"/>
        <v>760</v>
      </c>
      <c r="AL35" s="123">
        <f t="shared" si="7"/>
        <v>300</v>
      </c>
      <c r="AM35" s="123">
        <f t="shared" si="8"/>
        <v>25</v>
      </c>
      <c r="AN35" s="123">
        <f t="shared" si="9"/>
        <v>8</v>
      </c>
      <c r="AO35" s="123">
        <f t="shared" si="10"/>
        <v>24</v>
      </c>
      <c r="AP35" s="165" t="str">
        <f t="shared" si="11"/>
        <v>760x300x25 + 8M24</v>
      </c>
      <c r="AQ35" s="111" t="s">
        <v>319</v>
      </c>
      <c r="AR35" s="120">
        <v>0</v>
      </c>
      <c r="AS35" s="120">
        <v>-228.70333530308034</v>
      </c>
      <c r="AT35" s="120">
        <v>-1.4038050721865144E-13</v>
      </c>
      <c r="AU35" s="120">
        <v>-2.1667775174077151E-3</v>
      </c>
      <c r="AV35" s="120">
        <v>-3.0327364584081796E-13</v>
      </c>
      <c r="AW35" s="120">
        <v>-427.18556131712347</v>
      </c>
      <c r="AX35" s="120"/>
      <c r="AY35" s="120"/>
      <c r="AZ35" s="120"/>
      <c r="BA35" s="122">
        <f t="shared" si="12"/>
        <v>60</v>
      </c>
      <c r="BB35" s="122">
        <f t="shared" si="13"/>
        <v>70</v>
      </c>
      <c r="BC35" s="122">
        <f t="shared" si="14"/>
        <v>80</v>
      </c>
      <c r="BD35" s="122">
        <f t="shared" si="15"/>
        <v>150</v>
      </c>
      <c r="BE35" s="122">
        <f>VLOOKUP(AO35,Data!$V$4:$Z$15,3,FALSE)</f>
        <v>452.38934211693021</v>
      </c>
      <c r="BF35" s="122">
        <f>VLOOKUP(AO35,Data!$V$4:$Z$15,4,FALSE)</f>
        <v>353</v>
      </c>
      <c r="BG35" s="163">
        <f t="shared" si="16"/>
        <v>150</v>
      </c>
      <c r="BH35" s="122">
        <f t="shared" si="17"/>
        <v>121.65654188208487</v>
      </c>
      <c r="BI35" s="122">
        <f t="shared" si="18"/>
        <v>243</v>
      </c>
      <c r="BJ35" s="163">
        <f t="shared" si="19"/>
        <v>142.3296</v>
      </c>
      <c r="BK35" s="131">
        <f t="shared" si="20"/>
        <v>28.587916912885042</v>
      </c>
      <c r="BL35" s="134">
        <f t="shared" si="21"/>
        <v>0.94666666666666666</v>
      </c>
      <c r="BM35" s="135">
        <f t="shared" si="22"/>
        <v>0.24822753724568611</v>
      </c>
      <c r="BN35" s="92" t="str">
        <f t="shared" si="23"/>
        <v>OK</v>
      </c>
      <c r="BO35" s="135">
        <f>_xll.DCEBoltDisRS(AN35, AE35, BA35, BB35, BC35, BD35, "h1")</f>
        <v>640</v>
      </c>
      <c r="BP35" s="136">
        <f>_xll.DCEBoltDisRS(AN35, AE35, BA35, BB35, BC35, BD35, "Tong")</f>
        <v>672200</v>
      </c>
      <c r="BQ35" s="137">
        <f t="shared" si="24"/>
        <v>203.36117170705074</v>
      </c>
      <c r="BR35" s="135">
        <f t="shared" si="25"/>
        <v>1.4288044911743638</v>
      </c>
      <c r="BS35" s="64" t="str">
        <f t="shared" si="26"/>
        <v>O/S</v>
      </c>
      <c r="BT35" s="131">
        <f t="shared" si="27"/>
        <v>1.4479993023820055</v>
      </c>
      <c r="BU35" s="92" t="str">
        <f t="shared" si="28"/>
        <v>O/S</v>
      </c>
      <c r="BV35" s="139">
        <f t="shared" si="29"/>
        <v>878.98263645498662</v>
      </c>
      <c r="BW35" s="131">
        <f t="shared" si="30"/>
        <v>16.480924433530998</v>
      </c>
      <c r="BX35" s="139">
        <f t="shared" si="31"/>
        <v>439.49131822749331</v>
      </c>
      <c r="BY35" s="123">
        <f t="shared" si="32"/>
        <v>208.18009810775996</v>
      </c>
      <c r="BZ35" s="141">
        <f t="shared" si="33"/>
        <v>1.0119865880238332</v>
      </c>
      <c r="CA35" s="131">
        <f t="shared" si="34"/>
        <v>23.131122011973332</v>
      </c>
      <c r="CB35" s="143">
        <f t="shared" si="35"/>
        <v>0.19386716245667307</v>
      </c>
      <c r="CC35" s="123">
        <f t="shared" si="36"/>
        <v>212.00023505825402</v>
      </c>
      <c r="CD35" s="131">
        <f t="shared" si="37"/>
        <v>0.89613625930421403</v>
      </c>
      <c r="CE35" s="135">
        <f t="shared" si="38"/>
        <v>1.0119865880238332</v>
      </c>
      <c r="CF35" s="92" t="str">
        <f t="shared" si="39"/>
        <v>O/S</v>
      </c>
      <c r="CG35" s="50"/>
      <c r="DA35" s="111"/>
      <c r="DB35" s="111"/>
      <c r="DC35" s="111"/>
      <c r="DD35" s="116"/>
      <c r="DE35" s="120"/>
      <c r="DF35" s="121"/>
      <c r="DG35" s="121"/>
      <c r="DH35" s="121"/>
      <c r="DI35" s="121"/>
      <c r="DJ35" s="121"/>
      <c r="DK35" s="122"/>
      <c r="DL35" s="123"/>
      <c r="DM35" s="123"/>
      <c r="DN35" s="123"/>
      <c r="DO35" s="123"/>
      <c r="DP35" s="123"/>
      <c r="DQ35" s="111"/>
      <c r="DR35" s="120"/>
      <c r="DS35" s="120"/>
      <c r="DT35" s="120"/>
      <c r="DU35" s="120"/>
      <c r="DV35" s="120"/>
      <c r="DW35" s="120"/>
      <c r="DX35" s="120"/>
      <c r="DY35" s="120"/>
      <c r="DZ35" s="120"/>
      <c r="EA35" s="122"/>
      <c r="EB35" s="122"/>
      <c r="EC35" s="122"/>
      <c r="ED35" s="122"/>
      <c r="EE35" s="122"/>
      <c r="EF35" s="122"/>
      <c r="EG35" s="163"/>
      <c r="EH35" s="122"/>
      <c r="EI35" s="122"/>
      <c r="EJ35" s="163"/>
      <c r="EK35" s="131"/>
      <c r="EL35" s="122"/>
      <c r="EM35" s="131"/>
      <c r="EN35" s="131"/>
      <c r="EO35" s="131"/>
      <c r="EP35" s="131"/>
      <c r="EQ35" s="131"/>
      <c r="ER35" s="131"/>
      <c r="ES35" s="131"/>
      <c r="ET35" s="131"/>
      <c r="EU35" s="131"/>
      <c r="EV35" s="139"/>
      <c r="EW35" s="131"/>
      <c r="EX35" s="139"/>
      <c r="EY35" s="123"/>
      <c r="EZ35" s="141"/>
      <c r="FA35" s="131"/>
      <c r="FB35" s="143"/>
      <c r="FC35" s="123"/>
      <c r="FD35" s="131"/>
      <c r="FE35" s="131"/>
      <c r="FF35" s="64"/>
      <c r="FG35" s="50"/>
    </row>
    <row r="36" spans="2:163" ht="12.75" customHeight="1">
      <c r="H36" s="102"/>
      <c r="I36" s="66" t="str">
        <f>"- Cường độ tính toán theo kim loại đường hàn:"</f>
        <v>- Cường độ tính toán theo kim loại đường hàn:</v>
      </c>
      <c r="J36" s="66"/>
      <c r="K36" s="249"/>
      <c r="L36" s="90"/>
      <c r="M36" s="66"/>
      <c r="N36" s="5"/>
      <c r="O36" s="91" t="s">
        <v>15</v>
      </c>
      <c r="P36" s="6">
        <v>0.7</v>
      </c>
      <c r="Q36" s="8" t="s">
        <v>16</v>
      </c>
      <c r="R36" s="9">
        <f>VLOOKUP(R34,Data!$AZ$3:$BB$7,3,FALSE)</f>
        <v>200</v>
      </c>
      <c r="S36" s="155" t="s">
        <v>2</v>
      </c>
      <c r="AA36" s="111" t="s">
        <v>245</v>
      </c>
      <c r="AB36" s="111" t="s">
        <v>311</v>
      </c>
      <c r="AC36" s="111">
        <v>44</v>
      </c>
      <c r="AD36" s="58">
        <v>3</v>
      </c>
      <c r="AE36" s="120">
        <v>500</v>
      </c>
      <c r="AF36" s="121">
        <v>300</v>
      </c>
      <c r="AG36" s="121">
        <v>10</v>
      </c>
      <c r="AH36" s="121">
        <v>14</v>
      </c>
      <c r="AI36" s="121">
        <v>472</v>
      </c>
      <c r="AJ36" s="64" t="str" cm="1">
        <f t="array" ref="AJ36">_xll.Dce_Name_SectI(AE36, AE36, AF36, AG36, AH36, "x", "-", "H Tổng")</f>
        <v>500x300x10x14</v>
      </c>
      <c r="AK36" s="122">
        <f t="shared" si="6"/>
        <v>760</v>
      </c>
      <c r="AL36" s="123">
        <f t="shared" si="7"/>
        <v>300</v>
      </c>
      <c r="AM36" s="123">
        <f t="shared" si="8"/>
        <v>25</v>
      </c>
      <c r="AN36" s="123">
        <f t="shared" si="9"/>
        <v>8</v>
      </c>
      <c r="AO36" s="123">
        <f t="shared" si="10"/>
        <v>24</v>
      </c>
      <c r="AP36" s="165" t="str">
        <f t="shared" si="11"/>
        <v>760x300x25 + 8M24</v>
      </c>
      <c r="AQ36" s="111" t="s">
        <v>319</v>
      </c>
      <c r="AR36" s="120">
        <v>0</v>
      </c>
      <c r="AS36" s="120">
        <v>-153.60673385967635</v>
      </c>
      <c r="AT36" s="120">
        <v>-1.4733814168721435E-13</v>
      </c>
      <c r="AU36" s="120">
        <v>-2.1661264968625151E-3</v>
      </c>
      <c r="AV36" s="120">
        <v>1.3247263268567618E-13</v>
      </c>
      <c r="AW36" s="120">
        <v>106.88452538762974</v>
      </c>
      <c r="AX36" s="120"/>
      <c r="AY36" s="120"/>
      <c r="AZ36" s="120"/>
      <c r="BA36" s="122">
        <f t="shared" si="12"/>
        <v>60</v>
      </c>
      <c r="BB36" s="122">
        <f t="shared" si="13"/>
        <v>70</v>
      </c>
      <c r="BC36" s="122">
        <f t="shared" si="14"/>
        <v>80</v>
      </c>
      <c r="BD36" s="122">
        <f t="shared" si="15"/>
        <v>150</v>
      </c>
      <c r="BE36" s="122">
        <f>VLOOKUP(AO36,Data!$V$4:$Z$15,3,FALSE)</f>
        <v>452.38934211693021</v>
      </c>
      <c r="BF36" s="122">
        <f>VLOOKUP(AO36,Data!$V$4:$Z$15,4,FALSE)</f>
        <v>353</v>
      </c>
      <c r="BG36" s="163">
        <f t="shared" si="16"/>
        <v>150</v>
      </c>
      <c r="BH36" s="122">
        <f t="shared" si="17"/>
        <v>121.65654188208487</v>
      </c>
      <c r="BI36" s="122">
        <f t="shared" si="18"/>
        <v>243</v>
      </c>
      <c r="BJ36" s="163">
        <f t="shared" si="19"/>
        <v>142.3296</v>
      </c>
      <c r="BK36" s="131">
        <f t="shared" si="20"/>
        <v>19.200841732459544</v>
      </c>
      <c r="BL36" s="134">
        <f t="shared" si="21"/>
        <v>0.94666666666666666</v>
      </c>
      <c r="BM36" s="135">
        <f t="shared" si="22"/>
        <v>0.16672000519717586</v>
      </c>
      <c r="BN36" s="92" t="str">
        <f t="shared" si="23"/>
        <v>OK</v>
      </c>
      <c r="BO36" s="135">
        <f>_xll.DCEBoltDisRS(AN36, AE36, BA36, BB36, BC36, BD36, "h1")</f>
        <v>640</v>
      </c>
      <c r="BP36" s="136">
        <f>_xll.DCEBoltDisRS(AN36, AE36, BA36, BB36, BC36, BD36, "Tong")</f>
        <v>672200</v>
      </c>
      <c r="BQ36" s="137">
        <f t="shared" si="24"/>
        <v>50.882249515087047</v>
      </c>
      <c r="BR36" s="135">
        <f t="shared" si="25"/>
        <v>0.35749590749279875</v>
      </c>
      <c r="BS36" s="64" t="str">
        <f t="shared" si="26"/>
        <v>OK</v>
      </c>
      <c r="BT36" s="131">
        <f t="shared" si="27"/>
        <v>0.3907852187405918</v>
      </c>
      <c r="BU36" s="92" t="str">
        <f t="shared" si="28"/>
        <v>OK</v>
      </c>
      <c r="BV36" s="139">
        <f t="shared" si="29"/>
        <v>219.92700697043156</v>
      </c>
      <c r="BW36" s="131">
        <f t="shared" si="30"/>
        <v>4.123631380695592</v>
      </c>
      <c r="BX36" s="139">
        <f t="shared" si="31"/>
        <v>109.96350348521578</v>
      </c>
      <c r="BY36" s="123">
        <f t="shared" si="32"/>
        <v>52.087975335102215</v>
      </c>
      <c r="BZ36" s="141">
        <f t="shared" si="33"/>
        <v>0.25320543565674691</v>
      </c>
      <c r="CA36" s="131">
        <f t="shared" si="34"/>
        <v>5.7875528150113569</v>
      </c>
      <c r="CB36" s="143">
        <f t="shared" si="35"/>
        <v>4.8506788439989824E-2</v>
      </c>
      <c r="CC36" s="123">
        <f t="shared" si="36"/>
        <v>53.043797726688595</v>
      </c>
      <c r="CD36" s="131">
        <f t="shared" si="37"/>
        <v>0.22421895174324893</v>
      </c>
      <c r="CE36" s="135">
        <f t="shared" si="38"/>
        <v>0.25320543565674691</v>
      </c>
      <c r="CF36" s="92" t="str">
        <f t="shared" si="39"/>
        <v>OK</v>
      </c>
      <c r="CG36" s="50"/>
      <c r="DA36" s="111"/>
      <c r="DB36" s="111"/>
      <c r="DC36" s="111"/>
      <c r="DD36" s="116"/>
      <c r="DE36" s="120"/>
      <c r="DF36" s="121"/>
      <c r="DG36" s="121"/>
      <c r="DH36" s="121"/>
      <c r="DI36" s="121"/>
      <c r="DJ36" s="121"/>
      <c r="DK36" s="122"/>
      <c r="DL36" s="123"/>
      <c r="DM36" s="123"/>
      <c r="DN36" s="123"/>
      <c r="DO36" s="123"/>
      <c r="DP36" s="123"/>
      <c r="DQ36" s="111"/>
      <c r="DR36" s="120"/>
      <c r="DS36" s="120"/>
      <c r="DT36" s="120"/>
      <c r="DU36" s="120"/>
      <c r="DV36" s="120"/>
      <c r="DW36" s="120"/>
      <c r="DX36" s="120"/>
      <c r="DY36" s="120"/>
      <c r="DZ36" s="120"/>
      <c r="EA36" s="122"/>
      <c r="EB36" s="122"/>
      <c r="EC36" s="122"/>
      <c r="ED36" s="122"/>
      <c r="EE36" s="122"/>
      <c r="EF36" s="122"/>
      <c r="EG36" s="163"/>
      <c r="EH36" s="122"/>
      <c r="EI36" s="122"/>
      <c r="EJ36" s="163"/>
      <c r="EK36" s="131"/>
      <c r="EL36" s="122"/>
      <c r="EM36" s="131"/>
      <c r="EN36" s="131"/>
      <c r="EO36" s="131"/>
      <c r="EP36" s="131"/>
      <c r="EQ36" s="131"/>
      <c r="ER36" s="131"/>
      <c r="ES36" s="131"/>
      <c r="ET36" s="131"/>
      <c r="EU36" s="131"/>
      <c r="EV36" s="139"/>
      <c r="EW36" s="131"/>
      <c r="EX36" s="139"/>
      <c r="EY36" s="123"/>
      <c r="EZ36" s="141"/>
      <c r="FA36" s="131"/>
      <c r="FB36" s="143"/>
      <c r="FC36" s="123"/>
      <c r="FD36" s="131"/>
      <c r="FE36" s="131"/>
      <c r="FF36" s="64"/>
      <c r="FG36" s="50"/>
    </row>
    <row r="37" spans="2:163" ht="12.75" customHeight="1">
      <c r="H37" s="102"/>
      <c r="I37" s="66" t="str">
        <f>"- Cường độ tính toán theo kim loại biên nóng chảy:"</f>
        <v>- Cường độ tính toán theo kim loại biên nóng chảy:</v>
      </c>
      <c r="J37" s="66"/>
      <c r="K37" s="249"/>
      <c r="L37" s="90"/>
      <c r="M37" s="66"/>
      <c r="N37" s="5"/>
      <c r="O37" s="91" t="s">
        <v>17</v>
      </c>
      <c r="P37" s="287">
        <v>1</v>
      </c>
      <c r="Q37" s="8" t="s">
        <v>18</v>
      </c>
      <c r="R37" s="9">
        <f>0.45*R29</f>
        <v>171</v>
      </c>
      <c r="S37" s="155" t="s">
        <v>2</v>
      </c>
      <c r="AA37" s="111" t="s">
        <v>245</v>
      </c>
      <c r="AB37" s="111" t="s">
        <v>311</v>
      </c>
      <c r="AC37" s="111">
        <v>44</v>
      </c>
      <c r="AD37" s="58">
        <v>0.3</v>
      </c>
      <c r="AE37" s="120">
        <v>500</v>
      </c>
      <c r="AF37" s="121">
        <v>300</v>
      </c>
      <c r="AG37" s="121">
        <v>10</v>
      </c>
      <c r="AH37" s="121">
        <v>14</v>
      </c>
      <c r="AI37" s="121">
        <v>472</v>
      </c>
      <c r="AJ37" s="64" t="str" cm="1">
        <f t="array" ref="AJ37">_xll.Dce_Name_SectI(AE37, AE37, AF37, AG37, AH37, "x", "-", "H Tổng")</f>
        <v>500x300x10x14</v>
      </c>
      <c r="AK37" s="122">
        <f t="shared" si="6"/>
        <v>760</v>
      </c>
      <c r="AL37" s="123">
        <f t="shared" si="7"/>
        <v>300</v>
      </c>
      <c r="AM37" s="123">
        <f t="shared" si="8"/>
        <v>25</v>
      </c>
      <c r="AN37" s="123">
        <f t="shared" si="9"/>
        <v>8</v>
      </c>
      <c r="AO37" s="123">
        <f t="shared" si="10"/>
        <v>24</v>
      </c>
      <c r="AP37" s="165" t="str">
        <f t="shared" si="11"/>
        <v>760x300x25 + 8M24</v>
      </c>
      <c r="AQ37" s="111" t="s">
        <v>320</v>
      </c>
      <c r="AR37" s="120">
        <v>0</v>
      </c>
      <c r="AS37" s="120">
        <v>-227.92534622662407</v>
      </c>
      <c r="AT37" s="120">
        <v>-1.542503014206886E-13</v>
      </c>
      <c r="AU37" s="120">
        <v>-2.1309149473195048E-3</v>
      </c>
      <c r="AV37" s="120">
        <v>-3.0041555874049654E-13</v>
      </c>
      <c r="AW37" s="120">
        <v>-428.20850653048029</v>
      </c>
      <c r="AX37" s="120"/>
      <c r="AY37" s="120"/>
      <c r="AZ37" s="120"/>
      <c r="BA37" s="122">
        <f t="shared" si="12"/>
        <v>60</v>
      </c>
      <c r="BB37" s="122">
        <f t="shared" si="13"/>
        <v>70</v>
      </c>
      <c r="BC37" s="122">
        <f t="shared" si="14"/>
        <v>80</v>
      </c>
      <c r="BD37" s="122">
        <f t="shared" si="15"/>
        <v>150</v>
      </c>
      <c r="BE37" s="122">
        <f>VLOOKUP(AO37,Data!$V$4:$Z$15,3,FALSE)</f>
        <v>452.38934211693021</v>
      </c>
      <c r="BF37" s="122">
        <f>VLOOKUP(AO37,Data!$V$4:$Z$15,4,FALSE)</f>
        <v>353</v>
      </c>
      <c r="BG37" s="163">
        <f t="shared" si="16"/>
        <v>150</v>
      </c>
      <c r="BH37" s="122">
        <f t="shared" si="17"/>
        <v>121.65654188208487</v>
      </c>
      <c r="BI37" s="122">
        <f t="shared" si="18"/>
        <v>243</v>
      </c>
      <c r="BJ37" s="163">
        <f t="shared" si="19"/>
        <v>142.3296</v>
      </c>
      <c r="BK37" s="131">
        <f t="shared" si="20"/>
        <v>28.490668278328009</v>
      </c>
      <c r="BL37" s="134">
        <f t="shared" si="21"/>
        <v>0.94666666666666666</v>
      </c>
      <c r="BM37" s="135">
        <f t="shared" si="22"/>
        <v>0.24738313192821726</v>
      </c>
      <c r="BN37" s="92" t="str">
        <f t="shared" si="23"/>
        <v>OK</v>
      </c>
      <c r="BO37" s="135">
        <f>_xll.DCEBoltDisRS(AN37, AE37, BA37, BB37, BC37, BD37, "h1")</f>
        <v>640</v>
      </c>
      <c r="BP37" s="136">
        <f>_xll.DCEBoltDisRS(AN37, AE37, BA37, BB37, BC37, BD37, "Tong")</f>
        <v>672200</v>
      </c>
      <c r="BQ37" s="137">
        <f t="shared" si="24"/>
        <v>203.84814354322179</v>
      </c>
      <c r="BR37" s="135">
        <f t="shared" si="25"/>
        <v>1.4322259287121006</v>
      </c>
      <c r="BS37" s="64" t="str">
        <f t="shared" si="26"/>
        <v>O/S</v>
      </c>
      <c r="BT37" s="131">
        <f t="shared" si="27"/>
        <v>1.4512462814780194</v>
      </c>
      <c r="BU37" s="92" t="str">
        <f t="shared" si="28"/>
        <v>O/S</v>
      </c>
      <c r="BV37" s="139">
        <f t="shared" si="29"/>
        <v>881.087461996873</v>
      </c>
      <c r="BW37" s="131">
        <f t="shared" si="30"/>
        <v>16.520389912441367</v>
      </c>
      <c r="BX37" s="139">
        <f t="shared" si="31"/>
        <v>440.5437309984365</v>
      </c>
      <c r="BY37" s="123">
        <f t="shared" si="32"/>
        <v>208.67860942031203</v>
      </c>
      <c r="BZ37" s="141">
        <f t="shared" si="33"/>
        <v>1.0144099069042947</v>
      </c>
      <c r="CA37" s="131">
        <f t="shared" si="34"/>
        <v>23.186512157812448</v>
      </c>
      <c r="CB37" s="143">
        <f t="shared" si="35"/>
        <v>0.19433139979009478</v>
      </c>
      <c r="CC37" s="123">
        <f t="shared" si="36"/>
        <v>212.50789413037884</v>
      </c>
      <c r="CD37" s="131">
        <f t="shared" si="37"/>
        <v>0.89828216117913784</v>
      </c>
      <c r="CE37" s="135">
        <f t="shared" si="38"/>
        <v>1.0144099069042947</v>
      </c>
      <c r="CF37" s="92" t="str">
        <f t="shared" si="39"/>
        <v>O/S</v>
      </c>
      <c r="CG37" s="50"/>
      <c r="DA37" s="111"/>
      <c r="DB37" s="111"/>
      <c r="DC37" s="111"/>
      <c r="DD37" s="116"/>
      <c r="DE37" s="120"/>
      <c r="DF37" s="121"/>
      <c r="DG37" s="121"/>
      <c r="DH37" s="121"/>
      <c r="DI37" s="121"/>
      <c r="DJ37" s="121"/>
      <c r="DK37" s="122"/>
      <c r="DL37" s="123"/>
      <c r="DM37" s="123"/>
      <c r="DN37" s="123"/>
      <c r="DO37" s="123"/>
      <c r="DP37" s="123"/>
      <c r="DQ37" s="111"/>
      <c r="DR37" s="120"/>
      <c r="DS37" s="120"/>
      <c r="DT37" s="120"/>
      <c r="DU37" s="120"/>
      <c r="DV37" s="120"/>
      <c r="DW37" s="120"/>
      <c r="DX37" s="120"/>
      <c r="DY37" s="120"/>
      <c r="DZ37" s="120"/>
      <c r="EA37" s="122"/>
      <c r="EB37" s="122"/>
      <c r="EC37" s="122"/>
      <c r="ED37" s="122"/>
      <c r="EE37" s="122"/>
      <c r="EF37" s="122"/>
      <c r="EG37" s="163"/>
      <c r="EH37" s="122"/>
      <c r="EI37" s="122"/>
      <c r="EJ37" s="163"/>
      <c r="EK37" s="131"/>
      <c r="EL37" s="122"/>
      <c r="EM37" s="131"/>
      <c r="EN37" s="131"/>
      <c r="EO37" s="131"/>
      <c r="EP37" s="131"/>
      <c r="EQ37" s="131"/>
      <c r="ER37" s="131"/>
      <c r="ES37" s="131"/>
      <c r="ET37" s="131"/>
      <c r="EU37" s="131"/>
      <c r="EV37" s="139"/>
      <c r="EW37" s="131"/>
      <c r="EX37" s="139"/>
      <c r="EY37" s="123"/>
      <c r="EZ37" s="141"/>
      <c r="FA37" s="131"/>
      <c r="FB37" s="143"/>
      <c r="FC37" s="123"/>
      <c r="FD37" s="131"/>
      <c r="FE37" s="131"/>
      <c r="FF37" s="64"/>
      <c r="FG37" s="50"/>
    </row>
    <row r="38" spans="2:163" ht="12.75" customHeight="1">
      <c r="H38" s="102"/>
      <c r="I38" s="66" t="str">
        <f>"- Hệ số điều kiện làm việc :"</f>
        <v>- Hệ số điều kiện làm việc :</v>
      </c>
      <c r="J38" s="66"/>
      <c r="K38" s="249"/>
      <c r="L38" s="90"/>
      <c r="M38" s="66"/>
      <c r="N38" s="5"/>
      <c r="O38" s="5"/>
      <c r="P38" s="5"/>
      <c r="Q38" s="91" t="s">
        <v>11</v>
      </c>
      <c r="R38" s="6">
        <v>0.9</v>
      </c>
      <c r="S38" s="155" t="s">
        <v>2</v>
      </c>
      <c r="T38" s="152"/>
      <c r="AA38" s="111" t="s">
        <v>245</v>
      </c>
      <c r="AB38" s="111" t="s">
        <v>311</v>
      </c>
      <c r="AC38" s="111">
        <v>44</v>
      </c>
      <c r="AD38" s="58">
        <v>3</v>
      </c>
      <c r="AE38" s="120">
        <v>500</v>
      </c>
      <c r="AF38" s="121">
        <v>300</v>
      </c>
      <c r="AG38" s="121">
        <v>10</v>
      </c>
      <c r="AH38" s="121">
        <v>14</v>
      </c>
      <c r="AI38" s="121">
        <v>472</v>
      </c>
      <c r="AJ38" s="64" t="str" cm="1">
        <f t="array" ref="AJ38">_xll.Dce_Name_SectI(AE38, AE38, AF38, AG38, AH38, "x", "-", "H Tổng")</f>
        <v>500x300x10x14</v>
      </c>
      <c r="AK38" s="122">
        <f t="shared" si="6"/>
        <v>760</v>
      </c>
      <c r="AL38" s="123">
        <f t="shared" si="7"/>
        <v>300</v>
      </c>
      <c r="AM38" s="123">
        <f t="shared" si="8"/>
        <v>25</v>
      </c>
      <c r="AN38" s="123">
        <f t="shared" si="9"/>
        <v>8</v>
      </c>
      <c r="AO38" s="123">
        <f t="shared" si="10"/>
        <v>24</v>
      </c>
      <c r="AP38" s="165" t="str">
        <f t="shared" si="11"/>
        <v>760x300x25 + 8M24</v>
      </c>
      <c r="AQ38" s="111" t="s">
        <v>320</v>
      </c>
      <c r="AR38" s="120">
        <v>0</v>
      </c>
      <c r="AS38" s="120">
        <v>-152.82874629110597</v>
      </c>
      <c r="AT38" s="120">
        <v>-8.7766238721087552E-14</v>
      </c>
      <c r="AU38" s="120">
        <v>-2.1302744169116252E-3</v>
      </c>
      <c r="AV38" s="120">
        <v>6.4978121372405401E-14</v>
      </c>
      <c r="AW38" s="120">
        <v>103.76115476034022</v>
      </c>
      <c r="AX38" s="120"/>
      <c r="AY38" s="120"/>
      <c r="AZ38" s="120"/>
      <c r="BA38" s="122">
        <f t="shared" si="12"/>
        <v>60</v>
      </c>
      <c r="BB38" s="122">
        <f t="shared" si="13"/>
        <v>70</v>
      </c>
      <c r="BC38" s="122">
        <f t="shared" si="14"/>
        <v>80</v>
      </c>
      <c r="BD38" s="122">
        <f t="shared" si="15"/>
        <v>150</v>
      </c>
      <c r="BE38" s="122">
        <f>VLOOKUP(AO38,Data!$V$4:$Z$15,3,FALSE)</f>
        <v>452.38934211693021</v>
      </c>
      <c r="BF38" s="122">
        <f>VLOOKUP(AO38,Data!$V$4:$Z$15,4,FALSE)</f>
        <v>353</v>
      </c>
      <c r="BG38" s="163">
        <f t="shared" si="16"/>
        <v>150</v>
      </c>
      <c r="BH38" s="122">
        <f t="shared" si="17"/>
        <v>121.65654188208487</v>
      </c>
      <c r="BI38" s="122">
        <f t="shared" si="18"/>
        <v>243</v>
      </c>
      <c r="BJ38" s="163">
        <f t="shared" si="19"/>
        <v>142.3296</v>
      </c>
      <c r="BK38" s="131">
        <f t="shared" si="20"/>
        <v>19.103593286388246</v>
      </c>
      <c r="BL38" s="134">
        <f t="shared" si="21"/>
        <v>0.94666666666666666</v>
      </c>
      <c r="BM38" s="135">
        <f t="shared" si="22"/>
        <v>0.16587560151631978</v>
      </c>
      <c r="BN38" s="92" t="str">
        <f t="shared" si="23"/>
        <v>OK</v>
      </c>
      <c r="BO38" s="135">
        <f>_xll.DCEBoltDisRS(AN38, AE38, BA38, BB38, BC38, BD38, "h1")</f>
        <v>640</v>
      </c>
      <c r="BP38" s="136">
        <f>_xll.DCEBoltDisRS(AN38, AE38, BA38, BB38, BC38, BD38, "Tong")</f>
        <v>672200</v>
      </c>
      <c r="BQ38" s="137">
        <f t="shared" si="24"/>
        <v>49.395372691622832</v>
      </c>
      <c r="BR38" s="135">
        <f t="shared" si="25"/>
        <v>0.34704919209793911</v>
      </c>
      <c r="BS38" s="64" t="str">
        <f t="shared" si="26"/>
        <v>OK</v>
      </c>
      <c r="BT38" s="131">
        <f t="shared" si="27"/>
        <v>0.38092153790590533</v>
      </c>
      <c r="BU38" s="92" t="str">
        <f t="shared" si="28"/>
        <v>OK</v>
      </c>
      <c r="BV38" s="139">
        <f t="shared" si="29"/>
        <v>213.50031843691403</v>
      </c>
      <c r="BW38" s="131">
        <f t="shared" si="30"/>
        <v>4.0031309706921379</v>
      </c>
      <c r="BX38" s="139">
        <f t="shared" si="31"/>
        <v>106.75015921845701</v>
      </c>
      <c r="BY38" s="123">
        <f t="shared" si="32"/>
        <v>50.565864892953321</v>
      </c>
      <c r="BZ38" s="141">
        <f t="shared" si="33"/>
        <v>0.24580628767407867</v>
      </c>
      <c r="CA38" s="131">
        <f t="shared" si="34"/>
        <v>5.6184294325503696</v>
      </c>
      <c r="CB38" s="143">
        <f t="shared" si="35"/>
        <v>4.70893271406281E-2</v>
      </c>
      <c r="CC38" s="123">
        <f t="shared" si="36"/>
        <v>51.49375632285971</v>
      </c>
      <c r="CD38" s="131">
        <f t="shared" si="37"/>
        <v>0.21766684435991426</v>
      </c>
      <c r="CE38" s="135">
        <f t="shared" si="38"/>
        <v>0.24580628767407867</v>
      </c>
      <c r="CF38" s="92" t="str">
        <f t="shared" si="39"/>
        <v>OK</v>
      </c>
      <c r="CG38" s="50"/>
      <c r="DA38" s="111"/>
      <c r="DB38" s="111"/>
      <c r="DC38" s="111"/>
      <c r="DD38" s="116"/>
      <c r="DE38" s="120"/>
      <c r="DF38" s="121"/>
      <c r="DG38" s="121"/>
      <c r="DH38" s="121"/>
      <c r="DI38" s="121"/>
      <c r="DJ38" s="121"/>
      <c r="DK38" s="122"/>
      <c r="DL38" s="123"/>
      <c r="DM38" s="123"/>
      <c r="DN38" s="123"/>
      <c r="DO38" s="123"/>
      <c r="DP38" s="123"/>
      <c r="DQ38" s="111"/>
      <c r="DR38" s="120"/>
      <c r="DS38" s="120"/>
      <c r="DT38" s="120"/>
      <c r="DU38" s="120"/>
      <c r="DV38" s="120"/>
      <c r="DW38" s="120"/>
      <c r="DX38" s="120"/>
      <c r="DY38" s="120"/>
      <c r="DZ38" s="120"/>
      <c r="EA38" s="122"/>
      <c r="EB38" s="122"/>
      <c r="EC38" s="122"/>
      <c r="ED38" s="122"/>
      <c r="EE38" s="122"/>
      <c r="EF38" s="122"/>
      <c r="EG38" s="163"/>
      <c r="EH38" s="122"/>
      <c r="EI38" s="122"/>
      <c r="EJ38" s="163"/>
      <c r="EK38" s="131"/>
      <c r="EL38" s="122"/>
      <c r="EM38" s="131"/>
      <c r="EN38" s="131"/>
      <c r="EO38" s="131"/>
      <c r="EP38" s="131"/>
      <c r="EQ38" s="131"/>
      <c r="ER38" s="131"/>
      <c r="ES38" s="131"/>
      <c r="ET38" s="131"/>
      <c r="EU38" s="131"/>
      <c r="EV38" s="139"/>
      <c r="EW38" s="131"/>
      <c r="EX38" s="139"/>
      <c r="EY38" s="123"/>
      <c r="EZ38" s="141"/>
      <c r="FA38" s="131"/>
      <c r="FB38" s="143"/>
      <c r="FC38" s="123"/>
      <c r="FD38" s="131"/>
      <c r="FE38" s="131"/>
      <c r="FF38" s="64"/>
      <c r="FG38" s="50"/>
    </row>
    <row r="39" spans="2:163" ht="12.75" customHeight="1">
      <c r="H39" s="102"/>
      <c r="I39" s="66" t="str">
        <f>"- Cường độ tính toán của đường hàn:"</f>
        <v>- Cường độ tính toán của đường hàn:</v>
      </c>
      <c r="J39" s="66"/>
      <c r="K39" s="249"/>
      <c r="L39" s="90"/>
      <c r="M39" s="66"/>
      <c r="N39" s="5"/>
      <c r="O39" s="91"/>
      <c r="P39" s="6"/>
      <c r="Q39" s="8" t="s">
        <v>140</v>
      </c>
      <c r="R39" s="287">
        <f>MIN(P36*R36,P37*R37)*R38</f>
        <v>126</v>
      </c>
      <c r="S39" s="155" t="s">
        <v>2</v>
      </c>
      <c r="AA39" s="111" t="s">
        <v>245</v>
      </c>
      <c r="AB39" s="111" t="s">
        <v>311</v>
      </c>
      <c r="AC39" s="111">
        <v>44</v>
      </c>
      <c r="AD39" s="58">
        <v>0.3</v>
      </c>
      <c r="AE39" s="120">
        <v>500</v>
      </c>
      <c r="AF39" s="121">
        <v>300</v>
      </c>
      <c r="AG39" s="121">
        <v>10</v>
      </c>
      <c r="AH39" s="121">
        <v>14</v>
      </c>
      <c r="AI39" s="121">
        <v>472</v>
      </c>
      <c r="AJ39" s="64" t="str" cm="1">
        <f t="array" ref="AJ39">_xll.Dce_Name_SectI(AE39, AE39, AF39, AG39, AH39, "x", "-", "H Tổng")</f>
        <v>500x300x10x14</v>
      </c>
      <c r="AK39" s="122">
        <f t="shared" si="6"/>
        <v>760</v>
      </c>
      <c r="AL39" s="123">
        <f t="shared" si="7"/>
        <v>300</v>
      </c>
      <c r="AM39" s="123">
        <f t="shared" si="8"/>
        <v>25</v>
      </c>
      <c r="AN39" s="123">
        <f t="shared" si="9"/>
        <v>8</v>
      </c>
      <c r="AO39" s="123">
        <f t="shared" si="10"/>
        <v>24</v>
      </c>
      <c r="AP39" s="165" t="str">
        <f t="shared" si="11"/>
        <v>760x300x25 + 8M24</v>
      </c>
      <c r="AQ39" s="111" t="s">
        <v>321</v>
      </c>
      <c r="AR39" s="120">
        <v>0</v>
      </c>
      <c r="AS39" s="120">
        <v>-227.29251244891134</v>
      </c>
      <c r="AT39" s="120">
        <v>-1.5379555406980214E-13</v>
      </c>
      <c r="AU39" s="120">
        <v>-2.1562346022872608E-3</v>
      </c>
      <c r="AV39" s="120">
        <v>-2.9577440727734926E-13</v>
      </c>
      <c r="AW39" s="120">
        <v>-421.4747994904597</v>
      </c>
      <c r="AX39" s="120"/>
      <c r="AY39" s="120"/>
      <c r="AZ39" s="120"/>
      <c r="BA39" s="122">
        <f t="shared" si="12"/>
        <v>60</v>
      </c>
      <c r="BB39" s="122">
        <f t="shared" si="13"/>
        <v>70</v>
      </c>
      <c r="BC39" s="122">
        <f t="shared" si="14"/>
        <v>80</v>
      </c>
      <c r="BD39" s="122">
        <f t="shared" si="15"/>
        <v>150</v>
      </c>
      <c r="BE39" s="122">
        <f>VLOOKUP(AO39,Data!$V$4:$Z$15,3,FALSE)</f>
        <v>452.38934211693021</v>
      </c>
      <c r="BF39" s="122">
        <f>VLOOKUP(AO39,Data!$V$4:$Z$15,4,FALSE)</f>
        <v>353</v>
      </c>
      <c r="BG39" s="163">
        <f t="shared" si="16"/>
        <v>150</v>
      </c>
      <c r="BH39" s="122">
        <f t="shared" si="17"/>
        <v>121.65654188208487</v>
      </c>
      <c r="BI39" s="122">
        <f t="shared" si="18"/>
        <v>243</v>
      </c>
      <c r="BJ39" s="163">
        <f t="shared" si="19"/>
        <v>142.3296</v>
      </c>
      <c r="BK39" s="131">
        <f t="shared" si="20"/>
        <v>28.411564056113917</v>
      </c>
      <c r="BL39" s="134">
        <f t="shared" si="21"/>
        <v>0.94666666666666666</v>
      </c>
      <c r="BM39" s="135">
        <f t="shared" si="22"/>
        <v>0.24669627368927052</v>
      </c>
      <c r="BN39" s="92" t="str">
        <f t="shared" si="23"/>
        <v>OK</v>
      </c>
      <c r="BO39" s="135">
        <f>_xll.DCEBoltDisRS(AN39, AE39, BA39, BB39, BC39, BD39, "h1")</f>
        <v>640</v>
      </c>
      <c r="BP39" s="136">
        <f>_xll.DCEBoltDisRS(AN39, AE39, BA39, BB39, BC39, BD39, "Tong")</f>
        <v>672200</v>
      </c>
      <c r="BQ39" s="137">
        <f t="shared" si="24"/>
        <v>200.64257042092697</v>
      </c>
      <c r="BR39" s="135">
        <f t="shared" si="25"/>
        <v>1.4097037469432008</v>
      </c>
      <c r="BS39" s="64" t="str">
        <f t="shared" si="26"/>
        <v>O/S</v>
      </c>
      <c r="BT39" s="131">
        <f t="shared" si="27"/>
        <v>1.4289174866428678</v>
      </c>
      <c r="BU39" s="92" t="str">
        <f t="shared" si="28"/>
        <v>O/S</v>
      </c>
      <c r="BV39" s="139">
        <f t="shared" si="29"/>
        <v>867.23209771699533</v>
      </c>
      <c r="BW39" s="131">
        <f t="shared" si="30"/>
        <v>16.260601832193661</v>
      </c>
      <c r="BX39" s="139">
        <f t="shared" si="31"/>
        <v>433.61604885849766</v>
      </c>
      <c r="BY39" s="123">
        <f t="shared" si="32"/>
        <v>205.39707577507784</v>
      </c>
      <c r="BZ39" s="141">
        <f t="shared" si="33"/>
        <v>0.99845800723996181</v>
      </c>
      <c r="CA39" s="131">
        <f t="shared" si="34"/>
        <v>22.821897308341981</v>
      </c>
      <c r="CB39" s="143">
        <f t="shared" si="35"/>
        <v>0.19127548031416891</v>
      </c>
      <c r="CC39" s="123">
        <f t="shared" si="36"/>
        <v>209.16614383597215</v>
      </c>
      <c r="CD39" s="131">
        <f t="shared" si="37"/>
        <v>0.88415640510374716</v>
      </c>
      <c r="CE39" s="135">
        <f t="shared" si="38"/>
        <v>0.99845800723996181</v>
      </c>
      <c r="CF39" s="92" t="str">
        <f t="shared" si="39"/>
        <v>OK</v>
      </c>
      <c r="CG39" s="50"/>
      <c r="DA39" s="111"/>
      <c r="DB39" s="111"/>
      <c r="DC39" s="111"/>
      <c r="DD39" s="116"/>
      <c r="DE39" s="120"/>
      <c r="DF39" s="121"/>
      <c r="DG39" s="121"/>
      <c r="DH39" s="121"/>
      <c r="DI39" s="121"/>
      <c r="DJ39" s="121"/>
      <c r="DK39" s="122"/>
      <c r="DL39" s="123"/>
      <c r="DM39" s="123"/>
      <c r="DN39" s="123"/>
      <c r="DO39" s="123"/>
      <c r="DP39" s="123"/>
      <c r="DQ39" s="111"/>
      <c r="DR39" s="120"/>
      <c r="DS39" s="120"/>
      <c r="DT39" s="120"/>
      <c r="DU39" s="120"/>
      <c r="DV39" s="120"/>
      <c r="DW39" s="120"/>
      <c r="DX39" s="120"/>
      <c r="DY39" s="120"/>
      <c r="DZ39" s="120"/>
      <c r="EA39" s="122"/>
      <c r="EB39" s="122"/>
      <c r="EC39" s="122"/>
      <c r="ED39" s="122"/>
      <c r="EE39" s="122"/>
      <c r="EF39" s="122"/>
      <c r="EG39" s="163"/>
      <c r="EH39" s="122"/>
      <c r="EI39" s="122"/>
      <c r="EJ39" s="163"/>
      <c r="EK39" s="131"/>
      <c r="EL39" s="122"/>
      <c r="EM39" s="131"/>
      <c r="EN39" s="131"/>
      <c r="EO39" s="131"/>
      <c r="EP39" s="131"/>
      <c r="EQ39" s="131"/>
      <c r="ER39" s="131"/>
      <c r="ES39" s="131"/>
      <c r="ET39" s="131"/>
      <c r="EU39" s="131"/>
      <c r="EV39" s="139"/>
      <c r="EW39" s="131"/>
      <c r="EX39" s="139"/>
      <c r="EY39" s="123"/>
      <c r="EZ39" s="141"/>
      <c r="FA39" s="131"/>
      <c r="FB39" s="143"/>
      <c r="FC39" s="123"/>
      <c r="FD39" s="131"/>
      <c r="FE39" s="131"/>
      <c r="FF39" s="64"/>
      <c r="FG39" s="50"/>
    </row>
    <row r="40" spans="2:163" ht="12.75" customHeight="1">
      <c r="B40" s="356" t="s">
        <v>249</v>
      </c>
      <c r="C40" s="356"/>
      <c r="D40" s="356"/>
      <c r="E40" s="356"/>
      <c r="F40" s="83" cm="1">
        <f t="array" ref="F40">INDEX(B42:B55,IFERROR(MATCH(R42,$B$42:$B$55,0),MATCH(R42,$B$42:$B$55,1)+1))</f>
        <v>500</v>
      </c>
      <c r="H40" s="101" t="s">
        <v>34</v>
      </c>
      <c r="I40" s="66"/>
      <c r="J40" s="66"/>
      <c r="K40" s="66"/>
      <c r="L40" s="66"/>
      <c r="M40" s="66"/>
      <c r="N40" s="66"/>
      <c r="O40" s="285"/>
      <c r="P40" s="66"/>
      <c r="Q40" s="5"/>
      <c r="R40" s="5"/>
      <c r="S40" s="153"/>
      <c r="AA40" s="111" t="s">
        <v>245</v>
      </c>
      <c r="AB40" s="111" t="s">
        <v>311</v>
      </c>
      <c r="AC40" s="111">
        <v>44</v>
      </c>
      <c r="AD40" s="58">
        <v>3</v>
      </c>
      <c r="AE40" s="120">
        <v>500</v>
      </c>
      <c r="AF40" s="121">
        <v>300</v>
      </c>
      <c r="AG40" s="121">
        <v>10</v>
      </c>
      <c r="AH40" s="121">
        <v>14</v>
      </c>
      <c r="AI40" s="121">
        <v>472</v>
      </c>
      <c r="AJ40" s="64" t="str" cm="1">
        <f t="array" ref="AJ40">_xll.Dce_Name_SectI(AE40, AE40, AF40, AG40, AH40, "x", "-", "H Tổng")</f>
        <v>500x300x10x14</v>
      </c>
      <c r="AK40" s="122">
        <f t="shared" si="6"/>
        <v>760</v>
      </c>
      <c r="AL40" s="123">
        <f t="shared" si="7"/>
        <v>300</v>
      </c>
      <c r="AM40" s="123">
        <f t="shared" si="8"/>
        <v>25</v>
      </c>
      <c r="AN40" s="123">
        <f t="shared" si="9"/>
        <v>8</v>
      </c>
      <c r="AO40" s="123">
        <f t="shared" si="10"/>
        <v>24</v>
      </c>
      <c r="AP40" s="165" t="str">
        <f t="shared" si="11"/>
        <v>760x300x25 + 8M24</v>
      </c>
      <c r="AQ40" s="111" t="s">
        <v>321</v>
      </c>
      <c r="AR40" s="120">
        <v>0</v>
      </c>
      <c r="AS40" s="120">
        <v>-152.19591191192487</v>
      </c>
      <c r="AT40" s="120">
        <v>-8.7311491370201087E-14</v>
      </c>
      <c r="AU40" s="120">
        <v>-2.1555865622914722E-3</v>
      </c>
      <c r="AV40" s="120">
        <v>6.8440567702054943E-14</v>
      </c>
      <c r="AW40" s="120">
        <v>108.78617769163374</v>
      </c>
      <c r="AX40" s="120"/>
      <c r="AY40" s="120"/>
      <c r="AZ40" s="120"/>
      <c r="BA40" s="122">
        <f t="shared" si="12"/>
        <v>60</v>
      </c>
      <c r="BB40" s="122">
        <f t="shared" si="13"/>
        <v>70</v>
      </c>
      <c r="BC40" s="122">
        <f t="shared" si="14"/>
        <v>80</v>
      </c>
      <c r="BD40" s="122">
        <f t="shared" si="15"/>
        <v>150</v>
      </c>
      <c r="BE40" s="122">
        <f>VLOOKUP(AO40,Data!$V$4:$Z$15,3,FALSE)</f>
        <v>452.38934211693021</v>
      </c>
      <c r="BF40" s="122">
        <f>VLOOKUP(AO40,Data!$V$4:$Z$15,4,FALSE)</f>
        <v>353</v>
      </c>
      <c r="BG40" s="163">
        <f t="shared" si="16"/>
        <v>150</v>
      </c>
      <c r="BH40" s="122">
        <f t="shared" si="17"/>
        <v>121.65654188208487</v>
      </c>
      <c r="BI40" s="122">
        <f t="shared" si="18"/>
        <v>243</v>
      </c>
      <c r="BJ40" s="163">
        <f t="shared" si="19"/>
        <v>142.3296</v>
      </c>
      <c r="BK40" s="131">
        <f t="shared" si="20"/>
        <v>19.024488988990608</v>
      </c>
      <c r="BL40" s="134">
        <f t="shared" si="21"/>
        <v>0.94666666666666666</v>
      </c>
      <c r="BM40" s="135">
        <f t="shared" si="22"/>
        <v>0.16518874262455785</v>
      </c>
      <c r="BN40" s="92" t="str">
        <f t="shared" si="23"/>
        <v>OK</v>
      </c>
      <c r="BO40" s="135">
        <f>_xll.DCEBoltDisRS(AN40, AE40, BA40, BB40, BC40, BD40, "h1")</f>
        <v>640</v>
      </c>
      <c r="BP40" s="136">
        <f>_xll.DCEBoltDisRS(AN40, AE40, BA40, BB40, BC40, BD40, "Tong")</f>
        <v>672200</v>
      </c>
      <c r="BQ40" s="137">
        <f t="shared" si="24"/>
        <v>51.787528802919958</v>
      </c>
      <c r="BR40" s="135">
        <f t="shared" si="25"/>
        <v>0.36385635035101593</v>
      </c>
      <c r="BS40" s="64" t="str">
        <f t="shared" si="26"/>
        <v>OK</v>
      </c>
      <c r="BT40" s="131">
        <f t="shared" si="27"/>
        <v>0.39603754128634028</v>
      </c>
      <c r="BU40" s="92" t="str">
        <f t="shared" si="28"/>
        <v>OK</v>
      </c>
      <c r="BV40" s="139">
        <f t="shared" si="29"/>
        <v>223.83987179348506</v>
      </c>
      <c r="BW40" s="131">
        <f t="shared" si="30"/>
        <v>4.1969975961278445</v>
      </c>
      <c r="BX40" s="139">
        <f t="shared" si="31"/>
        <v>111.91993589674253</v>
      </c>
      <c r="BY40" s="123">
        <f t="shared" si="32"/>
        <v>53.014706477404353</v>
      </c>
      <c r="BZ40" s="141">
        <f t="shared" si="33"/>
        <v>0.2577103787096045</v>
      </c>
      <c r="CA40" s="131">
        <f t="shared" si="34"/>
        <v>5.8905229419338179</v>
      </c>
      <c r="CB40" s="143">
        <f t="shared" si="35"/>
        <v>4.9369804350498959E-2</v>
      </c>
      <c r="CC40" s="123">
        <f t="shared" si="36"/>
        <v>53.987534528571366</v>
      </c>
      <c r="CD40" s="131">
        <f t="shared" si="37"/>
        <v>0.22820817735507223</v>
      </c>
      <c r="CE40" s="135">
        <f t="shared" si="38"/>
        <v>0.2577103787096045</v>
      </c>
      <c r="CF40" s="92" t="str">
        <f t="shared" si="39"/>
        <v>OK</v>
      </c>
      <c r="CG40" s="50"/>
      <c r="DA40" s="111"/>
      <c r="DB40" s="111"/>
      <c r="DC40" s="111"/>
      <c r="DD40" s="116"/>
      <c r="DE40" s="120"/>
      <c r="DF40" s="121"/>
      <c r="DG40" s="121"/>
      <c r="DH40" s="121"/>
      <c r="DI40" s="121"/>
      <c r="DJ40" s="121"/>
      <c r="DK40" s="122"/>
      <c r="DL40" s="123"/>
      <c r="DM40" s="123"/>
      <c r="DN40" s="123"/>
      <c r="DO40" s="123"/>
      <c r="DP40" s="123"/>
      <c r="DQ40" s="111"/>
      <c r="DR40" s="120"/>
      <c r="DS40" s="120"/>
      <c r="DT40" s="120"/>
      <c r="DU40" s="120"/>
      <c r="DV40" s="120"/>
      <c r="DW40" s="120"/>
      <c r="DX40" s="120"/>
      <c r="DY40" s="120"/>
      <c r="DZ40" s="120"/>
      <c r="EA40" s="122"/>
      <c r="EB40" s="122"/>
      <c r="EC40" s="122"/>
      <c r="ED40" s="122"/>
      <c r="EE40" s="122"/>
      <c r="EF40" s="122"/>
      <c r="EG40" s="163"/>
      <c r="EH40" s="122"/>
      <c r="EI40" s="122"/>
      <c r="EJ40" s="163"/>
      <c r="EK40" s="131"/>
      <c r="EL40" s="122"/>
      <c r="EM40" s="131"/>
      <c r="EN40" s="131"/>
      <c r="EO40" s="131"/>
      <c r="EP40" s="131"/>
      <c r="EQ40" s="131"/>
      <c r="ER40" s="131"/>
      <c r="ES40" s="131"/>
      <c r="ET40" s="131"/>
      <c r="EU40" s="131"/>
      <c r="EV40" s="139"/>
      <c r="EW40" s="131"/>
      <c r="EX40" s="139"/>
      <c r="EY40" s="123"/>
      <c r="EZ40" s="141"/>
      <c r="FA40" s="131"/>
      <c r="FB40" s="143"/>
      <c r="FC40" s="123"/>
      <c r="FD40" s="131"/>
      <c r="FE40" s="131"/>
      <c r="FF40" s="64"/>
      <c r="FG40" s="50"/>
    </row>
    <row r="41" spans="2:163" ht="12.75" customHeight="1">
      <c r="B41" s="96" t="s">
        <v>274</v>
      </c>
      <c r="C41" s="93" t="s">
        <v>242</v>
      </c>
      <c r="D41" s="93" t="s">
        <v>30</v>
      </c>
      <c r="E41" s="93" t="s">
        <v>250</v>
      </c>
      <c r="F41" s="93"/>
      <c r="H41" s="103"/>
      <c r="I41" s="66"/>
      <c r="J41" s="66"/>
      <c r="K41" s="5"/>
      <c r="L41" s="99" t="s">
        <v>347</v>
      </c>
      <c r="M41" s="66"/>
      <c r="N41" s="249"/>
      <c r="O41" s="285"/>
      <c r="P41" s="66"/>
      <c r="Q41" s="5"/>
      <c r="R41" s="5"/>
      <c r="S41" s="153"/>
      <c r="AA41" s="111" t="s">
        <v>245</v>
      </c>
      <c r="AB41" s="111" t="s">
        <v>311</v>
      </c>
      <c r="AC41" s="111">
        <v>44</v>
      </c>
      <c r="AD41" s="58">
        <v>0.3</v>
      </c>
      <c r="AE41" s="120">
        <v>500</v>
      </c>
      <c r="AF41" s="121">
        <v>300</v>
      </c>
      <c r="AG41" s="121">
        <v>10</v>
      </c>
      <c r="AH41" s="121">
        <v>14</v>
      </c>
      <c r="AI41" s="121">
        <v>472</v>
      </c>
      <c r="AJ41" s="64" t="str" cm="1">
        <f t="array" ref="AJ41">_xll.Dce_Name_SectI(AE41, AE41, AF41, AG41, AH41, "x", "-", "H Tổng")</f>
        <v>500x300x10x14</v>
      </c>
      <c r="AK41" s="122">
        <f t="shared" si="6"/>
        <v>760</v>
      </c>
      <c r="AL41" s="123">
        <f t="shared" si="7"/>
        <v>300</v>
      </c>
      <c r="AM41" s="123">
        <f t="shared" si="8"/>
        <v>25</v>
      </c>
      <c r="AN41" s="123">
        <f t="shared" si="9"/>
        <v>8</v>
      </c>
      <c r="AO41" s="123">
        <f t="shared" si="10"/>
        <v>24</v>
      </c>
      <c r="AP41" s="165" t="str">
        <f t="shared" si="11"/>
        <v>760x300x25 + 8M24</v>
      </c>
      <c r="AQ41" s="111" t="s">
        <v>322</v>
      </c>
      <c r="AR41" s="120">
        <v>0</v>
      </c>
      <c r="AS41" s="120">
        <v>-232.6214377464506</v>
      </c>
      <c r="AT41" s="120">
        <v>-1.5740511116746344E-13</v>
      </c>
      <c r="AU41" s="120">
        <v>-2.1091922725713502E-3</v>
      </c>
      <c r="AV41" s="120">
        <v>-3.1665737196817635E-13</v>
      </c>
      <c r="AW41" s="120">
        <v>-450.94104596770848</v>
      </c>
      <c r="AX41" s="120"/>
      <c r="AY41" s="120"/>
      <c r="AZ41" s="120"/>
      <c r="BA41" s="122">
        <f t="shared" si="12"/>
        <v>60</v>
      </c>
      <c r="BB41" s="122">
        <f t="shared" si="13"/>
        <v>70</v>
      </c>
      <c r="BC41" s="122">
        <f t="shared" si="14"/>
        <v>80</v>
      </c>
      <c r="BD41" s="122">
        <f t="shared" si="15"/>
        <v>150</v>
      </c>
      <c r="BE41" s="122">
        <f>VLOOKUP(AO41,Data!$V$4:$Z$15,3,FALSE)</f>
        <v>452.38934211693021</v>
      </c>
      <c r="BF41" s="122">
        <f>VLOOKUP(AO41,Data!$V$4:$Z$15,4,FALSE)</f>
        <v>353</v>
      </c>
      <c r="BG41" s="163">
        <f t="shared" si="16"/>
        <v>150</v>
      </c>
      <c r="BH41" s="122">
        <f t="shared" si="17"/>
        <v>121.65654188208487</v>
      </c>
      <c r="BI41" s="122">
        <f t="shared" si="18"/>
        <v>243</v>
      </c>
      <c r="BJ41" s="163">
        <f t="shared" si="19"/>
        <v>142.3296</v>
      </c>
      <c r="BK41" s="131">
        <f t="shared" si="20"/>
        <v>29.077679718306324</v>
      </c>
      <c r="BL41" s="134">
        <f t="shared" si="21"/>
        <v>0.94666666666666666</v>
      </c>
      <c r="BM41" s="135">
        <f t="shared" si="22"/>
        <v>0.25248012463758063</v>
      </c>
      <c r="BN41" s="92" t="str">
        <f t="shared" si="23"/>
        <v>OK</v>
      </c>
      <c r="BO41" s="135">
        <f>_xll.DCEBoltDisRS(AN41, AE41, BA41, BB41, BC41, BD41, "h1")</f>
        <v>640</v>
      </c>
      <c r="BP41" s="136">
        <f>_xll.DCEBoltDisRS(AN41, AE41, BA41, BB41, BC41, BD41, "Tong")</f>
        <v>672200</v>
      </c>
      <c r="BQ41" s="137">
        <f t="shared" si="24"/>
        <v>214.66994154963805</v>
      </c>
      <c r="BR41" s="135">
        <f t="shared" si="25"/>
        <v>1.5082592907563714</v>
      </c>
      <c r="BS41" s="64" t="str">
        <f t="shared" si="26"/>
        <v>O/S</v>
      </c>
      <c r="BT41" s="131">
        <f t="shared" si="27"/>
        <v>1.5270802297073396</v>
      </c>
      <c r="BU41" s="92" t="str">
        <f t="shared" si="28"/>
        <v>O/S</v>
      </c>
      <c r="BV41" s="139">
        <f t="shared" si="29"/>
        <v>927.86223450145781</v>
      </c>
      <c r="BW41" s="131">
        <f t="shared" si="30"/>
        <v>17.397416896902332</v>
      </c>
      <c r="BX41" s="139">
        <f t="shared" si="31"/>
        <v>463.9311172507289</v>
      </c>
      <c r="BY41" s="123">
        <f t="shared" si="32"/>
        <v>219.75684501350315</v>
      </c>
      <c r="BZ41" s="141">
        <f t="shared" si="33"/>
        <v>1.0682624410378627</v>
      </c>
      <c r="CA41" s="131">
        <f t="shared" si="34"/>
        <v>24.417427223722573</v>
      </c>
      <c r="CB41" s="143">
        <f t="shared" si="35"/>
        <v>0.20464797721031852</v>
      </c>
      <c r="CC41" s="123">
        <f t="shared" si="36"/>
        <v>223.78941705756822</v>
      </c>
      <c r="CD41" s="131">
        <f t="shared" si="37"/>
        <v>0.94596975809358563</v>
      </c>
      <c r="CE41" s="135">
        <f t="shared" si="38"/>
        <v>1.0682624410378627</v>
      </c>
      <c r="CF41" s="92" t="str">
        <f t="shared" si="39"/>
        <v>O/S</v>
      </c>
      <c r="CG41" s="50"/>
      <c r="DA41" s="111"/>
      <c r="DB41" s="111"/>
      <c r="DC41" s="111"/>
      <c r="DD41" s="116"/>
      <c r="DE41" s="120"/>
      <c r="DF41" s="121"/>
      <c r="DG41" s="121"/>
      <c r="DH41" s="121"/>
      <c r="DI41" s="121"/>
      <c r="DJ41" s="121"/>
      <c r="DK41" s="122"/>
      <c r="DL41" s="123"/>
      <c r="DM41" s="123"/>
      <c r="DN41" s="123"/>
      <c r="DO41" s="123"/>
      <c r="DP41" s="123"/>
      <c r="DQ41" s="111"/>
      <c r="DR41" s="120"/>
      <c r="DS41" s="120"/>
      <c r="DT41" s="120"/>
      <c r="DU41" s="120"/>
      <c r="DV41" s="120"/>
      <c r="DW41" s="120"/>
      <c r="DX41" s="120"/>
      <c r="DY41" s="120"/>
      <c r="DZ41" s="120"/>
      <c r="EA41" s="122"/>
      <c r="EB41" s="122"/>
      <c r="EC41" s="122"/>
      <c r="ED41" s="122"/>
      <c r="EE41" s="122"/>
      <c r="EF41" s="122"/>
      <c r="EG41" s="163"/>
      <c r="EH41" s="122"/>
      <c r="EI41" s="122"/>
      <c r="EJ41" s="163"/>
      <c r="EK41" s="131"/>
      <c r="EL41" s="122"/>
      <c r="EM41" s="131"/>
      <c r="EN41" s="131"/>
      <c r="EO41" s="131"/>
      <c r="EP41" s="131"/>
      <c r="EQ41" s="131"/>
      <c r="ER41" s="131"/>
      <c r="ES41" s="131"/>
      <c r="ET41" s="131"/>
      <c r="EU41" s="131"/>
      <c r="EV41" s="139"/>
      <c r="EW41" s="131"/>
      <c r="EX41" s="139"/>
      <c r="EY41" s="123"/>
      <c r="EZ41" s="141"/>
      <c r="FA41" s="131"/>
      <c r="FB41" s="143"/>
      <c r="FC41" s="123"/>
      <c r="FD41" s="131"/>
      <c r="FE41" s="131"/>
      <c r="FF41" s="64"/>
      <c r="FG41" s="50"/>
    </row>
    <row r="42" spans="2:163" ht="12.75" customHeight="1">
      <c r="B42" s="92">
        <v>250</v>
      </c>
      <c r="C42" s="97">
        <v>8</v>
      </c>
      <c r="D42" s="92">
        <v>20</v>
      </c>
      <c r="E42" s="92">
        <v>16</v>
      </c>
      <c r="F42" s="92"/>
      <c r="H42" s="102"/>
      <c r="I42" s="5"/>
      <c r="J42" s="66"/>
      <c r="K42" s="249"/>
      <c r="L42" s="66"/>
      <c r="M42" s="66"/>
      <c r="N42" s="5"/>
      <c r="O42" s="5"/>
      <c r="P42" s="5"/>
      <c r="Q42" s="8" t="s">
        <v>110</v>
      </c>
      <c r="R42" s="6">
        <v>500</v>
      </c>
      <c r="S42" s="155" t="s">
        <v>4</v>
      </c>
      <c r="AA42" s="111" t="s">
        <v>245</v>
      </c>
      <c r="AB42" s="111" t="s">
        <v>311</v>
      </c>
      <c r="AC42" s="111">
        <v>44</v>
      </c>
      <c r="AD42" s="58">
        <v>3</v>
      </c>
      <c r="AE42" s="120">
        <v>500</v>
      </c>
      <c r="AF42" s="121">
        <v>300</v>
      </c>
      <c r="AG42" s="121">
        <v>10</v>
      </c>
      <c r="AH42" s="121">
        <v>14</v>
      </c>
      <c r="AI42" s="121">
        <v>472</v>
      </c>
      <c r="AJ42" s="64" t="str" cm="1">
        <f t="array" ref="AJ42">_xll.Dce_Name_SectI(AE42, AE42, AF42, AG42, AH42, "x", "-", "H Tổng")</f>
        <v>500x300x10x14</v>
      </c>
      <c r="AK42" s="122">
        <f t="shared" si="6"/>
        <v>760</v>
      </c>
      <c r="AL42" s="123">
        <f t="shared" si="7"/>
        <v>300</v>
      </c>
      <c r="AM42" s="123">
        <f t="shared" si="8"/>
        <v>25</v>
      </c>
      <c r="AN42" s="123">
        <f t="shared" si="9"/>
        <v>8</v>
      </c>
      <c r="AO42" s="123">
        <f t="shared" si="10"/>
        <v>24</v>
      </c>
      <c r="AP42" s="165" t="str">
        <f t="shared" si="11"/>
        <v>760x300x25 + 8M24</v>
      </c>
      <c r="AQ42" s="111" t="s">
        <v>322</v>
      </c>
      <c r="AR42" s="120">
        <v>0</v>
      </c>
      <c r="AS42" s="120">
        <v>-157.52483569345978</v>
      </c>
      <c r="AT42" s="120">
        <v>-9.1290530690457652E-14</v>
      </c>
      <c r="AU42" s="120">
        <v>-2.1085583038116802E-3</v>
      </c>
      <c r="AV42" s="120">
        <v>5.8080286180484082E-14</v>
      </c>
      <c r="AW42" s="120">
        <v>93.707791324025692</v>
      </c>
      <c r="AX42" s="120"/>
      <c r="AY42" s="120"/>
      <c r="AZ42" s="120"/>
      <c r="BA42" s="122">
        <f t="shared" si="12"/>
        <v>60</v>
      </c>
      <c r="BB42" s="122">
        <f t="shared" si="13"/>
        <v>70</v>
      </c>
      <c r="BC42" s="122">
        <f t="shared" si="14"/>
        <v>80</v>
      </c>
      <c r="BD42" s="122">
        <f t="shared" si="15"/>
        <v>150</v>
      </c>
      <c r="BE42" s="122">
        <f>VLOOKUP(AO42,Data!$V$4:$Z$15,3,FALSE)</f>
        <v>452.38934211693021</v>
      </c>
      <c r="BF42" s="122">
        <f>VLOOKUP(AO42,Data!$V$4:$Z$15,4,FALSE)</f>
        <v>353</v>
      </c>
      <c r="BG42" s="163">
        <f t="shared" si="16"/>
        <v>150</v>
      </c>
      <c r="BH42" s="122">
        <f t="shared" si="17"/>
        <v>121.65654188208487</v>
      </c>
      <c r="BI42" s="122">
        <f t="shared" si="18"/>
        <v>243</v>
      </c>
      <c r="BJ42" s="163">
        <f t="shared" si="19"/>
        <v>142.3296</v>
      </c>
      <c r="BK42" s="131">
        <f t="shared" si="20"/>
        <v>19.690604461682472</v>
      </c>
      <c r="BL42" s="134">
        <f t="shared" si="21"/>
        <v>0.94666666666666666</v>
      </c>
      <c r="BM42" s="135">
        <f t="shared" si="22"/>
        <v>0.17097259192744366</v>
      </c>
      <c r="BN42" s="92" t="str">
        <f t="shared" si="23"/>
        <v>OK</v>
      </c>
      <c r="BO42" s="135">
        <f>_xll.DCEBoltDisRS(AN42, AE42, BA42, BB42, BC42, BD42, "h1")</f>
        <v>640</v>
      </c>
      <c r="BP42" s="136">
        <f>_xll.DCEBoltDisRS(AN42, AE42, BA42, BB42, BC42, BD42, "Tong")</f>
        <v>672200</v>
      </c>
      <c r="BQ42" s="137">
        <f t="shared" si="24"/>
        <v>44.609481142053291</v>
      </c>
      <c r="BR42" s="135">
        <f t="shared" si="25"/>
        <v>0.31342377932667054</v>
      </c>
      <c r="BS42" s="64" t="str">
        <f t="shared" si="26"/>
        <v>OK</v>
      </c>
      <c r="BT42" s="131">
        <f t="shared" si="27"/>
        <v>0.35274806894400429</v>
      </c>
      <c r="BU42" s="92" t="str">
        <f t="shared" si="28"/>
        <v>OK</v>
      </c>
      <c r="BV42" s="139">
        <f t="shared" si="29"/>
        <v>192.8143854403821</v>
      </c>
      <c r="BW42" s="131">
        <f t="shared" si="30"/>
        <v>3.6152697270071643</v>
      </c>
      <c r="BX42" s="139">
        <f t="shared" si="31"/>
        <v>96.407192720191048</v>
      </c>
      <c r="BY42" s="123">
        <f t="shared" si="32"/>
        <v>45.666564972722078</v>
      </c>
      <c r="BZ42" s="141">
        <f t="shared" si="33"/>
        <v>0.22199024639517678</v>
      </c>
      <c r="CA42" s="131">
        <f t="shared" si="34"/>
        <v>5.0740627747468974</v>
      </c>
      <c r="CB42" s="143">
        <f t="shared" si="35"/>
        <v>4.2526867125512791E-2</v>
      </c>
      <c r="CC42" s="123">
        <f t="shared" si="36"/>
        <v>46.504553492470642</v>
      </c>
      <c r="CD42" s="131">
        <f t="shared" si="37"/>
        <v>0.19657721886913923</v>
      </c>
      <c r="CE42" s="135">
        <f t="shared" si="38"/>
        <v>0.22199024639517678</v>
      </c>
      <c r="CF42" s="92" t="str">
        <f t="shared" si="39"/>
        <v>OK</v>
      </c>
      <c r="CG42" s="50"/>
      <c r="DA42" s="111"/>
      <c r="DB42" s="111"/>
      <c r="DC42" s="111"/>
      <c r="DD42" s="116"/>
      <c r="DE42" s="120"/>
      <c r="DF42" s="121"/>
      <c r="DG42" s="121"/>
      <c r="DH42" s="121"/>
      <c r="DI42" s="121"/>
      <c r="DJ42" s="121"/>
      <c r="DK42" s="122"/>
      <c r="DL42" s="123"/>
      <c r="DM42" s="123"/>
      <c r="DN42" s="123"/>
      <c r="DO42" s="123"/>
      <c r="DP42" s="123"/>
      <c r="DQ42" s="111"/>
      <c r="DR42" s="120"/>
      <c r="DS42" s="120"/>
      <c r="DT42" s="120"/>
      <c r="DU42" s="120"/>
      <c r="DV42" s="120"/>
      <c r="DW42" s="120"/>
      <c r="DX42" s="120"/>
      <c r="DY42" s="120"/>
      <c r="DZ42" s="120"/>
      <c r="EA42" s="122"/>
      <c r="EB42" s="122"/>
      <c r="EC42" s="122"/>
      <c r="ED42" s="122"/>
      <c r="EE42" s="122"/>
      <c r="EF42" s="122"/>
      <c r="EG42" s="163"/>
      <c r="EH42" s="122"/>
      <c r="EI42" s="122"/>
      <c r="EJ42" s="163"/>
      <c r="EK42" s="131"/>
      <c r="EL42" s="122"/>
      <c r="EM42" s="131"/>
      <c r="EN42" s="131"/>
      <c r="EO42" s="131"/>
      <c r="EP42" s="131"/>
      <c r="EQ42" s="131"/>
      <c r="ER42" s="131"/>
      <c r="ES42" s="131"/>
      <c r="ET42" s="131"/>
      <c r="EU42" s="131"/>
      <c r="EV42" s="139"/>
      <c r="EW42" s="131"/>
      <c r="EX42" s="139"/>
      <c r="EY42" s="123"/>
      <c r="EZ42" s="141"/>
      <c r="FA42" s="131"/>
      <c r="FB42" s="143"/>
      <c r="FC42" s="123"/>
      <c r="FD42" s="131"/>
      <c r="FE42" s="131"/>
      <c r="FF42" s="64"/>
      <c r="FG42" s="50"/>
    </row>
    <row r="43" spans="2:163" ht="12.75" customHeight="1">
      <c r="B43" s="92">
        <v>300</v>
      </c>
      <c r="C43" s="97">
        <v>8</v>
      </c>
      <c r="D43" s="92">
        <v>20</v>
      </c>
      <c r="E43" s="92">
        <v>20</v>
      </c>
      <c r="F43" s="92"/>
      <c r="H43" s="102"/>
      <c r="I43" s="5"/>
      <c r="J43" s="66"/>
      <c r="K43" s="249"/>
      <c r="L43" s="66"/>
      <c r="M43" s="66"/>
      <c r="N43" s="5"/>
      <c r="O43" s="5"/>
      <c r="P43" s="286"/>
      <c r="Q43" s="8" t="s">
        <v>111</v>
      </c>
      <c r="R43" s="6">
        <v>300</v>
      </c>
      <c r="S43" s="155" t="s">
        <v>4</v>
      </c>
      <c r="AA43" s="111" t="s">
        <v>245</v>
      </c>
      <c r="AB43" s="111" t="s">
        <v>311</v>
      </c>
      <c r="AC43" s="111">
        <v>44</v>
      </c>
      <c r="AD43" s="58">
        <v>0.3</v>
      </c>
      <c r="AE43" s="120">
        <v>500</v>
      </c>
      <c r="AF43" s="121">
        <v>300</v>
      </c>
      <c r="AG43" s="121">
        <v>10</v>
      </c>
      <c r="AH43" s="121">
        <v>14</v>
      </c>
      <c r="AI43" s="121">
        <v>472</v>
      </c>
      <c r="AJ43" s="64" t="str" cm="1">
        <f t="array" ref="AJ43">_xll.Dce_Name_SectI(AE43, AE43, AF43, AG43, AH43, "x", "-", "H Tổng")</f>
        <v>500x300x10x14</v>
      </c>
      <c r="AK43" s="122">
        <f t="shared" si="6"/>
        <v>760</v>
      </c>
      <c r="AL43" s="123">
        <f t="shared" si="7"/>
        <v>300</v>
      </c>
      <c r="AM43" s="123">
        <f t="shared" si="8"/>
        <v>25</v>
      </c>
      <c r="AN43" s="123">
        <f t="shared" si="9"/>
        <v>8</v>
      </c>
      <c r="AO43" s="123">
        <f t="shared" si="10"/>
        <v>24</v>
      </c>
      <c r="AP43" s="165" t="str">
        <f t="shared" si="11"/>
        <v>760x300x25 + 8M24</v>
      </c>
      <c r="AQ43" s="111" t="s">
        <v>323</v>
      </c>
      <c r="AR43" s="120">
        <v>0</v>
      </c>
      <c r="AS43" s="120">
        <v>-231.98194460226773</v>
      </c>
      <c r="AT43" s="120">
        <v>-1.5698589095336498E-13</v>
      </c>
      <c r="AU43" s="120">
        <v>-2.1345361504376769E-3</v>
      </c>
      <c r="AV43" s="120">
        <v>-3.1186767444069109E-13</v>
      </c>
      <c r="AW43" s="120">
        <v>-444.19249517008893</v>
      </c>
      <c r="AX43" s="120"/>
      <c r="AY43" s="120"/>
      <c r="AZ43" s="120"/>
      <c r="BA43" s="122">
        <f t="shared" si="12"/>
        <v>60</v>
      </c>
      <c r="BB43" s="122">
        <f t="shared" si="13"/>
        <v>70</v>
      </c>
      <c r="BC43" s="122">
        <f t="shared" si="14"/>
        <v>80</v>
      </c>
      <c r="BD43" s="122">
        <f t="shared" si="15"/>
        <v>150</v>
      </c>
      <c r="BE43" s="122">
        <f>VLOOKUP(AO43,Data!$V$4:$Z$15,3,FALSE)</f>
        <v>452.38934211693021</v>
      </c>
      <c r="BF43" s="122">
        <f>VLOOKUP(AO43,Data!$V$4:$Z$15,4,FALSE)</f>
        <v>353</v>
      </c>
      <c r="BG43" s="163">
        <f t="shared" si="16"/>
        <v>150</v>
      </c>
      <c r="BH43" s="122">
        <f t="shared" si="17"/>
        <v>121.65654188208487</v>
      </c>
      <c r="BI43" s="122">
        <f t="shared" si="18"/>
        <v>243</v>
      </c>
      <c r="BJ43" s="163">
        <f t="shared" si="19"/>
        <v>142.3296</v>
      </c>
      <c r="BK43" s="131">
        <f t="shared" si="20"/>
        <v>28.997743075283466</v>
      </c>
      <c r="BL43" s="134">
        <f t="shared" si="21"/>
        <v>0.94666666666666666</v>
      </c>
      <c r="BM43" s="135">
        <f t="shared" si="22"/>
        <v>0.25178603852792397</v>
      </c>
      <c r="BN43" s="92" t="str">
        <f t="shared" si="23"/>
        <v>OK</v>
      </c>
      <c r="BO43" s="135">
        <f>_xll.DCEBoltDisRS(AN43, AE43, BA43, BB43, BC43, BD43, "h1")</f>
        <v>640</v>
      </c>
      <c r="BP43" s="136">
        <f>_xll.DCEBoltDisRS(AN43, AE43, BA43, BB43, BC43, BD43, "Tong")</f>
        <v>672200</v>
      </c>
      <c r="BQ43" s="137">
        <f t="shared" si="24"/>
        <v>211.45730207442497</v>
      </c>
      <c r="BR43" s="135">
        <f t="shared" si="25"/>
        <v>1.4856874611776114</v>
      </c>
      <c r="BS43" s="64" t="str">
        <f t="shared" si="26"/>
        <v>O/S</v>
      </c>
      <c r="BT43" s="131">
        <f t="shared" si="27"/>
        <v>1.5046865142542494</v>
      </c>
      <c r="BU43" s="92" t="str">
        <f t="shared" si="28"/>
        <v>O/S</v>
      </c>
      <c r="BV43" s="139">
        <f t="shared" si="29"/>
        <v>913.97632751047104</v>
      </c>
      <c r="BW43" s="131">
        <f t="shared" si="30"/>
        <v>17.137056140821333</v>
      </c>
      <c r="BX43" s="139">
        <f t="shared" si="31"/>
        <v>456.98816375523552</v>
      </c>
      <c r="BY43" s="123">
        <f t="shared" si="32"/>
        <v>216.46807756826948</v>
      </c>
      <c r="BZ43" s="141">
        <f t="shared" si="33"/>
        <v>1.0522753770679767</v>
      </c>
      <c r="CA43" s="131">
        <f t="shared" si="34"/>
        <v>24.052008618696604</v>
      </c>
      <c r="CB43" s="143">
        <f t="shared" si="35"/>
        <v>0.20158532127739015</v>
      </c>
      <c r="CC43" s="123">
        <f t="shared" si="36"/>
        <v>220.44030022181494</v>
      </c>
      <c r="CD43" s="131">
        <f t="shared" si="37"/>
        <v>0.93181286325646429</v>
      </c>
      <c r="CE43" s="135">
        <f t="shared" si="38"/>
        <v>1.0522753770679767</v>
      </c>
      <c r="CF43" s="92" t="str">
        <f t="shared" si="39"/>
        <v>O/S</v>
      </c>
      <c r="CG43" s="50"/>
      <c r="DA43" s="111"/>
      <c r="DB43" s="111"/>
      <c r="DC43" s="111"/>
      <c r="DD43" s="116"/>
      <c r="DE43" s="120"/>
      <c r="DF43" s="121"/>
      <c r="DG43" s="121"/>
      <c r="DH43" s="121"/>
      <c r="DI43" s="121"/>
      <c r="DJ43" s="121"/>
      <c r="DK43" s="122"/>
      <c r="DL43" s="123"/>
      <c r="DM43" s="123"/>
      <c r="DN43" s="123"/>
      <c r="DO43" s="123"/>
      <c r="DP43" s="123"/>
      <c r="DQ43" s="111"/>
      <c r="DR43" s="120"/>
      <c r="DS43" s="120"/>
      <c r="DT43" s="120"/>
      <c r="DU43" s="120"/>
      <c r="DV43" s="120"/>
      <c r="DW43" s="120"/>
      <c r="DX43" s="120"/>
      <c r="DY43" s="120"/>
      <c r="DZ43" s="120"/>
      <c r="EA43" s="122"/>
      <c r="EB43" s="122"/>
      <c r="EC43" s="122"/>
      <c r="ED43" s="122"/>
      <c r="EE43" s="122"/>
      <c r="EF43" s="122"/>
      <c r="EG43" s="163"/>
      <c r="EH43" s="122"/>
      <c r="EI43" s="122"/>
      <c r="EJ43" s="163"/>
      <c r="EK43" s="131"/>
      <c r="EL43" s="122"/>
      <c r="EM43" s="131"/>
      <c r="EN43" s="131"/>
      <c r="EO43" s="131"/>
      <c r="EP43" s="131"/>
      <c r="EQ43" s="131"/>
      <c r="ER43" s="131"/>
      <c r="ES43" s="131"/>
      <c r="ET43" s="131"/>
      <c r="EU43" s="131"/>
      <c r="EV43" s="139"/>
      <c r="EW43" s="131"/>
      <c r="EX43" s="139"/>
      <c r="EY43" s="123"/>
      <c r="EZ43" s="141"/>
      <c r="FA43" s="131"/>
      <c r="FB43" s="143"/>
      <c r="FC43" s="123"/>
      <c r="FD43" s="131"/>
      <c r="FE43" s="131"/>
      <c r="FF43" s="64"/>
      <c r="FG43" s="50"/>
    </row>
    <row r="44" spans="2:163" ht="12.75" customHeight="1">
      <c r="B44" s="92">
        <v>350</v>
      </c>
      <c r="C44" s="97">
        <v>8</v>
      </c>
      <c r="D44" s="92">
        <v>20</v>
      </c>
      <c r="E44" s="92">
        <v>20</v>
      </c>
      <c r="F44" s="92"/>
      <c r="H44" s="102"/>
      <c r="I44" s="5"/>
      <c r="J44" s="66"/>
      <c r="K44" s="249"/>
      <c r="L44" s="66"/>
      <c r="M44" s="66"/>
      <c r="N44" s="5"/>
      <c r="O44" s="5"/>
      <c r="P44" s="5"/>
      <c r="Q44" s="8" t="s">
        <v>112</v>
      </c>
      <c r="R44" s="6">
        <v>10</v>
      </c>
      <c r="S44" s="155" t="s">
        <v>4</v>
      </c>
      <c r="AA44" s="111" t="s">
        <v>245</v>
      </c>
      <c r="AB44" s="111" t="s">
        <v>311</v>
      </c>
      <c r="AC44" s="111">
        <v>44</v>
      </c>
      <c r="AD44" s="58">
        <v>3</v>
      </c>
      <c r="AE44" s="120">
        <v>500</v>
      </c>
      <c r="AF44" s="121">
        <v>300</v>
      </c>
      <c r="AG44" s="121">
        <v>10</v>
      </c>
      <c r="AH44" s="121">
        <v>14</v>
      </c>
      <c r="AI44" s="121">
        <v>472</v>
      </c>
      <c r="AJ44" s="64" t="str" cm="1">
        <f t="array" ref="AJ44">_xll.Dce_Name_SectI(AE44, AE44, AF44, AG44, AH44, "x", "-", "H Tổng")</f>
        <v>500x300x10x14</v>
      </c>
      <c r="AK44" s="122">
        <f t="shared" si="6"/>
        <v>760</v>
      </c>
      <c r="AL44" s="123">
        <f t="shared" si="7"/>
        <v>300</v>
      </c>
      <c r="AM44" s="123">
        <f t="shared" si="8"/>
        <v>25</v>
      </c>
      <c r="AN44" s="123">
        <f t="shared" si="9"/>
        <v>8</v>
      </c>
      <c r="AO44" s="123">
        <f t="shared" si="10"/>
        <v>24</v>
      </c>
      <c r="AP44" s="165" t="str">
        <f t="shared" si="11"/>
        <v>760x300x25 + 8M24</v>
      </c>
      <c r="AQ44" s="111" t="s">
        <v>323</v>
      </c>
      <c r="AR44" s="120">
        <v>0</v>
      </c>
      <c r="AS44" s="120">
        <v>-156.88534195501342</v>
      </c>
      <c r="AT44" s="120">
        <v>-9.0921048467862403E-14</v>
      </c>
      <c r="AU44" s="120">
        <v>-2.1338946647219809E-3</v>
      </c>
      <c r="AV44" s="120">
        <v>6.1722982991341236E-14</v>
      </c>
      <c r="AW44" s="120">
        <v>98.729678560913243</v>
      </c>
      <c r="AX44" s="120"/>
      <c r="AY44" s="120"/>
      <c r="AZ44" s="120"/>
      <c r="BA44" s="122">
        <f t="shared" si="12"/>
        <v>60</v>
      </c>
      <c r="BB44" s="122">
        <f t="shared" si="13"/>
        <v>70</v>
      </c>
      <c r="BC44" s="122">
        <f t="shared" si="14"/>
        <v>80</v>
      </c>
      <c r="BD44" s="122">
        <f t="shared" si="15"/>
        <v>150</v>
      </c>
      <c r="BE44" s="122">
        <f>VLOOKUP(AO44,Data!$V$4:$Z$15,3,FALSE)</f>
        <v>452.38934211693021</v>
      </c>
      <c r="BF44" s="122">
        <f>VLOOKUP(AO44,Data!$V$4:$Z$15,4,FALSE)</f>
        <v>353</v>
      </c>
      <c r="BG44" s="163">
        <f t="shared" si="16"/>
        <v>150</v>
      </c>
      <c r="BH44" s="122">
        <f t="shared" si="17"/>
        <v>121.65654188208487</v>
      </c>
      <c r="BI44" s="122">
        <f t="shared" si="18"/>
        <v>243</v>
      </c>
      <c r="BJ44" s="163">
        <f t="shared" si="19"/>
        <v>142.3296</v>
      </c>
      <c r="BK44" s="131">
        <f t="shared" si="20"/>
        <v>19.610667744376677</v>
      </c>
      <c r="BL44" s="134">
        <f t="shared" si="21"/>
        <v>0.94666666666666666</v>
      </c>
      <c r="BM44" s="135">
        <f t="shared" si="22"/>
        <v>0.17027850517279178</v>
      </c>
      <c r="BN44" s="92" t="str">
        <f t="shared" si="23"/>
        <v>OK</v>
      </c>
      <c r="BO44" s="135">
        <f>_xll.DCEBoltDisRS(AN44, AE44, BA44, BB44, BC44, BD44, "h1")</f>
        <v>640</v>
      </c>
      <c r="BP44" s="136">
        <f>_xll.DCEBoltDisRS(AN44, AE44, BA44, BB44, BC44, BD44, "Tong")</f>
        <v>672200</v>
      </c>
      <c r="BQ44" s="137">
        <f t="shared" si="24"/>
        <v>47.000144509806965</v>
      </c>
      <c r="BR44" s="135">
        <f t="shared" si="25"/>
        <v>0.33022044964509817</v>
      </c>
      <c r="BS44" s="64" t="str">
        <f t="shared" si="26"/>
        <v>OK</v>
      </c>
      <c r="BT44" s="131">
        <f t="shared" si="27"/>
        <v>0.36746430208071273</v>
      </c>
      <c r="BU44" s="92" t="str">
        <f t="shared" si="28"/>
        <v>OK</v>
      </c>
      <c r="BV44" s="139">
        <f t="shared" si="29"/>
        <v>203.14748675085031</v>
      </c>
      <c r="BW44" s="131">
        <f t="shared" si="30"/>
        <v>3.8090153765784431</v>
      </c>
      <c r="BX44" s="139">
        <f t="shared" si="31"/>
        <v>101.57374337542515</v>
      </c>
      <c r="BY44" s="123">
        <f t="shared" si="32"/>
        <v>48.113878440990852</v>
      </c>
      <c r="BZ44" s="141">
        <f t="shared" si="33"/>
        <v>0.23388690908814999</v>
      </c>
      <c r="CA44" s="131">
        <f t="shared" si="34"/>
        <v>5.3459864934434291</v>
      </c>
      <c r="CB44" s="143">
        <f t="shared" si="35"/>
        <v>4.4805921281254796E-2</v>
      </c>
      <c r="CC44" s="123">
        <f t="shared" si="36"/>
        <v>48.996775540832104</v>
      </c>
      <c r="CD44" s="131">
        <f t="shared" si="37"/>
        <v>0.20711197390448358</v>
      </c>
      <c r="CE44" s="135">
        <f t="shared" si="38"/>
        <v>0.23388690908814999</v>
      </c>
      <c r="CF44" s="92" t="str">
        <f t="shared" si="39"/>
        <v>OK</v>
      </c>
      <c r="CG44" s="50"/>
      <c r="DA44" s="111"/>
      <c r="DB44" s="111"/>
      <c r="DC44" s="111"/>
      <c r="DD44" s="116"/>
      <c r="DE44" s="120"/>
      <c r="DF44" s="121"/>
      <c r="DG44" s="121"/>
      <c r="DH44" s="121"/>
      <c r="DI44" s="121"/>
      <c r="DJ44" s="121"/>
      <c r="DK44" s="122"/>
      <c r="DL44" s="123"/>
      <c r="DM44" s="123"/>
      <c r="DN44" s="123"/>
      <c r="DO44" s="123"/>
      <c r="DP44" s="123"/>
      <c r="DQ44" s="111"/>
      <c r="DR44" s="120"/>
      <c r="DS44" s="120"/>
      <c r="DT44" s="120"/>
      <c r="DU44" s="120"/>
      <c r="DV44" s="120"/>
      <c r="DW44" s="120"/>
      <c r="DX44" s="120"/>
      <c r="DY44" s="120"/>
      <c r="DZ44" s="120"/>
      <c r="EA44" s="122"/>
      <c r="EB44" s="122"/>
      <c r="EC44" s="122"/>
      <c r="ED44" s="122"/>
      <c r="EE44" s="122"/>
      <c r="EF44" s="122"/>
      <c r="EG44" s="163"/>
      <c r="EH44" s="122"/>
      <c r="EI44" s="122"/>
      <c r="EJ44" s="163"/>
      <c r="EK44" s="131"/>
      <c r="EL44" s="122"/>
      <c r="EM44" s="131"/>
      <c r="EN44" s="131"/>
      <c r="EO44" s="131"/>
      <c r="EP44" s="131"/>
      <c r="EQ44" s="131"/>
      <c r="ER44" s="131"/>
      <c r="ES44" s="131"/>
      <c r="ET44" s="131"/>
      <c r="EU44" s="131"/>
      <c r="EV44" s="139"/>
      <c r="EW44" s="131"/>
      <c r="EX44" s="139"/>
      <c r="EY44" s="123"/>
      <c r="EZ44" s="141"/>
      <c r="FA44" s="131"/>
      <c r="FB44" s="143"/>
      <c r="FC44" s="123"/>
      <c r="FD44" s="131"/>
      <c r="FE44" s="131"/>
      <c r="FF44" s="64"/>
      <c r="FG44" s="50"/>
    </row>
    <row r="45" spans="2:163" ht="12.75" customHeight="1">
      <c r="B45" s="92">
        <v>400</v>
      </c>
      <c r="C45" s="97">
        <v>8</v>
      </c>
      <c r="D45" s="92">
        <v>20</v>
      </c>
      <c r="E45" s="92">
        <v>25</v>
      </c>
      <c r="F45" s="92"/>
      <c r="H45" s="102"/>
      <c r="I45" s="5"/>
      <c r="J45" s="5"/>
      <c r="K45" s="8"/>
      <c r="L45" s="66"/>
      <c r="M45" s="288"/>
      <c r="N45" s="5"/>
      <c r="O45" s="5"/>
      <c r="P45" s="5"/>
      <c r="Q45" s="8" t="s">
        <v>113</v>
      </c>
      <c r="R45" s="6">
        <v>14</v>
      </c>
      <c r="S45" s="155" t="s">
        <v>4</v>
      </c>
      <c r="AA45" s="111" t="s">
        <v>245</v>
      </c>
      <c r="AB45" s="111" t="s">
        <v>311</v>
      </c>
      <c r="AC45" s="111">
        <v>44</v>
      </c>
      <c r="AD45" s="58">
        <v>0.3</v>
      </c>
      <c r="AE45" s="120">
        <v>500</v>
      </c>
      <c r="AF45" s="121">
        <v>300</v>
      </c>
      <c r="AG45" s="121">
        <v>10</v>
      </c>
      <c r="AH45" s="121">
        <v>14</v>
      </c>
      <c r="AI45" s="121">
        <v>472</v>
      </c>
      <c r="AJ45" s="64" t="str" cm="1">
        <f t="array" ref="AJ45">_xll.Dce_Name_SectI(AE45, AE45, AF45, AG45, AH45, "x", "-", "H Tổng")</f>
        <v>500x300x10x14</v>
      </c>
      <c r="AK45" s="122">
        <f t="shared" si="6"/>
        <v>760</v>
      </c>
      <c r="AL45" s="123">
        <f t="shared" si="7"/>
        <v>300</v>
      </c>
      <c r="AM45" s="123">
        <f t="shared" si="8"/>
        <v>25</v>
      </c>
      <c r="AN45" s="123">
        <f t="shared" si="9"/>
        <v>8</v>
      </c>
      <c r="AO45" s="123">
        <f t="shared" si="10"/>
        <v>24</v>
      </c>
      <c r="AP45" s="165" t="str">
        <f t="shared" si="11"/>
        <v>760x300x25 + 8M24</v>
      </c>
      <c r="AQ45" s="111" t="s">
        <v>324</v>
      </c>
      <c r="AR45" s="120">
        <v>0</v>
      </c>
      <c r="AS45" s="120">
        <v>-548.21135759736887</v>
      </c>
      <c r="AT45" s="120">
        <v>-3.4815172966773382E-13</v>
      </c>
      <c r="AU45" s="120">
        <v>-4.6061198845047356E-3</v>
      </c>
      <c r="AV45" s="120">
        <v>-7.6223523706175893E-13</v>
      </c>
      <c r="AW45" s="120">
        <v>-1076.6020356515121</v>
      </c>
      <c r="AX45" s="120"/>
      <c r="AY45" s="120"/>
      <c r="AZ45" s="120"/>
      <c r="BA45" s="122">
        <f t="shared" si="12"/>
        <v>60</v>
      </c>
      <c r="BB45" s="122">
        <f t="shared" si="13"/>
        <v>70</v>
      </c>
      <c r="BC45" s="122">
        <f t="shared" si="14"/>
        <v>80</v>
      </c>
      <c r="BD45" s="122">
        <f t="shared" si="15"/>
        <v>150</v>
      </c>
      <c r="BE45" s="122">
        <f>VLOOKUP(AO45,Data!$V$4:$Z$15,3,FALSE)</f>
        <v>452.38934211693021</v>
      </c>
      <c r="BF45" s="122">
        <f>VLOOKUP(AO45,Data!$V$4:$Z$15,4,FALSE)</f>
        <v>353</v>
      </c>
      <c r="BG45" s="163">
        <f t="shared" si="16"/>
        <v>150</v>
      </c>
      <c r="BH45" s="122">
        <f t="shared" si="17"/>
        <v>121.65654188208487</v>
      </c>
      <c r="BI45" s="122">
        <f t="shared" si="18"/>
        <v>243</v>
      </c>
      <c r="BJ45" s="163">
        <f t="shared" si="19"/>
        <v>142.3296</v>
      </c>
      <c r="BK45" s="131">
        <f t="shared" si="20"/>
        <v>68.526419699671109</v>
      </c>
      <c r="BL45" s="134">
        <f t="shared" si="21"/>
        <v>0.94666666666666666</v>
      </c>
      <c r="BM45" s="135">
        <f t="shared" si="22"/>
        <v>0.5950116774911598</v>
      </c>
      <c r="BN45" s="92" t="str">
        <f t="shared" si="23"/>
        <v>OK</v>
      </c>
      <c r="BO45" s="135">
        <f>_xll.DCEBoltDisRS(AN45, AE45, BA45, BB45, BC45, BD45, "h1")</f>
        <v>640</v>
      </c>
      <c r="BP45" s="136">
        <f>_xll.DCEBoltDisRS(AN45, AE45, BA45, BB45, BC45, BD45, "Tong")</f>
        <v>672200</v>
      </c>
      <c r="BQ45" s="137">
        <f t="shared" si="24"/>
        <v>512.51510176805107</v>
      </c>
      <c r="BR45" s="135">
        <f t="shared" si="25"/>
        <v>3.6009031274453878</v>
      </c>
      <c r="BS45" s="64" t="str">
        <f t="shared" si="26"/>
        <v>O/S</v>
      </c>
      <c r="BT45" s="131">
        <f t="shared" si="27"/>
        <v>3.6446927339111275</v>
      </c>
      <c r="BU45" s="92" t="str">
        <f t="shared" si="28"/>
        <v>O/S</v>
      </c>
      <c r="BV45" s="139">
        <f t="shared" si="29"/>
        <v>2215.2305260319181</v>
      </c>
      <c r="BW45" s="131">
        <f t="shared" si="30"/>
        <v>41.53557236309846</v>
      </c>
      <c r="BX45" s="139">
        <f t="shared" si="31"/>
        <v>1107.615263015959</v>
      </c>
      <c r="BY45" s="123">
        <f t="shared" si="32"/>
        <v>524.6598614286122</v>
      </c>
      <c r="BZ45" s="141">
        <f t="shared" si="33"/>
        <v>2.5504298819446429</v>
      </c>
      <c r="CA45" s="131">
        <f t="shared" si="34"/>
        <v>58.295540158734681</v>
      </c>
      <c r="CB45" s="143">
        <f t="shared" si="35"/>
        <v>0.48858809998939512</v>
      </c>
      <c r="CC45" s="123">
        <f t="shared" si="36"/>
        <v>534.28745091147937</v>
      </c>
      <c r="CD45" s="131">
        <f t="shared" si="37"/>
        <v>2.2584614470895872</v>
      </c>
      <c r="CE45" s="135">
        <f t="shared" si="38"/>
        <v>2.5504298819446429</v>
      </c>
      <c r="CF45" s="92" t="str">
        <f t="shared" si="39"/>
        <v>O/S</v>
      </c>
      <c r="CG45" s="50"/>
      <c r="DA45" s="111"/>
      <c r="DB45" s="111"/>
      <c r="DC45" s="111"/>
      <c r="DD45" s="116"/>
      <c r="DE45" s="120"/>
      <c r="DF45" s="121"/>
      <c r="DG45" s="121"/>
      <c r="DH45" s="121"/>
      <c r="DI45" s="121"/>
      <c r="DJ45" s="121"/>
      <c r="DK45" s="122"/>
      <c r="DL45" s="123"/>
      <c r="DM45" s="123"/>
      <c r="DN45" s="123"/>
      <c r="DO45" s="123"/>
      <c r="DP45" s="123"/>
      <c r="DQ45" s="111"/>
      <c r="DR45" s="120"/>
      <c r="DS45" s="120"/>
      <c r="DT45" s="120"/>
      <c r="DU45" s="120"/>
      <c r="DV45" s="120"/>
      <c r="DW45" s="120"/>
      <c r="DX45" s="120"/>
      <c r="DY45" s="120"/>
      <c r="DZ45" s="120"/>
      <c r="EA45" s="122"/>
      <c r="EB45" s="122"/>
      <c r="EC45" s="122"/>
      <c r="ED45" s="122"/>
      <c r="EE45" s="122"/>
      <c r="EF45" s="122"/>
      <c r="EG45" s="163"/>
      <c r="EH45" s="122"/>
      <c r="EI45" s="122"/>
      <c r="EJ45" s="163"/>
      <c r="EK45" s="131"/>
      <c r="EL45" s="122"/>
      <c r="EM45" s="131"/>
      <c r="EN45" s="131"/>
      <c r="EO45" s="131"/>
      <c r="EP45" s="131"/>
      <c r="EQ45" s="131"/>
      <c r="ER45" s="131"/>
      <c r="ES45" s="131"/>
      <c r="ET45" s="131"/>
      <c r="EU45" s="131"/>
      <c r="EV45" s="139"/>
      <c r="EW45" s="131"/>
      <c r="EX45" s="139"/>
      <c r="EY45" s="123"/>
      <c r="EZ45" s="141"/>
      <c r="FA45" s="131"/>
      <c r="FB45" s="143"/>
      <c r="FC45" s="123"/>
      <c r="FD45" s="131"/>
      <c r="FE45" s="131"/>
      <c r="FF45" s="64"/>
      <c r="FG45" s="50"/>
    </row>
    <row r="46" spans="2:163" ht="12.75" customHeight="1">
      <c r="B46" s="92">
        <v>450</v>
      </c>
      <c r="C46" s="97">
        <v>8</v>
      </c>
      <c r="D46" s="92">
        <v>20</v>
      </c>
      <c r="E46" s="92">
        <v>25</v>
      </c>
      <c r="F46" s="92"/>
      <c r="H46" s="103"/>
      <c r="I46" s="66"/>
      <c r="J46" s="66"/>
      <c r="K46" s="5"/>
      <c r="L46" s="99" t="s">
        <v>106</v>
      </c>
      <c r="M46" s="66"/>
      <c r="N46" s="249"/>
      <c r="O46" s="285"/>
      <c r="P46" s="66"/>
      <c r="Q46" s="5"/>
      <c r="R46" s="5"/>
      <c r="S46" s="153"/>
      <c r="AA46" s="111" t="s">
        <v>245</v>
      </c>
      <c r="AB46" s="111" t="s">
        <v>311</v>
      </c>
      <c r="AC46" s="111">
        <v>44</v>
      </c>
      <c r="AD46" s="58">
        <v>3</v>
      </c>
      <c r="AE46" s="120">
        <v>500</v>
      </c>
      <c r="AF46" s="121">
        <v>300</v>
      </c>
      <c r="AG46" s="121">
        <v>10</v>
      </c>
      <c r="AH46" s="121">
        <v>14</v>
      </c>
      <c r="AI46" s="121">
        <v>472</v>
      </c>
      <c r="AJ46" s="64" t="str" cm="1">
        <f t="array" ref="AJ46">_xll.Dce_Name_SectI(AE46, AE46, AF46, AG46, AH46, "x", "-", "H Tổng")</f>
        <v>500x300x10x14</v>
      </c>
      <c r="AK46" s="122">
        <f t="shared" si="6"/>
        <v>760</v>
      </c>
      <c r="AL46" s="123">
        <f t="shared" si="7"/>
        <v>300</v>
      </c>
      <c r="AM46" s="123">
        <f t="shared" si="8"/>
        <v>25</v>
      </c>
      <c r="AN46" s="123">
        <f t="shared" si="9"/>
        <v>8</v>
      </c>
      <c r="AO46" s="123">
        <f t="shared" si="10"/>
        <v>24</v>
      </c>
      <c r="AP46" s="165" t="str">
        <f t="shared" si="11"/>
        <v>760x300x25 + 8M24</v>
      </c>
      <c r="AQ46" s="111" t="s">
        <v>324</v>
      </c>
      <c r="AR46" s="120">
        <v>0</v>
      </c>
      <c r="AS46" s="120">
        <v>-369.71652333305332</v>
      </c>
      <c r="AT46" s="120">
        <v>1.2482814781833433E-14</v>
      </c>
      <c r="AU46" s="120">
        <v>-4.604734274242692E-3</v>
      </c>
      <c r="AV46" s="120">
        <v>-1.0505050340725572E-13</v>
      </c>
      <c r="AW46" s="120">
        <v>206.39596599599665</v>
      </c>
      <c r="AX46" s="120"/>
      <c r="AY46" s="120"/>
      <c r="AZ46" s="120"/>
      <c r="BA46" s="122">
        <f t="shared" si="12"/>
        <v>60</v>
      </c>
      <c r="BB46" s="122">
        <f t="shared" si="13"/>
        <v>70</v>
      </c>
      <c r="BC46" s="122">
        <f t="shared" si="14"/>
        <v>80</v>
      </c>
      <c r="BD46" s="122">
        <f t="shared" si="15"/>
        <v>150</v>
      </c>
      <c r="BE46" s="122">
        <f>VLOOKUP(AO46,Data!$V$4:$Z$15,3,FALSE)</f>
        <v>452.38934211693021</v>
      </c>
      <c r="BF46" s="122">
        <f>VLOOKUP(AO46,Data!$V$4:$Z$15,4,FALSE)</f>
        <v>353</v>
      </c>
      <c r="BG46" s="163">
        <f t="shared" si="16"/>
        <v>150</v>
      </c>
      <c r="BH46" s="122">
        <f t="shared" si="17"/>
        <v>121.65654188208487</v>
      </c>
      <c r="BI46" s="122">
        <f t="shared" si="18"/>
        <v>243</v>
      </c>
      <c r="BJ46" s="163">
        <f t="shared" si="19"/>
        <v>142.3296</v>
      </c>
      <c r="BK46" s="131">
        <f t="shared" si="20"/>
        <v>46.214565416631665</v>
      </c>
      <c r="BL46" s="134">
        <f t="shared" si="21"/>
        <v>0.94666666666666666</v>
      </c>
      <c r="BM46" s="135">
        <f t="shared" si="22"/>
        <v>0.40127889671736239</v>
      </c>
      <c r="BN46" s="92" t="str">
        <f t="shared" si="23"/>
        <v>OK</v>
      </c>
      <c r="BO46" s="135">
        <f>_xll.DCEBoltDisRS(AN46, AE46, BA46, BB46, BC46, BD46, "h1")</f>
        <v>640</v>
      </c>
      <c r="BP46" s="136">
        <f>_xll.DCEBoltDisRS(AN46, AE46, BA46, BB46, BC46, BD46, "Tong")</f>
        <v>672200</v>
      </c>
      <c r="BQ46" s="137">
        <f t="shared" si="24"/>
        <v>98.254550905562212</v>
      </c>
      <c r="BR46" s="135">
        <f t="shared" si="25"/>
        <v>0.69033111106587952</v>
      </c>
      <c r="BS46" s="64" t="str">
        <f t="shared" si="26"/>
        <v>OK</v>
      </c>
      <c r="BT46" s="131">
        <f t="shared" si="27"/>
        <v>0.78794914059984156</v>
      </c>
      <c r="BU46" s="92" t="str">
        <f t="shared" si="28"/>
        <v>OK</v>
      </c>
      <c r="BV46" s="139">
        <f t="shared" si="29"/>
        <v>424.68305760493138</v>
      </c>
      <c r="BW46" s="131">
        <f t="shared" si="30"/>
        <v>7.9628073300924633</v>
      </c>
      <c r="BX46" s="139">
        <f t="shared" si="31"/>
        <v>212.34152880246569</v>
      </c>
      <c r="BY46" s="123">
        <f t="shared" si="32"/>
        <v>100.58282943274691</v>
      </c>
      <c r="BZ46" s="141">
        <f t="shared" si="33"/>
        <v>0.48894430974251973</v>
      </c>
      <c r="CA46" s="131">
        <f t="shared" si="34"/>
        <v>11.175869936971878</v>
      </c>
      <c r="CB46" s="143">
        <f t="shared" si="35"/>
        <v>9.3667492287839021E-2</v>
      </c>
      <c r="CC46" s="123">
        <f t="shared" si="36"/>
        <v>102.42853988630998</v>
      </c>
      <c r="CD46" s="131">
        <f t="shared" si="37"/>
        <v>0.43297088116193838</v>
      </c>
      <c r="CE46" s="135">
        <f t="shared" si="38"/>
        <v>0.48894430974251973</v>
      </c>
      <c r="CF46" s="92" t="str">
        <f t="shared" si="39"/>
        <v>OK</v>
      </c>
      <c r="CG46" s="50"/>
      <c r="DA46" s="111"/>
      <c r="DB46" s="111"/>
      <c r="DC46" s="111"/>
      <c r="DD46" s="116"/>
      <c r="DE46" s="120"/>
      <c r="DF46" s="121"/>
      <c r="DG46" s="121"/>
      <c r="DH46" s="121"/>
      <c r="DI46" s="121"/>
      <c r="DJ46" s="121"/>
      <c r="DK46" s="122"/>
      <c r="DL46" s="123"/>
      <c r="DM46" s="123"/>
      <c r="DN46" s="123"/>
      <c r="DO46" s="123"/>
      <c r="DP46" s="123"/>
      <c r="DQ46" s="111"/>
      <c r="DR46" s="120"/>
      <c r="DS46" s="120"/>
      <c r="DT46" s="120"/>
      <c r="DU46" s="120"/>
      <c r="DV46" s="120"/>
      <c r="DW46" s="120"/>
      <c r="DX46" s="120"/>
      <c r="DY46" s="120"/>
      <c r="DZ46" s="120"/>
      <c r="EA46" s="122"/>
      <c r="EB46" s="122"/>
      <c r="EC46" s="122"/>
      <c r="ED46" s="122"/>
      <c r="EE46" s="122"/>
      <c r="EF46" s="122"/>
      <c r="EG46" s="163"/>
      <c r="EH46" s="122"/>
      <c r="EI46" s="122"/>
      <c r="EJ46" s="163"/>
      <c r="EK46" s="131"/>
      <c r="EL46" s="122"/>
      <c r="EM46" s="131"/>
      <c r="EN46" s="131"/>
      <c r="EO46" s="131"/>
      <c r="EP46" s="131"/>
      <c r="EQ46" s="131"/>
      <c r="ER46" s="131"/>
      <c r="ES46" s="131"/>
      <c r="ET46" s="131"/>
      <c r="EU46" s="131"/>
      <c r="EV46" s="139"/>
      <c r="EW46" s="131"/>
      <c r="EX46" s="139"/>
      <c r="EY46" s="123"/>
      <c r="EZ46" s="141"/>
      <c r="FA46" s="131"/>
      <c r="FB46" s="143"/>
      <c r="FC46" s="123"/>
      <c r="FD46" s="131"/>
      <c r="FE46" s="131"/>
      <c r="FF46" s="64"/>
      <c r="FG46" s="50"/>
    </row>
    <row r="47" spans="2:163" ht="12.75" customHeight="1">
      <c r="B47" s="92">
        <v>500</v>
      </c>
      <c r="C47" s="97">
        <v>8</v>
      </c>
      <c r="D47" s="92">
        <v>24</v>
      </c>
      <c r="E47" s="92">
        <v>25</v>
      </c>
      <c r="F47" s="92"/>
      <c r="H47" s="101"/>
      <c r="I47" s="66"/>
      <c r="J47" s="66"/>
      <c r="K47" s="90"/>
      <c r="L47" s="90"/>
      <c r="M47" s="90"/>
      <c r="N47" s="66"/>
      <c r="O47" s="5"/>
      <c r="P47" s="5"/>
      <c r="Q47" s="8" t="s">
        <v>85</v>
      </c>
      <c r="R47" s="6">
        <f>VLOOKUP(F40,$B$42:$F$60,2,FALSE)</f>
        <v>8</v>
      </c>
      <c r="S47" s="155" t="s">
        <v>79</v>
      </c>
      <c r="AA47" s="111" t="s">
        <v>245</v>
      </c>
      <c r="AB47" s="111" t="s">
        <v>311</v>
      </c>
      <c r="AC47" s="111">
        <v>44</v>
      </c>
      <c r="AD47" s="58">
        <v>0.3</v>
      </c>
      <c r="AE47" s="120">
        <v>500</v>
      </c>
      <c r="AF47" s="121">
        <v>300</v>
      </c>
      <c r="AG47" s="121">
        <v>10</v>
      </c>
      <c r="AH47" s="121">
        <v>14</v>
      </c>
      <c r="AI47" s="121">
        <v>472</v>
      </c>
      <c r="AJ47" s="64" t="str" cm="1">
        <f t="array" ref="AJ47">_xll.Dce_Name_SectI(AE47, AE47, AF47, AG47, AH47, "x", "-", "H Tổng")</f>
        <v>500x300x10x14</v>
      </c>
      <c r="AK47" s="122">
        <f t="shared" si="6"/>
        <v>760</v>
      </c>
      <c r="AL47" s="123">
        <f t="shared" si="7"/>
        <v>300</v>
      </c>
      <c r="AM47" s="123">
        <f t="shared" si="8"/>
        <v>25</v>
      </c>
      <c r="AN47" s="123">
        <f t="shared" si="9"/>
        <v>8</v>
      </c>
      <c r="AO47" s="123">
        <f t="shared" si="10"/>
        <v>24</v>
      </c>
      <c r="AP47" s="165" t="str">
        <f t="shared" si="11"/>
        <v>760x300x25 + 8M24</v>
      </c>
      <c r="AQ47" s="111" t="s">
        <v>325</v>
      </c>
      <c r="AR47" s="120">
        <v>0</v>
      </c>
      <c r="AS47" s="120">
        <v>-547.15480081682972</v>
      </c>
      <c r="AT47" s="120">
        <v>-3.0449598398263328E-13</v>
      </c>
      <c r="AU47" s="120">
        <v>-4.5990644977181938E-3</v>
      </c>
      <c r="AV47" s="120">
        <v>-7.450930809227427E-13</v>
      </c>
      <c r="AW47" s="120">
        <v>-1064.2876189087267</v>
      </c>
      <c r="AX47" s="120"/>
      <c r="AY47" s="120"/>
      <c r="AZ47" s="120"/>
      <c r="BA47" s="122">
        <f t="shared" si="12"/>
        <v>60</v>
      </c>
      <c r="BB47" s="122">
        <f t="shared" si="13"/>
        <v>70</v>
      </c>
      <c r="BC47" s="122">
        <f t="shared" si="14"/>
        <v>80</v>
      </c>
      <c r="BD47" s="122">
        <f t="shared" si="15"/>
        <v>150</v>
      </c>
      <c r="BE47" s="122">
        <f>VLOOKUP(AO47,Data!$V$4:$Z$15,3,FALSE)</f>
        <v>452.38934211693021</v>
      </c>
      <c r="BF47" s="122">
        <f>VLOOKUP(AO47,Data!$V$4:$Z$15,4,FALSE)</f>
        <v>353</v>
      </c>
      <c r="BG47" s="163">
        <f t="shared" si="16"/>
        <v>150</v>
      </c>
      <c r="BH47" s="122">
        <f t="shared" si="17"/>
        <v>121.65654188208487</v>
      </c>
      <c r="BI47" s="122">
        <f t="shared" si="18"/>
        <v>243</v>
      </c>
      <c r="BJ47" s="163">
        <f t="shared" si="19"/>
        <v>142.3296</v>
      </c>
      <c r="BK47" s="131">
        <f t="shared" si="20"/>
        <v>68.394350102103715</v>
      </c>
      <c r="BL47" s="134">
        <f t="shared" si="21"/>
        <v>0.94666666666666666</v>
      </c>
      <c r="BM47" s="135">
        <f t="shared" si="22"/>
        <v>0.59386492339049968</v>
      </c>
      <c r="BN47" s="92" t="str">
        <f t="shared" si="23"/>
        <v>OK</v>
      </c>
      <c r="BO47" s="135">
        <f>_xll.DCEBoltDisRS(AN47, AE47, BA47, BB47, BC47, BD47, "h1")</f>
        <v>640</v>
      </c>
      <c r="BP47" s="136">
        <f>_xll.DCEBoltDisRS(AN47, AE47, BA47, BB47, BC47, BD47, "Tong")</f>
        <v>672200</v>
      </c>
      <c r="BQ47" s="137">
        <f t="shared" si="24"/>
        <v>506.65283851650179</v>
      </c>
      <c r="BR47" s="135">
        <f t="shared" si="25"/>
        <v>3.5597151858538334</v>
      </c>
      <c r="BS47" s="64" t="str">
        <f t="shared" si="26"/>
        <v>O/S</v>
      </c>
      <c r="BT47" s="131">
        <f t="shared" si="27"/>
        <v>3.6038357610461058</v>
      </c>
      <c r="BU47" s="92" t="str">
        <f t="shared" si="28"/>
        <v>O/S</v>
      </c>
      <c r="BV47" s="139">
        <f t="shared" si="29"/>
        <v>2189.892219976804</v>
      </c>
      <c r="BW47" s="131">
        <f t="shared" si="30"/>
        <v>41.06047912456507</v>
      </c>
      <c r="BX47" s="139">
        <f t="shared" si="31"/>
        <v>1094.946109988402</v>
      </c>
      <c r="BY47" s="123">
        <f t="shared" si="32"/>
        <v>518.65868367871678</v>
      </c>
      <c r="BZ47" s="141">
        <f t="shared" si="33"/>
        <v>2.5212574901048734</v>
      </c>
      <c r="CA47" s="131">
        <f t="shared" si="34"/>
        <v>57.628742630968517</v>
      </c>
      <c r="CB47" s="143">
        <f t="shared" si="35"/>
        <v>0.4829995191771787</v>
      </c>
      <c r="CC47" s="123">
        <f t="shared" si="36"/>
        <v>528.1761506230838</v>
      </c>
      <c r="CD47" s="131">
        <f t="shared" si="37"/>
        <v>2.2326286560154514</v>
      </c>
      <c r="CE47" s="135">
        <f t="shared" si="38"/>
        <v>2.5212574901048734</v>
      </c>
      <c r="CF47" s="92" t="str">
        <f t="shared" si="39"/>
        <v>O/S</v>
      </c>
      <c r="CG47" s="50"/>
      <c r="DA47" s="111"/>
      <c r="DB47" s="111"/>
      <c r="DC47" s="111"/>
      <c r="DD47" s="116"/>
      <c r="DE47" s="120"/>
      <c r="DF47" s="121"/>
      <c r="DG47" s="121"/>
      <c r="DH47" s="121"/>
      <c r="DI47" s="121"/>
      <c r="DJ47" s="121"/>
      <c r="DK47" s="122"/>
      <c r="DL47" s="123"/>
      <c r="DM47" s="123"/>
      <c r="DN47" s="123"/>
      <c r="DO47" s="123"/>
      <c r="DP47" s="123"/>
      <c r="DQ47" s="111"/>
      <c r="DR47" s="120"/>
      <c r="DS47" s="120"/>
      <c r="DT47" s="120"/>
      <c r="DU47" s="120"/>
      <c r="DV47" s="120"/>
      <c r="DW47" s="120"/>
      <c r="DX47" s="120"/>
      <c r="DY47" s="120"/>
      <c r="DZ47" s="120"/>
      <c r="EA47" s="122"/>
      <c r="EB47" s="122"/>
      <c r="EC47" s="122"/>
      <c r="ED47" s="122"/>
      <c r="EE47" s="122"/>
      <c r="EF47" s="122"/>
      <c r="EG47" s="163"/>
      <c r="EH47" s="122"/>
      <c r="EI47" s="122"/>
      <c r="EJ47" s="163"/>
      <c r="EK47" s="131"/>
      <c r="EL47" s="122"/>
      <c r="EM47" s="131"/>
      <c r="EN47" s="131"/>
      <c r="EO47" s="131"/>
      <c r="EP47" s="131"/>
      <c r="EQ47" s="131"/>
      <c r="ER47" s="131"/>
      <c r="ES47" s="131"/>
      <c r="ET47" s="131"/>
      <c r="EU47" s="131"/>
      <c r="EV47" s="139"/>
      <c r="EW47" s="131"/>
      <c r="EX47" s="139"/>
      <c r="EY47" s="123"/>
      <c r="EZ47" s="141"/>
      <c r="FA47" s="131"/>
      <c r="FB47" s="143"/>
      <c r="FC47" s="123"/>
      <c r="FD47" s="131"/>
      <c r="FE47" s="131"/>
      <c r="FF47" s="64"/>
      <c r="FG47" s="50"/>
    </row>
    <row r="48" spans="2:163" ht="12.75" customHeight="1">
      <c r="B48" s="92">
        <v>550</v>
      </c>
      <c r="C48" s="97">
        <v>8</v>
      </c>
      <c r="D48" s="92">
        <v>24</v>
      </c>
      <c r="E48" s="92">
        <v>25</v>
      </c>
      <c r="F48" s="92"/>
      <c r="H48" s="101"/>
      <c r="I48" s="66"/>
      <c r="J48" s="66"/>
      <c r="K48" s="90"/>
      <c r="L48" s="90"/>
      <c r="M48" s="249"/>
      <c r="N48" s="5"/>
      <c r="O48" s="6"/>
      <c r="P48" s="5"/>
      <c r="Q48" s="8" t="s">
        <v>108</v>
      </c>
      <c r="R48" s="6">
        <f>VLOOKUP(F40,$B$42:$F$60,4,FALSE)</f>
        <v>25</v>
      </c>
      <c r="S48" s="155" t="s">
        <v>4</v>
      </c>
      <c r="AA48" s="111" t="s">
        <v>245</v>
      </c>
      <c r="AB48" s="111" t="s">
        <v>311</v>
      </c>
      <c r="AC48" s="111">
        <v>44</v>
      </c>
      <c r="AD48" s="58">
        <v>3</v>
      </c>
      <c r="AE48" s="120">
        <v>500</v>
      </c>
      <c r="AF48" s="121">
        <v>300</v>
      </c>
      <c r="AG48" s="121">
        <v>10</v>
      </c>
      <c r="AH48" s="121">
        <v>14</v>
      </c>
      <c r="AI48" s="121">
        <v>472</v>
      </c>
      <c r="AJ48" s="64" t="str" cm="1">
        <f t="array" ref="AJ48">_xll.Dce_Name_SectI(AE48, AE48, AF48, AG48, AH48, "x", "-", "H Tổng")</f>
        <v>500x300x10x14</v>
      </c>
      <c r="AK48" s="122">
        <f t="shared" si="6"/>
        <v>760</v>
      </c>
      <c r="AL48" s="123">
        <f t="shared" si="7"/>
        <v>300</v>
      </c>
      <c r="AM48" s="123">
        <f t="shared" si="8"/>
        <v>25</v>
      </c>
      <c r="AN48" s="123">
        <f t="shared" si="9"/>
        <v>8</v>
      </c>
      <c r="AO48" s="123">
        <f t="shared" si="10"/>
        <v>24</v>
      </c>
      <c r="AP48" s="165" t="str">
        <f t="shared" si="11"/>
        <v>760x300x25 + 8M24</v>
      </c>
      <c r="AQ48" s="111" t="s">
        <v>325</v>
      </c>
      <c r="AR48" s="120">
        <v>0</v>
      </c>
      <c r="AS48" s="120">
        <v>-368.65996528932305</v>
      </c>
      <c r="AT48" s="120">
        <v>2.4531345843570306E-13</v>
      </c>
      <c r="AU48" s="120">
        <v>-4.5976806431936102E-3</v>
      </c>
      <c r="AV48" s="120">
        <v>-1.2041732588841111E-13</v>
      </c>
      <c r="AW48" s="120">
        <v>215.8576044063646</v>
      </c>
      <c r="AX48" s="120"/>
      <c r="AY48" s="120"/>
      <c r="AZ48" s="120"/>
      <c r="BA48" s="122">
        <f t="shared" si="12"/>
        <v>60</v>
      </c>
      <c r="BB48" s="122">
        <f t="shared" si="13"/>
        <v>70</v>
      </c>
      <c r="BC48" s="122">
        <f t="shared" si="14"/>
        <v>80</v>
      </c>
      <c r="BD48" s="122">
        <f t="shared" si="15"/>
        <v>150</v>
      </c>
      <c r="BE48" s="122">
        <f>VLOOKUP(AO48,Data!$V$4:$Z$15,3,FALSE)</f>
        <v>452.38934211693021</v>
      </c>
      <c r="BF48" s="122">
        <f>VLOOKUP(AO48,Data!$V$4:$Z$15,4,FALSE)</f>
        <v>353</v>
      </c>
      <c r="BG48" s="163">
        <f t="shared" si="16"/>
        <v>150</v>
      </c>
      <c r="BH48" s="122">
        <f t="shared" si="17"/>
        <v>121.65654188208487</v>
      </c>
      <c r="BI48" s="122">
        <f t="shared" si="18"/>
        <v>243</v>
      </c>
      <c r="BJ48" s="163">
        <f t="shared" si="19"/>
        <v>142.3296</v>
      </c>
      <c r="BK48" s="131">
        <f t="shared" si="20"/>
        <v>46.082495661165382</v>
      </c>
      <c r="BL48" s="134">
        <f t="shared" si="21"/>
        <v>0.94666666666666666</v>
      </c>
      <c r="BM48" s="135">
        <f t="shared" si="22"/>
        <v>0.40013214124567359</v>
      </c>
      <c r="BN48" s="92" t="str">
        <f t="shared" si="23"/>
        <v>OK</v>
      </c>
      <c r="BO48" s="135">
        <f>_xll.DCEBoltDisRS(AN48, AE48, BA48, BB48, BC48, BD48, "h1")</f>
        <v>640</v>
      </c>
      <c r="BP48" s="136">
        <f>_xll.DCEBoltDisRS(AN48, AE48, BA48, BB48, BC48, BD48, "Tong")</f>
        <v>672200</v>
      </c>
      <c r="BQ48" s="137">
        <f t="shared" si="24"/>
        <v>102.75875246955769</v>
      </c>
      <c r="BR48" s="135">
        <f t="shared" si="25"/>
        <v>0.72197738537561895</v>
      </c>
      <c r="BS48" s="64" t="str">
        <f t="shared" si="26"/>
        <v>OK</v>
      </c>
      <c r="BT48" s="131">
        <f t="shared" si="27"/>
        <v>0.81531254297049593</v>
      </c>
      <c r="BU48" s="92" t="str">
        <f t="shared" si="28"/>
        <v>OK</v>
      </c>
      <c r="BV48" s="139">
        <f t="shared" si="29"/>
        <v>444.15144939581194</v>
      </c>
      <c r="BW48" s="131">
        <f t="shared" si="30"/>
        <v>8.3278396761714735</v>
      </c>
      <c r="BX48" s="139">
        <f t="shared" si="31"/>
        <v>222.07572469790597</v>
      </c>
      <c r="BY48" s="123">
        <f t="shared" si="32"/>
        <v>105.19376433058704</v>
      </c>
      <c r="BZ48" s="141">
        <f t="shared" si="33"/>
        <v>0.51135857660702044</v>
      </c>
      <c r="CA48" s="131">
        <f t="shared" si="34"/>
        <v>11.688196036731894</v>
      </c>
      <c r="CB48" s="143">
        <f t="shared" si="35"/>
        <v>9.7961413143107356E-2</v>
      </c>
      <c r="CC48" s="123">
        <f t="shared" si="36"/>
        <v>107.12408615161351</v>
      </c>
      <c r="CD48" s="131">
        <f t="shared" si="37"/>
        <v>0.45281920474715864</v>
      </c>
      <c r="CE48" s="135">
        <f t="shared" si="38"/>
        <v>0.51135857660702044</v>
      </c>
      <c r="CF48" s="92" t="str">
        <f t="shared" si="39"/>
        <v>OK</v>
      </c>
      <c r="CG48" s="50"/>
      <c r="DA48" s="111"/>
      <c r="DB48" s="111"/>
      <c r="DC48" s="111"/>
      <c r="DD48" s="116"/>
      <c r="DE48" s="120"/>
      <c r="DF48" s="121"/>
      <c r="DG48" s="121"/>
      <c r="DH48" s="121"/>
      <c r="DI48" s="121"/>
      <c r="DJ48" s="121"/>
      <c r="DK48" s="122"/>
      <c r="DL48" s="123"/>
      <c r="DM48" s="123"/>
      <c r="DN48" s="123"/>
      <c r="DO48" s="123"/>
      <c r="DP48" s="123"/>
      <c r="DQ48" s="111"/>
      <c r="DR48" s="120"/>
      <c r="DS48" s="120"/>
      <c r="DT48" s="120"/>
      <c r="DU48" s="120"/>
      <c r="DV48" s="120"/>
      <c r="DW48" s="120"/>
      <c r="DX48" s="120"/>
      <c r="DY48" s="120"/>
      <c r="DZ48" s="120"/>
      <c r="EA48" s="122"/>
      <c r="EB48" s="122"/>
      <c r="EC48" s="122"/>
      <c r="ED48" s="122"/>
      <c r="EE48" s="122"/>
      <c r="EF48" s="122"/>
      <c r="EG48" s="163"/>
      <c r="EH48" s="122"/>
      <c r="EI48" s="122"/>
      <c r="EJ48" s="163"/>
      <c r="EK48" s="131"/>
      <c r="EL48" s="122"/>
      <c r="EM48" s="131"/>
      <c r="EN48" s="131"/>
      <c r="EO48" s="131"/>
      <c r="EP48" s="131"/>
      <c r="EQ48" s="131"/>
      <c r="ER48" s="131"/>
      <c r="ES48" s="131"/>
      <c r="ET48" s="131"/>
      <c r="EU48" s="131"/>
      <c r="EV48" s="139"/>
      <c r="EW48" s="131"/>
      <c r="EX48" s="139"/>
      <c r="EY48" s="123"/>
      <c r="EZ48" s="141"/>
      <c r="FA48" s="131"/>
      <c r="FB48" s="143"/>
      <c r="FC48" s="123"/>
      <c r="FD48" s="131"/>
      <c r="FE48" s="131"/>
      <c r="FF48" s="64"/>
      <c r="FG48" s="50"/>
    </row>
    <row r="49" spans="2:163" ht="12.75" customHeight="1">
      <c r="B49" s="92">
        <v>600</v>
      </c>
      <c r="C49" s="97">
        <v>10</v>
      </c>
      <c r="D49" s="92">
        <v>24</v>
      </c>
      <c r="E49" s="92">
        <v>25</v>
      </c>
      <c r="F49" s="92"/>
      <c r="H49" s="101"/>
      <c r="I49" s="66"/>
      <c r="J49" s="289"/>
      <c r="K49" s="249"/>
      <c r="L49" s="90"/>
      <c r="M49" s="90"/>
      <c r="N49" s="5"/>
      <c r="O49" s="6"/>
      <c r="P49" s="5"/>
      <c r="Q49" s="8" t="s">
        <v>107</v>
      </c>
      <c r="R49" s="16">
        <f>R42+2*(O53+P53)</f>
        <v>760</v>
      </c>
      <c r="S49" s="155" t="s">
        <v>4</v>
      </c>
      <c r="AA49" s="111" t="s">
        <v>245</v>
      </c>
      <c r="AB49" s="111" t="s">
        <v>311</v>
      </c>
      <c r="AC49" s="111">
        <v>44</v>
      </c>
      <c r="AD49" s="58">
        <v>0.3</v>
      </c>
      <c r="AE49" s="120">
        <v>500</v>
      </c>
      <c r="AF49" s="121">
        <v>300</v>
      </c>
      <c r="AG49" s="121">
        <v>10</v>
      </c>
      <c r="AH49" s="121">
        <v>14</v>
      </c>
      <c r="AI49" s="121">
        <v>472</v>
      </c>
      <c r="AJ49" s="64" t="str" cm="1">
        <f t="array" ref="AJ49">_xll.Dce_Name_SectI(AE49, AE49, AF49, AG49, AH49, "x", "-", "H Tổng")</f>
        <v>500x300x10x14</v>
      </c>
      <c r="AK49" s="122">
        <f t="shared" si="6"/>
        <v>760</v>
      </c>
      <c r="AL49" s="123">
        <f t="shared" si="7"/>
        <v>300</v>
      </c>
      <c r="AM49" s="123">
        <f t="shared" si="8"/>
        <v>25</v>
      </c>
      <c r="AN49" s="123">
        <f t="shared" si="9"/>
        <v>8</v>
      </c>
      <c r="AO49" s="123">
        <f t="shared" si="10"/>
        <v>24</v>
      </c>
      <c r="AP49" s="165" t="str">
        <f t="shared" si="11"/>
        <v>760x300x25 + 8M24</v>
      </c>
      <c r="AQ49" s="111" t="s">
        <v>326</v>
      </c>
      <c r="AR49" s="120">
        <v>0</v>
      </c>
      <c r="AS49" s="120">
        <v>-544.1677701454812</v>
      </c>
      <c r="AT49" s="120">
        <v>-3.3359981443936696E-13</v>
      </c>
      <c r="AU49" s="120">
        <v>-4.7585072152429774E-3</v>
      </c>
      <c r="AV49" s="120">
        <v>-7.3665297009028997E-13</v>
      </c>
      <c r="AW49" s="120">
        <v>-1052.4416178652293</v>
      </c>
      <c r="AX49" s="120"/>
      <c r="AY49" s="120"/>
      <c r="AZ49" s="120"/>
      <c r="BA49" s="122">
        <f t="shared" si="12"/>
        <v>60</v>
      </c>
      <c r="BB49" s="122">
        <f t="shared" si="13"/>
        <v>70</v>
      </c>
      <c r="BC49" s="122">
        <f t="shared" si="14"/>
        <v>80</v>
      </c>
      <c r="BD49" s="122">
        <f t="shared" si="15"/>
        <v>150</v>
      </c>
      <c r="BE49" s="122">
        <f>VLOOKUP(AO49,Data!$V$4:$Z$15,3,FALSE)</f>
        <v>452.38934211693021</v>
      </c>
      <c r="BF49" s="122">
        <f>VLOOKUP(AO49,Data!$V$4:$Z$15,4,FALSE)</f>
        <v>353</v>
      </c>
      <c r="BG49" s="163">
        <f t="shared" si="16"/>
        <v>150</v>
      </c>
      <c r="BH49" s="122">
        <f t="shared" si="17"/>
        <v>121.65654188208487</v>
      </c>
      <c r="BI49" s="122">
        <f t="shared" si="18"/>
        <v>243</v>
      </c>
      <c r="BJ49" s="163">
        <f t="shared" si="19"/>
        <v>142.3296</v>
      </c>
      <c r="BK49" s="131">
        <f t="shared" si="20"/>
        <v>68.02097126818515</v>
      </c>
      <c r="BL49" s="134">
        <f t="shared" si="21"/>
        <v>0.94666666666666666</v>
      </c>
      <c r="BM49" s="135">
        <f t="shared" si="22"/>
        <v>0.59062289254629019</v>
      </c>
      <c r="BN49" s="92" t="str">
        <f t="shared" si="23"/>
        <v>OK</v>
      </c>
      <c r="BO49" s="135">
        <f>_xll.DCEBoltDisRS(AN49, AE49, BA49, BB49, BC49, BD49, "h1")</f>
        <v>640</v>
      </c>
      <c r="BP49" s="136">
        <f>_xll.DCEBoltDisRS(AN49, AE49, BA49, BB49, BC49, BD49, "Tong")</f>
        <v>672200</v>
      </c>
      <c r="BQ49" s="137">
        <f t="shared" si="24"/>
        <v>501.01356399415852</v>
      </c>
      <c r="BR49" s="135">
        <f t="shared" si="25"/>
        <v>3.5200939509009967</v>
      </c>
      <c r="BS49" s="64" t="str">
        <f t="shared" si="26"/>
        <v>O/S</v>
      </c>
      <c r="BT49" s="131">
        <f t="shared" si="27"/>
        <v>3.5642222093785341</v>
      </c>
      <c r="BU49" s="92" t="str">
        <f t="shared" si="28"/>
        <v>O/S</v>
      </c>
      <c r="BV49" s="139">
        <f t="shared" si="29"/>
        <v>2165.5177322329823</v>
      </c>
      <c r="BW49" s="131">
        <f t="shared" si="30"/>
        <v>40.603457479368416</v>
      </c>
      <c r="BX49" s="139">
        <f t="shared" si="31"/>
        <v>1082.7588661164912</v>
      </c>
      <c r="BY49" s="123">
        <f t="shared" si="32"/>
        <v>512.88577868675895</v>
      </c>
      <c r="BZ49" s="141">
        <f t="shared" si="33"/>
        <v>2.4931947575050786</v>
      </c>
      <c r="CA49" s="131">
        <f t="shared" si="34"/>
        <v>56.987308742973219</v>
      </c>
      <c r="CB49" s="143">
        <f t="shared" si="35"/>
        <v>0.47762351676342502</v>
      </c>
      <c r="CC49" s="123">
        <f t="shared" si="36"/>
        <v>522.2973119329871</v>
      </c>
      <c r="CD49" s="131">
        <f t="shared" si="37"/>
        <v>2.2077784924703567</v>
      </c>
      <c r="CE49" s="135">
        <f t="shared" si="38"/>
        <v>2.4931947575050786</v>
      </c>
      <c r="CF49" s="92" t="str">
        <f t="shared" si="39"/>
        <v>O/S</v>
      </c>
      <c r="CG49" s="50"/>
      <c r="DA49" s="111"/>
      <c r="DB49" s="111"/>
      <c r="DC49" s="111"/>
      <c r="DD49" s="116"/>
      <c r="DE49" s="120"/>
      <c r="DF49" s="121"/>
      <c r="DG49" s="121"/>
      <c r="DH49" s="121"/>
      <c r="DI49" s="121"/>
      <c r="DJ49" s="121"/>
      <c r="DK49" s="122"/>
      <c r="DL49" s="123"/>
      <c r="DM49" s="123"/>
      <c r="DN49" s="123"/>
      <c r="DO49" s="123"/>
      <c r="DP49" s="123"/>
      <c r="DQ49" s="111"/>
      <c r="DR49" s="120"/>
      <c r="DS49" s="120"/>
      <c r="DT49" s="120"/>
      <c r="DU49" s="120"/>
      <c r="DV49" s="120"/>
      <c r="DW49" s="120"/>
      <c r="DX49" s="120"/>
      <c r="DY49" s="120"/>
      <c r="DZ49" s="120"/>
      <c r="EA49" s="122"/>
      <c r="EB49" s="122"/>
      <c r="EC49" s="122"/>
      <c r="ED49" s="122"/>
      <c r="EE49" s="122"/>
      <c r="EF49" s="122"/>
      <c r="EG49" s="163"/>
      <c r="EH49" s="122"/>
      <c r="EI49" s="122"/>
      <c r="EJ49" s="163"/>
      <c r="EK49" s="131"/>
      <c r="EL49" s="122"/>
      <c r="EM49" s="131"/>
      <c r="EN49" s="131"/>
      <c r="EO49" s="131"/>
      <c r="EP49" s="131"/>
      <c r="EQ49" s="131"/>
      <c r="ER49" s="131"/>
      <c r="ES49" s="131"/>
      <c r="ET49" s="131"/>
      <c r="EU49" s="131"/>
      <c r="EV49" s="139"/>
      <c r="EW49" s="131"/>
      <c r="EX49" s="139"/>
      <c r="EY49" s="123"/>
      <c r="EZ49" s="141"/>
      <c r="FA49" s="131"/>
      <c r="FB49" s="143"/>
      <c r="FC49" s="123"/>
      <c r="FD49" s="131"/>
      <c r="FE49" s="131"/>
      <c r="FF49" s="64"/>
      <c r="FG49" s="50"/>
    </row>
    <row r="50" spans="2:163" ht="12.75" customHeight="1">
      <c r="B50" s="92">
        <v>700</v>
      </c>
      <c r="C50" s="97">
        <v>12</v>
      </c>
      <c r="D50" s="92">
        <v>24</v>
      </c>
      <c r="E50" s="92">
        <v>25</v>
      </c>
      <c r="F50" s="92"/>
      <c r="H50" s="101"/>
      <c r="I50" s="66"/>
      <c r="J50" s="66"/>
      <c r="K50" s="249"/>
      <c r="L50" s="90"/>
      <c r="M50" s="66"/>
      <c r="N50" s="8"/>
      <c r="O50" s="6"/>
      <c r="P50" s="5"/>
      <c r="Q50" s="8" t="s">
        <v>109</v>
      </c>
      <c r="R50" s="6">
        <f>IFERROR(INDEX($B$24:$B$31,IFERROR(MATCH(R43,$B$24:$B$31,0),MATCH(R43,$B$24:$B$31,1)+1)),$B$24)</f>
        <v>300</v>
      </c>
      <c r="S50" s="155" t="s">
        <v>4</v>
      </c>
      <c r="AA50" s="111" t="s">
        <v>245</v>
      </c>
      <c r="AB50" s="111" t="s">
        <v>311</v>
      </c>
      <c r="AC50" s="111">
        <v>44</v>
      </c>
      <c r="AD50" s="58">
        <v>3</v>
      </c>
      <c r="AE50" s="120">
        <v>500</v>
      </c>
      <c r="AF50" s="121">
        <v>300</v>
      </c>
      <c r="AG50" s="121">
        <v>10</v>
      </c>
      <c r="AH50" s="121">
        <v>14</v>
      </c>
      <c r="AI50" s="121">
        <v>472</v>
      </c>
      <c r="AJ50" s="64" t="str" cm="1">
        <f t="array" ref="AJ50">_xll.Dce_Name_SectI(AE50, AE50, AF50, AG50, AH50, "x", "-", "H Tổng")</f>
        <v>500x300x10x14</v>
      </c>
      <c r="AK50" s="122">
        <f t="shared" si="6"/>
        <v>760</v>
      </c>
      <c r="AL50" s="123">
        <f t="shared" si="7"/>
        <v>300</v>
      </c>
      <c r="AM50" s="123">
        <f t="shared" si="8"/>
        <v>25</v>
      </c>
      <c r="AN50" s="123">
        <f t="shared" si="9"/>
        <v>8</v>
      </c>
      <c r="AO50" s="123">
        <f t="shared" si="10"/>
        <v>24</v>
      </c>
      <c r="AP50" s="165" t="str">
        <f t="shared" si="11"/>
        <v>760x300x25 + 8M24</v>
      </c>
      <c r="AQ50" s="111" t="s">
        <v>326</v>
      </c>
      <c r="AR50" s="120">
        <v>0</v>
      </c>
      <c r="AS50" s="120">
        <v>-365.67293659626654</v>
      </c>
      <c r="AT50" s="120">
        <v>-4.5317847252590569E-13</v>
      </c>
      <c r="AU50" s="120">
        <v>-4.757077233595813E-3</v>
      </c>
      <c r="AV50" s="120">
        <v>4.0252029975817993E-13</v>
      </c>
      <c r="AW50" s="120">
        <v>219.63879380815175</v>
      </c>
      <c r="AX50" s="120"/>
      <c r="AY50" s="120"/>
      <c r="AZ50" s="120"/>
      <c r="BA50" s="122">
        <f t="shared" si="12"/>
        <v>60</v>
      </c>
      <c r="BB50" s="122">
        <f t="shared" si="13"/>
        <v>70</v>
      </c>
      <c r="BC50" s="122">
        <f t="shared" si="14"/>
        <v>80</v>
      </c>
      <c r="BD50" s="122">
        <f t="shared" si="15"/>
        <v>150</v>
      </c>
      <c r="BE50" s="122">
        <f>VLOOKUP(AO50,Data!$V$4:$Z$15,3,FALSE)</f>
        <v>452.38934211693021</v>
      </c>
      <c r="BF50" s="122">
        <f>VLOOKUP(AO50,Data!$V$4:$Z$15,4,FALSE)</f>
        <v>353</v>
      </c>
      <c r="BG50" s="163">
        <f t="shared" si="16"/>
        <v>150</v>
      </c>
      <c r="BH50" s="122">
        <f t="shared" si="17"/>
        <v>121.65654188208487</v>
      </c>
      <c r="BI50" s="122">
        <f t="shared" si="18"/>
        <v>243</v>
      </c>
      <c r="BJ50" s="163">
        <f t="shared" si="19"/>
        <v>142.3296</v>
      </c>
      <c r="BK50" s="131">
        <f t="shared" si="20"/>
        <v>45.709117074533317</v>
      </c>
      <c r="BL50" s="134">
        <f t="shared" si="21"/>
        <v>0.94666666666666666</v>
      </c>
      <c r="BM50" s="135">
        <f t="shared" si="22"/>
        <v>0.39689011254864115</v>
      </c>
      <c r="BN50" s="92" t="str">
        <f t="shared" si="23"/>
        <v>OK</v>
      </c>
      <c r="BO50" s="135">
        <f>_xll.DCEBoltDisRS(AN50, AE50, BA50, BB50, BC50, BD50, "h1")</f>
        <v>640</v>
      </c>
      <c r="BP50" s="136">
        <f>_xll.DCEBoltDisRS(AN50, AE50, BA50, BB50, BC50, BD50, "Tong")</f>
        <v>672200</v>
      </c>
      <c r="BQ50" s="137">
        <f t="shared" si="24"/>
        <v>104.55878312795085</v>
      </c>
      <c r="BR50" s="135">
        <f t="shared" si="25"/>
        <v>0.73462430252000177</v>
      </c>
      <c r="BS50" s="64" t="str">
        <f t="shared" si="26"/>
        <v>OK</v>
      </c>
      <c r="BT50" s="131">
        <f t="shared" si="27"/>
        <v>0.82513051571913743</v>
      </c>
      <c r="BU50" s="92" t="str">
        <f t="shared" si="28"/>
        <v>OK</v>
      </c>
      <c r="BV50" s="139">
        <f t="shared" si="29"/>
        <v>451.93167450236984</v>
      </c>
      <c r="BW50" s="131">
        <f t="shared" si="30"/>
        <v>8.4737188969194346</v>
      </c>
      <c r="BX50" s="139">
        <f t="shared" si="31"/>
        <v>225.96583725118492</v>
      </c>
      <c r="BY50" s="123">
        <f t="shared" si="32"/>
        <v>107.03644922424549</v>
      </c>
      <c r="BZ50" s="141">
        <f t="shared" si="33"/>
        <v>0.52031607261786006</v>
      </c>
      <c r="CA50" s="131">
        <f t="shared" si="34"/>
        <v>11.892938802693942</v>
      </c>
      <c r="CB50" s="143">
        <f t="shared" si="35"/>
        <v>9.9677408547482763E-2</v>
      </c>
      <c r="CC50" s="123">
        <f t="shared" si="36"/>
        <v>109.00058459764495</v>
      </c>
      <c r="CD50" s="131">
        <f t="shared" si="37"/>
        <v>0.46075126339584227</v>
      </c>
      <c r="CE50" s="135">
        <f t="shared" si="38"/>
        <v>0.52031607261786006</v>
      </c>
      <c r="CF50" s="92" t="str">
        <f t="shared" si="39"/>
        <v>OK</v>
      </c>
      <c r="CG50" s="50"/>
      <c r="DA50" s="111"/>
      <c r="DB50" s="111"/>
      <c r="DC50" s="111"/>
      <c r="DD50" s="116"/>
      <c r="DE50" s="120"/>
      <c r="DF50" s="121"/>
      <c r="DG50" s="121"/>
      <c r="DH50" s="121"/>
      <c r="DI50" s="121"/>
      <c r="DJ50" s="121"/>
      <c r="DK50" s="122"/>
      <c r="DL50" s="123"/>
      <c r="DM50" s="123"/>
      <c r="DN50" s="123"/>
      <c r="DO50" s="123"/>
      <c r="DP50" s="123"/>
      <c r="DQ50" s="111"/>
      <c r="DR50" s="120"/>
      <c r="DS50" s="120"/>
      <c r="DT50" s="120"/>
      <c r="DU50" s="120"/>
      <c r="DV50" s="120"/>
      <c r="DW50" s="120"/>
      <c r="DX50" s="120"/>
      <c r="DY50" s="120"/>
      <c r="DZ50" s="120"/>
      <c r="EA50" s="122"/>
      <c r="EB50" s="122"/>
      <c r="EC50" s="122"/>
      <c r="ED50" s="122"/>
      <c r="EE50" s="122"/>
      <c r="EF50" s="122"/>
      <c r="EG50" s="163"/>
      <c r="EH50" s="122"/>
      <c r="EI50" s="122"/>
      <c r="EJ50" s="163"/>
      <c r="EK50" s="131"/>
      <c r="EL50" s="122"/>
      <c r="EM50" s="131"/>
      <c r="EN50" s="131"/>
      <c r="EO50" s="131"/>
      <c r="EP50" s="131"/>
      <c r="EQ50" s="131"/>
      <c r="ER50" s="131"/>
      <c r="ES50" s="131"/>
      <c r="ET50" s="131"/>
      <c r="EU50" s="131"/>
      <c r="EV50" s="139"/>
      <c r="EW50" s="131"/>
      <c r="EX50" s="139"/>
      <c r="EY50" s="123"/>
      <c r="EZ50" s="141"/>
      <c r="FA50" s="131"/>
      <c r="FB50" s="143"/>
      <c r="FC50" s="123"/>
      <c r="FD50" s="131"/>
      <c r="FE50" s="131"/>
      <c r="FF50" s="64"/>
      <c r="FG50" s="50"/>
    </row>
    <row r="51" spans="2:163" ht="12.75" customHeight="1">
      <c r="B51" s="92">
        <v>800</v>
      </c>
      <c r="C51" s="97">
        <v>12</v>
      </c>
      <c r="D51" s="92">
        <v>24</v>
      </c>
      <c r="E51" s="92">
        <v>25</v>
      </c>
      <c r="F51" s="92"/>
      <c r="H51" s="101"/>
      <c r="I51" s="66"/>
      <c r="J51" s="66"/>
      <c r="K51" s="249"/>
      <c r="L51" s="90"/>
      <c r="M51" s="66"/>
      <c r="N51" s="8"/>
      <c r="O51" s="6"/>
      <c r="P51" s="5"/>
      <c r="Q51" s="8" t="s">
        <v>86</v>
      </c>
      <c r="R51" s="6">
        <f>VLOOKUP(R50,$B$24:$C$31,2,FALSE)</f>
        <v>150</v>
      </c>
      <c r="S51" s="155" t="s">
        <v>4</v>
      </c>
      <c r="AA51" s="111" t="s">
        <v>245</v>
      </c>
      <c r="AB51" s="111" t="s">
        <v>311</v>
      </c>
      <c r="AC51" s="111">
        <v>44</v>
      </c>
      <c r="AD51" s="58">
        <v>0.3</v>
      </c>
      <c r="AE51" s="120">
        <v>500</v>
      </c>
      <c r="AF51" s="121">
        <v>300</v>
      </c>
      <c r="AG51" s="121">
        <v>10</v>
      </c>
      <c r="AH51" s="121">
        <v>14</v>
      </c>
      <c r="AI51" s="121">
        <v>472</v>
      </c>
      <c r="AJ51" s="64" t="str" cm="1">
        <f t="array" ref="AJ51">_xll.Dce_Name_SectI(AE51, AE51, AF51, AG51, AH51, "x", "-", "H Tổng")</f>
        <v>500x300x10x14</v>
      </c>
      <c r="AK51" s="122">
        <f t="shared" si="6"/>
        <v>760</v>
      </c>
      <c r="AL51" s="123">
        <f t="shared" si="7"/>
        <v>300</v>
      </c>
      <c r="AM51" s="123">
        <f t="shared" si="8"/>
        <v>25</v>
      </c>
      <c r="AN51" s="123">
        <f t="shared" si="9"/>
        <v>8</v>
      </c>
      <c r="AO51" s="123">
        <f t="shared" si="10"/>
        <v>24</v>
      </c>
      <c r="AP51" s="165" t="str">
        <f t="shared" si="11"/>
        <v>760x300x25 + 8M24</v>
      </c>
      <c r="AQ51" s="111" t="s">
        <v>327</v>
      </c>
      <c r="AR51" s="120">
        <v>0</v>
      </c>
      <c r="AS51" s="120">
        <v>-543.14547144012283</v>
      </c>
      <c r="AT51" s="120">
        <v>-3.3359981443936696E-13</v>
      </c>
      <c r="AU51" s="120">
        <v>-4.7536854583872124E-3</v>
      </c>
      <c r="AV51" s="120">
        <v>-7.3665297009028997E-13</v>
      </c>
      <c r="AW51" s="120">
        <v>-1040.3449528949732</v>
      </c>
      <c r="AX51" s="120"/>
      <c r="AY51" s="120"/>
      <c r="AZ51" s="120"/>
      <c r="BA51" s="122">
        <f t="shared" si="12"/>
        <v>60</v>
      </c>
      <c r="BB51" s="122">
        <f t="shared" si="13"/>
        <v>70</v>
      </c>
      <c r="BC51" s="122">
        <f t="shared" si="14"/>
        <v>80</v>
      </c>
      <c r="BD51" s="122">
        <f t="shared" si="15"/>
        <v>150</v>
      </c>
      <c r="BE51" s="122">
        <f>VLOOKUP(AO51,Data!$V$4:$Z$15,3,FALSE)</f>
        <v>452.38934211693021</v>
      </c>
      <c r="BF51" s="122">
        <f>VLOOKUP(AO51,Data!$V$4:$Z$15,4,FALSE)</f>
        <v>353</v>
      </c>
      <c r="BG51" s="163">
        <f t="shared" si="16"/>
        <v>150</v>
      </c>
      <c r="BH51" s="122">
        <f t="shared" si="17"/>
        <v>121.65654188208487</v>
      </c>
      <c r="BI51" s="122">
        <f t="shared" si="18"/>
        <v>243</v>
      </c>
      <c r="BJ51" s="163">
        <f t="shared" si="19"/>
        <v>142.3296</v>
      </c>
      <c r="BK51" s="131">
        <f t="shared" si="20"/>
        <v>67.893183930015354</v>
      </c>
      <c r="BL51" s="134">
        <f t="shared" si="21"/>
        <v>0.94666666666666666</v>
      </c>
      <c r="BM51" s="135">
        <f t="shared" si="22"/>
        <v>0.58951332110246202</v>
      </c>
      <c r="BN51" s="92" t="str">
        <f t="shared" si="23"/>
        <v>OK</v>
      </c>
      <c r="BO51" s="135">
        <f>_xll.DCEBoltDisRS(AN51, AE51, BA51, BB51, BC51, BD51, "h1")</f>
        <v>640</v>
      </c>
      <c r="BP51" s="136">
        <f>_xll.DCEBoltDisRS(AN51, AE51, BA51, BB51, BC51, BD51, "Tong")</f>
        <v>672200</v>
      </c>
      <c r="BQ51" s="137">
        <f t="shared" si="24"/>
        <v>495.25496121153145</v>
      </c>
      <c r="BR51" s="135">
        <f t="shared" si="25"/>
        <v>3.4796343221053911</v>
      </c>
      <c r="BS51" s="64" t="str">
        <f t="shared" si="26"/>
        <v>O/S</v>
      </c>
      <c r="BT51" s="131">
        <f t="shared" si="27"/>
        <v>3.5241027303874781</v>
      </c>
      <c r="BU51" s="92" t="str">
        <f t="shared" si="28"/>
        <v>O/S</v>
      </c>
      <c r="BV51" s="139">
        <f t="shared" si="29"/>
        <v>2140.6274750925377</v>
      </c>
      <c r="BW51" s="131">
        <f t="shared" si="30"/>
        <v>40.136765157985081</v>
      </c>
      <c r="BX51" s="139">
        <f t="shared" si="31"/>
        <v>1070.3137375462688</v>
      </c>
      <c r="BY51" s="123">
        <f t="shared" si="32"/>
        <v>506.99071778507471</v>
      </c>
      <c r="BZ51" s="141">
        <f t="shared" si="33"/>
        <v>2.4645382114552246</v>
      </c>
      <c r="CA51" s="131">
        <f t="shared" si="34"/>
        <v>56.33230197611941</v>
      </c>
      <c r="CB51" s="143">
        <f t="shared" si="35"/>
        <v>0.47213375698375948</v>
      </c>
      <c r="CC51" s="123">
        <f t="shared" si="36"/>
        <v>516.29407575335529</v>
      </c>
      <c r="CD51" s="131">
        <f t="shared" si="37"/>
        <v>2.1824024941265021</v>
      </c>
      <c r="CE51" s="135">
        <f t="shared" si="38"/>
        <v>2.4645382114552246</v>
      </c>
      <c r="CF51" s="92" t="str">
        <f t="shared" si="39"/>
        <v>O/S</v>
      </c>
      <c r="CG51" s="50"/>
      <c r="DA51" s="111"/>
      <c r="DB51" s="111"/>
      <c r="DC51" s="111"/>
      <c r="DD51" s="116"/>
      <c r="DE51" s="120"/>
      <c r="DF51" s="121"/>
      <c r="DG51" s="121"/>
      <c r="DH51" s="121"/>
      <c r="DI51" s="121"/>
      <c r="DJ51" s="121"/>
      <c r="DK51" s="122"/>
      <c r="DL51" s="123"/>
      <c r="DM51" s="123"/>
      <c r="DN51" s="123"/>
      <c r="DO51" s="123"/>
      <c r="DP51" s="123"/>
      <c r="DQ51" s="111"/>
      <c r="DR51" s="120"/>
      <c r="DS51" s="120"/>
      <c r="DT51" s="120"/>
      <c r="DU51" s="120"/>
      <c r="DV51" s="120"/>
      <c r="DW51" s="120"/>
      <c r="DX51" s="120"/>
      <c r="DY51" s="120"/>
      <c r="DZ51" s="120"/>
      <c r="EA51" s="122"/>
      <c r="EB51" s="122"/>
      <c r="EC51" s="122"/>
      <c r="ED51" s="122"/>
      <c r="EE51" s="122"/>
      <c r="EF51" s="122"/>
      <c r="EG51" s="163"/>
      <c r="EH51" s="122"/>
      <c r="EI51" s="122"/>
      <c r="EJ51" s="163"/>
      <c r="EK51" s="131"/>
      <c r="EL51" s="122"/>
      <c r="EM51" s="131"/>
      <c r="EN51" s="131"/>
      <c r="EO51" s="131"/>
      <c r="EP51" s="131"/>
      <c r="EQ51" s="131"/>
      <c r="ER51" s="131"/>
      <c r="ES51" s="131"/>
      <c r="ET51" s="131"/>
      <c r="EU51" s="131"/>
      <c r="EV51" s="139"/>
      <c r="EW51" s="131"/>
      <c r="EX51" s="139"/>
      <c r="EY51" s="123"/>
      <c r="EZ51" s="141"/>
      <c r="FA51" s="131"/>
      <c r="FB51" s="143"/>
      <c r="FC51" s="123"/>
      <c r="FD51" s="131"/>
      <c r="FE51" s="131"/>
      <c r="FF51" s="64"/>
      <c r="FG51" s="50"/>
    </row>
    <row r="52" spans="2:163" ht="12.75" customHeight="1">
      <c r="B52" s="92">
        <v>900</v>
      </c>
      <c r="C52" s="97">
        <v>12</v>
      </c>
      <c r="D52" s="92">
        <v>24</v>
      </c>
      <c r="E52" s="92">
        <v>25</v>
      </c>
      <c r="F52" s="92"/>
      <c r="H52" s="101"/>
      <c r="I52" s="66"/>
      <c r="J52" s="66"/>
      <c r="K52" s="249"/>
      <c r="L52" s="357" t="s">
        <v>114</v>
      </c>
      <c r="M52" s="358"/>
      <c r="N52" s="358"/>
      <c r="O52" s="262" t="s">
        <v>80</v>
      </c>
      <c r="P52" s="237" t="s">
        <v>28</v>
      </c>
      <c r="Q52" s="237" t="s">
        <v>81</v>
      </c>
      <c r="R52" s="237" t="s">
        <v>82</v>
      </c>
      <c r="S52" s="238" t="s">
        <v>84</v>
      </c>
      <c r="AA52" s="111" t="s">
        <v>245</v>
      </c>
      <c r="AB52" s="111" t="s">
        <v>311</v>
      </c>
      <c r="AC52" s="111">
        <v>44</v>
      </c>
      <c r="AD52" s="58">
        <v>3</v>
      </c>
      <c r="AE52" s="120">
        <v>500</v>
      </c>
      <c r="AF52" s="121">
        <v>300</v>
      </c>
      <c r="AG52" s="121">
        <v>10</v>
      </c>
      <c r="AH52" s="121">
        <v>14</v>
      </c>
      <c r="AI52" s="121">
        <v>472</v>
      </c>
      <c r="AJ52" s="64" t="str" cm="1">
        <f t="array" ref="AJ52">_xll.Dce_Name_SectI(AE52, AE52, AF52, AG52, AH52, "x", "-", "H Tổng")</f>
        <v>500x300x10x14</v>
      </c>
      <c r="AK52" s="122">
        <f t="shared" si="6"/>
        <v>760</v>
      </c>
      <c r="AL52" s="123">
        <f t="shared" si="7"/>
        <v>300</v>
      </c>
      <c r="AM52" s="123">
        <f t="shared" si="8"/>
        <v>25</v>
      </c>
      <c r="AN52" s="123">
        <f t="shared" si="9"/>
        <v>8</v>
      </c>
      <c r="AO52" s="123">
        <f t="shared" si="10"/>
        <v>24</v>
      </c>
      <c r="AP52" s="165" t="str">
        <f t="shared" si="11"/>
        <v>760x300x25 + 8M24</v>
      </c>
      <c r="AQ52" s="111" t="s">
        <v>327</v>
      </c>
      <c r="AR52" s="120">
        <v>0</v>
      </c>
      <c r="AS52" s="120">
        <v>-364.65063662481401</v>
      </c>
      <c r="AT52" s="120">
        <v>-3.3676315069897092E-13</v>
      </c>
      <c r="AU52" s="120">
        <v>-4.7522565545781263E-3</v>
      </c>
      <c r="AV52" s="120">
        <v>2.7562759896682101E-13</v>
      </c>
      <c r="AW52" s="120">
        <v>228.97517624734365</v>
      </c>
      <c r="AX52" s="120"/>
      <c r="AY52" s="120"/>
      <c r="AZ52" s="120"/>
      <c r="BA52" s="122">
        <f t="shared" si="12"/>
        <v>60</v>
      </c>
      <c r="BB52" s="122">
        <f t="shared" si="13"/>
        <v>70</v>
      </c>
      <c r="BC52" s="122">
        <f t="shared" si="14"/>
        <v>80</v>
      </c>
      <c r="BD52" s="122">
        <f t="shared" si="15"/>
        <v>150</v>
      </c>
      <c r="BE52" s="122">
        <f>VLOOKUP(AO52,Data!$V$4:$Z$15,3,FALSE)</f>
        <v>452.38934211693021</v>
      </c>
      <c r="BF52" s="122">
        <f>VLOOKUP(AO52,Data!$V$4:$Z$15,4,FALSE)</f>
        <v>353</v>
      </c>
      <c r="BG52" s="163">
        <f t="shared" si="16"/>
        <v>150</v>
      </c>
      <c r="BH52" s="122">
        <f t="shared" si="17"/>
        <v>121.65654188208487</v>
      </c>
      <c r="BI52" s="122">
        <f t="shared" si="18"/>
        <v>243</v>
      </c>
      <c r="BJ52" s="163">
        <f t="shared" si="19"/>
        <v>142.3296</v>
      </c>
      <c r="BK52" s="131">
        <f t="shared" si="20"/>
        <v>45.581329578101752</v>
      </c>
      <c r="BL52" s="134">
        <f t="shared" si="21"/>
        <v>0.94666666666666666</v>
      </c>
      <c r="BM52" s="135">
        <f t="shared" si="22"/>
        <v>0.39578053973063343</v>
      </c>
      <c r="BN52" s="92" t="str">
        <f t="shared" si="23"/>
        <v>OK</v>
      </c>
      <c r="BO52" s="135">
        <f>_xll.DCEBoltDisRS(AN52, AE52, BA52, BB52, BC52, BD52, "h1")</f>
        <v>640</v>
      </c>
      <c r="BP52" s="136">
        <f>_xll.DCEBoltDisRS(AN52, AE52, BA52, BB52, BC52, BD52, "Tong")</f>
        <v>672200</v>
      </c>
      <c r="BQ52" s="137">
        <f t="shared" si="24"/>
        <v>109.0033567378012</v>
      </c>
      <c r="BR52" s="135">
        <f t="shared" si="25"/>
        <v>0.76585163407893508</v>
      </c>
      <c r="BS52" s="64" t="str">
        <f t="shared" si="26"/>
        <v>OK</v>
      </c>
      <c r="BT52" s="131">
        <f t="shared" si="27"/>
        <v>0.8525890077017988</v>
      </c>
      <c r="BU52" s="92" t="str">
        <f t="shared" si="28"/>
        <v>OK</v>
      </c>
      <c r="BV52" s="139">
        <f t="shared" si="29"/>
        <v>471.14233795749726</v>
      </c>
      <c r="BW52" s="131">
        <f t="shared" si="30"/>
        <v>8.8339188367030737</v>
      </c>
      <c r="BX52" s="139">
        <f t="shared" si="31"/>
        <v>235.57116897874863</v>
      </c>
      <c r="BY52" s="123">
        <f t="shared" si="32"/>
        <v>111.58634320045988</v>
      </c>
      <c r="BZ52" s="141">
        <f t="shared" si="33"/>
        <v>0.54243361278001334</v>
      </c>
      <c r="CA52" s="131">
        <f t="shared" si="34"/>
        <v>12.398482577828876</v>
      </c>
      <c r="CB52" s="143">
        <f t="shared" si="35"/>
        <v>0.10391448520689911</v>
      </c>
      <c r="CC52" s="123">
        <f t="shared" si="36"/>
        <v>113.63396983098407</v>
      </c>
      <c r="CD52" s="131">
        <f t="shared" si="37"/>
        <v>0.48033682899570573</v>
      </c>
      <c r="CE52" s="135">
        <f t="shared" si="38"/>
        <v>0.54243361278001334</v>
      </c>
      <c r="CF52" s="92" t="str">
        <f t="shared" si="39"/>
        <v>OK</v>
      </c>
      <c r="CG52" s="50"/>
      <c r="DA52" s="111"/>
      <c r="DB52" s="111"/>
      <c r="DC52" s="111"/>
      <c r="DD52" s="116"/>
      <c r="DE52" s="120"/>
      <c r="DF52" s="121"/>
      <c r="DG52" s="121"/>
      <c r="DH52" s="121"/>
      <c r="DI52" s="121"/>
      <c r="DJ52" s="121"/>
      <c r="DK52" s="122"/>
      <c r="DL52" s="123"/>
      <c r="DM52" s="123"/>
      <c r="DN52" s="123"/>
      <c r="DO52" s="123"/>
      <c r="DP52" s="123"/>
      <c r="DQ52" s="111"/>
      <c r="DR52" s="120"/>
      <c r="DS52" s="120"/>
      <c r="DT52" s="120"/>
      <c r="DU52" s="120"/>
      <c r="DV52" s="120"/>
      <c r="DW52" s="120"/>
      <c r="DX52" s="120"/>
      <c r="DY52" s="120"/>
      <c r="DZ52" s="120"/>
      <c r="EA52" s="122"/>
      <c r="EB52" s="122"/>
      <c r="EC52" s="122"/>
      <c r="ED52" s="122"/>
      <c r="EE52" s="122"/>
      <c r="EF52" s="122"/>
      <c r="EG52" s="163"/>
      <c r="EH52" s="122"/>
      <c r="EI52" s="122"/>
      <c r="EJ52" s="163"/>
      <c r="EK52" s="131"/>
      <c r="EL52" s="122"/>
      <c r="EM52" s="131"/>
      <c r="EN52" s="131"/>
      <c r="EO52" s="131"/>
      <c r="EP52" s="131"/>
      <c r="EQ52" s="131"/>
      <c r="ER52" s="131"/>
      <c r="ES52" s="131"/>
      <c r="ET52" s="131"/>
      <c r="EU52" s="131"/>
      <c r="EV52" s="139"/>
      <c r="EW52" s="131"/>
      <c r="EX52" s="139"/>
      <c r="EY52" s="123"/>
      <c r="EZ52" s="141"/>
      <c r="FA52" s="131"/>
      <c r="FB52" s="143"/>
      <c r="FC52" s="123"/>
      <c r="FD52" s="131"/>
      <c r="FE52" s="131"/>
      <c r="FF52" s="64"/>
      <c r="FG52" s="50"/>
    </row>
    <row r="53" spans="2:163" ht="12.75" customHeight="1">
      <c r="B53" s="92">
        <v>1000</v>
      </c>
      <c r="C53" s="97">
        <v>16</v>
      </c>
      <c r="D53" s="92">
        <v>24</v>
      </c>
      <c r="E53" s="92">
        <v>25</v>
      </c>
      <c r="F53" s="92"/>
      <c r="H53" s="101"/>
      <c r="I53" s="66"/>
      <c r="J53" s="66"/>
      <c r="K53" s="249"/>
      <c r="L53" s="359"/>
      <c r="M53" s="360"/>
      <c r="N53" s="360"/>
      <c r="O53" s="263">
        <f>VLOOKUP(R20,$B$13:$F$21,2,FALSE)</f>
        <v>60</v>
      </c>
      <c r="P53" s="239">
        <f>VLOOKUP(R20,$B$13:$F$21,3,FALSE)</f>
        <v>70</v>
      </c>
      <c r="Q53" s="239">
        <f>VLOOKUP(R20,$B$13:$F$21,4,FALSE)</f>
        <v>80</v>
      </c>
      <c r="R53" s="239">
        <f>VLOOKUP(R20,$B$13:$F$21,5,FALSE)</f>
        <v>150</v>
      </c>
      <c r="S53" s="240">
        <f>_xll.DCEBoltDisRS(R47, R42, O53, P53, Q53, R53, "EQ")</f>
        <v>340</v>
      </c>
      <c r="AA53" s="111" t="s">
        <v>245</v>
      </c>
      <c r="AB53" s="111" t="s">
        <v>311</v>
      </c>
      <c r="AC53" s="111">
        <v>44</v>
      </c>
      <c r="AD53" s="58">
        <v>0.3</v>
      </c>
      <c r="AE53" s="120">
        <v>500</v>
      </c>
      <c r="AF53" s="121">
        <v>300</v>
      </c>
      <c r="AG53" s="121">
        <v>10</v>
      </c>
      <c r="AH53" s="121">
        <v>14</v>
      </c>
      <c r="AI53" s="121">
        <v>472</v>
      </c>
      <c r="AJ53" s="64" t="str" cm="1">
        <f t="array" ref="AJ53">_xll.Dce_Name_SectI(AE53, AE53, AF53, AG53, AH53, "x", "-", "H Tổng")</f>
        <v>500x300x10x14</v>
      </c>
      <c r="AK53" s="122">
        <f t="shared" si="6"/>
        <v>760</v>
      </c>
      <c r="AL53" s="123">
        <f t="shared" si="7"/>
        <v>300</v>
      </c>
      <c r="AM53" s="123">
        <f t="shared" si="8"/>
        <v>25</v>
      </c>
      <c r="AN53" s="123">
        <f t="shared" si="9"/>
        <v>8</v>
      </c>
      <c r="AO53" s="123">
        <f t="shared" si="10"/>
        <v>24</v>
      </c>
      <c r="AP53" s="165" t="str">
        <f t="shared" si="11"/>
        <v>760x300x25 + 8M24</v>
      </c>
      <c r="AQ53" s="111" t="s">
        <v>328</v>
      </c>
      <c r="AR53" s="120">
        <v>0</v>
      </c>
      <c r="AS53" s="120">
        <v>-541.5894932872103</v>
      </c>
      <c r="AT53" s="120">
        <v>-3.6133940284344129E-13</v>
      </c>
      <c r="AU53" s="120">
        <v>-4.6819603182107917E-3</v>
      </c>
      <c r="AV53" s="120">
        <v>-7.3093679588964713E-13</v>
      </c>
      <c r="AW53" s="120">
        <v>-1042.3908433216868</v>
      </c>
      <c r="AX53" s="120"/>
      <c r="AY53" s="120"/>
      <c r="AZ53" s="120"/>
      <c r="BA53" s="122">
        <f t="shared" si="12"/>
        <v>60</v>
      </c>
      <c r="BB53" s="122">
        <f t="shared" si="13"/>
        <v>70</v>
      </c>
      <c r="BC53" s="122">
        <f t="shared" si="14"/>
        <v>80</v>
      </c>
      <c r="BD53" s="122">
        <f t="shared" si="15"/>
        <v>150</v>
      </c>
      <c r="BE53" s="122">
        <f>VLOOKUP(AO53,Data!$V$4:$Z$15,3,FALSE)</f>
        <v>452.38934211693021</v>
      </c>
      <c r="BF53" s="122">
        <f>VLOOKUP(AO53,Data!$V$4:$Z$15,4,FALSE)</f>
        <v>353</v>
      </c>
      <c r="BG53" s="163">
        <f t="shared" si="16"/>
        <v>150</v>
      </c>
      <c r="BH53" s="122">
        <f t="shared" si="17"/>
        <v>121.65654188208487</v>
      </c>
      <c r="BI53" s="122">
        <f t="shared" si="18"/>
        <v>243</v>
      </c>
      <c r="BJ53" s="163">
        <f t="shared" si="19"/>
        <v>142.3296</v>
      </c>
      <c r="BK53" s="131">
        <f t="shared" si="20"/>
        <v>67.698686660901288</v>
      </c>
      <c r="BL53" s="134">
        <f t="shared" si="21"/>
        <v>0.94666666666666666</v>
      </c>
      <c r="BM53" s="135">
        <f t="shared" si="22"/>
        <v>0.58782451046752426</v>
      </c>
      <c r="BN53" s="92" t="str">
        <f t="shared" si="23"/>
        <v>OK</v>
      </c>
      <c r="BO53" s="135">
        <f>_xll.DCEBoltDisRS(AN53, AE53, BA53, BB53, BC53, BD53, "h1")</f>
        <v>640</v>
      </c>
      <c r="BP53" s="136">
        <f>_xll.DCEBoltDisRS(AN53, AE53, BA53, BB53, BC53, BD53, "Tong")</f>
        <v>672200</v>
      </c>
      <c r="BQ53" s="137">
        <f t="shared" si="24"/>
        <v>496.2289048838735</v>
      </c>
      <c r="BR53" s="135">
        <f t="shared" si="25"/>
        <v>3.4864771971808639</v>
      </c>
      <c r="BS53" s="64" t="str">
        <f t="shared" si="26"/>
        <v>O/S</v>
      </c>
      <c r="BT53" s="131">
        <f t="shared" si="27"/>
        <v>3.5306070886398442</v>
      </c>
      <c r="BU53" s="92" t="str">
        <f t="shared" si="28"/>
        <v>O/S</v>
      </c>
      <c r="BV53" s="139">
        <f t="shared" si="29"/>
        <v>2144.8371261763104</v>
      </c>
      <c r="BW53" s="131">
        <f t="shared" si="30"/>
        <v>40.215696115805819</v>
      </c>
      <c r="BX53" s="139">
        <f t="shared" si="31"/>
        <v>1072.4185630881552</v>
      </c>
      <c r="BY53" s="123">
        <f t="shared" si="32"/>
        <v>507.98774041017873</v>
      </c>
      <c r="BZ53" s="141">
        <f t="shared" si="33"/>
        <v>2.469384849216147</v>
      </c>
      <c r="CA53" s="131">
        <f t="shared" si="34"/>
        <v>56.443082267797635</v>
      </c>
      <c r="CB53" s="143">
        <f t="shared" si="35"/>
        <v>0.47306223165060285</v>
      </c>
      <c r="CC53" s="123">
        <f t="shared" si="36"/>
        <v>517.30939389760476</v>
      </c>
      <c r="CD53" s="131">
        <f t="shared" si="37"/>
        <v>2.1866942978763491</v>
      </c>
      <c r="CE53" s="135">
        <f t="shared" si="38"/>
        <v>2.469384849216147</v>
      </c>
      <c r="CF53" s="92" t="str">
        <f t="shared" si="39"/>
        <v>O/S</v>
      </c>
      <c r="CG53" s="50"/>
      <c r="DA53" s="111"/>
      <c r="DB53" s="111"/>
      <c r="DC53" s="111"/>
      <c r="DD53" s="116"/>
      <c r="DE53" s="120"/>
      <c r="DF53" s="121"/>
      <c r="DG53" s="121"/>
      <c r="DH53" s="121"/>
      <c r="DI53" s="121"/>
      <c r="DJ53" s="121"/>
      <c r="DK53" s="122"/>
      <c r="DL53" s="123"/>
      <c r="DM53" s="123"/>
      <c r="DN53" s="123"/>
      <c r="DO53" s="123"/>
      <c r="DP53" s="123"/>
      <c r="DQ53" s="111"/>
      <c r="DR53" s="120"/>
      <c r="DS53" s="120"/>
      <c r="DT53" s="120"/>
      <c r="DU53" s="120"/>
      <c r="DV53" s="120"/>
      <c r="DW53" s="120"/>
      <c r="DX53" s="120"/>
      <c r="DY53" s="120"/>
      <c r="DZ53" s="120"/>
      <c r="EA53" s="122"/>
      <c r="EB53" s="122"/>
      <c r="EC53" s="122"/>
      <c r="ED53" s="122"/>
      <c r="EE53" s="122"/>
      <c r="EF53" s="122"/>
      <c r="EG53" s="163"/>
      <c r="EH53" s="122"/>
      <c r="EI53" s="122"/>
      <c r="EJ53" s="163"/>
      <c r="EK53" s="131"/>
      <c r="EL53" s="122"/>
      <c r="EM53" s="131"/>
      <c r="EN53" s="131"/>
      <c r="EO53" s="131"/>
      <c r="EP53" s="131"/>
      <c r="EQ53" s="131"/>
      <c r="ER53" s="131"/>
      <c r="ES53" s="131"/>
      <c r="ET53" s="131"/>
      <c r="EU53" s="131"/>
      <c r="EV53" s="139"/>
      <c r="EW53" s="131"/>
      <c r="EX53" s="139"/>
      <c r="EY53" s="123"/>
      <c r="EZ53" s="141"/>
      <c r="FA53" s="131"/>
      <c r="FB53" s="143"/>
      <c r="FC53" s="123"/>
      <c r="FD53" s="131"/>
      <c r="FE53" s="131"/>
      <c r="FF53" s="64"/>
      <c r="FG53" s="50"/>
    </row>
    <row r="54" spans="2:163" ht="12.75" customHeight="1">
      <c r="B54" s="92">
        <v>1500</v>
      </c>
      <c r="C54" s="97">
        <v>16</v>
      </c>
      <c r="D54" s="92">
        <v>27</v>
      </c>
      <c r="E54" s="92">
        <v>25</v>
      </c>
      <c r="F54" s="92"/>
      <c r="H54" s="102"/>
      <c r="I54" s="66"/>
      <c r="J54" s="66"/>
      <c r="K54" s="249"/>
      <c r="L54" s="92" t="s">
        <v>92</v>
      </c>
      <c r="M54" s="64" t="s">
        <v>93</v>
      </c>
      <c r="N54" s="64" t="s">
        <v>94</v>
      </c>
      <c r="O54" s="9" t="s">
        <v>95</v>
      </c>
      <c r="P54" s="64" t="s">
        <v>96</v>
      </c>
      <c r="Q54" s="64" t="s">
        <v>97</v>
      </c>
      <c r="R54" s="64" t="s">
        <v>98</v>
      </c>
      <c r="S54" s="157" t="s">
        <v>99</v>
      </c>
      <c r="AA54" s="111" t="s">
        <v>245</v>
      </c>
      <c r="AB54" s="111" t="s">
        <v>311</v>
      </c>
      <c r="AC54" s="111">
        <v>44</v>
      </c>
      <c r="AD54" s="58">
        <v>3</v>
      </c>
      <c r="AE54" s="120">
        <v>500</v>
      </c>
      <c r="AF54" s="121">
        <v>300</v>
      </c>
      <c r="AG54" s="121">
        <v>10</v>
      </c>
      <c r="AH54" s="121">
        <v>14</v>
      </c>
      <c r="AI54" s="121">
        <v>472</v>
      </c>
      <c r="AJ54" s="64" t="str" cm="1">
        <f t="array" ref="AJ54">_xll.Dce_Name_SectI(AE54, AE54, AF54, AG54, AH54, "x", "-", "H Tổng")</f>
        <v>500x300x10x14</v>
      </c>
      <c r="AK54" s="122">
        <f t="shared" si="6"/>
        <v>760</v>
      </c>
      <c r="AL54" s="123">
        <f t="shared" si="7"/>
        <v>300</v>
      </c>
      <c r="AM54" s="123">
        <f t="shared" si="8"/>
        <v>25</v>
      </c>
      <c r="AN54" s="123">
        <f t="shared" si="9"/>
        <v>8</v>
      </c>
      <c r="AO54" s="123">
        <f t="shared" si="10"/>
        <v>24</v>
      </c>
      <c r="AP54" s="165" t="str">
        <f t="shared" si="11"/>
        <v>760x300x25 + 8M24</v>
      </c>
      <c r="AQ54" s="111" t="s">
        <v>328</v>
      </c>
      <c r="AR54" s="120">
        <v>0</v>
      </c>
      <c r="AS54" s="120">
        <v>-363.09466148767331</v>
      </c>
      <c r="AT54" s="120">
        <v>-2.1761934476671737E-13</v>
      </c>
      <c r="AU54" s="120">
        <v>-4.6805523946763482E-3</v>
      </c>
      <c r="AV54" s="120">
        <v>1.406385763402795E-13</v>
      </c>
      <c r="AW54" s="120">
        <v>222.72843499276462</v>
      </c>
      <c r="AX54" s="120"/>
      <c r="AY54" s="120"/>
      <c r="AZ54" s="120"/>
      <c r="BA54" s="122">
        <f t="shared" si="12"/>
        <v>60</v>
      </c>
      <c r="BB54" s="122">
        <f t="shared" si="13"/>
        <v>70</v>
      </c>
      <c r="BC54" s="122">
        <f t="shared" si="14"/>
        <v>80</v>
      </c>
      <c r="BD54" s="122">
        <f t="shared" si="15"/>
        <v>150</v>
      </c>
      <c r="BE54" s="122">
        <f>VLOOKUP(AO54,Data!$V$4:$Z$15,3,FALSE)</f>
        <v>452.38934211693021</v>
      </c>
      <c r="BF54" s="122">
        <f>VLOOKUP(AO54,Data!$V$4:$Z$15,4,FALSE)</f>
        <v>353</v>
      </c>
      <c r="BG54" s="163">
        <f t="shared" si="16"/>
        <v>150</v>
      </c>
      <c r="BH54" s="122">
        <f t="shared" si="17"/>
        <v>121.65654188208487</v>
      </c>
      <c r="BI54" s="122">
        <f t="shared" si="18"/>
        <v>243</v>
      </c>
      <c r="BJ54" s="163">
        <f t="shared" si="19"/>
        <v>142.3296</v>
      </c>
      <c r="BK54" s="131">
        <f t="shared" si="20"/>
        <v>45.386832685959163</v>
      </c>
      <c r="BL54" s="134">
        <f t="shared" si="21"/>
        <v>0.94666666666666666</v>
      </c>
      <c r="BM54" s="135">
        <f t="shared" si="22"/>
        <v>0.39409173236892137</v>
      </c>
      <c r="BN54" s="92" t="str">
        <f t="shared" si="23"/>
        <v>OK</v>
      </c>
      <c r="BO54" s="135">
        <f>_xll.DCEBoltDisRS(AN54, AE54, BA54, BB54, BC54, BD54, "h1")</f>
        <v>640</v>
      </c>
      <c r="BP54" s="136">
        <f>_xll.DCEBoltDisRS(AN54, AE54, BA54, BB54, BC54, BD54, "Tong")</f>
        <v>672200</v>
      </c>
      <c r="BQ54" s="137">
        <f t="shared" si="24"/>
        <v>106.02960309087277</v>
      </c>
      <c r="BR54" s="135">
        <f t="shared" si="25"/>
        <v>0.7449582032892158</v>
      </c>
      <c r="BS54" s="64" t="str">
        <f t="shared" si="26"/>
        <v>OK</v>
      </c>
      <c r="BT54" s="131">
        <f t="shared" si="27"/>
        <v>0.83315458710042933</v>
      </c>
      <c r="BU54" s="92" t="str">
        <f t="shared" si="28"/>
        <v>OK</v>
      </c>
      <c r="BV54" s="139">
        <f t="shared" si="29"/>
        <v>458.28896089046219</v>
      </c>
      <c r="BW54" s="131">
        <f t="shared" si="30"/>
        <v>8.5929180166961654</v>
      </c>
      <c r="BX54" s="139">
        <f t="shared" si="31"/>
        <v>229.1444804452311</v>
      </c>
      <c r="BY54" s="123">
        <f t="shared" si="32"/>
        <v>108.54212231616208</v>
      </c>
      <c r="BZ54" s="141">
        <f t="shared" si="33"/>
        <v>0.52763531681467679</v>
      </c>
      <c r="CA54" s="131">
        <f t="shared" si="34"/>
        <v>12.0602358129069</v>
      </c>
      <c r="CB54" s="143">
        <f t="shared" si="35"/>
        <v>0.10107956260817565</v>
      </c>
      <c r="CC54" s="123">
        <f t="shared" si="36"/>
        <v>110.53388702332627</v>
      </c>
      <c r="CD54" s="131">
        <f t="shared" si="37"/>
        <v>0.46723261422903628</v>
      </c>
      <c r="CE54" s="135">
        <f t="shared" si="38"/>
        <v>0.52763531681467679</v>
      </c>
      <c r="CF54" s="92" t="str">
        <f t="shared" si="39"/>
        <v>OK</v>
      </c>
      <c r="CG54" s="50"/>
      <c r="DA54" s="111"/>
      <c r="DB54" s="111"/>
      <c r="DC54" s="111"/>
      <c r="DD54" s="116"/>
      <c r="DE54" s="120"/>
      <c r="DF54" s="121"/>
      <c r="DG54" s="121"/>
      <c r="DH54" s="121"/>
      <c r="DI54" s="121"/>
      <c r="DJ54" s="121"/>
      <c r="DK54" s="122"/>
      <c r="DL54" s="123"/>
      <c r="DM54" s="123"/>
      <c r="DN54" s="123"/>
      <c r="DO54" s="123"/>
      <c r="DP54" s="123"/>
      <c r="DQ54" s="111"/>
      <c r="DR54" s="120"/>
      <c r="DS54" s="120"/>
      <c r="DT54" s="120"/>
      <c r="DU54" s="120"/>
      <c r="DV54" s="120"/>
      <c r="DW54" s="120"/>
      <c r="DX54" s="120"/>
      <c r="DY54" s="120"/>
      <c r="DZ54" s="120"/>
      <c r="EA54" s="122"/>
      <c r="EB54" s="122"/>
      <c r="EC54" s="122"/>
      <c r="ED54" s="122"/>
      <c r="EE54" s="122"/>
      <c r="EF54" s="122"/>
      <c r="EG54" s="163"/>
      <c r="EH54" s="122"/>
      <c r="EI54" s="122"/>
      <c r="EJ54" s="163"/>
      <c r="EK54" s="131"/>
      <c r="EL54" s="122"/>
      <c r="EM54" s="131"/>
      <c r="EN54" s="131"/>
      <c r="EO54" s="131"/>
      <c r="EP54" s="131"/>
      <c r="EQ54" s="131"/>
      <c r="ER54" s="131"/>
      <c r="ES54" s="131"/>
      <c r="ET54" s="131"/>
      <c r="EU54" s="131"/>
      <c r="EV54" s="139"/>
      <c r="EW54" s="131"/>
      <c r="EX54" s="139"/>
      <c r="EY54" s="123"/>
      <c r="EZ54" s="141"/>
      <c r="FA54" s="131"/>
      <c r="FB54" s="143"/>
      <c r="FC54" s="123"/>
      <c r="FD54" s="131"/>
      <c r="FE54" s="131"/>
      <c r="FF54" s="64"/>
      <c r="FG54" s="50"/>
    </row>
    <row r="55" spans="2:163" ht="12.75" customHeight="1">
      <c r="B55" s="95">
        <v>2000</v>
      </c>
      <c r="C55" s="98">
        <v>16</v>
      </c>
      <c r="D55" s="95">
        <v>30</v>
      </c>
      <c r="E55" s="95">
        <v>30</v>
      </c>
      <c r="F55" s="95"/>
      <c r="H55" s="102"/>
      <c r="I55" s="66"/>
      <c r="J55" s="66"/>
      <c r="K55" s="249"/>
      <c r="L55" s="104">
        <f>_xll.DCEBoltDisRS(R47, R42, O53, P53, Q53, R53, "h1")</f>
        <v>640</v>
      </c>
      <c r="M55" s="84">
        <f>IF(R47&gt;=8,_xll.DCEBoltDisRS(R47, R42, O53, P53, Q53, R53, "h2"),"-")</f>
        <v>490</v>
      </c>
      <c r="N55" s="84" t="str">
        <f>IF(R47&gt;=12,_xll.DCEBoltDisRS(R47, R42, O53, P53, Q53, R53, "h3"),"-")</f>
        <v>-</v>
      </c>
      <c r="O55" s="84" t="str">
        <f>IF(R47&gt;=16,_xll.DCEBoltDisRS(R47, R42, O53, P53, Q53, R53, "h4"),"-")</f>
        <v>-</v>
      </c>
      <c r="P55" s="84" t="str">
        <f>IF(MOD(R47/2,2)=1,_xll.DCEBoltDisRS(R47, R42, O53, P53, Q53, R53, "h5"),"-")</f>
        <v>-</v>
      </c>
      <c r="Q55" s="85" t="str">
        <f>IF(R47&gt;=16,_xll.DCEBoltDisRS(R47, R42, O53, P53, Q53, R53, "h6"),"-")</f>
        <v>-</v>
      </c>
      <c r="R55" s="85" t="str">
        <f>IF(R47&gt;=12,_xll.DCEBoltDisRS(R47, R42, O53, P53, Q53, R53, "h7"),"-")</f>
        <v>-</v>
      </c>
      <c r="S55" s="250">
        <f>IF(R47&gt;=8,_xll.DCEBoltDisRS(R47, R42, O53, P53, Q53, R53, "h8"),0)</f>
        <v>150</v>
      </c>
      <c r="AA55" s="111" t="s">
        <v>245</v>
      </c>
      <c r="AB55" s="111" t="s">
        <v>311</v>
      </c>
      <c r="AC55" s="111">
        <v>44</v>
      </c>
      <c r="AD55" s="58">
        <v>0.3</v>
      </c>
      <c r="AE55" s="120">
        <v>500</v>
      </c>
      <c r="AF55" s="121">
        <v>300</v>
      </c>
      <c r="AG55" s="121">
        <v>10</v>
      </c>
      <c r="AH55" s="121">
        <v>14</v>
      </c>
      <c r="AI55" s="121">
        <v>472</v>
      </c>
      <c r="AJ55" s="64" t="str" cm="1">
        <f t="array" ref="AJ55">_xll.Dce_Name_SectI(AE55, AE55, AF55, AG55, AH55, "x", "-", "H Tổng")</f>
        <v>500x300x10x14</v>
      </c>
      <c r="AK55" s="122">
        <f t="shared" si="6"/>
        <v>760</v>
      </c>
      <c r="AL55" s="123">
        <f t="shared" si="7"/>
        <v>300</v>
      </c>
      <c r="AM55" s="123">
        <f t="shared" si="8"/>
        <v>25</v>
      </c>
      <c r="AN55" s="123">
        <f t="shared" si="9"/>
        <v>8</v>
      </c>
      <c r="AO55" s="123">
        <f t="shared" si="10"/>
        <v>24</v>
      </c>
      <c r="AP55" s="165" t="str">
        <f t="shared" si="11"/>
        <v>760x300x25 + 8M24</v>
      </c>
      <c r="AQ55" s="111" t="s">
        <v>329</v>
      </c>
      <c r="AR55" s="120">
        <v>0</v>
      </c>
      <c r="AS55" s="120">
        <v>-540.32382573178472</v>
      </c>
      <c r="AT55" s="120">
        <v>-3.6042990814166836E-13</v>
      </c>
      <c r="AU55" s="120">
        <v>-4.7325996281463037E-3</v>
      </c>
      <c r="AV55" s="120">
        <v>-7.2165449296335258E-13</v>
      </c>
      <c r="AW55" s="120">
        <v>-1028.9234292416456</v>
      </c>
      <c r="AX55" s="120"/>
      <c r="AY55" s="120"/>
      <c r="AZ55" s="120"/>
      <c r="BA55" s="122">
        <f t="shared" si="12"/>
        <v>60</v>
      </c>
      <c r="BB55" s="122">
        <f t="shared" si="13"/>
        <v>70</v>
      </c>
      <c r="BC55" s="122">
        <f t="shared" si="14"/>
        <v>80</v>
      </c>
      <c r="BD55" s="122">
        <f t="shared" si="15"/>
        <v>150</v>
      </c>
      <c r="BE55" s="122">
        <f>VLOOKUP(AO55,Data!$V$4:$Z$15,3,FALSE)</f>
        <v>452.38934211693021</v>
      </c>
      <c r="BF55" s="122">
        <f>VLOOKUP(AO55,Data!$V$4:$Z$15,4,FALSE)</f>
        <v>353</v>
      </c>
      <c r="BG55" s="163">
        <f t="shared" si="16"/>
        <v>150</v>
      </c>
      <c r="BH55" s="122">
        <f t="shared" si="17"/>
        <v>121.65654188208487</v>
      </c>
      <c r="BI55" s="122">
        <f t="shared" si="18"/>
        <v>243</v>
      </c>
      <c r="BJ55" s="163">
        <f t="shared" si="19"/>
        <v>142.3296</v>
      </c>
      <c r="BK55" s="131">
        <f t="shared" si="20"/>
        <v>67.54047821647309</v>
      </c>
      <c r="BL55" s="134">
        <f t="shared" si="21"/>
        <v>0.94666666666666666</v>
      </c>
      <c r="BM55" s="135">
        <f t="shared" si="22"/>
        <v>0.58645079398963074</v>
      </c>
      <c r="BN55" s="92" t="str">
        <f t="shared" si="23"/>
        <v>OK</v>
      </c>
      <c r="BO55" s="135">
        <f>_xll.DCEBoltDisRS(AN55, AE55, BA55, BB55, BC55, BD55, "h1")</f>
        <v>640</v>
      </c>
      <c r="BP55" s="136">
        <f>_xll.DCEBoltDisRS(AN55, AE55, BA55, BB55, BC55, BD55, "Tong")</f>
        <v>672200</v>
      </c>
      <c r="BQ55" s="137">
        <f t="shared" si="24"/>
        <v>489.81775863928391</v>
      </c>
      <c r="BR55" s="135">
        <f t="shared" si="25"/>
        <v>3.4414328336430646</v>
      </c>
      <c r="BS55" s="64" t="str">
        <f t="shared" si="26"/>
        <v>O/S</v>
      </c>
      <c r="BT55" s="131">
        <f t="shared" si="27"/>
        <v>3.4859256264118357</v>
      </c>
      <c r="BU55" s="92" t="str">
        <f t="shared" si="28"/>
        <v>O/S</v>
      </c>
      <c r="BV55" s="139">
        <f t="shared" si="29"/>
        <v>2117.1263976165546</v>
      </c>
      <c r="BW55" s="131">
        <f t="shared" si="30"/>
        <v>39.696119955310401</v>
      </c>
      <c r="BX55" s="139">
        <f t="shared" si="31"/>
        <v>1058.5631988082773</v>
      </c>
      <c r="BY55" s="123">
        <f t="shared" si="32"/>
        <v>501.42467311971035</v>
      </c>
      <c r="BZ55" s="141">
        <f t="shared" si="33"/>
        <v>2.4374810498874813</v>
      </c>
      <c r="CA55" s="131">
        <f t="shared" si="34"/>
        <v>55.713852568856694</v>
      </c>
      <c r="CB55" s="143">
        <f t="shared" si="35"/>
        <v>0.46695039269875105</v>
      </c>
      <c r="CC55" s="123">
        <f t="shared" si="36"/>
        <v>510.62589330879143</v>
      </c>
      <c r="CD55" s="131">
        <f t="shared" si="37"/>
        <v>2.1584427857255681</v>
      </c>
      <c r="CE55" s="135">
        <f t="shared" si="38"/>
        <v>2.4374810498874813</v>
      </c>
      <c r="CF55" s="92" t="str">
        <f t="shared" si="39"/>
        <v>O/S</v>
      </c>
      <c r="CG55" s="50"/>
      <c r="DA55" s="111"/>
      <c r="DB55" s="111"/>
      <c r="DC55" s="111"/>
      <c r="DD55" s="116"/>
      <c r="DE55" s="120"/>
      <c r="DF55" s="121"/>
      <c r="DG55" s="121"/>
      <c r="DH55" s="121"/>
      <c r="DI55" s="121"/>
      <c r="DJ55" s="121"/>
      <c r="DK55" s="122"/>
      <c r="DL55" s="123"/>
      <c r="DM55" s="123"/>
      <c r="DN55" s="123"/>
      <c r="DO55" s="123"/>
      <c r="DP55" s="123"/>
      <c r="DQ55" s="111"/>
      <c r="DR55" s="120"/>
      <c r="DS55" s="120"/>
      <c r="DT55" s="120"/>
      <c r="DU55" s="120"/>
      <c r="DV55" s="120"/>
      <c r="DW55" s="120"/>
      <c r="DX55" s="120"/>
      <c r="DY55" s="120"/>
      <c r="DZ55" s="120"/>
      <c r="EA55" s="122"/>
      <c r="EB55" s="122"/>
      <c r="EC55" s="122"/>
      <c r="ED55" s="122"/>
      <c r="EE55" s="122"/>
      <c r="EF55" s="122"/>
      <c r="EG55" s="163"/>
      <c r="EH55" s="122"/>
      <c r="EI55" s="122"/>
      <c r="EJ55" s="163"/>
      <c r="EK55" s="131"/>
      <c r="EL55" s="122"/>
      <c r="EM55" s="131"/>
      <c r="EN55" s="131"/>
      <c r="EO55" s="131"/>
      <c r="EP55" s="131"/>
      <c r="EQ55" s="131"/>
      <c r="ER55" s="131"/>
      <c r="ES55" s="131"/>
      <c r="ET55" s="131"/>
      <c r="EU55" s="131"/>
      <c r="EV55" s="139"/>
      <c r="EW55" s="131"/>
      <c r="EX55" s="139"/>
      <c r="EY55" s="123"/>
      <c r="EZ55" s="141"/>
      <c r="FA55" s="131"/>
      <c r="FB55" s="143"/>
      <c r="FC55" s="123"/>
      <c r="FD55" s="131"/>
      <c r="FE55" s="131"/>
      <c r="FF55" s="64"/>
      <c r="FG55" s="50"/>
    </row>
    <row r="56" spans="2:163" ht="12.75" customHeight="1">
      <c r="H56" s="102"/>
      <c r="I56" s="66"/>
      <c r="J56" s="66"/>
      <c r="K56" s="249"/>
      <c r="L56" s="90"/>
      <c r="M56" s="63"/>
      <c r="N56" s="63"/>
      <c r="O56" s="63"/>
      <c r="P56" s="63"/>
      <c r="Q56" s="86" t="s">
        <v>115</v>
      </c>
      <c r="R56" s="87">
        <f>_xll.DCEBoltDisRS(R47, R42, O53, P53, Q53, R53, "Tong")</f>
        <v>672200</v>
      </c>
      <c r="S56" s="251" t="s">
        <v>6</v>
      </c>
      <c r="AA56" s="111" t="s">
        <v>245</v>
      </c>
      <c r="AB56" s="111" t="s">
        <v>311</v>
      </c>
      <c r="AC56" s="111">
        <v>44</v>
      </c>
      <c r="AD56" s="58">
        <v>3</v>
      </c>
      <c r="AE56" s="120">
        <v>500</v>
      </c>
      <c r="AF56" s="121">
        <v>300</v>
      </c>
      <c r="AG56" s="121">
        <v>10</v>
      </c>
      <c r="AH56" s="121">
        <v>14</v>
      </c>
      <c r="AI56" s="121">
        <v>472</v>
      </c>
      <c r="AJ56" s="64" t="str" cm="1">
        <f t="array" ref="AJ56">_xll.Dce_Name_SectI(AE56, AE56, AF56, AG56, AH56, "x", "-", "H Tổng")</f>
        <v>500x300x10x14</v>
      </c>
      <c r="AK56" s="122">
        <f t="shared" si="6"/>
        <v>760</v>
      </c>
      <c r="AL56" s="123">
        <f t="shared" si="7"/>
        <v>300</v>
      </c>
      <c r="AM56" s="123">
        <f t="shared" si="8"/>
        <v>25</v>
      </c>
      <c r="AN56" s="123">
        <f t="shared" si="9"/>
        <v>8</v>
      </c>
      <c r="AO56" s="123">
        <f t="shared" si="10"/>
        <v>24</v>
      </c>
      <c r="AP56" s="165" t="str">
        <f t="shared" si="11"/>
        <v>760x300x25 + 8M24</v>
      </c>
      <c r="AQ56" s="111" t="s">
        <v>329</v>
      </c>
      <c r="AR56" s="120">
        <v>0</v>
      </c>
      <c r="AS56" s="120">
        <v>-361.82899272931098</v>
      </c>
      <c r="AT56" s="120">
        <v>-2.1670985006494444E-13</v>
      </c>
      <c r="AU56" s="120">
        <v>-4.7311766854360405E-3</v>
      </c>
      <c r="AV56" s="120">
        <v>1.4756346899957859E-13</v>
      </c>
      <c r="AW56" s="120">
        <v>232.77848085535169</v>
      </c>
      <c r="AX56" s="120"/>
      <c r="AY56" s="120"/>
      <c r="AZ56" s="120"/>
      <c r="BA56" s="122">
        <f t="shared" si="12"/>
        <v>60</v>
      </c>
      <c r="BB56" s="122">
        <f t="shared" si="13"/>
        <v>70</v>
      </c>
      <c r="BC56" s="122">
        <f t="shared" si="14"/>
        <v>80</v>
      </c>
      <c r="BD56" s="122">
        <f t="shared" si="15"/>
        <v>150</v>
      </c>
      <c r="BE56" s="122">
        <f>VLOOKUP(AO56,Data!$V$4:$Z$15,3,FALSE)</f>
        <v>452.38934211693021</v>
      </c>
      <c r="BF56" s="122">
        <f>VLOOKUP(AO56,Data!$V$4:$Z$15,4,FALSE)</f>
        <v>353</v>
      </c>
      <c r="BG56" s="163">
        <f t="shared" si="16"/>
        <v>150</v>
      </c>
      <c r="BH56" s="122">
        <f t="shared" si="17"/>
        <v>121.65654188208487</v>
      </c>
      <c r="BI56" s="122">
        <f t="shared" si="18"/>
        <v>243</v>
      </c>
      <c r="BJ56" s="163">
        <f t="shared" si="19"/>
        <v>142.3296</v>
      </c>
      <c r="BK56" s="131">
        <f t="shared" si="20"/>
        <v>45.228624091163873</v>
      </c>
      <c r="BL56" s="134">
        <f t="shared" si="21"/>
        <v>0.94666666666666666</v>
      </c>
      <c r="BM56" s="135">
        <f t="shared" si="22"/>
        <v>0.3927180145853974</v>
      </c>
      <c r="BN56" s="92" t="str">
        <f t="shared" si="23"/>
        <v>OK</v>
      </c>
      <c r="BO56" s="135">
        <f>_xll.DCEBoltDisRS(AN56, AE56, BA56, BB56, BC56, BD56, "h1")</f>
        <v>640</v>
      </c>
      <c r="BP56" s="136">
        <f>_xll.DCEBoltDisRS(AN56, AE56, BA56, BB56, BC56, BD56, "Tong")</f>
        <v>672200</v>
      </c>
      <c r="BQ56" s="137">
        <f t="shared" si="24"/>
        <v>110.81391531346704</v>
      </c>
      <c r="BR56" s="135">
        <f t="shared" si="25"/>
        <v>0.77857251979536957</v>
      </c>
      <c r="BS56" s="64" t="str">
        <f t="shared" si="26"/>
        <v>OK</v>
      </c>
      <c r="BT56" s="131">
        <f t="shared" si="27"/>
        <v>0.8627806048572676</v>
      </c>
      <c r="BU56" s="92" t="str">
        <f t="shared" si="28"/>
        <v>OK</v>
      </c>
      <c r="BV56" s="139">
        <f t="shared" si="29"/>
        <v>478.96806760360431</v>
      </c>
      <c r="BW56" s="131">
        <f t="shared" si="30"/>
        <v>8.9806512675675805</v>
      </c>
      <c r="BX56" s="139">
        <f t="shared" si="31"/>
        <v>239.48403380180216</v>
      </c>
      <c r="BY56" s="123">
        <f t="shared" si="32"/>
        <v>113.43980548506417</v>
      </c>
      <c r="BZ56" s="141">
        <f t="shared" si="33"/>
        <v>0.55144349888572863</v>
      </c>
      <c r="CA56" s="131">
        <f t="shared" si="34"/>
        <v>12.604422831673798</v>
      </c>
      <c r="CB56" s="143">
        <f t="shared" si="35"/>
        <v>0.10564051702791738</v>
      </c>
      <c r="CC56" s="123">
        <f t="shared" si="36"/>
        <v>115.52144343474961</v>
      </c>
      <c r="CD56" s="131">
        <f t="shared" si="37"/>
        <v>0.48831528021935233</v>
      </c>
      <c r="CE56" s="135">
        <f t="shared" si="38"/>
        <v>0.55144349888572863</v>
      </c>
      <c r="CF56" s="92" t="str">
        <f t="shared" si="39"/>
        <v>OK</v>
      </c>
      <c r="CG56" s="50"/>
      <c r="DA56" s="111"/>
      <c r="DB56" s="111"/>
      <c r="DC56" s="111"/>
      <c r="DD56" s="116"/>
      <c r="DE56" s="120"/>
      <c r="DF56" s="121"/>
      <c r="DG56" s="121"/>
      <c r="DH56" s="121"/>
      <c r="DI56" s="121"/>
      <c r="DJ56" s="121"/>
      <c r="DK56" s="122"/>
      <c r="DL56" s="123"/>
      <c r="DM56" s="123"/>
      <c r="DN56" s="123"/>
      <c r="DO56" s="123"/>
      <c r="DP56" s="123"/>
      <c r="DQ56" s="111"/>
      <c r="DR56" s="120"/>
      <c r="DS56" s="120"/>
      <c r="DT56" s="120"/>
      <c r="DU56" s="120"/>
      <c r="DV56" s="120"/>
      <c r="DW56" s="120"/>
      <c r="DX56" s="120"/>
      <c r="DY56" s="120"/>
      <c r="DZ56" s="120"/>
      <c r="EA56" s="122"/>
      <c r="EB56" s="122"/>
      <c r="EC56" s="122"/>
      <c r="ED56" s="122"/>
      <c r="EE56" s="122"/>
      <c r="EF56" s="122"/>
      <c r="EG56" s="163"/>
      <c r="EH56" s="122"/>
      <c r="EI56" s="122"/>
      <c r="EJ56" s="163"/>
      <c r="EK56" s="131"/>
      <c r="EL56" s="122"/>
      <c r="EM56" s="131"/>
      <c r="EN56" s="131"/>
      <c r="EO56" s="131"/>
      <c r="EP56" s="131"/>
      <c r="EQ56" s="131"/>
      <c r="ER56" s="131"/>
      <c r="ES56" s="131"/>
      <c r="ET56" s="131"/>
      <c r="EU56" s="131"/>
      <c r="EV56" s="139"/>
      <c r="EW56" s="131"/>
      <c r="EX56" s="139"/>
      <c r="EY56" s="123"/>
      <c r="EZ56" s="141"/>
      <c r="FA56" s="131"/>
      <c r="FB56" s="143"/>
      <c r="FC56" s="123"/>
      <c r="FD56" s="131"/>
      <c r="FE56" s="131"/>
      <c r="FF56" s="64"/>
      <c r="FG56" s="50"/>
    </row>
    <row r="57" spans="2:163" ht="12.75" customHeight="1">
      <c r="H57" s="102"/>
      <c r="I57" s="66"/>
      <c r="J57" s="66"/>
      <c r="K57" s="249"/>
      <c r="L57" s="90"/>
      <c r="M57" s="66"/>
      <c r="N57" s="5"/>
      <c r="O57" s="5"/>
      <c r="P57" s="286"/>
      <c r="Q57" s="8" t="s">
        <v>87</v>
      </c>
      <c r="R57" s="6">
        <v>8</v>
      </c>
      <c r="S57" s="155" t="s">
        <v>4</v>
      </c>
      <c r="AA57" s="111" t="s">
        <v>245</v>
      </c>
      <c r="AB57" s="111" t="s">
        <v>311</v>
      </c>
      <c r="AC57" s="111">
        <v>44</v>
      </c>
      <c r="AD57" s="116">
        <v>0.3</v>
      </c>
      <c r="AE57" s="120">
        <v>500</v>
      </c>
      <c r="AF57" s="121">
        <v>300</v>
      </c>
      <c r="AG57" s="121">
        <v>10</v>
      </c>
      <c r="AH57" s="121">
        <v>14</v>
      </c>
      <c r="AI57" s="121">
        <v>472</v>
      </c>
      <c r="AJ57" s="64" t="str" cm="1">
        <f t="array" ref="AJ57">_xll.Dce_Name_SectI(AE57, AE57, AF57, AG57, AH57, "x", "-", "H Tổng")</f>
        <v>500x300x10x14</v>
      </c>
      <c r="AK57" s="122">
        <f t="shared" si="6"/>
        <v>760</v>
      </c>
      <c r="AL57" s="123">
        <f t="shared" si="7"/>
        <v>300</v>
      </c>
      <c r="AM57" s="123">
        <f t="shared" si="8"/>
        <v>25</v>
      </c>
      <c r="AN57" s="123">
        <f t="shared" si="9"/>
        <v>8</v>
      </c>
      <c r="AO57" s="123">
        <f t="shared" si="10"/>
        <v>24</v>
      </c>
      <c r="AP57" s="165" t="str">
        <f t="shared" si="11"/>
        <v>760x300x25 + 8M24</v>
      </c>
      <c r="AQ57" s="111" t="s">
        <v>330</v>
      </c>
      <c r="AR57" s="120">
        <v>0</v>
      </c>
      <c r="AS57" s="120">
        <v>-550.98167632686341</v>
      </c>
      <c r="AT57" s="120">
        <v>-3.6764902233699097E-13</v>
      </c>
      <c r="AU57" s="120">
        <v>-4.6385149687144817E-3</v>
      </c>
      <c r="AV57" s="120">
        <v>-7.6342042234500674E-13</v>
      </c>
      <c r="AW57" s="120">
        <v>-1087.8559221961434</v>
      </c>
      <c r="AX57" s="120"/>
      <c r="AY57" s="120"/>
      <c r="AZ57" s="120"/>
      <c r="BA57" s="122">
        <f t="shared" si="12"/>
        <v>60</v>
      </c>
      <c r="BB57" s="122">
        <f t="shared" si="13"/>
        <v>70</v>
      </c>
      <c r="BC57" s="122">
        <f t="shared" si="14"/>
        <v>80</v>
      </c>
      <c r="BD57" s="122">
        <f t="shared" si="15"/>
        <v>150</v>
      </c>
      <c r="BE57" s="122">
        <f>VLOOKUP(AO57,Data!$V$4:$Z$15,3,FALSE)</f>
        <v>452.38934211693021</v>
      </c>
      <c r="BF57" s="122">
        <f>VLOOKUP(AO57,Data!$V$4:$Z$15,4,FALSE)</f>
        <v>353</v>
      </c>
      <c r="BG57" s="163">
        <f t="shared" si="16"/>
        <v>150</v>
      </c>
      <c r="BH57" s="122">
        <f t="shared" si="17"/>
        <v>121.65654188208487</v>
      </c>
      <c r="BI57" s="122">
        <f t="shared" si="18"/>
        <v>243</v>
      </c>
      <c r="BJ57" s="163">
        <f t="shared" si="19"/>
        <v>142.3296</v>
      </c>
      <c r="BK57" s="131">
        <f t="shared" si="20"/>
        <v>68.872709540857926</v>
      </c>
      <c r="BL57" s="134">
        <f t="shared" si="21"/>
        <v>0.94666666666666666</v>
      </c>
      <c r="BM57" s="135">
        <f t="shared" si="22"/>
        <v>0.59801849588625111</v>
      </c>
      <c r="BN57" s="92" t="str">
        <f t="shared" si="23"/>
        <v>OK</v>
      </c>
      <c r="BO57" s="135">
        <f>_xll.DCEBoltDisRS(AN57, AE57, BA57, BB57, BC57, BD57, "h1")</f>
        <v>640</v>
      </c>
      <c r="BP57" s="136">
        <f>_xll.DCEBoltDisRS(AN57, AE57, BA57, BB57, BC57, BD57, "Tong")</f>
        <v>672200</v>
      </c>
      <c r="BQ57" s="137">
        <f t="shared" si="24"/>
        <v>517.87250089670613</v>
      </c>
      <c r="BR57" s="135">
        <f t="shared" si="25"/>
        <v>3.6385439212694064</v>
      </c>
      <c r="BS57" s="64" t="str">
        <f t="shared" si="26"/>
        <v>O/S</v>
      </c>
      <c r="BT57" s="131">
        <f t="shared" si="27"/>
        <v>3.6823224261025609</v>
      </c>
      <c r="BU57" s="92" t="str">
        <f t="shared" si="28"/>
        <v>O/S</v>
      </c>
      <c r="BV57" s="139">
        <f t="shared" si="29"/>
        <v>2238.3866711854803</v>
      </c>
      <c r="BW57" s="131">
        <f t="shared" si="30"/>
        <v>41.969750084727757</v>
      </c>
      <c r="BX57" s="139">
        <f t="shared" si="31"/>
        <v>1119.1933355927401</v>
      </c>
      <c r="BY57" s="123">
        <f t="shared" si="32"/>
        <v>530.14421159656115</v>
      </c>
      <c r="BZ57" s="141">
        <f t="shared" si="33"/>
        <v>2.5770899174832835</v>
      </c>
      <c r="CA57" s="131">
        <f t="shared" si="34"/>
        <v>58.904912399617906</v>
      </c>
      <c r="CB57" s="143">
        <f t="shared" si="35"/>
        <v>0.49369538649105049</v>
      </c>
      <c r="CC57" s="123">
        <f t="shared" si="36"/>
        <v>539.87243975198385</v>
      </c>
      <c r="CD57" s="131">
        <f t="shared" si="37"/>
        <v>2.2820694917052462</v>
      </c>
      <c r="CE57" s="135">
        <f t="shared" si="38"/>
        <v>2.5770899174832835</v>
      </c>
      <c r="CF57" s="92" t="str">
        <f t="shared" si="39"/>
        <v>O/S</v>
      </c>
      <c r="CG57" s="50"/>
      <c r="DA57" s="111"/>
      <c r="DB57" s="111"/>
      <c r="DC57" s="111"/>
      <c r="DD57" s="116"/>
      <c r="DE57" s="120"/>
      <c r="DF57" s="121"/>
      <c r="DG57" s="121"/>
      <c r="DH57" s="121"/>
      <c r="DI57" s="121"/>
      <c r="DJ57" s="121"/>
      <c r="DK57" s="122"/>
      <c r="DL57" s="123"/>
      <c r="DM57" s="123"/>
      <c r="DN57" s="123"/>
      <c r="DO57" s="123"/>
      <c r="DP57" s="123"/>
      <c r="DQ57" s="111"/>
      <c r="DR57" s="120"/>
      <c r="DS57" s="120"/>
      <c r="DT57" s="120"/>
      <c r="DU57" s="120"/>
      <c r="DV57" s="120"/>
      <c r="DW57" s="120"/>
      <c r="DX57" s="120"/>
      <c r="DY57" s="120"/>
      <c r="DZ57" s="120"/>
      <c r="EA57" s="122"/>
      <c r="EB57" s="122"/>
      <c r="EC57" s="122"/>
      <c r="ED57" s="122"/>
      <c r="EE57" s="122"/>
      <c r="EF57" s="122"/>
      <c r="EG57" s="122"/>
      <c r="EH57" s="122"/>
      <c r="EI57" s="122"/>
      <c r="EJ57" s="122"/>
      <c r="EK57" s="131"/>
      <c r="EL57" s="122"/>
      <c r="EM57" s="131"/>
      <c r="EN57" s="131"/>
      <c r="EO57" s="131"/>
      <c r="EP57" s="131"/>
      <c r="EQ57" s="131"/>
      <c r="ER57" s="131"/>
      <c r="ES57" s="131"/>
      <c r="ET57" s="131"/>
      <c r="EU57" s="131"/>
      <c r="EV57" s="139"/>
      <c r="EW57" s="131"/>
      <c r="EX57" s="139"/>
      <c r="EY57" s="123"/>
      <c r="EZ57" s="141"/>
      <c r="FA57" s="131"/>
      <c r="FB57" s="143"/>
      <c r="FC57" s="123"/>
      <c r="FD57" s="131"/>
      <c r="FE57" s="131"/>
      <c r="FF57" s="92"/>
      <c r="FG57" s="50"/>
    </row>
    <row r="58" spans="2:163" ht="12.75" customHeight="1">
      <c r="H58" s="102"/>
      <c r="I58" s="66"/>
      <c r="J58" s="66"/>
      <c r="K58" s="249"/>
      <c r="L58" s="90"/>
      <c r="M58" s="66"/>
      <c r="N58" s="5"/>
      <c r="O58" s="5"/>
      <c r="P58" s="286"/>
      <c r="Q58" s="8" t="s">
        <v>88</v>
      </c>
      <c r="R58" s="6">
        <v>6</v>
      </c>
      <c r="S58" s="155" t="s">
        <v>4</v>
      </c>
      <c r="AA58" s="111" t="s">
        <v>245</v>
      </c>
      <c r="AB58" s="111" t="s">
        <v>311</v>
      </c>
      <c r="AC58" s="111">
        <v>44</v>
      </c>
      <c r="AD58" s="116">
        <v>3</v>
      </c>
      <c r="AE58" s="120">
        <v>500</v>
      </c>
      <c r="AF58" s="121">
        <v>300</v>
      </c>
      <c r="AG58" s="121">
        <v>10</v>
      </c>
      <c r="AH58" s="121">
        <v>14</v>
      </c>
      <c r="AI58" s="121">
        <v>472</v>
      </c>
      <c r="AJ58" s="64" t="str" cm="1">
        <f t="array" ref="AJ58">_xll.Dce_Name_SectI(AE58, AE58, AF58, AG58, AH58, "x", "-", "H Tổng")</f>
        <v>500x300x10x14</v>
      </c>
      <c r="AK58" s="122">
        <f t="shared" si="6"/>
        <v>760</v>
      </c>
      <c r="AL58" s="123">
        <f t="shared" si="7"/>
        <v>300</v>
      </c>
      <c r="AM58" s="123">
        <f t="shared" si="8"/>
        <v>25</v>
      </c>
      <c r="AN58" s="123">
        <f t="shared" si="9"/>
        <v>8</v>
      </c>
      <c r="AO58" s="123">
        <f t="shared" si="10"/>
        <v>24</v>
      </c>
      <c r="AP58" s="165" t="str">
        <f t="shared" si="11"/>
        <v>760x300x25 + 8M24</v>
      </c>
      <c r="AQ58" s="111" t="s">
        <v>330</v>
      </c>
      <c r="AR58" s="120">
        <v>0</v>
      </c>
      <c r="AS58" s="120">
        <v>-372.48684029238086</v>
      </c>
      <c r="AT58" s="120">
        <v>-2.2466792870545757E-13</v>
      </c>
      <c r="AU58" s="120">
        <v>-4.6371201684764574E-3</v>
      </c>
      <c r="AV58" s="120">
        <v>1.2684290595643684E-13</v>
      </c>
      <c r="AW58" s="120">
        <v>202.62170812013562</v>
      </c>
      <c r="AX58" s="120"/>
      <c r="AY58" s="120"/>
      <c r="AZ58" s="120"/>
      <c r="BA58" s="122">
        <f t="shared" si="12"/>
        <v>60</v>
      </c>
      <c r="BB58" s="122">
        <f t="shared" si="13"/>
        <v>70</v>
      </c>
      <c r="BC58" s="122">
        <f t="shared" si="14"/>
        <v>80</v>
      </c>
      <c r="BD58" s="122">
        <f t="shared" si="15"/>
        <v>150</v>
      </c>
      <c r="BE58" s="122">
        <f>VLOOKUP(AO58,Data!$V$4:$Z$15,3,FALSE)</f>
        <v>452.38934211693021</v>
      </c>
      <c r="BF58" s="122">
        <f>VLOOKUP(AO58,Data!$V$4:$Z$15,4,FALSE)</f>
        <v>353</v>
      </c>
      <c r="BG58" s="163">
        <f t="shared" si="16"/>
        <v>150</v>
      </c>
      <c r="BH58" s="122">
        <f t="shared" si="17"/>
        <v>121.65654188208487</v>
      </c>
      <c r="BI58" s="122">
        <f t="shared" si="18"/>
        <v>243</v>
      </c>
      <c r="BJ58" s="163">
        <f t="shared" si="19"/>
        <v>142.3296</v>
      </c>
      <c r="BK58" s="131">
        <f t="shared" si="20"/>
        <v>46.560855036547608</v>
      </c>
      <c r="BL58" s="134">
        <f t="shared" si="21"/>
        <v>0.94666666666666666</v>
      </c>
      <c r="BM58" s="135">
        <f t="shared" si="22"/>
        <v>0.40428571319116907</v>
      </c>
      <c r="BN58" s="92" t="str">
        <f t="shared" si="23"/>
        <v>OK</v>
      </c>
      <c r="BO58" s="135">
        <f>_xll.DCEBoltDisRS(AN58, AE58, BA58, BB58, BC58, BD58, "h1")</f>
        <v>640</v>
      </c>
      <c r="BP58" s="136">
        <f>_xll.DCEBoltDisRS(AN58, AE58, BA58, BB58, BC58, BD58, "Tong")</f>
        <v>672200</v>
      </c>
      <c r="BQ58" s="137">
        <f t="shared" si="24"/>
        <v>96.4578199917337</v>
      </c>
      <c r="BR58" s="135">
        <f t="shared" si="25"/>
        <v>0.67770737774667889</v>
      </c>
      <c r="BS58" s="64" t="str">
        <f t="shared" si="26"/>
        <v>OK</v>
      </c>
      <c r="BT58" s="131">
        <f t="shared" si="27"/>
        <v>0.77830893829864467</v>
      </c>
      <c r="BU58" s="92" t="str">
        <f t="shared" si="28"/>
        <v>OK</v>
      </c>
      <c r="BV58" s="139">
        <f t="shared" si="29"/>
        <v>416.91709489739839</v>
      </c>
      <c r="BW58" s="131">
        <f t="shared" si="30"/>
        <v>7.8171955293262192</v>
      </c>
      <c r="BX58" s="139">
        <f t="shared" si="31"/>
        <v>208.45854744869919</v>
      </c>
      <c r="BY58" s="123">
        <f t="shared" si="32"/>
        <v>98.743522475699606</v>
      </c>
      <c r="BZ58" s="141">
        <f t="shared" si="33"/>
        <v>0.48000323425687313</v>
      </c>
      <c r="CA58" s="131">
        <f t="shared" si="34"/>
        <v>10.971502497299957</v>
      </c>
      <c r="CB58" s="143">
        <f t="shared" si="35"/>
        <v>9.1954642577945056E-2</v>
      </c>
      <c r="CC58" s="123">
        <f t="shared" si="36"/>
        <v>100.55548136254816</v>
      </c>
      <c r="CD58" s="131">
        <f t="shared" si="37"/>
        <v>0.42505336324748627</v>
      </c>
      <c r="CE58" s="135">
        <f t="shared" si="38"/>
        <v>0.48000323425687313</v>
      </c>
      <c r="CF58" s="92" t="str">
        <f t="shared" si="39"/>
        <v>OK</v>
      </c>
      <c r="CG58" s="50"/>
      <c r="DA58" s="111"/>
      <c r="DB58" s="111"/>
      <c r="DC58" s="111"/>
      <c r="DD58" s="116"/>
      <c r="DE58" s="120"/>
      <c r="DF58" s="121"/>
      <c r="DG58" s="121"/>
      <c r="DH58" s="121"/>
      <c r="DI58" s="121"/>
      <c r="DJ58" s="121"/>
      <c r="DK58" s="122"/>
      <c r="DL58" s="123"/>
      <c r="DM58" s="123"/>
      <c r="DN58" s="123"/>
      <c r="DO58" s="123"/>
      <c r="DP58" s="123"/>
      <c r="DQ58" s="111"/>
      <c r="DR58" s="120"/>
      <c r="DS58" s="120"/>
      <c r="DT58" s="120"/>
      <c r="DU58" s="120"/>
      <c r="DV58" s="120"/>
      <c r="DW58" s="120"/>
      <c r="DX58" s="120"/>
      <c r="DY58" s="120"/>
      <c r="DZ58" s="120"/>
      <c r="EA58" s="122"/>
      <c r="EB58" s="122"/>
      <c r="EC58" s="122"/>
      <c r="ED58" s="122"/>
      <c r="EE58" s="122"/>
      <c r="EF58" s="122"/>
      <c r="EG58" s="122"/>
      <c r="EH58" s="122"/>
      <c r="EI58" s="122"/>
      <c r="EJ58" s="122"/>
      <c r="EK58" s="131"/>
      <c r="EL58" s="122"/>
      <c r="EM58" s="131"/>
      <c r="EN58" s="131"/>
      <c r="EO58" s="131"/>
      <c r="EP58" s="131"/>
      <c r="EQ58" s="131"/>
      <c r="ER58" s="131"/>
      <c r="ES58" s="131"/>
      <c r="ET58" s="131"/>
      <c r="EU58" s="131"/>
      <c r="EV58" s="139"/>
      <c r="EW58" s="131"/>
      <c r="EX58" s="139"/>
      <c r="EY58" s="123"/>
      <c r="EZ58" s="141"/>
      <c r="FA58" s="131"/>
      <c r="FB58" s="143"/>
      <c r="FC58" s="123"/>
      <c r="FD58" s="131"/>
      <c r="FE58" s="131"/>
      <c r="FF58" s="92"/>
      <c r="FG58" s="50"/>
    </row>
    <row r="59" spans="2:163" ht="12.75" customHeight="1">
      <c r="H59" s="101" t="s">
        <v>70</v>
      </c>
      <c r="I59" s="66"/>
      <c r="J59" s="66"/>
      <c r="K59" s="66"/>
      <c r="L59" s="66"/>
      <c r="M59" s="66"/>
      <c r="N59" s="249"/>
      <c r="O59" s="285"/>
      <c r="P59" s="66"/>
      <c r="Q59" s="5"/>
      <c r="R59" s="5"/>
      <c r="S59" s="153"/>
      <c r="T59" s="152"/>
      <c r="AA59" s="111" t="s">
        <v>245</v>
      </c>
      <c r="AB59" s="111" t="s">
        <v>311</v>
      </c>
      <c r="AC59" s="111">
        <v>44</v>
      </c>
      <c r="AD59" s="116">
        <v>0.3</v>
      </c>
      <c r="AE59" s="120">
        <v>500</v>
      </c>
      <c r="AF59" s="121">
        <v>300</v>
      </c>
      <c r="AG59" s="121">
        <v>10</v>
      </c>
      <c r="AH59" s="121">
        <v>14</v>
      </c>
      <c r="AI59" s="121">
        <v>472</v>
      </c>
      <c r="AJ59" s="64" t="str" cm="1">
        <f t="array" ref="AJ59">_xll.Dce_Name_SectI(AE59, AE59, AF59, AG59, AH59, "x", "-", "H Tổng")</f>
        <v>500x300x10x14</v>
      </c>
      <c r="AK59" s="122">
        <f t="shared" si="6"/>
        <v>760</v>
      </c>
      <c r="AL59" s="123">
        <f t="shared" si="7"/>
        <v>300</v>
      </c>
      <c r="AM59" s="123">
        <f t="shared" si="8"/>
        <v>25</v>
      </c>
      <c r="AN59" s="123">
        <f t="shared" si="9"/>
        <v>8</v>
      </c>
      <c r="AO59" s="123">
        <f t="shared" si="10"/>
        <v>24</v>
      </c>
      <c r="AP59" s="165" t="str">
        <f t="shared" si="11"/>
        <v>760x300x25 + 8M24</v>
      </c>
      <c r="AQ59" s="111" t="s">
        <v>331</v>
      </c>
      <c r="AR59" s="120">
        <v>0</v>
      </c>
      <c r="AS59" s="120">
        <v>-549.70269003849762</v>
      </c>
      <c r="AT59" s="120">
        <v>-3.6681058190879404E-13</v>
      </c>
      <c r="AU59" s="120">
        <v>-4.6892027244471359E-3</v>
      </c>
      <c r="AV59" s="120">
        <v>-7.5384102729003623E-13</v>
      </c>
      <c r="AW59" s="120">
        <v>-1074.3588206009042</v>
      </c>
      <c r="AX59" s="120"/>
      <c r="AY59" s="120"/>
      <c r="AZ59" s="120"/>
      <c r="BA59" s="122">
        <f t="shared" si="12"/>
        <v>60</v>
      </c>
      <c r="BB59" s="122">
        <f t="shared" si="13"/>
        <v>70</v>
      </c>
      <c r="BC59" s="122">
        <f t="shared" si="14"/>
        <v>80</v>
      </c>
      <c r="BD59" s="122">
        <f t="shared" si="15"/>
        <v>150</v>
      </c>
      <c r="BE59" s="122">
        <f>VLOOKUP(AO59,Data!$V$4:$Z$15,3,FALSE)</f>
        <v>452.38934211693021</v>
      </c>
      <c r="BF59" s="122">
        <f>VLOOKUP(AO59,Data!$V$4:$Z$15,4,FALSE)</f>
        <v>353</v>
      </c>
      <c r="BG59" s="163">
        <f t="shared" si="16"/>
        <v>150</v>
      </c>
      <c r="BH59" s="122">
        <f t="shared" si="17"/>
        <v>121.65654188208487</v>
      </c>
      <c r="BI59" s="122">
        <f t="shared" si="18"/>
        <v>243</v>
      </c>
      <c r="BJ59" s="163">
        <f t="shared" si="19"/>
        <v>142.3296</v>
      </c>
      <c r="BK59" s="131">
        <f t="shared" si="20"/>
        <v>68.712836254812203</v>
      </c>
      <c r="BL59" s="134">
        <f t="shared" si="21"/>
        <v>0.94666666666666666</v>
      </c>
      <c r="BM59" s="135">
        <f t="shared" si="22"/>
        <v>0.5966303236669378</v>
      </c>
      <c r="BN59" s="92" t="str">
        <f t="shared" si="23"/>
        <v>OK</v>
      </c>
      <c r="BO59" s="135">
        <f>_xll.DCEBoltDisRS(AN59, AE59, BA59, BB59, BC59, BD59, "h1")</f>
        <v>640</v>
      </c>
      <c r="BP59" s="136">
        <f>_xll.DCEBoltDisRS(AN59, AE59, BA59, BB59, BC59, BD59, "Tong")</f>
        <v>672200</v>
      </c>
      <c r="BQ59" s="137">
        <f t="shared" si="24"/>
        <v>511.44722194627997</v>
      </c>
      <c r="BR59" s="135">
        <f t="shared" si="25"/>
        <v>3.5934002621118863</v>
      </c>
      <c r="BS59" s="64" t="str">
        <f t="shared" si="26"/>
        <v>O/S</v>
      </c>
      <c r="BT59" s="131">
        <f t="shared" si="27"/>
        <v>3.6375178109164845</v>
      </c>
      <c r="BU59" s="92" t="str">
        <f t="shared" si="28"/>
        <v>O/S</v>
      </c>
      <c r="BV59" s="139">
        <f t="shared" si="29"/>
        <v>2210.6148572035067</v>
      </c>
      <c r="BW59" s="131">
        <f t="shared" si="30"/>
        <v>41.449028572565751</v>
      </c>
      <c r="BX59" s="139">
        <f t="shared" si="31"/>
        <v>1105.3074286017534</v>
      </c>
      <c r="BY59" s="123">
        <f t="shared" si="32"/>
        <v>523.56667670609363</v>
      </c>
      <c r="BZ59" s="141">
        <f t="shared" si="33"/>
        <v>2.545115789543511</v>
      </c>
      <c r="CA59" s="131">
        <f t="shared" si="34"/>
        <v>58.174075189565968</v>
      </c>
      <c r="CB59" s="143">
        <f t="shared" si="35"/>
        <v>0.48757007462519375</v>
      </c>
      <c r="CC59" s="123">
        <f t="shared" si="36"/>
        <v>533.17420608047701</v>
      </c>
      <c r="CD59" s="131">
        <f t="shared" si="37"/>
        <v>2.2537557020310022</v>
      </c>
      <c r="CE59" s="135">
        <f t="shared" si="38"/>
        <v>2.545115789543511</v>
      </c>
      <c r="CF59" s="92" t="str">
        <f t="shared" si="39"/>
        <v>O/S</v>
      </c>
      <c r="CG59" s="50"/>
      <c r="DA59" s="111"/>
      <c r="DB59" s="111"/>
      <c r="DC59" s="111"/>
      <c r="DD59" s="116"/>
      <c r="DE59" s="120"/>
      <c r="DF59" s="121"/>
      <c r="DG59" s="121"/>
      <c r="DH59" s="121"/>
      <c r="DI59" s="121"/>
      <c r="DJ59" s="121"/>
      <c r="DK59" s="122"/>
      <c r="DL59" s="123"/>
      <c r="DM59" s="123"/>
      <c r="DN59" s="123"/>
      <c r="DO59" s="123"/>
      <c r="DP59" s="123"/>
      <c r="DQ59" s="111"/>
      <c r="DR59" s="120"/>
      <c r="DS59" s="120"/>
      <c r="DT59" s="120"/>
      <c r="DU59" s="120"/>
      <c r="DV59" s="120"/>
      <c r="DW59" s="120"/>
      <c r="DX59" s="120"/>
      <c r="DY59" s="120"/>
      <c r="DZ59" s="120"/>
      <c r="EA59" s="122"/>
      <c r="EB59" s="122"/>
      <c r="EC59" s="122"/>
      <c r="ED59" s="122"/>
      <c r="EE59" s="122"/>
      <c r="EF59" s="122"/>
      <c r="EG59" s="122"/>
      <c r="EH59" s="122"/>
      <c r="EI59" s="122"/>
      <c r="EJ59" s="122"/>
      <c r="EK59" s="131"/>
      <c r="EL59" s="122"/>
      <c r="EM59" s="131"/>
      <c r="EN59" s="131"/>
      <c r="EO59" s="131"/>
      <c r="EP59" s="131"/>
      <c r="EQ59" s="131"/>
      <c r="ER59" s="131"/>
      <c r="ES59" s="131"/>
      <c r="ET59" s="131"/>
      <c r="EU59" s="131"/>
      <c r="EV59" s="139"/>
      <c r="EW59" s="131"/>
      <c r="EX59" s="139"/>
      <c r="EY59" s="123"/>
      <c r="EZ59" s="141"/>
      <c r="FA59" s="131"/>
      <c r="FB59" s="143"/>
      <c r="FC59" s="123"/>
      <c r="FD59" s="131"/>
      <c r="FE59" s="131"/>
      <c r="FF59" s="92"/>
      <c r="FG59" s="50"/>
    </row>
    <row r="60" spans="2:163" ht="12.75" customHeight="1">
      <c r="H60" s="101"/>
      <c r="I60" s="66" t="str">
        <f>"- Moment:"</f>
        <v>- Moment:</v>
      </c>
      <c r="J60" s="66"/>
      <c r="K60" s="66"/>
      <c r="L60" s="90"/>
      <c r="M60" s="66"/>
      <c r="N60" s="5"/>
      <c r="O60" s="5"/>
      <c r="P60" s="90"/>
      <c r="Q60" s="8" t="s">
        <v>77</v>
      </c>
      <c r="R60" s="290">
        <v>506.97096502920334</v>
      </c>
      <c r="S60" s="155" t="s">
        <v>21</v>
      </c>
      <c r="T60" s="152"/>
      <c r="AA60" s="111" t="s">
        <v>245</v>
      </c>
      <c r="AB60" s="111" t="s">
        <v>311</v>
      </c>
      <c r="AC60" s="111">
        <v>44</v>
      </c>
      <c r="AD60" s="116">
        <v>3</v>
      </c>
      <c r="AE60" s="120">
        <v>500</v>
      </c>
      <c r="AF60" s="121">
        <v>300</v>
      </c>
      <c r="AG60" s="121">
        <v>10</v>
      </c>
      <c r="AH60" s="121">
        <v>14</v>
      </c>
      <c r="AI60" s="121">
        <v>472</v>
      </c>
      <c r="AJ60" s="64" t="str" cm="1">
        <f t="array" ref="AJ60">_xll.Dce_Name_SectI(AE60, AE60, AF60, AG60, AH60, "x", "-", "H Tổng")</f>
        <v>500x300x10x14</v>
      </c>
      <c r="AK60" s="122">
        <f t="shared" si="6"/>
        <v>760</v>
      </c>
      <c r="AL60" s="123">
        <f t="shared" si="7"/>
        <v>300</v>
      </c>
      <c r="AM60" s="123">
        <f t="shared" si="8"/>
        <v>25</v>
      </c>
      <c r="AN60" s="123">
        <f t="shared" si="9"/>
        <v>8</v>
      </c>
      <c r="AO60" s="123">
        <f t="shared" si="10"/>
        <v>24</v>
      </c>
      <c r="AP60" s="165" t="str">
        <f t="shared" si="11"/>
        <v>760x300x25 + 8M24</v>
      </c>
      <c r="AQ60" s="111" t="s">
        <v>331</v>
      </c>
      <c r="AR60" s="120">
        <v>0</v>
      </c>
      <c r="AS60" s="120">
        <v>-371.20785281548814</v>
      </c>
      <c r="AT60" s="120">
        <v>-2.2392896426026704E-13</v>
      </c>
      <c r="AU60" s="120">
        <v>-4.6877928902970588E-3</v>
      </c>
      <c r="AV60" s="120">
        <v>1.3412829957815117E-13</v>
      </c>
      <c r="AW60" s="120">
        <v>212.6654825939107</v>
      </c>
      <c r="AX60" s="120"/>
      <c r="AY60" s="120"/>
      <c r="AZ60" s="120"/>
      <c r="BA60" s="122">
        <f t="shared" si="12"/>
        <v>60</v>
      </c>
      <c r="BB60" s="122">
        <f t="shared" si="13"/>
        <v>70</v>
      </c>
      <c r="BC60" s="122">
        <f t="shared" si="14"/>
        <v>80</v>
      </c>
      <c r="BD60" s="122">
        <f t="shared" si="15"/>
        <v>150</v>
      </c>
      <c r="BE60" s="122">
        <f>VLOOKUP(AO60,Data!$V$4:$Z$15,3,FALSE)</f>
        <v>452.38934211693021</v>
      </c>
      <c r="BF60" s="122">
        <f>VLOOKUP(AO60,Data!$V$4:$Z$15,4,FALSE)</f>
        <v>353</v>
      </c>
      <c r="BG60" s="163">
        <f t="shared" si="16"/>
        <v>150</v>
      </c>
      <c r="BH60" s="122">
        <f t="shared" si="17"/>
        <v>121.65654188208487</v>
      </c>
      <c r="BI60" s="122">
        <f t="shared" si="18"/>
        <v>243</v>
      </c>
      <c r="BJ60" s="163">
        <f t="shared" si="19"/>
        <v>142.3296</v>
      </c>
      <c r="BK60" s="131">
        <f t="shared" si="20"/>
        <v>46.400981601936017</v>
      </c>
      <c r="BL60" s="134">
        <f t="shared" si="21"/>
        <v>0.94666666666666666</v>
      </c>
      <c r="BM60" s="135">
        <f t="shared" si="22"/>
        <v>0.40289753968186526</v>
      </c>
      <c r="BN60" s="92" t="str">
        <f t="shared" si="23"/>
        <v>OK</v>
      </c>
      <c r="BO60" s="135">
        <f>_xll.DCEBoltDisRS(AN60, AE60, BA60, BB60, BC60, BD60, "h1")</f>
        <v>640</v>
      </c>
      <c r="BP60" s="136">
        <f>_xll.DCEBoltDisRS(AN60, AE60, BA60, BB60, BC60, BD60, "Tong")</f>
        <v>672200</v>
      </c>
      <c r="BQ60" s="137">
        <f t="shared" si="24"/>
        <v>101.23914672724102</v>
      </c>
      <c r="BR60" s="135">
        <f t="shared" si="25"/>
        <v>0.71130071838353381</v>
      </c>
      <c r="BS60" s="64" t="str">
        <f t="shared" si="26"/>
        <v>OK</v>
      </c>
      <c r="BT60" s="131">
        <f t="shared" si="27"/>
        <v>0.80710721036804456</v>
      </c>
      <c r="BU60" s="92" t="str">
        <f t="shared" si="28"/>
        <v>OK</v>
      </c>
      <c r="BV60" s="139">
        <f t="shared" si="29"/>
        <v>437.5832975183348</v>
      </c>
      <c r="BW60" s="131">
        <f t="shared" si="30"/>
        <v>8.2046868284687768</v>
      </c>
      <c r="BX60" s="139">
        <f t="shared" si="31"/>
        <v>218.7916487591674</v>
      </c>
      <c r="BY60" s="123">
        <f t="shared" si="32"/>
        <v>103.63814941223718</v>
      </c>
      <c r="BZ60" s="141">
        <f t="shared" si="33"/>
        <v>0.50379655964281966</v>
      </c>
      <c r="CA60" s="131">
        <f t="shared" si="34"/>
        <v>11.515349934693022</v>
      </c>
      <c r="CB60" s="143">
        <f t="shared" si="35"/>
        <v>9.651275088942908E-2</v>
      </c>
      <c r="CC60" s="123">
        <f t="shared" si="36"/>
        <v>105.5399254592711</v>
      </c>
      <c r="CD60" s="131">
        <f t="shared" si="37"/>
        <v>0.44612287331817502</v>
      </c>
      <c r="CE60" s="135">
        <f t="shared" si="38"/>
        <v>0.50379655964281966</v>
      </c>
      <c r="CF60" s="92" t="str">
        <f t="shared" si="39"/>
        <v>OK</v>
      </c>
      <c r="CG60" s="50"/>
      <c r="DA60" s="111"/>
      <c r="DB60" s="111"/>
      <c r="DC60" s="111"/>
      <c r="DD60" s="116"/>
      <c r="DE60" s="120"/>
      <c r="DF60" s="121"/>
      <c r="DG60" s="121"/>
      <c r="DH60" s="121"/>
      <c r="DI60" s="121"/>
      <c r="DJ60" s="121"/>
      <c r="DK60" s="122"/>
      <c r="DL60" s="123"/>
      <c r="DM60" s="123"/>
      <c r="DN60" s="123"/>
      <c r="DO60" s="123"/>
      <c r="DP60" s="123"/>
      <c r="DQ60" s="111"/>
      <c r="DR60" s="120"/>
      <c r="DS60" s="120"/>
      <c r="DT60" s="120"/>
      <c r="DU60" s="120"/>
      <c r="DV60" s="120"/>
      <c r="DW60" s="120"/>
      <c r="DX60" s="120"/>
      <c r="DY60" s="120"/>
      <c r="DZ60" s="120"/>
      <c r="EA60" s="122"/>
      <c r="EB60" s="122"/>
      <c r="EC60" s="122"/>
      <c r="ED60" s="122"/>
      <c r="EE60" s="122"/>
      <c r="EF60" s="122"/>
      <c r="EG60" s="122"/>
      <c r="EH60" s="122"/>
      <c r="EI60" s="122"/>
      <c r="EJ60" s="122"/>
      <c r="EK60" s="131"/>
      <c r="EL60" s="122"/>
      <c r="EM60" s="131"/>
      <c r="EN60" s="131"/>
      <c r="EO60" s="131"/>
      <c r="EP60" s="131"/>
      <c r="EQ60" s="131"/>
      <c r="ER60" s="131"/>
      <c r="ES60" s="131"/>
      <c r="ET60" s="131"/>
      <c r="EU60" s="131"/>
      <c r="EV60" s="139"/>
      <c r="EW60" s="131"/>
      <c r="EX60" s="139"/>
      <c r="EY60" s="123"/>
      <c r="EZ60" s="141"/>
      <c r="FA60" s="131"/>
      <c r="FB60" s="143"/>
      <c r="FC60" s="123"/>
      <c r="FD60" s="131"/>
      <c r="FE60" s="131"/>
      <c r="FF60" s="92"/>
      <c r="FG60" s="50"/>
    </row>
    <row r="61" spans="2:163" ht="15" customHeight="1">
      <c r="H61" s="101"/>
      <c r="I61" s="66" t="str">
        <f>"- Lực dọc:"</f>
        <v>- Lực dọc:</v>
      </c>
      <c r="J61" s="66"/>
      <c r="K61" s="66"/>
      <c r="L61" s="90"/>
      <c r="M61" s="66"/>
      <c r="N61" s="5"/>
      <c r="O61" s="5"/>
      <c r="P61" s="90"/>
      <c r="Q61" s="8" t="s">
        <v>78</v>
      </c>
      <c r="R61" s="290">
        <v>0</v>
      </c>
      <c r="S61" s="155" t="s">
        <v>20</v>
      </c>
      <c r="T61" s="152"/>
      <c r="AA61" s="111" t="s">
        <v>245</v>
      </c>
      <c r="AB61" s="111" t="s">
        <v>311</v>
      </c>
      <c r="AC61" s="111">
        <v>44</v>
      </c>
      <c r="AD61" s="116">
        <v>0.3</v>
      </c>
      <c r="AE61" s="120">
        <v>500</v>
      </c>
      <c r="AF61" s="121">
        <v>300</v>
      </c>
      <c r="AG61" s="121">
        <v>10</v>
      </c>
      <c r="AH61" s="121">
        <v>14</v>
      </c>
      <c r="AI61" s="121">
        <v>472</v>
      </c>
      <c r="AJ61" s="64" t="str" cm="1">
        <f t="array" ref="AJ61">_xll.Dce_Name_SectI(AE61, AE61, AF61, AG61, AH61, "x", "-", "H Tổng")</f>
        <v>500x300x10x14</v>
      </c>
      <c r="AK61" s="122">
        <f t="shared" si="6"/>
        <v>760</v>
      </c>
      <c r="AL61" s="123">
        <f t="shared" si="7"/>
        <v>300</v>
      </c>
      <c r="AM61" s="123">
        <f t="shared" si="8"/>
        <v>25</v>
      </c>
      <c r="AN61" s="123">
        <f t="shared" si="9"/>
        <v>8</v>
      </c>
      <c r="AO61" s="123">
        <f t="shared" si="10"/>
        <v>24</v>
      </c>
      <c r="AP61" s="165" t="str">
        <f t="shared" si="11"/>
        <v>760x300x25 + 8M24</v>
      </c>
      <c r="AQ61" s="111" t="s">
        <v>332</v>
      </c>
      <c r="AR61" s="120">
        <v>0</v>
      </c>
      <c r="AS61" s="120">
        <v>-176.8091587315383</v>
      </c>
      <c r="AT61" s="120">
        <v>-1.0209078027401117E-13</v>
      </c>
      <c r="AU61" s="120">
        <v>-1.4474223440215845E-3</v>
      </c>
      <c r="AV61" s="120">
        <v>-2.6275911295670081E-13</v>
      </c>
      <c r="AW61" s="120">
        <v>-364.15324011805296</v>
      </c>
      <c r="AX61" s="120"/>
      <c r="AY61" s="120"/>
      <c r="AZ61" s="120"/>
      <c r="BA61" s="122">
        <f t="shared" si="12"/>
        <v>60</v>
      </c>
      <c r="BB61" s="122">
        <f t="shared" si="13"/>
        <v>70</v>
      </c>
      <c r="BC61" s="122">
        <f t="shared" si="14"/>
        <v>80</v>
      </c>
      <c r="BD61" s="122">
        <f t="shared" si="15"/>
        <v>150</v>
      </c>
      <c r="BE61" s="122">
        <f>VLOOKUP(AO61,Data!$V$4:$Z$15,3,FALSE)</f>
        <v>452.38934211693021</v>
      </c>
      <c r="BF61" s="122">
        <f>VLOOKUP(AO61,Data!$V$4:$Z$15,4,FALSE)</f>
        <v>353</v>
      </c>
      <c r="BG61" s="163">
        <f t="shared" si="16"/>
        <v>150</v>
      </c>
      <c r="BH61" s="122">
        <f t="shared" si="17"/>
        <v>121.65654188208487</v>
      </c>
      <c r="BI61" s="122">
        <f t="shared" si="18"/>
        <v>243</v>
      </c>
      <c r="BJ61" s="163">
        <f t="shared" si="19"/>
        <v>142.3296</v>
      </c>
      <c r="BK61" s="131">
        <f t="shared" si="20"/>
        <v>22.101144841442288</v>
      </c>
      <c r="BL61" s="134">
        <f t="shared" si="21"/>
        <v>0.94666666666666666</v>
      </c>
      <c r="BM61" s="135">
        <f t="shared" si="22"/>
        <v>0.19190320060811211</v>
      </c>
      <c r="BN61" s="92" t="str">
        <f t="shared" si="23"/>
        <v>OK</v>
      </c>
      <c r="BO61" s="135">
        <f>_xll.DCEBoltDisRS(AN61, AE61, BA61, BB61, BC61, BD61, "h1")</f>
        <v>640</v>
      </c>
      <c r="BP61" s="136">
        <f>_xll.DCEBoltDisRS(AN61, AE61, BA61, BB61, BC61, BD61, "Tong")</f>
        <v>672200</v>
      </c>
      <c r="BQ61" s="137">
        <f t="shared" si="24"/>
        <v>173.35471115408652</v>
      </c>
      <c r="BR61" s="135">
        <f t="shared" si="25"/>
        <v>1.217980737345475</v>
      </c>
      <c r="BS61" s="64" t="str">
        <f t="shared" si="26"/>
        <v>O/S</v>
      </c>
      <c r="BT61" s="131">
        <f t="shared" si="27"/>
        <v>1.231454615788897</v>
      </c>
      <c r="BU61" s="92" t="str">
        <f t="shared" si="28"/>
        <v>O/S</v>
      </c>
      <c r="BV61" s="139">
        <f t="shared" si="29"/>
        <v>749.28650230052051</v>
      </c>
      <c r="BW61" s="131">
        <f t="shared" si="30"/>
        <v>14.049121918134759</v>
      </c>
      <c r="BX61" s="139">
        <f t="shared" si="31"/>
        <v>374.64325115026026</v>
      </c>
      <c r="BY61" s="123">
        <f t="shared" si="32"/>
        <v>177.46259265012327</v>
      </c>
      <c r="BZ61" s="141">
        <f t="shared" si="33"/>
        <v>0.8626653809380993</v>
      </c>
      <c r="CA61" s="131">
        <f t="shared" si="34"/>
        <v>19.718065850013698</v>
      </c>
      <c r="CB61" s="143">
        <f t="shared" si="35"/>
        <v>0.16526156722952096</v>
      </c>
      <c r="CC61" s="123">
        <f t="shared" si="36"/>
        <v>180.71905863162306</v>
      </c>
      <c r="CD61" s="131">
        <f t="shared" si="37"/>
        <v>0.76390906426410732</v>
      </c>
      <c r="CE61" s="135">
        <f t="shared" si="38"/>
        <v>0.8626653809380993</v>
      </c>
      <c r="CF61" s="92" t="str">
        <f t="shared" si="39"/>
        <v>OK</v>
      </c>
      <c r="CG61" s="50"/>
      <c r="DA61" s="111"/>
      <c r="DB61" s="111"/>
      <c r="DC61" s="111"/>
      <c r="DD61" s="116"/>
      <c r="DE61" s="120"/>
      <c r="DF61" s="121"/>
      <c r="DG61" s="121"/>
      <c r="DH61" s="121"/>
      <c r="DI61" s="121"/>
      <c r="DJ61" s="121"/>
      <c r="DK61" s="122"/>
      <c r="DL61" s="123"/>
      <c r="DM61" s="123"/>
      <c r="DN61" s="123"/>
      <c r="DO61" s="123"/>
      <c r="DP61" s="123"/>
      <c r="DQ61" s="111"/>
      <c r="DR61" s="120"/>
      <c r="DS61" s="120"/>
      <c r="DT61" s="120"/>
      <c r="DU61" s="120"/>
      <c r="DV61" s="120"/>
      <c r="DW61" s="120"/>
      <c r="DX61" s="120"/>
      <c r="DY61" s="120"/>
      <c r="DZ61" s="120"/>
      <c r="EA61" s="122"/>
      <c r="EB61" s="122"/>
      <c r="EC61" s="122"/>
      <c r="ED61" s="122"/>
      <c r="EE61" s="122"/>
      <c r="EF61" s="122"/>
      <c r="EG61" s="122"/>
      <c r="EH61" s="122"/>
      <c r="EI61" s="122"/>
      <c r="EJ61" s="122"/>
      <c r="EK61" s="131"/>
      <c r="EL61" s="122"/>
      <c r="EM61" s="131"/>
      <c r="EN61" s="131"/>
      <c r="EO61" s="131"/>
      <c r="EP61" s="131"/>
      <c r="EQ61" s="131"/>
      <c r="ER61" s="131"/>
      <c r="ES61" s="131"/>
      <c r="ET61" s="131"/>
      <c r="EU61" s="131"/>
      <c r="EV61" s="139"/>
      <c r="EW61" s="131"/>
      <c r="EX61" s="139"/>
      <c r="EY61" s="123"/>
      <c r="EZ61" s="141"/>
      <c r="FA61" s="131"/>
      <c r="FB61" s="143"/>
      <c r="FC61" s="123"/>
      <c r="FD61" s="131"/>
      <c r="FE61" s="131"/>
      <c r="FF61" s="92"/>
      <c r="FG61" s="50"/>
    </row>
    <row r="62" spans="2:163">
      <c r="H62" s="101"/>
      <c r="I62" s="66" t="str">
        <f>"- Lực cắt:"</f>
        <v>- Lực cắt:</v>
      </c>
      <c r="J62" s="5"/>
      <c r="K62" s="5"/>
      <c r="L62" s="5"/>
      <c r="M62" s="5"/>
      <c r="N62" s="5"/>
      <c r="O62" s="5"/>
      <c r="P62" s="5"/>
      <c r="Q62" s="8" t="s">
        <v>71</v>
      </c>
      <c r="R62" s="290">
        <v>268.10675282921193</v>
      </c>
      <c r="S62" s="155" t="s">
        <v>20</v>
      </c>
      <c r="T62" s="152"/>
      <c r="AA62" s="111" t="s">
        <v>245</v>
      </c>
      <c r="AB62" s="111" t="s">
        <v>311</v>
      </c>
      <c r="AC62" s="111">
        <v>44</v>
      </c>
      <c r="AD62" s="116">
        <v>3</v>
      </c>
      <c r="AE62" s="120">
        <v>500</v>
      </c>
      <c r="AF62" s="121">
        <v>300</v>
      </c>
      <c r="AG62" s="121">
        <v>10</v>
      </c>
      <c r="AH62" s="121">
        <v>14</v>
      </c>
      <c r="AI62" s="121">
        <v>472</v>
      </c>
      <c r="AJ62" s="64" t="str" cm="1">
        <f t="array" ref="AJ62">_xll.Dce_Name_SectI(AE62, AE62, AF62, AG62, AH62, "x", "-", "H Tổng")</f>
        <v>500x300x10x14</v>
      </c>
      <c r="AK62" s="122">
        <f t="shared" si="6"/>
        <v>760</v>
      </c>
      <c r="AL62" s="123">
        <f t="shared" si="7"/>
        <v>300</v>
      </c>
      <c r="AM62" s="123">
        <f t="shared" si="8"/>
        <v>25</v>
      </c>
      <c r="AN62" s="123">
        <f t="shared" si="9"/>
        <v>8</v>
      </c>
      <c r="AO62" s="123">
        <f t="shared" si="10"/>
        <v>24</v>
      </c>
      <c r="AP62" s="165" t="str">
        <f t="shared" si="11"/>
        <v>760x300x25 + 8M24</v>
      </c>
      <c r="AQ62" s="111" t="s">
        <v>332</v>
      </c>
      <c r="AR62" s="120">
        <v>0</v>
      </c>
      <c r="AS62" s="120">
        <v>-120.48670966415733</v>
      </c>
      <c r="AT62" s="120">
        <v>1.6570993466302748E-13</v>
      </c>
      <c r="AU62" s="120">
        <v>-1.4469864173677189E-3</v>
      </c>
      <c r="AV62" s="120">
        <v>-2.0576953829731787E-13</v>
      </c>
      <c r="AW62" s="120">
        <v>50.659871000667884</v>
      </c>
      <c r="AX62" s="120"/>
      <c r="AY62" s="120"/>
      <c r="AZ62" s="120"/>
      <c r="BA62" s="122">
        <f t="shared" si="12"/>
        <v>60</v>
      </c>
      <c r="BB62" s="122">
        <f t="shared" si="13"/>
        <v>70</v>
      </c>
      <c r="BC62" s="122">
        <f t="shared" si="14"/>
        <v>80</v>
      </c>
      <c r="BD62" s="122">
        <f t="shared" si="15"/>
        <v>150</v>
      </c>
      <c r="BE62" s="122">
        <f>VLOOKUP(AO62,Data!$V$4:$Z$15,3,FALSE)</f>
        <v>452.38934211693021</v>
      </c>
      <c r="BF62" s="122">
        <f>VLOOKUP(AO62,Data!$V$4:$Z$15,4,FALSE)</f>
        <v>353</v>
      </c>
      <c r="BG62" s="163">
        <f t="shared" si="16"/>
        <v>150</v>
      </c>
      <c r="BH62" s="122">
        <f t="shared" si="17"/>
        <v>121.65654188208487</v>
      </c>
      <c r="BI62" s="122">
        <f t="shared" si="18"/>
        <v>243</v>
      </c>
      <c r="BJ62" s="163">
        <f t="shared" si="19"/>
        <v>142.3296</v>
      </c>
      <c r="BK62" s="131">
        <f t="shared" si="20"/>
        <v>15.060838708019666</v>
      </c>
      <c r="BL62" s="134">
        <f t="shared" si="21"/>
        <v>0.94666666666666666</v>
      </c>
      <c r="BM62" s="135">
        <f t="shared" si="22"/>
        <v>0.13077255375893487</v>
      </c>
      <c r="BN62" s="92" t="str">
        <f t="shared" si="23"/>
        <v>OK</v>
      </c>
      <c r="BO62" s="135">
        <f>_xll.DCEBoltDisRS(AN62, AE62, BA62, BB62, BC62, BD62, "h1")</f>
        <v>640</v>
      </c>
      <c r="BP62" s="136">
        <f>_xll.DCEBoltDisRS(AN62, AE62, BA62, BB62, BC62, BD62, "Tong")</f>
        <v>672200</v>
      </c>
      <c r="BQ62" s="137">
        <f t="shared" si="24"/>
        <v>24.116570544798755</v>
      </c>
      <c r="BR62" s="135">
        <f t="shared" si="25"/>
        <v>0.16944170815346038</v>
      </c>
      <c r="BS62" s="64" t="str">
        <f t="shared" si="26"/>
        <v>OK</v>
      </c>
      <c r="BT62" s="131">
        <f t="shared" si="27"/>
        <v>0.20984861594341481</v>
      </c>
      <c r="BU62" s="92" t="str">
        <f t="shared" si="28"/>
        <v>OK</v>
      </c>
      <c r="BV62" s="139">
        <f t="shared" si="29"/>
        <v>104.23841769684751</v>
      </c>
      <c r="BW62" s="131">
        <f t="shared" si="30"/>
        <v>1.9544703318158907</v>
      </c>
      <c r="BX62" s="139">
        <f t="shared" si="31"/>
        <v>52.119208848423753</v>
      </c>
      <c r="BY62" s="123">
        <f t="shared" si="32"/>
        <v>24.688046296621778</v>
      </c>
      <c r="BZ62" s="141">
        <f t="shared" si="33"/>
        <v>0.12001133616413365</v>
      </c>
      <c r="CA62" s="131">
        <f t="shared" si="34"/>
        <v>2.7431162551801975</v>
      </c>
      <c r="CB62" s="143">
        <f t="shared" si="35"/>
        <v>2.2990677426079242E-2</v>
      </c>
      <c r="CC62" s="123">
        <f t="shared" si="36"/>
        <v>25.141075758854111</v>
      </c>
      <c r="CD62" s="131">
        <f t="shared" si="37"/>
        <v>0.10627266323187126</v>
      </c>
      <c r="CE62" s="135">
        <f t="shared" si="38"/>
        <v>0.12001133616413365</v>
      </c>
      <c r="CF62" s="92" t="str">
        <f t="shared" si="39"/>
        <v>OK</v>
      </c>
      <c r="CG62" s="50"/>
      <c r="DA62" s="111"/>
      <c r="DB62" s="111"/>
      <c r="DC62" s="111"/>
      <c r="DD62" s="116"/>
      <c r="DE62" s="120"/>
      <c r="DF62" s="121"/>
      <c r="DG62" s="121"/>
      <c r="DH62" s="121"/>
      <c r="DI62" s="121"/>
      <c r="DJ62" s="121"/>
      <c r="DK62" s="122"/>
      <c r="DL62" s="123"/>
      <c r="DM62" s="123"/>
      <c r="DN62" s="123"/>
      <c r="DO62" s="123"/>
      <c r="DP62" s="123"/>
      <c r="DQ62" s="111"/>
      <c r="DR62" s="120"/>
      <c r="DS62" s="120"/>
      <c r="DT62" s="120"/>
      <c r="DU62" s="120"/>
      <c r="DV62" s="120"/>
      <c r="DW62" s="120"/>
      <c r="DX62" s="120"/>
      <c r="DY62" s="120"/>
      <c r="DZ62" s="120"/>
      <c r="EA62" s="122"/>
      <c r="EB62" s="122"/>
      <c r="EC62" s="122"/>
      <c r="ED62" s="122"/>
      <c r="EE62" s="122"/>
      <c r="EF62" s="122"/>
      <c r="EG62" s="122"/>
      <c r="EH62" s="122"/>
      <c r="EI62" s="122"/>
      <c r="EJ62" s="122"/>
      <c r="EK62" s="131"/>
      <c r="EL62" s="122"/>
      <c r="EM62" s="131"/>
      <c r="EN62" s="131"/>
      <c r="EO62" s="131"/>
      <c r="EP62" s="131"/>
      <c r="EQ62" s="131"/>
      <c r="ER62" s="131"/>
      <c r="ES62" s="131"/>
      <c r="ET62" s="131"/>
      <c r="EU62" s="131"/>
      <c r="EV62" s="139"/>
      <c r="EW62" s="131"/>
      <c r="EX62" s="139"/>
      <c r="EY62" s="123"/>
      <c r="EZ62" s="141"/>
      <c r="FA62" s="131"/>
      <c r="FB62" s="143"/>
      <c r="FC62" s="123"/>
      <c r="FD62" s="131"/>
      <c r="FE62" s="131"/>
      <c r="FF62" s="92"/>
      <c r="FG62" s="50"/>
    </row>
    <row r="63" spans="2:163" ht="12.75" customHeight="1">
      <c r="H63" s="345" t="s">
        <v>19</v>
      </c>
      <c r="I63" s="346"/>
      <c r="J63" s="346"/>
      <c r="K63" s="8"/>
      <c r="L63" s="291"/>
      <c r="M63" s="288"/>
      <c r="N63" s="5"/>
      <c r="O63" s="5"/>
      <c r="P63" s="5"/>
      <c r="Q63" s="5"/>
      <c r="R63" s="5"/>
      <c r="S63" s="156"/>
      <c r="T63" s="152"/>
      <c r="AA63" s="111" t="s">
        <v>245</v>
      </c>
      <c r="AB63" s="111" t="s">
        <v>311</v>
      </c>
      <c r="AC63" s="111">
        <v>44</v>
      </c>
      <c r="AD63" s="116">
        <v>0.3</v>
      </c>
      <c r="AE63" s="120">
        <v>500</v>
      </c>
      <c r="AF63" s="121">
        <v>300</v>
      </c>
      <c r="AG63" s="121">
        <v>10</v>
      </c>
      <c r="AH63" s="121">
        <v>14</v>
      </c>
      <c r="AI63" s="121">
        <v>472</v>
      </c>
      <c r="AJ63" s="64" t="str" cm="1">
        <f t="array" ref="AJ63">_xll.Dce_Name_SectI(AE63, AE63, AF63, AG63, AH63, "x", "-", "H Tổng")</f>
        <v>500x300x10x14</v>
      </c>
      <c r="AK63" s="122">
        <f t="shared" si="6"/>
        <v>760</v>
      </c>
      <c r="AL63" s="123">
        <f t="shared" si="7"/>
        <v>300</v>
      </c>
      <c r="AM63" s="123">
        <f t="shared" si="8"/>
        <v>25</v>
      </c>
      <c r="AN63" s="123">
        <f t="shared" si="9"/>
        <v>8</v>
      </c>
      <c r="AO63" s="123">
        <f t="shared" si="10"/>
        <v>24</v>
      </c>
      <c r="AP63" s="165" t="str">
        <f t="shared" si="11"/>
        <v>760x300x25 + 8M24</v>
      </c>
      <c r="AQ63" s="111" t="s">
        <v>333</v>
      </c>
      <c r="AR63" s="120">
        <v>0</v>
      </c>
      <c r="AS63" s="120">
        <v>-175.75260195099898</v>
      </c>
      <c r="AT63" s="120">
        <v>-5.8435034588910628E-14</v>
      </c>
      <c r="AU63" s="120">
        <v>-1.4403669572350421E-3</v>
      </c>
      <c r="AV63" s="120">
        <v>-2.4561695681768463E-13</v>
      </c>
      <c r="AW63" s="120">
        <v>-351.83882337526796</v>
      </c>
      <c r="AX63" s="120"/>
      <c r="AY63" s="120"/>
      <c r="AZ63" s="120"/>
      <c r="BA63" s="122">
        <f t="shared" si="12"/>
        <v>60</v>
      </c>
      <c r="BB63" s="122">
        <f t="shared" si="13"/>
        <v>70</v>
      </c>
      <c r="BC63" s="122">
        <f t="shared" si="14"/>
        <v>80</v>
      </c>
      <c r="BD63" s="122">
        <f t="shared" si="15"/>
        <v>150</v>
      </c>
      <c r="BE63" s="122">
        <f>VLOOKUP(AO63,Data!$V$4:$Z$15,3,FALSE)</f>
        <v>452.38934211693021</v>
      </c>
      <c r="BF63" s="122">
        <f>VLOOKUP(AO63,Data!$V$4:$Z$15,4,FALSE)</f>
        <v>353</v>
      </c>
      <c r="BG63" s="163">
        <f t="shared" si="16"/>
        <v>150</v>
      </c>
      <c r="BH63" s="122">
        <f t="shared" si="17"/>
        <v>121.65654188208487</v>
      </c>
      <c r="BI63" s="122">
        <f t="shared" si="18"/>
        <v>243</v>
      </c>
      <c r="BJ63" s="163">
        <f t="shared" si="19"/>
        <v>142.3296</v>
      </c>
      <c r="BK63" s="131">
        <f t="shared" si="20"/>
        <v>21.969075243874872</v>
      </c>
      <c r="BL63" s="134">
        <f t="shared" si="21"/>
        <v>0.94666666666666666</v>
      </c>
      <c r="BM63" s="135">
        <f t="shared" si="22"/>
        <v>0.19075644650745174</v>
      </c>
      <c r="BN63" s="92" t="str">
        <f t="shared" si="23"/>
        <v>OK</v>
      </c>
      <c r="BO63" s="135">
        <f>_xll.DCEBoltDisRS(AN63, AE63, BA63, BB63, BC63, BD63, "h1")</f>
        <v>640</v>
      </c>
      <c r="BP63" s="136">
        <f>_xll.DCEBoltDisRS(AN63, AE63, BA63, BB63, BC63, BD63, "Tong")</f>
        <v>672200</v>
      </c>
      <c r="BQ63" s="137">
        <f t="shared" si="24"/>
        <v>167.49244790253755</v>
      </c>
      <c r="BR63" s="135">
        <f t="shared" si="25"/>
        <v>1.176792795753923</v>
      </c>
      <c r="BS63" s="64" t="str">
        <f t="shared" si="26"/>
        <v>O/S</v>
      </c>
      <c r="BT63" s="131">
        <f t="shared" si="27"/>
        <v>1.1905676884277523</v>
      </c>
      <c r="BU63" s="92" t="str">
        <f t="shared" si="28"/>
        <v>O/S</v>
      </c>
      <c r="BV63" s="139">
        <f t="shared" si="29"/>
        <v>723.9481962454073</v>
      </c>
      <c r="BW63" s="131">
        <f t="shared" si="30"/>
        <v>13.574028679601387</v>
      </c>
      <c r="BX63" s="139">
        <f t="shared" si="31"/>
        <v>361.97409812270365</v>
      </c>
      <c r="BY63" s="123">
        <f t="shared" si="32"/>
        <v>171.46141490022808</v>
      </c>
      <c r="BZ63" s="141">
        <f t="shared" si="33"/>
        <v>0.83349298909833103</v>
      </c>
      <c r="CA63" s="131">
        <f t="shared" si="34"/>
        <v>19.051268322247562</v>
      </c>
      <c r="CB63" s="143">
        <f t="shared" si="35"/>
        <v>0.15967298641730476</v>
      </c>
      <c r="CC63" s="123">
        <f t="shared" si="36"/>
        <v>174.60775834322763</v>
      </c>
      <c r="CD63" s="131">
        <f t="shared" si="37"/>
        <v>0.73807627318997204</v>
      </c>
      <c r="CE63" s="135">
        <f t="shared" si="38"/>
        <v>0.83349298909833103</v>
      </c>
      <c r="CF63" s="92" t="str">
        <f t="shared" si="39"/>
        <v>OK</v>
      </c>
      <c r="CG63" s="50"/>
      <c r="DA63" s="111"/>
      <c r="DB63" s="111"/>
      <c r="DC63" s="111"/>
      <c r="DD63" s="116"/>
      <c r="DE63" s="120"/>
      <c r="DF63" s="121"/>
      <c r="DG63" s="121"/>
      <c r="DH63" s="121"/>
      <c r="DI63" s="121"/>
      <c r="DJ63" s="121"/>
      <c r="DK63" s="122"/>
      <c r="DL63" s="123"/>
      <c r="DM63" s="123"/>
      <c r="DN63" s="123"/>
      <c r="DO63" s="123"/>
      <c r="DP63" s="123"/>
      <c r="DQ63" s="111"/>
      <c r="DR63" s="120"/>
      <c r="DS63" s="120"/>
      <c r="DT63" s="120"/>
      <c r="DU63" s="120"/>
      <c r="DV63" s="120"/>
      <c r="DW63" s="120"/>
      <c r="DX63" s="120"/>
      <c r="DY63" s="120"/>
      <c r="DZ63" s="120"/>
      <c r="EA63" s="122"/>
      <c r="EB63" s="122"/>
      <c r="EC63" s="122"/>
      <c r="ED63" s="122"/>
      <c r="EE63" s="122"/>
      <c r="EF63" s="122"/>
      <c r="EG63" s="122"/>
      <c r="EH63" s="122"/>
      <c r="EI63" s="122"/>
      <c r="EJ63" s="122"/>
      <c r="EK63" s="131"/>
      <c r="EL63" s="122"/>
      <c r="EM63" s="131"/>
      <c r="EN63" s="131"/>
      <c r="EO63" s="131"/>
      <c r="EP63" s="131"/>
      <c r="EQ63" s="131"/>
      <c r="ER63" s="131"/>
      <c r="ES63" s="131"/>
      <c r="ET63" s="131"/>
      <c r="EU63" s="131"/>
      <c r="EV63" s="139"/>
      <c r="EW63" s="131"/>
      <c r="EX63" s="139"/>
      <c r="EY63" s="123"/>
      <c r="EZ63" s="141"/>
      <c r="FA63" s="131"/>
      <c r="FB63" s="143"/>
      <c r="FC63" s="123"/>
      <c r="FD63" s="131"/>
      <c r="FE63" s="131"/>
      <c r="FF63" s="92"/>
      <c r="FG63" s="50"/>
    </row>
    <row r="64" spans="2:163">
      <c r="H64" s="245" t="s">
        <v>72</v>
      </c>
      <c r="I64" s="53"/>
      <c r="J64" s="53"/>
      <c r="K64" s="66"/>
      <c r="L64" s="66"/>
      <c r="M64" s="66"/>
      <c r="N64" s="249"/>
      <c r="O64" s="285"/>
      <c r="P64" s="66"/>
      <c r="Q64" s="5"/>
      <c r="R64" s="5"/>
      <c r="S64" s="153"/>
      <c r="T64" s="152"/>
      <c r="AA64" s="111" t="s">
        <v>245</v>
      </c>
      <c r="AB64" s="111" t="s">
        <v>311</v>
      </c>
      <c r="AC64" s="111">
        <v>44</v>
      </c>
      <c r="AD64" s="116">
        <v>3</v>
      </c>
      <c r="AE64" s="120">
        <v>500</v>
      </c>
      <c r="AF64" s="121">
        <v>300</v>
      </c>
      <c r="AG64" s="121">
        <v>10</v>
      </c>
      <c r="AH64" s="121">
        <v>14</v>
      </c>
      <c r="AI64" s="121">
        <v>472</v>
      </c>
      <c r="AJ64" s="64" t="str" cm="1">
        <f t="array" ref="AJ64">_xll.Dce_Name_SectI(AE64, AE64, AF64, AG64, AH64, "x", "-", "H Tổng")</f>
        <v>500x300x10x14</v>
      </c>
      <c r="AK64" s="122">
        <f t="shared" si="6"/>
        <v>760</v>
      </c>
      <c r="AL64" s="123">
        <f t="shared" si="7"/>
        <v>300</v>
      </c>
      <c r="AM64" s="123">
        <f t="shared" si="8"/>
        <v>25</v>
      </c>
      <c r="AN64" s="123">
        <f t="shared" si="9"/>
        <v>8</v>
      </c>
      <c r="AO64" s="123">
        <f t="shared" si="10"/>
        <v>24</v>
      </c>
      <c r="AP64" s="165" t="str">
        <f t="shared" si="11"/>
        <v>760x300x25 + 8M24</v>
      </c>
      <c r="AQ64" s="111" t="s">
        <v>333</v>
      </c>
      <c r="AR64" s="120">
        <v>0</v>
      </c>
      <c r="AS64" s="120">
        <v>-119.43015162042707</v>
      </c>
      <c r="AT64" s="120">
        <v>3.9854057831689708E-13</v>
      </c>
      <c r="AU64" s="120">
        <v>-1.4399327863186364E-3</v>
      </c>
      <c r="AV64" s="120">
        <v>-2.2113636077847326E-13</v>
      </c>
      <c r="AW64" s="120">
        <v>60.121509411035802</v>
      </c>
      <c r="AX64" s="120"/>
      <c r="AY64" s="120"/>
      <c r="AZ64" s="120"/>
      <c r="BA64" s="122">
        <f t="shared" si="12"/>
        <v>60</v>
      </c>
      <c r="BB64" s="122">
        <f t="shared" si="13"/>
        <v>70</v>
      </c>
      <c r="BC64" s="122">
        <f t="shared" si="14"/>
        <v>80</v>
      </c>
      <c r="BD64" s="122">
        <f t="shared" si="15"/>
        <v>150</v>
      </c>
      <c r="BE64" s="122">
        <f>VLOOKUP(AO64,Data!$V$4:$Z$15,3,FALSE)</f>
        <v>452.38934211693021</v>
      </c>
      <c r="BF64" s="122">
        <f>VLOOKUP(AO64,Data!$V$4:$Z$15,4,FALSE)</f>
        <v>353</v>
      </c>
      <c r="BG64" s="163">
        <f t="shared" si="16"/>
        <v>150</v>
      </c>
      <c r="BH64" s="122">
        <f t="shared" si="17"/>
        <v>121.65654188208487</v>
      </c>
      <c r="BI64" s="122">
        <f t="shared" si="18"/>
        <v>243</v>
      </c>
      <c r="BJ64" s="163">
        <f t="shared" si="19"/>
        <v>142.3296</v>
      </c>
      <c r="BK64" s="131">
        <f t="shared" si="20"/>
        <v>14.928768952553384</v>
      </c>
      <c r="BL64" s="134">
        <f t="shared" si="21"/>
        <v>0.94666666666666666</v>
      </c>
      <c r="BM64" s="135">
        <f t="shared" si="22"/>
        <v>0.1296257982872461</v>
      </c>
      <c r="BN64" s="92" t="str">
        <f t="shared" si="23"/>
        <v>OK</v>
      </c>
      <c r="BO64" s="135">
        <f>_xll.DCEBoltDisRS(AN64, AE64, BA64, BB64, BC64, BD64, "h1")</f>
        <v>640</v>
      </c>
      <c r="BP64" s="136">
        <f>_xll.DCEBoltDisRS(AN64, AE64, BA64, BB64, BC64, BD64, "Tong")</f>
        <v>672200</v>
      </c>
      <c r="BQ64" s="137">
        <f t="shared" si="24"/>
        <v>28.620772108794196</v>
      </c>
      <c r="BR64" s="135">
        <f t="shared" si="25"/>
        <v>0.20108798246319948</v>
      </c>
      <c r="BS64" s="64" t="str">
        <f t="shared" si="26"/>
        <v>OK</v>
      </c>
      <c r="BT64" s="131">
        <f t="shared" si="27"/>
        <v>0.23557316336361878</v>
      </c>
      <c r="BU64" s="92" t="str">
        <f t="shared" si="28"/>
        <v>OK</v>
      </c>
      <c r="BV64" s="139">
        <f t="shared" si="29"/>
        <v>123.70680948772799</v>
      </c>
      <c r="BW64" s="131">
        <f t="shared" si="30"/>
        <v>2.3195026778948997</v>
      </c>
      <c r="BX64" s="139">
        <f t="shared" si="31"/>
        <v>61.853404743863997</v>
      </c>
      <c r="BY64" s="123">
        <f t="shared" si="32"/>
        <v>29.298981194461895</v>
      </c>
      <c r="BZ64" s="141">
        <f t="shared" si="33"/>
        <v>0.14242560302863422</v>
      </c>
      <c r="CA64" s="131">
        <f t="shared" si="34"/>
        <v>3.2554423549402105</v>
      </c>
      <c r="CB64" s="143">
        <f t="shared" si="35"/>
        <v>2.7284598281347553E-2</v>
      </c>
      <c r="CC64" s="123">
        <f t="shared" si="36"/>
        <v>29.836622024157624</v>
      </c>
      <c r="CD64" s="131">
        <f t="shared" si="37"/>
        <v>0.12612098681709144</v>
      </c>
      <c r="CE64" s="135">
        <f t="shared" si="38"/>
        <v>0.14242560302863422</v>
      </c>
      <c r="CF64" s="92" t="str">
        <f t="shared" si="39"/>
        <v>OK</v>
      </c>
      <c r="CG64" s="50"/>
      <c r="DA64" s="111"/>
      <c r="DB64" s="111"/>
      <c r="DC64" s="111"/>
      <c r="DD64" s="116"/>
      <c r="DE64" s="120"/>
      <c r="DF64" s="121"/>
      <c r="DG64" s="121"/>
      <c r="DH64" s="121"/>
      <c r="DI64" s="121"/>
      <c r="DJ64" s="121"/>
      <c r="DK64" s="122"/>
      <c r="DL64" s="123"/>
      <c r="DM64" s="123"/>
      <c r="DN64" s="123"/>
      <c r="DO64" s="123"/>
      <c r="DP64" s="123"/>
      <c r="DQ64" s="111"/>
      <c r="DR64" s="120"/>
      <c r="DS64" s="120"/>
      <c r="DT64" s="120"/>
      <c r="DU64" s="120"/>
      <c r="DV64" s="120"/>
      <c r="DW64" s="120"/>
      <c r="DX64" s="120"/>
      <c r="DY64" s="120"/>
      <c r="DZ64" s="120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31"/>
      <c r="EL64" s="122"/>
      <c r="EM64" s="276"/>
      <c r="EN64" s="276"/>
      <c r="EO64" s="135"/>
      <c r="EP64" s="136"/>
      <c r="EQ64" s="137"/>
      <c r="ER64" s="276"/>
      <c r="ES64" s="276"/>
      <c r="ET64" s="276"/>
      <c r="EU64" s="276"/>
      <c r="EV64" s="139"/>
      <c r="EW64" s="131"/>
      <c r="EX64" s="139"/>
      <c r="EY64" s="123"/>
      <c r="EZ64" s="141"/>
      <c r="FA64" s="131"/>
      <c r="FB64" s="143"/>
      <c r="FC64" s="123"/>
      <c r="FD64" s="131"/>
      <c r="FE64" s="276"/>
      <c r="FF64" s="276"/>
      <c r="FG64" s="50"/>
    </row>
    <row r="65" spans="8:163" ht="14.25">
      <c r="H65" s="102" t="str">
        <f>"- Khả năng chịu cắt của 1 bu lông:"</f>
        <v>- Khả năng chịu cắt của 1 bu lông:</v>
      </c>
      <c r="I65" s="292"/>
      <c r="J65" s="292"/>
      <c r="K65" s="8"/>
      <c r="L65" s="291"/>
      <c r="M65" s="288"/>
      <c r="N65" s="5"/>
      <c r="O65" s="5"/>
      <c r="P65" s="5"/>
      <c r="Q65" s="8" t="s">
        <v>73</v>
      </c>
      <c r="R65" s="293">
        <f>R17*R21*R23*R24*R25/1000</f>
        <v>121.65654188208487</v>
      </c>
      <c r="S65" s="155" t="s">
        <v>20</v>
      </c>
      <c r="T65" s="152"/>
      <c r="AA65" s="111" t="s">
        <v>245</v>
      </c>
      <c r="AB65" s="111" t="s">
        <v>311</v>
      </c>
      <c r="AC65" s="111">
        <v>44</v>
      </c>
      <c r="AD65" s="116">
        <v>0.3</v>
      </c>
      <c r="AE65" s="120">
        <v>500</v>
      </c>
      <c r="AF65" s="121">
        <v>300</v>
      </c>
      <c r="AG65" s="121">
        <v>10</v>
      </c>
      <c r="AH65" s="121">
        <v>14</v>
      </c>
      <c r="AI65" s="121">
        <v>472</v>
      </c>
      <c r="AJ65" s="64" t="str" cm="1">
        <f t="array" ref="AJ65">_xll.Dce_Name_SectI(AE65, AE65, AF65, AG65, AH65, "x", "-", "H Tổng")</f>
        <v>500x300x10x14</v>
      </c>
      <c r="AK65" s="122">
        <f t="shared" si="6"/>
        <v>760</v>
      </c>
      <c r="AL65" s="123">
        <f t="shared" si="7"/>
        <v>300</v>
      </c>
      <c r="AM65" s="123">
        <f t="shared" si="8"/>
        <v>25</v>
      </c>
      <c r="AN65" s="123">
        <f t="shared" si="9"/>
        <v>8</v>
      </c>
      <c r="AO65" s="123">
        <f t="shared" si="10"/>
        <v>24</v>
      </c>
      <c r="AP65" s="165" t="str">
        <f t="shared" si="11"/>
        <v>760x300x25 + 8M24</v>
      </c>
      <c r="AQ65" s="111" t="s">
        <v>334</v>
      </c>
      <c r="AR65" s="120">
        <v>0</v>
      </c>
      <c r="AS65" s="120">
        <v>-172.7655712796506</v>
      </c>
      <c r="AT65" s="120">
        <v>-8.753886504564432E-14</v>
      </c>
      <c r="AU65" s="120">
        <v>-1.5998096747598259E-3</v>
      </c>
      <c r="AV65" s="120">
        <v>-2.3717684598523185E-13</v>
      </c>
      <c r="AW65" s="120">
        <v>-339.9928223317703</v>
      </c>
      <c r="AX65" s="120"/>
      <c r="AY65" s="120"/>
      <c r="AZ65" s="120"/>
      <c r="BA65" s="122">
        <f t="shared" si="12"/>
        <v>60</v>
      </c>
      <c r="BB65" s="122">
        <f t="shared" si="13"/>
        <v>70</v>
      </c>
      <c r="BC65" s="122">
        <f t="shared" si="14"/>
        <v>80</v>
      </c>
      <c r="BD65" s="122">
        <f t="shared" si="15"/>
        <v>150</v>
      </c>
      <c r="BE65" s="122">
        <f>VLOOKUP(AO65,Data!$V$4:$Z$15,3,FALSE)</f>
        <v>452.38934211693021</v>
      </c>
      <c r="BF65" s="122">
        <f>VLOOKUP(AO65,Data!$V$4:$Z$15,4,FALSE)</f>
        <v>353</v>
      </c>
      <c r="BG65" s="163">
        <f t="shared" si="16"/>
        <v>150</v>
      </c>
      <c r="BH65" s="122">
        <f t="shared" si="17"/>
        <v>121.65654188208487</v>
      </c>
      <c r="BI65" s="122">
        <f t="shared" si="18"/>
        <v>243</v>
      </c>
      <c r="BJ65" s="163">
        <f t="shared" si="19"/>
        <v>142.3296</v>
      </c>
      <c r="BK65" s="131">
        <f t="shared" si="20"/>
        <v>21.595696409956325</v>
      </c>
      <c r="BL65" s="134">
        <f t="shared" si="21"/>
        <v>0.94666666666666666</v>
      </c>
      <c r="BM65" s="135">
        <f t="shared" si="22"/>
        <v>0.1875144156632424</v>
      </c>
      <c r="BN65" s="92" t="str">
        <f t="shared" si="23"/>
        <v>OK</v>
      </c>
      <c r="BO65" s="135">
        <f>_xll.DCEBoltDisRS(AN65, AE65, BA65, BB65, BC65, BD65, "h1")</f>
        <v>640</v>
      </c>
      <c r="BP65" s="136">
        <f>_xll.DCEBoltDisRS(AN65, AE65, BA65, BB65, BC65, BD65, "Tong")</f>
        <v>672200</v>
      </c>
      <c r="BQ65" s="137">
        <f t="shared" si="24"/>
        <v>161.85317338019414</v>
      </c>
      <c r="BR65" s="135">
        <f t="shared" si="25"/>
        <v>1.1371715608010853</v>
      </c>
      <c r="BS65" s="64" t="str">
        <f t="shared" si="26"/>
        <v>O/S</v>
      </c>
      <c r="BT65" s="131">
        <f t="shared" si="27"/>
        <v>1.1509432016849945</v>
      </c>
      <c r="BU65" s="92" t="str">
        <f t="shared" si="28"/>
        <v>O/S</v>
      </c>
      <c r="BV65" s="139">
        <f t="shared" si="29"/>
        <v>699.57370850158497</v>
      </c>
      <c r="BW65" s="131">
        <f t="shared" si="30"/>
        <v>13.117007034404718</v>
      </c>
      <c r="BX65" s="139">
        <f t="shared" si="31"/>
        <v>349.78685425079249</v>
      </c>
      <c r="BY65" s="123">
        <f t="shared" si="32"/>
        <v>165.68850990827011</v>
      </c>
      <c r="BZ65" s="141">
        <f t="shared" si="33"/>
        <v>0.80543025649853528</v>
      </c>
      <c r="CA65" s="131">
        <f t="shared" si="34"/>
        <v>18.409834434252236</v>
      </c>
      <c r="CB65" s="143">
        <f t="shared" si="35"/>
        <v>0.15429698400355085</v>
      </c>
      <c r="CC65" s="123">
        <f t="shared" si="36"/>
        <v>168.72891965313079</v>
      </c>
      <c r="CD65" s="131">
        <f t="shared" si="37"/>
        <v>0.71322610964487665</v>
      </c>
      <c r="CE65" s="135">
        <f t="shared" si="38"/>
        <v>0.80543025649853528</v>
      </c>
      <c r="CF65" s="92" t="str">
        <f t="shared" si="39"/>
        <v>OK</v>
      </c>
      <c r="CG65" s="50"/>
      <c r="DA65" s="111"/>
      <c r="DB65" s="111"/>
      <c r="DC65" s="111"/>
      <c r="DD65" s="116"/>
      <c r="DE65" s="120"/>
      <c r="DF65" s="121"/>
      <c r="DG65" s="121"/>
      <c r="DH65" s="121"/>
      <c r="DI65" s="121"/>
      <c r="DJ65" s="121"/>
      <c r="DK65" s="122"/>
      <c r="DL65" s="123"/>
      <c r="DM65" s="123"/>
      <c r="DN65" s="123"/>
      <c r="DO65" s="123"/>
      <c r="DP65" s="123"/>
      <c r="DQ65" s="111"/>
      <c r="DR65" s="120"/>
      <c r="DS65" s="120"/>
      <c r="DT65" s="120"/>
      <c r="DU65" s="120"/>
      <c r="DV65" s="120"/>
      <c r="DW65" s="120"/>
      <c r="DX65" s="120"/>
      <c r="DY65" s="120"/>
      <c r="DZ65" s="120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31"/>
      <c r="EL65" s="122"/>
      <c r="EM65" s="276"/>
      <c r="EN65" s="276"/>
      <c r="EO65" s="135"/>
      <c r="EP65" s="136"/>
      <c r="EQ65" s="137"/>
      <c r="ER65" s="276"/>
      <c r="ES65" s="276"/>
      <c r="ET65" s="276"/>
      <c r="EU65" s="276"/>
      <c r="EV65" s="139"/>
      <c r="EW65" s="131"/>
      <c r="EX65" s="139"/>
      <c r="EY65" s="123"/>
      <c r="EZ65" s="141"/>
      <c r="FA65" s="131"/>
      <c r="FB65" s="143"/>
      <c r="FC65" s="123"/>
      <c r="FD65" s="131"/>
      <c r="FE65" s="276"/>
      <c r="FF65" s="276"/>
      <c r="FG65" s="50"/>
    </row>
    <row r="66" spans="8:163" ht="14.25">
      <c r="H66" s="102" t="str">
        <f>"- Khả năng chịu ép mặt của 1 bu lông:"</f>
        <v>- Khả năng chịu ép mặt của 1 bu lông:</v>
      </c>
      <c r="I66" s="292"/>
      <c r="J66" s="292"/>
      <c r="K66" s="8"/>
      <c r="L66" s="291"/>
      <c r="M66" s="91"/>
      <c r="N66" s="6"/>
      <c r="O66" s="6"/>
      <c r="P66" s="5"/>
      <c r="Q66" s="8" t="s">
        <v>75</v>
      </c>
      <c r="R66" s="293">
        <f>R19*R20*R48*R24*R25/1000</f>
        <v>243</v>
      </c>
      <c r="S66" s="155" t="s">
        <v>20</v>
      </c>
      <c r="T66" s="152"/>
      <c r="AA66" s="111" t="s">
        <v>245</v>
      </c>
      <c r="AB66" s="111" t="s">
        <v>311</v>
      </c>
      <c r="AC66" s="111">
        <v>44</v>
      </c>
      <c r="AD66" s="116">
        <v>3</v>
      </c>
      <c r="AE66" s="120">
        <v>500</v>
      </c>
      <c r="AF66" s="121">
        <v>300</v>
      </c>
      <c r="AG66" s="121">
        <v>10</v>
      </c>
      <c r="AH66" s="121">
        <v>14</v>
      </c>
      <c r="AI66" s="121">
        <v>472</v>
      </c>
      <c r="AJ66" s="64" t="str" cm="1">
        <f t="array" ref="AJ66">_xll.Dce_Name_SectI(AE66, AE66, AF66, AG66, AH66, "x", "-", "H Tổng")</f>
        <v>500x300x10x14</v>
      </c>
      <c r="AK66" s="122">
        <f t="shared" si="6"/>
        <v>760</v>
      </c>
      <c r="AL66" s="123">
        <f t="shared" si="7"/>
        <v>300</v>
      </c>
      <c r="AM66" s="123">
        <f t="shared" si="8"/>
        <v>25</v>
      </c>
      <c r="AN66" s="123">
        <f t="shared" si="9"/>
        <v>8</v>
      </c>
      <c r="AO66" s="123">
        <f t="shared" si="10"/>
        <v>24</v>
      </c>
      <c r="AP66" s="165" t="str">
        <f t="shared" si="11"/>
        <v>760x300x25 + 8M24</v>
      </c>
      <c r="AQ66" s="111" t="s">
        <v>334</v>
      </c>
      <c r="AR66" s="120">
        <v>0</v>
      </c>
      <c r="AS66" s="120">
        <v>-116.44312292737058</v>
      </c>
      <c r="AT66" s="120">
        <v>-2.9995135264471167E-13</v>
      </c>
      <c r="AU66" s="120">
        <v>-1.5993293767208397E-3</v>
      </c>
      <c r="AV66" s="120">
        <v>3.0180126486811778E-13</v>
      </c>
      <c r="AW66" s="120">
        <v>63.902698812822969</v>
      </c>
      <c r="AX66" s="120"/>
      <c r="AY66" s="120"/>
      <c r="AZ66" s="120"/>
      <c r="BA66" s="122">
        <f t="shared" si="12"/>
        <v>60</v>
      </c>
      <c r="BB66" s="122">
        <f t="shared" si="13"/>
        <v>70</v>
      </c>
      <c r="BC66" s="122">
        <f t="shared" si="14"/>
        <v>80</v>
      </c>
      <c r="BD66" s="122">
        <f t="shared" si="15"/>
        <v>150</v>
      </c>
      <c r="BE66" s="122">
        <f>VLOOKUP(AO66,Data!$V$4:$Z$15,3,FALSE)</f>
        <v>452.38934211693021</v>
      </c>
      <c r="BF66" s="122">
        <f>VLOOKUP(AO66,Data!$V$4:$Z$15,4,FALSE)</f>
        <v>353</v>
      </c>
      <c r="BG66" s="163">
        <f t="shared" si="16"/>
        <v>150</v>
      </c>
      <c r="BH66" s="122">
        <f t="shared" si="17"/>
        <v>121.65654188208487</v>
      </c>
      <c r="BI66" s="122">
        <f t="shared" si="18"/>
        <v>243</v>
      </c>
      <c r="BJ66" s="163">
        <f t="shared" si="19"/>
        <v>142.3296</v>
      </c>
      <c r="BK66" s="131">
        <f t="shared" si="20"/>
        <v>14.555390365921323</v>
      </c>
      <c r="BL66" s="134">
        <f t="shared" si="21"/>
        <v>0.94666666666666666</v>
      </c>
      <c r="BM66" s="135">
        <f t="shared" si="22"/>
        <v>0.12638376959021369</v>
      </c>
      <c r="BN66" s="92" t="str">
        <f t="shared" si="23"/>
        <v>OK</v>
      </c>
      <c r="BO66" s="135">
        <f>_xll.DCEBoltDisRS(AN66, AE66, BA66, BB66, BC66, BD66, "h1")</f>
        <v>640</v>
      </c>
      <c r="BP66" s="136">
        <f>_xll.DCEBoltDisRS(AN66, AE66, BA66, BB66, BC66, BD66, "Tong")</f>
        <v>672200</v>
      </c>
      <c r="BQ66" s="137">
        <f t="shared" si="24"/>
        <v>30.420802767187372</v>
      </c>
      <c r="BR66" s="135">
        <f t="shared" si="25"/>
        <v>0.21373489960758249</v>
      </c>
      <c r="BS66" s="64" t="str">
        <f t="shared" si="26"/>
        <v>OK</v>
      </c>
      <c r="BT66" s="131">
        <f t="shared" si="27"/>
        <v>0.24494310971062164</v>
      </c>
      <c r="BU66" s="92" t="str">
        <f t="shared" si="28"/>
        <v>OK</v>
      </c>
      <c r="BV66" s="139">
        <f t="shared" si="29"/>
        <v>131.48703459428594</v>
      </c>
      <c r="BW66" s="131">
        <f t="shared" si="30"/>
        <v>2.4653818986428613</v>
      </c>
      <c r="BX66" s="139">
        <f t="shared" si="31"/>
        <v>65.743517297142972</v>
      </c>
      <c r="BY66" s="123">
        <f t="shared" si="32"/>
        <v>31.141666088120353</v>
      </c>
      <c r="BZ66" s="141">
        <f t="shared" si="33"/>
        <v>0.15138309903947395</v>
      </c>
      <c r="CA66" s="131">
        <f t="shared" si="34"/>
        <v>3.4601851209022616</v>
      </c>
      <c r="CB66" s="143">
        <f t="shared" si="35"/>
        <v>2.900059368572298E-2</v>
      </c>
      <c r="CC66" s="123">
        <f t="shared" si="36"/>
        <v>31.713120470189075</v>
      </c>
      <c r="CD66" s="131">
        <f t="shared" si="37"/>
        <v>0.13405304546577509</v>
      </c>
      <c r="CE66" s="135">
        <f t="shared" si="38"/>
        <v>0.15138309903947395</v>
      </c>
      <c r="CF66" s="92" t="str">
        <f t="shared" si="39"/>
        <v>OK</v>
      </c>
      <c r="CG66" s="50"/>
      <c r="DA66" s="111"/>
      <c r="DB66" s="111"/>
      <c r="DC66" s="111"/>
      <c r="DD66" s="116"/>
      <c r="DE66" s="120"/>
      <c r="DF66" s="121"/>
      <c r="DG66" s="121"/>
      <c r="DH66" s="121"/>
      <c r="DI66" s="121"/>
      <c r="DJ66" s="121"/>
      <c r="DK66" s="122"/>
      <c r="DL66" s="123"/>
      <c r="DM66" s="123"/>
      <c r="DN66" s="123"/>
      <c r="DO66" s="123"/>
      <c r="DP66" s="123"/>
      <c r="DQ66" s="111"/>
      <c r="DR66" s="120"/>
      <c r="DS66" s="120"/>
      <c r="DT66" s="120"/>
      <c r="DU66" s="120"/>
      <c r="DV66" s="120"/>
      <c r="DW66" s="120"/>
      <c r="DX66" s="120"/>
      <c r="DY66" s="120"/>
      <c r="DZ66" s="120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31"/>
      <c r="EL66" s="122"/>
      <c r="EM66" s="276"/>
      <c r="EN66" s="276"/>
      <c r="EO66" s="135"/>
      <c r="EP66" s="136"/>
      <c r="EQ66" s="137"/>
      <c r="ER66" s="276"/>
      <c r="ES66" s="276"/>
      <c r="ET66" s="276"/>
      <c r="EU66" s="276"/>
      <c r="EV66" s="139"/>
      <c r="EW66" s="131"/>
      <c r="EX66" s="139"/>
      <c r="EY66" s="123"/>
      <c r="EZ66" s="141"/>
      <c r="FA66" s="131"/>
      <c r="FB66" s="143"/>
      <c r="FC66" s="123"/>
      <c r="FD66" s="131"/>
      <c r="FE66" s="276"/>
      <c r="FF66" s="276"/>
      <c r="FG66" s="50"/>
    </row>
    <row r="67" spans="8:163" ht="14.25">
      <c r="H67" s="102" t="str">
        <f>"- Khả năng chịu kéo của 1 bu lông:"</f>
        <v>- Khả năng chịu kéo của 1 bu lông:</v>
      </c>
      <c r="I67" s="292"/>
      <c r="J67" s="292"/>
      <c r="K67" s="8"/>
      <c r="L67" s="291"/>
      <c r="M67" s="91"/>
      <c r="N67" s="6"/>
      <c r="O67" s="6"/>
      <c r="P67" s="5"/>
      <c r="Q67" s="8" t="s">
        <v>100</v>
      </c>
      <c r="R67" s="293">
        <f>R18*R22*R24/1000</f>
        <v>142.3296</v>
      </c>
      <c r="S67" s="155" t="s">
        <v>20</v>
      </c>
      <c r="T67" s="152"/>
      <c r="AA67" s="111" t="s">
        <v>245</v>
      </c>
      <c r="AB67" s="111" t="s">
        <v>311</v>
      </c>
      <c r="AC67" s="111">
        <v>44</v>
      </c>
      <c r="AD67" s="116">
        <v>0.3</v>
      </c>
      <c r="AE67" s="120">
        <v>500</v>
      </c>
      <c r="AF67" s="121">
        <v>300</v>
      </c>
      <c r="AG67" s="121">
        <v>10</v>
      </c>
      <c r="AH67" s="121">
        <v>14</v>
      </c>
      <c r="AI67" s="121">
        <v>472</v>
      </c>
      <c r="AJ67" s="64" t="str" cm="1">
        <f t="array" ref="AJ67">_xll.Dce_Name_SectI(AE67, AE67, AF67, AG67, AH67, "x", "-", "H Tổng")</f>
        <v>500x300x10x14</v>
      </c>
      <c r="AK67" s="122">
        <f t="shared" si="6"/>
        <v>760</v>
      </c>
      <c r="AL67" s="123">
        <f t="shared" si="7"/>
        <v>300</v>
      </c>
      <c r="AM67" s="123">
        <f t="shared" si="8"/>
        <v>25</v>
      </c>
      <c r="AN67" s="123">
        <f t="shared" si="9"/>
        <v>8</v>
      </c>
      <c r="AO67" s="123">
        <f t="shared" si="10"/>
        <v>24</v>
      </c>
      <c r="AP67" s="165" t="str">
        <f t="shared" si="11"/>
        <v>760x300x25 + 8M24</v>
      </c>
      <c r="AQ67" s="111" t="s">
        <v>335</v>
      </c>
      <c r="AR67" s="120">
        <v>0</v>
      </c>
      <c r="AS67" s="120">
        <v>-171.74327257429215</v>
      </c>
      <c r="AT67" s="120">
        <v>-8.753886504564432E-14</v>
      </c>
      <c r="AU67" s="120">
        <v>-1.5949879179040611E-3</v>
      </c>
      <c r="AV67" s="120">
        <v>-2.3717684598523185E-13</v>
      </c>
      <c r="AW67" s="120">
        <v>-327.89615736151427</v>
      </c>
      <c r="AX67" s="120"/>
      <c r="AY67" s="120"/>
      <c r="AZ67" s="120"/>
      <c r="BA67" s="122">
        <f t="shared" si="12"/>
        <v>60</v>
      </c>
      <c r="BB67" s="122">
        <f t="shared" si="13"/>
        <v>70</v>
      </c>
      <c r="BC67" s="122">
        <f t="shared" si="14"/>
        <v>80</v>
      </c>
      <c r="BD67" s="122">
        <f t="shared" si="15"/>
        <v>150</v>
      </c>
      <c r="BE67" s="122">
        <f>VLOOKUP(AO67,Data!$V$4:$Z$15,3,FALSE)</f>
        <v>452.38934211693021</v>
      </c>
      <c r="BF67" s="122">
        <f>VLOOKUP(AO67,Data!$V$4:$Z$15,4,FALSE)</f>
        <v>353</v>
      </c>
      <c r="BG67" s="163">
        <f t="shared" si="16"/>
        <v>150</v>
      </c>
      <c r="BH67" s="122">
        <f t="shared" si="17"/>
        <v>121.65654188208487</v>
      </c>
      <c r="BI67" s="122">
        <f t="shared" si="18"/>
        <v>243</v>
      </c>
      <c r="BJ67" s="163">
        <f t="shared" si="19"/>
        <v>142.3296</v>
      </c>
      <c r="BK67" s="131">
        <f t="shared" si="20"/>
        <v>21.467909071786519</v>
      </c>
      <c r="BL67" s="134">
        <f t="shared" si="21"/>
        <v>0.94666666666666666</v>
      </c>
      <c r="BM67" s="135">
        <f t="shared" si="22"/>
        <v>0.18640484421941414</v>
      </c>
      <c r="BN67" s="92" t="str">
        <f t="shared" si="23"/>
        <v>OK</v>
      </c>
      <c r="BO67" s="135">
        <f>_xll.DCEBoltDisRS(AN67, AE67, BA67, BB67, BC67, BD67, "h1")</f>
        <v>640</v>
      </c>
      <c r="BP67" s="136">
        <f>_xll.DCEBoltDisRS(AN67, AE67, BA67, BB67, BC67, BD67, "Tong")</f>
        <v>672200</v>
      </c>
      <c r="BQ67" s="137">
        <f t="shared" si="24"/>
        <v>156.09457059756707</v>
      </c>
      <c r="BR67" s="135">
        <f t="shared" si="25"/>
        <v>1.0967119320054792</v>
      </c>
      <c r="BS67" s="64" t="str">
        <f t="shared" si="26"/>
        <v>O/S</v>
      </c>
      <c r="BT67" s="131">
        <f t="shared" si="27"/>
        <v>1.1108178704431479</v>
      </c>
      <c r="BU67" s="92" t="str">
        <f t="shared" si="28"/>
        <v>O/S</v>
      </c>
      <c r="BV67" s="139">
        <f t="shared" si="29"/>
        <v>674.68345136114044</v>
      </c>
      <c r="BW67" s="131">
        <f t="shared" si="30"/>
        <v>12.650314713021382</v>
      </c>
      <c r="BX67" s="139">
        <f t="shared" si="31"/>
        <v>337.34172568057022</v>
      </c>
      <c r="BY67" s="123">
        <f t="shared" si="32"/>
        <v>159.79344900658589</v>
      </c>
      <c r="BZ67" s="141">
        <f t="shared" si="33"/>
        <v>0.77677371044868149</v>
      </c>
      <c r="CA67" s="131">
        <f t="shared" si="34"/>
        <v>17.754827667398434</v>
      </c>
      <c r="CB67" s="143">
        <f t="shared" si="35"/>
        <v>0.14880722422388537</v>
      </c>
      <c r="CC67" s="123">
        <f t="shared" si="36"/>
        <v>162.72568347349909</v>
      </c>
      <c r="CD67" s="131">
        <f t="shared" si="37"/>
        <v>0.6878501113010228</v>
      </c>
      <c r="CE67" s="135">
        <f t="shared" si="38"/>
        <v>0.77677371044868149</v>
      </c>
      <c r="CF67" s="92" t="str">
        <f t="shared" si="39"/>
        <v>OK</v>
      </c>
      <c r="CG67" s="50"/>
      <c r="DA67" s="111"/>
      <c r="DB67" s="111"/>
      <c r="DC67" s="111"/>
      <c r="DD67" s="116"/>
      <c r="DE67" s="120"/>
      <c r="DF67" s="121"/>
      <c r="DG67" s="121"/>
      <c r="DH67" s="121"/>
      <c r="DI67" s="121"/>
      <c r="DJ67" s="121"/>
      <c r="DK67" s="122"/>
      <c r="DL67" s="123"/>
      <c r="DM67" s="123"/>
      <c r="DN67" s="123"/>
      <c r="DO67" s="123"/>
      <c r="DP67" s="123"/>
      <c r="DQ67" s="111"/>
      <c r="DR67" s="120"/>
      <c r="DS67" s="120"/>
      <c r="DT67" s="120"/>
      <c r="DU67" s="120"/>
      <c r="DV67" s="120"/>
      <c r="DW67" s="120"/>
      <c r="DX67" s="120"/>
      <c r="DY67" s="120"/>
      <c r="DZ67" s="120"/>
      <c r="EA67" s="122"/>
      <c r="EB67" s="122"/>
      <c r="EC67" s="122"/>
      <c r="ED67" s="122"/>
      <c r="EE67" s="122"/>
      <c r="EF67" s="122"/>
      <c r="EG67" s="122"/>
      <c r="EH67" s="122"/>
      <c r="EI67" s="122"/>
      <c r="EJ67" s="122"/>
      <c r="EK67" s="131"/>
      <c r="EL67" s="122"/>
      <c r="EM67" s="276"/>
      <c r="EN67" s="276"/>
      <c r="EO67" s="135"/>
      <c r="EP67" s="136"/>
      <c r="EQ67" s="137"/>
      <c r="ER67" s="276"/>
      <c r="ES67" s="276"/>
      <c r="ET67" s="276"/>
      <c r="EU67" s="276"/>
      <c r="EV67" s="139"/>
      <c r="EW67" s="131"/>
      <c r="EX67" s="139"/>
      <c r="EY67" s="123"/>
      <c r="EZ67" s="141"/>
      <c r="FA67" s="131"/>
      <c r="FB67" s="143"/>
      <c r="FC67" s="123"/>
      <c r="FD67" s="131"/>
      <c r="FE67" s="276"/>
      <c r="FF67" s="276"/>
      <c r="FG67" s="50"/>
    </row>
    <row r="68" spans="8:163">
      <c r="H68" s="101" t="s">
        <v>101</v>
      </c>
      <c r="I68" s="292"/>
      <c r="J68" s="292"/>
      <c r="K68" s="8"/>
      <c r="L68" s="291"/>
      <c r="M68" s="288"/>
      <c r="N68" s="5"/>
      <c r="O68" s="5"/>
      <c r="P68" s="5"/>
      <c r="Q68" s="8"/>
      <c r="R68" s="247"/>
      <c r="S68" s="155"/>
      <c r="T68" s="152"/>
      <c r="AA68" s="111" t="s">
        <v>245</v>
      </c>
      <c r="AB68" s="111" t="s">
        <v>311</v>
      </c>
      <c r="AC68" s="111">
        <v>44</v>
      </c>
      <c r="AD68" s="116">
        <v>3</v>
      </c>
      <c r="AE68" s="120">
        <v>500</v>
      </c>
      <c r="AF68" s="121">
        <v>300</v>
      </c>
      <c r="AG68" s="121">
        <v>10</v>
      </c>
      <c r="AH68" s="121">
        <v>14</v>
      </c>
      <c r="AI68" s="121">
        <v>472</v>
      </c>
      <c r="AJ68" s="64" t="str" cm="1">
        <f t="array" ref="AJ68">_xll.Dce_Name_SectI(AE68, AE68, AF68, AG68, AH68, "x", "-", "H Tổng")</f>
        <v>500x300x10x14</v>
      </c>
      <c r="AK68" s="122">
        <f t="shared" si="6"/>
        <v>760</v>
      </c>
      <c r="AL68" s="123">
        <f t="shared" si="7"/>
        <v>300</v>
      </c>
      <c r="AM68" s="123">
        <f t="shared" si="8"/>
        <v>25</v>
      </c>
      <c r="AN68" s="123">
        <f t="shared" si="9"/>
        <v>8</v>
      </c>
      <c r="AO68" s="123">
        <f t="shared" si="10"/>
        <v>24</v>
      </c>
      <c r="AP68" s="165" t="str">
        <f t="shared" si="11"/>
        <v>760x300x25 + 8M24</v>
      </c>
      <c r="AQ68" s="111" t="s">
        <v>335</v>
      </c>
      <c r="AR68" s="120">
        <v>0</v>
      </c>
      <c r="AS68" s="120">
        <v>-115.42082295591801</v>
      </c>
      <c r="AT68" s="120">
        <v>-1.835360308177769E-13</v>
      </c>
      <c r="AU68" s="120">
        <v>-1.594508697703153E-3</v>
      </c>
      <c r="AV68" s="120">
        <v>1.7490856407675888E-13</v>
      </c>
      <c r="AW68" s="120">
        <v>73.239081252014884</v>
      </c>
      <c r="AX68" s="120"/>
      <c r="AY68" s="120"/>
      <c r="AZ68" s="120"/>
      <c r="BA68" s="122">
        <f t="shared" si="12"/>
        <v>60</v>
      </c>
      <c r="BB68" s="122">
        <f t="shared" si="13"/>
        <v>70</v>
      </c>
      <c r="BC68" s="122">
        <f t="shared" si="14"/>
        <v>80</v>
      </c>
      <c r="BD68" s="122">
        <f t="shared" si="15"/>
        <v>150</v>
      </c>
      <c r="BE68" s="122">
        <f>VLOOKUP(AO68,Data!$V$4:$Z$15,3,FALSE)</f>
        <v>452.38934211693021</v>
      </c>
      <c r="BF68" s="122">
        <f>VLOOKUP(AO68,Data!$V$4:$Z$15,4,FALSE)</f>
        <v>353</v>
      </c>
      <c r="BG68" s="163">
        <f t="shared" si="16"/>
        <v>150</v>
      </c>
      <c r="BH68" s="122">
        <f t="shared" si="17"/>
        <v>121.65654188208487</v>
      </c>
      <c r="BI68" s="122">
        <f t="shared" si="18"/>
        <v>243</v>
      </c>
      <c r="BJ68" s="163">
        <f t="shared" si="19"/>
        <v>142.3296</v>
      </c>
      <c r="BK68" s="131">
        <f t="shared" si="20"/>
        <v>14.427602869489752</v>
      </c>
      <c r="BL68" s="134">
        <f t="shared" si="21"/>
        <v>0.94666666666666666</v>
      </c>
      <c r="BM68" s="135">
        <f t="shared" si="22"/>
        <v>0.12527419677220594</v>
      </c>
      <c r="BN68" s="92" t="str">
        <f t="shared" si="23"/>
        <v>OK</v>
      </c>
      <c r="BO68" s="135">
        <f>_xll.DCEBoltDisRS(AN68, AE68, BA68, BB68, BC68, BD68, "h1")</f>
        <v>640</v>
      </c>
      <c r="BP68" s="136">
        <f>_xll.DCEBoltDisRS(AN68, AE68, BA68, BB68, BC68, BD68, "Tong")</f>
        <v>672200</v>
      </c>
      <c r="BQ68" s="137">
        <f t="shared" si="24"/>
        <v>34.865376377037734</v>
      </c>
      <c r="BR68" s="135">
        <f t="shared" si="25"/>
        <v>0.24496223116651586</v>
      </c>
      <c r="BS68" s="64" t="str">
        <f t="shared" si="26"/>
        <v>OK</v>
      </c>
      <c r="BT68" s="131">
        <f t="shared" si="27"/>
        <v>0.27215946082667442</v>
      </c>
      <c r="BU68" s="92" t="str">
        <f t="shared" si="28"/>
        <v>OK</v>
      </c>
      <c r="BV68" s="139">
        <f t="shared" si="29"/>
        <v>150.69769804941333</v>
      </c>
      <c r="BW68" s="131">
        <f t="shared" si="30"/>
        <v>2.8255818384264999</v>
      </c>
      <c r="BX68" s="139">
        <f t="shared" si="31"/>
        <v>75.348849024706666</v>
      </c>
      <c r="BY68" s="123">
        <f t="shared" si="32"/>
        <v>35.691560064334737</v>
      </c>
      <c r="BZ68" s="141">
        <f t="shared" si="33"/>
        <v>0.17350063920162723</v>
      </c>
      <c r="CA68" s="131">
        <f t="shared" si="34"/>
        <v>3.9657288960371928</v>
      </c>
      <c r="CB68" s="143">
        <f t="shared" si="35"/>
        <v>3.323767034513931E-2</v>
      </c>
      <c r="CC68" s="123">
        <f t="shared" si="36"/>
        <v>36.346505703528187</v>
      </c>
      <c r="CD68" s="131">
        <f t="shared" si="37"/>
        <v>0.1536386110656385</v>
      </c>
      <c r="CE68" s="135">
        <f t="shared" si="38"/>
        <v>0.17350063920162723</v>
      </c>
      <c r="CF68" s="92" t="str">
        <f t="shared" si="39"/>
        <v>OK</v>
      </c>
      <c r="CG68" s="50"/>
      <c r="DA68" s="111"/>
      <c r="DB68" s="111"/>
      <c r="DC68" s="111"/>
      <c r="DD68" s="116"/>
      <c r="DE68" s="120"/>
      <c r="DF68" s="121"/>
      <c r="DG68" s="121"/>
      <c r="DH68" s="121"/>
      <c r="DI68" s="121"/>
      <c r="DJ68" s="121"/>
      <c r="DK68" s="122"/>
      <c r="DL68" s="123"/>
      <c r="DM68" s="123"/>
      <c r="DN68" s="123"/>
      <c r="DO68" s="123"/>
      <c r="DP68" s="123"/>
      <c r="DQ68" s="111"/>
      <c r="DR68" s="120"/>
      <c r="DS68" s="120"/>
      <c r="DT68" s="120"/>
      <c r="DU68" s="120"/>
      <c r="DV68" s="120"/>
      <c r="DW68" s="120"/>
      <c r="DX68" s="120"/>
      <c r="DY68" s="120"/>
      <c r="DZ68" s="120"/>
      <c r="EA68" s="122"/>
      <c r="EB68" s="122"/>
      <c r="EC68" s="122"/>
      <c r="ED68" s="122"/>
      <c r="EE68" s="122"/>
      <c r="EF68" s="122"/>
      <c r="EG68" s="122"/>
      <c r="EH68" s="122"/>
      <c r="EI68" s="122"/>
      <c r="EJ68" s="122"/>
      <c r="EK68" s="131"/>
      <c r="EL68" s="122"/>
      <c r="EM68" s="276"/>
      <c r="EN68" s="276"/>
      <c r="EO68" s="135"/>
      <c r="EP68" s="136"/>
      <c r="EQ68" s="137"/>
      <c r="ER68" s="276"/>
      <c r="ES68" s="276"/>
      <c r="ET68" s="276"/>
      <c r="EU68" s="276"/>
      <c r="EV68" s="139"/>
      <c r="EW68" s="131"/>
      <c r="EX68" s="139"/>
      <c r="EY68" s="123"/>
      <c r="EZ68" s="141"/>
      <c r="FA68" s="131"/>
      <c r="FB68" s="143"/>
      <c r="FC68" s="123"/>
      <c r="FD68" s="131"/>
      <c r="FE68" s="276"/>
      <c r="FF68" s="276"/>
      <c r="FG68" s="50"/>
    </row>
    <row r="69" spans="8:163" ht="14.25">
      <c r="H69" s="102" t="str">
        <f>"- Lực tác dụng lên một bu lông do lực cắt V:"</f>
        <v>- Lực tác dụng lên một bu lông do lực cắt V:</v>
      </c>
      <c r="I69" s="292"/>
      <c r="J69" s="292"/>
      <c r="K69" s="8"/>
      <c r="L69" s="291"/>
      <c r="M69" s="288"/>
      <c r="N69" s="5"/>
      <c r="O69" s="5"/>
      <c r="P69" s="5"/>
      <c r="Q69" s="8" t="s">
        <v>102</v>
      </c>
      <c r="R69" s="293">
        <f>R62/R47</f>
        <v>33.513344103651491</v>
      </c>
      <c r="S69" s="155" t="s">
        <v>20</v>
      </c>
      <c r="T69" s="152"/>
      <c r="AA69" s="111" t="s">
        <v>245</v>
      </c>
      <c r="AB69" s="111" t="s">
        <v>311</v>
      </c>
      <c r="AC69" s="111">
        <v>44</v>
      </c>
      <c r="AD69" s="116">
        <v>0.3</v>
      </c>
      <c r="AE69" s="120">
        <v>500</v>
      </c>
      <c r="AF69" s="121">
        <v>300</v>
      </c>
      <c r="AG69" s="121">
        <v>10</v>
      </c>
      <c r="AH69" s="121">
        <v>14</v>
      </c>
      <c r="AI69" s="121">
        <v>472</v>
      </c>
      <c r="AJ69" s="64" t="str" cm="1">
        <f t="array" ref="AJ69">_xll.Dce_Name_SectI(AE69, AE69, AF69, AG69, AH69, "x", "-", "H Tổng")</f>
        <v>500x300x10x14</v>
      </c>
      <c r="AK69" s="122">
        <f t="shared" si="6"/>
        <v>760</v>
      </c>
      <c r="AL69" s="123">
        <f t="shared" si="7"/>
        <v>300</v>
      </c>
      <c r="AM69" s="123">
        <f t="shared" si="8"/>
        <v>25</v>
      </c>
      <c r="AN69" s="123">
        <f t="shared" si="9"/>
        <v>8</v>
      </c>
      <c r="AO69" s="123">
        <f t="shared" si="10"/>
        <v>24</v>
      </c>
      <c r="AP69" s="165" t="str">
        <f t="shared" si="11"/>
        <v>760x300x25 + 8M24</v>
      </c>
      <c r="AQ69" s="111" t="s">
        <v>336</v>
      </c>
      <c r="AR69" s="120">
        <v>0</v>
      </c>
      <c r="AS69" s="120">
        <v>-170.18729442137959</v>
      </c>
      <c r="AT69" s="120">
        <v>-1.1527845344971863E-13</v>
      </c>
      <c r="AU69" s="120">
        <v>-1.5232627777276406E-3</v>
      </c>
      <c r="AV69" s="120">
        <v>-2.3146067178458901E-13</v>
      </c>
      <c r="AW69" s="120">
        <v>-329.94204778822791</v>
      </c>
      <c r="AX69" s="120"/>
      <c r="AY69" s="120"/>
      <c r="AZ69" s="120"/>
      <c r="BA69" s="122">
        <f t="shared" si="12"/>
        <v>60</v>
      </c>
      <c r="BB69" s="122">
        <f t="shared" si="13"/>
        <v>70</v>
      </c>
      <c r="BC69" s="122">
        <f t="shared" si="14"/>
        <v>80</v>
      </c>
      <c r="BD69" s="122">
        <f t="shared" si="15"/>
        <v>150</v>
      </c>
      <c r="BE69" s="122">
        <f>VLOOKUP(AO69,Data!$V$4:$Z$15,3,FALSE)</f>
        <v>452.38934211693021</v>
      </c>
      <c r="BF69" s="122">
        <f>VLOOKUP(AO69,Data!$V$4:$Z$15,4,FALSE)</f>
        <v>353</v>
      </c>
      <c r="BG69" s="163">
        <f t="shared" si="16"/>
        <v>150</v>
      </c>
      <c r="BH69" s="122">
        <f t="shared" si="17"/>
        <v>121.65654188208487</v>
      </c>
      <c r="BI69" s="122">
        <f t="shared" si="18"/>
        <v>243</v>
      </c>
      <c r="BJ69" s="163">
        <f t="shared" si="19"/>
        <v>142.3296</v>
      </c>
      <c r="BK69" s="131">
        <f t="shared" si="20"/>
        <v>21.273411802672449</v>
      </c>
      <c r="BL69" s="134">
        <f t="shared" si="21"/>
        <v>0.94666666666666666</v>
      </c>
      <c r="BM69" s="135">
        <f t="shared" si="22"/>
        <v>0.18471603358447639</v>
      </c>
      <c r="BN69" s="92" t="str">
        <f t="shared" si="23"/>
        <v>OK</v>
      </c>
      <c r="BO69" s="135">
        <f>_xll.DCEBoltDisRS(AN69, AE69, BA69, BB69, BC69, BD69, "h1")</f>
        <v>640</v>
      </c>
      <c r="BP69" s="136">
        <f>_xll.DCEBoltDisRS(AN69, AE69, BA69, BB69, BC69, BD69, "Tong")</f>
        <v>672200</v>
      </c>
      <c r="BQ69" s="137">
        <f t="shared" si="24"/>
        <v>157.06851426990914</v>
      </c>
      <c r="BR69" s="135">
        <f t="shared" si="25"/>
        <v>1.1035548070809527</v>
      </c>
      <c r="BS69" s="64" t="str">
        <f t="shared" si="26"/>
        <v>O/S</v>
      </c>
      <c r="BT69" s="131">
        <f t="shared" si="27"/>
        <v>1.1173230552155402</v>
      </c>
      <c r="BU69" s="92" t="str">
        <f t="shared" si="28"/>
        <v>O/S</v>
      </c>
      <c r="BV69" s="139">
        <f t="shared" si="29"/>
        <v>678.89310244491344</v>
      </c>
      <c r="BW69" s="131">
        <f t="shared" si="30"/>
        <v>12.729245670842127</v>
      </c>
      <c r="BX69" s="139">
        <f t="shared" si="31"/>
        <v>339.44655122245672</v>
      </c>
      <c r="BY69" s="123">
        <f t="shared" si="32"/>
        <v>160.79047163169005</v>
      </c>
      <c r="BZ69" s="141">
        <f t="shared" si="33"/>
        <v>0.78162034820960447</v>
      </c>
      <c r="CA69" s="131">
        <f t="shared" si="34"/>
        <v>17.865607959076669</v>
      </c>
      <c r="CB69" s="143">
        <f t="shared" si="35"/>
        <v>0.1497356988907288</v>
      </c>
      <c r="CC69" s="123">
        <f t="shared" si="36"/>
        <v>163.74100161774874</v>
      </c>
      <c r="CD69" s="131">
        <f t="shared" si="37"/>
        <v>0.69214191505087042</v>
      </c>
      <c r="CE69" s="135">
        <f t="shared" si="38"/>
        <v>0.78162034820960447</v>
      </c>
      <c r="CF69" s="92" t="str">
        <f t="shared" si="39"/>
        <v>OK</v>
      </c>
      <c r="CG69" s="50"/>
      <c r="DA69" s="111"/>
      <c r="DB69" s="111"/>
      <c r="DC69" s="111"/>
      <c r="DD69" s="116"/>
      <c r="DE69" s="120"/>
      <c r="DF69" s="121"/>
      <c r="DG69" s="121"/>
      <c r="DH69" s="121"/>
      <c r="DI69" s="121"/>
      <c r="DJ69" s="121"/>
      <c r="DK69" s="122"/>
      <c r="DL69" s="123"/>
      <c r="DM69" s="123"/>
      <c r="DN69" s="123"/>
      <c r="DO69" s="123"/>
      <c r="DP69" s="123"/>
      <c r="DQ69" s="111"/>
      <c r="DR69" s="120"/>
      <c r="DS69" s="120"/>
      <c r="DT69" s="120"/>
      <c r="DU69" s="120"/>
      <c r="DV69" s="120"/>
      <c r="DW69" s="120"/>
      <c r="DX69" s="120"/>
      <c r="DY69" s="120"/>
      <c r="DZ69" s="120"/>
      <c r="EA69" s="122"/>
      <c r="EB69" s="122"/>
      <c r="EC69" s="122"/>
      <c r="ED69" s="122"/>
      <c r="EE69" s="122"/>
      <c r="EF69" s="122"/>
      <c r="EG69" s="122"/>
      <c r="EH69" s="122"/>
      <c r="EI69" s="122"/>
      <c r="EJ69" s="122"/>
      <c r="EK69" s="131"/>
      <c r="EL69" s="122"/>
      <c r="EM69" s="276"/>
      <c r="EN69" s="276"/>
      <c r="EO69" s="135"/>
      <c r="EP69" s="136"/>
      <c r="EQ69" s="137"/>
      <c r="ER69" s="276"/>
      <c r="ES69" s="276"/>
      <c r="ET69" s="276"/>
      <c r="EU69" s="276"/>
      <c r="EV69" s="139"/>
      <c r="EW69" s="131"/>
      <c r="EX69" s="139"/>
      <c r="EY69" s="123"/>
      <c r="EZ69" s="141"/>
      <c r="FA69" s="131"/>
      <c r="FB69" s="143"/>
      <c r="FC69" s="123"/>
      <c r="FD69" s="131"/>
      <c r="FE69" s="276"/>
      <c r="FF69" s="276"/>
      <c r="FG69" s="50"/>
    </row>
    <row r="70" spans="8:163" ht="14.25">
      <c r="H70" s="102"/>
      <c r="I70" s="288" t="str">
        <f>"- Khoảng cách 2 bu lông ngoài cùng dọc theo lực trượt:"</f>
        <v>- Khoảng cách 2 bu lông ngoài cùng dọc theo lực trượt:</v>
      </c>
      <c r="J70" s="292"/>
      <c r="K70" s="8"/>
      <c r="L70" s="291"/>
      <c r="M70" s="288"/>
      <c r="N70" s="5"/>
      <c r="O70" s="5"/>
      <c r="P70" s="5"/>
      <c r="Q70" s="8" t="s">
        <v>289</v>
      </c>
      <c r="R70" s="294">
        <f>L55</f>
        <v>640</v>
      </c>
      <c r="S70" s="155" t="s">
        <v>4</v>
      </c>
      <c r="T70" s="152"/>
      <c r="AA70" s="111" t="s">
        <v>245</v>
      </c>
      <c r="AB70" s="111" t="s">
        <v>311</v>
      </c>
      <c r="AC70" s="111">
        <v>44</v>
      </c>
      <c r="AD70" s="116">
        <v>3</v>
      </c>
      <c r="AE70" s="120">
        <v>500</v>
      </c>
      <c r="AF70" s="121">
        <v>300</v>
      </c>
      <c r="AG70" s="121">
        <v>10</v>
      </c>
      <c r="AH70" s="121">
        <v>14</v>
      </c>
      <c r="AI70" s="121">
        <v>472</v>
      </c>
      <c r="AJ70" s="64" t="str" cm="1">
        <f t="array" ref="AJ70">_xll.Dce_Name_SectI(AE70, AE70, AF70, AG70, AH70, "x", "-", "H Tổng")</f>
        <v>500x300x10x14</v>
      </c>
      <c r="AK70" s="122">
        <f t="shared" si="6"/>
        <v>760</v>
      </c>
      <c r="AL70" s="123">
        <f t="shared" si="7"/>
        <v>300</v>
      </c>
      <c r="AM70" s="123">
        <f t="shared" si="8"/>
        <v>25</v>
      </c>
      <c r="AN70" s="123">
        <f t="shared" si="9"/>
        <v>8</v>
      </c>
      <c r="AO70" s="123">
        <f t="shared" si="10"/>
        <v>24</v>
      </c>
      <c r="AP70" s="165" t="str">
        <f t="shared" si="11"/>
        <v>760x300x25 + 8M24</v>
      </c>
      <c r="AQ70" s="111" t="s">
        <v>336</v>
      </c>
      <c r="AR70" s="120">
        <v>0</v>
      </c>
      <c r="AS70" s="120">
        <v>-113.86484781877729</v>
      </c>
      <c r="AT70" s="120">
        <v>-6.4392224885523308E-14</v>
      </c>
      <c r="AU70" s="120">
        <v>-1.5228045378013744E-3</v>
      </c>
      <c r="AV70" s="120">
        <v>3.991954145021736E-14</v>
      </c>
      <c r="AW70" s="120">
        <v>66.992339997435849</v>
      </c>
      <c r="AX70" s="120"/>
      <c r="AY70" s="120"/>
      <c r="AZ70" s="120"/>
      <c r="BA70" s="122">
        <f t="shared" si="12"/>
        <v>60</v>
      </c>
      <c r="BB70" s="122">
        <f t="shared" si="13"/>
        <v>70</v>
      </c>
      <c r="BC70" s="122">
        <f t="shared" si="14"/>
        <v>80</v>
      </c>
      <c r="BD70" s="122">
        <f t="shared" si="15"/>
        <v>150</v>
      </c>
      <c r="BE70" s="122">
        <f>VLOOKUP(AO70,Data!$V$4:$Z$15,3,FALSE)</f>
        <v>452.38934211693021</v>
      </c>
      <c r="BF70" s="122">
        <f>VLOOKUP(AO70,Data!$V$4:$Z$15,4,FALSE)</f>
        <v>353</v>
      </c>
      <c r="BG70" s="163">
        <f t="shared" si="16"/>
        <v>150</v>
      </c>
      <c r="BH70" s="122">
        <f t="shared" si="17"/>
        <v>121.65654188208487</v>
      </c>
      <c r="BI70" s="122">
        <f t="shared" si="18"/>
        <v>243</v>
      </c>
      <c r="BJ70" s="163">
        <f t="shared" si="19"/>
        <v>142.3296</v>
      </c>
      <c r="BK70" s="131">
        <f t="shared" si="20"/>
        <v>14.233105977347162</v>
      </c>
      <c r="BL70" s="134">
        <f t="shared" si="21"/>
        <v>0.94666666666666666</v>
      </c>
      <c r="BM70" s="135">
        <f t="shared" si="22"/>
        <v>0.12358538941049381</v>
      </c>
      <c r="BN70" s="92" t="str">
        <f t="shared" si="23"/>
        <v>OK</v>
      </c>
      <c r="BO70" s="135">
        <f>_xll.DCEBoltDisRS(AN70, AE70, BA70, BB70, BC70, BD70, "h1")</f>
        <v>640</v>
      </c>
      <c r="BP70" s="136">
        <f>_xll.DCEBoltDisRS(AN70, AE70, BA70, BB70, BC70, BD70, "Tong")</f>
        <v>672200</v>
      </c>
      <c r="BQ70" s="137">
        <f t="shared" si="24"/>
        <v>31.891622730109301</v>
      </c>
      <c r="BR70" s="135">
        <f t="shared" si="25"/>
        <v>0.22406880037679655</v>
      </c>
      <c r="BS70" s="64" t="str">
        <f t="shared" si="26"/>
        <v>OK</v>
      </c>
      <c r="BT70" s="131">
        <f t="shared" si="27"/>
        <v>0.25277354054274359</v>
      </c>
      <c r="BU70" s="92" t="str">
        <f t="shared" si="28"/>
        <v>OK</v>
      </c>
      <c r="BV70" s="139">
        <f t="shared" si="29"/>
        <v>137.84432098237829</v>
      </c>
      <c r="BW70" s="131">
        <f t="shared" si="30"/>
        <v>2.584581018419593</v>
      </c>
      <c r="BX70" s="139">
        <f t="shared" si="31"/>
        <v>68.922160491189146</v>
      </c>
      <c r="BY70" s="123">
        <f t="shared" si="32"/>
        <v>32.647339180036965</v>
      </c>
      <c r="BZ70" s="141">
        <f t="shared" si="33"/>
        <v>0.15870234323629082</v>
      </c>
      <c r="CA70" s="131">
        <f t="shared" si="34"/>
        <v>3.6274821311152183</v>
      </c>
      <c r="CB70" s="143">
        <f t="shared" si="35"/>
        <v>3.0402747746415864E-2</v>
      </c>
      <c r="CC70" s="123">
        <f t="shared" si="36"/>
        <v>33.246422895870431</v>
      </c>
      <c r="CD70" s="131">
        <f t="shared" si="37"/>
        <v>0.14053439629896924</v>
      </c>
      <c r="CE70" s="135">
        <f t="shared" si="38"/>
        <v>0.15870234323629082</v>
      </c>
      <c r="CF70" s="92" t="str">
        <f t="shared" si="39"/>
        <v>OK</v>
      </c>
      <c r="CG70" s="50"/>
      <c r="DA70" s="111"/>
      <c r="DB70" s="111"/>
      <c r="DC70" s="111"/>
      <c r="DD70" s="116"/>
      <c r="DE70" s="120"/>
      <c r="DF70" s="121"/>
      <c r="DG70" s="121"/>
      <c r="DH70" s="121"/>
      <c r="DI70" s="121"/>
      <c r="DJ70" s="121"/>
      <c r="DK70" s="122"/>
      <c r="DL70" s="123"/>
      <c r="DM70" s="123"/>
      <c r="DN70" s="123"/>
      <c r="DO70" s="123"/>
      <c r="DP70" s="123"/>
      <c r="DQ70" s="111"/>
      <c r="DR70" s="120"/>
      <c r="DS70" s="120"/>
      <c r="DT70" s="120"/>
      <c r="DU70" s="120"/>
      <c r="DV70" s="120"/>
      <c r="DW70" s="120"/>
      <c r="DX70" s="120"/>
      <c r="DY70" s="120"/>
      <c r="DZ70" s="120"/>
      <c r="EA70" s="122"/>
      <c r="EB70" s="122"/>
      <c r="EC70" s="122"/>
      <c r="ED70" s="122"/>
      <c r="EE70" s="122"/>
      <c r="EF70" s="122"/>
      <c r="EG70" s="122"/>
      <c r="EH70" s="122"/>
      <c r="EI70" s="122"/>
      <c r="EJ70" s="122"/>
      <c r="EK70" s="131"/>
      <c r="EL70" s="122"/>
      <c r="EM70" s="276"/>
      <c r="EN70" s="276"/>
      <c r="EO70" s="135"/>
      <c r="EP70" s="136"/>
      <c r="EQ70" s="137"/>
      <c r="ER70" s="276"/>
      <c r="ES70" s="276"/>
      <c r="ET70" s="276"/>
      <c r="EU70" s="276"/>
      <c r="EV70" s="139"/>
      <c r="EW70" s="131"/>
      <c r="EX70" s="139"/>
      <c r="EY70" s="123"/>
      <c r="EZ70" s="141"/>
      <c r="FA70" s="131"/>
      <c r="FB70" s="143"/>
      <c r="FC70" s="123"/>
      <c r="FD70" s="131"/>
      <c r="FE70" s="276"/>
      <c r="FF70" s="276"/>
      <c r="FG70" s="50"/>
    </row>
    <row r="71" spans="8:163">
      <c r="H71" s="102"/>
      <c r="I71" s="288" t="str">
        <f>"- Hệ số giảm khi L &gt; 16d (14.2.10):"</f>
        <v>- Hệ số giảm khi L &gt; 16d (14.2.10):</v>
      </c>
      <c r="J71" s="292"/>
      <c r="K71" s="8"/>
      <c r="L71" s="291"/>
      <c r="M71" s="288"/>
      <c r="N71" s="5"/>
      <c r="O71" s="5"/>
      <c r="P71" s="5"/>
      <c r="Q71" s="91" t="s">
        <v>290</v>
      </c>
      <c r="R71" s="295">
        <f>MIN(1,MAX(0.75,1-0.005*(R70/R20-16)))</f>
        <v>0.94666666666666666</v>
      </c>
      <c r="S71" s="155"/>
      <c r="T71" s="152"/>
      <c r="AA71" s="111" t="s">
        <v>245</v>
      </c>
      <c r="AB71" s="111" t="s">
        <v>311</v>
      </c>
      <c r="AC71" s="111">
        <v>44</v>
      </c>
      <c r="AD71" s="116">
        <v>0.3</v>
      </c>
      <c r="AE71" s="120">
        <v>500</v>
      </c>
      <c r="AF71" s="121">
        <v>300</v>
      </c>
      <c r="AG71" s="121">
        <v>10</v>
      </c>
      <c r="AH71" s="121">
        <v>14</v>
      </c>
      <c r="AI71" s="121">
        <v>472</v>
      </c>
      <c r="AJ71" s="64" t="str" cm="1">
        <f t="array" ref="AJ71">_xll.Dce_Name_SectI(AE71, AE71, AF71, AG71, AH71, "x", "-", "H Tổng")</f>
        <v>500x300x10x14</v>
      </c>
      <c r="AK71" s="122">
        <f t="shared" si="6"/>
        <v>760</v>
      </c>
      <c r="AL71" s="123">
        <f t="shared" si="7"/>
        <v>300</v>
      </c>
      <c r="AM71" s="123">
        <f t="shared" si="8"/>
        <v>25</v>
      </c>
      <c r="AN71" s="123">
        <f t="shared" si="9"/>
        <v>8</v>
      </c>
      <c r="AO71" s="123">
        <f t="shared" si="10"/>
        <v>24</v>
      </c>
      <c r="AP71" s="165" t="str">
        <f t="shared" si="11"/>
        <v>760x300x25 + 8M24</v>
      </c>
      <c r="AQ71" s="111" t="s">
        <v>337</v>
      </c>
      <c r="AR71" s="120">
        <v>0</v>
      </c>
      <c r="AS71" s="120">
        <v>-168.9216268659541</v>
      </c>
      <c r="AT71" s="120">
        <v>-1.143689587479457E-13</v>
      </c>
      <c r="AU71" s="120">
        <v>-1.5739020876631528E-3</v>
      </c>
      <c r="AV71" s="120">
        <v>-2.2217836885829451E-13</v>
      </c>
      <c r="AW71" s="120">
        <v>-316.47463370818667</v>
      </c>
      <c r="AX71" s="120"/>
      <c r="AY71" s="120"/>
      <c r="AZ71" s="120"/>
      <c r="BA71" s="122">
        <f t="shared" si="12"/>
        <v>60</v>
      </c>
      <c r="BB71" s="122">
        <f t="shared" si="13"/>
        <v>70</v>
      </c>
      <c r="BC71" s="122">
        <f t="shared" si="14"/>
        <v>80</v>
      </c>
      <c r="BD71" s="122">
        <f t="shared" si="15"/>
        <v>150</v>
      </c>
      <c r="BE71" s="122">
        <f>VLOOKUP(AO71,Data!$V$4:$Z$15,3,FALSE)</f>
        <v>452.38934211693021</v>
      </c>
      <c r="BF71" s="122">
        <f>VLOOKUP(AO71,Data!$V$4:$Z$15,4,FALSE)</f>
        <v>353</v>
      </c>
      <c r="BG71" s="163">
        <f t="shared" si="16"/>
        <v>150</v>
      </c>
      <c r="BH71" s="122">
        <f t="shared" si="17"/>
        <v>121.65654188208487</v>
      </c>
      <c r="BI71" s="122">
        <f t="shared" si="18"/>
        <v>243</v>
      </c>
      <c r="BJ71" s="163">
        <f t="shared" si="19"/>
        <v>142.3296</v>
      </c>
      <c r="BK71" s="131">
        <f t="shared" si="20"/>
        <v>21.115203358244262</v>
      </c>
      <c r="BL71" s="134">
        <f t="shared" si="21"/>
        <v>0.94666666666666666</v>
      </c>
      <c r="BM71" s="135">
        <f t="shared" si="22"/>
        <v>0.18334231710658291</v>
      </c>
      <c r="BN71" s="92" t="str">
        <f t="shared" si="23"/>
        <v>OK</v>
      </c>
      <c r="BO71" s="135">
        <f>_xll.DCEBoltDisRS(AN71, AE71, BA71, BB71, BC71, BD71, "h1")</f>
        <v>640</v>
      </c>
      <c r="BP71" s="136">
        <f>_xll.DCEBoltDisRS(AN71, AE71, BA71, BB71, BC71, BD71, "Tong")</f>
        <v>672200</v>
      </c>
      <c r="BQ71" s="137">
        <f t="shared" si="24"/>
        <v>150.65736802531944</v>
      </c>
      <c r="BR71" s="135">
        <f t="shared" si="25"/>
        <v>1.0585104435431523</v>
      </c>
      <c r="BS71" s="64" t="str">
        <f t="shared" si="26"/>
        <v>O/S</v>
      </c>
      <c r="BT71" s="131">
        <f t="shared" si="27"/>
        <v>1.0726457206743649</v>
      </c>
      <c r="BU71" s="92" t="str">
        <f t="shared" si="28"/>
        <v>O/S</v>
      </c>
      <c r="BV71" s="139">
        <f t="shared" si="29"/>
        <v>651.18237388515774</v>
      </c>
      <c r="BW71" s="131">
        <f t="shared" si="30"/>
        <v>12.209669510346707</v>
      </c>
      <c r="BX71" s="139">
        <f t="shared" si="31"/>
        <v>325.59118694257887</v>
      </c>
      <c r="BY71" s="123">
        <f t="shared" si="32"/>
        <v>154.22740434122159</v>
      </c>
      <c r="BZ71" s="141">
        <f t="shared" si="33"/>
        <v>0.7497165488809383</v>
      </c>
      <c r="CA71" s="131">
        <f t="shared" si="34"/>
        <v>17.136378260135729</v>
      </c>
      <c r="CB71" s="143">
        <f t="shared" si="35"/>
        <v>0.14362385993887705</v>
      </c>
      <c r="CC71" s="123">
        <f t="shared" si="36"/>
        <v>157.05750102893529</v>
      </c>
      <c r="CD71" s="131">
        <f t="shared" si="37"/>
        <v>0.66389040290008894</v>
      </c>
      <c r="CE71" s="135">
        <f t="shared" si="38"/>
        <v>0.7497165488809383</v>
      </c>
      <c r="CF71" s="92" t="str">
        <f t="shared" si="39"/>
        <v>OK</v>
      </c>
      <c r="CG71" s="50"/>
      <c r="DA71" s="111"/>
      <c r="DB71" s="111"/>
      <c r="DC71" s="111"/>
      <c r="DD71" s="116"/>
      <c r="DE71" s="120"/>
      <c r="DF71" s="121"/>
      <c r="DG71" s="121"/>
      <c r="DH71" s="121"/>
      <c r="DI71" s="121"/>
      <c r="DJ71" s="121"/>
      <c r="DK71" s="122"/>
      <c r="DL71" s="123"/>
      <c r="DM71" s="123"/>
      <c r="DN71" s="123"/>
      <c r="DO71" s="123"/>
      <c r="DP71" s="123"/>
      <c r="DQ71" s="111"/>
      <c r="DR71" s="120"/>
      <c r="DS71" s="120"/>
      <c r="DT71" s="120"/>
      <c r="DU71" s="120"/>
      <c r="DV71" s="120"/>
      <c r="DW71" s="120"/>
      <c r="DX71" s="120"/>
      <c r="DY71" s="120"/>
      <c r="DZ71" s="120"/>
      <c r="EA71" s="122"/>
      <c r="EB71" s="122"/>
      <c r="EC71" s="122"/>
      <c r="ED71" s="122"/>
      <c r="EE71" s="122"/>
      <c r="EF71" s="122"/>
      <c r="EG71" s="122"/>
      <c r="EH71" s="122"/>
      <c r="EI71" s="122"/>
      <c r="EJ71" s="122"/>
      <c r="EK71" s="131"/>
      <c r="EL71" s="122"/>
      <c r="EM71" s="276"/>
      <c r="EN71" s="276"/>
      <c r="EO71" s="135"/>
      <c r="EP71" s="136"/>
      <c r="EQ71" s="137"/>
      <c r="ER71" s="276"/>
      <c r="ES71" s="276"/>
      <c r="ET71" s="276"/>
      <c r="EU71" s="276"/>
      <c r="EV71" s="139"/>
      <c r="EW71" s="131"/>
      <c r="EX71" s="139"/>
      <c r="EY71" s="123"/>
      <c r="EZ71" s="141"/>
      <c r="FA71" s="131"/>
      <c r="FB71" s="143"/>
      <c r="FC71" s="123"/>
      <c r="FD71" s="131"/>
      <c r="FE71" s="276"/>
      <c r="FF71" s="276"/>
      <c r="FG71" s="50"/>
    </row>
    <row r="72" spans="8:163" ht="14.25">
      <c r="H72" s="102" t="str">
        <f>"- Tỷ số huy động cấu kiện:"</f>
        <v>- Tỷ số huy động cấu kiện:</v>
      </c>
      <c r="I72" s="5"/>
      <c r="J72" s="5"/>
      <c r="K72" s="8"/>
      <c r="L72" s="291"/>
      <c r="M72" s="288"/>
      <c r="N72" s="5"/>
      <c r="O72" s="5"/>
      <c r="P72" s="5"/>
      <c r="Q72" s="8" t="s">
        <v>291</v>
      </c>
      <c r="R72" s="267">
        <f>R69/(R71*MIN(R65,R66))</f>
        <v>0.29099478975913651</v>
      </c>
      <c r="S72" s="296" t="str">
        <f>IF(R72&lt;=1,"OK","Check")</f>
        <v>OK</v>
      </c>
      <c r="T72" s="152"/>
      <c r="AA72" s="111" t="s">
        <v>245</v>
      </c>
      <c r="AB72" s="111" t="s">
        <v>311</v>
      </c>
      <c r="AC72" s="111">
        <v>44</v>
      </c>
      <c r="AD72" s="116">
        <v>3</v>
      </c>
      <c r="AE72" s="120">
        <v>500</v>
      </c>
      <c r="AF72" s="121">
        <v>300</v>
      </c>
      <c r="AG72" s="121">
        <v>10</v>
      </c>
      <c r="AH72" s="121">
        <v>14</v>
      </c>
      <c r="AI72" s="121">
        <v>472</v>
      </c>
      <c r="AJ72" s="64" t="str" cm="1">
        <f t="array" ref="AJ72">_xll.Dce_Name_SectI(AE72, AE72, AF72, AG72, AH72, "x", "-", "H Tổng")</f>
        <v>500x300x10x14</v>
      </c>
      <c r="AK72" s="122">
        <f t="shared" si="6"/>
        <v>760</v>
      </c>
      <c r="AL72" s="123">
        <f t="shared" si="7"/>
        <v>300</v>
      </c>
      <c r="AM72" s="123">
        <f t="shared" si="8"/>
        <v>25</v>
      </c>
      <c r="AN72" s="123">
        <f t="shared" si="9"/>
        <v>8</v>
      </c>
      <c r="AO72" s="123">
        <f t="shared" si="10"/>
        <v>24</v>
      </c>
      <c r="AP72" s="165" t="str">
        <f t="shared" si="11"/>
        <v>760x300x25 + 8M24</v>
      </c>
      <c r="AQ72" s="111" t="s">
        <v>337</v>
      </c>
      <c r="AR72" s="120">
        <v>0</v>
      </c>
      <c r="AS72" s="120">
        <v>-112.59917906041503</v>
      </c>
      <c r="AT72" s="120">
        <v>-6.3482730183750379E-14</v>
      </c>
      <c r="AU72" s="120">
        <v>-1.5734288285610676E-3</v>
      </c>
      <c r="AV72" s="120">
        <v>4.6844434109516438E-14</v>
      </c>
      <c r="AW72" s="120">
        <v>77.042385860022904</v>
      </c>
      <c r="AX72" s="120"/>
      <c r="AY72" s="120"/>
      <c r="AZ72" s="120"/>
      <c r="BA72" s="122">
        <f t="shared" si="12"/>
        <v>60</v>
      </c>
      <c r="BB72" s="122">
        <f t="shared" si="13"/>
        <v>70</v>
      </c>
      <c r="BC72" s="122">
        <f t="shared" si="14"/>
        <v>80</v>
      </c>
      <c r="BD72" s="122">
        <f t="shared" si="15"/>
        <v>150</v>
      </c>
      <c r="BE72" s="122">
        <f>VLOOKUP(AO72,Data!$V$4:$Z$15,3,FALSE)</f>
        <v>452.38934211693021</v>
      </c>
      <c r="BF72" s="122">
        <f>VLOOKUP(AO72,Data!$V$4:$Z$15,4,FALSE)</f>
        <v>353</v>
      </c>
      <c r="BG72" s="163">
        <f t="shared" si="16"/>
        <v>150</v>
      </c>
      <c r="BH72" s="122">
        <f t="shared" si="17"/>
        <v>121.65654188208487</v>
      </c>
      <c r="BI72" s="122">
        <f t="shared" si="18"/>
        <v>243</v>
      </c>
      <c r="BJ72" s="163">
        <f t="shared" si="19"/>
        <v>142.3296</v>
      </c>
      <c r="BK72" s="131">
        <f t="shared" si="20"/>
        <v>14.074897382551878</v>
      </c>
      <c r="BL72" s="134">
        <f t="shared" si="21"/>
        <v>0.94666666666666666</v>
      </c>
      <c r="BM72" s="135">
        <f t="shared" si="22"/>
        <v>0.12221167162696991</v>
      </c>
      <c r="BN72" s="92" t="str">
        <f t="shared" si="23"/>
        <v>OK</v>
      </c>
      <c r="BO72" s="135">
        <f>_xll.DCEBoltDisRS(AN72, AE72, BA72, BB72, BC72, BD72, "h1")</f>
        <v>640</v>
      </c>
      <c r="BP72" s="136">
        <f>_xll.DCEBoltDisRS(AN72, AE72, BA72, BB72, BC72, BD72, "Tong")</f>
        <v>672200</v>
      </c>
      <c r="BQ72" s="137">
        <f t="shared" si="24"/>
        <v>36.675934952703557</v>
      </c>
      <c r="BR72" s="135">
        <f t="shared" si="25"/>
        <v>0.25768311688295026</v>
      </c>
      <c r="BS72" s="64" t="str">
        <f t="shared" si="26"/>
        <v>OK</v>
      </c>
      <c r="BT72" s="131">
        <f t="shared" si="27"/>
        <v>0.28246349251489444</v>
      </c>
      <c r="BU72" s="92" t="str">
        <f t="shared" si="28"/>
        <v>OK</v>
      </c>
      <c r="BV72" s="139">
        <f t="shared" si="29"/>
        <v>158.52342769552038</v>
      </c>
      <c r="BW72" s="131">
        <f t="shared" si="30"/>
        <v>2.9723142692910072</v>
      </c>
      <c r="BX72" s="139">
        <f t="shared" si="31"/>
        <v>79.261713847760191</v>
      </c>
      <c r="BY72" s="123">
        <f t="shared" si="32"/>
        <v>37.545022348939028</v>
      </c>
      <c r="BZ72" s="141">
        <f t="shared" si="33"/>
        <v>0.18251052530734252</v>
      </c>
      <c r="CA72" s="131">
        <f t="shared" si="34"/>
        <v>4.1716691498821161</v>
      </c>
      <c r="CB72" s="143">
        <f t="shared" si="35"/>
        <v>3.4963702166157587E-2</v>
      </c>
      <c r="CC72" s="123">
        <f t="shared" si="36"/>
        <v>38.233979307293737</v>
      </c>
      <c r="CD72" s="131">
        <f t="shared" si="37"/>
        <v>0.16161706228928516</v>
      </c>
      <c r="CE72" s="135">
        <f t="shared" si="38"/>
        <v>0.18251052530734252</v>
      </c>
      <c r="CF72" s="92" t="str">
        <f t="shared" si="39"/>
        <v>OK</v>
      </c>
      <c r="CG72" s="50"/>
      <c r="DA72" s="111"/>
      <c r="DB72" s="111"/>
      <c r="DC72" s="111"/>
      <c r="DD72" s="116"/>
      <c r="DE72" s="120"/>
      <c r="DF72" s="121"/>
      <c r="DG72" s="121"/>
      <c r="DH72" s="121"/>
      <c r="DI72" s="121"/>
      <c r="DJ72" s="121"/>
      <c r="DK72" s="122"/>
      <c r="DL72" s="123"/>
      <c r="DM72" s="123"/>
      <c r="DN72" s="123"/>
      <c r="DO72" s="123"/>
      <c r="DP72" s="123"/>
      <c r="DQ72" s="111"/>
      <c r="DR72" s="120"/>
      <c r="DS72" s="120"/>
      <c r="DT72" s="120"/>
      <c r="DU72" s="120"/>
      <c r="DV72" s="120"/>
      <c r="DW72" s="120"/>
      <c r="DX72" s="120"/>
      <c r="DY72" s="120"/>
      <c r="DZ72" s="120"/>
      <c r="EA72" s="122"/>
      <c r="EB72" s="122"/>
      <c r="EC72" s="122"/>
      <c r="ED72" s="122"/>
      <c r="EE72" s="122"/>
      <c r="EF72" s="122"/>
      <c r="EG72" s="122"/>
      <c r="EH72" s="122"/>
      <c r="EI72" s="122"/>
      <c r="EJ72" s="122"/>
      <c r="EK72" s="131"/>
      <c r="EL72" s="122"/>
      <c r="EM72" s="276"/>
      <c r="EN72" s="276"/>
      <c r="EO72" s="135"/>
      <c r="EP72" s="136"/>
      <c r="EQ72" s="137"/>
      <c r="ER72" s="276"/>
      <c r="ES72" s="276"/>
      <c r="ET72" s="276"/>
      <c r="EU72" s="276"/>
      <c r="EV72" s="139"/>
      <c r="EW72" s="131"/>
      <c r="EX72" s="139"/>
      <c r="EY72" s="123"/>
      <c r="EZ72" s="141"/>
      <c r="FA72" s="131"/>
      <c r="FB72" s="143"/>
      <c r="FC72" s="123"/>
      <c r="FD72" s="131"/>
      <c r="FE72" s="276"/>
      <c r="FF72" s="276"/>
      <c r="FG72" s="50"/>
    </row>
    <row r="73" spans="8:163">
      <c r="H73" s="101" t="s">
        <v>103</v>
      </c>
      <c r="I73" s="292"/>
      <c r="J73" s="292"/>
      <c r="K73" s="8"/>
      <c r="L73" s="291"/>
      <c r="M73" s="288"/>
      <c r="N73" s="5"/>
      <c r="O73" s="5"/>
      <c r="P73" s="5"/>
      <c r="Q73" s="8"/>
      <c r="R73" s="247"/>
      <c r="S73" s="155"/>
      <c r="T73" s="152"/>
      <c r="AA73" s="111" t="s">
        <v>245</v>
      </c>
      <c r="AB73" s="111" t="s">
        <v>311</v>
      </c>
      <c r="AC73" s="111">
        <v>44</v>
      </c>
      <c r="AD73" s="116">
        <v>0.3</v>
      </c>
      <c r="AE73" s="120">
        <v>500</v>
      </c>
      <c r="AF73" s="121">
        <v>300</v>
      </c>
      <c r="AG73" s="121">
        <v>10</v>
      </c>
      <c r="AH73" s="121">
        <v>14</v>
      </c>
      <c r="AI73" s="121">
        <v>472</v>
      </c>
      <c r="AJ73" s="64" t="str" cm="1">
        <f t="array" ref="AJ73">_xll.Dce_Name_SectI(AE73, AE73, AF73, AG73, AH73, "x", "-", "H Tổng")</f>
        <v>500x300x10x14</v>
      </c>
      <c r="AK73" s="122">
        <f t="shared" si="6"/>
        <v>760</v>
      </c>
      <c r="AL73" s="123">
        <f t="shared" si="7"/>
        <v>300</v>
      </c>
      <c r="AM73" s="123">
        <f t="shared" si="8"/>
        <v>25</v>
      </c>
      <c r="AN73" s="123">
        <f t="shared" si="9"/>
        <v>8</v>
      </c>
      <c r="AO73" s="123">
        <f t="shared" si="10"/>
        <v>24</v>
      </c>
      <c r="AP73" s="165" t="str">
        <f t="shared" si="11"/>
        <v>760x300x25 + 8M24</v>
      </c>
      <c r="AQ73" s="111" t="s">
        <v>338</v>
      </c>
      <c r="AR73" s="120">
        <v>0</v>
      </c>
      <c r="AS73" s="120">
        <v>-179.57947746103267</v>
      </c>
      <c r="AT73" s="120">
        <v>-1.2158807294326833E-13</v>
      </c>
      <c r="AU73" s="120">
        <v>-1.4798174282313311E-3</v>
      </c>
      <c r="AV73" s="120">
        <v>-2.6394429823994862E-13</v>
      </c>
      <c r="AW73" s="120">
        <v>-375.40712666268433</v>
      </c>
      <c r="AX73" s="120"/>
      <c r="AY73" s="120"/>
      <c r="AZ73" s="120"/>
      <c r="BA73" s="122">
        <f t="shared" si="12"/>
        <v>60</v>
      </c>
      <c r="BB73" s="122">
        <f t="shared" si="13"/>
        <v>70</v>
      </c>
      <c r="BC73" s="122">
        <f t="shared" si="14"/>
        <v>80</v>
      </c>
      <c r="BD73" s="122">
        <f t="shared" si="15"/>
        <v>150</v>
      </c>
      <c r="BE73" s="122">
        <f>VLOOKUP(AO73,Data!$V$4:$Z$15,3,FALSE)</f>
        <v>452.38934211693021</v>
      </c>
      <c r="BF73" s="122">
        <f>VLOOKUP(AO73,Data!$V$4:$Z$15,4,FALSE)</f>
        <v>353</v>
      </c>
      <c r="BG73" s="163">
        <f t="shared" si="16"/>
        <v>150</v>
      </c>
      <c r="BH73" s="122">
        <f t="shared" si="17"/>
        <v>121.65654188208487</v>
      </c>
      <c r="BI73" s="122">
        <f t="shared" si="18"/>
        <v>243</v>
      </c>
      <c r="BJ73" s="163">
        <f t="shared" si="19"/>
        <v>142.3296</v>
      </c>
      <c r="BK73" s="131">
        <f t="shared" si="20"/>
        <v>22.447434682629083</v>
      </c>
      <c r="BL73" s="134">
        <f t="shared" si="21"/>
        <v>0.94666666666666666</v>
      </c>
      <c r="BM73" s="135">
        <f t="shared" si="22"/>
        <v>0.19491001900320318</v>
      </c>
      <c r="BN73" s="92" t="str">
        <f t="shared" si="23"/>
        <v>OK</v>
      </c>
      <c r="BO73" s="135">
        <f>_xll.DCEBoltDisRS(AN73, AE73, BA73, BB73, BC73, BD73, "h1")</f>
        <v>640</v>
      </c>
      <c r="BP73" s="136">
        <f>_xll.DCEBoltDisRS(AN73, AE73, BA73, BB73, BC73, BD73, "Tong")</f>
        <v>672200</v>
      </c>
      <c r="BQ73" s="137">
        <f t="shared" si="24"/>
        <v>178.71211028274172</v>
      </c>
      <c r="BR73" s="135">
        <f t="shared" si="25"/>
        <v>1.2556215311694947</v>
      </c>
      <c r="BS73" s="64" t="str">
        <f t="shared" si="26"/>
        <v>O/S</v>
      </c>
      <c r="BT73" s="131">
        <f t="shared" si="27"/>
        <v>1.2691064366688076</v>
      </c>
      <c r="BU73" s="92" t="str">
        <f t="shared" si="28"/>
        <v>O/S</v>
      </c>
      <c r="BV73" s="139">
        <f t="shared" si="29"/>
        <v>772.44264745408304</v>
      </c>
      <c r="BW73" s="131">
        <f t="shared" si="30"/>
        <v>14.483299639764056</v>
      </c>
      <c r="BX73" s="139">
        <f t="shared" si="31"/>
        <v>386.22132372704152</v>
      </c>
      <c r="BY73" s="123">
        <f t="shared" si="32"/>
        <v>182.94694281807227</v>
      </c>
      <c r="BZ73" s="141">
        <f t="shared" si="33"/>
        <v>0.88932541647674035</v>
      </c>
      <c r="CA73" s="131">
        <f t="shared" si="34"/>
        <v>20.327438090896923</v>
      </c>
      <c r="CB73" s="143">
        <f t="shared" si="35"/>
        <v>0.17036885373117633</v>
      </c>
      <c r="CC73" s="123">
        <f t="shared" si="36"/>
        <v>186.30404747212754</v>
      </c>
      <c r="CD73" s="131">
        <f t="shared" si="37"/>
        <v>0.78751710887976634</v>
      </c>
      <c r="CE73" s="135">
        <f t="shared" si="38"/>
        <v>0.88932541647674035</v>
      </c>
      <c r="CF73" s="92" t="str">
        <f t="shared" si="39"/>
        <v>OK</v>
      </c>
      <c r="CG73" s="50"/>
      <c r="DA73" s="111"/>
      <c r="DB73" s="111"/>
      <c r="DC73" s="111"/>
      <c r="DD73" s="116"/>
      <c r="DE73" s="120"/>
      <c r="DF73" s="121"/>
      <c r="DG73" s="121"/>
      <c r="DH73" s="121"/>
      <c r="DI73" s="121"/>
      <c r="DJ73" s="121"/>
      <c r="DK73" s="122"/>
      <c r="DL73" s="123"/>
      <c r="DM73" s="123"/>
      <c r="DN73" s="123"/>
      <c r="DO73" s="123"/>
      <c r="DP73" s="123"/>
      <c r="DQ73" s="111"/>
      <c r="DR73" s="120"/>
      <c r="DS73" s="120"/>
      <c r="DT73" s="120"/>
      <c r="DU73" s="120"/>
      <c r="DV73" s="120"/>
      <c r="DW73" s="120"/>
      <c r="DX73" s="120"/>
      <c r="DY73" s="120"/>
      <c r="DZ73" s="120"/>
      <c r="EA73" s="122"/>
      <c r="EB73" s="122"/>
      <c r="EC73" s="122"/>
      <c r="ED73" s="122"/>
      <c r="EE73" s="122"/>
      <c r="EF73" s="122"/>
      <c r="EG73" s="122"/>
      <c r="EH73" s="122"/>
      <c r="EI73" s="122"/>
      <c r="EJ73" s="122"/>
      <c r="EK73" s="131"/>
      <c r="EL73" s="122"/>
      <c r="EM73" s="276"/>
      <c r="EN73" s="276"/>
      <c r="EO73" s="135"/>
      <c r="EP73" s="136"/>
      <c r="EQ73" s="137"/>
      <c r="ER73" s="276"/>
      <c r="ES73" s="276"/>
      <c r="ET73" s="276"/>
      <c r="EU73" s="276"/>
      <c r="EV73" s="139"/>
      <c r="EW73" s="131"/>
      <c r="EX73" s="139"/>
      <c r="EY73" s="123"/>
      <c r="EZ73" s="141"/>
      <c r="FA73" s="131"/>
      <c r="FB73" s="143"/>
      <c r="FC73" s="123"/>
      <c r="FD73" s="131"/>
      <c r="FE73" s="276"/>
      <c r="FF73" s="276"/>
      <c r="FG73" s="50"/>
    </row>
    <row r="74" spans="8:163" ht="15">
      <c r="H74" s="102" t="str">
        <f>"- Lực kéo tác dụng vào 1 bu lông ở dãy ngoài cùng:"</f>
        <v>- Lực kéo tác dụng vào 1 bu lông ở dãy ngoài cùng:</v>
      </c>
      <c r="I74" s="292"/>
      <c r="J74" s="292"/>
      <c r="K74" s="8"/>
      <c r="L74" s="291"/>
      <c r="M74" s="288"/>
      <c r="N74" s="5"/>
      <c r="O74" s="5"/>
      <c r="P74" s="5"/>
      <c r="Q74" s="8" t="s">
        <v>104</v>
      </c>
      <c r="R74" s="293">
        <f>ABS(R60)*1000*L55/(2*R56)+R61/R47</f>
        <v>241.34291700289359</v>
      </c>
      <c r="S74" s="155" t="s">
        <v>20</v>
      </c>
      <c r="T74" s="152"/>
      <c r="AA74" s="111" t="s">
        <v>245</v>
      </c>
      <c r="AB74" s="111" t="s">
        <v>311</v>
      </c>
      <c r="AC74" s="111">
        <v>44</v>
      </c>
      <c r="AD74" s="116">
        <v>3</v>
      </c>
      <c r="AE74" s="120">
        <v>500</v>
      </c>
      <c r="AF74" s="121">
        <v>300</v>
      </c>
      <c r="AG74" s="121">
        <v>10</v>
      </c>
      <c r="AH74" s="121">
        <v>14</v>
      </c>
      <c r="AI74" s="121">
        <v>472</v>
      </c>
      <c r="AJ74" s="64" t="str" cm="1">
        <f t="array" ref="AJ74">_xll.Dce_Name_SectI(AE74, AE74, AF74, AG74, AH74, "x", "-", "H Tổng")</f>
        <v>500x300x10x14</v>
      </c>
      <c r="AK74" s="122">
        <f t="shared" si="6"/>
        <v>760</v>
      </c>
      <c r="AL74" s="123">
        <f t="shared" si="7"/>
        <v>300</v>
      </c>
      <c r="AM74" s="123">
        <f t="shared" si="8"/>
        <v>25</v>
      </c>
      <c r="AN74" s="123">
        <f t="shared" si="9"/>
        <v>8</v>
      </c>
      <c r="AO74" s="123">
        <f t="shared" si="10"/>
        <v>24</v>
      </c>
      <c r="AP74" s="165" t="str">
        <f t="shared" si="11"/>
        <v>760x300x25 + 8M24</v>
      </c>
      <c r="AQ74" s="111" t="s">
        <v>338</v>
      </c>
      <c r="AR74" s="120">
        <v>0</v>
      </c>
      <c r="AS74" s="120">
        <v>-123.25702662348489</v>
      </c>
      <c r="AT74" s="120">
        <v>-7.1440808824263496E-14</v>
      </c>
      <c r="AU74" s="120">
        <v>-1.4793723116014836E-3</v>
      </c>
      <c r="AV74" s="120">
        <v>2.6123871066374703E-14</v>
      </c>
      <c r="AW74" s="120">
        <v>46.885613124806824</v>
      </c>
      <c r="AX74" s="120"/>
      <c r="AY74" s="120"/>
      <c r="AZ74" s="120"/>
      <c r="BA74" s="122">
        <f t="shared" si="12"/>
        <v>60</v>
      </c>
      <c r="BB74" s="122">
        <f t="shared" si="13"/>
        <v>70</v>
      </c>
      <c r="BC74" s="122">
        <f t="shared" si="14"/>
        <v>80</v>
      </c>
      <c r="BD74" s="122">
        <f t="shared" si="15"/>
        <v>150</v>
      </c>
      <c r="BE74" s="122">
        <f>VLOOKUP(AO74,Data!$V$4:$Z$15,3,FALSE)</f>
        <v>452.38934211693021</v>
      </c>
      <c r="BF74" s="122">
        <f>VLOOKUP(AO74,Data!$V$4:$Z$15,4,FALSE)</f>
        <v>353</v>
      </c>
      <c r="BG74" s="163">
        <f t="shared" si="16"/>
        <v>150</v>
      </c>
      <c r="BH74" s="122">
        <f t="shared" si="17"/>
        <v>121.65654188208487</v>
      </c>
      <c r="BI74" s="122">
        <f t="shared" si="18"/>
        <v>243</v>
      </c>
      <c r="BJ74" s="163">
        <f t="shared" si="19"/>
        <v>142.3296</v>
      </c>
      <c r="BK74" s="131">
        <f t="shared" si="20"/>
        <v>15.407128327935611</v>
      </c>
      <c r="BL74" s="134">
        <f t="shared" si="21"/>
        <v>0.94666666666666666</v>
      </c>
      <c r="BM74" s="135">
        <f t="shared" si="22"/>
        <v>0.13377937023274158</v>
      </c>
      <c r="BN74" s="92" t="str">
        <f t="shared" si="23"/>
        <v>OK</v>
      </c>
      <c r="BO74" s="135">
        <f>_xll.DCEBoltDisRS(AN74, AE74, BA74, BB74, BC74, BD74, "h1")</f>
        <v>640</v>
      </c>
      <c r="BP74" s="136">
        <f>_xll.DCEBoltDisRS(AN74, AE74, BA74, BB74, BC74, BD74, "Tong")</f>
        <v>672200</v>
      </c>
      <c r="BQ74" s="137">
        <f t="shared" si="24"/>
        <v>22.319839630970225</v>
      </c>
      <c r="BR74" s="135">
        <f t="shared" si="25"/>
        <v>0.15681797483425952</v>
      </c>
      <c r="BS74" s="64" t="str">
        <f t="shared" si="26"/>
        <v>OK</v>
      </c>
      <c r="BT74" s="131">
        <f t="shared" si="27"/>
        <v>0.20157058102820929</v>
      </c>
      <c r="BU74" s="92" t="str">
        <f t="shared" si="28"/>
        <v>OK</v>
      </c>
      <c r="BV74" s="139">
        <f t="shared" si="29"/>
        <v>96.472454989314457</v>
      </c>
      <c r="BW74" s="131">
        <f t="shared" si="30"/>
        <v>1.8088585310496459</v>
      </c>
      <c r="BX74" s="139">
        <f t="shared" si="31"/>
        <v>48.236227494657228</v>
      </c>
      <c r="BY74" s="123">
        <f t="shared" si="32"/>
        <v>22.848739339574472</v>
      </c>
      <c r="BZ74" s="141">
        <f t="shared" si="33"/>
        <v>0.11107026067848702</v>
      </c>
      <c r="CA74" s="131">
        <f t="shared" si="34"/>
        <v>2.5387488155082751</v>
      </c>
      <c r="CB74" s="143">
        <f t="shared" si="35"/>
        <v>2.127782771618526E-2</v>
      </c>
      <c r="CC74" s="123">
        <f t="shared" si="36"/>
        <v>23.268017235092294</v>
      </c>
      <c r="CD74" s="131">
        <f t="shared" si="37"/>
        <v>9.8355145317419138E-2</v>
      </c>
      <c r="CE74" s="135">
        <f t="shared" si="38"/>
        <v>0.11107026067848702</v>
      </c>
      <c r="CF74" s="92" t="str">
        <f t="shared" si="39"/>
        <v>OK</v>
      </c>
      <c r="CG74" s="50"/>
      <c r="DA74" s="111"/>
      <c r="DB74" s="111"/>
      <c r="DC74" s="111"/>
      <c r="DD74" s="116"/>
      <c r="DE74" s="120"/>
      <c r="DF74" s="121"/>
      <c r="DG74" s="121"/>
      <c r="DH74" s="121"/>
      <c r="DI74" s="121"/>
      <c r="DJ74" s="121"/>
      <c r="DK74" s="122"/>
      <c r="DL74" s="123"/>
      <c r="DM74" s="123"/>
      <c r="DN74" s="123"/>
      <c r="DO74" s="123"/>
      <c r="DP74" s="123"/>
      <c r="DQ74" s="111"/>
      <c r="DR74" s="120"/>
      <c r="DS74" s="120"/>
      <c r="DT74" s="120"/>
      <c r="DU74" s="120"/>
      <c r="DV74" s="120"/>
      <c r="DW74" s="120"/>
      <c r="DX74" s="120"/>
      <c r="DY74" s="120"/>
      <c r="DZ74" s="120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31"/>
      <c r="EL74" s="122"/>
      <c r="EM74" s="276"/>
      <c r="EN74" s="276"/>
      <c r="EO74" s="135"/>
      <c r="EP74" s="136"/>
      <c r="EQ74" s="137"/>
      <c r="ER74" s="276"/>
      <c r="ES74" s="276"/>
      <c r="ET74" s="276"/>
      <c r="EU74" s="276"/>
      <c r="EV74" s="139"/>
      <c r="EW74" s="131"/>
      <c r="EX74" s="139"/>
      <c r="EY74" s="123"/>
      <c r="EZ74" s="141"/>
      <c r="FA74" s="131"/>
      <c r="FB74" s="143"/>
      <c r="FC74" s="123"/>
      <c r="FD74" s="131"/>
      <c r="FE74" s="276"/>
      <c r="FF74" s="276"/>
      <c r="FG74" s="50"/>
    </row>
    <row r="75" spans="8:163" ht="14.25">
      <c r="H75" s="102" t="str">
        <f>"- Tỷ số huy động cấu kiện:"</f>
        <v>- Tỷ số huy động cấu kiện:</v>
      </c>
      <c r="I75" s="5"/>
      <c r="J75" s="5"/>
      <c r="K75" s="8"/>
      <c r="L75" s="291"/>
      <c r="M75" s="288"/>
      <c r="N75" s="5"/>
      <c r="O75" s="5"/>
      <c r="P75" s="5"/>
      <c r="Q75" s="8" t="s">
        <v>105</v>
      </c>
      <c r="R75" s="267">
        <f>R74/R67</f>
        <v>1.6956621602456101</v>
      </c>
      <c r="S75" s="296" t="str">
        <f>IF(R75&lt;=1,"OK","Check")</f>
        <v>Check</v>
      </c>
      <c r="T75" s="152"/>
      <c r="AA75" s="111" t="s">
        <v>245</v>
      </c>
      <c r="AB75" s="111" t="s">
        <v>311</v>
      </c>
      <c r="AC75" s="111">
        <v>44</v>
      </c>
      <c r="AD75" s="116">
        <v>0.3</v>
      </c>
      <c r="AE75" s="120">
        <v>500</v>
      </c>
      <c r="AF75" s="121">
        <v>300</v>
      </c>
      <c r="AG75" s="121">
        <v>10</v>
      </c>
      <c r="AH75" s="121">
        <v>14</v>
      </c>
      <c r="AI75" s="121">
        <v>472</v>
      </c>
      <c r="AJ75" s="64" t="str" cm="1">
        <f t="array" ref="AJ75">_xll.Dce_Name_SectI(AE75, AE75, AF75, AG75, AH75, "x", "-", "H Tổng")</f>
        <v>500x300x10x14</v>
      </c>
      <c r="AK75" s="122">
        <f t="shared" si="6"/>
        <v>760</v>
      </c>
      <c r="AL75" s="123">
        <f t="shared" si="7"/>
        <v>300</v>
      </c>
      <c r="AM75" s="123">
        <f t="shared" si="8"/>
        <v>25</v>
      </c>
      <c r="AN75" s="123">
        <f t="shared" si="9"/>
        <v>8</v>
      </c>
      <c r="AO75" s="123">
        <f t="shared" si="10"/>
        <v>24</v>
      </c>
      <c r="AP75" s="165" t="str">
        <f t="shared" si="11"/>
        <v>760x300x25 + 8M24</v>
      </c>
      <c r="AQ75" s="111" t="s">
        <v>339</v>
      </c>
      <c r="AR75" s="120">
        <v>0</v>
      </c>
      <c r="AS75" s="120">
        <v>-178.30049117266691</v>
      </c>
      <c r="AT75" s="120">
        <v>-1.207496325150714E-13</v>
      </c>
      <c r="AU75" s="120">
        <v>-1.5305051839639846E-3</v>
      </c>
      <c r="AV75" s="120">
        <v>-2.5436490318497811E-13</v>
      </c>
      <c r="AW75" s="120">
        <v>-361.91002506744525</v>
      </c>
      <c r="AX75" s="120"/>
      <c r="AY75" s="120"/>
      <c r="AZ75" s="120"/>
      <c r="BA75" s="122">
        <f t="shared" si="12"/>
        <v>60</v>
      </c>
      <c r="BB75" s="122">
        <f t="shared" si="13"/>
        <v>70</v>
      </c>
      <c r="BC75" s="122">
        <f t="shared" si="14"/>
        <v>80</v>
      </c>
      <c r="BD75" s="122">
        <f t="shared" si="15"/>
        <v>150</v>
      </c>
      <c r="BE75" s="122">
        <f>VLOOKUP(AO75,Data!$V$4:$Z$15,3,FALSE)</f>
        <v>452.38934211693021</v>
      </c>
      <c r="BF75" s="122">
        <f>VLOOKUP(AO75,Data!$V$4:$Z$15,4,FALSE)</f>
        <v>353</v>
      </c>
      <c r="BG75" s="163">
        <f t="shared" si="16"/>
        <v>150</v>
      </c>
      <c r="BH75" s="122">
        <f t="shared" si="17"/>
        <v>121.65654188208487</v>
      </c>
      <c r="BI75" s="122">
        <f t="shared" si="18"/>
        <v>243</v>
      </c>
      <c r="BJ75" s="163">
        <f t="shared" si="19"/>
        <v>142.3296</v>
      </c>
      <c r="BK75" s="131">
        <f t="shared" si="20"/>
        <v>22.287561396583364</v>
      </c>
      <c r="BL75" s="134">
        <f t="shared" si="21"/>
        <v>0.94666666666666666</v>
      </c>
      <c r="BM75" s="135">
        <f t="shared" si="22"/>
        <v>0.19352184678388987</v>
      </c>
      <c r="BN75" s="92" t="str">
        <f t="shared" si="23"/>
        <v>OK</v>
      </c>
      <c r="BO75" s="135">
        <f>_xll.DCEBoltDisRS(AN75, AE75, BA75, BB75, BC75, BD75, "h1")</f>
        <v>640</v>
      </c>
      <c r="BP75" s="136">
        <f>_xll.DCEBoltDisRS(AN75, AE75, BA75, BB75, BC75, BD75, "Tong")</f>
        <v>672200</v>
      </c>
      <c r="BQ75" s="137">
        <f t="shared" si="24"/>
        <v>172.2868313323155</v>
      </c>
      <c r="BR75" s="135">
        <f t="shared" si="25"/>
        <v>1.2104778720119744</v>
      </c>
      <c r="BS75" s="64" t="str">
        <f t="shared" si="26"/>
        <v>O/S</v>
      </c>
      <c r="BT75" s="131">
        <f t="shared" si="27"/>
        <v>1.2242627039885816</v>
      </c>
      <c r="BU75" s="92" t="str">
        <f t="shared" si="28"/>
        <v>O/S</v>
      </c>
      <c r="BV75" s="139">
        <f t="shared" si="29"/>
        <v>744.67083347210962</v>
      </c>
      <c r="BW75" s="131">
        <f t="shared" si="30"/>
        <v>13.962578127602056</v>
      </c>
      <c r="BX75" s="139">
        <f t="shared" si="31"/>
        <v>372.33541673605481</v>
      </c>
      <c r="BY75" s="123">
        <f t="shared" si="32"/>
        <v>176.36940792760493</v>
      </c>
      <c r="BZ75" s="141">
        <f t="shared" si="33"/>
        <v>0.85735128853696851</v>
      </c>
      <c r="CA75" s="131">
        <f t="shared" si="34"/>
        <v>19.596600880844992</v>
      </c>
      <c r="CB75" s="143">
        <f t="shared" si="35"/>
        <v>0.16424354186531964</v>
      </c>
      <c r="CC75" s="123">
        <f t="shared" si="36"/>
        <v>179.60581380062095</v>
      </c>
      <c r="CD75" s="131">
        <f t="shared" si="37"/>
        <v>0.75920331920552353</v>
      </c>
      <c r="CE75" s="135">
        <f t="shared" si="38"/>
        <v>0.85735128853696851</v>
      </c>
      <c r="CF75" s="92" t="str">
        <f t="shared" si="39"/>
        <v>OK</v>
      </c>
      <c r="CG75" s="50"/>
      <c r="DA75" s="111"/>
      <c r="DB75" s="111"/>
      <c r="DC75" s="111"/>
      <c r="DD75" s="116"/>
      <c r="DE75" s="120"/>
      <c r="DF75" s="121"/>
      <c r="DG75" s="121"/>
      <c r="DH75" s="121"/>
      <c r="DI75" s="121"/>
      <c r="DJ75" s="121"/>
      <c r="DK75" s="122"/>
      <c r="DL75" s="123"/>
      <c r="DM75" s="123"/>
      <c r="DN75" s="123"/>
      <c r="DO75" s="123"/>
      <c r="DP75" s="123"/>
      <c r="DQ75" s="111"/>
      <c r="DR75" s="120"/>
      <c r="DS75" s="120"/>
      <c r="DT75" s="120"/>
      <c r="DU75" s="120"/>
      <c r="DV75" s="120"/>
      <c r="DW75" s="120"/>
      <c r="DX75" s="120"/>
      <c r="DY75" s="120"/>
      <c r="DZ75" s="120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31"/>
      <c r="EL75" s="122"/>
      <c r="EM75" s="276"/>
      <c r="EN75" s="276"/>
      <c r="EO75" s="135"/>
      <c r="EP75" s="136"/>
      <c r="EQ75" s="137"/>
      <c r="ER75" s="276"/>
      <c r="ES75" s="276"/>
      <c r="ET75" s="276"/>
      <c r="EU75" s="276"/>
      <c r="EV75" s="139"/>
      <c r="EW75" s="131"/>
      <c r="EX75" s="139"/>
      <c r="EY75" s="123"/>
      <c r="EZ75" s="141"/>
      <c r="FA75" s="131"/>
      <c r="FB75" s="143"/>
      <c r="FC75" s="123"/>
      <c r="FD75" s="131"/>
      <c r="FE75" s="276"/>
      <c r="FF75" s="276"/>
      <c r="FG75" s="50"/>
    </row>
    <row r="76" spans="8:163">
      <c r="H76" s="101" t="s">
        <v>282</v>
      </c>
      <c r="I76" s="5"/>
      <c r="J76" s="5"/>
      <c r="K76" s="8"/>
      <c r="L76" s="291"/>
      <c r="M76" s="288"/>
      <c r="N76" s="5"/>
      <c r="O76" s="5"/>
      <c r="P76" s="5"/>
      <c r="Q76" s="8"/>
      <c r="R76" s="254"/>
      <c r="S76" s="297"/>
      <c r="T76" s="152"/>
      <c r="AA76" s="111" t="s">
        <v>245</v>
      </c>
      <c r="AB76" s="111" t="s">
        <v>311</v>
      </c>
      <c r="AC76" s="111">
        <v>44</v>
      </c>
      <c r="AD76" s="116">
        <v>3</v>
      </c>
      <c r="AE76" s="120">
        <v>500</v>
      </c>
      <c r="AF76" s="121">
        <v>300</v>
      </c>
      <c r="AG76" s="121">
        <v>10</v>
      </c>
      <c r="AH76" s="121">
        <v>14</v>
      </c>
      <c r="AI76" s="121">
        <v>472</v>
      </c>
      <c r="AJ76" s="64" t="str" cm="1">
        <f t="array" ref="AJ76">_xll.Dce_Name_SectI(AE76, AE76, AF76, AG76, AH76, "x", "-", "H Tổng")</f>
        <v>500x300x10x14</v>
      </c>
      <c r="AK76" s="122">
        <f t="shared" si="6"/>
        <v>760</v>
      </c>
      <c r="AL76" s="123">
        <f t="shared" si="7"/>
        <v>300</v>
      </c>
      <c r="AM76" s="123">
        <f t="shared" si="8"/>
        <v>25</v>
      </c>
      <c r="AN76" s="123">
        <f t="shared" si="9"/>
        <v>8</v>
      </c>
      <c r="AO76" s="123">
        <f t="shared" si="10"/>
        <v>24</v>
      </c>
      <c r="AP76" s="165" t="str">
        <f t="shared" si="11"/>
        <v>760x300x25 + 8M24</v>
      </c>
      <c r="AQ76" s="111" t="s">
        <v>339</v>
      </c>
      <c r="AR76" s="120">
        <v>0</v>
      </c>
      <c r="AS76" s="120">
        <v>-121.97803914659218</v>
      </c>
      <c r="AT76" s="120">
        <v>-7.0701844379072997E-14</v>
      </c>
      <c r="AU76" s="120">
        <v>-1.530045033422085E-3</v>
      </c>
      <c r="AV76" s="120">
        <v>3.3409264688089024E-14</v>
      </c>
      <c r="AW76" s="120">
        <v>56.929387598581897</v>
      </c>
      <c r="AX76" s="120"/>
      <c r="AY76" s="120"/>
      <c r="AZ76" s="120"/>
      <c r="BA76" s="122">
        <f t="shared" si="12"/>
        <v>60</v>
      </c>
      <c r="BB76" s="122">
        <f t="shared" si="13"/>
        <v>70</v>
      </c>
      <c r="BC76" s="122">
        <f t="shared" si="14"/>
        <v>80</v>
      </c>
      <c r="BD76" s="122">
        <f t="shared" si="15"/>
        <v>150</v>
      </c>
      <c r="BE76" s="122">
        <f>VLOOKUP(AO76,Data!$V$4:$Z$15,3,FALSE)</f>
        <v>452.38934211693021</v>
      </c>
      <c r="BF76" s="122">
        <f>VLOOKUP(AO76,Data!$V$4:$Z$15,4,FALSE)</f>
        <v>353</v>
      </c>
      <c r="BG76" s="163">
        <f t="shared" si="16"/>
        <v>150</v>
      </c>
      <c r="BH76" s="122">
        <f t="shared" si="17"/>
        <v>121.65654188208487</v>
      </c>
      <c r="BI76" s="122">
        <f t="shared" si="18"/>
        <v>243</v>
      </c>
      <c r="BJ76" s="163">
        <f t="shared" si="19"/>
        <v>142.3296</v>
      </c>
      <c r="BK76" s="131">
        <f t="shared" si="20"/>
        <v>15.247254893324023</v>
      </c>
      <c r="BL76" s="134">
        <f t="shared" si="21"/>
        <v>0.94666666666666666</v>
      </c>
      <c r="BM76" s="135">
        <f t="shared" si="22"/>
        <v>0.13239119672343783</v>
      </c>
      <c r="BN76" s="92" t="str">
        <f t="shared" si="23"/>
        <v>OK</v>
      </c>
      <c r="BO76" s="135">
        <f>_xll.DCEBoltDisRS(AN76, AE76, BA76, BB76, BC76, BD76, "h1")</f>
        <v>640</v>
      </c>
      <c r="BP76" s="136">
        <f>_xll.DCEBoltDisRS(AN76, AE76, BA76, BB76, BC76, BD76, "Tong")</f>
        <v>672200</v>
      </c>
      <c r="BQ76" s="137">
        <f t="shared" si="24"/>
        <v>27.101166366477543</v>
      </c>
      <c r="BR76" s="135">
        <f t="shared" si="25"/>
        <v>0.19041131547111453</v>
      </c>
      <c r="BS76" s="64" t="str">
        <f t="shared" si="26"/>
        <v>OK</v>
      </c>
      <c r="BT76" s="131">
        <f t="shared" si="27"/>
        <v>0.2279564901550532</v>
      </c>
      <c r="BU76" s="92" t="str">
        <f t="shared" si="28"/>
        <v>OK</v>
      </c>
      <c r="BV76" s="139">
        <f t="shared" si="29"/>
        <v>117.13865761025082</v>
      </c>
      <c r="BW76" s="131">
        <f t="shared" si="30"/>
        <v>2.1963498301922026</v>
      </c>
      <c r="BX76" s="139">
        <f t="shared" si="31"/>
        <v>58.569328805125409</v>
      </c>
      <c r="BY76" s="123">
        <f t="shared" si="32"/>
        <v>27.743366276112035</v>
      </c>
      <c r="BZ76" s="141">
        <f t="shared" si="33"/>
        <v>0.13486358606443352</v>
      </c>
      <c r="CA76" s="131">
        <f t="shared" si="34"/>
        <v>3.0825962529013373</v>
      </c>
      <c r="CB76" s="143">
        <f t="shared" si="35"/>
        <v>2.5835936027669256E-2</v>
      </c>
      <c r="CC76" s="123">
        <f t="shared" si="36"/>
        <v>28.252461331815226</v>
      </c>
      <c r="CD76" s="131">
        <f t="shared" si="37"/>
        <v>0.11942465538810786</v>
      </c>
      <c r="CE76" s="135">
        <f t="shared" si="38"/>
        <v>0.13486358606443352</v>
      </c>
      <c r="CF76" s="92" t="str">
        <f t="shared" si="39"/>
        <v>OK</v>
      </c>
      <c r="CG76" s="50"/>
      <c r="DA76" s="111"/>
      <c r="DB76" s="111"/>
      <c r="DC76" s="111"/>
      <c r="DD76" s="116"/>
      <c r="DE76" s="120"/>
      <c r="DF76" s="121"/>
      <c r="DG76" s="121"/>
      <c r="DH76" s="121"/>
      <c r="DI76" s="121"/>
      <c r="DJ76" s="121"/>
      <c r="DK76" s="122"/>
      <c r="DL76" s="123"/>
      <c r="DM76" s="123"/>
      <c r="DN76" s="123"/>
      <c r="DO76" s="123"/>
      <c r="DP76" s="123"/>
      <c r="DQ76" s="111"/>
      <c r="DR76" s="120"/>
      <c r="DS76" s="120"/>
      <c r="DT76" s="120"/>
      <c r="DU76" s="120"/>
      <c r="DV76" s="120"/>
      <c r="DW76" s="120"/>
      <c r="DX76" s="120"/>
      <c r="DY76" s="120"/>
      <c r="DZ76" s="120"/>
      <c r="EA76" s="122"/>
      <c r="EB76" s="122"/>
      <c r="EC76" s="122"/>
      <c r="ED76" s="122"/>
      <c r="EE76" s="122"/>
      <c r="EF76" s="122"/>
      <c r="EG76" s="122"/>
      <c r="EH76" s="122"/>
      <c r="EI76" s="122"/>
      <c r="EJ76" s="122"/>
      <c r="EK76" s="131"/>
      <c r="EL76" s="122"/>
      <c r="EM76" s="276"/>
      <c r="EN76" s="276"/>
      <c r="EO76" s="135"/>
      <c r="EP76" s="136"/>
      <c r="EQ76" s="137"/>
      <c r="ER76" s="276"/>
      <c r="ES76" s="276"/>
      <c r="ET76" s="276"/>
      <c r="EU76" s="276"/>
      <c r="EV76" s="139"/>
      <c r="EW76" s="131"/>
      <c r="EX76" s="139"/>
      <c r="EY76" s="123"/>
      <c r="EZ76" s="141"/>
      <c r="FA76" s="131"/>
      <c r="FB76" s="143"/>
      <c r="FC76" s="123"/>
      <c r="FD76" s="131"/>
      <c r="FE76" s="276"/>
      <c r="FF76" s="276"/>
      <c r="FG76" s="50"/>
    </row>
    <row r="77" spans="8:163" ht="14.25">
      <c r="H77" s="102" t="str">
        <f>"- Tỷ số huy động cấu kiện khi chịu cắt:"</f>
        <v>- Tỷ số huy động cấu kiện khi chịu cắt:</v>
      </c>
      <c r="I77" s="5"/>
      <c r="J77" s="5"/>
      <c r="K77" s="8"/>
      <c r="L77" s="291"/>
      <c r="M77" s="288"/>
      <c r="N77" s="5"/>
      <c r="O77" s="5"/>
      <c r="P77" s="5"/>
      <c r="Q77" s="8" t="s">
        <v>283</v>
      </c>
      <c r="R77" s="298">
        <f>R69/R65</f>
        <v>0.27547506763864921</v>
      </c>
      <c r="S77" s="297"/>
      <c r="T77" s="152"/>
      <c r="AA77" s="111" t="s">
        <v>245</v>
      </c>
      <c r="AB77" s="111" t="s">
        <v>312</v>
      </c>
      <c r="AC77" s="111">
        <v>46</v>
      </c>
      <c r="AD77" s="116">
        <v>0</v>
      </c>
      <c r="AE77" s="120">
        <v>750</v>
      </c>
      <c r="AF77" s="121">
        <v>350</v>
      </c>
      <c r="AG77" s="121">
        <v>14</v>
      </c>
      <c r="AH77" s="121">
        <v>18.000000000000004</v>
      </c>
      <c r="AI77" s="121">
        <v>714</v>
      </c>
      <c r="AJ77" s="64" t="str" cm="1">
        <f t="array" ref="AJ77">_xll.Dce_Name_SectI(AE77, AE77, AF77, AG77, AH77, "x", "-", "H Tổng")</f>
        <v>750x350x14x18</v>
      </c>
      <c r="AK77" s="122">
        <f t="shared" si="6"/>
        <v>1010</v>
      </c>
      <c r="AL77" s="123">
        <f t="shared" si="7"/>
        <v>350</v>
      </c>
      <c r="AM77" s="123">
        <f t="shared" si="8"/>
        <v>25</v>
      </c>
      <c r="AN77" s="123">
        <f t="shared" si="9"/>
        <v>12</v>
      </c>
      <c r="AO77" s="123">
        <f t="shared" si="10"/>
        <v>24</v>
      </c>
      <c r="AP77" s="165" t="str">
        <f t="shared" si="11"/>
        <v>1010x350x25 + 12M24</v>
      </c>
      <c r="AQ77" s="111" t="s">
        <v>313</v>
      </c>
      <c r="AR77" s="120">
        <v>0</v>
      </c>
      <c r="AS77" s="120">
        <v>256.38343897226935</v>
      </c>
      <c r="AT77" s="120">
        <v>-3.0559021979570381E-14</v>
      </c>
      <c r="AU77" s="120">
        <v>-2.5001251753249925E-3</v>
      </c>
      <c r="AV77" s="120">
        <v>2.0861625671386711E-14</v>
      </c>
      <c r="AW77" s="120">
        <v>-209.70737740730777</v>
      </c>
      <c r="AX77" s="120"/>
      <c r="AY77" s="120"/>
      <c r="AZ77" s="120"/>
      <c r="BA77" s="122">
        <f t="shared" si="12"/>
        <v>60</v>
      </c>
      <c r="BB77" s="122">
        <f t="shared" si="13"/>
        <v>70</v>
      </c>
      <c r="BC77" s="122">
        <f t="shared" si="14"/>
        <v>80</v>
      </c>
      <c r="BD77" s="122">
        <f t="shared" si="15"/>
        <v>150</v>
      </c>
      <c r="BE77" s="122">
        <f>VLOOKUP(AO77,Data!$V$4:$Z$15,3,FALSE)</f>
        <v>452.38934211693021</v>
      </c>
      <c r="BF77" s="122">
        <f>VLOOKUP(AO77,Data!$V$4:$Z$15,4,FALSE)</f>
        <v>353</v>
      </c>
      <c r="BG77" s="163">
        <f t="shared" si="16"/>
        <v>180</v>
      </c>
      <c r="BH77" s="122">
        <f t="shared" si="17"/>
        <v>121.65654188208487</v>
      </c>
      <c r="BI77" s="122">
        <f t="shared" si="18"/>
        <v>243</v>
      </c>
      <c r="BJ77" s="163">
        <f t="shared" si="19"/>
        <v>142.3296</v>
      </c>
      <c r="BK77" s="131">
        <f t="shared" si="20"/>
        <v>21.365286581022445</v>
      </c>
      <c r="BL77" s="134">
        <f t="shared" si="21"/>
        <v>0.89458333333333329</v>
      </c>
      <c r="BM77" s="135">
        <f t="shared" si="22"/>
        <v>0.19631453354833209</v>
      </c>
      <c r="BN77" s="92" t="str">
        <f t="shared" si="23"/>
        <v>OK</v>
      </c>
      <c r="BO77" s="135">
        <f>_xll.DCEBoltDisRS(AN77, AE77, BA77, BB77, BC77, BD77, "h1")</f>
        <v>890</v>
      </c>
      <c r="BP77" s="136">
        <f>_xll.DCEBoltDisRS(AN77, AE77, BA77, BB77, BC77, BD77, "Tong")</f>
        <v>1800300</v>
      </c>
      <c r="BQ77" s="137">
        <f t="shared" si="24"/>
        <v>51.83568457826582</v>
      </c>
      <c r="BR77" s="135">
        <f t="shared" si="25"/>
        <v>0.3641946901998307</v>
      </c>
      <c r="BS77" s="64" t="str">
        <f t="shared" si="26"/>
        <v>OK</v>
      </c>
      <c r="BT77" s="131">
        <f t="shared" si="27"/>
        <v>0.40432666847636584</v>
      </c>
      <c r="BU77" s="92" t="str">
        <f t="shared" si="28"/>
        <v>OK</v>
      </c>
      <c r="BV77" s="139">
        <f t="shared" si="29"/>
        <v>286.48548826134942</v>
      </c>
      <c r="BW77" s="131">
        <f t="shared" si="30"/>
        <v>6.4459234858803613</v>
      </c>
      <c r="BX77" s="139">
        <f t="shared" si="31"/>
        <v>143.24274413067471</v>
      </c>
      <c r="BY77" s="123">
        <f t="shared" si="32"/>
        <v>61.268183628169773</v>
      </c>
      <c r="BZ77" s="141">
        <f t="shared" si="33"/>
        <v>0.29783144819249197</v>
      </c>
      <c r="CA77" s="131">
        <f t="shared" si="34"/>
        <v>5.672979965571276</v>
      </c>
      <c r="CB77" s="143">
        <f t="shared" si="35"/>
        <v>4.7546527489222862E-2</v>
      </c>
      <c r="CC77" s="123">
        <f t="shared" si="36"/>
        <v>62.051095318007476</v>
      </c>
      <c r="CD77" s="131">
        <f t="shared" si="37"/>
        <v>0.26229327731041813</v>
      </c>
      <c r="CE77" s="135">
        <f t="shared" si="38"/>
        <v>0.29783144819249197</v>
      </c>
      <c r="CF77" s="92" t="str">
        <f t="shared" si="39"/>
        <v>OK</v>
      </c>
      <c r="CG77" s="50"/>
      <c r="DA77" s="111"/>
      <c r="DB77" s="111"/>
      <c r="DC77" s="111"/>
      <c r="DD77" s="116"/>
      <c r="DE77" s="120"/>
      <c r="DF77" s="121"/>
      <c r="DG77" s="121"/>
      <c r="DH77" s="121"/>
      <c r="DI77" s="121"/>
      <c r="DJ77" s="121"/>
      <c r="DK77" s="122"/>
      <c r="DL77" s="123"/>
      <c r="DM77" s="123"/>
      <c r="DN77" s="123"/>
      <c r="DO77" s="123"/>
      <c r="DP77" s="123"/>
      <c r="DQ77" s="111"/>
      <c r="DR77" s="120"/>
      <c r="DS77" s="120"/>
      <c r="DT77" s="120"/>
      <c r="DU77" s="120"/>
      <c r="DV77" s="120"/>
      <c r="DW77" s="120"/>
      <c r="DX77" s="120"/>
      <c r="DY77" s="120"/>
      <c r="DZ77" s="120"/>
      <c r="EA77" s="122"/>
      <c r="EB77" s="122"/>
      <c r="EC77" s="122"/>
      <c r="ED77" s="122"/>
      <c r="EE77" s="122"/>
      <c r="EF77" s="122"/>
      <c r="EG77" s="122"/>
      <c r="EH77" s="122"/>
      <c r="EI77" s="122"/>
      <c r="EJ77" s="122"/>
      <c r="EK77" s="131"/>
      <c r="EL77" s="122"/>
      <c r="EM77" s="276"/>
      <c r="EN77" s="276"/>
      <c r="EO77" s="135"/>
      <c r="EP77" s="136"/>
      <c r="EQ77" s="137"/>
      <c r="ER77" s="276"/>
      <c r="ES77" s="276"/>
      <c r="ET77" s="276"/>
      <c r="EU77" s="276"/>
      <c r="EV77" s="139"/>
      <c r="EW77" s="131"/>
      <c r="EX77" s="139"/>
      <c r="EY77" s="123"/>
      <c r="EZ77" s="141"/>
      <c r="FA77" s="131"/>
      <c r="FB77" s="143"/>
      <c r="FC77" s="123"/>
      <c r="FD77" s="131"/>
      <c r="FE77" s="276"/>
      <c r="FF77" s="276"/>
      <c r="FG77" s="50"/>
    </row>
    <row r="78" spans="8:163" ht="14.25">
      <c r="H78" s="102" t="str">
        <f>"- Tỷ số huy động cấu kiện khi chịu kéo:"</f>
        <v>- Tỷ số huy động cấu kiện khi chịu kéo:</v>
      </c>
      <c r="I78" s="5"/>
      <c r="J78" s="5"/>
      <c r="K78" s="8"/>
      <c r="L78" s="291"/>
      <c r="M78" s="288"/>
      <c r="N78" s="5"/>
      <c r="O78" s="5"/>
      <c r="P78" s="5"/>
      <c r="Q78" s="8" t="s">
        <v>284</v>
      </c>
      <c r="R78" s="298">
        <f>R74/R67</f>
        <v>1.6956621602456101</v>
      </c>
      <c r="S78" s="297"/>
      <c r="T78" s="152"/>
      <c r="AA78" s="111" t="s">
        <v>245</v>
      </c>
      <c r="AB78" s="111" t="s">
        <v>312</v>
      </c>
      <c r="AC78" s="111">
        <v>46</v>
      </c>
      <c r="AD78" s="116">
        <v>2.6850000000000001</v>
      </c>
      <c r="AE78" s="120">
        <v>1100</v>
      </c>
      <c r="AF78" s="121">
        <v>350</v>
      </c>
      <c r="AG78" s="121">
        <v>14</v>
      </c>
      <c r="AH78" s="121">
        <v>18.000000000000004</v>
      </c>
      <c r="AI78" s="121">
        <v>1064</v>
      </c>
      <c r="AJ78" s="64" t="str" cm="1">
        <f t="array" ref="AJ78">_xll.Dce_Name_SectI(AE78, AE78, AF78, AG78, AH78, "x", "-", "H Tổng")</f>
        <v>1100x350x14x18</v>
      </c>
      <c r="AK78" s="122">
        <f t="shared" si="6"/>
        <v>1360</v>
      </c>
      <c r="AL78" s="123">
        <f t="shared" si="7"/>
        <v>350</v>
      </c>
      <c r="AM78" s="123">
        <f t="shared" si="8"/>
        <v>25</v>
      </c>
      <c r="AN78" s="123">
        <f t="shared" si="9"/>
        <v>16</v>
      </c>
      <c r="AO78" s="123">
        <f t="shared" si="10"/>
        <v>27</v>
      </c>
      <c r="AP78" s="165" t="str">
        <f t="shared" si="11"/>
        <v>1360x350x25 + 16M27</v>
      </c>
      <c r="AQ78" s="111" t="s">
        <v>313</v>
      </c>
      <c r="AR78" s="120">
        <v>0</v>
      </c>
      <c r="AS78" s="120">
        <v>345.98930289644835</v>
      </c>
      <c r="AT78" s="120">
        <v>-6.3664629124104962E-15</v>
      </c>
      <c r="AU78" s="120">
        <v>-2.4997532783090372E-3</v>
      </c>
      <c r="AV78" s="120">
        <v>1.7584170564077791E-15</v>
      </c>
      <c r="AW78" s="120">
        <v>-1031.4583211890797</v>
      </c>
      <c r="AX78" s="120"/>
      <c r="AY78" s="120"/>
      <c r="AZ78" s="120"/>
      <c r="BA78" s="122">
        <f t="shared" si="12"/>
        <v>60</v>
      </c>
      <c r="BB78" s="122">
        <f t="shared" si="13"/>
        <v>70</v>
      </c>
      <c r="BC78" s="122">
        <f t="shared" si="14"/>
        <v>80</v>
      </c>
      <c r="BD78" s="122">
        <f t="shared" si="15"/>
        <v>160</v>
      </c>
      <c r="BE78" s="122">
        <f>VLOOKUP(AO78,Data!$V$4:$Z$15,3,FALSE)</f>
        <v>572.55526111673976</v>
      </c>
      <c r="BF78" s="122">
        <f>VLOOKUP(AO78,Data!$V$4:$Z$15,4,FALSE)</f>
        <v>459</v>
      </c>
      <c r="BG78" s="163">
        <f t="shared" si="16"/>
        <v>180</v>
      </c>
      <c r="BH78" s="122">
        <f t="shared" si="17"/>
        <v>153.97156081951366</v>
      </c>
      <c r="BI78" s="122">
        <f t="shared" si="18"/>
        <v>273.375</v>
      </c>
      <c r="BJ78" s="163">
        <f t="shared" si="19"/>
        <v>185.06880000000001</v>
      </c>
      <c r="BK78" s="131">
        <f t="shared" si="20"/>
        <v>21.624331431028022</v>
      </c>
      <c r="BL78" s="134">
        <f t="shared" si="21"/>
        <v>0.85037037037037044</v>
      </c>
      <c r="BM78" s="135">
        <f t="shared" si="22"/>
        <v>0.16515588641376941</v>
      </c>
      <c r="BN78" s="92" t="str">
        <f t="shared" si="23"/>
        <v>OK</v>
      </c>
      <c r="BO78" s="135">
        <f>_xll.DCEBoltDisRS(AN78, AE78, BA78, BB78, BC78, BD78, "h1")</f>
        <v>1240</v>
      </c>
      <c r="BP78" s="136">
        <f>_xll.DCEBoltDisRS(AN78, AE78, BA78, BB78, BC78, BD78, "Tong")</f>
        <v>4523000</v>
      </c>
      <c r="BQ78" s="137">
        <f t="shared" si="24"/>
        <v>141.38937854017897</v>
      </c>
      <c r="BR78" s="135">
        <f t="shared" si="25"/>
        <v>0.7639827920220964</v>
      </c>
      <c r="BS78" s="64" t="str">
        <f t="shared" si="26"/>
        <v>OK</v>
      </c>
      <c r="BT78" s="131">
        <f t="shared" si="27"/>
        <v>0.77678448207631756</v>
      </c>
      <c r="BU78" s="92" t="str">
        <f t="shared" si="28"/>
        <v>OK</v>
      </c>
      <c r="BV78" s="139">
        <f t="shared" si="29"/>
        <v>953.28865174591465</v>
      </c>
      <c r="BW78" s="131">
        <f t="shared" si="30"/>
        <v>21.448994664283077</v>
      </c>
      <c r="BX78" s="139">
        <f t="shared" si="31"/>
        <v>476.64432587295732</v>
      </c>
      <c r="BY78" s="123">
        <f t="shared" si="32"/>
        <v>151.40466821846877</v>
      </c>
      <c r="BZ78" s="141">
        <f t="shared" si="33"/>
        <v>0.73599491495088998</v>
      </c>
      <c r="CA78" s="131">
        <f t="shared" si="34"/>
        <v>14.018950760969332</v>
      </c>
      <c r="CB78" s="143">
        <f t="shared" si="35"/>
        <v>0.11749599536253033</v>
      </c>
      <c r="CC78" s="123">
        <f t="shared" si="36"/>
        <v>153.33938339402587</v>
      </c>
      <c r="CD78" s="131">
        <f t="shared" si="37"/>
        <v>0.64817372207619639</v>
      </c>
      <c r="CE78" s="135">
        <f t="shared" si="38"/>
        <v>0.73599491495088998</v>
      </c>
      <c r="CF78" s="92" t="str">
        <f t="shared" si="39"/>
        <v>OK</v>
      </c>
      <c r="CG78" s="50"/>
      <c r="DA78" s="111"/>
      <c r="DB78" s="111"/>
      <c r="DC78" s="111"/>
      <c r="DD78" s="116"/>
      <c r="DE78" s="120"/>
      <c r="DF78" s="121"/>
      <c r="DG78" s="121"/>
      <c r="DH78" s="121"/>
      <c r="DI78" s="121"/>
      <c r="DJ78" s="121"/>
      <c r="DK78" s="122"/>
      <c r="DL78" s="123"/>
      <c r="DM78" s="123"/>
      <c r="DN78" s="123"/>
      <c r="DO78" s="123"/>
      <c r="DP78" s="123"/>
      <c r="DQ78" s="111"/>
      <c r="DR78" s="120"/>
      <c r="DS78" s="120"/>
      <c r="DT78" s="120"/>
      <c r="DU78" s="120"/>
      <c r="DV78" s="120"/>
      <c r="DW78" s="120"/>
      <c r="DX78" s="120"/>
      <c r="DY78" s="120"/>
      <c r="DZ78" s="120"/>
      <c r="EA78" s="122"/>
      <c r="EB78" s="122"/>
      <c r="EC78" s="122"/>
      <c r="ED78" s="122"/>
      <c r="EE78" s="122"/>
      <c r="EF78" s="122"/>
      <c r="EG78" s="122"/>
      <c r="EH78" s="122"/>
      <c r="EI78" s="122"/>
      <c r="EJ78" s="122"/>
      <c r="EK78" s="131"/>
      <c r="EL78" s="122"/>
      <c r="EM78" s="276"/>
      <c r="EN78" s="276"/>
      <c r="EO78" s="135"/>
      <c r="EP78" s="136"/>
      <c r="EQ78" s="137"/>
      <c r="ER78" s="276"/>
      <c r="ES78" s="276"/>
      <c r="ET78" s="276"/>
      <c r="EU78" s="276"/>
      <c r="EV78" s="139"/>
      <c r="EW78" s="131"/>
      <c r="EX78" s="139"/>
      <c r="EY78" s="123"/>
      <c r="EZ78" s="141"/>
      <c r="FA78" s="131"/>
      <c r="FB78" s="143"/>
      <c r="FC78" s="123"/>
      <c r="FD78" s="131"/>
      <c r="FE78" s="276"/>
      <c r="FF78" s="276"/>
      <c r="FG78" s="50"/>
    </row>
    <row r="79" spans="8:163" ht="15">
      <c r="H79" s="102" t="str">
        <f>"- Tỷ số huy động cấu kiện khi chịu cắt và kéo đồng thời:"</f>
        <v>- Tỷ số huy động cấu kiện khi chịu cắt và kéo đồng thời:</v>
      </c>
      <c r="I79" s="5"/>
      <c r="J79" s="5"/>
      <c r="K79" s="8"/>
      <c r="L79" s="291"/>
      <c r="M79" s="288"/>
      <c r="N79" s="5"/>
      <c r="O79" s="5"/>
      <c r="P79" s="5"/>
      <c r="Q79" s="8" t="s">
        <v>285</v>
      </c>
      <c r="R79" s="267">
        <f>SQRT(R77^2+R78^2)</f>
        <v>1.7178930917200077</v>
      </c>
      <c r="S79" s="296" t="str">
        <f>IF(R79&lt;=1,"OK","Check")</f>
        <v>Check</v>
      </c>
      <c r="T79" s="152"/>
      <c r="AA79" s="111" t="s">
        <v>245</v>
      </c>
      <c r="AB79" s="111" t="s">
        <v>312</v>
      </c>
      <c r="AC79" s="111">
        <v>46</v>
      </c>
      <c r="AD79" s="116">
        <v>0</v>
      </c>
      <c r="AE79" s="120">
        <v>750</v>
      </c>
      <c r="AF79" s="121">
        <v>350</v>
      </c>
      <c r="AG79" s="121">
        <v>14</v>
      </c>
      <c r="AH79" s="121">
        <v>18.000000000000004</v>
      </c>
      <c r="AI79" s="121">
        <v>714</v>
      </c>
      <c r="AJ79" s="64" t="str" cm="1">
        <f t="array" ref="AJ79">_xll.Dce_Name_SectI(AE79, AE79, AF79, AG79, AH79, "x", "-", "H Tổng")</f>
        <v>750x350x14x18</v>
      </c>
      <c r="AK79" s="122">
        <f t="shared" si="6"/>
        <v>1010</v>
      </c>
      <c r="AL79" s="123">
        <f t="shared" si="7"/>
        <v>350</v>
      </c>
      <c r="AM79" s="123">
        <f t="shared" si="8"/>
        <v>25</v>
      </c>
      <c r="AN79" s="123">
        <f t="shared" si="9"/>
        <v>12</v>
      </c>
      <c r="AO79" s="123">
        <f t="shared" si="10"/>
        <v>24</v>
      </c>
      <c r="AP79" s="165" t="str">
        <f t="shared" si="11"/>
        <v>1010x350x25 + 12M24</v>
      </c>
      <c r="AQ79" s="111" t="s">
        <v>314</v>
      </c>
      <c r="AR79" s="120">
        <v>0</v>
      </c>
      <c r="AS79" s="120">
        <v>709.90729019714524</v>
      </c>
      <c r="AT79" s="120">
        <v>-7.2759576141834248E-14</v>
      </c>
      <c r="AU79" s="120">
        <v>-6.3347770678496883E-3</v>
      </c>
      <c r="AV79" s="120">
        <v>7.7602453529834728E-14</v>
      </c>
      <c r="AW79" s="120">
        <v>-637.84835083924156</v>
      </c>
      <c r="AX79" s="120"/>
      <c r="AY79" s="120"/>
      <c r="AZ79" s="120"/>
      <c r="BA79" s="122">
        <f t="shared" si="12"/>
        <v>60</v>
      </c>
      <c r="BB79" s="122">
        <f t="shared" si="13"/>
        <v>70</v>
      </c>
      <c r="BC79" s="122">
        <f t="shared" si="14"/>
        <v>80</v>
      </c>
      <c r="BD79" s="122">
        <f t="shared" si="15"/>
        <v>150</v>
      </c>
      <c r="BE79" s="122">
        <f>VLOOKUP(AO79,Data!$V$4:$Z$15,3,FALSE)</f>
        <v>452.38934211693021</v>
      </c>
      <c r="BF79" s="122">
        <f>VLOOKUP(AO79,Data!$V$4:$Z$15,4,FALSE)</f>
        <v>353</v>
      </c>
      <c r="BG79" s="163">
        <f t="shared" si="16"/>
        <v>180</v>
      </c>
      <c r="BH79" s="122">
        <f t="shared" si="17"/>
        <v>121.65654188208487</v>
      </c>
      <c r="BI79" s="122">
        <f t="shared" si="18"/>
        <v>243</v>
      </c>
      <c r="BJ79" s="163">
        <f t="shared" si="19"/>
        <v>142.3296</v>
      </c>
      <c r="BK79" s="131">
        <f t="shared" si="20"/>
        <v>59.158940849762104</v>
      </c>
      <c r="BL79" s="134">
        <f t="shared" si="21"/>
        <v>0.89458333333333329</v>
      </c>
      <c r="BM79" s="135">
        <f t="shared" si="22"/>
        <v>0.54358081433132988</v>
      </c>
      <c r="BN79" s="92" t="str">
        <f t="shared" si="23"/>
        <v>OK</v>
      </c>
      <c r="BO79" s="135">
        <f>_xll.DCEBoltDisRS(AN79, AE79, BA79, BB79, BC79, BD79, "h1")</f>
        <v>890</v>
      </c>
      <c r="BP79" s="136">
        <f>_xll.DCEBoltDisRS(AN79, AE79, BA79, BB79, BC79, BD79, "Tong")</f>
        <v>1800300</v>
      </c>
      <c r="BQ79" s="137">
        <f t="shared" si="24"/>
        <v>157.66400940035689</v>
      </c>
      <c r="BR79" s="135">
        <f t="shared" si="25"/>
        <v>1.1077387233601226</v>
      </c>
      <c r="BS79" s="64" t="str">
        <f t="shared" si="26"/>
        <v>O/S</v>
      </c>
      <c r="BT79" s="131">
        <f t="shared" si="27"/>
        <v>1.2097734085738918</v>
      </c>
      <c r="BU79" s="92" t="str">
        <f t="shared" si="28"/>
        <v>O/S</v>
      </c>
      <c r="BV79" s="139">
        <f t="shared" si="29"/>
        <v>871.3775284689093</v>
      </c>
      <c r="BW79" s="131">
        <f t="shared" si="30"/>
        <v>19.60599439055046</v>
      </c>
      <c r="BX79" s="139">
        <f t="shared" si="31"/>
        <v>435.68876423445465</v>
      </c>
      <c r="BY79" s="123">
        <f t="shared" si="32"/>
        <v>186.35400608840041</v>
      </c>
      <c r="BZ79" s="141">
        <f t="shared" si="33"/>
        <v>0.90588752959639096</v>
      </c>
      <c r="CA79" s="131">
        <f t="shared" si="34"/>
        <v>17.255000563740779</v>
      </c>
      <c r="CB79" s="143">
        <f t="shared" si="35"/>
        <v>0.14461806028039448</v>
      </c>
      <c r="CC79" s="123">
        <f t="shared" si="36"/>
        <v>188.73531921333552</v>
      </c>
      <c r="CD79" s="131">
        <f t="shared" si="37"/>
        <v>0.79779422372786768</v>
      </c>
      <c r="CE79" s="135">
        <f t="shared" si="38"/>
        <v>0.90588752959639096</v>
      </c>
      <c r="CF79" s="92" t="str">
        <f t="shared" si="39"/>
        <v>OK</v>
      </c>
      <c r="CG79" s="50"/>
      <c r="DA79" s="111"/>
      <c r="DB79" s="111"/>
      <c r="DC79" s="111"/>
      <c r="DD79" s="116"/>
      <c r="DE79" s="120"/>
      <c r="DF79" s="121"/>
      <c r="DG79" s="121"/>
      <c r="DH79" s="121"/>
      <c r="DI79" s="121"/>
      <c r="DJ79" s="121"/>
      <c r="DK79" s="122"/>
      <c r="DL79" s="123"/>
      <c r="DM79" s="123"/>
      <c r="DN79" s="123"/>
      <c r="DO79" s="123"/>
      <c r="DP79" s="123"/>
      <c r="DQ79" s="111"/>
      <c r="DR79" s="120"/>
      <c r="DS79" s="120"/>
      <c r="DT79" s="120"/>
      <c r="DU79" s="120"/>
      <c r="DV79" s="120"/>
      <c r="DW79" s="120"/>
      <c r="DX79" s="120"/>
      <c r="DY79" s="120"/>
      <c r="DZ79" s="120"/>
      <c r="EA79" s="122"/>
      <c r="EB79" s="122"/>
      <c r="EC79" s="122"/>
      <c r="ED79" s="122"/>
      <c r="EE79" s="122"/>
      <c r="EF79" s="122"/>
      <c r="EG79" s="122"/>
      <c r="EH79" s="122"/>
      <c r="EI79" s="122"/>
      <c r="EJ79" s="122"/>
      <c r="EK79" s="131"/>
      <c r="EL79" s="122"/>
      <c r="EM79" s="276"/>
      <c r="EN79" s="276"/>
      <c r="EO79" s="135"/>
      <c r="EP79" s="136"/>
      <c r="EQ79" s="137"/>
      <c r="ER79" s="276"/>
      <c r="ES79" s="276"/>
      <c r="ET79" s="276"/>
      <c r="EU79" s="276"/>
      <c r="EV79" s="139"/>
      <c r="EW79" s="131"/>
      <c r="EX79" s="139"/>
      <c r="EY79" s="123"/>
      <c r="EZ79" s="141"/>
      <c r="FA79" s="131"/>
      <c r="FB79" s="143"/>
      <c r="FC79" s="123"/>
      <c r="FD79" s="131"/>
      <c r="FE79" s="276"/>
      <c r="FF79" s="276"/>
      <c r="FG79" s="50"/>
    </row>
    <row r="80" spans="8:163">
      <c r="H80" s="101" t="s">
        <v>281</v>
      </c>
      <c r="I80" s="5"/>
      <c r="J80" s="5"/>
      <c r="K80" s="8"/>
      <c r="L80" s="291"/>
      <c r="M80" s="288"/>
      <c r="N80" s="5"/>
      <c r="O80" s="5"/>
      <c r="P80" s="5"/>
      <c r="Q80" s="8"/>
      <c r="R80" s="5"/>
      <c r="S80" s="297"/>
      <c r="T80" s="152"/>
      <c r="AA80" s="111" t="s">
        <v>245</v>
      </c>
      <c r="AB80" s="111" t="s">
        <v>312</v>
      </c>
      <c r="AC80" s="111">
        <v>46</v>
      </c>
      <c r="AD80" s="116">
        <v>2.6850000000000001</v>
      </c>
      <c r="AE80" s="120">
        <v>1100</v>
      </c>
      <c r="AF80" s="121">
        <v>350</v>
      </c>
      <c r="AG80" s="121">
        <v>14</v>
      </c>
      <c r="AH80" s="121">
        <v>18.000000000000004</v>
      </c>
      <c r="AI80" s="121">
        <v>1064</v>
      </c>
      <c r="AJ80" s="64" t="str" cm="1">
        <f t="array" ref="AJ80">_xll.Dce_Name_SectI(AE80, AE80, AF80, AG80, AH80, "x", "-", "H Tổng")</f>
        <v>1100x350x14x18</v>
      </c>
      <c r="AK80" s="122">
        <f t="shared" si="6"/>
        <v>1360</v>
      </c>
      <c r="AL80" s="123">
        <f t="shared" si="7"/>
        <v>350</v>
      </c>
      <c r="AM80" s="123">
        <f t="shared" si="8"/>
        <v>25</v>
      </c>
      <c r="AN80" s="123">
        <f t="shared" si="9"/>
        <v>16</v>
      </c>
      <c r="AO80" s="123">
        <f t="shared" si="10"/>
        <v>27</v>
      </c>
      <c r="AP80" s="165" t="str">
        <f t="shared" si="11"/>
        <v>1360x350x25 + 16M27</v>
      </c>
      <c r="AQ80" s="111" t="s">
        <v>314</v>
      </c>
      <c r="AR80" s="120">
        <v>0</v>
      </c>
      <c r="AS80" s="120">
        <v>949.10171212260161</v>
      </c>
      <c r="AT80" s="120">
        <v>-1.7212187231052665E-14</v>
      </c>
      <c r="AU80" s="120">
        <v>-6.3338343419524689E-3</v>
      </c>
      <c r="AV80" s="120">
        <v>1.3151043276593553E-14</v>
      </c>
      <c r="AW80" s="120">
        <v>-2902.6552283151536</v>
      </c>
      <c r="AX80" s="120"/>
      <c r="AY80" s="120"/>
      <c r="AZ80" s="120"/>
      <c r="BA80" s="122">
        <f t="shared" si="12"/>
        <v>60</v>
      </c>
      <c r="BB80" s="122">
        <f t="shared" si="13"/>
        <v>70</v>
      </c>
      <c r="BC80" s="122">
        <f t="shared" si="14"/>
        <v>80</v>
      </c>
      <c r="BD80" s="122">
        <f t="shared" si="15"/>
        <v>160</v>
      </c>
      <c r="BE80" s="122">
        <f>VLOOKUP(AO80,Data!$V$4:$Z$15,3,FALSE)</f>
        <v>572.55526111673976</v>
      </c>
      <c r="BF80" s="122">
        <f>VLOOKUP(AO80,Data!$V$4:$Z$15,4,FALSE)</f>
        <v>459</v>
      </c>
      <c r="BG80" s="163">
        <f t="shared" si="16"/>
        <v>180</v>
      </c>
      <c r="BH80" s="122">
        <f t="shared" si="17"/>
        <v>153.97156081951366</v>
      </c>
      <c r="BI80" s="122">
        <f t="shared" si="18"/>
        <v>273.375</v>
      </c>
      <c r="BJ80" s="163">
        <f t="shared" si="19"/>
        <v>185.06880000000001</v>
      </c>
      <c r="BK80" s="131">
        <f t="shared" si="20"/>
        <v>59.318857007662601</v>
      </c>
      <c r="BL80" s="134">
        <f t="shared" si="21"/>
        <v>0.85037037037037044</v>
      </c>
      <c r="BM80" s="135">
        <f t="shared" si="22"/>
        <v>0.45304792156926399</v>
      </c>
      <c r="BN80" s="92" t="str">
        <f t="shared" si="23"/>
        <v>OK</v>
      </c>
      <c r="BO80" s="135">
        <f>_xll.DCEBoltDisRS(AN80, AE80, BA80, BB80, BC80, BD80, "h1")</f>
        <v>1240</v>
      </c>
      <c r="BP80" s="136">
        <f>_xll.DCEBoltDisRS(AN80, AE80, BA80, BB80, BC80, BD80, "Tong")</f>
        <v>4523000</v>
      </c>
      <c r="BQ80" s="137">
        <f t="shared" si="24"/>
        <v>397.88773857072636</v>
      </c>
      <c r="BR80" s="135">
        <f t="shared" si="25"/>
        <v>2.1499449857065391</v>
      </c>
      <c r="BS80" s="64" t="str">
        <f t="shared" si="26"/>
        <v>O/S</v>
      </c>
      <c r="BT80" s="131">
        <f t="shared" si="27"/>
        <v>2.1841903707379435</v>
      </c>
      <c r="BU80" s="92" t="str">
        <f t="shared" si="28"/>
        <v>O/S</v>
      </c>
      <c r="BV80" s="139">
        <f t="shared" si="29"/>
        <v>2682.6758117515283</v>
      </c>
      <c r="BW80" s="131">
        <f t="shared" si="30"/>
        <v>60.360205764409386</v>
      </c>
      <c r="BX80" s="139">
        <f t="shared" si="31"/>
        <v>1341.3379058757641</v>
      </c>
      <c r="BY80" s="123">
        <f t="shared" si="32"/>
        <v>426.07204068994861</v>
      </c>
      <c r="BZ80" s="141">
        <f t="shared" si="33"/>
        <v>2.0711835311316946</v>
      </c>
      <c r="CA80" s="131">
        <f t="shared" si="34"/>
        <v>39.451114878698945</v>
      </c>
      <c r="CB80" s="143">
        <f t="shared" si="35"/>
        <v>0.33064871186649025</v>
      </c>
      <c r="CC80" s="123">
        <f t="shared" si="36"/>
        <v>431.51657587306437</v>
      </c>
      <c r="CD80" s="131">
        <f t="shared" si="37"/>
        <v>1.8240434970479777</v>
      </c>
      <c r="CE80" s="135">
        <f t="shared" si="38"/>
        <v>2.0711835311316946</v>
      </c>
      <c r="CF80" s="92" t="str">
        <f t="shared" si="39"/>
        <v>O/S</v>
      </c>
      <c r="CG80" s="50"/>
      <c r="DA80" s="111"/>
      <c r="DB80" s="111"/>
      <c r="DC80" s="111"/>
      <c r="DD80" s="116"/>
      <c r="DE80" s="120"/>
      <c r="DF80" s="121"/>
      <c r="DG80" s="121"/>
      <c r="DH80" s="121"/>
      <c r="DI80" s="121"/>
      <c r="DJ80" s="121"/>
      <c r="DK80" s="122"/>
      <c r="DL80" s="123"/>
      <c r="DM80" s="123"/>
      <c r="DN80" s="123"/>
      <c r="DO80" s="123"/>
      <c r="DP80" s="123"/>
      <c r="DQ80" s="111"/>
      <c r="DR80" s="120"/>
      <c r="DS80" s="120"/>
      <c r="DT80" s="120"/>
      <c r="DU80" s="120"/>
      <c r="DV80" s="120"/>
      <c r="DW80" s="120"/>
      <c r="DX80" s="120"/>
      <c r="DY80" s="120"/>
      <c r="DZ80" s="120"/>
      <c r="EA80" s="122"/>
      <c r="EB80" s="122"/>
      <c r="EC80" s="122"/>
      <c r="ED80" s="122"/>
      <c r="EE80" s="122"/>
      <c r="EF80" s="122"/>
      <c r="EG80" s="122"/>
      <c r="EH80" s="122"/>
      <c r="EI80" s="122"/>
      <c r="EJ80" s="122"/>
      <c r="EK80" s="131"/>
      <c r="EL80" s="122"/>
      <c r="EM80" s="276"/>
      <c r="EN80" s="276"/>
      <c r="EO80" s="135"/>
      <c r="EP80" s="136"/>
      <c r="EQ80" s="137"/>
      <c r="ER80" s="276"/>
      <c r="ES80" s="276"/>
      <c r="ET80" s="276"/>
      <c r="EU80" s="276"/>
      <c r="EV80" s="139"/>
      <c r="EW80" s="131"/>
      <c r="EX80" s="139"/>
      <c r="EY80" s="123"/>
      <c r="EZ80" s="141"/>
      <c r="FA80" s="131"/>
      <c r="FB80" s="143"/>
      <c r="FC80" s="123"/>
      <c r="FD80" s="131"/>
      <c r="FE80" s="276"/>
      <c r="FF80" s="276"/>
      <c r="FG80" s="50"/>
    </row>
    <row r="81" spans="8:163" ht="14.25">
      <c r="H81" s="102" t="str">
        <f>"- Mặt bích ngàm bởi 2 cột bu lông, chịu lực tập trung P tại giữa thanh:"</f>
        <v>- Mặt bích ngàm bởi 2 cột bu lông, chịu lực tập trung P tại giữa thanh:</v>
      </c>
      <c r="I81" s="5"/>
      <c r="J81" s="5"/>
      <c r="K81" s="8"/>
      <c r="L81" s="291"/>
      <c r="M81" s="288"/>
      <c r="N81" s="5"/>
      <c r="O81" s="5"/>
      <c r="P81" s="5"/>
      <c r="Q81" s="8" t="s">
        <v>292</v>
      </c>
      <c r="R81" s="299">
        <f>ABS(R60)/((R42-R45)/1000)+R61</f>
        <v>1043.1501338049452</v>
      </c>
      <c r="S81" s="155" t="s">
        <v>20</v>
      </c>
      <c r="T81" s="152"/>
      <c r="AA81" s="111" t="s">
        <v>245</v>
      </c>
      <c r="AB81" s="111" t="s">
        <v>312</v>
      </c>
      <c r="AC81" s="111">
        <v>46</v>
      </c>
      <c r="AD81" s="116">
        <v>0</v>
      </c>
      <c r="AE81" s="120">
        <v>750</v>
      </c>
      <c r="AF81" s="121">
        <v>350</v>
      </c>
      <c r="AG81" s="121">
        <v>14</v>
      </c>
      <c r="AH81" s="121">
        <v>18.000000000000004</v>
      </c>
      <c r="AI81" s="121">
        <v>714</v>
      </c>
      <c r="AJ81" s="64" t="str" cm="1">
        <f t="array" ref="AJ81">_xll.Dce_Name_SectI(AE81, AE81, AF81, AG81, AH81, "x", "-", "H Tổng")</f>
        <v>750x350x14x18</v>
      </c>
      <c r="AK81" s="122">
        <f t="shared" si="6"/>
        <v>1010</v>
      </c>
      <c r="AL81" s="123">
        <f t="shared" si="7"/>
        <v>350</v>
      </c>
      <c r="AM81" s="123">
        <f t="shared" si="8"/>
        <v>25</v>
      </c>
      <c r="AN81" s="123">
        <f t="shared" si="9"/>
        <v>12</v>
      </c>
      <c r="AO81" s="123">
        <f t="shared" si="10"/>
        <v>24</v>
      </c>
      <c r="AP81" s="165" t="str">
        <f t="shared" si="11"/>
        <v>1010x350x25 + 12M24</v>
      </c>
      <c r="AQ81" s="111" t="s">
        <v>315</v>
      </c>
      <c r="AR81" s="120">
        <v>0</v>
      </c>
      <c r="AS81" s="120">
        <v>526.74228915985111</v>
      </c>
      <c r="AT81" s="120">
        <v>-5.5297277867794024E-14</v>
      </c>
      <c r="AU81" s="120">
        <v>-4.7870939890918562E-3</v>
      </c>
      <c r="AV81" s="120">
        <v>5.5506825447082499E-14</v>
      </c>
      <c r="AW81" s="120">
        <v>-466.91842230292707</v>
      </c>
      <c r="AX81" s="120"/>
      <c r="AY81" s="120"/>
      <c r="AZ81" s="120"/>
      <c r="BA81" s="122">
        <f t="shared" si="12"/>
        <v>60</v>
      </c>
      <c r="BB81" s="122">
        <f t="shared" si="13"/>
        <v>70</v>
      </c>
      <c r="BC81" s="122">
        <f t="shared" si="14"/>
        <v>80</v>
      </c>
      <c r="BD81" s="122">
        <f t="shared" si="15"/>
        <v>150</v>
      </c>
      <c r="BE81" s="122">
        <f>VLOOKUP(AO81,Data!$V$4:$Z$15,3,FALSE)</f>
        <v>452.38934211693021</v>
      </c>
      <c r="BF81" s="122">
        <f>VLOOKUP(AO81,Data!$V$4:$Z$15,4,FALSE)</f>
        <v>353</v>
      </c>
      <c r="BG81" s="163">
        <f t="shared" si="16"/>
        <v>180</v>
      </c>
      <c r="BH81" s="122">
        <f t="shared" si="17"/>
        <v>121.65654188208487</v>
      </c>
      <c r="BI81" s="122">
        <f t="shared" si="18"/>
        <v>243</v>
      </c>
      <c r="BJ81" s="163">
        <f t="shared" si="19"/>
        <v>142.3296</v>
      </c>
      <c r="BK81" s="131">
        <f t="shared" si="20"/>
        <v>43.895190763320926</v>
      </c>
      <c r="BL81" s="134">
        <f t="shared" si="21"/>
        <v>0.89458333333333329</v>
      </c>
      <c r="BM81" s="135">
        <f t="shared" si="22"/>
        <v>0.40333013400206963</v>
      </c>
      <c r="BN81" s="92" t="str">
        <f t="shared" si="23"/>
        <v>OK</v>
      </c>
      <c r="BO81" s="135">
        <f>_xll.DCEBoltDisRS(AN81, AE81, BA81, BB81, BC81, BD81, "h1")</f>
        <v>890</v>
      </c>
      <c r="BP81" s="136">
        <f>_xll.DCEBoltDisRS(AN81, AE81, BA81, BB81, BC81, BD81, "Tong")</f>
        <v>1800300</v>
      </c>
      <c r="BQ81" s="137">
        <f t="shared" si="24"/>
        <v>115.41337439582433</v>
      </c>
      <c r="BR81" s="135">
        <f t="shared" si="25"/>
        <v>0.81088806822912685</v>
      </c>
      <c r="BS81" s="64" t="str">
        <f t="shared" si="26"/>
        <v>OK</v>
      </c>
      <c r="BT81" s="131">
        <f t="shared" si="27"/>
        <v>0.88753876452039149</v>
      </c>
      <c r="BU81" s="92" t="str">
        <f t="shared" si="28"/>
        <v>OK</v>
      </c>
      <c r="BV81" s="139">
        <f t="shared" si="29"/>
        <v>637.8666971351463</v>
      </c>
      <c r="BW81" s="131">
        <f t="shared" si="30"/>
        <v>14.352000685540791</v>
      </c>
      <c r="BX81" s="139">
        <f t="shared" si="31"/>
        <v>318.93334856757315</v>
      </c>
      <c r="BY81" s="123">
        <f t="shared" si="32"/>
        <v>136.41505602098178</v>
      </c>
      <c r="BZ81" s="141">
        <f t="shared" si="33"/>
        <v>0.66312874454643922</v>
      </c>
      <c r="CA81" s="131">
        <f t="shared" si="34"/>
        <v>12.631023705646459</v>
      </c>
      <c r="CB81" s="143">
        <f t="shared" si="35"/>
        <v>0.10586346496590664</v>
      </c>
      <c r="CC81" s="123">
        <f t="shared" si="36"/>
        <v>138.15822736545735</v>
      </c>
      <c r="CD81" s="131">
        <f t="shared" si="37"/>
        <v>0.58400216881533917</v>
      </c>
      <c r="CE81" s="135">
        <f t="shared" si="38"/>
        <v>0.66312874454643922</v>
      </c>
      <c r="CF81" s="92" t="str">
        <f t="shared" si="39"/>
        <v>OK</v>
      </c>
      <c r="CG81" s="50"/>
      <c r="DA81" s="111"/>
      <c r="DB81" s="111"/>
      <c r="DC81" s="111"/>
      <c r="DD81" s="116"/>
      <c r="DE81" s="120"/>
      <c r="DF81" s="121"/>
      <c r="DG81" s="121"/>
      <c r="DH81" s="121"/>
      <c r="DI81" s="121"/>
      <c r="DJ81" s="121"/>
      <c r="DK81" s="122"/>
      <c r="DL81" s="123"/>
      <c r="DM81" s="123"/>
      <c r="DN81" s="123"/>
      <c r="DO81" s="123"/>
      <c r="DP81" s="123"/>
      <c r="DQ81" s="111"/>
      <c r="DR81" s="120"/>
      <c r="DS81" s="120"/>
      <c r="DT81" s="120"/>
      <c r="DU81" s="120"/>
      <c r="DV81" s="120"/>
      <c r="DW81" s="120"/>
      <c r="DX81" s="120"/>
      <c r="DY81" s="120"/>
      <c r="DZ81" s="120"/>
      <c r="EA81" s="122"/>
      <c r="EB81" s="122"/>
      <c r="EC81" s="122"/>
      <c r="ED81" s="122"/>
      <c r="EE81" s="122"/>
      <c r="EF81" s="122"/>
      <c r="EG81" s="122"/>
      <c r="EH81" s="122"/>
      <c r="EI81" s="122"/>
      <c r="EJ81" s="122"/>
      <c r="EK81" s="131"/>
      <c r="EL81" s="122"/>
      <c r="EM81" s="276"/>
      <c r="EN81" s="276"/>
      <c r="EO81" s="135"/>
      <c r="EP81" s="136"/>
      <c r="EQ81" s="137"/>
      <c r="ER81" s="276"/>
      <c r="ES81" s="276"/>
      <c r="ET81" s="276"/>
      <c r="EU81" s="276"/>
      <c r="EV81" s="139"/>
      <c r="EW81" s="131"/>
      <c r="EX81" s="139"/>
      <c r="EY81" s="123"/>
      <c r="EZ81" s="141"/>
      <c r="FA81" s="131"/>
      <c r="FB81" s="143"/>
      <c r="FC81" s="123"/>
      <c r="FD81" s="131"/>
      <c r="FE81" s="276"/>
      <c r="FF81" s="276"/>
      <c r="FG81" s="50"/>
    </row>
    <row r="82" spans="8:163" ht="14.25">
      <c r="H82" s="102" t="str">
        <f>"- Moment gây uốn mặt bích:"</f>
        <v>- Moment gây uốn mặt bích:</v>
      </c>
      <c r="I82" s="5"/>
      <c r="J82" s="5"/>
      <c r="K82" s="8"/>
      <c r="L82" s="291"/>
      <c r="M82" s="288"/>
      <c r="N82" s="5"/>
      <c r="O82" s="5"/>
      <c r="P82" s="5"/>
      <c r="Q82" s="8" t="s">
        <v>116</v>
      </c>
      <c r="R82" s="266">
        <f>R81*(R51/1000)/8</f>
        <v>19.559065008842722</v>
      </c>
      <c r="S82" s="155" t="s">
        <v>21</v>
      </c>
      <c r="T82" s="152"/>
      <c r="AA82" s="111" t="s">
        <v>245</v>
      </c>
      <c r="AB82" s="111" t="s">
        <v>312</v>
      </c>
      <c r="AC82" s="111">
        <v>46</v>
      </c>
      <c r="AD82" s="116">
        <v>2.6850000000000001</v>
      </c>
      <c r="AE82" s="120">
        <v>1100</v>
      </c>
      <c r="AF82" s="121">
        <v>350</v>
      </c>
      <c r="AG82" s="121">
        <v>14</v>
      </c>
      <c r="AH82" s="121">
        <v>18.000000000000004</v>
      </c>
      <c r="AI82" s="121">
        <v>1064</v>
      </c>
      <c r="AJ82" s="64" t="str" cm="1">
        <f t="array" ref="AJ82">_xll.Dce_Name_SectI(AE82, AE82, AF82, AG82, AH82, "x", "-", "H Tổng")</f>
        <v>1100x350x14x18</v>
      </c>
      <c r="AK82" s="122">
        <f t="shared" si="6"/>
        <v>1360</v>
      </c>
      <c r="AL82" s="123">
        <f t="shared" si="7"/>
        <v>350</v>
      </c>
      <c r="AM82" s="123">
        <f t="shared" si="8"/>
        <v>25</v>
      </c>
      <c r="AN82" s="123">
        <f t="shared" si="9"/>
        <v>16</v>
      </c>
      <c r="AO82" s="123">
        <f t="shared" si="10"/>
        <v>27</v>
      </c>
      <c r="AP82" s="165" t="str">
        <f t="shared" si="11"/>
        <v>1360x350x25 + 16M27</v>
      </c>
      <c r="AQ82" s="111" t="s">
        <v>315</v>
      </c>
      <c r="AR82" s="120">
        <v>0</v>
      </c>
      <c r="AS82" s="120">
        <v>705.04068785163724</v>
      </c>
      <c r="AT82" s="120">
        <v>-1.3096723705530165E-14</v>
      </c>
      <c r="AU82" s="120">
        <v>-4.7863816671616741E-3</v>
      </c>
      <c r="AV82" s="120">
        <v>9.0003595687448949E-15</v>
      </c>
      <c r="AW82" s="120">
        <v>-2148.2787585235797</v>
      </c>
      <c r="AX82" s="120"/>
      <c r="AY82" s="120"/>
      <c r="AZ82" s="120"/>
      <c r="BA82" s="122">
        <f t="shared" si="12"/>
        <v>60</v>
      </c>
      <c r="BB82" s="122">
        <f t="shared" si="13"/>
        <v>70</v>
      </c>
      <c r="BC82" s="122">
        <f t="shared" si="14"/>
        <v>80</v>
      </c>
      <c r="BD82" s="122">
        <f t="shared" si="15"/>
        <v>160</v>
      </c>
      <c r="BE82" s="122">
        <f>VLOOKUP(AO82,Data!$V$4:$Z$15,3,FALSE)</f>
        <v>572.55526111673976</v>
      </c>
      <c r="BF82" s="122">
        <f>VLOOKUP(AO82,Data!$V$4:$Z$15,4,FALSE)</f>
        <v>459</v>
      </c>
      <c r="BG82" s="163">
        <f t="shared" si="16"/>
        <v>180</v>
      </c>
      <c r="BH82" s="122">
        <f t="shared" si="17"/>
        <v>153.97156081951366</v>
      </c>
      <c r="BI82" s="122">
        <f t="shared" si="18"/>
        <v>273.375</v>
      </c>
      <c r="BJ82" s="163">
        <f t="shared" si="19"/>
        <v>185.06880000000001</v>
      </c>
      <c r="BK82" s="131">
        <f t="shared" si="20"/>
        <v>44.065042990727328</v>
      </c>
      <c r="BL82" s="134">
        <f t="shared" si="21"/>
        <v>0.85037037037037044</v>
      </c>
      <c r="BM82" s="135">
        <f t="shared" si="22"/>
        <v>0.33654687814079859</v>
      </c>
      <c r="BN82" s="92" t="str">
        <f t="shared" si="23"/>
        <v>OK</v>
      </c>
      <c r="BO82" s="135">
        <f>_xll.DCEBoltDisRS(AN82, AE82, BA82, BB82, BC82, BD82, "h1")</f>
        <v>1240</v>
      </c>
      <c r="BP82" s="136">
        <f>_xll.DCEBoltDisRS(AN82, AE82, BA82, BB82, BC82, BD82, "Tong")</f>
        <v>4523000</v>
      </c>
      <c r="BQ82" s="137">
        <f t="shared" si="24"/>
        <v>294.47995363356608</v>
      </c>
      <c r="BR82" s="135">
        <f t="shared" si="25"/>
        <v>1.5911917818323027</v>
      </c>
      <c r="BS82" s="64" t="str">
        <f t="shared" si="26"/>
        <v>O/S</v>
      </c>
      <c r="BT82" s="131">
        <f t="shared" si="27"/>
        <v>1.6167237589365218</v>
      </c>
      <c r="BU82" s="92" t="str">
        <f t="shared" si="28"/>
        <v>O/S</v>
      </c>
      <c r="BV82" s="139">
        <f t="shared" si="29"/>
        <v>1985.4702019626427</v>
      </c>
      <c r="BW82" s="131">
        <f t="shared" si="30"/>
        <v>44.673079544159457</v>
      </c>
      <c r="BX82" s="139">
        <f t="shared" si="31"/>
        <v>992.73510098132135</v>
      </c>
      <c r="BY82" s="123">
        <f t="shared" si="32"/>
        <v>315.33938501759616</v>
      </c>
      <c r="BZ82" s="141">
        <f t="shared" si="33"/>
        <v>1.5328997882799815</v>
      </c>
      <c r="CA82" s="131">
        <f t="shared" si="34"/>
        <v>29.198091205332979</v>
      </c>
      <c r="CB82" s="143">
        <f t="shared" si="35"/>
        <v>0.24471580272668927</v>
      </c>
      <c r="CC82" s="123">
        <f t="shared" si="36"/>
        <v>319.36892981844773</v>
      </c>
      <c r="CD82" s="131">
        <f t="shared" si="37"/>
        <v>1.3499894376383663</v>
      </c>
      <c r="CE82" s="135">
        <f t="shared" si="38"/>
        <v>1.5328997882799815</v>
      </c>
      <c r="CF82" s="92" t="str">
        <f t="shared" si="39"/>
        <v>O/S</v>
      </c>
      <c r="CG82" s="50"/>
      <c r="DA82" s="111"/>
      <c r="DB82" s="111"/>
      <c r="DC82" s="111"/>
      <c r="DD82" s="116"/>
      <c r="DE82" s="120"/>
      <c r="DF82" s="121"/>
      <c r="DG82" s="121"/>
      <c r="DH82" s="121"/>
      <c r="DI82" s="121"/>
      <c r="DJ82" s="121"/>
      <c r="DK82" s="122"/>
      <c r="DL82" s="123"/>
      <c r="DM82" s="123"/>
      <c r="DN82" s="123"/>
      <c r="DO82" s="123"/>
      <c r="DP82" s="123"/>
      <c r="DQ82" s="111"/>
      <c r="DR82" s="120"/>
      <c r="DS82" s="120"/>
      <c r="DT82" s="120"/>
      <c r="DU82" s="120"/>
      <c r="DV82" s="120"/>
      <c r="DW82" s="120"/>
      <c r="DX82" s="120"/>
      <c r="DY82" s="120"/>
      <c r="DZ82" s="120"/>
      <c r="EA82" s="122"/>
      <c r="EB82" s="122"/>
      <c r="EC82" s="122"/>
      <c r="ED82" s="122"/>
      <c r="EE82" s="122"/>
      <c r="EF82" s="122"/>
      <c r="EG82" s="122"/>
      <c r="EH82" s="122"/>
      <c r="EI82" s="122"/>
      <c r="EJ82" s="122"/>
      <c r="EK82" s="131"/>
      <c r="EL82" s="122"/>
      <c r="EM82" s="276"/>
      <c r="EN82" s="276"/>
      <c r="EO82" s="135"/>
      <c r="EP82" s="136"/>
      <c r="EQ82" s="137"/>
      <c r="ER82" s="276"/>
      <c r="ES82" s="276"/>
      <c r="ET82" s="276"/>
      <c r="EU82" s="276"/>
      <c r="EV82" s="139"/>
      <c r="EW82" s="131"/>
      <c r="EX82" s="139"/>
      <c r="EY82" s="123"/>
      <c r="EZ82" s="141"/>
      <c r="FA82" s="131"/>
      <c r="FB82" s="143"/>
      <c r="FC82" s="123"/>
      <c r="FD82" s="131"/>
      <c r="FE82" s="276"/>
      <c r="FF82" s="276"/>
      <c r="FG82" s="50"/>
    </row>
    <row r="83" spans="8:163" ht="14.25">
      <c r="H83" s="102" t="str">
        <f>"- Lực cắt trong mặt bích:"</f>
        <v>- Lực cắt trong mặt bích:</v>
      </c>
      <c r="I83" s="5"/>
      <c r="J83" s="5"/>
      <c r="K83" s="8"/>
      <c r="L83" s="291"/>
      <c r="M83" s="288"/>
      <c r="N83" s="5"/>
      <c r="O83" s="5"/>
      <c r="P83" s="5"/>
      <c r="Q83" s="8" t="s">
        <v>117</v>
      </c>
      <c r="R83" s="266">
        <f>R81/2</f>
        <v>521.5750669024726</v>
      </c>
      <c r="S83" s="155" t="s">
        <v>20</v>
      </c>
      <c r="T83" s="152"/>
      <c r="AA83" s="111" t="s">
        <v>245</v>
      </c>
      <c r="AB83" s="111" t="s">
        <v>312</v>
      </c>
      <c r="AC83" s="111">
        <v>46</v>
      </c>
      <c r="AD83" s="116">
        <v>0</v>
      </c>
      <c r="AE83" s="120">
        <v>750</v>
      </c>
      <c r="AF83" s="121">
        <v>350</v>
      </c>
      <c r="AG83" s="121">
        <v>14</v>
      </c>
      <c r="AH83" s="121">
        <v>18.000000000000004</v>
      </c>
      <c r="AI83" s="121">
        <v>714</v>
      </c>
      <c r="AJ83" s="64" t="str" cm="1">
        <f t="array" ref="AJ83">_xll.Dce_Name_SectI(AE83, AE83, AF83, AG83, AH83, "x", "-", "H Tổng")</f>
        <v>750x350x14x18</v>
      </c>
      <c r="AK83" s="122">
        <f t="shared" si="6"/>
        <v>1010</v>
      </c>
      <c r="AL83" s="123">
        <f t="shared" si="7"/>
        <v>350</v>
      </c>
      <c r="AM83" s="123">
        <f t="shared" si="8"/>
        <v>25</v>
      </c>
      <c r="AN83" s="123">
        <f t="shared" si="9"/>
        <v>12</v>
      </c>
      <c r="AO83" s="123">
        <f t="shared" si="10"/>
        <v>24</v>
      </c>
      <c r="AP83" s="165" t="str">
        <f t="shared" si="11"/>
        <v>1010x350x25 + 12M24</v>
      </c>
      <c r="AQ83" s="111" t="s">
        <v>316</v>
      </c>
      <c r="AR83" s="120">
        <v>0</v>
      </c>
      <c r="AS83" s="120">
        <v>218.32674357194458</v>
      </c>
      <c r="AT83" s="120">
        <v>-2.6193447411060326E-14</v>
      </c>
      <c r="AU83" s="120">
        <v>-2.0932977989750975E-3</v>
      </c>
      <c r="AV83" s="120">
        <v>1.8253922462463371E-14</v>
      </c>
      <c r="AW83" s="120">
        <v>-173.60844283013404</v>
      </c>
      <c r="AX83" s="120"/>
      <c r="AY83" s="120"/>
      <c r="AZ83" s="120"/>
      <c r="BA83" s="122">
        <f t="shared" si="12"/>
        <v>60</v>
      </c>
      <c r="BB83" s="122">
        <f t="shared" si="13"/>
        <v>70</v>
      </c>
      <c r="BC83" s="122">
        <f t="shared" si="14"/>
        <v>80</v>
      </c>
      <c r="BD83" s="122">
        <f t="shared" si="15"/>
        <v>150</v>
      </c>
      <c r="BE83" s="122">
        <f>VLOOKUP(AO83,Data!$V$4:$Z$15,3,FALSE)</f>
        <v>452.38934211693021</v>
      </c>
      <c r="BF83" s="122">
        <f>VLOOKUP(AO83,Data!$V$4:$Z$15,4,FALSE)</f>
        <v>353</v>
      </c>
      <c r="BG83" s="163">
        <f t="shared" si="16"/>
        <v>180</v>
      </c>
      <c r="BH83" s="122">
        <f t="shared" si="17"/>
        <v>121.65654188208487</v>
      </c>
      <c r="BI83" s="122">
        <f t="shared" si="18"/>
        <v>243</v>
      </c>
      <c r="BJ83" s="163">
        <f t="shared" si="19"/>
        <v>142.3296</v>
      </c>
      <c r="BK83" s="131">
        <f t="shared" si="20"/>
        <v>18.193895297662049</v>
      </c>
      <c r="BL83" s="134">
        <f t="shared" si="21"/>
        <v>0.89458333333333329</v>
      </c>
      <c r="BM83" s="135">
        <f t="shared" si="22"/>
        <v>0.16717426444259711</v>
      </c>
      <c r="BN83" s="92" t="str">
        <f t="shared" si="23"/>
        <v>OK</v>
      </c>
      <c r="BO83" s="135">
        <f>_xll.DCEBoltDisRS(AN83, AE83, BA83, BB83, BC83, BD83, "h1")</f>
        <v>890</v>
      </c>
      <c r="BP83" s="136">
        <f>_xll.DCEBoltDisRS(AN83, AE83, BA83, BB83, BC83, BD83, "Tong")</f>
        <v>1800300</v>
      </c>
      <c r="BQ83" s="137">
        <f t="shared" si="24"/>
        <v>42.912712914186329</v>
      </c>
      <c r="BR83" s="135">
        <f t="shared" si="25"/>
        <v>0.30150237838219407</v>
      </c>
      <c r="BS83" s="64" t="str">
        <f t="shared" si="26"/>
        <v>OK</v>
      </c>
      <c r="BT83" s="131">
        <f t="shared" si="27"/>
        <v>0.33655501587698911</v>
      </c>
      <c r="BU83" s="92" t="str">
        <f t="shared" si="28"/>
        <v>OK</v>
      </c>
      <c r="BV83" s="139">
        <f t="shared" si="29"/>
        <v>237.17000386630335</v>
      </c>
      <c r="BW83" s="131">
        <f t="shared" si="30"/>
        <v>5.3363250869918248</v>
      </c>
      <c r="BX83" s="139">
        <f t="shared" si="31"/>
        <v>118.58500193315167</v>
      </c>
      <c r="BY83" s="123">
        <f t="shared" si="32"/>
        <v>50.721505777348035</v>
      </c>
      <c r="BZ83" s="141">
        <f t="shared" si="33"/>
        <v>0.24656287530655296</v>
      </c>
      <c r="CA83" s="131">
        <f t="shared" si="34"/>
        <v>4.6964357201248186</v>
      </c>
      <c r="CB83" s="143">
        <f t="shared" si="35"/>
        <v>3.9361889416754947E-2</v>
      </c>
      <c r="CC83" s="123">
        <f t="shared" si="36"/>
        <v>51.369647397479213</v>
      </c>
      <c r="CD83" s="131">
        <f t="shared" si="37"/>
        <v>0.21714222933717062</v>
      </c>
      <c r="CE83" s="135">
        <f t="shared" si="38"/>
        <v>0.24656287530655296</v>
      </c>
      <c r="CF83" s="92" t="str">
        <f t="shared" si="39"/>
        <v>OK</v>
      </c>
      <c r="CG83" s="50"/>
      <c r="DA83" s="111"/>
      <c r="DB83" s="111"/>
      <c r="DC83" s="111"/>
      <c r="DD83" s="116"/>
      <c r="DE83" s="120"/>
      <c r="DF83" s="121"/>
      <c r="DG83" s="121"/>
      <c r="DH83" s="121"/>
      <c r="DI83" s="121"/>
      <c r="DJ83" s="121"/>
      <c r="DK83" s="122"/>
      <c r="DL83" s="123"/>
      <c r="DM83" s="123"/>
      <c r="DN83" s="123"/>
      <c r="DO83" s="123"/>
      <c r="DP83" s="123"/>
      <c r="DQ83" s="111"/>
      <c r="DR83" s="120"/>
      <c r="DS83" s="120"/>
      <c r="DT83" s="120"/>
      <c r="DU83" s="120"/>
      <c r="DV83" s="120"/>
      <c r="DW83" s="120"/>
      <c r="DX83" s="120"/>
      <c r="DY83" s="120"/>
      <c r="DZ83" s="120"/>
      <c r="EA83" s="122"/>
      <c r="EB83" s="122"/>
      <c r="EC83" s="122"/>
      <c r="ED83" s="122"/>
      <c r="EE83" s="122"/>
      <c r="EF83" s="122"/>
      <c r="EG83" s="122"/>
      <c r="EH83" s="122"/>
      <c r="EI83" s="122"/>
      <c r="EJ83" s="122"/>
      <c r="EK83" s="131"/>
      <c r="EL83" s="122"/>
      <c r="EM83" s="276"/>
      <c r="EN83" s="276"/>
      <c r="EO83" s="135"/>
      <c r="EP83" s="136"/>
      <c r="EQ83" s="137"/>
      <c r="ER83" s="276"/>
      <c r="ES83" s="276"/>
      <c r="ET83" s="276"/>
      <c r="EU83" s="276"/>
      <c r="EV83" s="139"/>
      <c r="EW83" s="131"/>
      <c r="EX83" s="139"/>
      <c r="EY83" s="123"/>
      <c r="EZ83" s="141"/>
      <c r="FA83" s="131"/>
      <c r="FB83" s="143"/>
      <c r="FC83" s="123"/>
      <c r="FD83" s="131"/>
      <c r="FE83" s="276"/>
      <c r="FF83" s="276"/>
      <c r="FG83" s="50"/>
    </row>
    <row r="84" spans="8:163" ht="15">
      <c r="H84" s="102" t="str">
        <f>"- Ứng suất pháp:"</f>
        <v>- Ứng suất pháp:</v>
      </c>
      <c r="I84" s="5"/>
      <c r="J84" s="5"/>
      <c r="K84" s="8"/>
      <c r="L84" s="291"/>
      <c r="M84" s="288"/>
      <c r="N84" s="5"/>
      <c r="O84" s="5"/>
      <c r="P84" s="5"/>
      <c r="Q84" s="91" t="s">
        <v>122</v>
      </c>
      <c r="R84" s="266">
        <f>6*R82*1000000/(R49*R48^2)</f>
        <v>247.06187379590807</v>
      </c>
      <c r="S84" s="155" t="s">
        <v>2</v>
      </c>
      <c r="T84" s="152"/>
      <c r="AA84" s="111" t="s">
        <v>245</v>
      </c>
      <c r="AB84" s="111" t="s">
        <v>312</v>
      </c>
      <c r="AC84" s="111">
        <v>46</v>
      </c>
      <c r="AD84" s="116">
        <v>2.6850000000000001</v>
      </c>
      <c r="AE84" s="120">
        <v>1100</v>
      </c>
      <c r="AF84" s="121">
        <v>350</v>
      </c>
      <c r="AG84" s="121">
        <v>14</v>
      </c>
      <c r="AH84" s="121">
        <v>18.000000000000004</v>
      </c>
      <c r="AI84" s="121">
        <v>1064</v>
      </c>
      <c r="AJ84" s="64" t="str" cm="1">
        <f t="array" ref="AJ84">_xll.Dce_Name_SectI(AE84, AE84, AF84, AG84, AH84, "x", "-", "H Tổng")</f>
        <v>1100x350x14x18</v>
      </c>
      <c r="AK84" s="122">
        <f t="shared" si="6"/>
        <v>1360</v>
      </c>
      <c r="AL84" s="123">
        <f t="shared" si="7"/>
        <v>350</v>
      </c>
      <c r="AM84" s="123">
        <f t="shared" si="8"/>
        <v>25</v>
      </c>
      <c r="AN84" s="123">
        <f t="shared" si="9"/>
        <v>16</v>
      </c>
      <c r="AO84" s="123">
        <f t="shared" si="10"/>
        <v>27</v>
      </c>
      <c r="AP84" s="165" t="str">
        <f t="shared" si="11"/>
        <v>1360x350x25 + 16M27</v>
      </c>
      <c r="AQ84" s="111" t="s">
        <v>316</v>
      </c>
      <c r="AR84" s="120">
        <v>0</v>
      </c>
      <c r="AS84" s="120">
        <v>295.13176937685228</v>
      </c>
      <c r="AT84" s="120">
        <v>-5.8207660913467402E-15</v>
      </c>
      <c r="AU84" s="120">
        <v>-2.092986085893428E-3</v>
      </c>
      <c r="AV84" s="120">
        <v>3.1577656045556063E-14</v>
      </c>
      <c r="AW84" s="120">
        <v>-874.1255557452007</v>
      </c>
      <c r="AX84" s="120"/>
      <c r="AY84" s="120"/>
      <c r="AZ84" s="120"/>
      <c r="BA84" s="122">
        <f t="shared" si="12"/>
        <v>60</v>
      </c>
      <c r="BB84" s="122">
        <f t="shared" si="13"/>
        <v>70</v>
      </c>
      <c r="BC84" s="122">
        <f t="shared" si="14"/>
        <v>80</v>
      </c>
      <c r="BD84" s="122">
        <f t="shared" si="15"/>
        <v>160</v>
      </c>
      <c r="BE84" s="122">
        <f>VLOOKUP(AO84,Data!$V$4:$Z$15,3,FALSE)</f>
        <v>572.55526111673976</v>
      </c>
      <c r="BF84" s="122">
        <f>VLOOKUP(AO84,Data!$V$4:$Z$15,4,FALSE)</f>
        <v>459</v>
      </c>
      <c r="BG84" s="163">
        <f t="shared" si="16"/>
        <v>180</v>
      </c>
      <c r="BH84" s="122">
        <f t="shared" si="17"/>
        <v>153.97156081951366</v>
      </c>
      <c r="BI84" s="122">
        <f t="shared" si="18"/>
        <v>273.375</v>
      </c>
      <c r="BJ84" s="163">
        <f t="shared" si="19"/>
        <v>185.06880000000001</v>
      </c>
      <c r="BK84" s="131">
        <f t="shared" si="20"/>
        <v>18.445735586053267</v>
      </c>
      <c r="BL84" s="134">
        <f t="shared" si="21"/>
        <v>0.85037037037037044</v>
      </c>
      <c r="BM84" s="135">
        <f t="shared" si="22"/>
        <v>0.14087935254716963</v>
      </c>
      <c r="BN84" s="92" t="str">
        <f t="shared" si="23"/>
        <v>OK</v>
      </c>
      <c r="BO84" s="135">
        <f>_xll.DCEBoltDisRS(AN84, AE84, BA84, BB84, BC84, BD84, "h1")</f>
        <v>1240</v>
      </c>
      <c r="BP84" s="136">
        <f>_xll.DCEBoltDisRS(AN84, AE84, BA84, BB84, BC84, BD84, "Tong")</f>
        <v>4523000</v>
      </c>
      <c r="BQ84" s="137">
        <f t="shared" si="24"/>
        <v>119.82264969312945</v>
      </c>
      <c r="BR84" s="135">
        <f t="shared" si="25"/>
        <v>0.64744921722694182</v>
      </c>
      <c r="BS84" s="64" t="str">
        <f t="shared" si="26"/>
        <v>OK</v>
      </c>
      <c r="BT84" s="131">
        <f t="shared" si="27"/>
        <v>0.65843939703345167</v>
      </c>
      <c r="BU84" s="92" t="str">
        <f t="shared" si="28"/>
        <v>OK</v>
      </c>
      <c r="BV84" s="139">
        <f t="shared" si="29"/>
        <v>807.87944153900241</v>
      </c>
      <c r="BW84" s="131">
        <f t="shared" si="30"/>
        <v>18.177287434627555</v>
      </c>
      <c r="BX84" s="139">
        <f t="shared" si="31"/>
        <v>403.93972076950121</v>
      </c>
      <c r="BY84" s="123">
        <f t="shared" si="32"/>
        <v>128.31026424442979</v>
      </c>
      <c r="BZ84" s="141">
        <f t="shared" si="33"/>
        <v>0.62373045118820047</v>
      </c>
      <c r="CA84" s="131">
        <f t="shared" si="34"/>
        <v>11.880580022632389</v>
      </c>
      <c r="CB84" s="143">
        <f t="shared" si="35"/>
        <v>9.9573826818039668E-2</v>
      </c>
      <c r="CC84" s="123">
        <f t="shared" si="36"/>
        <v>129.94986900916027</v>
      </c>
      <c r="CD84" s="131">
        <f t="shared" si="37"/>
        <v>0.54930500185031528</v>
      </c>
      <c r="CE84" s="135">
        <f t="shared" si="38"/>
        <v>0.62373045118820047</v>
      </c>
      <c r="CF84" s="92" t="str">
        <f t="shared" si="39"/>
        <v>OK</v>
      </c>
      <c r="CG84" s="50"/>
      <c r="DA84" s="111"/>
      <c r="DB84" s="111"/>
      <c r="DC84" s="111"/>
      <c r="DD84" s="116"/>
      <c r="DE84" s="120"/>
      <c r="DF84" s="121"/>
      <c r="DG84" s="121"/>
      <c r="DH84" s="121"/>
      <c r="DI84" s="121"/>
      <c r="DJ84" s="121"/>
      <c r="DK84" s="122"/>
      <c r="DL84" s="123"/>
      <c r="DM84" s="123"/>
      <c r="DN84" s="123"/>
      <c r="DO84" s="123"/>
      <c r="DP84" s="123"/>
      <c r="DQ84" s="111"/>
      <c r="DR84" s="120"/>
      <c r="DS84" s="120"/>
      <c r="DT84" s="120"/>
      <c r="DU84" s="120"/>
      <c r="DV84" s="120"/>
      <c r="DW84" s="120"/>
      <c r="DX84" s="120"/>
      <c r="DY84" s="120"/>
      <c r="DZ84" s="120"/>
      <c r="EA84" s="122"/>
      <c r="EB84" s="122"/>
      <c r="EC84" s="122"/>
      <c r="ED84" s="122"/>
      <c r="EE84" s="122"/>
      <c r="EF84" s="122"/>
      <c r="EG84" s="122"/>
      <c r="EH84" s="122"/>
      <c r="EI84" s="122"/>
      <c r="EJ84" s="122"/>
      <c r="EK84" s="131"/>
      <c r="EL84" s="122"/>
      <c r="EM84" s="276"/>
      <c r="EN84" s="276"/>
      <c r="EO84" s="135"/>
      <c r="EP84" s="136"/>
      <c r="EQ84" s="137"/>
      <c r="ER84" s="276"/>
      <c r="ES84" s="276"/>
      <c r="ET84" s="276"/>
      <c r="EU84" s="276"/>
      <c r="EV84" s="139"/>
      <c r="EW84" s="131"/>
      <c r="EX84" s="139"/>
      <c r="EY84" s="123"/>
      <c r="EZ84" s="141"/>
      <c r="FA84" s="131"/>
      <c r="FB84" s="143"/>
      <c r="FC84" s="123"/>
      <c r="FD84" s="131"/>
      <c r="FE84" s="276"/>
      <c r="FF84" s="276"/>
      <c r="FG84" s="50"/>
    </row>
    <row r="85" spans="8:163" ht="14.25">
      <c r="H85" s="258" t="str">
        <f>"+ Tỷ số huy động:"</f>
        <v>+ Tỷ số huy động:</v>
      </c>
      <c r="I85" s="5"/>
      <c r="J85" s="5"/>
      <c r="K85" s="8"/>
      <c r="L85" s="291"/>
      <c r="M85" s="288"/>
      <c r="N85" s="5"/>
      <c r="O85" s="5"/>
      <c r="P85" s="5"/>
      <c r="Q85" s="91" t="s">
        <v>118</v>
      </c>
      <c r="R85" s="267">
        <f>R84/(R32*R30)</f>
        <v>1.2009952198412199</v>
      </c>
      <c r="S85" s="296" t="str">
        <f>IF(R85&lt;=1,"OK","Check")</f>
        <v>Check</v>
      </c>
      <c r="T85" s="152"/>
      <c r="AA85" s="111" t="s">
        <v>245</v>
      </c>
      <c r="AB85" s="111" t="s">
        <v>312</v>
      </c>
      <c r="AC85" s="111">
        <v>46</v>
      </c>
      <c r="AD85" s="116">
        <v>0</v>
      </c>
      <c r="AE85" s="120">
        <v>750</v>
      </c>
      <c r="AF85" s="121">
        <v>350</v>
      </c>
      <c r="AG85" s="121">
        <v>14</v>
      </c>
      <c r="AH85" s="121">
        <v>18.000000000000004</v>
      </c>
      <c r="AI85" s="121">
        <v>714</v>
      </c>
      <c r="AJ85" s="64" t="str" cm="1">
        <f t="array" ref="AJ85">_xll.Dce_Name_SectI(AE85, AE85, AF85, AG85, AH85, "x", "-", "H Tổng")</f>
        <v>750x350x14x18</v>
      </c>
      <c r="AK85" s="122">
        <f t="shared" si="6"/>
        <v>1010</v>
      </c>
      <c r="AL85" s="123">
        <f t="shared" si="7"/>
        <v>350</v>
      </c>
      <c r="AM85" s="123">
        <f t="shared" si="8"/>
        <v>25</v>
      </c>
      <c r="AN85" s="123">
        <f t="shared" si="9"/>
        <v>12</v>
      </c>
      <c r="AO85" s="123">
        <f t="shared" si="10"/>
        <v>24</v>
      </c>
      <c r="AP85" s="165" t="str">
        <f t="shared" si="11"/>
        <v>1010x350x25 + 12M24</v>
      </c>
      <c r="AQ85" s="111" t="s">
        <v>317</v>
      </c>
      <c r="AR85" s="120">
        <v>0</v>
      </c>
      <c r="AS85" s="120">
        <v>218.85502184621441</v>
      </c>
      <c r="AT85" s="120">
        <v>-2.5902409106492991E-13</v>
      </c>
      <c r="AU85" s="120">
        <v>-2.0897684796314427E-3</v>
      </c>
      <c r="AV85" s="120">
        <v>-1.0095536708831785E-13</v>
      </c>
      <c r="AW85" s="120">
        <v>-173.69538316574994</v>
      </c>
      <c r="AX85" s="120"/>
      <c r="AY85" s="120"/>
      <c r="AZ85" s="120"/>
      <c r="BA85" s="122">
        <f t="shared" si="12"/>
        <v>60</v>
      </c>
      <c r="BB85" s="122">
        <f t="shared" si="13"/>
        <v>70</v>
      </c>
      <c r="BC85" s="122">
        <f t="shared" si="14"/>
        <v>80</v>
      </c>
      <c r="BD85" s="122">
        <f t="shared" si="15"/>
        <v>150</v>
      </c>
      <c r="BE85" s="122">
        <f>VLOOKUP(AO85,Data!$V$4:$Z$15,3,FALSE)</f>
        <v>452.38934211693021</v>
      </c>
      <c r="BF85" s="122">
        <f>VLOOKUP(AO85,Data!$V$4:$Z$15,4,FALSE)</f>
        <v>353</v>
      </c>
      <c r="BG85" s="163">
        <f t="shared" si="16"/>
        <v>180</v>
      </c>
      <c r="BH85" s="122">
        <f t="shared" si="17"/>
        <v>121.65654188208487</v>
      </c>
      <c r="BI85" s="122">
        <f t="shared" si="18"/>
        <v>243</v>
      </c>
      <c r="BJ85" s="163">
        <f t="shared" si="19"/>
        <v>142.3296</v>
      </c>
      <c r="BK85" s="131">
        <f t="shared" si="20"/>
        <v>18.237918487184533</v>
      </c>
      <c r="BL85" s="134">
        <f t="shared" si="21"/>
        <v>0.89458333333333329</v>
      </c>
      <c r="BM85" s="135">
        <f t="shared" si="22"/>
        <v>0.16757877069078816</v>
      </c>
      <c r="BN85" s="92" t="str">
        <f t="shared" si="23"/>
        <v>OK</v>
      </c>
      <c r="BO85" s="135">
        <f>_xll.DCEBoltDisRS(AN85, AE85, BA85, BB85, BC85, BD85, "h1")</f>
        <v>890</v>
      </c>
      <c r="BP85" s="136">
        <f>_xll.DCEBoltDisRS(AN85, AE85, BA85, BB85, BC85, BD85, "Tong")</f>
        <v>1800300</v>
      </c>
      <c r="BQ85" s="137">
        <f t="shared" si="24"/>
        <v>42.934202915491156</v>
      </c>
      <c r="BR85" s="135">
        <f t="shared" si="25"/>
        <v>0.30165336595824871</v>
      </c>
      <c r="BS85" s="64" t="str">
        <f t="shared" si="26"/>
        <v>OK</v>
      </c>
      <c r="BT85" s="131">
        <f t="shared" si="27"/>
        <v>0.33685117383885321</v>
      </c>
      <c r="BU85" s="92" t="str">
        <f t="shared" si="28"/>
        <v>OK</v>
      </c>
      <c r="BV85" s="139">
        <f t="shared" si="29"/>
        <v>237.28877481659828</v>
      </c>
      <c r="BW85" s="131">
        <f t="shared" si="30"/>
        <v>5.3389974333734607</v>
      </c>
      <c r="BX85" s="139">
        <f t="shared" si="31"/>
        <v>118.64438740829914</v>
      </c>
      <c r="BY85" s="123">
        <f t="shared" si="32"/>
        <v>50.746906297411108</v>
      </c>
      <c r="BZ85" s="141">
        <f t="shared" si="33"/>
        <v>0.24668635005685957</v>
      </c>
      <c r="CA85" s="131">
        <f t="shared" si="34"/>
        <v>4.6987876201306591</v>
      </c>
      <c r="CB85" s="143">
        <f t="shared" si="35"/>
        <v>3.9381601222359452E-2</v>
      </c>
      <c r="CC85" s="123">
        <f t="shared" si="36"/>
        <v>51.395372496514732</v>
      </c>
      <c r="CD85" s="131">
        <f t="shared" si="37"/>
        <v>0.21725097069782801</v>
      </c>
      <c r="CE85" s="135">
        <f t="shared" si="38"/>
        <v>0.24668635005685957</v>
      </c>
      <c r="CF85" s="92" t="str">
        <f t="shared" si="39"/>
        <v>OK</v>
      </c>
      <c r="CG85" s="50"/>
      <c r="DA85" s="111"/>
      <c r="DB85" s="111"/>
      <c r="DC85" s="111"/>
      <c r="DD85" s="116"/>
      <c r="DE85" s="120"/>
      <c r="DF85" s="121"/>
      <c r="DG85" s="121"/>
      <c r="DH85" s="121"/>
      <c r="DI85" s="121"/>
      <c r="DJ85" s="121"/>
      <c r="DK85" s="122"/>
      <c r="DL85" s="123"/>
      <c r="DM85" s="123"/>
      <c r="DN85" s="123"/>
      <c r="DO85" s="123"/>
      <c r="DP85" s="123"/>
      <c r="DQ85" s="111"/>
      <c r="DR85" s="120"/>
      <c r="DS85" s="120"/>
      <c r="DT85" s="120"/>
      <c r="DU85" s="120"/>
      <c r="DV85" s="120"/>
      <c r="DW85" s="120"/>
      <c r="DX85" s="120"/>
      <c r="DY85" s="120"/>
      <c r="DZ85" s="120"/>
      <c r="EA85" s="122"/>
      <c r="EB85" s="122"/>
      <c r="EC85" s="122"/>
      <c r="ED85" s="122"/>
      <c r="EE85" s="122"/>
      <c r="EF85" s="122"/>
      <c r="EG85" s="122"/>
      <c r="EH85" s="122"/>
      <c r="EI85" s="122"/>
      <c r="EJ85" s="122"/>
      <c r="EK85" s="131"/>
      <c r="EL85" s="122"/>
      <c r="EM85" s="276"/>
      <c r="EN85" s="276"/>
      <c r="EO85" s="135"/>
      <c r="EP85" s="136"/>
      <c r="EQ85" s="137"/>
      <c r="ER85" s="276"/>
      <c r="ES85" s="276"/>
      <c r="ET85" s="276"/>
      <c r="EU85" s="276"/>
      <c r="EV85" s="139"/>
      <c r="EW85" s="131"/>
      <c r="EX85" s="139"/>
      <c r="EY85" s="123"/>
      <c r="EZ85" s="141"/>
      <c r="FA85" s="131"/>
      <c r="FB85" s="143"/>
      <c r="FC85" s="123"/>
      <c r="FD85" s="131"/>
      <c r="FE85" s="276"/>
      <c r="FF85" s="276"/>
      <c r="FG85" s="50"/>
    </row>
    <row r="86" spans="8:163" ht="14.25">
      <c r="H86" s="102" t="str">
        <f>"+ Ứng suất tiếp:"</f>
        <v>+ Ứng suất tiếp:</v>
      </c>
      <c r="I86" s="5"/>
      <c r="J86" s="5"/>
      <c r="K86" s="8"/>
      <c r="L86" s="291"/>
      <c r="M86" s="288"/>
      <c r="N86" s="5"/>
      <c r="O86" s="5"/>
      <c r="P86" s="5"/>
      <c r="Q86" s="91" t="s">
        <v>123</v>
      </c>
      <c r="R86" s="266">
        <f>R83*1000/(R49*R48)</f>
        <v>27.451319310656451</v>
      </c>
      <c r="S86" s="155" t="s">
        <v>2</v>
      </c>
      <c r="T86" s="152"/>
      <c r="AA86" s="111" t="s">
        <v>245</v>
      </c>
      <c r="AB86" s="111" t="s">
        <v>312</v>
      </c>
      <c r="AC86" s="111">
        <v>46</v>
      </c>
      <c r="AD86" s="116">
        <v>2.6850000000000001</v>
      </c>
      <c r="AE86" s="120">
        <v>1100</v>
      </c>
      <c r="AF86" s="121">
        <v>350</v>
      </c>
      <c r="AG86" s="121">
        <v>14</v>
      </c>
      <c r="AH86" s="121">
        <v>18.000000000000004</v>
      </c>
      <c r="AI86" s="121">
        <v>1064</v>
      </c>
      <c r="AJ86" s="64" t="str" cm="1">
        <f t="array" ref="AJ86">_xll.Dce_Name_SectI(AE86, AE86, AF86, AG86, AH86, "x", "-", "H Tổng")</f>
        <v>1100x350x14x18</v>
      </c>
      <c r="AK86" s="122">
        <f t="shared" si="6"/>
        <v>1360</v>
      </c>
      <c r="AL86" s="123">
        <f t="shared" si="7"/>
        <v>350</v>
      </c>
      <c r="AM86" s="123">
        <f t="shared" si="8"/>
        <v>25</v>
      </c>
      <c r="AN86" s="123">
        <f t="shared" si="9"/>
        <v>16</v>
      </c>
      <c r="AO86" s="123">
        <f t="shared" si="10"/>
        <v>27</v>
      </c>
      <c r="AP86" s="165" t="str">
        <f t="shared" si="11"/>
        <v>1360x350x25 + 16M27</v>
      </c>
      <c r="AQ86" s="111" t="s">
        <v>317</v>
      </c>
      <c r="AR86" s="120">
        <v>0</v>
      </c>
      <c r="AS86" s="120">
        <v>295.66004776923046</v>
      </c>
      <c r="AT86" s="120">
        <v>-5.8207660913467402E-15</v>
      </c>
      <c r="AU86" s="120">
        <v>-2.0894569741202883E-3</v>
      </c>
      <c r="AV86" s="120">
        <v>6.1379978433251361E-14</v>
      </c>
      <c r="AW86" s="120">
        <v>-875.6309182439677</v>
      </c>
      <c r="AX86" s="120"/>
      <c r="AY86" s="120"/>
      <c r="AZ86" s="120"/>
      <c r="BA86" s="122">
        <f t="shared" si="12"/>
        <v>60</v>
      </c>
      <c r="BB86" s="122">
        <f t="shared" si="13"/>
        <v>70</v>
      </c>
      <c r="BC86" s="122">
        <f t="shared" si="14"/>
        <v>80</v>
      </c>
      <c r="BD86" s="122">
        <f t="shared" si="15"/>
        <v>160</v>
      </c>
      <c r="BE86" s="122">
        <f>VLOOKUP(AO86,Data!$V$4:$Z$15,3,FALSE)</f>
        <v>572.55526111673976</v>
      </c>
      <c r="BF86" s="122">
        <f>VLOOKUP(AO86,Data!$V$4:$Z$15,4,FALSE)</f>
        <v>459</v>
      </c>
      <c r="BG86" s="163">
        <f t="shared" si="16"/>
        <v>180</v>
      </c>
      <c r="BH86" s="122">
        <f t="shared" si="17"/>
        <v>153.97156081951366</v>
      </c>
      <c r="BI86" s="122">
        <f t="shared" si="18"/>
        <v>273.375</v>
      </c>
      <c r="BJ86" s="163">
        <f t="shared" si="19"/>
        <v>185.06880000000001</v>
      </c>
      <c r="BK86" s="131">
        <f t="shared" si="20"/>
        <v>18.478752985576904</v>
      </c>
      <c r="BL86" s="134">
        <f t="shared" si="21"/>
        <v>0.85037037037037044</v>
      </c>
      <c r="BM86" s="135">
        <f t="shared" si="22"/>
        <v>0.14113152302017576</v>
      </c>
      <c r="BN86" s="92" t="str">
        <f t="shared" si="23"/>
        <v>OK</v>
      </c>
      <c r="BO86" s="135">
        <f>_xll.DCEBoltDisRS(AN86, AE86, BA86, BB86, BC86, BD86, "h1")</f>
        <v>1240</v>
      </c>
      <c r="BP86" s="136">
        <f>_xll.DCEBoltDisRS(AN86, AE86, BA86, BB86, BC86, BD86, "Tong")</f>
        <v>4523000</v>
      </c>
      <c r="BQ86" s="137">
        <f t="shared" si="24"/>
        <v>120.02900051100154</v>
      </c>
      <c r="BR86" s="135">
        <f t="shared" si="25"/>
        <v>0.64856421239561468</v>
      </c>
      <c r="BS86" s="64" t="str">
        <f t="shared" si="26"/>
        <v>OK</v>
      </c>
      <c r="BT86" s="131">
        <f t="shared" si="27"/>
        <v>0.65957479751622305</v>
      </c>
      <c r="BU86" s="92" t="str">
        <f t="shared" si="28"/>
        <v>OK</v>
      </c>
      <c r="BV86" s="139">
        <f t="shared" si="29"/>
        <v>809.27071926429539</v>
      </c>
      <c r="BW86" s="131">
        <f t="shared" si="30"/>
        <v>18.208591183446647</v>
      </c>
      <c r="BX86" s="139">
        <f t="shared" si="31"/>
        <v>404.6353596321477</v>
      </c>
      <c r="BY86" s="123">
        <f t="shared" si="32"/>
        <v>128.5312318831528</v>
      </c>
      <c r="BZ86" s="141">
        <f t="shared" si="33"/>
        <v>0.62480459943199285</v>
      </c>
      <c r="CA86" s="131">
        <f t="shared" si="34"/>
        <v>11.901039989180815</v>
      </c>
      <c r="CB86" s="143">
        <f t="shared" si="35"/>
        <v>9.9745306422731939E-2</v>
      </c>
      <c r="CC86" s="123">
        <f t="shared" si="36"/>
        <v>130.17366026916903</v>
      </c>
      <c r="CD86" s="131">
        <f t="shared" si="37"/>
        <v>0.55025097939866152</v>
      </c>
      <c r="CE86" s="135">
        <f t="shared" si="38"/>
        <v>0.62480459943199285</v>
      </c>
      <c r="CF86" s="92" t="str">
        <f t="shared" si="39"/>
        <v>OK</v>
      </c>
      <c r="CG86" s="50"/>
      <c r="DA86" s="111"/>
      <c r="DB86" s="111"/>
      <c r="DC86" s="111"/>
      <c r="DD86" s="116"/>
      <c r="DE86" s="120"/>
      <c r="DF86" s="121"/>
      <c r="DG86" s="121"/>
      <c r="DH86" s="121"/>
      <c r="DI86" s="121"/>
      <c r="DJ86" s="121"/>
      <c r="DK86" s="122"/>
      <c r="DL86" s="123"/>
      <c r="DM86" s="123"/>
      <c r="DN86" s="123"/>
      <c r="DO86" s="123"/>
      <c r="DP86" s="123"/>
      <c r="DQ86" s="111"/>
      <c r="DR86" s="120"/>
      <c r="DS86" s="120"/>
      <c r="DT86" s="120"/>
      <c r="DU86" s="120"/>
      <c r="DV86" s="120"/>
      <c r="DW86" s="120"/>
      <c r="DX86" s="120"/>
      <c r="DY86" s="120"/>
      <c r="DZ86" s="120"/>
      <c r="EA86" s="122"/>
      <c r="EB86" s="122"/>
      <c r="EC86" s="122"/>
      <c r="ED86" s="122"/>
      <c r="EE86" s="122"/>
      <c r="EF86" s="122"/>
      <c r="EG86" s="122"/>
      <c r="EH86" s="122"/>
      <c r="EI86" s="122"/>
      <c r="EJ86" s="122"/>
      <c r="EK86" s="131"/>
      <c r="EL86" s="122"/>
      <c r="EM86" s="276"/>
      <c r="EN86" s="276"/>
      <c r="EO86" s="135"/>
      <c r="EP86" s="136"/>
      <c r="EQ86" s="137"/>
      <c r="ER86" s="276"/>
      <c r="ES86" s="276"/>
      <c r="ET86" s="276"/>
      <c r="EU86" s="276"/>
      <c r="EV86" s="139"/>
      <c r="EW86" s="131"/>
      <c r="EX86" s="139"/>
      <c r="EY86" s="123"/>
      <c r="EZ86" s="141"/>
      <c r="FA86" s="131"/>
      <c r="FB86" s="143"/>
      <c r="FC86" s="123"/>
      <c r="FD86" s="131"/>
      <c r="FE86" s="276"/>
      <c r="FF86" s="276"/>
      <c r="FG86" s="50"/>
    </row>
    <row r="87" spans="8:163" ht="12.75" customHeight="1">
      <c r="H87" s="258" t="str">
        <f>"- Tỷ số huy động:"</f>
        <v>- Tỷ số huy động:</v>
      </c>
      <c r="I87" s="5"/>
      <c r="J87" s="5"/>
      <c r="K87" s="8"/>
      <c r="L87" s="291"/>
      <c r="M87" s="288"/>
      <c r="N87" s="5"/>
      <c r="O87" s="5"/>
      <c r="P87" s="5"/>
      <c r="Q87" s="91" t="s">
        <v>119</v>
      </c>
      <c r="R87" s="267">
        <f>R86/(R32*R31)</f>
        <v>0.23007571261326051</v>
      </c>
      <c r="S87" s="296" t="str">
        <f>IF(R87&lt;=1,"OK","Check")</f>
        <v>OK</v>
      </c>
      <c r="T87" s="152"/>
      <c r="AA87" s="111" t="s">
        <v>245</v>
      </c>
      <c r="AB87" s="111" t="s">
        <v>312</v>
      </c>
      <c r="AC87" s="111">
        <v>46</v>
      </c>
      <c r="AD87" s="116">
        <v>0</v>
      </c>
      <c r="AE87" s="120">
        <v>750</v>
      </c>
      <c r="AF87" s="121">
        <v>350</v>
      </c>
      <c r="AG87" s="121">
        <v>14</v>
      </c>
      <c r="AH87" s="121">
        <v>18.000000000000004</v>
      </c>
      <c r="AI87" s="121">
        <v>714</v>
      </c>
      <c r="AJ87" s="64" t="str" cm="1">
        <f t="array" ref="AJ87">_xll.Dce_Name_SectI(AE87, AE87, AF87, AG87, AH87, "x", "-", "H Tổng")</f>
        <v>750x350x14x18</v>
      </c>
      <c r="AK87" s="122">
        <f t="shared" si="6"/>
        <v>1010</v>
      </c>
      <c r="AL87" s="123">
        <f t="shared" si="7"/>
        <v>350</v>
      </c>
      <c r="AM87" s="123">
        <f t="shared" si="8"/>
        <v>25</v>
      </c>
      <c r="AN87" s="123">
        <f t="shared" si="9"/>
        <v>12</v>
      </c>
      <c r="AO87" s="123">
        <f t="shared" si="10"/>
        <v>24</v>
      </c>
      <c r="AP87" s="165" t="str">
        <f t="shared" si="11"/>
        <v>1010x350x25 + 12M24</v>
      </c>
      <c r="AQ87" s="111" t="s">
        <v>318</v>
      </c>
      <c r="AR87" s="120">
        <v>0</v>
      </c>
      <c r="AS87" s="120">
        <v>220.34853666828735</v>
      </c>
      <c r="AT87" s="120">
        <v>-1.4260876923799512E-13</v>
      </c>
      <c r="AU87" s="120">
        <v>-2.1695078507934272E-3</v>
      </c>
      <c r="AV87" s="120">
        <v>-1.0095536708831785E-13</v>
      </c>
      <c r="AW87" s="120">
        <v>-185.42579016954679</v>
      </c>
      <c r="AX87" s="120"/>
      <c r="AY87" s="120"/>
      <c r="AZ87" s="120"/>
      <c r="BA87" s="122">
        <f t="shared" si="12"/>
        <v>60</v>
      </c>
      <c r="BB87" s="122">
        <f t="shared" si="13"/>
        <v>70</v>
      </c>
      <c r="BC87" s="122">
        <f t="shared" si="14"/>
        <v>80</v>
      </c>
      <c r="BD87" s="122">
        <f t="shared" si="15"/>
        <v>150</v>
      </c>
      <c r="BE87" s="122">
        <f>VLOOKUP(AO87,Data!$V$4:$Z$15,3,FALSE)</f>
        <v>452.38934211693021</v>
      </c>
      <c r="BF87" s="122">
        <f>VLOOKUP(AO87,Data!$V$4:$Z$15,4,FALSE)</f>
        <v>353</v>
      </c>
      <c r="BG87" s="163">
        <f t="shared" si="16"/>
        <v>180</v>
      </c>
      <c r="BH87" s="122">
        <f t="shared" si="17"/>
        <v>121.65654188208487</v>
      </c>
      <c r="BI87" s="122">
        <f t="shared" si="18"/>
        <v>243</v>
      </c>
      <c r="BJ87" s="163">
        <f t="shared" si="19"/>
        <v>142.3296</v>
      </c>
      <c r="BK87" s="131">
        <f t="shared" si="20"/>
        <v>18.362378055690613</v>
      </c>
      <c r="BL87" s="134">
        <f t="shared" si="21"/>
        <v>0.89458333333333329</v>
      </c>
      <c r="BM87" s="135">
        <f t="shared" si="22"/>
        <v>0.16872236509305563</v>
      </c>
      <c r="BN87" s="92" t="str">
        <f t="shared" si="23"/>
        <v>OK</v>
      </c>
      <c r="BO87" s="135">
        <f>_xll.DCEBoltDisRS(AN87, AE87, BA87, BB87, BC87, BD87, "h1")</f>
        <v>890</v>
      </c>
      <c r="BP87" s="136">
        <f>_xll.DCEBoltDisRS(AN87, AE87, BA87, BB87, BC87, BD87, "Tong")</f>
        <v>1800300</v>
      </c>
      <c r="BQ87" s="137">
        <f t="shared" si="24"/>
        <v>45.833736946869031</v>
      </c>
      <c r="BR87" s="135">
        <f t="shared" si="25"/>
        <v>0.3220253337806685</v>
      </c>
      <c r="BS87" s="64" t="str">
        <f t="shared" si="26"/>
        <v>OK</v>
      </c>
      <c r="BT87" s="131">
        <f t="shared" si="27"/>
        <v>0.35564315940050506</v>
      </c>
      <c r="BU87" s="92" t="str">
        <f t="shared" si="28"/>
        <v>OK</v>
      </c>
      <c r="BV87" s="139">
        <f t="shared" si="29"/>
        <v>253.31392099664862</v>
      </c>
      <c r="BW87" s="131">
        <f t="shared" si="30"/>
        <v>5.6995632224245938</v>
      </c>
      <c r="BX87" s="139">
        <f t="shared" si="31"/>
        <v>126.65696049832431</v>
      </c>
      <c r="BY87" s="123">
        <f t="shared" si="32"/>
        <v>54.174066272550597</v>
      </c>
      <c r="BZ87" s="141">
        <f t="shared" si="33"/>
        <v>0.26334615549156543</v>
      </c>
      <c r="CA87" s="131">
        <f t="shared" si="34"/>
        <v>5.0161172474583884</v>
      </c>
      <c r="CB87" s="143">
        <f t="shared" si="35"/>
        <v>4.2041212562510442E-2</v>
      </c>
      <c r="CC87" s="123">
        <f t="shared" si="36"/>
        <v>54.866326223134827</v>
      </c>
      <c r="CD87" s="131">
        <f t="shared" si="37"/>
        <v>0.23192287654706756</v>
      </c>
      <c r="CE87" s="135">
        <f t="shared" si="38"/>
        <v>0.26334615549156543</v>
      </c>
      <c r="CF87" s="92" t="str">
        <f t="shared" si="39"/>
        <v>OK</v>
      </c>
      <c r="CG87" s="50"/>
      <c r="DA87" s="111"/>
      <c r="DB87" s="111"/>
      <c r="DC87" s="111"/>
      <c r="DD87" s="116"/>
      <c r="DE87" s="120"/>
      <c r="DF87" s="121"/>
      <c r="DG87" s="121"/>
      <c r="DH87" s="121"/>
      <c r="DI87" s="121"/>
      <c r="DJ87" s="121"/>
      <c r="DK87" s="122"/>
      <c r="DL87" s="123"/>
      <c r="DM87" s="123"/>
      <c r="DN87" s="123"/>
      <c r="DO87" s="123"/>
      <c r="DP87" s="123"/>
      <c r="DQ87" s="111"/>
      <c r="DR87" s="120"/>
      <c r="DS87" s="120"/>
      <c r="DT87" s="120"/>
      <c r="DU87" s="120"/>
      <c r="DV87" s="120"/>
      <c r="DW87" s="120"/>
      <c r="DX87" s="120"/>
      <c r="DY87" s="120"/>
      <c r="DZ87" s="120"/>
      <c r="EA87" s="122"/>
      <c r="EB87" s="122"/>
      <c r="EC87" s="122"/>
      <c r="ED87" s="122"/>
      <c r="EE87" s="122"/>
      <c r="EF87" s="122"/>
      <c r="EG87" s="122"/>
      <c r="EH87" s="122"/>
      <c r="EI87" s="122"/>
      <c r="EJ87" s="122"/>
      <c r="EK87" s="131"/>
      <c r="EL87" s="122"/>
      <c r="EM87" s="276"/>
      <c r="EN87" s="276"/>
      <c r="EO87" s="135"/>
      <c r="EP87" s="136"/>
      <c r="EQ87" s="137"/>
      <c r="ER87" s="276"/>
      <c r="ES87" s="276"/>
      <c r="ET87" s="276"/>
      <c r="EU87" s="276"/>
      <c r="EV87" s="139"/>
      <c r="EW87" s="131"/>
      <c r="EX87" s="139"/>
      <c r="EY87" s="123"/>
      <c r="EZ87" s="141"/>
      <c r="FA87" s="131"/>
      <c r="FB87" s="143"/>
      <c r="FC87" s="123"/>
      <c r="FD87" s="131"/>
      <c r="FE87" s="276"/>
      <c r="FF87" s="276"/>
      <c r="FG87" s="50"/>
    </row>
    <row r="88" spans="8:163" ht="15">
      <c r="H88" s="102" t="str">
        <f>"- Ứng suất tương đương:"</f>
        <v>- Ứng suất tương đương:</v>
      </c>
      <c r="I88" s="5"/>
      <c r="J88" s="5"/>
      <c r="K88" s="8"/>
      <c r="L88" s="291"/>
      <c r="M88" s="288"/>
      <c r="N88" s="5"/>
      <c r="O88" s="5"/>
      <c r="P88" s="5"/>
      <c r="Q88" s="91" t="s">
        <v>120</v>
      </c>
      <c r="R88" s="266">
        <f>SQRT(R84^2+3*R86^2)</f>
        <v>251.59549733497232</v>
      </c>
      <c r="S88" s="155" t="s">
        <v>2</v>
      </c>
      <c r="T88" s="152"/>
      <c r="AA88" s="111" t="s">
        <v>245</v>
      </c>
      <c r="AB88" s="111" t="s">
        <v>312</v>
      </c>
      <c r="AC88" s="111">
        <v>46</v>
      </c>
      <c r="AD88" s="116">
        <v>2.6850000000000001</v>
      </c>
      <c r="AE88" s="120">
        <v>1100</v>
      </c>
      <c r="AF88" s="121">
        <v>350</v>
      </c>
      <c r="AG88" s="121">
        <v>14</v>
      </c>
      <c r="AH88" s="121">
        <v>18.000000000000004</v>
      </c>
      <c r="AI88" s="121">
        <v>1064</v>
      </c>
      <c r="AJ88" s="64" t="str" cm="1">
        <f t="array" ref="AJ88">_xll.Dce_Name_SectI(AE88, AE88, AF88, AG88, AH88, "x", "-", "H Tổng")</f>
        <v>1100x350x14x18</v>
      </c>
      <c r="AK88" s="122">
        <f t="shared" ref="AK88:AK151" si="40">AE88+2*(VLOOKUP(AO88,$B$13:$F$21,2,FALSE)+VLOOKUP(AO88,$B$13:$F$21,3,FALSE))</f>
        <v>1360</v>
      </c>
      <c r="AL88" s="123">
        <f t="shared" ref="AL88:AL151" si="41">IFERROR(INDEX($B$24:$B$31,IFERROR(MATCH(AF88,$B$24:$B$31,0),MATCH(AF88,$B$24:$B$31,1)+1)),$B$24)</f>
        <v>350</v>
      </c>
      <c r="AM88" s="123">
        <f t="shared" ref="AM88:AM151" si="42">IFERROR(VLOOKUP(AE88,$B$42:$F$59,4,FALSE),INDEX($E$42:$E$58,MATCH(AE88,$B$42:$B$58,1)+1))</f>
        <v>25</v>
      </c>
      <c r="AN88" s="123">
        <f t="shared" ref="AN88:AN151" si="43">IFERROR(VLOOKUP(AE88,$B$42:$F$59,2,FALSE),INDEX($C$42:$C$58,MATCH(AE88,$B$42:$B$58,1)+1))</f>
        <v>16</v>
      </c>
      <c r="AO88" s="123">
        <f t="shared" ref="AO88:AO151" si="44">IFERROR(VLOOKUP(AE88,$B$42:$F$59,3,FALSE),INDEX($D$42:$D$58,MATCH(AE88,$B$42:$B$58,1)+1))</f>
        <v>27</v>
      </c>
      <c r="AP88" s="165" t="str">
        <f t="shared" ref="AP88:AP151" si="45">AK88&amp;"x"&amp;AL88&amp;"x"&amp;AM88&amp;" + "&amp;AN88&amp;"M"&amp;AO88</f>
        <v>1360x350x25 + 16M27</v>
      </c>
      <c r="AQ88" s="111" t="s">
        <v>318</v>
      </c>
      <c r="AR88" s="120">
        <v>0</v>
      </c>
      <c r="AS88" s="120">
        <v>297.15356311189993</v>
      </c>
      <c r="AT88" s="120">
        <v>2.3283064365386961E-14</v>
      </c>
      <c r="AU88" s="120">
        <v>-2.1691856549715186E-3</v>
      </c>
      <c r="AV88" s="120">
        <v>-4.2025931179523455E-14</v>
      </c>
      <c r="AW88" s="120">
        <v>-891.37138363794395</v>
      </c>
      <c r="AX88" s="120"/>
      <c r="AY88" s="120"/>
      <c r="AZ88" s="120"/>
      <c r="BA88" s="122">
        <f t="shared" ref="BA88:BA151" si="46">VLOOKUP(AO88,$B$13:$F$21,2,FALSE)</f>
        <v>60</v>
      </c>
      <c r="BB88" s="122">
        <f t="shared" ref="BB88:BB151" si="47">VLOOKUP(AO88,$B$13:$F$21,3,FALSE)</f>
        <v>70</v>
      </c>
      <c r="BC88" s="122">
        <f t="shared" ref="BC88:BC151" si="48">VLOOKUP(AO88,$B$13:$F$21,4,FALSE)</f>
        <v>80</v>
      </c>
      <c r="BD88" s="122">
        <f t="shared" ref="BD88:BD151" si="49">VLOOKUP(AO88,$B$13:$F$21,5,FALSE)</f>
        <v>160</v>
      </c>
      <c r="BE88" s="122">
        <f>VLOOKUP(AO88,Data!$V$4:$Z$15,3,FALSE)</f>
        <v>572.55526111673976</v>
      </c>
      <c r="BF88" s="122">
        <f>VLOOKUP(AO88,Data!$V$4:$Z$15,4,FALSE)</f>
        <v>459</v>
      </c>
      <c r="BG88" s="163">
        <f t="shared" ref="BG88:BG151" si="50">VLOOKUP(AL88,$B$24:$C$39,2,FALSE)</f>
        <v>180</v>
      </c>
      <c r="BH88" s="122">
        <f t="shared" ref="BH88:BH151" si="51">$R$17*BE88*$R$23*$R$24*$R$25/1000</f>
        <v>153.97156081951366</v>
      </c>
      <c r="BI88" s="122">
        <f t="shared" ref="BI88:BI151" si="52">$R$19*AO88*AM88*$R$24*$R$25/1000</f>
        <v>273.375</v>
      </c>
      <c r="BJ88" s="163">
        <f t="shared" ref="BJ88:BJ151" si="53">$R$18*BF88*$R$24/1000</f>
        <v>185.06880000000001</v>
      </c>
      <c r="BK88" s="131">
        <f t="shared" ref="BK88:BK151" si="54">ABS(AS88)/AN88</f>
        <v>18.572097694493745</v>
      </c>
      <c r="BL88" s="134">
        <f t="shared" ref="BL88:BL151" si="55">MIN(1,MAX(0.75,1-0.005*(BO88/AO88-16)))</f>
        <v>0.85037037037037044</v>
      </c>
      <c r="BM88" s="135">
        <f t="shared" ref="BM88:BM151" si="56">BK88/(BL88*MIN(BH88,BI88))</f>
        <v>0.14184444347241576</v>
      </c>
      <c r="BN88" s="92" t="str">
        <f t="shared" ref="BN88:BN151" si="57">IF(BM88&lt;=1,"OK","O/S")</f>
        <v>OK</v>
      </c>
      <c r="BO88" s="135">
        <f>_xll.DCEBoltDisRS(AN88, AE88, BA88, BB88, BC88, BD88, "h1")</f>
        <v>1240</v>
      </c>
      <c r="BP88" s="136">
        <f>_xll.DCEBoltDisRS(AN88, AE88, BA88, BB88, BC88, BD88, "Tong")</f>
        <v>4523000</v>
      </c>
      <c r="BQ88" s="137">
        <f t="shared" ref="BQ88:BQ151" si="58">ABS(AW88)*1000*BO88/(2*BP88)+AR88/AN88</f>
        <v>122.18665882280018</v>
      </c>
      <c r="BR88" s="135">
        <f t="shared" ref="BR88:BR151" si="59">BQ88/BJ88</f>
        <v>0.66022289452787386</v>
      </c>
      <c r="BS88" s="64" t="str">
        <f t="shared" ref="BS88:BS151" si="60">IF(BR88&lt;=1,"OK","O/S")</f>
        <v>OK</v>
      </c>
      <c r="BT88" s="131">
        <f t="shared" ref="BT88:BT151" si="61">SQRT((BK88/BH88)^2+(BQ88/BJ88)^2)</f>
        <v>0.6711508996559592</v>
      </c>
      <c r="BU88" s="92" t="str">
        <f t="shared" ref="BU88:BU151" si="62">IF(BT88&lt;=1,"OK","O/S")</f>
        <v>OK</v>
      </c>
      <c r="BV88" s="139">
        <f t="shared" ref="BV88:BV151" si="63">ABS(ABS(AW88)/((AE88-AH88)/1000)+AR88)</f>
        <v>823.8182843234232</v>
      </c>
      <c r="BW88" s="131">
        <f t="shared" ref="BW88:BW151" si="64">BV88*(BG88/1000)/8</f>
        <v>18.535911397277022</v>
      </c>
      <c r="BX88" s="139">
        <f t="shared" ref="BX88:BX151" si="65">BV88/2</f>
        <v>411.9091421617116</v>
      </c>
      <c r="BY88" s="123">
        <f t="shared" ref="BY88:BY151" si="66">6*BW88*1000000/(AK88*AM88^2)</f>
        <v>130.84172751019074</v>
      </c>
      <c r="BZ88" s="141">
        <f t="shared" ref="BZ88:BZ151" si="67">BY88/($R$32*$R$30)</f>
        <v>0.63603617539676061</v>
      </c>
      <c r="CA88" s="131">
        <f t="shared" ref="CA88:CA151" si="68">BX88*1000/(AK88*AM88)</f>
        <v>12.114974769462105</v>
      </c>
      <c r="CB88" s="143">
        <f t="shared" ref="CB88:CB151" si="69">CA88/($R$32*$R$31)</f>
        <v>0.10153834217700521</v>
      </c>
      <c r="CC88" s="123">
        <f t="shared" ref="CC88:CC151" si="70">SQRT(BY88^2+3*CA88^2)</f>
        <v>132.51368042147615</v>
      </c>
      <c r="CD88" s="131">
        <f t="shared" ref="CD88:CD151" si="71">CC88/(1.15*$R$32*$R$30)</f>
        <v>0.5601423689313606</v>
      </c>
      <c r="CE88" s="135">
        <f t="shared" ref="CE88:CE151" si="72">MAX(BZ88,CB88,CD88)</f>
        <v>0.63603617539676061</v>
      </c>
      <c r="CF88" s="92" t="str">
        <f t="shared" ref="CF88:CF151" si="73">IF(CE88&lt;=1,"OK","O/S")</f>
        <v>OK</v>
      </c>
      <c r="CG88" s="50"/>
      <c r="DA88" s="111"/>
      <c r="DB88" s="111"/>
      <c r="DC88" s="111"/>
      <c r="DD88" s="116"/>
      <c r="DE88" s="120"/>
      <c r="DF88" s="121"/>
      <c r="DG88" s="121"/>
      <c r="DH88" s="121"/>
      <c r="DI88" s="121"/>
      <c r="DJ88" s="121"/>
      <c r="DK88" s="122"/>
      <c r="DL88" s="123"/>
      <c r="DM88" s="123"/>
      <c r="DN88" s="123"/>
      <c r="DO88" s="123"/>
      <c r="DP88" s="123"/>
      <c r="DQ88" s="111"/>
      <c r="DR88" s="120"/>
      <c r="DS88" s="120"/>
      <c r="DT88" s="120"/>
      <c r="DU88" s="120"/>
      <c r="DV88" s="120"/>
      <c r="DW88" s="120"/>
      <c r="DX88" s="120"/>
      <c r="DY88" s="120"/>
      <c r="DZ88" s="120"/>
      <c r="EA88" s="122"/>
      <c r="EB88" s="122"/>
      <c r="EC88" s="122"/>
      <c r="ED88" s="122"/>
      <c r="EE88" s="122"/>
      <c r="EF88" s="122"/>
      <c r="EG88" s="122"/>
      <c r="EH88" s="122"/>
      <c r="EI88" s="122"/>
      <c r="EJ88" s="122"/>
      <c r="EK88" s="131"/>
      <c r="EL88" s="122"/>
      <c r="EM88" s="276"/>
      <c r="EN88" s="276"/>
      <c r="EO88" s="135"/>
      <c r="EP88" s="136"/>
      <c r="EQ88" s="137"/>
      <c r="ER88" s="276"/>
      <c r="ES88" s="276"/>
      <c r="ET88" s="276"/>
      <c r="EU88" s="276"/>
      <c r="EV88" s="139"/>
      <c r="EW88" s="131"/>
      <c r="EX88" s="139"/>
      <c r="EY88" s="123"/>
      <c r="EZ88" s="141"/>
      <c r="FA88" s="131"/>
      <c r="FB88" s="143"/>
      <c r="FC88" s="123"/>
      <c r="FD88" s="131"/>
      <c r="FE88" s="276"/>
      <c r="FF88" s="276"/>
      <c r="FG88" s="50"/>
    </row>
    <row r="89" spans="8:163" ht="14.25">
      <c r="H89" s="258" t="str">
        <f>"+ Tỷ số huy động:"</f>
        <v>+ Tỷ số huy động:</v>
      </c>
      <c r="I89" s="5"/>
      <c r="J89" s="5"/>
      <c r="K89" s="8"/>
      <c r="L89" s="291"/>
      <c r="M89" s="288"/>
      <c r="N89" s="5"/>
      <c r="O89" s="5"/>
      <c r="P89" s="5"/>
      <c r="Q89" s="91" t="s">
        <v>121</v>
      </c>
      <c r="R89" s="267">
        <f>R88/(1.15*R32*R30)</f>
        <v>1.0635075370439653</v>
      </c>
      <c r="S89" s="296" t="str">
        <f>IF(R89&lt;=1,"OK","Check")</f>
        <v>Check</v>
      </c>
      <c r="T89" s="152"/>
      <c r="AA89" s="111" t="s">
        <v>245</v>
      </c>
      <c r="AB89" s="111" t="s">
        <v>312</v>
      </c>
      <c r="AC89" s="111">
        <v>46</v>
      </c>
      <c r="AD89" s="116">
        <v>0</v>
      </c>
      <c r="AE89" s="120">
        <v>750</v>
      </c>
      <c r="AF89" s="121">
        <v>350</v>
      </c>
      <c r="AG89" s="121">
        <v>14</v>
      </c>
      <c r="AH89" s="121">
        <v>18.000000000000004</v>
      </c>
      <c r="AI89" s="121">
        <v>714</v>
      </c>
      <c r="AJ89" s="64" t="str" cm="1">
        <f t="array" ref="AJ89">_xll.Dce_Name_SectI(AE89, AE89, AF89, AG89, AH89, "x", "-", "H Tổng")</f>
        <v>750x350x14x18</v>
      </c>
      <c r="AK89" s="122">
        <f t="shared" si="40"/>
        <v>1010</v>
      </c>
      <c r="AL89" s="123">
        <f t="shared" si="41"/>
        <v>350</v>
      </c>
      <c r="AM89" s="123">
        <f t="shared" si="42"/>
        <v>25</v>
      </c>
      <c r="AN89" s="123">
        <f t="shared" si="43"/>
        <v>12</v>
      </c>
      <c r="AO89" s="123">
        <f t="shared" si="44"/>
        <v>24</v>
      </c>
      <c r="AP89" s="165" t="str">
        <f t="shared" si="45"/>
        <v>1010x350x25 + 12M24</v>
      </c>
      <c r="AQ89" s="111" t="s">
        <v>319</v>
      </c>
      <c r="AR89" s="120">
        <v>0</v>
      </c>
      <c r="AS89" s="120">
        <v>220.85968591019508</v>
      </c>
      <c r="AT89" s="120">
        <v>-2.6193447411060326E-14</v>
      </c>
      <c r="AU89" s="120">
        <v>-2.1670954940282024E-3</v>
      </c>
      <c r="AV89" s="120">
        <v>-1.1548399925231932E-14</v>
      </c>
      <c r="AW89" s="120">
        <v>-185.41914265537687</v>
      </c>
      <c r="AX89" s="120"/>
      <c r="AY89" s="120"/>
      <c r="AZ89" s="120"/>
      <c r="BA89" s="122">
        <f t="shared" si="46"/>
        <v>60</v>
      </c>
      <c r="BB89" s="122">
        <f t="shared" si="47"/>
        <v>70</v>
      </c>
      <c r="BC89" s="122">
        <f t="shared" si="48"/>
        <v>80</v>
      </c>
      <c r="BD89" s="122">
        <f t="shared" si="49"/>
        <v>150</v>
      </c>
      <c r="BE89" s="122">
        <f>VLOOKUP(AO89,Data!$V$4:$Z$15,3,FALSE)</f>
        <v>452.38934211693021</v>
      </c>
      <c r="BF89" s="122">
        <f>VLOOKUP(AO89,Data!$V$4:$Z$15,4,FALSE)</f>
        <v>353</v>
      </c>
      <c r="BG89" s="163">
        <f t="shared" si="50"/>
        <v>180</v>
      </c>
      <c r="BH89" s="122">
        <f t="shared" si="51"/>
        <v>121.65654188208487</v>
      </c>
      <c r="BI89" s="122">
        <f t="shared" si="52"/>
        <v>243</v>
      </c>
      <c r="BJ89" s="163">
        <f t="shared" si="53"/>
        <v>142.3296</v>
      </c>
      <c r="BK89" s="131">
        <f t="shared" si="54"/>
        <v>18.404973825849591</v>
      </c>
      <c r="BL89" s="134">
        <f t="shared" si="55"/>
        <v>0.89458333333333329</v>
      </c>
      <c r="BM89" s="135">
        <f t="shared" si="56"/>
        <v>0.16911375552529631</v>
      </c>
      <c r="BN89" s="92" t="str">
        <f t="shared" si="57"/>
        <v>OK</v>
      </c>
      <c r="BO89" s="135">
        <f>_xll.DCEBoltDisRS(AN89, AE89, BA89, BB89, BC89, BD89, "h1")</f>
        <v>890</v>
      </c>
      <c r="BP89" s="136">
        <f>_xll.DCEBoltDisRS(AN89, AE89, BA89, BB89, BC89, BD89, "Tong")</f>
        <v>1800300</v>
      </c>
      <c r="BQ89" s="137">
        <f t="shared" si="58"/>
        <v>45.832093807500257</v>
      </c>
      <c r="BR89" s="135">
        <f t="shared" si="59"/>
        <v>0.32201378917316043</v>
      </c>
      <c r="BS89" s="64" t="str">
        <f t="shared" si="60"/>
        <v>OK</v>
      </c>
      <c r="BT89" s="131">
        <f t="shared" si="61"/>
        <v>0.35578144870931327</v>
      </c>
      <c r="BU89" s="92" t="str">
        <f t="shared" si="62"/>
        <v>OK</v>
      </c>
      <c r="BV89" s="139">
        <f t="shared" si="63"/>
        <v>253.30483969313781</v>
      </c>
      <c r="BW89" s="131">
        <f t="shared" si="64"/>
        <v>5.6993588930956003</v>
      </c>
      <c r="BX89" s="139">
        <f t="shared" si="65"/>
        <v>126.6524198465689</v>
      </c>
      <c r="BY89" s="123">
        <f t="shared" si="66"/>
        <v>54.172124132393826</v>
      </c>
      <c r="BZ89" s="141">
        <f t="shared" si="67"/>
        <v>0.26333671453247004</v>
      </c>
      <c r="CA89" s="131">
        <f t="shared" si="68"/>
        <v>5.0159374196660949</v>
      </c>
      <c r="CB89" s="143">
        <f t="shared" si="69"/>
        <v>4.2039705385132506E-2</v>
      </c>
      <c r="CC89" s="123">
        <f t="shared" si="70"/>
        <v>54.864359265460351</v>
      </c>
      <c r="CD89" s="131">
        <f t="shared" si="71"/>
        <v>0.2319145621124532</v>
      </c>
      <c r="CE89" s="135">
        <f t="shared" si="72"/>
        <v>0.26333671453247004</v>
      </c>
      <c r="CF89" s="92" t="str">
        <f t="shared" si="73"/>
        <v>OK</v>
      </c>
      <c r="CG89" s="50"/>
      <c r="DA89" s="111"/>
      <c r="DB89" s="111"/>
      <c r="DC89" s="111"/>
      <c r="DD89" s="116"/>
      <c r="DE89" s="120"/>
      <c r="DF89" s="121"/>
      <c r="DG89" s="121"/>
      <c r="DH89" s="121"/>
      <c r="DI89" s="121"/>
      <c r="DJ89" s="121"/>
      <c r="DK89" s="122"/>
      <c r="DL89" s="123"/>
      <c r="DM89" s="123"/>
      <c r="DN89" s="123"/>
      <c r="DO89" s="123"/>
      <c r="DP89" s="123"/>
      <c r="DQ89" s="111"/>
      <c r="DR89" s="120"/>
      <c r="DS89" s="120"/>
      <c r="DT89" s="120"/>
      <c r="DU89" s="120"/>
      <c r="DV89" s="120"/>
      <c r="DW89" s="120"/>
      <c r="DX89" s="120"/>
      <c r="DY89" s="120"/>
      <c r="DZ89" s="120"/>
      <c r="EA89" s="122"/>
      <c r="EB89" s="122"/>
      <c r="EC89" s="122"/>
      <c r="ED89" s="122"/>
      <c r="EE89" s="122"/>
      <c r="EF89" s="122"/>
      <c r="EG89" s="122"/>
      <c r="EH89" s="122"/>
      <c r="EI89" s="122"/>
      <c r="EJ89" s="122"/>
      <c r="EK89" s="131"/>
      <c r="EL89" s="122"/>
      <c r="EM89" s="276"/>
      <c r="EN89" s="276"/>
      <c r="EO89" s="135"/>
      <c r="EP89" s="136"/>
      <c r="EQ89" s="137"/>
      <c r="ER89" s="276"/>
      <c r="ES89" s="276"/>
      <c r="ET89" s="276"/>
      <c r="EU89" s="276"/>
      <c r="EV89" s="139"/>
      <c r="EW89" s="131"/>
      <c r="EX89" s="139"/>
      <c r="EY89" s="123"/>
      <c r="EZ89" s="141"/>
      <c r="FA89" s="131"/>
      <c r="FB89" s="143"/>
      <c r="FC89" s="123"/>
      <c r="FD89" s="131"/>
      <c r="FE89" s="276"/>
      <c r="FF89" s="276"/>
      <c r="FG89" s="50"/>
    </row>
    <row r="90" spans="8:163">
      <c r="H90" s="101" t="s">
        <v>286</v>
      </c>
      <c r="I90" s="66"/>
      <c r="J90" s="66"/>
      <c r="K90" s="66"/>
      <c r="L90" s="66"/>
      <c r="M90" s="66"/>
      <c r="N90" s="249"/>
      <c r="O90" s="285"/>
      <c r="P90" s="66"/>
      <c r="Q90" s="5"/>
      <c r="R90" s="5"/>
      <c r="S90" s="153"/>
      <c r="T90" s="152"/>
      <c r="AA90" s="111" t="s">
        <v>245</v>
      </c>
      <c r="AB90" s="111" t="s">
        <v>312</v>
      </c>
      <c r="AC90" s="111">
        <v>46</v>
      </c>
      <c r="AD90" s="116">
        <v>2.6850000000000001</v>
      </c>
      <c r="AE90" s="120">
        <v>1100</v>
      </c>
      <c r="AF90" s="121">
        <v>350</v>
      </c>
      <c r="AG90" s="121">
        <v>14</v>
      </c>
      <c r="AH90" s="121">
        <v>18.000000000000004</v>
      </c>
      <c r="AI90" s="121">
        <v>1064</v>
      </c>
      <c r="AJ90" s="64" t="str" cm="1">
        <f t="array" ref="AJ90">_xll.Dce_Name_SectI(AE90, AE90, AF90, AG90, AH90, "x", "-", "H Tổng")</f>
        <v>1100x350x14x18</v>
      </c>
      <c r="AK90" s="122">
        <f t="shared" si="40"/>
        <v>1360</v>
      </c>
      <c r="AL90" s="123">
        <f t="shared" si="41"/>
        <v>350</v>
      </c>
      <c r="AM90" s="123">
        <f t="shared" si="42"/>
        <v>25</v>
      </c>
      <c r="AN90" s="123">
        <f t="shared" si="43"/>
        <v>16</v>
      </c>
      <c r="AO90" s="123">
        <f t="shared" si="44"/>
        <v>27</v>
      </c>
      <c r="AP90" s="165" t="str">
        <f t="shared" si="45"/>
        <v>1360x350x25 + 16M27</v>
      </c>
      <c r="AQ90" s="111" t="s">
        <v>319</v>
      </c>
      <c r="AR90" s="120">
        <v>0</v>
      </c>
      <c r="AS90" s="120">
        <v>297.66471246661058</v>
      </c>
      <c r="AT90" s="120">
        <v>-5.8207660913467402E-15</v>
      </c>
      <c r="AU90" s="120">
        <v>-2.1667733381845328E-3</v>
      </c>
      <c r="AV90" s="120">
        <v>1.7753336578607555E-15</v>
      </c>
      <c r="AW90" s="120">
        <v>-892.73716666329574</v>
      </c>
      <c r="AX90" s="120"/>
      <c r="AY90" s="120"/>
      <c r="AZ90" s="120"/>
      <c r="BA90" s="122">
        <f t="shared" si="46"/>
        <v>60</v>
      </c>
      <c r="BB90" s="122">
        <f t="shared" si="47"/>
        <v>70</v>
      </c>
      <c r="BC90" s="122">
        <f t="shared" si="48"/>
        <v>80</v>
      </c>
      <c r="BD90" s="122">
        <f t="shared" si="49"/>
        <v>160</v>
      </c>
      <c r="BE90" s="122">
        <f>VLOOKUP(AO90,Data!$V$4:$Z$15,3,FALSE)</f>
        <v>572.55526111673976</v>
      </c>
      <c r="BF90" s="122">
        <f>VLOOKUP(AO90,Data!$V$4:$Z$15,4,FALSE)</f>
        <v>459</v>
      </c>
      <c r="BG90" s="163">
        <f t="shared" si="50"/>
        <v>180</v>
      </c>
      <c r="BH90" s="122">
        <f t="shared" si="51"/>
        <v>153.97156081951366</v>
      </c>
      <c r="BI90" s="122">
        <f t="shared" si="52"/>
        <v>273.375</v>
      </c>
      <c r="BJ90" s="163">
        <f t="shared" si="53"/>
        <v>185.06880000000001</v>
      </c>
      <c r="BK90" s="131">
        <f t="shared" si="54"/>
        <v>18.604044529163161</v>
      </c>
      <c r="BL90" s="134">
        <f t="shared" si="55"/>
        <v>0.85037037037037044</v>
      </c>
      <c r="BM90" s="135">
        <f t="shared" si="56"/>
        <v>0.14208843750361946</v>
      </c>
      <c r="BN90" s="92" t="str">
        <f t="shared" si="57"/>
        <v>OK</v>
      </c>
      <c r="BO90" s="135">
        <f>_xll.DCEBoltDisRS(AN90, AE90, BA90, BB90, BC90, BD90, "h1")</f>
        <v>1240</v>
      </c>
      <c r="BP90" s="136">
        <f>_xll.DCEBoltDisRS(AN90, AE90, BA90, BB90, BC90, BD90, "Tong")</f>
        <v>4523000</v>
      </c>
      <c r="BQ90" s="137">
        <f t="shared" si="58"/>
        <v>122.37387648269808</v>
      </c>
      <c r="BR90" s="135">
        <f t="shared" si="59"/>
        <v>0.66123450566869224</v>
      </c>
      <c r="BS90" s="64" t="str">
        <f t="shared" si="60"/>
        <v>OK</v>
      </c>
      <c r="BT90" s="131">
        <f t="shared" si="61"/>
        <v>0.67218332921104051</v>
      </c>
      <c r="BU90" s="92" t="str">
        <f t="shared" si="62"/>
        <v>OK</v>
      </c>
      <c r="BV90" s="139">
        <f t="shared" si="63"/>
        <v>825.08056068696453</v>
      </c>
      <c r="BW90" s="131">
        <f t="shared" si="64"/>
        <v>18.5643126154567</v>
      </c>
      <c r="BX90" s="139">
        <f t="shared" si="65"/>
        <v>412.54028034348227</v>
      </c>
      <c r="BY90" s="123">
        <f t="shared" si="66"/>
        <v>131.04220669734141</v>
      </c>
      <c r="BZ90" s="141">
        <f t="shared" si="67"/>
        <v>0.63701072700096528</v>
      </c>
      <c r="CA90" s="131">
        <f t="shared" si="68"/>
        <v>12.133537657161243</v>
      </c>
      <c r="CB90" s="143">
        <f t="shared" si="69"/>
        <v>0.10169392193502001</v>
      </c>
      <c r="CC90" s="123">
        <f t="shared" si="70"/>
        <v>132.71672141950313</v>
      </c>
      <c r="CD90" s="131">
        <f t="shared" si="71"/>
        <v>0.56100063401963896</v>
      </c>
      <c r="CE90" s="135">
        <f t="shared" si="72"/>
        <v>0.63701072700096528</v>
      </c>
      <c r="CF90" s="92" t="str">
        <f t="shared" si="73"/>
        <v>OK</v>
      </c>
      <c r="CG90" s="50"/>
      <c r="DA90" s="111"/>
      <c r="DB90" s="111"/>
      <c r="DC90" s="111"/>
      <c r="DD90" s="116"/>
      <c r="DE90" s="120"/>
      <c r="DF90" s="121"/>
      <c r="DG90" s="121"/>
      <c r="DH90" s="121"/>
      <c r="DI90" s="121"/>
      <c r="DJ90" s="121"/>
      <c r="DK90" s="122"/>
      <c r="DL90" s="123"/>
      <c r="DM90" s="123"/>
      <c r="DN90" s="123"/>
      <c r="DO90" s="123"/>
      <c r="DP90" s="123"/>
      <c r="DQ90" s="111"/>
      <c r="DR90" s="120"/>
      <c r="DS90" s="120"/>
      <c r="DT90" s="120"/>
      <c r="DU90" s="120"/>
      <c r="DV90" s="120"/>
      <c r="DW90" s="120"/>
      <c r="DX90" s="120"/>
      <c r="DY90" s="120"/>
      <c r="DZ90" s="120"/>
      <c r="EA90" s="122"/>
      <c r="EB90" s="122"/>
      <c r="EC90" s="122"/>
      <c r="ED90" s="122"/>
      <c r="EE90" s="122"/>
      <c r="EF90" s="122"/>
      <c r="EG90" s="122"/>
      <c r="EH90" s="122"/>
      <c r="EI90" s="122"/>
      <c r="EJ90" s="122"/>
      <c r="EK90" s="131"/>
      <c r="EL90" s="122"/>
      <c r="EM90" s="276"/>
      <c r="EN90" s="276"/>
      <c r="EO90" s="135"/>
      <c r="EP90" s="136"/>
      <c r="EQ90" s="137"/>
      <c r="ER90" s="276"/>
      <c r="ES90" s="276"/>
      <c r="ET90" s="276"/>
      <c r="EU90" s="276"/>
      <c r="EV90" s="139"/>
      <c r="EW90" s="131"/>
      <c r="EX90" s="139"/>
      <c r="EY90" s="123"/>
      <c r="EZ90" s="141"/>
      <c r="FA90" s="131"/>
      <c r="FB90" s="143"/>
      <c r="FC90" s="123"/>
      <c r="FD90" s="131"/>
      <c r="FE90" s="276"/>
      <c r="FF90" s="276"/>
      <c r="FG90" s="50"/>
    </row>
    <row r="91" spans="8:163" ht="12.75" customHeight="1">
      <c r="H91" s="102" t="str">
        <f>"- Diện tích mặt cắt tiết diện đường hàn:"</f>
        <v>- Diện tích mặt cắt tiết diện đường hàn:</v>
      </c>
      <c r="I91" s="292"/>
      <c r="J91" s="292"/>
      <c r="K91" s="8"/>
      <c r="L91" s="291"/>
      <c r="M91" s="8"/>
      <c r="N91" s="17"/>
      <c r="O91" s="8"/>
      <c r="P91" s="17"/>
      <c r="Q91" s="8" t="s">
        <v>124</v>
      </c>
      <c r="R91" s="17">
        <f>O99+O100+O101</f>
        <v>14504</v>
      </c>
      <c r="S91" s="155" t="s">
        <v>6</v>
      </c>
      <c r="T91" s="152"/>
      <c r="AA91" s="111" t="s">
        <v>245</v>
      </c>
      <c r="AB91" s="111" t="s">
        <v>312</v>
      </c>
      <c r="AC91" s="111">
        <v>46</v>
      </c>
      <c r="AD91" s="116">
        <v>0</v>
      </c>
      <c r="AE91" s="120">
        <v>750</v>
      </c>
      <c r="AF91" s="121">
        <v>350</v>
      </c>
      <c r="AG91" s="121">
        <v>14</v>
      </c>
      <c r="AH91" s="121">
        <v>18.000000000000004</v>
      </c>
      <c r="AI91" s="121">
        <v>714</v>
      </c>
      <c r="AJ91" s="64" t="str" cm="1">
        <f t="array" ref="AJ91">_xll.Dce_Name_SectI(AE91, AE91, AF91, AG91, AH91, "x", "-", "H Tổng")</f>
        <v>750x350x14x18</v>
      </c>
      <c r="AK91" s="122">
        <f t="shared" si="40"/>
        <v>1010</v>
      </c>
      <c r="AL91" s="123">
        <f t="shared" si="41"/>
        <v>350</v>
      </c>
      <c r="AM91" s="123">
        <f t="shared" si="42"/>
        <v>25</v>
      </c>
      <c r="AN91" s="123">
        <f t="shared" si="43"/>
        <v>12</v>
      </c>
      <c r="AO91" s="123">
        <f t="shared" si="44"/>
        <v>24</v>
      </c>
      <c r="AP91" s="165" t="str">
        <f t="shared" si="45"/>
        <v>1010x350x25 + 12M24</v>
      </c>
      <c r="AQ91" s="111" t="s">
        <v>320</v>
      </c>
      <c r="AR91" s="120">
        <v>0</v>
      </c>
      <c r="AS91" s="120">
        <v>221.63767465249296</v>
      </c>
      <c r="AT91" s="120">
        <v>-2.7102942112833252E-14</v>
      </c>
      <c r="AU91" s="120">
        <v>-2.131225934620712E-3</v>
      </c>
      <c r="AV91" s="120">
        <v>2.1047890186309809E-14</v>
      </c>
      <c r="AW91" s="120">
        <v>-195.63811070873984</v>
      </c>
      <c r="AX91" s="120"/>
      <c r="AY91" s="120"/>
      <c r="AZ91" s="120"/>
      <c r="BA91" s="122">
        <f t="shared" si="46"/>
        <v>60</v>
      </c>
      <c r="BB91" s="122">
        <f t="shared" si="47"/>
        <v>70</v>
      </c>
      <c r="BC91" s="122">
        <f t="shared" si="48"/>
        <v>80</v>
      </c>
      <c r="BD91" s="122">
        <f t="shared" si="49"/>
        <v>150</v>
      </c>
      <c r="BE91" s="122">
        <f>VLOOKUP(AO91,Data!$V$4:$Z$15,3,FALSE)</f>
        <v>452.38934211693021</v>
      </c>
      <c r="BF91" s="122">
        <f>VLOOKUP(AO91,Data!$V$4:$Z$15,4,FALSE)</f>
        <v>353</v>
      </c>
      <c r="BG91" s="163">
        <f t="shared" si="50"/>
        <v>180</v>
      </c>
      <c r="BH91" s="122">
        <f t="shared" si="51"/>
        <v>121.65654188208487</v>
      </c>
      <c r="BI91" s="122">
        <f t="shared" si="52"/>
        <v>243</v>
      </c>
      <c r="BJ91" s="163">
        <f t="shared" si="53"/>
        <v>142.3296</v>
      </c>
      <c r="BK91" s="131">
        <f t="shared" si="54"/>
        <v>18.469806221041079</v>
      </c>
      <c r="BL91" s="134">
        <f t="shared" si="55"/>
        <v>0.89458333333333329</v>
      </c>
      <c r="BM91" s="135">
        <f t="shared" si="56"/>
        <v>0.16970946676804383</v>
      </c>
      <c r="BN91" s="92" t="str">
        <f t="shared" si="57"/>
        <v>OK</v>
      </c>
      <c r="BO91" s="135">
        <f>_xll.DCEBoltDisRS(AN91, AE91, BA91, BB91, BC91, BD91, "h1")</f>
        <v>890</v>
      </c>
      <c r="BP91" s="136">
        <f>_xll.DCEBoltDisRS(AN91, AE91, BA91, BB91, BC91, BD91, "Tong")</f>
        <v>1800300</v>
      </c>
      <c r="BQ91" s="137">
        <f t="shared" si="58"/>
        <v>48.358028809303576</v>
      </c>
      <c r="BR91" s="135">
        <f t="shared" si="59"/>
        <v>0.33976087060810667</v>
      </c>
      <c r="BS91" s="64" t="str">
        <f t="shared" si="60"/>
        <v>OK</v>
      </c>
      <c r="BT91" s="131">
        <f t="shared" si="61"/>
        <v>0.37213779309409695</v>
      </c>
      <c r="BU91" s="92" t="str">
        <f t="shared" si="62"/>
        <v>OK</v>
      </c>
      <c r="BV91" s="139">
        <f t="shared" si="63"/>
        <v>267.26517856385226</v>
      </c>
      <c r="BW91" s="131">
        <f t="shared" si="64"/>
        <v>6.0134665176866759</v>
      </c>
      <c r="BX91" s="139">
        <f t="shared" si="65"/>
        <v>133.63258928192613</v>
      </c>
      <c r="BY91" s="123">
        <f t="shared" si="66"/>
        <v>57.157701554249599</v>
      </c>
      <c r="BZ91" s="141">
        <f t="shared" si="67"/>
        <v>0.27784993811093556</v>
      </c>
      <c r="CA91" s="131">
        <f t="shared" si="68"/>
        <v>5.2923797735416294</v>
      </c>
      <c r="CB91" s="143">
        <f t="shared" si="69"/>
        <v>4.4356631243763663E-2</v>
      </c>
      <c r="CC91" s="123">
        <f t="shared" si="70"/>
        <v>57.888087703489084</v>
      </c>
      <c r="CD91" s="131">
        <f t="shared" si="71"/>
        <v>0.24469602290122203</v>
      </c>
      <c r="CE91" s="135">
        <f t="shared" si="72"/>
        <v>0.27784993811093556</v>
      </c>
      <c r="CF91" s="92" t="str">
        <f t="shared" si="73"/>
        <v>OK</v>
      </c>
      <c r="CG91" s="50"/>
      <c r="DA91" s="111"/>
      <c r="DB91" s="111"/>
      <c r="DC91" s="111"/>
      <c r="DD91" s="116"/>
      <c r="DE91" s="120"/>
      <c r="DF91" s="121"/>
      <c r="DG91" s="121"/>
      <c r="DH91" s="121"/>
      <c r="DI91" s="121"/>
      <c r="DJ91" s="121"/>
      <c r="DK91" s="122"/>
      <c r="DL91" s="123"/>
      <c r="DM91" s="123"/>
      <c r="DN91" s="123"/>
      <c r="DO91" s="123"/>
      <c r="DP91" s="123"/>
      <c r="DQ91" s="111"/>
      <c r="DR91" s="120"/>
      <c r="DS91" s="120"/>
      <c r="DT91" s="120"/>
      <c r="DU91" s="120"/>
      <c r="DV91" s="120"/>
      <c r="DW91" s="120"/>
      <c r="DX91" s="120"/>
      <c r="DY91" s="120"/>
      <c r="DZ91" s="120"/>
      <c r="EA91" s="122"/>
      <c r="EB91" s="122"/>
      <c r="EC91" s="122"/>
      <c r="ED91" s="122"/>
      <c r="EE91" s="122"/>
      <c r="EF91" s="122"/>
      <c r="EG91" s="122"/>
      <c r="EH91" s="122"/>
      <c r="EI91" s="122"/>
      <c r="EJ91" s="122"/>
      <c r="EK91" s="131"/>
      <c r="EL91" s="122"/>
      <c r="EM91" s="276"/>
      <c r="EN91" s="276"/>
      <c r="EO91" s="135"/>
      <c r="EP91" s="136"/>
      <c r="EQ91" s="137"/>
      <c r="ER91" s="276"/>
      <c r="ES91" s="276"/>
      <c r="ET91" s="276"/>
      <c r="EU91" s="276"/>
      <c r="EV91" s="139"/>
      <c r="EW91" s="131"/>
      <c r="EX91" s="139"/>
      <c r="EY91" s="123"/>
      <c r="EZ91" s="141"/>
      <c r="FA91" s="131"/>
      <c r="FB91" s="143"/>
      <c r="FC91" s="123"/>
      <c r="FD91" s="131"/>
      <c r="FE91" s="276"/>
      <c r="FF91" s="276"/>
      <c r="FG91" s="50"/>
    </row>
    <row r="92" spans="8:163" ht="15">
      <c r="H92" s="102" t="str">
        <f>"- Moment quán tính tiết diện đường hàn:"</f>
        <v>- Moment quán tính tiết diện đường hàn:</v>
      </c>
      <c r="I92" s="292"/>
      <c r="J92" s="292"/>
      <c r="K92" s="8"/>
      <c r="L92" s="291"/>
      <c r="M92" s="8"/>
      <c r="N92" s="300"/>
      <c r="O92" s="8"/>
      <c r="P92" s="300"/>
      <c r="Q92" s="8" t="s">
        <v>134</v>
      </c>
      <c r="R92" s="301">
        <f>P99+P100+P101</f>
        <v>1627446114.6666665</v>
      </c>
      <c r="S92" s="155" t="s">
        <v>135</v>
      </c>
      <c r="T92" s="152"/>
      <c r="AA92" s="111" t="s">
        <v>245</v>
      </c>
      <c r="AB92" s="111" t="s">
        <v>312</v>
      </c>
      <c r="AC92" s="111">
        <v>46</v>
      </c>
      <c r="AD92" s="116">
        <v>2.6850000000000001</v>
      </c>
      <c r="AE92" s="120">
        <v>1100</v>
      </c>
      <c r="AF92" s="121">
        <v>350</v>
      </c>
      <c r="AG92" s="121">
        <v>14</v>
      </c>
      <c r="AH92" s="121">
        <v>18.000000000000004</v>
      </c>
      <c r="AI92" s="121">
        <v>1064</v>
      </c>
      <c r="AJ92" s="64" t="str" cm="1">
        <f t="array" ref="AJ92">_xll.Dce_Name_SectI(AE92, AE92, AF92, AG92, AH92, "x", "-", "H Tổng")</f>
        <v>1100x350x14x18</v>
      </c>
      <c r="AK92" s="122">
        <f t="shared" si="40"/>
        <v>1360</v>
      </c>
      <c r="AL92" s="123">
        <f t="shared" si="41"/>
        <v>350</v>
      </c>
      <c r="AM92" s="123">
        <f t="shared" si="42"/>
        <v>25</v>
      </c>
      <c r="AN92" s="123">
        <f t="shared" si="43"/>
        <v>16</v>
      </c>
      <c r="AO92" s="123">
        <f t="shared" si="44"/>
        <v>27</v>
      </c>
      <c r="AP92" s="165" t="str">
        <f t="shared" si="45"/>
        <v>1360x350x25 + 16M27</v>
      </c>
      <c r="AQ92" s="111" t="s">
        <v>320</v>
      </c>
      <c r="AR92" s="120">
        <v>0</v>
      </c>
      <c r="AS92" s="120">
        <v>298.44270154681737</v>
      </c>
      <c r="AT92" s="120">
        <v>-5.3660187404602757E-15</v>
      </c>
      <c r="AU92" s="120">
        <v>-2.1309089782600228E-3</v>
      </c>
      <c r="AV92" s="120">
        <v>1.0909388947766271E-15</v>
      </c>
      <c r="AW92" s="120">
        <v>-905.04500149523221</v>
      </c>
      <c r="AX92" s="120"/>
      <c r="AY92" s="120"/>
      <c r="AZ92" s="120"/>
      <c r="BA92" s="122">
        <f t="shared" si="46"/>
        <v>60</v>
      </c>
      <c r="BB92" s="122">
        <f t="shared" si="47"/>
        <v>70</v>
      </c>
      <c r="BC92" s="122">
        <f t="shared" si="48"/>
        <v>80</v>
      </c>
      <c r="BD92" s="122">
        <f t="shared" si="49"/>
        <v>160</v>
      </c>
      <c r="BE92" s="122">
        <f>VLOOKUP(AO92,Data!$V$4:$Z$15,3,FALSE)</f>
        <v>572.55526111673976</v>
      </c>
      <c r="BF92" s="122">
        <f>VLOOKUP(AO92,Data!$V$4:$Z$15,4,FALSE)</f>
        <v>459</v>
      </c>
      <c r="BG92" s="163">
        <f t="shared" si="50"/>
        <v>180</v>
      </c>
      <c r="BH92" s="122">
        <f t="shared" si="51"/>
        <v>153.97156081951366</v>
      </c>
      <c r="BI92" s="122">
        <f t="shared" si="52"/>
        <v>273.375</v>
      </c>
      <c r="BJ92" s="163">
        <f t="shared" si="53"/>
        <v>185.06880000000001</v>
      </c>
      <c r="BK92" s="131">
        <f t="shared" si="54"/>
        <v>18.652668846676086</v>
      </c>
      <c r="BL92" s="134">
        <f t="shared" si="55"/>
        <v>0.85037037037037044</v>
      </c>
      <c r="BM92" s="135">
        <f t="shared" si="56"/>
        <v>0.14245980585254278</v>
      </c>
      <c r="BN92" s="92" t="str">
        <f t="shared" si="57"/>
        <v>OK</v>
      </c>
      <c r="BO92" s="135">
        <f>_xll.DCEBoltDisRS(AN92, AE92, BA92, BB92, BC92, BD92, "h1")</f>
        <v>1240</v>
      </c>
      <c r="BP92" s="136">
        <f>_xll.DCEBoltDisRS(AN92, AE92, BA92, BB92, BC92, BD92, "Tong")</f>
        <v>4523000</v>
      </c>
      <c r="BQ92" s="137">
        <f t="shared" si="58"/>
        <v>124.06099954168562</v>
      </c>
      <c r="BR92" s="135">
        <f t="shared" si="59"/>
        <v>0.67035069953274462</v>
      </c>
      <c r="BS92" s="64" t="str">
        <f t="shared" si="60"/>
        <v>OK</v>
      </c>
      <c r="BT92" s="131">
        <f t="shared" si="61"/>
        <v>0.68120909540895802</v>
      </c>
      <c r="BU92" s="92" t="str">
        <f t="shared" si="62"/>
        <v>OK</v>
      </c>
      <c r="BV92" s="139">
        <f t="shared" si="63"/>
        <v>836.45563908986333</v>
      </c>
      <c r="BW92" s="131">
        <f t="shared" si="64"/>
        <v>18.820251879521923</v>
      </c>
      <c r="BX92" s="139">
        <f t="shared" si="65"/>
        <v>418.22781954493166</v>
      </c>
      <c r="BY92" s="123">
        <f t="shared" si="66"/>
        <v>132.84883679662533</v>
      </c>
      <c r="BZ92" s="141">
        <f t="shared" si="67"/>
        <v>0.64579295665026215</v>
      </c>
      <c r="CA92" s="131">
        <f t="shared" si="68"/>
        <v>12.300818221909754</v>
      </c>
      <c r="CB92" s="143">
        <f t="shared" si="69"/>
        <v>0.10309593816255781</v>
      </c>
      <c r="CC92" s="123">
        <f t="shared" si="70"/>
        <v>134.54643742961682</v>
      </c>
      <c r="CD92" s="131">
        <f t="shared" si="71"/>
        <v>0.56873494082567511</v>
      </c>
      <c r="CE92" s="135">
        <f t="shared" si="72"/>
        <v>0.64579295665026215</v>
      </c>
      <c r="CF92" s="92" t="str">
        <f t="shared" si="73"/>
        <v>OK</v>
      </c>
      <c r="CG92" s="50"/>
      <c r="DA92" s="111"/>
      <c r="DB92" s="111"/>
      <c r="DC92" s="111"/>
      <c r="DD92" s="116"/>
      <c r="DE92" s="120"/>
      <c r="DF92" s="121"/>
      <c r="DG92" s="121"/>
      <c r="DH92" s="121"/>
      <c r="DI92" s="121"/>
      <c r="DJ92" s="121"/>
      <c r="DK92" s="122"/>
      <c r="DL92" s="123"/>
      <c r="DM92" s="123"/>
      <c r="DN92" s="123"/>
      <c r="DO92" s="123"/>
      <c r="DP92" s="123"/>
      <c r="DQ92" s="111"/>
      <c r="DR92" s="120"/>
      <c r="DS92" s="120"/>
      <c r="DT92" s="120"/>
      <c r="DU92" s="120"/>
      <c r="DV92" s="120"/>
      <c r="DW92" s="120"/>
      <c r="DX92" s="120"/>
      <c r="DY92" s="120"/>
      <c r="DZ92" s="120"/>
      <c r="EA92" s="122"/>
      <c r="EB92" s="122"/>
      <c r="EC92" s="122"/>
      <c r="ED92" s="122"/>
      <c r="EE92" s="122"/>
      <c r="EF92" s="122"/>
      <c r="EG92" s="122"/>
      <c r="EH92" s="122"/>
      <c r="EI92" s="122"/>
      <c r="EJ92" s="122"/>
      <c r="EK92" s="131"/>
      <c r="EL92" s="122"/>
      <c r="EM92" s="276"/>
      <c r="EN92" s="276"/>
      <c r="EO92" s="135"/>
      <c r="EP92" s="136"/>
      <c r="EQ92" s="137"/>
      <c r="ER92" s="276"/>
      <c r="ES92" s="276"/>
      <c r="ET92" s="276"/>
      <c r="EU92" s="276"/>
      <c r="EV92" s="139"/>
      <c r="EW92" s="131"/>
      <c r="EX92" s="139"/>
      <c r="EY92" s="123"/>
      <c r="EZ92" s="141"/>
      <c r="FA92" s="131"/>
      <c r="FB92" s="143"/>
      <c r="FC92" s="123"/>
      <c r="FD92" s="131"/>
      <c r="FE92" s="276"/>
      <c r="FF92" s="276"/>
      <c r="FG92" s="50"/>
    </row>
    <row r="93" spans="8:163" ht="15">
      <c r="H93" s="102" t="str">
        <f>"- Moment kháng uốn tiết diện đường hàn:"</f>
        <v>- Moment kháng uốn tiết diện đường hàn:</v>
      </c>
      <c r="I93" s="292"/>
      <c r="J93" s="292"/>
      <c r="K93" s="8"/>
      <c r="L93" s="291"/>
      <c r="M93" s="8"/>
      <c r="N93" s="300"/>
      <c r="O93" s="8"/>
      <c r="P93" s="300"/>
      <c r="Q93" s="8" t="s">
        <v>136</v>
      </c>
      <c r="R93" s="301">
        <f>Q99+Q100+Q101</f>
        <v>6793164.738166349</v>
      </c>
      <c r="S93" s="155" t="s">
        <v>135</v>
      </c>
      <c r="T93" s="152"/>
      <c r="AA93" s="111" t="s">
        <v>245</v>
      </c>
      <c r="AB93" s="111" t="s">
        <v>312</v>
      </c>
      <c r="AC93" s="111">
        <v>46</v>
      </c>
      <c r="AD93" s="116">
        <v>0</v>
      </c>
      <c r="AE93" s="120">
        <v>750</v>
      </c>
      <c r="AF93" s="121">
        <v>350</v>
      </c>
      <c r="AG93" s="121">
        <v>14</v>
      </c>
      <c r="AH93" s="121">
        <v>18.000000000000004</v>
      </c>
      <c r="AI93" s="121">
        <v>714</v>
      </c>
      <c r="AJ93" s="64" t="str" cm="1">
        <f t="array" ref="AJ93">_xll.Dce_Name_SectI(AE93, AE93, AF93, AG93, AH93, "x", "-", "H Tổng")</f>
        <v>750x350x14x18</v>
      </c>
      <c r="AK93" s="122">
        <f t="shared" si="40"/>
        <v>1010</v>
      </c>
      <c r="AL93" s="123">
        <f t="shared" si="41"/>
        <v>350</v>
      </c>
      <c r="AM93" s="123">
        <f t="shared" si="42"/>
        <v>25</v>
      </c>
      <c r="AN93" s="123">
        <f t="shared" si="43"/>
        <v>12</v>
      </c>
      <c r="AO93" s="123">
        <f t="shared" si="44"/>
        <v>24</v>
      </c>
      <c r="AP93" s="165" t="str">
        <f t="shared" si="45"/>
        <v>1010x350x25 + 12M24</v>
      </c>
      <c r="AQ93" s="111" t="s">
        <v>321</v>
      </c>
      <c r="AR93" s="120">
        <v>0</v>
      </c>
      <c r="AS93" s="120">
        <v>222.270508280944</v>
      </c>
      <c r="AT93" s="120">
        <v>-3.1650415621697894E-14</v>
      </c>
      <c r="AU93" s="120">
        <v>-2.1565501373348936E-3</v>
      </c>
      <c r="AV93" s="120">
        <v>1.918524503707885E-14</v>
      </c>
      <c r="AW93" s="120">
        <v>-196.38439310943812</v>
      </c>
      <c r="AX93" s="120"/>
      <c r="AY93" s="120"/>
      <c r="AZ93" s="120"/>
      <c r="BA93" s="122">
        <f t="shared" si="46"/>
        <v>60</v>
      </c>
      <c r="BB93" s="122">
        <f t="shared" si="47"/>
        <v>70</v>
      </c>
      <c r="BC93" s="122">
        <f t="shared" si="48"/>
        <v>80</v>
      </c>
      <c r="BD93" s="122">
        <f t="shared" si="49"/>
        <v>150</v>
      </c>
      <c r="BE93" s="122">
        <f>VLOOKUP(AO93,Data!$V$4:$Z$15,3,FALSE)</f>
        <v>452.38934211693021</v>
      </c>
      <c r="BF93" s="122">
        <f>VLOOKUP(AO93,Data!$V$4:$Z$15,4,FALSE)</f>
        <v>353</v>
      </c>
      <c r="BG93" s="163">
        <f t="shared" si="50"/>
        <v>180</v>
      </c>
      <c r="BH93" s="122">
        <f t="shared" si="51"/>
        <v>121.65654188208487</v>
      </c>
      <c r="BI93" s="122">
        <f t="shared" si="52"/>
        <v>243</v>
      </c>
      <c r="BJ93" s="163">
        <f t="shared" si="53"/>
        <v>142.3296</v>
      </c>
      <c r="BK93" s="131">
        <f t="shared" si="54"/>
        <v>18.522542356745333</v>
      </c>
      <c r="BL93" s="134">
        <f t="shared" si="55"/>
        <v>0.89458333333333329</v>
      </c>
      <c r="BM93" s="135">
        <f t="shared" si="56"/>
        <v>0.17019403175820494</v>
      </c>
      <c r="BN93" s="92" t="str">
        <f t="shared" si="57"/>
        <v>OK</v>
      </c>
      <c r="BO93" s="135">
        <f>_xll.DCEBoltDisRS(AN93, AE93, BA93, BB93, BC93, BD93, "h1")</f>
        <v>890</v>
      </c>
      <c r="BP93" s="136">
        <f>_xll.DCEBoltDisRS(AN93, AE93, BA93, BB93, BC93, BD93, "Tong")</f>
        <v>1800300</v>
      </c>
      <c r="BQ93" s="137">
        <f t="shared" si="58"/>
        <v>48.542495658334701</v>
      </c>
      <c r="BR93" s="135">
        <f t="shared" si="59"/>
        <v>0.34105692461957809</v>
      </c>
      <c r="BS93" s="64" t="str">
        <f t="shared" si="60"/>
        <v>OK</v>
      </c>
      <c r="BT93" s="131">
        <f t="shared" si="61"/>
        <v>0.37349795710378431</v>
      </c>
      <c r="BU93" s="92" t="str">
        <f t="shared" si="62"/>
        <v>OK</v>
      </c>
      <c r="BV93" s="139">
        <f t="shared" si="63"/>
        <v>268.28469004021599</v>
      </c>
      <c r="BW93" s="131">
        <f t="shared" si="64"/>
        <v>6.0364055259048595</v>
      </c>
      <c r="BX93" s="139">
        <f t="shared" si="65"/>
        <v>134.142345020108</v>
      </c>
      <c r="BY93" s="123">
        <f t="shared" si="66"/>
        <v>57.375735691768959</v>
      </c>
      <c r="BZ93" s="141">
        <f t="shared" si="67"/>
        <v>0.27890982627943245</v>
      </c>
      <c r="CA93" s="131">
        <f t="shared" si="68"/>
        <v>5.3125681196082368</v>
      </c>
      <c r="CB93" s="143">
        <f t="shared" si="69"/>
        <v>4.4525834335797009E-2</v>
      </c>
      <c r="CC93" s="123">
        <f t="shared" si="70"/>
        <v>58.108907976730755</v>
      </c>
      <c r="CD93" s="131">
        <f t="shared" si="71"/>
        <v>0.24562944193062522</v>
      </c>
      <c r="CE93" s="135">
        <f t="shared" si="72"/>
        <v>0.27890982627943245</v>
      </c>
      <c r="CF93" s="92" t="str">
        <f t="shared" si="73"/>
        <v>OK</v>
      </c>
      <c r="CG93" s="50"/>
      <c r="DA93" s="111"/>
      <c r="DB93" s="111"/>
      <c r="DC93" s="111"/>
      <c r="DD93" s="116"/>
      <c r="DE93" s="120"/>
      <c r="DF93" s="121"/>
      <c r="DG93" s="121"/>
      <c r="DH93" s="121"/>
      <c r="DI93" s="121"/>
      <c r="DJ93" s="121"/>
      <c r="DK93" s="122"/>
      <c r="DL93" s="123"/>
      <c r="DM93" s="123"/>
      <c r="DN93" s="123"/>
      <c r="DO93" s="123"/>
      <c r="DP93" s="123"/>
      <c r="DQ93" s="111"/>
      <c r="DR93" s="120"/>
      <c r="DS93" s="120"/>
      <c r="DT93" s="120"/>
      <c r="DU93" s="120"/>
      <c r="DV93" s="120"/>
      <c r="DW93" s="120"/>
      <c r="DX93" s="120"/>
      <c r="DY93" s="120"/>
      <c r="DZ93" s="120"/>
      <c r="EA93" s="122"/>
      <c r="EB93" s="122"/>
      <c r="EC93" s="122"/>
      <c r="ED93" s="122"/>
      <c r="EE93" s="122"/>
      <c r="EF93" s="122"/>
      <c r="EG93" s="122"/>
      <c r="EH93" s="122"/>
      <c r="EI93" s="122"/>
      <c r="EJ93" s="122"/>
      <c r="EK93" s="131"/>
      <c r="EL93" s="122"/>
      <c r="EM93" s="276"/>
      <c r="EN93" s="276"/>
      <c r="EO93" s="135"/>
      <c r="EP93" s="136"/>
      <c r="EQ93" s="137"/>
      <c r="ER93" s="276"/>
      <c r="ES93" s="276"/>
      <c r="ET93" s="276"/>
      <c r="EU93" s="276"/>
      <c r="EV93" s="139"/>
      <c r="EW93" s="131"/>
      <c r="EX93" s="139"/>
      <c r="EY93" s="123"/>
      <c r="EZ93" s="141"/>
      <c r="FA93" s="131"/>
      <c r="FB93" s="143"/>
      <c r="FC93" s="123"/>
      <c r="FD93" s="131"/>
      <c r="FE93" s="276"/>
      <c r="FF93" s="276"/>
      <c r="FG93" s="50"/>
    </row>
    <row r="94" spans="8:163" ht="15">
      <c r="H94" s="102" t="str">
        <f>"- Ứng suất tương đương:"</f>
        <v>- Ứng suất tương đương:</v>
      </c>
      <c r="I94" s="5"/>
      <c r="J94" s="5"/>
      <c r="K94" s="302"/>
      <c r="L94" s="303"/>
      <c r="M94" s="304"/>
      <c r="N94" s="19"/>
      <c r="O94" s="288"/>
      <c r="P94" s="5"/>
      <c r="Q94" s="91" t="s">
        <v>138</v>
      </c>
      <c r="R94" s="266">
        <f>SQRT((ABS(R60)*1000000/R93+R61*1000/R91)^2+(R62*1000/R91)^2)</f>
        <v>76.884775981334457</v>
      </c>
      <c r="S94" s="155" t="s">
        <v>2</v>
      </c>
      <c r="AA94" s="111" t="s">
        <v>245</v>
      </c>
      <c r="AB94" s="111" t="s">
        <v>312</v>
      </c>
      <c r="AC94" s="111">
        <v>46</v>
      </c>
      <c r="AD94" s="116">
        <v>2.6850000000000001</v>
      </c>
      <c r="AE94" s="120">
        <v>1100</v>
      </c>
      <c r="AF94" s="121">
        <v>350</v>
      </c>
      <c r="AG94" s="121">
        <v>14</v>
      </c>
      <c r="AH94" s="121">
        <v>18.000000000000004</v>
      </c>
      <c r="AI94" s="121">
        <v>1064</v>
      </c>
      <c r="AJ94" s="64" t="str" cm="1">
        <f t="array" ref="AJ94">_xll.Dce_Name_SectI(AE94, AE94, AF94, AG94, AH94, "x", "-", "H Tổng")</f>
        <v>1100x350x14x18</v>
      </c>
      <c r="AK94" s="122">
        <f t="shared" si="40"/>
        <v>1360</v>
      </c>
      <c r="AL94" s="123">
        <f t="shared" si="41"/>
        <v>350</v>
      </c>
      <c r="AM94" s="123">
        <f t="shared" si="42"/>
        <v>25</v>
      </c>
      <c r="AN94" s="123">
        <f t="shared" si="43"/>
        <v>16</v>
      </c>
      <c r="AO94" s="123">
        <f t="shared" si="44"/>
        <v>27</v>
      </c>
      <c r="AP94" s="165" t="str">
        <f t="shared" si="45"/>
        <v>1360x350x25 + 16M27</v>
      </c>
      <c r="AQ94" s="111" t="s">
        <v>321</v>
      </c>
      <c r="AR94" s="120">
        <v>0</v>
      </c>
      <c r="AS94" s="120">
        <v>299.07553532720209</v>
      </c>
      <c r="AT94" s="120">
        <v>-5.8207660913467402E-15</v>
      </c>
      <c r="AU94" s="120">
        <v>-2.1562294459145054E-3</v>
      </c>
      <c r="AV94" s="120">
        <v>1.7753336578607555E-15</v>
      </c>
      <c r="AW94" s="120">
        <v>-907.49043295583431</v>
      </c>
      <c r="AX94" s="120"/>
      <c r="AY94" s="120"/>
      <c r="AZ94" s="120"/>
      <c r="BA94" s="122">
        <f t="shared" si="46"/>
        <v>60</v>
      </c>
      <c r="BB94" s="122">
        <f t="shared" si="47"/>
        <v>70</v>
      </c>
      <c r="BC94" s="122">
        <f t="shared" si="48"/>
        <v>80</v>
      </c>
      <c r="BD94" s="122">
        <f t="shared" si="49"/>
        <v>160</v>
      </c>
      <c r="BE94" s="122">
        <f>VLOOKUP(AO94,Data!$V$4:$Z$15,3,FALSE)</f>
        <v>572.55526111673976</v>
      </c>
      <c r="BF94" s="122">
        <f>VLOOKUP(AO94,Data!$V$4:$Z$15,4,FALSE)</f>
        <v>459</v>
      </c>
      <c r="BG94" s="163">
        <f t="shared" si="50"/>
        <v>180</v>
      </c>
      <c r="BH94" s="122">
        <f t="shared" si="51"/>
        <v>153.97156081951366</v>
      </c>
      <c r="BI94" s="122">
        <f t="shared" si="52"/>
        <v>273.375</v>
      </c>
      <c r="BJ94" s="163">
        <f t="shared" si="53"/>
        <v>185.06880000000001</v>
      </c>
      <c r="BK94" s="131">
        <f t="shared" si="54"/>
        <v>18.692220957950131</v>
      </c>
      <c r="BL94" s="134">
        <f t="shared" si="55"/>
        <v>0.85037037037037044</v>
      </c>
      <c r="BM94" s="135">
        <f t="shared" si="56"/>
        <v>0.14276188520319627</v>
      </c>
      <c r="BN94" s="92" t="str">
        <f t="shared" si="57"/>
        <v>OK</v>
      </c>
      <c r="BO94" s="135">
        <f>_xll.DCEBoltDisRS(AN94, AE94, BA94, BB94, BC94, BD94, "h1")</f>
        <v>1240</v>
      </c>
      <c r="BP94" s="136">
        <f>_xll.DCEBoltDisRS(AN94, AE94, BA94, BB94, BC94, BD94, "Tong")</f>
        <v>4523000</v>
      </c>
      <c r="BQ94" s="137">
        <f t="shared" si="58"/>
        <v>124.39621234415594</v>
      </c>
      <c r="BR94" s="135">
        <f t="shared" si="59"/>
        <v>0.67216198702404695</v>
      </c>
      <c r="BS94" s="64" t="str">
        <f t="shared" si="60"/>
        <v>OK</v>
      </c>
      <c r="BT94" s="131">
        <f t="shared" si="61"/>
        <v>0.68303719713006283</v>
      </c>
      <c r="BU94" s="92" t="str">
        <f t="shared" si="62"/>
        <v>OK</v>
      </c>
      <c r="BV94" s="139">
        <f t="shared" si="63"/>
        <v>838.71574210335882</v>
      </c>
      <c r="BW94" s="131">
        <f t="shared" si="64"/>
        <v>18.871104197325572</v>
      </c>
      <c r="BX94" s="139">
        <f t="shared" si="65"/>
        <v>419.35787105167941</v>
      </c>
      <c r="BY94" s="123">
        <f t="shared" si="66"/>
        <v>133.20779433406287</v>
      </c>
      <c r="BZ94" s="141">
        <f t="shared" si="67"/>
        <v>0.64753788912391674</v>
      </c>
      <c r="CA94" s="131">
        <f t="shared" si="68"/>
        <v>12.334055030931747</v>
      </c>
      <c r="CB94" s="143">
        <f t="shared" si="69"/>
        <v>0.10337450337227279</v>
      </c>
      <c r="CC94" s="123">
        <f t="shared" si="70"/>
        <v>134.90998188371441</v>
      </c>
      <c r="CD94" s="131">
        <f t="shared" si="71"/>
        <v>0.57027166255193296</v>
      </c>
      <c r="CE94" s="135">
        <f t="shared" si="72"/>
        <v>0.64753788912391674</v>
      </c>
      <c r="CF94" s="92" t="str">
        <f t="shared" si="73"/>
        <v>OK</v>
      </c>
      <c r="CG94" s="50"/>
      <c r="DA94" s="111"/>
      <c r="DB94" s="111"/>
      <c r="DC94" s="111"/>
      <c r="DD94" s="116"/>
      <c r="DE94" s="120"/>
      <c r="DF94" s="121"/>
      <c r="DG94" s="121"/>
      <c r="DH94" s="121"/>
      <c r="DI94" s="121"/>
      <c r="DJ94" s="121"/>
      <c r="DK94" s="122"/>
      <c r="DL94" s="123"/>
      <c r="DM94" s="123"/>
      <c r="DN94" s="123"/>
      <c r="DO94" s="123"/>
      <c r="DP94" s="123"/>
      <c r="DQ94" s="111"/>
      <c r="DR94" s="120"/>
      <c r="DS94" s="120"/>
      <c r="DT94" s="120"/>
      <c r="DU94" s="120"/>
      <c r="DV94" s="120"/>
      <c r="DW94" s="120"/>
      <c r="DX94" s="120"/>
      <c r="DY94" s="120"/>
      <c r="DZ94" s="120"/>
      <c r="EA94" s="122"/>
      <c r="EB94" s="122"/>
      <c r="EC94" s="122"/>
      <c r="ED94" s="122"/>
      <c r="EE94" s="122"/>
      <c r="EF94" s="122"/>
      <c r="EG94" s="122"/>
      <c r="EH94" s="122"/>
      <c r="EI94" s="122"/>
      <c r="EJ94" s="122"/>
      <c r="EK94" s="131"/>
      <c r="EL94" s="122"/>
      <c r="EM94" s="276"/>
      <c r="EN94" s="276"/>
      <c r="EO94" s="135"/>
      <c r="EP94" s="136"/>
      <c r="EQ94" s="137"/>
      <c r="ER94" s="276"/>
      <c r="ES94" s="276"/>
      <c r="ET94" s="276"/>
      <c r="EU94" s="276"/>
      <c r="EV94" s="139"/>
      <c r="EW94" s="131"/>
      <c r="EX94" s="139"/>
      <c r="EY94" s="123"/>
      <c r="EZ94" s="141"/>
      <c r="FA94" s="131"/>
      <c r="FB94" s="143"/>
      <c r="FC94" s="123"/>
      <c r="FD94" s="131"/>
      <c r="FE94" s="276"/>
      <c r="FF94" s="276"/>
      <c r="FG94" s="50"/>
    </row>
    <row r="95" spans="8:163" ht="14.25">
      <c r="H95" s="102" t="str">
        <f>"- Tỷ số huy động cấu kiện:"</f>
        <v>- Tỷ số huy động cấu kiện:</v>
      </c>
      <c r="I95" s="5"/>
      <c r="J95" s="5"/>
      <c r="K95" s="8"/>
      <c r="L95" s="291"/>
      <c r="M95" s="288"/>
      <c r="N95" s="5"/>
      <c r="O95" s="5"/>
      <c r="P95" s="5"/>
      <c r="Q95" s="91" t="s">
        <v>139</v>
      </c>
      <c r="R95" s="267">
        <f>R94/(R39)</f>
        <v>0.61019663477249564</v>
      </c>
      <c r="S95" s="296" t="str">
        <f>IF(R95&lt;=1,"OK","Check")</f>
        <v>OK</v>
      </c>
      <c r="T95" s="152"/>
      <c r="AA95" s="111" t="s">
        <v>245</v>
      </c>
      <c r="AB95" s="111" t="s">
        <v>312</v>
      </c>
      <c r="AC95" s="111">
        <v>46</v>
      </c>
      <c r="AD95" s="116">
        <v>0</v>
      </c>
      <c r="AE95" s="120">
        <v>750</v>
      </c>
      <c r="AF95" s="121">
        <v>350</v>
      </c>
      <c r="AG95" s="121">
        <v>14</v>
      </c>
      <c r="AH95" s="121">
        <v>18.000000000000004</v>
      </c>
      <c r="AI95" s="121">
        <v>714</v>
      </c>
      <c r="AJ95" s="64" t="str" cm="1">
        <f t="array" ref="AJ95">_xll.Dce_Name_SectI(AE95, AE95, AF95, AG95, AH95, "x", "-", "H Tổng")</f>
        <v>750x350x14x18</v>
      </c>
      <c r="AK95" s="122">
        <f t="shared" si="40"/>
        <v>1010</v>
      </c>
      <c r="AL95" s="123">
        <f t="shared" si="41"/>
        <v>350</v>
      </c>
      <c r="AM95" s="123">
        <f t="shared" si="42"/>
        <v>25</v>
      </c>
      <c r="AN95" s="123">
        <f t="shared" si="43"/>
        <v>12</v>
      </c>
      <c r="AO95" s="123">
        <f t="shared" si="44"/>
        <v>24</v>
      </c>
      <c r="AP95" s="165" t="str">
        <f t="shared" si="45"/>
        <v>1010x350x25 + 12M24</v>
      </c>
      <c r="AQ95" s="111" t="s">
        <v>322</v>
      </c>
      <c r="AR95" s="120">
        <v>0</v>
      </c>
      <c r="AS95" s="120">
        <v>216.94158468149547</v>
      </c>
      <c r="AT95" s="120">
        <v>-2.4147084332071236E-14</v>
      </c>
      <c r="AU95" s="120">
        <v>-2.1094992597105251E-3</v>
      </c>
      <c r="AV95" s="120">
        <v>1.6973353922367089E-14</v>
      </c>
      <c r="AW95" s="120">
        <v>-162.86273964199981</v>
      </c>
      <c r="AX95" s="120"/>
      <c r="AY95" s="120"/>
      <c r="AZ95" s="120"/>
      <c r="BA95" s="122">
        <f t="shared" si="46"/>
        <v>60</v>
      </c>
      <c r="BB95" s="122">
        <f t="shared" si="47"/>
        <v>70</v>
      </c>
      <c r="BC95" s="122">
        <f t="shared" si="48"/>
        <v>80</v>
      </c>
      <c r="BD95" s="122">
        <f t="shared" si="49"/>
        <v>150</v>
      </c>
      <c r="BE95" s="122">
        <f>VLOOKUP(AO95,Data!$V$4:$Z$15,3,FALSE)</f>
        <v>452.38934211693021</v>
      </c>
      <c r="BF95" s="122">
        <f>VLOOKUP(AO95,Data!$V$4:$Z$15,4,FALSE)</f>
        <v>353</v>
      </c>
      <c r="BG95" s="163">
        <f t="shared" si="50"/>
        <v>180</v>
      </c>
      <c r="BH95" s="122">
        <f t="shared" si="51"/>
        <v>121.65654188208487</v>
      </c>
      <c r="BI95" s="122">
        <f t="shared" si="52"/>
        <v>243</v>
      </c>
      <c r="BJ95" s="163">
        <f t="shared" si="53"/>
        <v>142.3296</v>
      </c>
      <c r="BK95" s="131">
        <f t="shared" si="54"/>
        <v>18.078465390124624</v>
      </c>
      <c r="BL95" s="134">
        <f t="shared" si="55"/>
        <v>0.89458333333333329</v>
      </c>
      <c r="BM95" s="135">
        <f t="shared" si="56"/>
        <v>0.16611363891015679</v>
      </c>
      <c r="BN95" s="92" t="str">
        <f t="shared" si="57"/>
        <v>OK</v>
      </c>
      <c r="BO95" s="135">
        <f>_xll.DCEBoltDisRS(AN95, AE95, BA95, BB95, BC95, BD95, "h1")</f>
        <v>890</v>
      </c>
      <c r="BP95" s="136">
        <f>_xll.DCEBoltDisRS(AN95, AE95, BA95, BB95, BC95, BD95, "Tong")</f>
        <v>1800300</v>
      </c>
      <c r="BQ95" s="137">
        <f t="shared" si="58"/>
        <v>40.25657898166412</v>
      </c>
      <c r="BR95" s="135">
        <f t="shared" si="59"/>
        <v>0.28284052636741847</v>
      </c>
      <c r="BS95" s="64" t="str">
        <f t="shared" si="60"/>
        <v>OK</v>
      </c>
      <c r="BT95" s="131">
        <f t="shared" si="61"/>
        <v>0.31950190018943908</v>
      </c>
      <c r="BU95" s="92" t="str">
        <f t="shared" si="62"/>
        <v>OK</v>
      </c>
      <c r="BV95" s="139">
        <f t="shared" si="63"/>
        <v>222.49008147814183</v>
      </c>
      <c r="BW95" s="131">
        <f t="shared" si="64"/>
        <v>5.0060268332581908</v>
      </c>
      <c r="BX95" s="139">
        <f t="shared" si="65"/>
        <v>111.24504073907092</v>
      </c>
      <c r="BY95" s="123">
        <f t="shared" si="66"/>
        <v>47.582037227008549</v>
      </c>
      <c r="BZ95" s="141">
        <f t="shared" si="67"/>
        <v>0.2313015698535138</v>
      </c>
      <c r="CA95" s="131">
        <f t="shared" si="68"/>
        <v>4.4057441876859764</v>
      </c>
      <c r="CB95" s="143">
        <f t="shared" si="69"/>
        <v>3.692553797150603E-2</v>
      </c>
      <c r="CC95" s="123">
        <f t="shared" si="70"/>
        <v>48.190061342712703</v>
      </c>
      <c r="CD95" s="131">
        <f t="shared" si="71"/>
        <v>0.20370195012016243</v>
      </c>
      <c r="CE95" s="135">
        <f t="shared" si="72"/>
        <v>0.2313015698535138</v>
      </c>
      <c r="CF95" s="92" t="str">
        <f t="shared" si="73"/>
        <v>OK</v>
      </c>
      <c r="CG95" s="50"/>
      <c r="DA95" s="111"/>
      <c r="DB95" s="111"/>
      <c r="DC95" s="111"/>
      <c r="DD95" s="116"/>
      <c r="DE95" s="120"/>
      <c r="DF95" s="121"/>
      <c r="DG95" s="121"/>
      <c r="DH95" s="121"/>
      <c r="DI95" s="121"/>
      <c r="DJ95" s="121"/>
      <c r="DK95" s="122"/>
      <c r="DL95" s="123"/>
      <c r="DM95" s="123"/>
      <c r="DN95" s="123"/>
      <c r="DO95" s="123"/>
      <c r="DP95" s="123"/>
      <c r="DQ95" s="111"/>
      <c r="DR95" s="120"/>
      <c r="DS95" s="120"/>
      <c r="DT95" s="120"/>
      <c r="DU95" s="120"/>
      <c r="DV95" s="120"/>
      <c r="DW95" s="120"/>
      <c r="DX95" s="120"/>
      <c r="DY95" s="120"/>
      <c r="DZ95" s="120"/>
      <c r="EA95" s="122"/>
      <c r="EB95" s="122"/>
      <c r="EC95" s="122"/>
      <c r="ED95" s="122"/>
      <c r="EE95" s="122"/>
      <c r="EF95" s="122"/>
      <c r="EG95" s="122"/>
      <c r="EH95" s="122"/>
      <c r="EI95" s="122"/>
      <c r="EJ95" s="122"/>
      <c r="EK95" s="131"/>
      <c r="EL95" s="122"/>
      <c r="EM95" s="276"/>
      <c r="EN95" s="276"/>
      <c r="EO95" s="135"/>
      <c r="EP95" s="136"/>
      <c r="EQ95" s="137"/>
      <c r="ER95" s="276"/>
      <c r="ES95" s="276"/>
      <c r="ET95" s="276"/>
      <c r="EU95" s="276"/>
      <c r="EV95" s="139"/>
      <c r="EW95" s="131"/>
      <c r="EX95" s="139"/>
      <c r="EY95" s="123"/>
      <c r="EZ95" s="141"/>
      <c r="FA95" s="131"/>
      <c r="FB95" s="143"/>
      <c r="FC95" s="123"/>
      <c r="FD95" s="131"/>
      <c r="FE95" s="276"/>
      <c r="FF95" s="276"/>
      <c r="FG95" s="50"/>
    </row>
    <row r="96" spans="8:163">
      <c r="H96" s="305" t="str">
        <f>IF(MAX(R72,R75,R79,R85,R87,R89,R95)&lt;=1,"Kết luận: Cấu kiện đảm bảo khả năng chịu lực","Kết luận: Cấu kiện KHÔNG đảm bảo khả năng chịu lực")</f>
        <v>Kết luận: Cấu kiện KHÔNG đảm bảo khả năng chịu lực</v>
      </c>
      <c r="I96" s="88"/>
      <c r="J96" s="88"/>
      <c r="K96" s="306"/>
      <c r="L96" s="307"/>
      <c r="M96" s="89"/>
      <c r="N96" s="89"/>
      <c r="O96" s="308"/>
      <c r="P96" s="309"/>
      <c r="Q96" s="310"/>
      <c r="R96" s="88"/>
      <c r="S96" s="311"/>
      <c r="AA96" s="111" t="s">
        <v>245</v>
      </c>
      <c r="AB96" s="111" t="s">
        <v>312</v>
      </c>
      <c r="AC96" s="111">
        <v>46</v>
      </c>
      <c r="AD96" s="116">
        <v>2.6850000000000001</v>
      </c>
      <c r="AE96" s="120">
        <v>1100</v>
      </c>
      <c r="AF96" s="121">
        <v>350</v>
      </c>
      <c r="AG96" s="121">
        <v>14</v>
      </c>
      <c r="AH96" s="121">
        <v>18.000000000000004</v>
      </c>
      <c r="AI96" s="121">
        <v>1064</v>
      </c>
      <c r="AJ96" s="64" t="str" cm="1">
        <f t="array" ref="AJ96">_xll.Dce_Name_SectI(AE96, AE96, AF96, AG96, AH96, "x", "-", "H Tổng")</f>
        <v>1100x350x14x18</v>
      </c>
      <c r="AK96" s="122">
        <f t="shared" si="40"/>
        <v>1360</v>
      </c>
      <c r="AL96" s="123">
        <f t="shared" si="41"/>
        <v>350</v>
      </c>
      <c r="AM96" s="123">
        <f t="shared" si="42"/>
        <v>25</v>
      </c>
      <c r="AN96" s="123">
        <f t="shared" si="43"/>
        <v>16</v>
      </c>
      <c r="AO96" s="123">
        <f t="shared" si="44"/>
        <v>27</v>
      </c>
      <c r="AP96" s="165" t="str">
        <f t="shared" si="45"/>
        <v>1360x350x25 + 16M27</v>
      </c>
      <c r="AQ96" s="111" t="s">
        <v>322</v>
      </c>
      <c r="AR96" s="120">
        <v>0</v>
      </c>
      <c r="AS96" s="120">
        <v>293.74661000579169</v>
      </c>
      <c r="AT96" s="120">
        <v>-6.0481397667899717E-15</v>
      </c>
      <c r="AU96" s="120">
        <v>-2.1091853569811443E-3</v>
      </c>
      <c r="AV96" s="120">
        <v>1.88470039574895E-15</v>
      </c>
      <c r="AW96" s="120">
        <v>-859.66072844232644</v>
      </c>
      <c r="AX96" s="120"/>
      <c r="AY96" s="120"/>
      <c r="AZ96" s="120"/>
      <c r="BA96" s="122">
        <f t="shared" si="46"/>
        <v>60</v>
      </c>
      <c r="BB96" s="122">
        <f t="shared" si="47"/>
        <v>70</v>
      </c>
      <c r="BC96" s="122">
        <f t="shared" si="48"/>
        <v>80</v>
      </c>
      <c r="BD96" s="122">
        <f t="shared" si="49"/>
        <v>160</v>
      </c>
      <c r="BE96" s="122">
        <f>VLOOKUP(AO96,Data!$V$4:$Z$15,3,FALSE)</f>
        <v>572.55526111673976</v>
      </c>
      <c r="BF96" s="122">
        <f>VLOOKUP(AO96,Data!$V$4:$Z$15,4,FALSE)</f>
        <v>459</v>
      </c>
      <c r="BG96" s="163">
        <f t="shared" si="50"/>
        <v>180</v>
      </c>
      <c r="BH96" s="122">
        <f t="shared" si="51"/>
        <v>153.97156081951366</v>
      </c>
      <c r="BI96" s="122">
        <f t="shared" si="52"/>
        <v>273.375</v>
      </c>
      <c r="BJ96" s="163">
        <f t="shared" si="53"/>
        <v>185.06880000000001</v>
      </c>
      <c r="BK96" s="131">
        <f t="shared" si="54"/>
        <v>18.359163125361981</v>
      </c>
      <c r="BL96" s="134">
        <f t="shared" si="55"/>
        <v>0.85037037037037044</v>
      </c>
      <c r="BM96" s="135">
        <f t="shared" si="56"/>
        <v>0.14021815515801125</v>
      </c>
      <c r="BN96" s="92" t="str">
        <f t="shared" si="57"/>
        <v>OK</v>
      </c>
      <c r="BO96" s="135">
        <f>_xll.DCEBoltDisRS(AN96, AE96, BA96, BB96, BC96, BD96, "h1")</f>
        <v>1240</v>
      </c>
      <c r="BP96" s="136">
        <f>_xll.DCEBoltDisRS(AN96, AE96, BA96, BB96, BC96, BD96, "Tong")</f>
        <v>4523000</v>
      </c>
      <c r="BQ96" s="137">
        <f t="shared" si="58"/>
        <v>117.83985222954728</v>
      </c>
      <c r="BR96" s="135">
        <f t="shared" si="59"/>
        <v>0.63673537748959996</v>
      </c>
      <c r="BS96" s="64" t="str">
        <f t="shared" si="60"/>
        <v>OK</v>
      </c>
      <c r="BT96" s="131">
        <f t="shared" si="61"/>
        <v>0.64780358909774893</v>
      </c>
      <c r="BU96" s="92" t="str">
        <f t="shared" si="62"/>
        <v>OK</v>
      </c>
      <c r="BV96" s="139">
        <f t="shared" si="63"/>
        <v>794.51083959549578</v>
      </c>
      <c r="BW96" s="131">
        <f t="shared" si="64"/>
        <v>17.876493890898654</v>
      </c>
      <c r="BX96" s="139">
        <f t="shared" si="65"/>
        <v>397.25541979774789</v>
      </c>
      <c r="BY96" s="123">
        <f t="shared" si="66"/>
        <v>126.18701570046107</v>
      </c>
      <c r="BZ96" s="141">
        <f t="shared" si="67"/>
        <v>0.61340910409946359</v>
      </c>
      <c r="CA96" s="131">
        <f t="shared" si="68"/>
        <v>11.683982935227878</v>
      </c>
      <c r="CB96" s="143">
        <f t="shared" si="69"/>
        <v>9.7926102187015265E-2</v>
      </c>
      <c r="CC96" s="123">
        <f t="shared" si="70"/>
        <v>127.7994886651762</v>
      </c>
      <c r="CD96" s="131">
        <f t="shared" si="71"/>
        <v>0.54021522986487536</v>
      </c>
      <c r="CE96" s="135">
        <f t="shared" si="72"/>
        <v>0.61340910409946359</v>
      </c>
      <c r="CF96" s="92" t="str">
        <f t="shared" si="73"/>
        <v>OK</v>
      </c>
      <c r="CG96" s="50"/>
      <c r="DA96" s="111"/>
      <c r="DB96" s="111"/>
      <c r="DC96" s="111"/>
      <c r="DD96" s="116"/>
      <c r="DE96" s="120"/>
      <c r="DF96" s="121"/>
      <c r="DG96" s="121"/>
      <c r="DH96" s="121"/>
      <c r="DI96" s="121"/>
      <c r="DJ96" s="121"/>
      <c r="DK96" s="122"/>
      <c r="DL96" s="123"/>
      <c r="DM96" s="123"/>
      <c r="DN96" s="123"/>
      <c r="DO96" s="123"/>
      <c r="DP96" s="123"/>
      <c r="DQ96" s="111"/>
      <c r="DR96" s="120"/>
      <c r="DS96" s="120"/>
      <c r="DT96" s="120"/>
      <c r="DU96" s="120"/>
      <c r="DV96" s="120"/>
      <c r="DW96" s="120"/>
      <c r="DX96" s="120"/>
      <c r="DY96" s="120"/>
      <c r="DZ96" s="120"/>
      <c r="EA96" s="122"/>
      <c r="EB96" s="122"/>
      <c r="EC96" s="122"/>
      <c r="ED96" s="122"/>
      <c r="EE96" s="122"/>
      <c r="EF96" s="122"/>
      <c r="EG96" s="122"/>
      <c r="EH96" s="122"/>
      <c r="EI96" s="122"/>
      <c r="EJ96" s="122"/>
      <c r="EK96" s="131"/>
      <c r="EL96" s="122"/>
      <c r="EM96" s="276"/>
      <c r="EN96" s="276"/>
      <c r="EO96" s="135"/>
      <c r="EP96" s="136"/>
      <c r="EQ96" s="137"/>
      <c r="ER96" s="276"/>
      <c r="ES96" s="276"/>
      <c r="ET96" s="276"/>
      <c r="EU96" s="276"/>
      <c r="EV96" s="139"/>
      <c r="EW96" s="131"/>
      <c r="EX96" s="139"/>
      <c r="EY96" s="123"/>
      <c r="EZ96" s="141"/>
      <c r="FA96" s="131"/>
      <c r="FB96" s="143"/>
      <c r="FC96" s="123"/>
      <c r="FD96" s="131"/>
      <c r="FE96" s="276"/>
      <c r="FF96" s="276"/>
      <c r="FG96" s="50"/>
    </row>
    <row r="97" spans="8:163">
      <c r="H97" s="259"/>
      <c r="I97" s="5"/>
      <c r="J97" s="5"/>
      <c r="K97" s="255"/>
      <c r="L97" s="256"/>
      <c r="M97" s="9"/>
      <c r="N97" s="9"/>
      <c r="O97" s="257"/>
      <c r="P97" s="91"/>
      <c r="Q97" s="8"/>
      <c r="R97" s="8"/>
      <c r="S97" s="5"/>
      <c r="T97" s="50"/>
      <c r="AA97" s="111" t="s">
        <v>245</v>
      </c>
      <c r="AB97" s="111" t="s">
        <v>312</v>
      </c>
      <c r="AC97" s="111">
        <v>46</v>
      </c>
      <c r="AD97" s="116">
        <v>0</v>
      </c>
      <c r="AE97" s="120">
        <v>750</v>
      </c>
      <c r="AF97" s="121">
        <v>350</v>
      </c>
      <c r="AG97" s="121">
        <v>14</v>
      </c>
      <c r="AH97" s="121">
        <v>18.000000000000004</v>
      </c>
      <c r="AI97" s="121">
        <v>714</v>
      </c>
      <c r="AJ97" s="64" t="str" cm="1">
        <f t="array" ref="AJ97">_xll.Dce_Name_SectI(AE97, AE97, AF97, AG97, AH97, "x", "-", "H Tổng")</f>
        <v>750x350x14x18</v>
      </c>
      <c r="AK97" s="122">
        <f t="shared" si="40"/>
        <v>1010</v>
      </c>
      <c r="AL97" s="123">
        <f t="shared" si="41"/>
        <v>350</v>
      </c>
      <c r="AM97" s="123">
        <f t="shared" si="42"/>
        <v>25</v>
      </c>
      <c r="AN97" s="123">
        <f t="shared" si="43"/>
        <v>12</v>
      </c>
      <c r="AO97" s="123">
        <f t="shared" si="44"/>
        <v>24</v>
      </c>
      <c r="AP97" s="165" t="str">
        <f t="shared" si="45"/>
        <v>1010x350x25 + 12M24</v>
      </c>
      <c r="AQ97" s="111" t="s">
        <v>323</v>
      </c>
      <c r="AR97" s="120">
        <v>0</v>
      </c>
      <c r="AS97" s="120">
        <v>217.58107767393898</v>
      </c>
      <c r="AT97" s="120">
        <v>-2.5511326384730629E-14</v>
      </c>
      <c r="AU97" s="120">
        <v>-2.1348476897602819E-3</v>
      </c>
      <c r="AV97" s="120">
        <v>1.6624107956886285E-14</v>
      </c>
      <c r="AW97" s="120">
        <v>-163.67289303779958</v>
      </c>
      <c r="AX97" s="120"/>
      <c r="AY97" s="120"/>
      <c r="AZ97" s="120"/>
      <c r="BA97" s="122">
        <f t="shared" si="46"/>
        <v>60</v>
      </c>
      <c r="BB97" s="122">
        <f t="shared" si="47"/>
        <v>70</v>
      </c>
      <c r="BC97" s="122">
        <f t="shared" si="48"/>
        <v>80</v>
      </c>
      <c r="BD97" s="122">
        <f t="shared" si="49"/>
        <v>150</v>
      </c>
      <c r="BE97" s="122">
        <f>VLOOKUP(AO97,Data!$V$4:$Z$15,3,FALSE)</f>
        <v>452.38934211693021</v>
      </c>
      <c r="BF97" s="122">
        <f>VLOOKUP(AO97,Data!$V$4:$Z$15,4,FALSE)</f>
        <v>353</v>
      </c>
      <c r="BG97" s="163">
        <f t="shared" si="50"/>
        <v>180</v>
      </c>
      <c r="BH97" s="122">
        <f t="shared" si="51"/>
        <v>121.65654188208487</v>
      </c>
      <c r="BI97" s="122">
        <f t="shared" si="52"/>
        <v>243</v>
      </c>
      <c r="BJ97" s="163">
        <f t="shared" si="53"/>
        <v>142.3296</v>
      </c>
      <c r="BK97" s="131">
        <f t="shared" si="54"/>
        <v>18.131756472828247</v>
      </c>
      <c r="BL97" s="134">
        <f t="shared" si="55"/>
        <v>0.89458333333333329</v>
      </c>
      <c r="BM97" s="135">
        <f t="shared" si="56"/>
        <v>0.16660330302037471</v>
      </c>
      <c r="BN97" s="92" t="str">
        <f t="shared" si="57"/>
        <v>OK</v>
      </c>
      <c r="BO97" s="135">
        <f>_xll.DCEBoltDisRS(AN97, AE97, BA97, BB97, BC97, BD97, "h1")</f>
        <v>890</v>
      </c>
      <c r="BP97" s="136">
        <f>_xll.DCEBoltDisRS(AN97, AE97, BA97, BB97, BC97, BD97, "Tong")</f>
        <v>1800300</v>
      </c>
      <c r="BQ97" s="137">
        <f t="shared" si="58"/>
        <v>40.456833528756768</v>
      </c>
      <c r="BR97" s="135">
        <f t="shared" si="59"/>
        <v>0.2842475038836389</v>
      </c>
      <c r="BS97" s="64" t="str">
        <f t="shared" si="60"/>
        <v>OK</v>
      </c>
      <c r="BT97" s="131">
        <f t="shared" si="61"/>
        <v>0.32095128209619944</v>
      </c>
      <c r="BU97" s="92" t="str">
        <f t="shared" si="62"/>
        <v>OK</v>
      </c>
      <c r="BV97" s="139">
        <f t="shared" si="63"/>
        <v>223.59684841229452</v>
      </c>
      <c r="BW97" s="131">
        <f t="shared" si="64"/>
        <v>5.0309290892766265</v>
      </c>
      <c r="BX97" s="139">
        <f t="shared" si="65"/>
        <v>111.79842420614726</v>
      </c>
      <c r="BY97" s="123">
        <f t="shared" si="66"/>
        <v>47.818731937678827</v>
      </c>
      <c r="BZ97" s="141">
        <f t="shared" si="67"/>
        <v>0.23245216914149433</v>
      </c>
      <c r="CA97" s="131">
        <f t="shared" si="68"/>
        <v>4.427660364599892</v>
      </c>
      <c r="CB97" s="143">
        <f t="shared" si="69"/>
        <v>3.7109222404453121E-2</v>
      </c>
      <c r="CC97" s="123">
        <f t="shared" si="70"/>
        <v>48.429780642083557</v>
      </c>
      <c r="CD97" s="131">
        <f t="shared" si="71"/>
        <v>0.20471525633730975</v>
      </c>
      <c r="CE97" s="135">
        <f t="shared" si="72"/>
        <v>0.23245216914149433</v>
      </c>
      <c r="CF97" s="92" t="str">
        <f t="shared" si="73"/>
        <v>OK</v>
      </c>
      <c r="CG97" s="50"/>
      <c r="DA97" s="111"/>
      <c r="DB97" s="111"/>
      <c r="DC97" s="111"/>
      <c r="DD97" s="116"/>
      <c r="DE97" s="120"/>
      <c r="DF97" s="121"/>
      <c r="DG97" s="121"/>
      <c r="DH97" s="121"/>
      <c r="DI97" s="121"/>
      <c r="DJ97" s="121"/>
      <c r="DK97" s="122"/>
      <c r="DL97" s="123"/>
      <c r="DM97" s="123"/>
      <c r="DN97" s="123"/>
      <c r="DO97" s="123"/>
      <c r="DP97" s="123"/>
      <c r="DQ97" s="111"/>
      <c r="DR97" s="120"/>
      <c r="DS97" s="120"/>
      <c r="DT97" s="120"/>
      <c r="DU97" s="120"/>
      <c r="DV97" s="120"/>
      <c r="DW97" s="120"/>
      <c r="DX97" s="120"/>
      <c r="DY97" s="120"/>
      <c r="DZ97" s="120"/>
      <c r="EA97" s="122"/>
      <c r="EB97" s="122"/>
      <c r="EC97" s="122"/>
      <c r="ED97" s="122"/>
      <c r="EE97" s="122"/>
      <c r="EF97" s="122"/>
      <c r="EG97" s="122"/>
      <c r="EH97" s="122"/>
      <c r="EI97" s="122"/>
      <c r="EJ97" s="122"/>
      <c r="EK97" s="131"/>
      <c r="EL97" s="122"/>
      <c r="EM97" s="276"/>
      <c r="EN97" s="276"/>
      <c r="EO97" s="135"/>
      <c r="EP97" s="136"/>
      <c r="EQ97" s="137"/>
      <c r="ER97" s="276"/>
      <c r="ES97" s="276"/>
      <c r="ET97" s="276"/>
      <c r="EU97" s="276"/>
      <c r="EV97" s="139"/>
      <c r="EW97" s="131"/>
      <c r="EX97" s="139"/>
      <c r="EY97" s="123"/>
      <c r="EZ97" s="141"/>
      <c r="FA97" s="131"/>
      <c r="FB97" s="143"/>
      <c r="FC97" s="123"/>
      <c r="FD97" s="131"/>
      <c r="FE97" s="276"/>
      <c r="FF97" s="276"/>
      <c r="FG97" s="50"/>
    </row>
    <row r="98" spans="8:163">
      <c r="H98" s="339" t="s">
        <v>137</v>
      </c>
      <c r="I98" s="339"/>
      <c r="J98" s="339"/>
      <c r="K98" s="49" t="s">
        <v>132</v>
      </c>
      <c r="L98" s="260" t="s">
        <v>128</v>
      </c>
      <c r="M98" s="260" t="s">
        <v>129</v>
      </c>
      <c r="N98" s="260" t="s">
        <v>130</v>
      </c>
      <c r="O98" s="260" t="s">
        <v>27</v>
      </c>
      <c r="P98" s="260" t="s">
        <v>133</v>
      </c>
      <c r="Q98" s="260" t="s">
        <v>90</v>
      </c>
      <c r="R98" s="340"/>
      <c r="S98" s="341"/>
      <c r="T98" s="50"/>
      <c r="AA98" s="111" t="s">
        <v>245</v>
      </c>
      <c r="AB98" s="111" t="s">
        <v>312</v>
      </c>
      <c r="AC98" s="111">
        <v>46</v>
      </c>
      <c r="AD98" s="116">
        <v>2.6850000000000001</v>
      </c>
      <c r="AE98" s="120">
        <v>1100</v>
      </c>
      <c r="AF98" s="121">
        <v>350</v>
      </c>
      <c r="AG98" s="121">
        <v>14</v>
      </c>
      <c r="AH98" s="121">
        <v>18.000000000000004</v>
      </c>
      <c r="AI98" s="121">
        <v>1064</v>
      </c>
      <c r="AJ98" s="64" t="str" cm="1">
        <f t="array" ref="AJ98">_xll.Dce_Name_SectI(AE98, AE98, AF98, AG98, AH98, "x", "-", "H Tổng")</f>
        <v>1100x350x14x18</v>
      </c>
      <c r="AK98" s="122">
        <f t="shared" si="40"/>
        <v>1360</v>
      </c>
      <c r="AL98" s="123">
        <f t="shared" si="41"/>
        <v>350</v>
      </c>
      <c r="AM98" s="123">
        <f t="shared" si="42"/>
        <v>25</v>
      </c>
      <c r="AN98" s="123">
        <f t="shared" si="43"/>
        <v>16</v>
      </c>
      <c r="AO98" s="123">
        <f t="shared" si="44"/>
        <v>27</v>
      </c>
      <c r="AP98" s="165" t="str">
        <f t="shared" si="45"/>
        <v>1360x350x25 + 16M27</v>
      </c>
      <c r="AQ98" s="111" t="s">
        <v>323</v>
      </c>
      <c r="AR98" s="120">
        <v>0</v>
      </c>
      <c r="AS98" s="120">
        <v>294.38610315267806</v>
      </c>
      <c r="AT98" s="120">
        <v>-5.8207660913467402E-15</v>
      </c>
      <c r="AU98" s="120">
        <v>-2.1345300492149034E-3</v>
      </c>
      <c r="AV98" s="120">
        <v>1.717125996947288E-15</v>
      </c>
      <c r="AW98" s="120">
        <v>-862.18791109566223</v>
      </c>
      <c r="AX98" s="120"/>
      <c r="AY98" s="120"/>
      <c r="AZ98" s="120"/>
      <c r="BA98" s="122">
        <f t="shared" si="46"/>
        <v>60</v>
      </c>
      <c r="BB98" s="122">
        <f t="shared" si="47"/>
        <v>70</v>
      </c>
      <c r="BC98" s="122">
        <f t="shared" si="48"/>
        <v>80</v>
      </c>
      <c r="BD98" s="122">
        <f t="shared" si="49"/>
        <v>160</v>
      </c>
      <c r="BE98" s="122">
        <f>VLOOKUP(AO98,Data!$V$4:$Z$15,3,FALSE)</f>
        <v>572.55526111673976</v>
      </c>
      <c r="BF98" s="122">
        <f>VLOOKUP(AO98,Data!$V$4:$Z$15,4,FALSE)</f>
        <v>459</v>
      </c>
      <c r="BG98" s="163">
        <f t="shared" si="50"/>
        <v>180</v>
      </c>
      <c r="BH98" s="122">
        <f t="shared" si="51"/>
        <v>153.97156081951366</v>
      </c>
      <c r="BI98" s="122">
        <f t="shared" si="52"/>
        <v>273.375</v>
      </c>
      <c r="BJ98" s="163">
        <f t="shared" si="53"/>
        <v>185.06880000000001</v>
      </c>
      <c r="BK98" s="131">
        <f t="shared" si="54"/>
        <v>18.399131447042379</v>
      </c>
      <c r="BL98" s="134">
        <f t="shared" si="55"/>
        <v>0.85037037037037044</v>
      </c>
      <c r="BM98" s="135">
        <f t="shared" si="56"/>
        <v>0.14052341331670398</v>
      </c>
      <c r="BN98" s="92" t="str">
        <f t="shared" si="57"/>
        <v>OK</v>
      </c>
      <c r="BO98" s="135">
        <f>_xll.DCEBoltDisRS(AN98, AE98, BA98, BB98, BC98, BD98, "h1")</f>
        <v>1240</v>
      </c>
      <c r="BP98" s="136">
        <f>_xll.DCEBoltDisRS(AN98, AE98, BA98, BB98, BC98, BD98, "Tong")</f>
        <v>4523000</v>
      </c>
      <c r="BQ98" s="137">
        <f t="shared" si="58"/>
        <v>118.18627125344032</v>
      </c>
      <c r="BR98" s="135">
        <f t="shared" si="59"/>
        <v>0.63860721663208664</v>
      </c>
      <c r="BS98" s="64" t="str">
        <f t="shared" si="60"/>
        <v>OK</v>
      </c>
      <c r="BT98" s="131">
        <f t="shared" si="61"/>
        <v>0.64969123242010418</v>
      </c>
      <c r="BU98" s="92" t="str">
        <f t="shared" si="62"/>
        <v>OK</v>
      </c>
      <c r="BV98" s="139">
        <f t="shared" si="63"/>
        <v>796.84649823998348</v>
      </c>
      <c r="BW98" s="131">
        <f t="shared" si="64"/>
        <v>17.929046210399626</v>
      </c>
      <c r="BX98" s="139">
        <f t="shared" si="65"/>
        <v>398.42324911999174</v>
      </c>
      <c r="BY98" s="123">
        <f t="shared" si="66"/>
        <v>126.55797324987971</v>
      </c>
      <c r="BZ98" s="141">
        <f t="shared" si="67"/>
        <v>0.61521236996469308</v>
      </c>
      <c r="CA98" s="131">
        <f t="shared" si="68"/>
        <v>11.718330856470345</v>
      </c>
      <c r="CB98" s="143">
        <f t="shared" si="69"/>
        <v>9.8213979879421001E-2</v>
      </c>
      <c r="CC98" s="123">
        <f t="shared" si="70"/>
        <v>128.17518647266476</v>
      </c>
      <c r="CD98" s="131">
        <f t="shared" si="71"/>
        <v>0.54180332446174728</v>
      </c>
      <c r="CE98" s="135">
        <f t="shared" si="72"/>
        <v>0.61521236996469308</v>
      </c>
      <c r="CF98" s="92" t="str">
        <f t="shared" si="73"/>
        <v>OK</v>
      </c>
      <c r="CG98" s="50"/>
      <c r="DA98" s="111"/>
      <c r="DB98" s="111"/>
      <c r="DC98" s="111"/>
      <c r="DD98" s="116"/>
      <c r="DE98" s="120"/>
      <c r="DF98" s="121"/>
      <c r="DG98" s="121"/>
      <c r="DH98" s="121"/>
      <c r="DI98" s="121"/>
      <c r="DJ98" s="121"/>
      <c r="DK98" s="122"/>
      <c r="DL98" s="123"/>
      <c r="DM98" s="123"/>
      <c r="DN98" s="123"/>
      <c r="DO98" s="123"/>
      <c r="DP98" s="123"/>
      <c r="DQ98" s="111"/>
      <c r="DR98" s="120"/>
      <c r="DS98" s="120"/>
      <c r="DT98" s="120"/>
      <c r="DU98" s="120"/>
      <c r="DV98" s="120"/>
      <c r="DW98" s="120"/>
      <c r="DX98" s="120"/>
      <c r="DY98" s="120"/>
      <c r="DZ98" s="120"/>
      <c r="EA98" s="122"/>
      <c r="EB98" s="122"/>
      <c r="EC98" s="122"/>
      <c r="ED98" s="122"/>
      <c r="EE98" s="122"/>
      <c r="EF98" s="122"/>
      <c r="EG98" s="122"/>
      <c r="EH98" s="122"/>
      <c r="EI98" s="122"/>
      <c r="EJ98" s="122"/>
      <c r="EK98" s="131"/>
      <c r="EL98" s="122"/>
      <c r="EM98" s="276"/>
      <c r="EN98" s="276"/>
      <c r="EO98" s="135"/>
      <c r="EP98" s="136"/>
      <c r="EQ98" s="137"/>
      <c r="ER98" s="276"/>
      <c r="ES98" s="276"/>
      <c r="ET98" s="276"/>
      <c r="EU98" s="276"/>
      <c r="EV98" s="139"/>
      <c r="EW98" s="131"/>
      <c r="EX98" s="139"/>
      <c r="EY98" s="123"/>
      <c r="EZ98" s="141"/>
      <c r="FA98" s="131"/>
      <c r="FB98" s="143"/>
      <c r="FC98" s="123"/>
      <c r="FD98" s="131"/>
      <c r="FE98" s="276"/>
      <c r="FF98" s="276"/>
      <c r="FG98" s="50"/>
    </row>
    <row r="99" spans="8:163">
      <c r="H99" s="337" t="s">
        <v>125</v>
      </c>
      <c r="I99" s="337"/>
      <c r="J99" s="337"/>
      <c r="K99" s="260">
        <v>2</v>
      </c>
      <c r="L99" s="260">
        <f>R43-10</f>
        <v>290</v>
      </c>
      <c r="M99" s="260">
        <f>R57</f>
        <v>8</v>
      </c>
      <c r="N99" s="260">
        <f>R42/2+R57/2</f>
        <v>254</v>
      </c>
      <c r="O99" s="260">
        <f>K99*L99*M99</f>
        <v>4640</v>
      </c>
      <c r="P99" s="264">
        <f>K99*(L99*M99^3/12+O99*N99^2)</f>
        <v>598733226.66666663</v>
      </c>
      <c r="Q99" s="264">
        <f>P99/N99</f>
        <v>2357217.4278215221</v>
      </c>
      <c r="R99" s="342"/>
      <c r="S99" s="343"/>
      <c r="T99" s="50"/>
      <c r="AA99" s="111" t="s">
        <v>245</v>
      </c>
      <c r="AB99" s="111" t="s">
        <v>312</v>
      </c>
      <c r="AC99" s="111">
        <v>46</v>
      </c>
      <c r="AD99" s="116">
        <v>0</v>
      </c>
      <c r="AE99" s="120">
        <v>750</v>
      </c>
      <c r="AF99" s="121">
        <v>350</v>
      </c>
      <c r="AG99" s="121">
        <v>14</v>
      </c>
      <c r="AH99" s="121">
        <v>18.000000000000004</v>
      </c>
      <c r="AI99" s="121">
        <v>714</v>
      </c>
      <c r="AJ99" s="64" t="str" cm="1">
        <f t="array" ref="AJ99">_xll.Dce_Name_SectI(AE99, AE99, AF99, AG99, AH99, "x", "-", "H Tổng")</f>
        <v>750x350x14x18</v>
      </c>
      <c r="AK99" s="122">
        <f t="shared" si="40"/>
        <v>1010</v>
      </c>
      <c r="AL99" s="123">
        <f t="shared" si="41"/>
        <v>350</v>
      </c>
      <c r="AM99" s="123">
        <f t="shared" si="42"/>
        <v>25</v>
      </c>
      <c r="AN99" s="123">
        <f t="shared" si="43"/>
        <v>12</v>
      </c>
      <c r="AO99" s="123">
        <f t="shared" si="44"/>
        <v>24</v>
      </c>
      <c r="AP99" s="165" t="str">
        <f t="shared" si="45"/>
        <v>1010x350x25 + 12M24</v>
      </c>
      <c r="AQ99" s="111" t="s">
        <v>324</v>
      </c>
      <c r="AR99" s="120">
        <v>0</v>
      </c>
      <c r="AS99" s="120">
        <v>521.73959134478559</v>
      </c>
      <c r="AT99" s="120">
        <v>-5.5297277867794024E-14</v>
      </c>
      <c r="AU99" s="120">
        <v>-4.6067815847957898E-3</v>
      </c>
      <c r="AV99" s="120">
        <v>5.5250711739063249E-14</v>
      </c>
      <c r="AW99" s="120">
        <v>-451.77386378210514</v>
      </c>
      <c r="AX99" s="120"/>
      <c r="AY99" s="120"/>
      <c r="AZ99" s="120"/>
      <c r="BA99" s="122">
        <f t="shared" si="46"/>
        <v>60</v>
      </c>
      <c r="BB99" s="122">
        <f t="shared" si="47"/>
        <v>70</v>
      </c>
      <c r="BC99" s="122">
        <f t="shared" si="48"/>
        <v>80</v>
      </c>
      <c r="BD99" s="122">
        <f t="shared" si="49"/>
        <v>150</v>
      </c>
      <c r="BE99" s="122">
        <f>VLOOKUP(AO99,Data!$V$4:$Z$15,3,FALSE)</f>
        <v>452.38934211693021</v>
      </c>
      <c r="BF99" s="122">
        <f>VLOOKUP(AO99,Data!$V$4:$Z$15,4,FALSE)</f>
        <v>353</v>
      </c>
      <c r="BG99" s="163">
        <f t="shared" si="50"/>
        <v>180</v>
      </c>
      <c r="BH99" s="122">
        <f t="shared" si="51"/>
        <v>121.65654188208487</v>
      </c>
      <c r="BI99" s="122">
        <f t="shared" si="52"/>
        <v>243</v>
      </c>
      <c r="BJ99" s="163">
        <f t="shared" si="53"/>
        <v>142.3296</v>
      </c>
      <c r="BK99" s="131">
        <f t="shared" si="54"/>
        <v>43.478299278732131</v>
      </c>
      <c r="BL99" s="134">
        <f t="shared" si="55"/>
        <v>0.89458333333333329</v>
      </c>
      <c r="BM99" s="135">
        <f t="shared" si="56"/>
        <v>0.39949953444390518</v>
      </c>
      <c r="BN99" s="92" t="str">
        <f t="shared" si="57"/>
        <v>OK</v>
      </c>
      <c r="BO99" s="135">
        <f>_xll.DCEBoltDisRS(AN99, AE99, BA99, BB99, BC99, BD99, "h1")</f>
        <v>890</v>
      </c>
      <c r="BP99" s="136">
        <f>_xll.DCEBoltDisRS(AN99, AE99, BA99, BB99, BC99, BD99, "Tong")</f>
        <v>1800300</v>
      </c>
      <c r="BQ99" s="137">
        <f t="shared" si="58"/>
        <v>111.66992689164961</v>
      </c>
      <c r="BR99" s="135">
        <f t="shared" si="59"/>
        <v>0.78458681041504796</v>
      </c>
      <c r="BS99" s="64" t="str">
        <f t="shared" si="60"/>
        <v>OK</v>
      </c>
      <c r="BT99" s="131">
        <f t="shared" si="61"/>
        <v>0.86214902897830581</v>
      </c>
      <c r="BU99" s="92" t="str">
        <f t="shared" si="62"/>
        <v>OK</v>
      </c>
      <c r="BV99" s="139">
        <f t="shared" si="63"/>
        <v>617.17740953839507</v>
      </c>
      <c r="BW99" s="131">
        <f t="shared" si="64"/>
        <v>13.886491714613889</v>
      </c>
      <c r="BX99" s="139">
        <f t="shared" si="65"/>
        <v>308.58870476919753</v>
      </c>
      <c r="BY99" s="123">
        <f t="shared" si="66"/>
        <v>131.99041629732014</v>
      </c>
      <c r="BZ99" s="141">
        <f t="shared" si="67"/>
        <v>0.64162007922308406</v>
      </c>
      <c r="CA99" s="131">
        <f t="shared" si="68"/>
        <v>12.221334842344458</v>
      </c>
      <c r="CB99" s="143">
        <f t="shared" si="69"/>
        <v>0.10242976999091381</v>
      </c>
      <c r="CC99" s="123">
        <f t="shared" si="70"/>
        <v>133.67704765712767</v>
      </c>
      <c r="CD99" s="131">
        <f t="shared" si="71"/>
        <v>0.56505998405790692</v>
      </c>
      <c r="CE99" s="135">
        <f t="shared" si="72"/>
        <v>0.64162007922308406</v>
      </c>
      <c r="CF99" s="92" t="str">
        <f t="shared" si="73"/>
        <v>OK</v>
      </c>
      <c r="CG99" s="50"/>
      <c r="DA99" s="111"/>
      <c r="DB99" s="111"/>
      <c r="DC99" s="111"/>
      <c r="DD99" s="116"/>
      <c r="DE99" s="120"/>
      <c r="DF99" s="121"/>
      <c r="DG99" s="121"/>
      <c r="DH99" s="121"/>
      <c r="DI99" s="121"/>
      <c r="DJ99" s="121"/>
      <c r="DK99" s="122"/>
      <c r="DL99" s="123"/>
      <c r="DM99" s="123"/>
      <c r="DN99" s="123"/>
      <c r="DO99" s="123"/>
      <c r="DP99" s="123"/>
      <c r="DQ99" s="111"/>
      <c r="DR99" s="120"/>
      <c r="DS99" s="120"/>
      <c r="DT99" s="120"/>
      <c r="DU99" s="120"/>
      <c r="DV99" s="120"/>
      <c r="DW99" s="120"/>
      <c r="DX99" s="120"/>
      <c r="DY99" s="120"/>
      <c r="DZ99" s="120"/>
      <c r="EA99" s="122"/>
      <c r="EB99" s="122"/>
      <c r="EC99" s="122"/>
      <c r="ED99" s="122"/>
      <c r="EE99" s="122"/>
      <c r="EF99" s="122"/>
      <c r="EG99" s="122"/>
      <c r="EH99" s="122"/>
      <c r="EI99" s="122"/>
      <c r="EJ99" s="122"/>
      <c r="EK99" s="131"/>
      <c r="EL99" s="122"/>
      <c r="EM99" s="276"/>
      <c r="EN99" s="276"/>
      <c r="EO99" s="135"/>
      <c r="EP99" s="136"/>
      <c r="EQ99" s="137"/>
      <c r="ER99" s="276"/>
      <c r="ES99" s="276"/>
      <c r="ET99" s="276"/>
      <c r="EU99" s="276"/>
      <c r="EV99" s="139"/>
      <c r="EW99" s="131"/>
      <c r="EX99" s="139"/>
      <c r="EY99" s="123"/>
      <c r="EZ99" s="141"/>
      <c r="FA99" s="131"/>
      <c r="FB99" s="143"/>
      <c r="FC99" s="123"/>
      <c r="FD99" s="131"/>
      <c r="FE99" s="276"/>
      <c r="FF99" s="276"/>
      <c r="FG99" s="50"/>
    </row>
    <row r="100" spans="8:163">
      <c r="H100" s="337" t="s">
        <v>126</v>
      </c>
      <c r="I100" s="337"/>
      <c r="J100" s="337"/>
      <c r="K100" s="260">
        <v>4</v>
      </c>
      <c r="L100" s="260">
        <f>(R43-R44)/2-10</f>
        <v>135</v>
      </c>
      <c r="M100" s="260">
        <f>R57</f>
        <v>8</v>
      </c>
      <c r="N100" s="260">
        <f>R42/2-R45-R57/2</f>
        <v>232</v>
      </c>
      <c r="O100" s="260">
        <f t="shared" ref="O100:O101" si="74">K100*L100*M100</f>
        <v>4320</v>
      </c>
      <c r="P100" s="264">
        <f>K100*(L100*M100^3/12+O100*N100^2)</f>
        <v>930101760</v>
      </c>
      <c r="Q100" s="264">
        <f>P100/N100</f>
        <v>4009059.3103448274</v>
      </c>
      <c r="R100" s="342"/>
      <c r="S100" s="343"/>
      <c r="T100" s="50"/>
      <c r="AA100" s="111" t="s">
        <v>245</v>
      </c>
      <c r="AB100" s="111" t="s">
        <v>312</v>
      </c>
      <c r="AC100" s="111">
        <v>46</v>
      </c>
      <c r="AD100" s="116">
        <v>2.6850000000000001</v>
      </c>
      <c r="AE100" s="120">
        <v>1100</v>
      </c>
      <c r="AF100" s="121">
        <v>350</v>
      </c>
      <c r="AG100" s="121">
        <v>14</v>
      </c>
      <c r="AH100" s="121">
        <v>18.000000000000004</v>
      </c>
      <c r="AI100" s="121">
        <v>1064</v>
      </c>
      <c r="AJ100" s="64" t="str" cm="1">
        <f t="array" ref="AJ100">_xll.Dce_Name_SectI(AE100, AE100, AF100, AG100, AH100, "x", "-", "H Tổng")</f>
        <v>1100x350x14x18</v>
      </c>
      <c r="AK100" s="122">
        <f t="shared" si="40"/>
        <v>1360</v>
      </c>
      <c r="AL100" s="123">
        <f t="shared" si="41"/>
        <v>350</v>
      </c>
      <c r="AM100" s="123">
        <f t="shared" si="42"/>
        <v>25</v>
      </c>
      <c r="AN100" s="123">
        <f t="shared" si="43"/>
        <v>16</v>
      </c>
      <c r="AO100" s="123">
        <f t="shared" si="44"/>
        <v>27</v>
      </c>
      <c r="AP100" s="165" t="str">
        <f t="shared" si="45"/>
        <v>1360x350x25 + 16M27</v>
      </c>
      <c r="AQ100" s="111" t="s">
        <v>324</v>
      </c>
      <c r="AR100" s="120">
        <v>0</v>
      </c>
      <c r="AS100" s="120">
        <v>700.03798868524984</v>
      </c>
      <c r="AT100" s="120">
        <v>-1.2846612662542609E-14</v>
      </c>
      <c r="AU100" s="120">
        <v>-4.6060953306744368E-3</v>
      </c>
      <c r="AV100" s="120">
        <v>6.8420672505453669E-14</v>
      </c>
      <c r="AW100" s="120">
        <v>-2119.7020249379357</v>
      </c>
      <c r="AX100" s="120"/>
      <c r="AY100" s="120"/>
      <c r="AZ100" s="120"/>
      <c r="BA100" s="122">
        <f t="shared" si="46"/>
        <v>60</v>
      </c>
      <c r="BB100" s="122">
        <f t="shared" si="47"/>
        <v>70</v>
      </c>
      <c r="BC100" s="122">
        <f t="shared" si="48"/>
        <v>80</v>
      </c>
      <c r="BD100" s="122">
        <f t="shared" si="49"/>
        <v>160</v>
      </c>
      <c r="BE100" s="122">
        <f>VLOOKUP(AO100,Data!$V$4:$Z$15,3,FALSE)</f>
        <v>572.55526111673976</v>
      </c>
      <c r="BF100" s="122">
        <f>VLOOKUP(AO100,Data!$V$4:$Z$15,4,FALSE)</f>
        <v>459</v>
      </c>
      <c r="BG100" s="163">
        <f t="shared" si="50"/>
        <v>180</v>
      </c>
      <c r="BH100" s="122">
        <f t="shared" si="51"/>
        <v>153.97156081951366</v>
      </c>
      <c r="BI100" s="122">
        <f t="shared" si="52"/>
        <v>273.375</v>
      </c>
      <c r="BJ100" s="163">
        <f t="shared" si="53"/>
        <v>185.06880000000001</v>
      </c>
      <c r="BK100" s="131">
        <f t="shared" si="54"/>
        <v>43.752374292828115</v>
      </c>
      <c r="BL100" s="134">
        <f t="shared" si="55"/>
        <v>0.85037037037037044</v>
      </c>
      <c r="BM100" s="135">
        <f t="shared" si="56"/>
        <v>0.33415887016376172</v>
      </c>
      <c r="BN100" s="92" t="str">
        <f t="shared" si="57"/>
        <v>OK</v>
      </c>
      <c r="BO100" s="135">
        <f>_xll.DCEBoltDisRS(AN100, AE100, BA100, BB100, BC100, BD100, "h1")</f>
        <v>1240</v>
      </c>
      <c r="BP100" s="136">
        <f>_xll.DCEBoltDisRS(AN100, AE100, BA100, BB100, BC100, BD100, "Tong")</f>
        <v>4523000</v>
      </c>
      <c r="BQ100" s="137">
        <f t="shared" si="58"/>
        <v>290.56273611795717</v>
      </c>
      <c r="BR100" s="135">
        <f t="shared" si="59"/>
        <v>1.5700255046661413</v>
      </c>
      <c r="BS100" s="64" t="str">
        <f t="shared" si="60"/>
        <v>O/S</v>
      </c>
      <c r="BT100" s="131">
        <f t="shared" si="61"/>
        <v>1.5955332369338624</v>
      </c>
      <c r="BU100" s="92" t="str">
        <f t="shared" si="62"/>
        <v>O/S</v>
      </c>
      <c r="BV100" s="139">
        <f t="shared" si="63"/>
        <v>1959.0591727707351</v>
      </c>
      <c r="BW100" s="131">
        <f t="shared" si="64"/>
        <v>44.078831387341538</v>
      </c>
      <c r="BX100" s="139">
        <f t="shared" si="65"/>
        <v>979.52958638536757</v>
      </c>
      <c r="BY100" s="123">
        <f t="shared" si="66"/>
        <v>311.14469214594027</v>
      </c>
      <c r="BZ100" s="141">
        <f t="shared" si="67"/>
        <v>1.5125089201538764</v>
      </c>
      <c r="CA100" s="131">
        <f t="shared" si="68"/>
        <v>28.809693717216692</v>
      </c>
      <c r="CB100" s="143">
        <f t="shared" si="69"/>
        <v>0.24146055558012078</v>
      </c>
      <c r="CC100" s="123">
        <f t="shared" si="70"/>
        <v>315.12063532373037</v>
      </c>
      <c r="CD100" s="131">
        <f t="shared" si="71"/>
        <v>1.332031671054416</v>
      </c>
      <c r="CE100" s="135">
        <f t="shared" si="72"/>
        <v>1.5125089201538764</v>
      </c>
      <c r="CF100" s="92" t="str">
        <f t="shared" si="73"/>
        <v>O/S</v>
      </c>
      <c r="CG100" s="50"/>
      <c r="DA100" s="111"/>
      <c r="DB100" s="111"/>
      <c r="DC100" s="111"/>
      <c r="DD100" s="116"/>
      <c r="DE100" s="120"/>
      <c r="DF100" s="121"/>
      <c r="DG100" s="121"/>
      <c r="DH100" s="121"/>
      <c r="DI100" s="121"/>
      <c r="DJ100" s="121"/>
      <c r="DK100" s="122"/>
      <c r="DL100" s="123"/>
      <c r="DM100" s="123"/>
      <c r="DN100" s="123"/>
      <c r="DO100" s="123"/>
      <c r="DP100" s="123"/>
      <c r="DQ100" s="111"/>
      <c r="DR100" s="120"/>
      <c r="DS100" s="120"/>
      <c r="DT100" s="120"/>
      <c r="DU100" s="120"/>
      <c r="DV100" s="120"/>
      <c r="DW100" s="120"/>
      <c r="DX100" s="120"/>
      <c r="DY100" s="120"/>
      <c r="DZ100" s="120"/>
      <c r="EA100" s="122"/>
      <c r="EB100" s="122"/>
      <c r="EC100" s="122"/>
      <c r="ED100" s="122"/>
      <c r="EE100" s="122"/>
      <c r="EF100" s="122"/>
      <c r="EG100" s="122"/>
      <c r="EH100" s="122"/>
      <c r="EI100" s="122"/>
      <c r="EJ100" s="122"/>
      <c r="EK100" s="131"/>
      <c r="EL100" s="122"/>
      <c r="EM100" s="276"/>
      <c r="EN100" s="276"/>
      <c r="EO100" s="135"/>
      <c r="EP100" s="136"/>
      <c r="EQ100" s="137"/>
      <c r="ER100" s="276"/>
      <c r="ES100" s="276"/>
      <c r="ET100" s="276"/>
      <c r="EU100" s="276"/>
      <c r="EV100" s="139"/>
      <c r="EW100" s="131"/>
      <c r="EX100" s="139"/>
      <c r="EY100" s="123"/>
      <c r="EZ100" s="141"/>
      <c r="FA100" s="131"/>
      <c r="FB100" s="143"/>
      <c r="FC100" s="123"/>
      <c r="FD100" s="131"/>
      <c r="FE100" s="276"/>
      <c r="FF100" s="276"/>
      <c r="FG100" s="50"/>
    </row>
    <row r="101" spans="8:163">
      <c r="H101" s="338" t="s">
        <v>127</v>
      </c>
      <c r="I101" s="338"/>
      <c r="J101" s="338"/>
      <c r="K101" s="261">
        <v>2</v>
      </c>
      <c r="L101" s="261">
        <f>R58</f>
        <v>6</v>
      </c>
      <c r="M101" s="261">
        <f>R42-2*R45-10</f>
        <v>462</v>
      </c>
      <c r="N101" s="261">
        <v>0</v>
      </c>
      <c r="O101" s="261">
        <f t="shared" si="74"/>
        <v>5544</v>
      </c>
      <c r="P101" s="265">
        <f>K101*(L101*M101^3/12)</f>
        <v>98611128</v>
      </c>
      <c r="Q101" s="265">
        <f>P101/(M101/2)</f>
        <v>426888</v>
      </c>
      <c r="R101" s="344"/>
      <c r="S101" s="343"/>
      <c r="T101" s="50"/>
      <c r="AA101" s="111" t="s">
        <v>245</v>
      </c>
      <c r="AB101" s="111" t="s">
        <v>312</v>
      </c>
      <c r="AC101" s="111">
        <v>46</v>
      </c>
      <c r="AD101" s="116">
        <v>0</v>
      </c>
      <c r="AE101" s="120">
        <v>750</v>
      </c>
      <c r="AF101" s="121">
        <v>350</v>
      </c>
      <c r="AG101" s="121">
        <v>14</v>
      </c>
      <c r="AH101" s="121">
        <v>18.000000000000004</v>
      </c>
      <c r="AI101" s="121">
        <v>714</v>
      </c>
      <c r="AJ101" s="64" t="str" cm="1">
        <f t="array" ref="AJ101">_xll.Dce_Name_SectI(AE101, AE101, AF101, AG101, AH101, "x", "-", "H Tổng")</f>
        <v>750x350x14x18</v>
      </c>
      <c r="AK101" s="122">
        <f t="shared" si="40"/>
        <v>1010</v>
      </c>
      <c r="AL101" s="123">
        <f t="shared" si="41"/>
        <v>350</v>
      </c>
      <c r="AM101" s="123">
        <f t="shared" si="42"/>
        <v>25</v>
      </c>
      <c r="AN101" s="123">
        <f t="shared" si="43"/>
        <v>12</v>
      </c>
      <c r="AO101" s="123">
        <f t="shared" si="44"/>
        <v>24</v>
      </c>
      <c r="AP101" s="165" t="str">
        <f t="shared" si="45"/>
        <v>1010x350x25 + 12M24</v>
      </c>
      <c r="AQ101" s="111" t="s">
        <v>325</v>
      </c>
      <c r="AR101" s="120">
        <v>0</v>
      </c>
      <c r="AS101" s="120">
        <v>522.79614789332527</v>
      </c>
      <c r="AT101" s="120">
        <v>-5.2095856517553317E-13</v>
      </c>
      <c r="AU101" s="120">
        <v>-4.5997229461084803E-3</v>
      </c>
      <c r="AV101" s="120">
        <v>-1.8316786736249921E-13</v>
      </c>
      <c r="AW101" s="120">
        <v>-451.94774445333695</v>
      </c>
      <c r="AX101" s="120"/>
      <c r="AY101" s="120"/>
      <c r="AZ101" s="120"/>
      <c r="BA101" s="122">
        <f t="shared" si="46"/>
        <v>60</v>
      </c>
      <c r="BB101" s="122">
        <f t="shared" si="47"/>
        <v>70</v>
      </c>
      <c r="BC101" s="122">
        <f t="shared" si="48"/>
        <v>80</v>
      </c>
      <c r="BD101" s="122">
        <f t="shared" si="49"/>
        <v>150</v>
      </c>
      <c r="BE101" s="122">
        <f>VLOOKUP(AO101,Data!$V$4:$Z$15,3,FALSE)</f>
        <v>452.38934211693021</v>
      </c>
      <c r="BF101" s="122">
        <f>VLOOKUP(AO101,Data!$V$4:$Z$15,4,FALSE)</f>
        <v>353</v>
      </c>
      <c r="BG101" s="163">
        <f t="shared" si="50"/>
        <v>180</v>
      </c>
      <c r="BH101" s="122">
        <f t="shared" si="51"/>
        <v>121.65654188208487</v>
      </c>
      <c r="BI101" s="122">
        <f t="shared" si="52"/>
        <v>243</v>
      </c>
      <c r="BJ101" s="163">
        <f t="shared" si="53"/>
        <v>142.3296</v>
      </c>
      <c r="BK101" s="131">
        <f t="shared" si="54"/>
        <v>43.566345657777106</v>
      </c>
      <c r="BL101" s="134">
        <f t="shared" si="55"/>
        <v>0.89458333333333329</v>
      </c>
      <c r="BM101" s="135">
        <f t="shared" si="56"/>
        <v>0.40030854694028739</v>
      </c>
      <c r="BN101" s="92" t="str">
        <f t="shared" si="57"/>
        <v>OK</v>
      </c>
      <c r="BO101" s="135">
        <f>_xll.DCEBoltDisRS(AN101, AE101, BA101, BB101, BC101, BD101, "h1")</f>
        <v>890</v>
      </c>
      <c r="BP101" s="136">
        <f>_xll.DCEBoltDisRS(AN101, AE101, BA101, BB101, BC101, BD101, "Tong")</f>
        <v>1800300</v>
      </c>
      <c r="BQ101" s="137">
        <f t="shared" si="58"/>
        <v>111.71290689425926</v>
      </c>
      <c r="BR101" s="135">
        <f t="shared" si="59"/>
        <v>0.78488878556715724</v>
      </c>
      <c r="BS101" s="64" t="str">
        <f t="shared" si="60"/>
        <v>OK</v>
      </c>
      <c r="BT101" s="131">
        <f t="shared" si="61"/>
        <v>0.86272400878528399</v>
      </c>
      <c r="BU101" s="92" t="str">
        <f t="shared" si="62"/>
        <v>OK</v>
      </c>
      <c r="BV101" s="139">
        <f t="shared" si="63"/>
        <v>617.41495143898487</v>
      </c>
      <c r="BW101" s="131">
        <f t="shared" si="64"/>
        <v>13.891836407377159</v>
      </c>
      <c r="BX101" s="139">
        <f t="shared" si="65"/>
        <v>308.70747571949244</v>
      </c>
      <c r="BY101" s="123">
        <f t="shared" si="66"/>
        <v>132.04121733744628</v>
      </c>
      <c r="BZ101" s="141">
        <f t="shared" si="67"/>
        <v>0.64186702872369727</v>
      </c>
      <c r="CA101" s="131">
        <f t="shared" si="68"/>
        <v>12.226038642356135</v>
      </c>
      <c r="CB101" s="143">
        <f t="shared" si="69"/>
        <v>0.1024691936021228</v>
      </c>
      <c r="CC101" s="123">
        <f t="shared" si="70"/>
        <v>133.7284978551987</v>
      </c>
      <c r="CD101" s="131">
        <f t="shared" si="71"/>
        <v>0.56527746677922164</v>
      </c>
      <c r="CE101" s="135">
        <f t="shared" si="72"/>
        <v>0.64186702872369727</v>
      </c>
      <c r="CF101" s="92" t="str">
        <f t="shared" si="73"/>
        <v>OK</v>
      </c>
      <c r="CG101" s="50"/>
      <c r="DA101" s="111"/>
      <c r="DB101" s="111"/>
      <c r="DC101" s="111"/>
      <c r="DD101" s="116"/>
      <c r="DE101" s="120"/>
      <c r="DF101" s="121"/>
      <c r="DG101" s="121"/>
      <c r="DH101" s="121"/>
      <c r="DI101" s="121"/>
      <c r="DJ101" s="121"/>
      <c r="DK101" s="122"/>
      <c r="DL101" s="123"/>
      <c r="DM101" s="123"/>
      <c r="DN101" s="123"/>
      <c r="DO101" s="123"/>
      <c r="DP101" s="123"/>
      <c r="DQ101" s="111"/>
      <c r="DR101" s="120"/>
      <c r="DS101" s="120"/>
      <c r="DT101" s="120"/>
      <c r="DU101" s="120"/>
      <c r="DV101" s="120"/>
      <c r="DW101" s="120"/>
      <c r="DX101" s="120"/>
      <c r="DY101" s="120"/>
      <c r="DZ101" s="120"/>
      <c r="EA101" s="122"/>
      <c r="EB101" s="122"/>
      <c r="EC101" s="122"/>
      <c r="ED101" s="122"/>
      <c r="EE101" s="122"/>
      <c r="EF101" s="122"/>
      <c r="EG101" s="122"/>
      <c r="EH101" s="122"/>
      <c r="EI101" s="122"/>
      <c r="EJ101" s="122"/>
      <c r="EK101" s="131"/>
      <c r="EL101" s="122"/>
      <c r="EM101" s="276"/>
      <c r="EN101" s="276"/>
      <c r="EO101" s="135"/>
      <c r="EP101" s="136"/>
      <c r="EQ101" s="137"/>
      <c r="ER101" s="276"/>
      <c r="ES101" s="276"/>
      <c r="ET101" s="276"/>
      <c r="EU101" s="276"/>
      <c r="EV101" s="139"/>
      <c r="EW101" s="131"/>
      <c r="EX101" s="139"/>
      <c r="EY101" s="123"/>
      <c r="EZ101" s="141"/>
      <c r="FA101" s="131"/>
      <c r="FB101" s="143"/>
      <c r="FC101" s="123"/>
      <c r="FD101" s="131"/>
      <c r="FE101" s="276"/>
      <c r="FF101" s="276"/>
      <c r="FG101" s="50"/>
    </row>
    <row r="102" spans="8:163">
      <c r="H102" s="1" t="s">
        <v>131</v>
      </c>
      <c r="S102" s="48"/>
      <c r="AA102" s="111" t="s">
        <v>245</v>
      </c>
      <c r="AB102" s="111" t="s">
        <v>312</v>
      </c>
      <c r="AC102" s="111">
        <v>46</v>
      </c>
      <c r="AD102" s="116">
        <v>2.6850000000000001</v>
      </c>
      <c r="AE102" s="120">
        <v>1100</v>
      </c>
      <c r="AF102" s="121">
        <v>350</v>
      </c>
      <c r="AG102" s="121">
        <v>14</v>
      </c>
      <c r="AH102" s="121">
        <v>18.000000000000004</v>
      </c>
      <c r="AI102" s="121">
        <v>1064</v>
      </c>
      <c r="AJ102" s="64" t="str" cm="1">
        <f t="array" ref="AJ102">_xll.Dce_Name_SectI(AE102, AE102, AF102, AG102, AH102, "x", "-", "H Tổng")</f>
        <v>1100x350x14x18</v>
      </c>
      <c r="AK102" s="122">
        <f t="shared" si="40"/>
        <v>1360</v>
      </c>
      <c r="AL102" s="123">
        <f t="shared" si="41"/>
        <v>350</v>
      </c>
      <c r="AM102" s="123">
        <f t="shared" si="42"/>
        <v>25</v>
      </c>
      <c r="AN102" s="123">
        <f t="shared" si="43"/>
        <v>16</v>
      </c>
      <c r="AO102" s="123">
        <f t="shared" si="44"/>
        <v>27</v>
      </c>
      <c r="AP102" s="165" t="str">
        <f t="shared" si="45"/>
        <v>1360x350x25 + 16M27</v>
      </c>
      <c r="AQ102" s="111" t="s">
        <v>325</v>
      </c>
      <c r="AR102" s="120">
        <v>0</v>
      </c>
      <c r="AS102" s="120">
        <v>701.09454547000621</v>
      </c>
      <c r="AT102" s="120">
        <v>-1.2846612662542609E-14</v>
      </c>
      <c r="AU102" s="120">
        <v>-4.5990371071281573E-3</v>
      </c>
      <c r="AV102" s="120">
        <v>1.2802531728084429E-13</v>
      </c>
      <c r="AW102" s="120">
        <v>-2122.7127499354697</v>
      </c>
      <c r="AX102" s="120"/>
      <c r="AY102" s="120"/>
      <c r="AZ102" s="120"/>
      <c r="BA102" s="122">
        <f t="shared" si="46"/>
        <v>60</v>
      </c>
      <c r="BB102" s="122">
        <f t="shared" si="47"/>
        <v>70</v>
      </c>
      <c r="BC102" s="122">
        <f t="shared" si="48"/>
        <v>80</v>
      </c>
      <c r="BD102" s="122">
        <f t="shared" si="49"/>
        <v>160</v>
      </c>
      <c r="BE102" s="122">
        <f>VLOOKUP(AO102,Data!$V$4:$Z$15,3,FALSE)</f>
        <v>572.55526111673976</v>
      </c>
      <c r="BF102" s="122">
        <f>VLOOKUP(AO102,Data!$V$4:$Z$15,4,FALSE)</f>
        <v>459</v>
      </c>
      <c r="BG102" s="163">
        <f t="shared" si="50"/>
        <v>180</v>
      </c>
      <c r="BH102" s="122">
        <f t="shared" si="51"/>
        <v>153.97156081951366</v>
      </c>
      <c r="BI102" s="122">
        <f t="shared" si="52"/>
        <v>273.375</v>
      </c>
      <c r="BJ102" s="163">
        <f t="shared" si="53"/>
        <v>185.06880000000001</v>
      </c>
      <c r="BK102" s="131">
        <f t="shared" si="54"/>
        <v>43.818409091875388</v>
      </c>
      <c r="BL102" s="134">
        <f t="shared" si="55"/>
        <v>0.85037037037037044</v>
      </c>
      <c r="BM102" s="135">
        <f t="shared" si="56"/>
        <v>0.33466321110977398</v>
      </c>
      <c r="BN102" s="92" t="str">
        <f t="shared" si="57"/>
        <v>OK</v>
      </c>
      <c r="BO102" s="135">
        <f>_xll.DCEBoltDisRS(AN102, AE102, BA102, BB102, BC102, BD102, "h1")</f>
        <v>1240</v>
      </c>
      <c r="BP102" s="136">
        <f>_xll.DCEBoltDisRS(AN102, AE102, BA102, BB102, BC102, BD102, "Tong")</f>
        <v>4523000</v>
      </c>
      <c r="BQ102" s="137">
        <f t="shared" si="58"/>
        <v>290.97543775370133</v>
      </c>
      <c r="BR102" s="135">
        <f t="shared" si="59"/>
        <v>1.5722554950034868</v>
      </c>
      <c r="BS102" s="64" t="str">
        <f t="shared" si="60"/>
        <v>O/S</v>
      </c>
      <c r="BT102" s="131">
        <f t="shared" si="61"/>
        <v>1.5978039580882499</v>
      </c>
      <c r="BU102" s="92" t="str">
        <f t="shared" si="62"/>
        <v>O/S</v>
      </c>
      <c r="BV102" s="139">
        <f t="shared" si="63"/>
        <v>1961.8417282213211</v>
      </c>
      <c r="BW102" s="131">
        <f t="shared" si="64"/>
        <v>44.141438884979721</v>
      </c>
      <c r="BX102" s="139">
        <f t="shared" si="65"/>
        <v>980.92086411066055</v>
      </c>
      <c r="BY102" s="123">
        <f t="shared" si="66"/>
        <v>311.58662742338623</v>
      </c>
      <c r="BZ102" s="141">
        <f t="shared" si="67"/>
        <v>1.5146572166414609</v>
      </c>
      <c r="CA102" s="131">
        <f t="shared" si="68"/>
        <v>28.850613650313544</v>
      </c>
      <c r="CB102" s="143">
        <f t="shared" si="69"/>
        <v>0.24180351478950529</v>
      </c>
      <c r="CC102" s="123">
        <f t="shared" si="70"/>
        <v>315.56821784374785</v>
      </c>
      <c r="CD102" s="131">
        <f t="shared" si="71"/>
        <v>1.3339236261511083</v>
      </c>
      <c r="CE102" s="135">
        <f t="shared" si="72"/>
        <v>1.5146572166414609</v>
      </c>
      <c r="CF102" s="92" t="str">
        <f t="shared" si="73"/>
        <v>O/S</v>
      </c>
      <c r="CG102" s="50"/>
      <c r="DA102" s="111"/>
      <c r="DB102" s="111"/>
      <c r="DC102" s="111"/>
      <c r="DD102" s="116"/>
      <c r="DE102" s="120"/>
      <c r="DF102" s="121"/>
      <c r="DG102" s="121"/>
      <c r="DH102" s="121"/>
      <c r="DI102" s="121"/>
      <c r="DJ102" s="121"/>
      <c r="DK102" s="122"/>
      <c r="DL102" s="123"/>
      <c r="DM102" s="123"/>
      <c r="DN102" s="123"/>
      <c r="DO102" s="123"/>
      <c r="DP102" s="123"/>
      <c r="DQ102" s="111"/>
      <c r="DR102" s="120"/>
      <c r="DS102" s="120"/>
      <c r="DT102" s="120"/>
      <c r="DU102" s="120"/>
      <c r="DV102" s="120"/>
      <c r="DW102" s="120"/>
      <c r="DX102" s="120"/>
      <c r="DY102" s="120"/>
      <c r="DZ102" s="120"/>
      <c r="EA102" s="122"/>
      <c r="EB102" s="122"/>
      <c r="EC102" s="122"/>
      <c r="ED102" s="122"/>
      <c r="EE102" s="122"/>
      <c r="EF102" s="122"/>
      <c r="EG102" s="122"/>
      <c r="EH102" s="122"/>
      <c r="EI102" s="122"/>
      <c r="EJ102" s="122"/>
      <c r="EK102" s="131"/>
      <c r="EL102" s="122"/>
      <c r="EM102" s="276"/>
      <c r="EN102" s="276"/>
      <c r="EO102" s="135"/>
      <c r="EP102" s="136"/>
      <c r="EQ102" s="137"/>
      <c r="ER102" s="276"/>
      <c r="ES102" s="276"/>
      <c r="ET102" s="276"/>
      <c r="EU102" s="276"/>
      <c r="EV102" s="139"/>
      <c r="EW102" s="131"/>
      <c r="EX102" s="139"/>
      <c r="EY102" s="123"/>
      <c r="EZ102" s="141"/>
      <c r="FA102" s="131"/>
      <c r="FB102" s="143"/>
      <c r="FC102" s="123"/>
      <c r="FD102" s="131"/>
      <c r="FE102" s="276"/>
      <c r="FF102" s="276"/>
      <c r="FG102" s="50"/>
    </row>
    <row r="103" spans="8:163">
      <c r="AA103" s="111" t="s">
        <v>245</v>
      </c>
      <c r="AB103" s="111" t="s">
        <v>312</v>
      </c>
      <c r="AC103" s="111">
        <v>46</v>
      </c>
      <c r="AD103" s="116">
        <v>0</v>
      </c>
      <c r="AE103" s="120">
        <v>750</v>
      </c>
      <c r="AF103" s="121">
        <v>350</v>
      </c>
      <c r="AG103" s="121">
        <v>14</v>
      </c>
      <c r="AH103" s="121">
        <v>18.000000000000004</v>
      </c>
      <c r="AI103" s="121">
        <v>714</v>
      </c>
      <c r="AJ103" s="64" t="str" cm="1">
        <f t="array" ref="AJ103">_xll.Dce_Name_SectI(AE103, AE103, AF103, AG103, AH103, "x", "-", "H Tổng")</f>
        <v>750x350x14x18</v>
      </c>
      <c r="AK103" s="122">
        <f t="shared" si="40"/>
        <v>1010</v>
      </c>
      <c r="AL103" s="123">
        <f t="shared" si="41"/>
        <v>350</v>
      </c>
      <c r="AM103" s="123">
        <f t="shared" si="42"/>
        <v>25</v>
      </c>
      <c r="AN103" s="123">
        <f t="shared" si="43"/>
        <v>12</v>
      </c>
      <c r="AO103" s="123">
        <f t="shared" si="44"/>
        <v>24</v>
      </c>
      <c r="AP103" s="165" t="str">
        <f t="shared" si="45"/>
        <v>1010x350x25 + 12M24</v>
      </c>
      <c r="AQ103" s="111" t="s">
        <v>326</v>
      </c>
      <c r="AR103" s="120">
        <v>0</v>
      </c>
      <c r="AS103" s="120">
        <v>525.78317753747103</v>
      </c>
      <c r="AT103" s="120">
        <v>-2.8812792152166364E-13</v>
      </c>
      <c r="AU103" s="120">
        <v>-4.7592016884324493E-3</v>
      </c>
      <c r="AV103" s="120">
        <v>-1.8316786736249921E-13</v>
      </c>
      <c r="AW103" s="120">
        <v>-475.40855846093064</v>
      </c>
      <c r="AX103" s="120"/>
      <c r="AY103" s="120"/>
      <c r="AZ103" s="120"/>
      <c r="BA103" s="122">
        <f t="shared" si="46"/>
        <v>60</v>
      </c>
      <c r="BB103" s="122">
        <f t="shared" si="47"/>
        <v>70</v>
      </c>
      <c r="BC103" s="122">
        <f t="shared" si="48"/>
        <v>80</v>
      </c>
      <c r="BD103" s="122">
        <f t="shared" si="49"/>
        <v>150</v>
      </c>
      <c r="BE103" s="122">
        <f>VLOOKUP(AO103,Data!$V$4:$Z$15,3,FALSE)</f>
        <v>452.38934211693021</v>
      </c>
      <c r="BF103" s="122">
        <f>VLOOKUP(AO103,Data!$V$4:$Z$15,4,FALSE)</f>
        <v>353</v>
      </c>
      <c r="BG103" s="163">
        <f t="shared" si="50"/>
        <v>180</v>
      </c>
      <c r="BH103" s="122">
        <f t="shared" si="51"/>
        <v>121.65654188208487</v>
      </c>
      <c r="BI103" s="122">
        <f t="shared" si="52"/>
        <v>243</v>
      </c>
      <c r="BJ103" s="163">
        <f t="shared" si="53"/>
        <v>142.3296</v>
      </c>
      <c r="BK103" s="131">
        <f t="shared" si="54"/>
        <v>43.81526479478925</v>
      </c>
      <c r="BL103" s="134">
        <f t="shared" si="55"/>
        <v>0.89458333333333329</v>
      </c>
      <c r="BM103" s="135">
        <f t="shared" si="56"/>
        <v>0.40259573574482216</v>
      </c>
      <c r="BN103" s="92" t="str">
        <f t="shared" si="57"/>
        <v>OK</v>
      </c>
      <c r="BO103" s="135">
        <f>_xll.DCEBoltDisRS(AN103, AE103, BA103, BB103, BC103, BD103, "h1")</f>
        <v>890</v>
      </c>
      <c r="BP103" s="136">
        <f>_xll.DCEBoltDisRS(AN103, AE103, BA103, BB103, BC103, BD103, "Tong")</f>
        <v>1800300</v>
      </c>
      <c r="BQ103" s="137">
        <f t="shared" si="58"/>
        <v>117.51197495701501</v>
      </c>
      <c r="BR103" s="135">
        <f t="shared" si="59"/>
        <v>0.82563272121199671</v>
      </c>
      <c r="BS103" s="64" t="str">
        <f t="shared" si="60"/>
        <v>OK</v>
      </c>
      <c r="BT103" s="131">
        <f t="shared" si="61"/>
        <v>0.90076707748967455</v>
      </c>
      <c r="BU103" s="92" t="str">
        <f t="shared" si="62"/>
        <v>OK</v>
      </c>
      <c r="BV103" s="139">
        <f t="shared" si="63"/>
        <v>649.46524379908556</v>
      </c>
      <c r="BW103" s="131">
        <f t="shared" si="64"/>
        <v>14.612967985479424</v>
      </c>
      <c r="BX103" s="139">
        <f t="shared" si="65"/>
        <v>324.73262189954278</v>
      </c>
      <c r="BY103" s="123">
        <f t="shared" si="66"/>
        <v>138.89553728772523</v>
      </c>
      <c r="BZ103" s="141">
        <f t="shared" si="67"/>
        <v>0.67518663959310887</v>
      </c>
      <c r="CA103" s="131">
        <f t="shared" si="68"/>
        <v>12.860697897011596</v>
      </c>
      <c r="CB103" s="143">
        <f t="shared" si="69"/>
        <v>0.10778841628242479</v>
      </c>
      <c r="CC103" s="123">
        <f t="shared" si="70"/>
        <v>140.67040530843889</v>
      </c>
      <c r="CD103" s="131">
        <f t="shared" si="71"/>
        <v>0.59462127847770074</v>
      </c>
      <c r="CE103" s="135">
        <f t="shared" si="72"/>
        <v>0.67518663959310887</v>
      </c>
      <c r="CF103" s="92" t="str">
        <f t="shared" si="73"/>
        <v>OK</v>
      </c>
      <c r="CG103" s="50"/>
      <c r="DA103" s="111"/>
      <c r="DB103" s="111"/>
      <c r="DC103" s="111"/>
      <c r="DD103" s="116"/>
      <c r="DE103" s="120"/>
      <c r="DF103" s="121"/>
      <c r="DG103" s="121"/>
      <c r="DH103" s="121"/>
      <c r="DI103" s="121"/>
      <c r="DJ103" s="121"/>
      <c r="DK103" s="122"/>
      <c r="DL103" s="123"/>
      <c r="DM103" s="123"/>
      <c r="DN103" s="123"/>
      <c r="DO103" s="123"/>
      <c r="DP103" s="123"/>
      <c r="DQ103" s="111"/>
      <c r="DR103" s="120"/>
      <c r="DS103" s="120"/>
      <c r="DT103" s="120"/>
      <c r="DU103" s="120"/>
      <c r="DV103" s="120"/>
      <c r="DW103" s="120"/>
      <c r="DX103" s="120"/>
      <c r="DY103" s="120"/>
      <c r="DZ103" s="120"/>
      <c r="EA103" s="122"/>
      <c r="EB103" s="122"/>
      <c r="EC103" s="122"/>
      <c r="ED103" s="122"/>
      <c r="EE103" s="122"/>
      <c r="EF103" s="122"/>
      <c r="EG103" s="122"/>
      <c r="EH103" s="122"/>
      <c r="EI103" s="122"/>
      <c r="EJ103" s="122"/>
      <c r="EK103" s="131"/>
      <c r="EL103" s="122"/>
      <c r="EM103" s="276"/>
      <c r="EN103" s="276"/>
      <c r="EO103" s="135"/>
      <c r="EP103" s="136"/>
      <c r="EQ103" s="137"/>
      <c r="ER103" s="276"/>
      <c r="ES103" s="276"/>
      <c r="ET103" s="276"/>
      <c r="EU103" s="276"/>
      <c r="EV103" s="139"/>
      <c r="EW103" s="131"/>
      <c r="EX103" s="139"/>
      <c r="EY103" s="123"/>
      <c r="EZ103" s="141"/>
      <c r="FA103" s="131"/>
      <c r="FB103" s="143"/>
      <c r="FC103" s="123"/>
      <c r="FD103" s="131"/>
      <c r="FE103" s="276"/>
      <c r="FF103" s="276"/>
      <c r="FG103" s="50"/>
    </row>
    <row r="104" spans="8:163">
      <c r="AA104" s="111" t="s">
        <v>245</v>
      </c>
      <c r="AB104" s="111" t="s">
        <v>312</v>
      </c>
      <c r="AC104" s="111">
        <v>46</v>
      </c>
      <c r="AD104" s="116">
        <v>2.6850000000000001</v>
      </c>
      <c r="AE104" s="120">
        <v>1100</v>
      </c>
      <c r="AF104" s="121">
        <v>350</v>
      </c>
      <c r="AG104" s="121">
        <v>14</v>
      </c>
      <c r="AH104" s="121">
        <v>18.000000000000004</v>
      </c>
      <c r="AI104" s="121">
        <v>1064</v>
      </c>
      <c r="AJ104" s="64" t="str" cm="1">
        <f t="array" ref="AJ104">_xll.Dce_Name_SectI(AE104, AE104, AF104, AG104, AH104, "x", "-", "H Tổng")</f>
        <v>1100x350x14x18</v>
      </c>
      <c r="AK104" s="122">
        <f t="shared" si="40"/>
        <v>1360</v>
      </c>
      <c r="AL104" s="123">
        <f t="shared" si="41"/>
        <v>350</v>
      </c>
      <c r="AM104" s="123">
        <f t="shared" si="42"/>
        <v>25</v>
      </c>
      <c r="AN104" s="123">
        <f t="shared" si="43"/>
        <v>16</v>
      </c>
      <c r="AO104" s="123">
        <f t="shared" si="44"/>
        <v>27</v>
      </c>
      <c r="AP104" s="165" t="str">
        <f t="shared" si="45"/>
        <v>1360x350x25 + 16M27</v>
      </c>
      <c r="AQ104" s="111" t="s">
        <v>326</v>
      </c>
      <c r="AR104" s="120">
        <v>0</v>
      </c>
      <c r="AS104" s="120">
        <v>704.08157615534515</v>
      </c>
      <c r="AT104" s="120">
        <v>4.5361048250924786E-14</v>
      </c>
      <c r="AU104" s="120">
        <v>-4.7584944688306178E-3</v>
      </c>
      <c r="AV104" s="120">
        <v>-7.8786501944705366E-14</v>
      </c>
      <c r="AW104" s="120">
        <v>-2154.1936807234224</v>
      </c>
      <c r="AX104" s="120"/>
      <c r="AY104" s="120"/>
      <c r="AZ104" s="120"/>
      <c r="BA104" s="122">
        <f t="shared" si="46"/>
        <v>60</v>
      </c>
      <c r="BB104" s="122">
        <f t="shared" si="47"/>
        <v>70</v>
      </c>
      <c r="BC104" s="122">
        <f t="shared" si="48"/>
        <v>80</v>
      </c>
      <c r="BD104" s="122">
        <f t="shared" si="49"/>
        <v>160</v>
      </c>
      <c r="BE104" s="122">
        <f>VLOOKUP(AO104,Data!$V$4:$Z$15,3,FALSE)</f>
        <v>572.55526111673976</v>
      </c>
      <c r="BF104" s="122">
        <f>VLOOKUP(AO104,Data!$V$4:$Z$15,4,FALSE)</f>
        <v>459</v>
      </c>
      <c r="BG104" s="163">
        <f t="shared" si="50"/>
        <v>180</v>
      </c>
      <c r="BH104" s="122">
        <f t="shared" si="51"/>
        <v>153.97156081951366</v>
      </c>
      <c r="BI104" s="122">
        <f t="shared" si="52"/>
        <v>273.375</v>
      </c>
      <c r="BJ104" s="163">
        <f t="shared" si="53"/>
        <v>185.06880000000001</v>
      </c>
      <c r="BK104" s="131">
        <f t="shared" si="54"/>
        <v>44.005098509709072</v>
      </c>
      <c r="BL104" s="134">
        <f t="shared" si="55"/>
        <v>0.85037037037037044</v>
      </c>
      <c r="BM104" s="135">
        <f t="shared" si="56"/>
        <v>0.33608905201425399</v>
      </c>
      <c r="BN104" s="92" t="str">
        <f t="shared" si="57"/>
        <v>OK</v>
      </c>
      <c r="BO104" s="135">
        <f>_xll.DCEBoltDisRS(AN104, AE104, BA104, BB104, BC104, BD104, "h1")</f>
        <v>1240</v>
      </c>
      <c r="BP104" s="136">
        <f>_xll.DCEBoltDisRS(AN104, AE104, BA104, BB104, BC104, BD104, "Tong")</f>
        <v>4523000</v>
      </c>
      <c r="BQ104" s="137">
        <f t="shared" si="58"/>
        <v>295.29075437729864</v>
      </c>
      <c r="BR104" s="135">
        <f t="shared" si="59"/>
        <v>1.5955728592680054</v>
      </c>
      <c r="BS104" s="64" t="str">
        <f t="shared" si="60"/>
        <v>O/S</v>
      </c>
      <c r="BT104" s="131">
        <f t="shared" si="61"/>
        <v>1.6209671456699666</v>
      </c>
      <c r="BU104" s="92" t="str">
        <f t="shared" si="62"/>
        <v>O/S</v>
      </c>
      <c r="BV104" s="139">
        <f t="shared" si="63"/>
        <v>1990.9368583395769</v>
      </c>
      <c r="BW104" s="131">
        <f t="shared" si="64"/>
        <v>44.796079312640479</v>
      </c>
      <c r="BX104" s="139">
        <f t="shared" si="65"/>
        <v>995.46842916978846</v>
      </c>
      <c r="BY104" s="123">
        <f t="shared" si="66"/>
        <v>316.20761867746222</v>
      </c>
      <c r="BZ104" s="141">
        <f t="shared" si="67"/>
        <v>1.5371203685709971</v>
      </c>
      <c r="CA104" s="131">
        <f t="shared" si="68"/>
        <v>29.278483210876132</v>
      </c>
      <c r="CB104" s="143">
        <f t="shared" si="69"/>
        <v>0.24538958629805191</v>
      </c>
      <c r="CC104" s="123">
        <f t="shared" si="70"/>
        <v>320.2482581483622</v>
      </c>
      <c r="CD104" s="131">
        <f t="shared" si="71"/>
        <v>1.3537064052165071</v>
      </c>
      <c r="CE104" s="135">
        <f t="shared" si="72"/>
        <v>1.5371203685709971</v>
      </c>
      <c r="CF104" s="92" t="str">
        <f t="shared" si="73"/>
        <v>O/S</v>
      </c>
      <c r="CG104" s="50"/>
      <c r="DA104" s="111"/>
      <c r="DB104" s="111"/>
      <c r="DC104" s="111"/>
      <c r="DD104" s="116"/>
      <c r="DE104" s="120"/>
      <c r="DF104" s="121"/>
      <c r="DG104" s="121"/>
      <c r="DH104" s="121"/>
      <c r="DI104" s="121"/>
      <c r="DJ104" s="121"/>
      <c r="DK104" s="122"/>
      <c r="DL104" s="123"/>
      <c r="DM104" s="123"/>
      <c r="DN104" s="123"/>
      <c r="DO104" s="123"/>
      <c r="DP104" s="123"/>
      <c r="DQ104" s="111"/>
      <c r="DR104" s="120"/>
      <c r="DS104" s="120"/>
      <c r="DT104" s="120"/>
      <c r="DU104" s="120"/>
      <c r="DV104" s="120"/>
      <c r="DW104" s="120"/>
      <c r="DX104" s="120"/>
      <c r="DY104" s="120"/>
      <c r="DZ104" s="120"/>
      <c r="EA104" s="122"/>
      <c r="EB104" s="122"/>
      <c r="EC104" s="122"/>
      <c r="ED104" s="122"/>
      <c r="EE104" s="122"/>
      <c r="EF104" s="122"/>
      <c r="EG104" s="122"/>
      <c r="EH104" s="122"/>
      <c r="EI104" s="122"/>
      <c r="EJ104" s="122"/>
      <c r="EK104" s="131"/>
      <c r="EL104" s="122"/>
      <c r="EM104" s="276"/>
      <c r="EN104" s="276"/>
      <c r="EO104" s="135"/>
      <c r="EP104" s="136"/>
      <c r="EQ104" s="137"/>
      <c r="ER104" s="276"/>
      <c r="ES104" s="276"/>
      <c r="ET104" s="276"/>
      <c r="EU104" s="276"/>
      <c r="EV104" s="139"/>
      <c r="EW104" s="131"/>
      <c r="EX104" s="139"/>
      <c r="EY104" s="123"/>
      <c r="EZ104" s="141"/>
      <c r="FA104" s="131"/>
      <c r="FB104" s="143"/>
      <c r="FC104" s="123"/>
      <c r="FD104" s="131"/>
      <c r="FE104" s="276"/>
      <c r="FF104" s="276"/>
      <c r="FG104" s="50"/>
    </row>
    <row r="105" spans="8:163">
      <c r="AA105" s="111" t="s">
        <v>245</v>
      </c>
      <c r="AB105" s="111" t="s">
        <v>312</v>
      </c>
      <c r="AC105" s="111">
        <v>46</v>
      </c>
      <c r="AD105" s="116">
        <v>0</v>
      </c>
      <c r="AE105" s="120">
        <v>750</v>
      </c>
      <c r="AF105" s="121">
        <v>350</v>
      </c>
      <c r="AG105" s="121">
        <v>14</v>
      </c>
      <c r="AH105" s="121">
        <v>18.000000000000004</v>
      </c>
      <c r="AI105" s="121">
        <v>714</v>
      </c>
      <c r="AJ105" s="64" t="str" cm="1">
        <f t="array" ref="AJ105">_xll.Dce_Name_SectI(AE105, AE105, AF105, AG105, AH105, "x", "-", "H Tổng")</f>
        <v>750x350x14x18</v>
      </c>
      <c r="AK105" s="122">
        <f t="shared" si="40"/>
        <v>1010</v>
      </c>
      <c r="AL105" s="123">
        <f t="shared" si="41"/>
        <v>350</v>
      </c>
      <c r="AM105" s="123">
        <f t="shared" si="42"/>
        <v>25</v>
      </c>
      <c r="AN105" s="123">
        <f t="shared" si="43"/>
        <v>12</v>
      </c>
      <c r="AO105" s="123">
        <f t="shared" si="44"/>
        <v>24</v>
      </c>
      <c r="AP105" s="165" t="str">
        <f t="shared" si="45"/>
        <v>1010x350x25 + 12M24</v>
      </c>
      <c r="AQ105" s="111" t="s">
        <v>327</v>
      </c>
      <c r="AR105" s="120">
        <v>0</v>
      </c>
      <c r="AS105" s="120">
        <v>526.80547602128649</v>
      </c>
      <c r="AT105" s="120">
        <v>-5.5297277867794024E-14</v>
      </c>
      <c r="AU105" s="120">
        <v>-4.7543769749019988E-3</v>
      </c>
      <c r="AV105" s="120">
        <v>-4.3539330363273582E-15</v>
      </c>
      <c r="AW105" s="120">
        <v>-475.39526343259087</v>
      </c>
      <c r="AX105" s="120"/>
      <c r="AY105" s="120"/>
      <c r="AZ105" s="120"/>
      <c r="BA105" s="122">
        <f t="shared" si="46"/>
        <v>60</v>
      </c>
      <c r="BB105" s="122">
        <f t="shared" si="47"/>
        <v>70</v>
      </c>
      <c r="BC105" s="122">
        <f t="shared" si="48"/>
        <v>80</v>
      </c>
      <c r="BD105" s="122">
        <f t="shared" si="49"/>
        <v>150</v>
      </c>
      <c r="BE105" s="122">
        <f>VLOOKUP(AO105,Data!$V$4:$Z$15,3,FALSE)</f>
        <v>452.38934211693021</v>
      </c>
      <c r="BF105" s="122">
        <f>VLOOKUP(AO105,Data!$V$4:$Z$15,4,FALSE)</f>
        <v>353</v>
      </c>
      <c r="BG105" s="163">
        <f t="shared" si="50"/>
        <v>180</v>
      </c>
      <c r="BH105" s="122">
        <f t="shared" si="51"/>
        <v>121.65654188208487</v>
      </c>
      <c r="BI105" s="122">
        <f t="shared" si="52"/>
        <v>243</v>
      </c>
      <c r="BJ105" s="163">
        <f t="shared" si="53"/>
        <v>142.3296</v>
      </c>
      <c r="BK105" s="131">
        <f t="shared" si="54"/>
        <v>43.900456335107208</v>
      </c>
      <c r="BL105" s="134">
        <f t="shared" si="55"/>
        <v>0.89458333333333329</v>
      </c>
      <c r="BM105" s="135">
        <f t="shared" si="56"/>
        <v>0.40337851660930352</v>
      </c>
      <c r="BN105" s="92" t="str">
        <f t="shared" si="57"/>
        <v>OK</v>
      </c>
      <c r="BO105" s="135">
        <f>_xll.DCEBoltDisRS(AN105, AE105, BA105, BB105, BC105, BD105, "h1")</f>
        <v>890</v>
      </c>
      <c r="BP105" s="136">
        <f>_xll.DCEBoltDisRS(AN105, AE105, BA105, BB105, BC105, BD105, "Tong")</f>
        <v>1800300</v>
      </c>
      <c r="BQ105" s="137">
        <f t="shared" si="58"/>
        <v>117.50868867827748</v>
      </c>
      <c r="BR105" s="135">
        <f t="shared" si="59"/>
        <v>0.82560963199698079</v>
      </c>
      <c r="BS105" s="64" t="str">
        <f t="shared" si="60"/>
        <v>OK</v>
      </c>
      <c r="BT105" s="131">
        <f t="shared" si="61"/>
        <v>0.90102613680918342</v>
      </c>
      <c r="BU105" s="92" t="str">
        <f t="shared" si="62"/>
        <v>OK</v>
      </c>
      <c r="BV105" s="139">
        <f t="shared" si="63"/>
        <v>649.44708119206405</v>
      </c>
      <c r="BW105" s="131">
        <f t="shared" si="64"/>
        <v>14.61255932682144</v>
      </c>
      <c r="BX105" s="139">
        <f t="shared" si="65"/>
        <v>324.72354059603202</v>
      </c>
      <c r="BY105" s="123">
        <f t="shared" si="66"/>
        <v>138.89165300741169</v>
      </c>
      <c r="BZ105" s="141">
        <f t="shared" si="67"/>
        <v>0.67516775767491799</v>
      </c>
      <c r="CA105" s="131">
        <f t="shared" si="68"/>
        <v>12.860338241427012</v>
      </c>
      <c r="CB105" s="143">
        <f t="shared" si="69"/>
        <v>0.10778540192766893</v>
      </c>
      <c r="CC105" s="123">
        <f t="shared" si="70"/>
        <v>140.66647139308992</v>
      </c>
      <c r="CD105" s="131">
        <f t="shared" si="71"/>
        <v>0.59460464960847204</v>
      </c>
      <c r="CE105" s="135">
        <f t="shared" si="72"/>
        <v>0.67516775767491799</v>
      </c>
      <c r="CF105" s="92" t="str">
        <f t="shared" si="73"/>
        <v>OK</v>
      </c>
      <c r="CG105" s="50"/>
      <c r="DA105" s="111"/>
      <c r="DB105" s="111"/>
      <c r="DC105" s="111"/>
      <c r="DD105" s="116"/>
      <c r="DE105" s="120"/>
      <c r="DF105" s="121"/>
      <c r="DG105" s="121"/>
      <c r="DH105" s="121"/>
      <c r="DI105" s="121"/>
      <c r="DJ105" s="121"/>
      <c r="DK105" s="122"/>
      <c r="DL105" s="123"/>
      <c r="DM105" s="123"/>
      <c r="DN105" s="123"/>
      <c r="DO105" s="123"/>
      <c r="DP105" s="123"/>
      <c r="DQ105" s="111"/>
      <c r="DR105" s="120"/>
      <c r="DS105" s="120"/>
      <c r="DT105" s="120"/>
      <c r="DU105" s="120"/>
      <c r="DV105" s="120"/>
      <c r="DW105" s="120"/>
      <c r="DX105" s="120"/>
      <c r="DY105" s="120"/>
      <c r="DZ105" s="120"/>
      <c r="EA105" s="122"/>
      <c r="EB105" s="122"/>
      <c r="EC105" s="122"/>
      <c r="ED105" s="122"/>
      <c r="EE105" s="122"/>
      <c r="EF105" s="122"/>
      <c r="EG105" s="122"/>
      <c r="EH105" s="122"/>
      <c r="EI105" s="122"/>
      <c r="EJ105" s="122"/>
      <c r="EK105" s="131"/>
      <c r="EL105" s="122"/>
      <c r="EM105" s="276"/>
      <c r="EN105" s="276"/>
      <c r="EO105" s="135"/>
      <c r="EP105" s="136"/>
      <c r="EQ105" s="137"/>
      <c r="ER105" s="276"/>
      <c r="ES105" s="276"/>
      <c r="ET105" s="276"/>
      <c r="EU105" s="276"/>
      <c r="EV105" s="139"/>
      <c r="EW105" s="131"/>
      <c r="EX105" s="139"/>
      <c r="EY105" s="123"/>
      <c r="EZ105" s="141"/>
      <c r="FA105" s="131"/>
      <c r="FB105" s="143"/>
      <c r="FC105" s="123"/>
      <c r="FD105" s="131"/>
      <c r="FE105" s="276"/>
      <c r="FF105" s="276"/>
      <c r="FG105" s="50"/>
    </row>
    <row r="106" spans="8:163">
      <c r="AA106" s="111" t="s">
        <v>245</v>
      </c>
      <c r="AB106" s="111" t="s">
        <v>312</v>
      </c>
      <c r="AC106" s="111">
        <v>46</v>
      </c>
      <c r="AD106" s="116">
        <v>2.6850000000000001</v>
      </c>
      <c r="AE106" s="120">
        <v>1100</v>
      </c>
      <c r="AF106" s="121">
        <v>350</v>
      </c>
      <c r="AG106" s="121">
        <v>14</v>
      </c>
      <c r="AH106" s="121">
        <v>18.000000000000004</v>
      </c>
      <c r="AI106" s="121">
        <v>1064</v>
      </c>
      <c r="AJ106" s="64" t="str" cm="1">
        <f t="array" ref="AJ106">_xll.Dce_Name_SectI(AE106, AE106, AF106, AG106, AH106, "x", "-", "H Tổng")</f>
        <v>1100x350x14x18</v>
      </c>
      <c r="AK106" s="122">
        <f t="shared" si="40"/>
        <v>1360</v>
      </c>
      <c r="AL106" s="123">
        <f t="shared" si="41"/>
        <v>350</v>
      </c>
      <c r="AM106" s="123">
        <f t="shared" si="42"/>
        <v>25</v>
      </c>
      <c r="AN106" s="123">
        <f t="shared" si="43"/>
        <v>16</v>
      </c>
      <c r="AO106" s="123">
        <f t="shared" si="44"/>
        <v>27</v>
      </c>
      <c r="AP106" s="165" t="str">
        <f t="shared" si="45"/>
        <v>1360x350x25 + 16M27</v>
      </c>
      <c r="AQ106" s="111" t="s">
        <v>327</v>
      </c>
      <c r="AR106" s="120">
        <v>0</v>
      </c>
      <c r="AS106" s="120">
        <v>705.10387486476645</v>
      </c>
      <c r="AT106" s="120">
        <v>-1.2846612662542609E-14</v>
      </c>
      <c r="AU106" s="120">
        <v>-4.7536698352566463E-3</v>
      </c>
      <c r="AV106" s="120">
        <v>8.8160277300630673E-15</v>
      </c>
      <c r="AW106" s="120">
        <v>-2156.9252467741258</v>
      </c>
      <c r="AX106" s="120"/>
      <c r="AY106" s="120"/>
      <c r="AZ106" s="120"/>
      <c r="BA106" s="122">
        <f t="shared" si="46"/>
        <v>60</v>
      </c>
      <c r="BB106" s="122">
        <f t="shared" si="47"/>
        <v>70</v>
      </c>
      <c r="BC106" s="122">
        <f t="shared" si="48"/>
        <v>80</v>
      </c>
      <c r="BD106" s="122">
        <f t="shared" si="49"/>
        <v>160</v>
      </c>
      <c r="BE106" s="122">
        <f>VLOOKUP(AO106,Data!$V$4:$Z$15,3,FALSE)</f>
        <v>572.55526111673976</v>
      </c>
      <c r="BF106" s="122">
        <f>VLOOKUP(AO106,Data!$V$4:$Z$15,4,FALSE)</f>
        <v>459</v>
      </c>
      <c r="BG106" s="163">
        <f t="shared" si="50"/>
        <v>180</v>
      </c>
      <c r="BH106" s="122">
        <f t="shared" si="51"/>
        <v>153.97156081951366</v>
      </c>
      <c r="BI106" s="122">
        <f t="shared" si="52"/>
        <v>273.375</v>
      </c>
      <c r="BJ106" s="163">
        <f t="shared" si="53"/>
        <v>185.06880000000001</v>
      </c>
      <c r="BK106" s="131">
        <f t="shared" si="54"/>
        <v>44.068992179047903</v>
      </c>
      <c r="BL106" s="134">
        <f t="shared" si="55"/>
        <v>0.85037037037037044</v>
      </c>
      <c r="BM106" s="135">
        <f t="shared" si="56"/>
        <v>0.33657704007666139</v>
      </c>
      <c r="BN106" s="92" t="str">
        <f t="shared" si="57"/>
        <v>OK</v>
      </c>
      <c r="BO106" s="135">
        <f>_xll.DCEBoltDisRS(AN106, AE106, BA106, BB106, BC106, BD106, "h1")</f>
        <v>1240</v>
      </c>
      <c r="BP106" s="136">
        <f>_xll.DCEBoltDisRS(AN106, AE106, BA106, BB106, BC106, BD106, "Tong")</f>
        <v>4523000</v>
      </c>
      <c r="BQ106" s="137">
        <f t="shared" si="58"/>
        <v>295.66518969709443</v>
      </c>
      <c r="BR106" s="135">
        <f t="shared" si="59"/>
        <v>1.5975960815496422</v>
      </c>
      <c r="BS106" s="64" t="str">
        <f t="shared" si="60"/>
        <v>O/S</v>
      </c>
      <c r="BT106" s="131">
        <f t="shared" si="61"/>
        <v>1.6230318380806499</v>
      </c>
      <c r="BU106" s="92" t="str">
        <f t="shared" si="62"/>
        <v>O/S</v>
      </c>
      <c r="BV106" s="139">
        <f t="shared" si="63"/>
        <v>1993.4614110666596</v>
      </c>
      <c r="BW106" s="131">
        <f t="shared" si="64"/>
        <v>44.852881748999842</v>
      </c>
      <c r="BX106" s="139">
        <f t="shared" si="65"/>
        <v>996.7307055333298</v>
      </c>
      <c r="BY106" s="123">
        <f t="shared" si="66"/>
        <v>316.60857705176363</v>
      </c>
      <c r="BZ106" s="141">
        <f t="shared" si="67"/>
        <v>1.5390694717794067</v>
      </c>
      <c r="CA106" s="131">
        <f t="shared" si="68"/>
        <v>29.315608986274405</v>
      </c>
      <c r="CB106" s="143">
        <f t="shared" si="69"/>
        <v>0.24570074581408149</v>
      </c>
      <c r="CC106" s="123">
        <f t="shared" si="70"/>
        <v>320.65434014441615</v>
      </c>
      <c r="CD106" s="131">
        <f t="shared" si="71"/>
        <v>1.3554229353930638</v>
      </c>
      <c r="CE106" s="135">
        <f t="shared" si="72"/>
        <v>1.5390694717794067</v>
      </c>
      <c r="CF106" s="92" t="str">
        <f t="shared" si="73"/>
        <v>O/S</v>
      </c>
      <c r="CG106" s="50"/>
      <c r="DA106" s="111"/>
      <c r="DB106" s="111"/>
      <c r="DC106" s="111"/>
      <c r="DD106" s="116"/>
      <c r="DE106" s="120"/>
      <c r="DF106" s="121"/>
      <c r="DG106" s="121"/>
      <c r="DH106" s="121"/>
      <c r="DI106" s="121"/>
      <c r="DJ106" s="121"/>
      <c r="DK106" s="122"/>
      <c r="DL106" s="123"/>
      <c r="DM106" s="123"/>
      <c r="DN106" s="123"/>
      <c r="DO106" s="123"/>
      <c r="DP106" s="123"/>
      <c r="DQ106" s="111"/>
      <c r="DR106" s="120"/>
      <c r="DS106" s="120"/>
      <c r="DT106" s="120"/>
      <c r="DU106" s="120"/>
      <c r="DV106" s="120"/>
      <c r="DW106" s="120"/>
      <c r="DX106" s="120"/>
      <c r="DY106" s="120"/>
      <c r="DZ106" s="120"/>
      <c r="EA106" s="122"/>
      <c r="EB106" s="122"/>
      <c r="EC106" s="122"/>
      <c r="ED106" s="122"/>
      <c r="EE106" s="122"/>
      <c r="EF106" s="122"/>
      <c r="EG106" s="122"/>
      <c r="EH106" s="122"/>
      <c r="EI106" s="122"/>
      <c r="EJ106" s="122"/>
      <c r="EK106" s="131"/>
      <c r="EL106" s="122"/>
      <c r="EM106" s="276"/>
      <c r="EN106" s="276"/>
      <c r="EO106" s="135"/>
      <c r="EP106" s="136"/>
      <c r="EQ106" s="137"/>
      <c r="ER106" s="276"/>
      <c r="ES106" s="276"/>
      <c r="ET106" s="276"/>
      <c r="EU106" s="276"/>
      <c r="EV106" s="139"/>
      <c r="EW106" s="131"/>
      <c r="EX106" s="139"/>
      <c r="EY106" s="123"/>
      <c r="EZ106" s="141"/>
      <c r="FA106" s="131"/>
      <c r="FB106" s="143"/>
      <c r="FC106" s="123"/>
      <c r="FD106" s="131"/>
      <c r="FE106" s="276"/>
      <c r="FF106" s="276"/>
      <c r="FG106" s="50"/>
    </row>
    <row r="107" spans="8:163">
      <c r="AA107" s="111" t="s">
        <v>245</v>
      </c>
      <c r="AB107" s="111" t="s">
        <v>312</v>
      </c>
      <c r="AC107" s="111">
        <v>46</v>
      </c>
      <c r="AD107" s="116">
        <v>0</v>
      </c>
      <c r="AE107" s="120">
        <v>750</v>
      </c>
      <c r="AF107" s="121">
        <v>350</v>
      </c>
      <c r="AG107" s="121">
        <v>14</v>
      </c>
      <c r="AH107" s="121">
        <v>18.000000000000004</v>
      </c>
      <c r="AI107" s="121">
        <v>714</v>
      </c>
      <c r="AJ107" s="64" t="str" cm="1">
        <f t="array" ref="AJ107">_xll.Dce_Name_SectI(AE107, AE107, AF107, AG107, AH107, "x", "-", "H Tổng")</f>
        <v>750x350x14x18</v>
      </c>
      <c r="AK107" s="122">
        <f t="shared" si="40"/>
        <v>1010</v>
      </c>
      <c r="AL107" s="123">
        <f t="shared" si="41"/>
        <v>350</v>
      </c>
      <c r="AM107" s="123">
        <f t="shared" si="42"/>
        <v>25</v>
      </c>
      <c r="AN107" s="123">
        <f t="shared" si="43"/>
        <v>12</v>
      </c>
      <c r="AO107" s="123">
        <f t="shared" si="44"/>
        <v>24</v>
      </c>
      <c r="AP107" s="165" t="str">
        <f t="shared" si="45"/>
        <v>1010x350x25 + 12M24</v>
      </c>
      <c r="AQ107" s="111" t="s">
        <v>328</v>
      </c>
      <c r="AR107" s="120">
        <v>0</v>
      </c>
      <c r="AS107" s="120">
        <v>528.36145350588231</v>
      </c>
      <c r="AT107" s="120">
        <v>-5.7116267271339876E-14</v>
      </c>
      <c r="AU107" s="120">
        <v>-4.682637856087018E-3</v>
      </c>
      <c r="AV107" s="120">
        <v>6.0838647186756123E-14</v>
      </c>
      <c r="AW107" s="120">
        <v>-495.83319953931681</v>
      </c>
      <c r="AX107" s="120"/>
      <c r="AY107" s="120"/>
      <c r="AZ107" s="120"/>
      <c r="BA107" s="122">
        <f t="shared" si="46"/>
        <v>60</v>
      </c>
      <c r="BB107" s="122">
        <f t="shared" si="47"/>
        <v>70</v>
      </c>
      <c r="BC107" s="122">
        <f t="shared" si="48"/>
        <v>80</v>
      </c>
      <c r="BD107" s="122">
        <f t="shared" si="49"/>
        <v>150</v>
      </c>
      <c r="BE107" s="122">
        <f>VLOOKUP(AO107,Data!$V$4:$Z$15,3,FALSE)</f>
        <v>452.38934211693021</v>
      </c>
      <c r="BF107" s="122">
        <f>VLOOKUP(AO107,Data!$V$4:$Z$15,4,FALSE)</f>
        <v>353</v>
      </c>
      <c r="BG107" s="163">
        <f t="shared" si="50"/>
        <v>180</v>
      </c>
      <c r="BH107" s="122">
        <f t="shared" si="51"/>
        <v>121.65654188208487</v>
      </c>
      <c r="BI107" s="122">
        <f t="shared" si="52"/>
        <v>243</v>
      </c>
      <c r="BJ107" s="163">
        <f t="shared" si="53"/>
        <v>142.3296</v>
      </c>
      <c r="BK107" s="131">
        <f t="shared" si="54"/>
        <v>44.03012112549019</v>
      </c>
      <c r="BL107" s="134">
        <f t="shared" si="55"/>
        <v>0.89458333333333329</v>
      </c>
      <c r="BM107" s="135">
        <f t="shared" si="56"/>
        <v>0.4045699390947986</v>
      </c>
      <c r="BN107" s="92" t="str">
        <f t="shared" si="57"/>
        <v>OK</v>
      </c>
      <c r="BO107" s="135">
        <f>_xll.DCEBoltDisRS(AN107, AE107, BA107, BB107, BC107, BD107, "h1")</f>
        <v>890</v>
      </c>
      <c r="BP107" s="136">
        <f>_xll.DCEBoltDisRS(AN107, AE107, BA107, BB107, BC107, BD107, "Tong")</f>
        <v>1800300</v>
      </c>
      <c r="BQ107" s="137">
        <f t="shared" si="58"/>
        <v>122.56055868188413</v>
      </c>
      <c r="BR107" s="135">
        <f t="shared" si="59"/>
        <v>0.86110379486687327</v>
      </c>
      <c r="BS107" s="64" t="str">
        <f t="shared" si="60"/>
        <v>OK</v>
      </c>
      <c r="BT107" s="131">
        <f t="shared" si="61"/>
        <v>0.93407009135406593</v>
      </c>
      <c r="BU107" s="92" t="str">
        <f t="shared" si="62"/>
        <v>OK</v>
      </c>
      <c r="BV107" s="139">
        <f t="shared" si="63"/>
        <v>677.36775893349295</v>
      </c>
      <c r="BW107" s="131">
        <f t="shared" si="64"/>
        <v>15.240774576003592</v>
      </c>
      <c r="BX107" s="139">
        <f t="shared" si="65"/>
        <v>338.68387946674648</v>
      </c>
      <c r="BY107" s="123">
        <f t="shared" si="66"/>
        <v>144.86280785112328</v>
      </c>
      <c r="BZ107" s="141">
        <f t="shared" si="67"/>
        <v>0.70419420483184936</v>
      </c>
      <c r="CA107" s="131">
        <f t="shared" si="68"/>
        <v>13.413222949178078</v>
      </c>
      <c r="CB107" s="143">
        <f t="shared" si="69"/>
        <v>0.11241925364493122</v>
      </c>
      <c r="CC107" s="123">
        <f t="shared" si="70"/>
        <v>146.71392826914743</v>
      </c>
      <c r="CD107" s="131">
        <f t="shared" si="71"/>
        <v>0.62016757118600974</v>
      </c>
      <c r="CE107" s="135">
        <f t="shared" si="72"/>
        <v>0.70419420483184936</v>
      </c>
      <c r="CF107" s="92" t="str">
        <f t="shared" si="73"/>
        <v>OK</v>
      </c>
      <c r="CG107" s="50"/>
      <c r="DA107" s="111"/>
      <c r="DB107" s="111"/>
      <c r="DC107" s="111"/>
      <c r="DD107" s="116"/>
      <c r="DE107" s="120"/>
      <c r="DF107" s="121"/>
      <c r="DG107" s="121"/>
      <c r="DH107" s="121"/>
      <c r="DI107" s="121"/>
      <c r="DJ107" s="121"/>
      <c r="DK107" s="122"/>
      <c r="DL107" s="123"/>
      <c r="DM107" s="123"/>
      <c r="DN107" s="123"/>
      <c r="DO107" s="123"/>
      <c r="DP107" s="123"/>
      <c r="DQ107" s="111"/>
      <c r="DR107" s="120"/>
      <c r="DS107" s="120"/>
      <c r="DT107" s="120"/>
      <c r="DU107" s="120"/>
      <c r="DV107" s="120"/>
      <c r="DW107" s="120"/>
      <c r="DX107" s="120"/>
      <c r="DY107" s="120"/>
      <c r="DZ107" s="120"/>
      <c r="EA107" s="122"/>
      <c r="EB107" s="122"/>
      <c r="EC107" s="122"/>
      <c r="ED107" s="122"/>
      <c r="EE107" s="122"/>
      <c r="EF107" s="122"/>
      <c r="EG107" s="122"/>
      <c r="EH107" s="122"/>
      <c r="EI107" s="122"/>
      <c r="EJ107" s="122"/>
      <c r="EK107" s="131"/>
      <c r="EL107" s="122"/>
      <c r="EM107" s="276"/>
      <c r="EN107" s="276"/>
      <c r="EO107" s="135"/>
      <c r="EP107" s="136"/>
      <c r="EQ107" s="137"/>
      <c r="ER107" s="276"/>
      <c r="ES107" s="276"/>
      <c r="ET107" s="276"/>
      <c r="EU107" s="276"/>
      <c r="EV107" s="139"/>
      <c r="EW107" s="131"/>
      <c r="EX107" s="139"/>
      <c r="EY107" s="123"/>
      <c r="EZ107" s="141"/>
      <c r="FA107" s="131"/>
      <c r="FB107" s="143"/>
      <c r="FC107" s="123"/>
      <c r="FD107" s="131"/>
      <c r="FE107" s="276"/>
      <c r="FF107" s="276"/>
      <c r="FG107" s="50"/>
    </row>
    <row r="108" spans="8:163">
      <c r="AA108" s="111" t="s">
        <v>245</v>
      </c>
      <c r="AB108" s="111" t="s">
        <v>312</v>
      </c>
      <c r="AC108" s="111">
        <v>46</v>
      </c>
      <c r="AD108" s="116">
        <v>2.6850000000000001</v>
      </c>
      <c r="AE108" s="120">
        <v>1100</v>
      </c>
      <c r="AF108" s="121">
        <v>350</v>
      </c>
      <c r="AG108" s="121">
        <v>14</v>
      </c>
      <c r="AH108" s="121">
        <v>18.000000000000004</v>
      </c>
      <c r="AI108" s="121">
        <v>1064</v>
      </c>
      <c r="AJ108" s="64" t="str" cm="1">
        <f t="array" ref="AJ108">_xll.Dce_Name_SectI(AE108, AE108, AF108, AG108, AH108, "x", "-", "H Tổng")</f>
        <v>1100x350x14x18</v>
      </c>
      <c r="AK108" s="122">
        <f t="shared" si="40"/>
        <v>1360</v>
      </c>
      <c r="AL108" s="123">
        <f t="shared" si="41"/>
        <v>350</v>
      </c>
      <c r="AM108" s="123">
        <f t="shared" si="42"/>
        <v>25</v>
      </c>
      <c r="AN108" s="123">
        <f t="shared" si="43"/>
        <v>16</v>
      </c>
      <c r="AO108" s="123">
        <f t="shared" si="44"/>
        <v>27</v>
      </c>
      <c r="AP108" s="165" t="str">
        <f t="shared" si="45"/>
        <v>1360x350x25 + 16M27</v>
      </c>
      <c r="AQ108" s="111" t="s">
        <v>328</v>
      </c>
      <c r="AR108" s="120">
        <v>0</v>
      </c>
      <c r="AS108" s="120">
        <v>706.65985302518004</v>
      </c>
      <c r="AT108" s="120">
        <v>-1.1937117960769681E-14</v>
      </c>
      <c r="AU108" s="120">
        <v>-4.6819411154076264E-3</v>
      </c>
      <c r="AV108" s="120">
        <v>7.4472382038948108E-15</v>
      </c>
      <c r="AW108" s="120">
        <v>-2181.5409164379985</v>
      </c>
      <c r="AX108" s="120"/>
      <c r="AY108" s="120"/>
      <c r="AZ108" s="120"/>
      <c r="BA108" s="122">
        <f t="shared" si="46"/>
        <v>60</v>
      </c>
      <c r="BB108" s="122">
        <f t="shared" si="47"/>
        <v>70</v>
      </c>
      <c r="BC108" s="122">
        <f t="shared" si="48"/>
        <v>80</v>
      </c>
      <c r="BD108" s="122">
        <f t="shared" si="49"/>
        <v>160</v>
      </c>
      <c r="BE108" s="122">
        <f>VLOOKUP(AO108,Data!$V$4:$Z$15,3,FALSE)</f>
        <v>572.55526111673976</v>
      </c>
      <c r="BF108" s="122">
        <f>VLOOKUP(AO108,Data!$V$4:$Z$15,4,FALSE)</f>
        <v>459</v>
      </c>
      <c r="BG108" s="163">
        <f t="shared" si="50"/>
        <v>180</v>
      </c>
      <c r="BH108" s="122">
        <f t="shared" si="51"/>
        <v>153.97156081951366</v>
      </c>
      <c r="BI108" s="122">
        <f t="shared" si="52"/>
        <v>273.375</v>
      </c>
      <c r="BJ108" s="163">
        <f t="shared" si="53"/>
        <v>185.06880000000001</v>
      </c>
      <c r="BK108" s="131">
        <f t="shared" si="54"/>
        <v>44.166240814073753</v>
      </c>
      <c r="BL108" s="134">
        <f t="shared" si="55"/>
        <v>0.85037037037037044</v>
      </c>
      <c r="BM108" s="135">
        <f t="shared" si="56"/>
        <v>0.33731977677450808</v>
      </c>
      <c r="BN108" s="92" t="str">
        <f t="shared" si="57"/>
        <v>OK</v>
      </c>
      <c r="BO108" s="135">
        <f>_xll.DCEBoltDisRS(AN108, AE108, BA108, BB108, BC108, BD108, "h1")</f>
        <v>1240</v>
      </c>
      <c r="BP108" s="136">
        <f>_xll.DCEBoltDisRS(AN108, AE108, BA108, BB108, BC108, BD108, "Tong")</f>
        <v>4523000</v>
      </c>
      <c r="BQ108" s="137">
        <f t="shared" si="58"/>
        <v>299.03943581506945</v>
      </c>
      <c r="BR108" s="135">
        <f t="shared" si="59"/>
        <v>1.6158284692777467</v>
      </c>
      <c r="BS108" s="64" t="str">
        <f t="shared" si="60"/>
        <v>O/S</v>
      </c>
      <c r="BT108" s="131">
        <f t="shared" si="61"/>
        <v>1.6410919219806603</v>
      </c>
      <c r="BU108" s="92" t="str">
        <f t="shared" si="62"/>
        <v>O/S</v>
      </c>
      <c r="BV108" s="139">
        <f t="shared" si="63"/>
        <v>2016.211567872457</v>
      </c>
      <c r="BW108" s="131">
        <f t="shared" si="64"/>
        <v>45.36476027713028</v>
      </c>
      <c r="BX108" s="139">
        <f t="shared" si="65"/>
        <v>1008.1057839362285</v>
      </c>
      <c r="BY108" s="123">
        <f t="shared" si="66"/>
        <v>320.22183725033142</v>
      </c>
      <c r="BZ108" s="141">
        <f t="shared" si="67"/>
        <v>1.5566339310780002</v>
      </c>
      <c r="CA108" s="131">
        <f t="shared" si="68"/>
        <v>29.650170115771427</v>
      </c>
      <c r="CB108" s="143">
        <f t="shared" si="69"/>
        <v>0.2485047782691571</v>
      </c>
      <c r="CC108" s="123">
        <f t="shared" si="70"/>
        <v>324.31377216464352</v>
      </c>
      <c r="CD108" s="131">
        <f t="shared" si="71"/>
        <v>1.3708915490051359</v>
      </c>
      <c r="CE108" s="135">
        <f t="shared" si="72"/>
        <v>1.5566339310780002</v>
      </c>
      <c r="CF108" s="92" t="str">
        <f t="shared" si="73"/>
        <v>O/S</v>
      </c>
      <c r="CG108" s="50"/>
      <c r="DA108" s="111"/>
      <c r="DB108" s="111"/>
      <c r="DC108" s="111"/>
      <c r="DD108" s="116"/>
      <c r="DE108" s="120"/>
      <c r="DF108" s="121"/>
      <c r="DG108" s="121"/>
      <c r="DH108" s="121"/>
      <c r="DI108" s="121"/>
      <c r="DJ108" s="121"/>
      <c r="DK108" s="122"/>
      <c r="DL108" s="123"/>
      <c r="DM108" s="123"/>
      <c r="DN108" s="123"/>
      <c r="DO108" s="123"/>
      <c r="DP108" s="123"/>
      <c r="DQ108" s="111"/>
      <c r="DR108" s="120"/>
      <c r="DS108" s="120"/>
      <c r="DT108" s="120"/>
      <c r="DU108" s="120"/>
      <c r="DV108" s="120"/>
      <c r="DW108" s="120"/>
      <c r="DX108" s="120"/>
      <c r="DY108" s="120"/>
      <c r="DZ108" s="120"/>
      <c r="EA108" s="122"/>
      <c r="EB108" s="122"/>
      <c r="EC108" s="122"/>
      <c r="ED108" s="122"/>
      <c r="EE108" s="122"/>
      <c r="EF108" s="122"/>
      <c r="EG108" s="122"/>
      <c r="EH108" s="122"/>
      <c r="EI108" s="122"/>
      <c r="EJ108" s="122"/>
      <c r="EK108" s="131"/>
      <c r="EL108" s="122"/>
      <c r="EM108" s="276"/>
      <c r="EN108" s="276"/>
      <c r="EO108" s="135"/>
      <c r="EP108" s="136"/>
      <c r="EQ108" s="137"/>
      <c r="ER108" s="276"/>
      <c r="ES108" s="276"/>
      <c r="ET108" s="276"/>
      <c r="EU108" s="276"/>
      <c r="EV108" s="139"/>
      <c r="EW108" s="131"/>
      <c r="EX108" s="139"/>
      <c r="EY108" s="123"/>
      <c r="EZ108" s="141"/>
      <c r="FA108" s="131"/>
      <c r="FB108" s="143"/>
      <c r="FC108" s="123"/>
      <c r="FD108" s="131"/>
      <c r="FE108" s="276"/>
      <c r="FF108" s="276"/>
      <c r="FG108" s="50"/>
    </row>
    <row r="109" spans="8:163">
      <c r="AA109" s="111" t="s">
        <v>245</v>
      </c>
      <c r="AB109" s="111" t="s">
        <v>312</v>
      </c>
      <c r="AC109" s="111">
        <v>46</v>
      </c>
      <c r="AD109" s="116">
        <v>0</v>
      </c>
      <c r="AE109" s="120">
        <v>750</v>
      </c>
      <c r="AF109" s="121">
        <v>350</v>
      </c>
      <c r="AG109" s="121">
        <v>14</v>
      </c>
      <c r="AH109" s="121">
        <v>18.000000000000004</v>
      </c>
      <c r="AI109" s="121">
        <v>714</v>
      </c>
      <c r="AJ109" s="64" t="str" cm="1">
        <f t="array" ref="AJ109">_xll.Dce_Name_SectI(AE109, AE109, AF109, AG109, AH109, "x", "-", "H Tổng")</f>
        <v>750x350x14x18</v>
      </c>
      <c r="AK109" s="122">
        <f t="shared" si="40"/>
        <v>1010</v>
      </c>
      <c r="AL109" s="123">
        <f t="shared" si="41"/>
        <v>350</v>
      </c>
      <c r="AM109" s="123">
        <f t="shared" si="42"/>
        <v>25</v>
      </c>
      <c r="AN109" s="123">
        <f t="shared" si="43"/>
        <v>12</v>
      </c>
      <c r="AO109" s="123">
        <f t="shared" si="44"/>
        <v>24</v>
      </c>
      <c r="AP109" s="165" t="str">
        <f t="shared" si="45"/>
        <v>1010x350x25 + 12M24</v>
      </c>
      <c r="AQ109" s="111" t="s">
        <v>329</v>
      </c>
      <c r="AR109" s="120">
        <v>0</v>
      </c>
      <c r="AS109" s="120">
        <v>529.62712076278433</v>
      </c>
      <c r="AT109" s="120">
        <v>-6.6211214289069166E-14</v>
      </c>
      <c r="AU109" s="120">
        <v>-4.7332862615153811E-3</v>
      </c>
      <c r="AV109" s="120">
        <v>5.7113356888294207E-14</v>
      </c>
      <c r="AW109" s="120">
        <v>-497.32576434071331</v>
      </c>
      <c r="AX109" s="120"/>
      <c r="AY109" s="120"/>
      <c r="AZ109" s="120"/>
      <c r="BA109" s="122">
        <f t="shared" si="46"/>
        <v>60</v>
      </c>
      <c r="BB109" s="122">
        <f t="shared" si="47"/>
        <v>70</v>
      </c>
      <c r="BC109" s="122">
        <f t="shared" si="48"/>
        <v>80</v>
      </c>
      <c r="BD109" s="122">
        <f t="shared" si="49"/>
        <v>150</v>
      </c>
      <c r="BE109" s="122">
        <f>VLOOKUP(AO109,Data!$V$4:$Z$15,3,FALSE)</f>
        <v>452.38934211693021</v>
      </c>
      <c r="BF109" s="122">
        <f>VLOOKUP(AO109,Data!$V$4:$Z$15,4,FALSE)</f>
        <v>353</v>
      </c>
      <c r="BG109" s="163">
        <f t="shared" si="50"/>
        <v>180</v>
      </c>
      <c r="BH109" s="122">
        <f t="shared" si="51"/>
        <v>121.65654188208487</v>
      </c>
      <c r="BI109" s="122">
        <f t="shared" si="52"/>
        <v>243</v>
      </c>
      <c r="BJ109" s="163">
        <f t="shared" si="53"/>
        <v>142.3296</v>
      </c>
      <c r="BK109" s="131">
        <f t="shared" si="54"/>
        <v>44.135593396898692</v>
      </c>
      <c r="BL109" s="134">
        <f t="shared" si="55"/>
        <v>0.89458333333333329</v>
      </c>
      <c r="BM109" s="135">
        <f t="shared" si="56"/>
        <v>0.40553906907512077</v>
      </c>
      <c r="BN109" s="92" t="str">
        <f t="shared" si="57"/>
        <v>OK</v>
      </c>
      <c r="BO109" s="135">
        <f>_xll.DCEBoltDisRS(AN109, AE109, BA109, BB109, BC109, BD109, "h1")</f>
        <v>890</v>
      </c>
      <c r="BP109" s="136">
        <f>_xll.DCEBoltDisRS(AN109, AE109, BA109, BB109, BC109, BD109, "Tong")</f>
        <v>1800300</v>
      </c>
      <c r="BQ109" s="137">
        <f t="shared" si="58"/>
        <v>122.92949237994635</v>
      </c>
      <c r="BR109" s="135">
        <f t="shared" si="59"/>
        <v>0.86369590288981601</v>
      </c>
      <c r="BS109" s="64" t="str">
        <f t="shared" si="60"/>
        <v>OK</v>
      </c>
      <c r="BT109" s="131">
        <f t="shared" si="61"/>
        <v>0.9367956568797412</v>
      </c>
      <c r="BU109" s="92" t="str">
        <f t="shared" si="62"/>
        <v>OK</v>
      </c>
      <c r="BV109" s="139">
        <f t="shared" si="63"/>
        <v>679.40678188622041</v>
      </c>
      <c r="BW109" s="131">
        <f t="shared" si="64"/>
        <v>15.286652592439959</v>
      </c>
      <c r="BX109" s="139">
        <f t="shared" si="65"/>
        <v>339.70339094311021</v>
      </c>
      <c r="BY109" s="123">
        <f t="shared" si="66"/>
        <v>145.29887612616199</v>
      </c>
      <c r="BZ109" s="141">
        <f t="shared" si="67"/>
        <v>0.70631398116884303</v>
      </c>
      <c r="CA109" s="131">
        <f t="shared" si="68"/>
        <v>13.453599641311296</v>
      </c>
      <c r="CB109" s="143">
        <f t="shared" si="69"/>
        <v>0.11275765982899795</v>
      </c>
      <c r="CC109" s="123">
        <f t="shared" si="70"/>
        <v>147.15556881563077</v>
      </c>
      <c r="CD109" s="131">
        <f t="shared" si="71"/>
        <v>0.62203440924481623</v>
      </c>
      <c r="CE109" s="135">
        <f t="shared" si="72"/>
        <v>0.70631398116884303</v>
      </c>
      <c r="CF109" s="92" t="str">
        <f t="shared" si="73"/>
        <v>OK</v>
      </c>
      <c r="CG109" s="50"/>
      <c r="DA109" s="111"/>
      <c r="DB109" s="111"/>
      <c r="DC109" s="111"/>
      <c r="DD109" s="116"/>
      <c r="DE109" s="120"/>
      <c r="DF109" s="121"/>
      <c r="DG109" s="121"/>
      <c r="DH109" s="121"/>
      <c r="DI109" s="121"/>
      <c r="DJ109" s="121"/>
      <c r="DK109" s="122"/>
      <c r="DL109" s="123"/>
      <c r="DM109" s="123"/>
      <c r="DN109" s="123"/>
      <c r="DO109" s="123"/>
      <c r="DP109" s="123"/>
      <c r="DQ109" s="111"/>
      <c r="DR109" s="120"/>
      <c r="DS109" s="120"/>
      <c r="DT109" s="120"/>
      <c r="DU109" s="120"/>
      <c r="DV109" s="120"/>
      <c r="DW109" s="120"/>
      <c r="DX109" s="120"/>
      <c r="DY109" s="120"/>
      <c r="DZ109" s="120"/>
      <c r="EA109" s="122"/>
      <c r="EB109" s="122"/>
      <c r="EC109" s="122"/>
      <c r="ED109" s="122"/>
      <c r="EE109" s="122"/>
      <c r="EF109" s="122"/>
      <c r="EG109" s="122"/>
      <c r="EH109" s="122"/>
      <c r="EI109" s="122"/>
      <c r="EJ109" s="122"/>
      <c r="EK109" s="131"/>
      <c r="EL109" s="122"/>
      <c r="EM109" s="276"/>
      <c r="EN109" s="276"/>
      <c r="EO109" s="135"/>
      <c r="EP109" s="136"/>
      <c r="EQ109" s="137"/>
      <c r="ER109" s="276"/>
      <c r="ES109" s="276"/>
      <c r="ET109" s="276"/>
      <c r="EU109" s="276"/>
      <c r="EV109" s="139"/>
      <c r="EW109" s="131"/>
      <c r="EX109" s="139"/>
      <c r="EY109" s="123"/>
      <c r="EZ109" s="141"/>
      <c r="FA109" s="131"/>
      <c r="FB109" s="143"/>
      <c r="FC109" s="123"/>
      <c r="FD109" s="131"/>
      <c r="FE109" s="276"/>
      <c r="FF109" s="276"/>
      <c r="FG109" s="50"/>
    </row>
    <row r="110" spans="8:163">
      <c r="AA110" s="111" t="s">
        <v>245</v>
      </c>
      <c r="AB110" s="111" t="s">
        <v>312</v>
      </c>
      <c r="AC110" s="111">
        <v>46</v>
      </c>
      <c r="AD110" s="116">
        <v>2.6850000000000001</v>
      </c>
      <c r="AE110" s="120">
        <v>1100</v>
      </c>
      <c r="AF110" s="121">
        <v>350</v>
      </c>
      <c r="AG110" s="121">
        <v>14</v>
      </c>
      <c r="AH110" s="121">
        <v>18.000000000000004</v>
      </c>
      <c r="AI110" s="121">
        <v>1064</v>
      </c>
      <c r="AJ110" s="64" t="str" cm="1">
        <f t="array" ref="AJ110">_xll.Dce_Name_SectI(AE110, AE110, AF110, AG110, AH110, "x", "-", "H Tổng")</f>
        <v>1100x350x14x18</v>
      </c>
      <c r="AK110" s="122">
        <f t="shared" si="40"/>
        <v>1360</v>
      </c>
      <c r="AL110" s="123">
        <f t="shared" si="41"/>
        <v>350</v>
      </c>
      <c r="AM110" s="123">
        <f t="shared" si="42"/>
        <v>25</v>
      </c>
      <c r="AN110" s="123">
        <f t="shared" si="43"/>
        <v>16</v>
      </c>
      <c r="AO110" s="123">
        <f t="shared" si="44"/>
        <v>27</v>
      </c>
      <c r="AP110" s="165" t="str">
        <f t="shared" si="45"/>
        <v>1360x350x25 + 16M27</v>
      </c>
      <c r="AQ110" s="111" t="s">
        <v>329</v>
      </c>
      <c r="AR110" s="120">
        <v>0</v>
      </c>
      <c r="AS110" s="120">
        <v>707.92552058594947</v>
      </c>
      <c r="AT110" s="120">
        <v>-1.2846612662542609E-14</v>
      </c>
      <c r="AU110" s="120">
        <v>-4.7325820507165915E-3</v>
      </c>
      <c r="AV110" s="120">
        <v>8.8160277300630673E-15</v>
      </c>
      <c r="AW110" s="120">
        <v>-2186.4317793592027</v>
      </c>
      <c r="AX110" s="120"/>
      <c r="AY110" s="120"/>
      <c r="AZ110" s="120"/>
      <c r="BA110" s="122">
        <f t="shared" si="46"/>
        <v>60</v>
      </c>
      <c r="BB110" s="122">
        <f t="shared" si="47"/>
        <v>70</v>
      </c>
      <c r="BC110" s="122">
        <f t="shared" si="48"/>
        <v>80</v>
      </c>
      <c r="BD110" s="122">
        <f t="shared" si="49"/>
        <v>160</v>
      </c>
      <c r="BE110" s="122">
        <f>VLOOKUP(AO110,Data!$V$4:$Z$15,3,FALSE)</f>
        <v>572.55526111673976</v>
      </c>
      <c r="BF110" s="122">
        <f>VLOOKUP(AO110,Data!$V$4:$Z$15,4,FALSE)</f>
        <v>459</v>
      </c>
      <c r="BG110" s="163">
        <f t="shared" si="50"/>
        <v>180</v>
      </c>
      <c r="BH110" s="122">
        <f t="shared" si="51"/>
        <v>153.97156081951366</v>
      </c>
      <c r="BI110" s="122">
        <f t="shared" si="52"/>
        <v>273.375</v>
      </c>
      <c r="BJ110" s="163">
        <f t="shared" si="53"/>
        <v>185.06880000000001</v>
      </c>
      <c r="BK110" s="131">
        <f t="shared" si="54"/>
        <v>44.245345036621842</v>
      </c>
      <c r="BL110" s="134">
        <f t="shared" si="55"/>
        <v>0.85037037037037044</v>
      </c>
      <c r="BM110" s="135">
        <f t="shared" si="56"/>
        <v>0.33792393547581506</v>
      </c>
      <c r="BN110" s="92" t="str">
        <f t="shared" si="57"/>
        <v>OK</v>
      </c>
      <c r="BO110" s="135">
        <f>_xll.DCEBoltDisRS(AN110, AE110, BA110, BB110, BC110, BD110, "h1")</f>
        <v>1240</v>
      </c>
      <c r="BP110" s="136">
        <f>_xll.DCEBoltDisRS(AN110, AE110, BA110, BB110, BC110, BD110, "Tong")</f>
        <v>4523000</v>
      </c>
      <c r="BQ110" s="137">
        <f t="shared" si="58"/>
        <v>299.70986142001016</v>
      </c>
      <c r="BR110" s="135">
        <f t="shared" si="59"/>
        <v>1.6194510442603516</v>
      </c>
      <c r="BS110" s="64" t="str">
        <f t="shared" si="60"/>
        <v>O/S</v>
      </c>
      <c r="BT110" s="131">
        <f t="shared" si="61"/>
        <v>1.6447485348715007</v>
      </c>
      <c r="BU110" s="92" t="str">
        <f t="shared" si="62"/>
        <v>O/S</v>
      </c>
      <c r="BV110" s="139">
        <f t="shared" si="63"/>
        <v>2020.7317738994477</v>
      </c>
      <c r="BW110" s="131">
        <f t="shared" si="64"/>
        <v>45.466464912737571</v>
      </c>
      <c r="BX110" s="139">
        <f t="shared" si="65"/>
        <v>1010.3658869497239</v>
      </c>
      <c r="BY110" s="123">
        <f t="shared" si="66"/>
        <v>320.93975232520643</v>
      </c>
      <c r="BZ110" s="141">
        <f t="shared" si="67"/>
        <v>1.5601237960253092</v>
      </c>
      <c r="CA110" s="131">
        <f t="shared" si="68"/>
        <v>29.716643733815406</v>
      </c>
      <c r="CB110" s="143">
        <f t="shared" si="69"/>
        <v>0.24906190868858699</v>
      </c>
      <c r="CC110" s="123">
        <f t="shared" si="70"/>
        <v>325.04086107283865</v>
      </c>
      <c r="CD110" s="131">
        <f t="shared" si="71"/>
        <v>1.3739649924576516</v>
      </c>
      <c r="CE110" s="135">
        <f t="shared" si="72"/>
        <v>1.5601237960253092</v>
      </c>
      <c r="CF110" s="92" t="str">
        <f t="shared" si="73"/>
        <v>O/S</v>
      </c>
      <c r="CG110" s="50"/>
      <c r="DA110" s="111"/>
      <c r="DB110" s="111"/>
      <c r="DC110" s="111"/>
      <c r="DD110" s="116"/>
      <c r="DE110" s="120"/>
      <c r="DF110" s="121"/>
      <c r="DG110" s="121"/>
      <c r="DH110" s="121"/>
      <c r="DI110" s="121"/>
      <c r="DJ110" s="121"/>
      <c r="DK110" s="122"/>
      <c r="DL110" s="123"/>
      <c r="DM110" s="123"/>
      <c r="DN110" s="123"/>
      <c r="DO110" s="123"/>
      <c r="DP110" s="123"/>
      <c r="DQ110" s="111"/>
      <c r="DR110" s="120"/>
      <c r="DS110" s="120"/>
      <c r="DT110" s="120"/>
      <c r="DU110" s="120"/>
      <c r="DV110" s="120"/>
      <c r="DW110" s="120"/>
      <c r="DX110" s="120"/>
      <c r="DY110" s="120"/>
      <c r="DZ110" s="120"/>
      <c r="EA110" s="122"/>
      <c r="EB110" s="122"/>
      <c r="EC110" s="122"/>
      <c r="ED110" s="122"/>
      <c r="EE110" s="122"/>
      <c r="EF110" s="122"/>
      <c r="EG110" s="122"/>
      <c r="EH110" s="122"/>
      <c r="EI110" s="122"/>
      <c r="EJ110" s="122"/>
      <c r="EK110" s="131"/>
      <c r="EL110" s="122"/>
      <c r="EM110" s="276"/>
      <c r="EN110" s="276"/>
      <c r="EO110" s="135"/>
      <c r="EP110" s="136"/>
      <c r="EQ110" s="137"/>
      <c r="ER110" s="276"/>
      <c r="ES110" s="276"/>
      <c r="ET110" s="276"/>
      <c r="EU110" s="276"/>
      <c r="EV110" s="139"/>
      <c r="EW110" s="131"/>
      <c r="EX110" s="139"/>
      <c r="EY110" s="123"/>
      <c r="EZ110" s="141"/>
      <c r="FA110" s="131"/>
      <c r="FB110" s="143"/>
      <c r="FC110" s="123"/>
      <c r="FD110" s="131"/>
      <c r="FE110" s="276"/>
      <c r="FF110" s="276"/>
      <c r="FG110" s="50"/>
    </row>
    <row r="111" spans="8:163">
      <c r="AA111" s="111" t="s">
        <v>245</v>
      </c>
      <c r="AB111" s="111" t="s">
        <v>312</v>
      </c>
      <c r="AC111" s="111">
        <v>46</v>
      </c>
      <c r="AD111" s="116">
        <v>0</v>
      </c>
      <c r="AE111" s="120">
        <v>750</v>
      </c>
      <c r="AF111" s="121">
        <v>350</v>
      </c>
      <c r="AG111" s="121">
        <v>14</v>
      </c>
      <c r="AH111" s="121">
        <v>18.000000000000004</v>
      </c>
      <c r="AI111" s="121">
        <v>714</v>
      </c>
      <c r="AJ111" s="64" t="str" cm="1">
        <f t="array" ref="AJ111">_xll.Dce_Name_SectI(AE111, AE111, AF111, AG111, AH111, "x", "-", "H Tổng")</f>
        <v>750x350x14x18</v>
      </c>
      <c r="AK111" s="122">
        <f t="shared" si="40"/>
        <v>1010</v>
      </c>
      <c r="AL111" s="123">
        <f t="shared" si="41"/>
        <v>350</v>
      </c>
      <c r="AM111" s="123">
        <f t="shared" si="42"/>
        <v>25</v>
      </c>
      <c r="AN111" s="123">
        <f t="shared" si="43"/>
        <v>12</v>
      </c>
      <c r="AO111" s="123">
        <f t="shared" si="44"/>
        <v>24</v>
      </c>
      <c r="AP111" s="165" t="str">
        <f t="shared" si="45"/>
        <v>1010x350x25 + 12M24</v>
      </c>
      <c r="AQ111" s="111" t="s">
        <v>330</v>
      </c>
      <c r="AR111" s="120">
        <v>0</v>
      </c>
      <c r="AS111" s="120">
        <v>518.96927356388733</v>
      </c>
      <c r="AT111" s="120">
        <v>-5.120455170981585E-14</v>
      </c>
      <c r="AU111" s="120">
        <v>-4.6391845062666451E-3</v>
      </c>
      <c r="AV111" s="120">
        <v>5.2689574658870684E-14</v>
      </c>
      <c r="AW111" s="120">
        <v>-430.28245740583674</v>
      </c>
      <c r="AX111" s="120"/>
      <c r="AY111" s="120"/>
      <c r="AZ111" s="120"/>
      <c r="BA111" s="122">
        <f t="shared" si="46"/>
        <v>60</v>
      </c>
      <c r="BB111" s="122">
        <f t="shared" si="47"/>
        <v>70</v>
      </c>
      <c r="BC111" s="122">
        <f t="shared" si="48"/>
        <v>80</v>
      </c>
      <c r="BD111" s="122">
        <f t="shared" si="49"/>
        <v>150</v>
      </c>
      <c r="BE111" s="122">
        <f>VLOOKUP(AO111,Data!$V$4:$Z$15,3,FALSE)</f>
        <v>452.38934211693021</v>
      </c>
      <c r="BF111" s="122">
        <f>VLOOKUP(AO111,Data!$V$4:$Z$15,4,FALSE)</f>
        <v>353</v>
      </c>
      <c r="BG111" s="163">
        <f t="shared" si="50"/>
        <v>180</v>
      </c>
      <c r="BH111" s="122">
        <f t="shared" si="51"/>
        <v>121.65654188208487</v>
      </c>
      <c r="BI111" s="122">
        <f t="shared" si="52"/>
        <v>243</v>
      </c>
      <c r="BJ111" s="163">
        <f t="shared" si="53"/>
        <v>142.3296</v>
      </c>
      <c r="BK111" s="131">
        <f t="shared" si="54"/>
        <v>43.24743946365728</v>
      </c>
      <c r="BL111" s="134">
        <f t="shared" si="55"/>
        <v>0.89458333333333329</v>
      </c>
      <c r="BM111" s="135">
        <f t="shared" si="56"/>
        <v>0.39737828337902453</v>
      </c>
      <c r="BN111" s="92" t="str">
        <f t="shared" si="57"/>
        <v>OK</v>
      </c>
      <c r="BO111" s="135">
        <f>_xll.DCEBoltDisRS(AN111, AE111, BA111, BB111, BC111, BD111, "h1")</f>
        <v>890</v>
      </c>
      <c r="BP111" s="136">
        <f>_xll.DCEBoltDisRS(AN111, AE111, BA111, BB111, BC111, BD111, "Tong")</f>
        <v>1800300</v>
      </c>
      <c r="BQ111" s="137">
        <f t="shared" si="58"/>
        <v>106.35765902660521</v>
      </c>
      <c r="BR111" s="135">
        <f t="shared" si="59"/>
        <v>0.74726310638549676</v>
      </c>
      <c r="BS111" s="64" t="str">
        <f t="shared" si="60"/>
        <v>OK</v>
      </c>
      <c r="BT111" s="131">
        <f t="shared" si="61"/>
        <v>0.82751064085577319</v>
      </c>
      <c r="BU111" s="92" t="str">
        <f t="shared" si="62"/>
        <v>OK</v>
      </c>
      <c r="BV111" s="139">
        <f t="shared" si="63"/>
        <v>587.81756476207204</v>
      </c>
      <c r="BW111" s="131">
        <f t="shared" si="64"/>
        <v>13.225895207146621</v>
      </c>
      <c r="BX111" s="139">
        <f t="shared" si="65"/>
        <v>293.90878238103602</v>
      </c>
      <c r="BY111" s="123">
        <f t="shared" si="66"/>
        <v>125.71147919664116</v>
      </c>
      <c r="BZ111" s="141">
        <f t="shared" si="67"/>
        <v>0.61109746831700573</v>
      </c>
      <c r="CA111" s="131">
        <f t="shared" si="68"/>
        <v>11.639951777466774</v>
      </c>
      <c r="CB111" s="143">
        <f t="shared" si="69"/>
        <v>9.7557067100415978E-2</v>
      </c>
      <c r="CC111" s="123">
        <f t="shared" si="70"/>
        <v>127.31787554759465</v>
      </c>
      <c r="CD111" s="131">
        <f t="shared" si="71"/>
        <v>0.53817942562389054</v>
      </c>
      <c r="CE111" s="135">
        <f t="shared" si="72"/>
        <v>0.61109746831700573</v>
      </c>
      <c r="CF111" s="92" t="str">
        <f t="shared" si="73"/>
        <v>OK</v>
      </c>
      <c r="CG111" s="50"/>
      <c r="DA111" s="111"/>
      <c r="DB111" s="111"/>
      <c r="DC111" s="111"/>
      <c r="DD111" s="116"/>
      <c r="DE111" s="120"/>
      <c r="DF111" s="121"/>
      <c r="DG111" s="121"/>
      <c r="DH111" s="121"/>
      <c r="DI111" s="121"/>
      <c r="DJ111" s="121"/>
      <c r="DK111" s="122"/>
      <c r="DL111" s="123"/>
      <c r="DM111" s="123"/>
      <c r="DN111" s="123"/>
      <c r="DO111" s="123"/>
      <c r="DP111" s="123"/>
      <c r="DQ111" s="111"/>
      <c r="DR111" s="120"/>
      <c r="DS111" s="120"/>
      <c r="DT111" s="120"/>
      <c r="DU111" s="120"/>
      <c r="DV111" s="120"/>
      <c r="DW111" s="120"/>
      <c r="DX111" s="120"/>
      <c r="DY111" s="120"/>
      <c r="DZ111" s="120"/>
      <c r="EA111" s="122"/>
      <c r="EB111" s="122"/>
      <c r="EC111" s="122"/>
      <c r="ED111" s="122"/>
      <c r="EE111" s="122"/>
      <c r="EF111" s="122"/>
      <c r="EG111" s="122"/>
      <c r="EH111" s="122"/>
      <c r="EI111" s="122"/>
      <c r="EJ111" s="122"/>
      <c r="EK111" s="131"/>
      <c r="EL111" s="122"/>
      <c r="EM111" s="276"/>
      <c r="EN111" s="276"/>
      <c r="EO111" s="135"/>
      <c r="EP111" s="136"/>
      <c r="EQ111" s="137"/>
      <c r="ER111" s="276"/>
      <c r="ES111" s="276"/>
      <c r="ET111" s="276"/>
      <c r="EU111" s="276"/>
      <c r="EV111" s="139"/>
      <c r="EW111" s="131"/>
      <c r="EX111" s="139"/>
      <c r="EY111" s="123"/>
      <c r="EZ111" s="141"/>
      <c r="FA111" s="131"/>
      <c r="FB111" s="143"/>
      <c r="FC111" s="123"/>
      <c r="FD111" s="131"/>
      <c r="FE111" s="276"/>
      <c r="FF111" s="276"/>
      <c r="FG111" s="50"/>
    </row>
    <row r="112" spans="8:163">
      <c r="AA112" s="111" t="s">
        <v>245</v>
      </c>
      <c r="AB112" s="111" t="s">
        <v>312</v>
      </c>
      <c r="AC112" s="111">
        <v>46</v>
      </c>
      <c r="AD112" s="116">
        <v>2.6850000000000001</v>
      </c>
      <c r="AE112" s="120">
        <v>1100</v>
      </c>
      <c r="AF112" s="121">
        <v>350</v>
      </c>
      <c r="AG112" s="121">
        <v>14</v>
      </c>
      <c r="AH112" s="121">
        <v>18.000000000000004</v>
      </c>
      <c r="AI112" s="121">
        <v>1064</v>
      </c>
      <c r="AJ112" s="64" t="str" cm="1">
        <f t="array" ref="AJ112">_xll.Dce_Name_SectI(AE112, AE112, AF112, AG112, AH112, "x", "-", "H Tổng")</f>
        <v>1100x350x14x18</v>
      </c>
      <c r="AK112" s="122">
        <f t="shared" si="40"/>
        <v>1360</v>
      </c>
      <c r="AL112" s="123">
        <f t="shared" si="41"/>
        <v>350</v>
      </c>
      <c r="AM112" s="123">
        <f t="shared" si="42"/>
        <v>25</v>
      </c>
      <c r="AN112" s="123">
        <f t="shared" si="43"/>
        <v>16</v>
      </c>
      <c r="AO112" s="123">
        <f t="shared" si="44"/>
        <v>27</v>
      </c>
      <c r="AP112" s="165" t="str">
        <f t="shared" si="45"/>
        <v>1360x350x25 + 16M27</v>
      </c>
      <c r="AQ112" s="111" t="s">
        <v>330</v>
      </c>
      <c r="AR112" s="120">
        <v>0</v>
      </c>
      <c r="AS112" s="120">
        <v>697.26766994312868</v>
      </c>
      <c r="AT112" s="120">
        <v>-1.3301360013429073E-14</v>
      </c>
      <c r="AU112" s="120">
        <v>-4.6384938728498692E-3</v>
      </c>
      <c r="AV112" s="120">
        <v>9.0347612058394575E-15</v>
      </c>
      <c r="AW112" s="120">
        <v>-2090.7723703321872</v>
      </c>
      <c r="AX112" s="120"/>
      <c r="AY112" s="120"/>
      <c r="AZ112" s="120"/>
      <c r="BA112" s="122">
        <f t="shared" si="46"/>
        <v>60</v>
      </c>
      <c r="BB112" s="122">
        <f t="shared" si="47"/>
        <v>70</v>
      </c>
      <c r="BC112" s="122">
        <f t="shared" si="48"/>
        <v>80</v>
      </c>
      <c r="BD112" s="122">
        <f t="shared" si="49"/>
        <v>160</v>
      </c>
      <c r="BE112" s="122">
        <f>VLOOKUP(AO112,Data!$V$4:$Z$15,3,FALSE)</f>
        <v>572.55526111673976</v>
      </c>
      <c r="BF112" s="122">
        <f>VLOOKUP(AO112,Data!$V$4:$Z$15,4,FALSE)</f>
        <v>459</v>
      </c>
      <c r="BG112" s="163">
        <f t="shared" si="50"/>
        <v>180</v>
      </c>
      <c r="BH112" s="122">
        <f t="shared" si="51"/>
        <v>153.97156081951366</v>
      </c>
      <c r="BI112" s="122">
        <f t="shared" si="52"/>
        <v>273.375</v>
      </c>
      <c r="BJ112" s="163">
        <f t="shared" si="53"/>
        <v>185.06880000000001</v>
      </c>
      <c r="BK112" s="131">
        <f t="shared" si="54"/>
        <v>43.579229371445543</v>
      </c>
      <c r="BL112" s="134">
        <f t="shared" si="55"/>
        <v>0.85037037037037044</v>
      </c>
      <c r="BM112" s="135">
        <f t="shared" si="56"/>
        <v>0.33283647538544503</v>
      </c>
      <c r="BN112" s="92" t="str">
        <f t="shared" si="57"/>
        <v>OK</v>
      </c>
      <c r="BO112" s="135">
        <f>_xll.DCEBoltDisRS(AN112, AE112, BA112, BB112, BC112, BD112, "h1")</f>
        <v>1240</v>
      </c>
      <c r="BP112" s="136">
        <f>_xll.DCEBoltDisRS(AN112, AE112, BA112, BB112, BC112, BD112, "Tong")</f>
        <v>4523000</v>
      </c>
      <c r="BQ112" s="137">
        <f t="shared" si="58"/>
        <v>286.59714119079285</v>
      </c>
      <c r="BR112" s="135">
        <f t="shared" si="59"/>
        <v>1.5485978251914576</v>
      </c>
      <c r="BS112" s="64" t="str">
        <f t="shared" si="60"/>
        <v>O/S</v>
      </c>
      <c r="BT112" s="131">
        <f t="shared" si="61"/>
        <v>1.5742501789924035</v>
      </c>
      <c r="BU112" s="92" t="str">
        <f t="shared" si="62"/>
        <v>O/S</v>
      </c>
      <c r="BV112" s="139">
        <f t="shared" si="63"/>
        <v>1932.3219688837219</v>
      </c>
      <c r="BW112" s="131">
        <f t="shared" si="64"/>
        <v>43.477244299883743</v>
      </c>
      <c r="BX112" s="139">
        <f t="shared" si="65"/>
        <v>966.16098444186093</v>
      </c>
      <c r="BY112" s="123">
        <f t="shared" si="66"/>
        <v>306.8981950580029</v>
      </c>
      <c r="BZ112" s="141">
        <f t="shared" si="67"/>
        <v>1.4918662259764031</v>
      </c>
      <c r="CA112" s="131">
        <f t="shared" si="68"/>
        <v>28.416499542407674</v>
      </c>
      <c r="CB112" s="143">
        <f t="shared" si="69"/>
        <v>0.238165106318072</v>
      </c>
      <c r="CC112" s="123">
        <f t="shared" si="70"/>
        <v>310.81987463576223</v>
      </c>
      <c r="CD112" s="131">
        <f t="shared" si="71"/>
        <v>1.3138521270835362</v>
      </c>
      <c r="CE112" s="135">
        <f t="shared" si="72"/>
        <v>1.4918662259764031</v>
      </c>
      <c r="CF112" s="92" t="str">
        <f t="shared" si="73"/>
        <v>O/S</v>
      </c>
      <c r="CG112" s="50"/>
      <c r="DA112" s="111"/>
      <c r="DB112" s="111"/>
      <c r="DC112" s="111"/>
      <c r="DD112" s="116"/>
      <c r="DE112" s="120"/>
      <c r="DF112" s="121"/>
      <c r="DG112" s="121"/>
      <c r="DH112" s="121"/>
      <c r="DI112" s="121"/>
      <c r="DJ112" s="121"/>
      <c r="DK112" s="122"/>
      <c r="DL112" s="123"/>
      <c r="DM112" s="123"/>
      <c r="DN112" s="123"/>
      <c r="DO112" s="123"/>
      <c r="DP112" s="123"/>
      <c r="DQ112" s="111"/>
      <c r="DR112" s="120"/>
      <c r="DS112" s="120"/>
      <c r="DT112" s="120"/>
      <c r="DU112" s="120"/>
      <c r="DV112" s="120"/>
      <c r="DW112" s="120"/>
      <c r="DX112" s="120"/>
      <c r="DY112" s="120"/>
      <c r="DZ112" s="120"/>
      <c r="EA112" s="122"/>
      <c r="EB112" s="122"/>
      <c r="EC112" s="122"/>
      <c r="ED112" s="122"/>
      <c r="EE112" s="122"/>
      <c r="EF112" s="122"/>
      <c r="EG112" s="122"/>
      <c r="EH112" s="122"/>
      <c r="EI112" s="122"/>
      <c r="EJ112" s="122"/>
      <c r="EK112" s="131"/>
      <c r="EL112" s="122"/>
      <c r="EM112" s="276"/>
      <c r="EN112" s="276"/>
      <c r="EO112" s="135"/>
      <c r="EP112" s="136"/>
      <c r="EQ112" s="137"/>
      <c r="ER112" s="276"/>
      <c r="ES112" s="276"/>
      <c r="ET112" s="276"/>
      <c r="EU112" s="276"/>
      <c r="EV112" s="139"/>
      <c r="EW112" s="131"/>
      <c r="EX112" s="139"/>
      <c r="EY112" s="123"/>
      <c r="EZ112" s="141"/>
      <c r="FA112" s="131"/>
      <c r="FB112" s="143"/>
      <c r="FC112" s="123"/>
      <c r="FD112" s="131"/>
      <c r="FE112" s="276"/>
      <c r="FF112" s="276"/>
      <c r="FG112" s="50"/>
    </row>
    <row r="113" spans="27:163">
      <c r="AA113" s="111" t="s">
        <v>245</v>
      </c>
      <c r="AB113" s="111" t="s">
        <v>312</v>
      </c>
      <c r="AC113" s="111">
        <v>46</v>
      </c>
      <c r="AD113" s="116">
        <v>0</v>
      </c>
      <c r="AE113" s="120">
        <v>750</v>
      </c>
      <c r="AF113" s="121">
        <v>350</v>
      </c>
      <c r="AG113" s="121">
        <v>14</v>
      </c>
      <c r="AH113" s="121">
        <v>18.000000000000004</v>
      </c>
      <c r="AI113" s="121">
        <v>714</v>
      </c>
      <c r="AJ113" s="64" t="str" cm="1">
        <f t="array" ref="AJ113">_xll.Dce_Name_SectI(AE113, AE113, AF113, AG113, AH113, "x", "-", "H Tổng")</f>
        <v>750x350x14x18</v>
      </c>
      <c r="AK113" s="122">
        <f t="shared" si="40"/>
        <v>1010</v>
      </c>
      <c r="AL113" s="123">
        <f t="shared" si="41"/>
        <v>350</v>
      </c>
      <c r="AM113" s="123">
        <f t="shared" si="42"/>
        <v>25</v>
      </c>
      <c r="AN113" s="123">
        <f t="shared" si="43"/>
        <v>12</v>
      </c>
      <c r="AO113" s="123">
        <f t="shared" si="44"/>
        <v>24</v>
      </c>
      <c r="AP113" s="165" t="str">
        <f t="shared" si="45"/>
        <v>1010x350x25 + 12M24</v>
      </c>
      <c r="AQ113" s="111" t="s">
        <v>331</v>
      </c>
      <c r="AR113" s="120">
        <v>0</v>
      </c>
      <c r="AS113" s="120">
        <v>520.2482595487744</v>
      </c>
      <c r="AT113" s="120">
        <v>-5.3933035815134631E-14</v>
      </c>
      <c r="AU113" s="120">
        <v>-4.6898813663661587E-3</v>
      </c>
      <c r="AV113" s="120">
        <v>5.1991082727909077E-14</v>
      </c>
      <c r="AW113" s="120">
        <v>-431.90276419743628</v>
      </c>
      <c r="AX113" s="120"/>
      <c r="AY113" s="120"/>
      <c r="AZ113" s="120"/>
      <c r="BA113" s="122">
        <f t="shared" si="46"/>
        <v>60</v>
      </c>
      <c r="BB113" s="122">
        <f t="shared" si="47"/>
        <v>70</v>
      </c>
      <c r="BC113" s="122">
        <f t="shared" si="48"/>
        <v>80</v>
      </c>
      <c r="BD113" s="122">
        <f t="shared" si="49"/>
        <v>150</v>
      </c>
      <c r="BE113" s="122">
        <f>VLOOKUP(AO113,Data!$V$4:$Z$15,3,FALSE)</f>
        <v>452.38934211693021</v>
      </c>
      <c r="BF113" s="122">
        <f>VLOOKUP(AO113,Data!$V$4:$Z$15,4,FALSE)</f>
        <v>353</v>
      </c>
      <c r="BG113" s="163">
        <f t="shared" si="50"/>
        <v>180</v>
      </c>
      <c r="BH113" s="122">
        <f t="shared" si="51"/>
        <v>121.65654188208487</v>
      </c>
      <c r="BI113" s="122">
        <f t="shared" si="52"/>
        <v>243</v>
      </c>
      <c r="BJ113" s="163">
        <f t="shared" si="53"/>
        <v>142.3296</v>
      </c>
      <c r="BK113" s="131">
        <f t="shared" si="54"/>
        <v>43.354021629064533</v>
      </c>
      <c r="BL113" s="134">
        <f t="shared" si="55"/>
        <v>0.89458333333333329</v>
      </c>
      <c r="BM113" s="135">
        <f t="shared" si="56"/>
        <v>0.39835761159946048</v>
      </c>
      <c r="BN113" s="92" t="str">
        <f t="shared" si="57"/>
        <v>OK</v>
      </c>
      <c r="BO113" s="135">
        <f>_xll.DCEBoltDisRS(AN113, AE113, BA113, BB113, BC113, BD113, "h1")</f>
        <v>890</v>
      </c>
      <c r="BP113" s="136">
        <f>_xll.DCEBoltDisRS(AN113, AE113, BA113, BB113, BC113, BD113, "Tong")</f>
        <v>1800300</v>
      </c>
      <c r="BQ113" s="137">
        <f t="shared" si="58"/>
        <v>106.7581681207905</v>
      </c>
      <c r="BR113" s="135">
        <f t="shared" si="59"/>
        <v>0.75007706141793762</v>
      </c>
      <c r="BS113" s="64" t="str">
        <f t="shared" si="60"/>
        <v>OK</v>
      </c>
      <c r="BT113" s="131">
        <f t="shared" si="61"/>
        <v>0.83042817606973829</v>
      </c>
      <c r="BU113" s="92" t="str">
        <f t="shared" si="62"/>
        <v>OK</v>
      </c>
      <c r="BV113" s="139">
        <f t="shared" si="63"/>
        <v>590.03109863037741</v>
      </c>
      <c r="BW113" s="131">
        <f t="shared" si="64"/>
        <v>13.275699719183491</v>
      </c>
      <c r="BX113" s="139">
        <f t="shared" si="65"/>
        <v>295.01554931518871</v>
      </c>
      <c r="BY113" s="123">
        <f t="shared" si="66"/>
        <v>126.18486861798168</v>
      </c>
      <c r="BZ113" s="141">
        <f t="shared" si="67"/>
        <v>0.61339866689296652</v>
      </c>
      <c r="CA113" s="131">
        <f t="shared" si="68"/>
        <v>11.683784131294603</v>
      </c>
      <c r="CB113" s="143">
        <f t="shared" si="69"/>
        <v>9.7924435966310133E-2</v>
      </c>
      <c r="CC113" s="123">
        <f t="shared" si="70"/>
        <v>127.79731414633632</v>
      </c>
      <c r="CD113" s="131">
        <f t="shared" si="71"/>
        <v>0.54020603805818501</v>
      </c>
      <c r="CE113" s="135">
        <f t="shared" si="72"/>
        <v>0.61339866689296652</v>
      </c>
      <c r="CF113" s="92" t="str">
        <f t="shared" si="73"/>
        <v>OK</v>
      </c>
      <c r="CG113" s="50"/>
      <c r="DA113" s="111"/>
      <c r="DB113" s="111"/>
      <c r="DC113" s="111"/>
      <c r="DD113" s="116"/>
      <c r="DE113" s="120"/>
      <c r="DF113" s="121"/>
      <c r="DG113" s="121"/>
      <c r="DH113" s="121"/>
      <c r="DI113" s="121"/>
      <c r="DJ113" s="121"/>
      <c r="DK113" s="122"/>
      <c r="DL113" s="123"/>
      <c r="DM113" s="123"/>
      <c r="DN113" s="123"/>
      <c r="DO113" s="123"/>
      <c r="DP113" s="123"/>
      <c r="DQ113" s="111"/>
      <c r="DR113" s="120"/>
      <c r="DS113" s="120"/>
      <c r="DT113" s="120"/>
      <c r="DU113" s="120"/>
      <c r="DV113" s="120"/>
      <c r="DW113" s="120"/>
      <c r="DX113" s="120"/>
      <c r="DY113" s="120"/>
      <c r="DZ113" s="120"/>
      <c r="EA113" s="122"/>
      <c r="EB113" s="122"/>
      <c r="EC113" s="122"/>
      <c r="ED113" s="122"/>
      <c r="EE113" s="122"/>
      <c r="EF113" s="122"/>
      <c r="EG113" s="122"/>
      <c r="EH113" s="122"/>
      <c r="EI113" s="122"/>
      <c r="EJ113" s="122"/>
      <c r="EK113" s="131"/>
      <c r="EL113" s="122"/>
      <c r="EM113" s="276"/>
      <c r="EN113" s="276"/>
      <c r="EO113" s="135"/>
      <c r="EP113" s="136"/>
      <c r="EQ113" s="137"/>
      <c r="ER113" s="276"/>
      <c r="ES113" s="276"/>
      <c r="ET113" s="276"/>
      <c r="EU113" s="276"/>
      <c r="EV113" s="139"/>
      <c r="EW113" s="131"/>
      <c r="EX113" s="139"/>
      <c r="EY113" s="123"/>
      <c r="EZ113" s="141"/>
      <c r="FA113" s="131"/>
      <c r="FB113" s="143"/>
      <c r="FC113" s="123"/>
      <c r="FD113" s="131"/>
      <c r="FE113" s="276"/>
      <c r="FF113" s="276"/>
      <c r="FG113" s="50"/>
    </row>
    <row r="114" spans="27:163">
      <c r="AA114" s="111" t="s">
        <v>245</v>
      </c>
      <c r="AB114" s="111" t="s">
        <v>312</v>
      </c>
      <c r="AC114" s="111">
        <v>46</v>
      </c>
      <c r="AD114" s="116">
        <v>2.6850000000000001</v>
      </c>
      <c r="AE114" s="120">
        <v>1100</v>
      </c>
      <c r="AF114" s="121">
        <v>350</v>
      </c>
      <c r="AG114" s="121">
        <v>14</v>
      </c>
      <c r="AH114" s="121">
        <v>18.000000000000004</v>
      </c>
      <c r="AI114" s="121">
        <v>1064</v>
      </c>
      <c r="AJ114" s="64" t="str" cm="1">
        <f t="array" ref="AJ114">_xll.Dce_Name_SectI(AE114, AE114, AF114, AG114, AH114, "x", "-", "H Tổng")</f>
        <v>1100x350x14x18</v>
      </c>
      <c r="AK114" s="122">
        <f t="shared" si="40"/>
        <v>1360</v>
      </c>
      <c r="AL114" s="123">
        <f t="shared" si="41"/>
        <v>350</v>
      </c>
      <c r="AM114" s="123">
        <f t="shared" si="42"/>
        <v>25</v>
      </c>
      <c r="AN114" s="123">
        <f t="shared" si="43"/>
        <v>16</v>
      </c>
      <c r="AO114" s="123">
        <f t="shared" si="44"/>
        <v>27</v>
      </c>
      <c r="AP114" s="165" t="str">
        <f t="shared" si="45"/>
        <v>1360x350x25 + 16M27</v>
      </c>
      <c r="AQ114" s="111" t="s">
        <v>331</v>
      </c>
      <c r="AR114" s="120">
        <v>0</v>
      </c>
      <c r="AS114" s="120">
        <v>698.54665623690141</v>
      </c>
      <c r="AT114" s="120">
        <v>-1.2846612662542609E-14</v>
      </c>
      <c r="AU114" s="120">
        <v>-4.6891832573173874E-3</v>
      </c>
      <c r="AV114" s="120">
        <v>8.6996124082361328E-15</v>
      </c>
      <c r="AW114" s="120">
        <v>-2095.8267356388587</v>
      </c>
      <c r="AX114" s="120"/>
      <c r="AY114" s="120"/>
      <c r="AZ114" s="120"/>
      <c r="BA114" s="122">
        <f t="shared" si="46"/>
        <v>60</v>
      </c>
      <c r="BB114" s="122">
        <f t="shared" si="47"/>
        <v>70</v>
      </c>
      <c r="BC114" s="122">
        <f t="shared" si="48"/>
        <v>80</v>
      </c>
      <c r="BD114" s="122">
        <f t="shared" si="49"/>
        <v>160</v>
      </c>
      <c r="BE114" s="122">
        <f>VLOOKUP(AO114,Data!$V$4:$Z$15,3,FALSE)</f>
        <v>572.55526111673976</v>
      </c>
      <c r="BF114" s="122">
        <f>VLOOKUP(AO114,Data!$V$4:$Z$15,4,FALSE)</f>
        <v>459</v>
      </c>
      <c r="BG114" s="163">
        <f t="shared" si="50"/>
        <v>180</v>
      </c>
      <c r="BH114" s="122">
        <f t="shared" si="51"/>
        <v>153.97156081951366</v>
      </c>
      <c r="BI114" s="122">
        <f t="shared" si="52"/>
        <v>273.375</v>
      </c>
      <c r="BJ114" s="163">
        <f t="shared" si="53"/>
        <v>185.06880000000001</v>
      </c>
      <c r="BK114" s="131">
        <f t="shared" si="54"/>
        <v>43.659166014806338</v>
      </c>
      <c r="BL114" s="134">
        <f t="shared" si="55"/>
        <v>0.85037037037037044</v>
      </c>
      <c r="BM114" s="135">
        <f t="shared" si="56"/>
        <v>0.33344699170283049</v>
      </c>
      <c r="BN114" s="92" t="str">
        <f t="shared" si="57"/>
        <v>OK</v>
      </c>
      <c r="BO114" s="135">
        <f>_xll.DCEBoltDisRS(AN114, AE114, BA114, BB114, BC114, BD114, "h1")</f>
        <v>1240</v>
      </c>
      <c r="BP114" s="136">
        <f>_xll.DCEBoltDisRS(AN114, AE114, BA114, BB114, BC114, BD114, "Tong")</f>
        <v>4523000</v>
      </c>
      <c r="BQ114" s="137">
        <f t="shared" si="58"/>
        <v>287.28997923857889</v>
      </c>
      <c r="BR114" s="135">
        <f t="shared" si="59"/>
        <v>1.5523415034764307</v>
      </c>
      <c r="BS114" s="64" t="str">
        <f t="shared" si="60"/>
        <v>O/S</v>
      </c>
      <c r="BT114" s="131">
        <f t="shared" si="61"/>
        <v>1.5780262031382533</v>
      </c>
      <c r="BU114" s="92" t="str">
        <f t="shared" si="62"/>
        <v>O/S</v>
      </c>
      <c r="BV114" s="139">
        <f t="shared" si="63"/>
        <v>1936.9932861726975</v>
      </c>
      <c r="BW114" s="131">
        <f t="shared" si="64"/>
        <v>43.582348938885694</v>
      </c>
      <c r="BX114" s="139">
        <f t="shared" si="65"/>
        <v>968.49664308634874</v>
      </c>
      <c r="BY114" s="123">
        <f t="shared" si="66"/>
        <v>307.64011015684019</v>
      </c>
      <c r="BZ114" s="141">
        <f t="shared" si="67"/>
        <v>1.4954727577068623</v>
      </c>
      <c r="CA114" s="131">
        <f t="shared" si="68"/>
        <v>28.485195384892609</v>
      </c>
      <c r="CB114" s="143">
        <f t="shared" si="69"/>
        <v>0.23874086170288347</v>
      </c>
      <c r="CC114" s="123">
        <f t="shared" si="70"/>
        <v>311.57127025073942</v>
      </c>
      <c r="CD114" s="131">
        <f t="shared" si="71"/>
        <v>1.3170283162772805</v>
      </c>
      <c r="CE114" s="135">
        <f t="shared" si="72"/>
        <v>1.4954727577068623</v>
      </c>
      <c r="CF114" s="92" t="str">
        <f t="shared" si="73"/>
        <v>O/S</v>
      </c>
      <c r="CG114" s="50"/>
      <c r="DA114" s="111"/>
      <c r="DB114" s="111"/>
      <c r="DC114" s="111"/>
      <c r="DD114" s="116"/>
      <c r="DE114" s="120"/>
      <c r="DF114" s="121"/>
      <c r="DG114" s="121"/>
      <c r="DH114" s="121"/>
      <c r="DI114" s="121"/>
      <c r="DJ114" s="121"/>
      <c r="DK114" s="122"/>
      <c r="DL114" s="123"/>
      <c r="DM114" s="123"/>
      <c r="DN114" s="123"/>
      <c r="DO114" s="123"/>
      <c r="DP114" s="123"/>
      <c r="DQ114" s="111"/>
      <c r="DR114" s="120"/>
      <c r="DS114" s="120"/>
      <c r="DT114" s="120"/>
      <c r="DU114" s="120"/>
      <c r="DV114" s="120"/>
      <c r="DW114" s="120"/>
      <c r="DX114" s="120"/>
      <c r="DY114" s="120"/>
      <c r="DZ114" s="120"/>
      <c r="EA114" s="122"/>
      <c r="EB114" s="122"/>
      <c r="EC114" s="122"/>
      <c r="ED114" s="122"/>
      <c r="EE114" s="122"/>
      <c r="EF114" s="122"/>
      <c r="EG114" s="122"/>
      <c r="EH114" s="122"/>
      <c r="EI114" s="122"/>
      <c r="EJ114" s="122"/>
      <c r="EK114" s="131"/>
      <c r="EL114" s="122"/>
      <c r="EM114" s="276"/>
      <c r="EN114" s="276"/>
      <c r="EO114" s="135"/>
      <c r="EP114" s="136"/>
      <c r="EQ114" s="137"/>
      <c r="ER114" s="276"/>
      <c r="ES114" s="276"/>
      <c r="ET114" s="276"/>
      <c r="EU114" s="276"/>
      <c r="EV114" s="139"/>
      <c r="EW114" s="131"/>
      <c r="EX114" s="139"/>
      <c r="EY114" s="123"/>
      <c r="EZ114" s="141"/>
      <c r="FA114" s="131"/>
      <c r="FB114" s="143"/>
      <c r="FC114" s="123"/>
      <c r="FD114" s="131"/>
      <c r="FE114" s="276"/>
      <c r="FF114" s="276"/>
      <c r="FG114" s="50"/>
    </row>
    <row r="115" spans="27:163">
      <c r="AA115" s="111" t="s">
        <v>245</v>
      </c>
      <c r="AB115" s="111" t="s">
        <v>312</v>
      </c>
      <c r="AC115" s="111">
        <v>46</v>
      </c>
      <c r="AD115" s="116">
        <v>0</v>
      </c>
      <c r="AE115" s="120">
        <v>750</v>
      </c>
      <c r="AF115" s="121">
        <v>350</v>
      </c>
      <c r="AG115" s="121">
        <v>14</v>
      </c>
      <c r="AH115" s="121">
        <v>18.000000000000004</v>
      </c>
      <c r="AI115" s="121">
        <v>714</v>
      </c>
      <c r="AJ115" s="64" t="str" cm="1">
        <f t="array" ref="AJ115">_xll.Dce_Name_SectI(AE115, AE115, AF115, AG115, AH115, "x", "-", "H Tổng")</f>
        <v>750x350x14x18</v>
      </c>
      <c r="AK115" s="122">
        <f t="shared" si="40"/>
        <v>1010</v>
      </c>
      <c r="AL115" s="123">
        <f t="shared" si="41"/>
        <v>350</v>
      </c>
      <c r="AM115" s="123">
        <f t="shared" si="42"/>
        <v>25</v>
      </c>
      <c r="AN115" s="123">
        <f t="shared" si="43"/>
        <v>12</v>
      </c>
      <c r="AO115" s="123">
        <f t="shared" si="44"/>
        <v>24</v>
      </c>
      <c r="AP115" s="165" t="str">
        <f t="shared" si="45"/>
        <v>1010x350x25 + 12M24</v>
      </c>
      <c r="AQ115" s="111" t="s">
        <v>332</v>
      </c>
      <c r="AR115" s="120">
        <v>0</v>
      </c>
      <c r="AS115" s="120">
        <v>160.36310862557914</v>
      </c>
      <c r="AT115" s="120">
        <v>-1.9645085558295248E-14</v>
      </c>
      <c r="AU115" s="120">
        <v>-1.4476265141605753E-3</v>
      </c>
      <c r="AV115" s="120">
        <v>1.3411045074462887E-14</v>
      </c>
      <c r="AW115" s="120">
        <v>-120.39974351403978</v>
      </c>
      <c r="AX115" s="120"/>
      <c r="AY115" s="120"/>
      <c r="AZ115" s="120"/>
      <c r="BA115" s="122">
        <f t="shared" si="46"/>
        <v>60</v>
      </c>
      <c r="BB115" s="122">
        <f t="shared" si="47"/>
        <v>70</v>
      </c>
      <c r="BC115" s="122">
        <f t="shared" si="48"/>
        <v>80</v>
      </c>
      <c r="BD115" s="122">
        <f t="shared" si="49"/>
        <v>150</v>
      </c>
      <c r="BE115" s="122">
        <f>VLOOKUP(AO115,Data!$V$4:$Z$15,3,FALSE)</f>
        <v>452.38934211693021</v>
      </c>
      <c r="BF115" s="122">
        <f>VLOOKUP(AO115,Data!$V$4:$Z$15,4,FALSE)</f>
        <v>353</v>
      </c>
      <c r="BG115" s="163">
        <f t="shared" si="50"/>
        <v>180</v>
      </c>
      <c r="BH115" s="122">
        <f t="shared" si="51"/>
        <v>121.65654188208487</v>
      </c>
      <c r="BI115" s="122">
        <f t="shared" si="52"/>
        <v>243</v>
      </c>
      <c r="BJ115" s="163">
        <f t="shared" si="53"/>
        <v>142.3296</v>
      </c>
      <c r="BK115" s="131">
        <f t="shared" si="54"/>
        <v>13.363592385464928</v>
      </c>
      <c r="BL115" s="134">
        <f t="shared" si="55"/>
        <v>0.89458333333333329</v>
      </c>
      <c r="BM115" s="135">
        <f t="shared" si="56"/>
        <v>0.12279111706429742</v>
      </c>
      <c r="BN115" s="92" t="str">
        <f t="shared" si="57"/>
        <v>OK</v>
      </c>
      <c r="BO115" s="135">
        <f>_xll.DCEBoltDisRS(AN115, AE115, BA115, BB115, BC115, BD115, "h1")</f>
        <v>890</v>
      </c>
      <c r="BP115" s="136">
        <f>_xll.DCEBoltDisRS(AN115, AE115, BA115, BB115, BC115, BD115, "Tong")</f>
        <v>1800300</v>
      </c>
      <c r="BQ115" s="137">
        <f t="shared" si="58"/>
        <v>29.760532057850195</v>
      </c>
      <c r="BR115" s="135">
        <f t="shared" si="59"/>
        <v>0.20909587364715559</v>
      </c>
      <c r="BS115" s="64" t="str">
        <f t="shared" si="60"/>
        <v>OK</v>
      </c>
      <c r="BT115" s="131">
        <f t="shared" si="61"/>
        <v>0.23619361320213486</v>
      </c>
      <c r="BU115" s="92" t="str">
        <f t="shared" si="62"/>
        <v>OK</v>
      </c>
      <c r="BV115" s="139">
        <f t="shared" si="63"/>
        <v>164.48052392628387</v>
      </c>
      <c r="BW115" s="131">
        <f t="shared" si="64"/>
        <v>3.7008117883413867</v>
      </c>
      <c r="BX115" s="139">
        <f t="shared" si="65"/>
        <v>82.240261963141933</v>
      </c>
      <c r="BY115" s="123">
        <f t="shared" si="66"/>
        <v>35.176032839680509</v>
      </c>
      <c r="BZ115" s="141">
        <f t="shared" si="67"/>
        <v>0.17099460408178027</v>
      </c>
      <c r="CA115" s="131">
        <f t="shared" si="68"/>
        <v>3.2570400777481954</v>
      </c>
      <c r="CB115" s="143">
        <f t="shared" si="69"/>
        <v>2.7297989157372329E-2</v>
      </c>
      <c r="CC115" s="123">
        <f t="shared" si="70"/>
        <v>35.625527596689082</v>
      </c>
      <c r="CD115" s="131">
        <f t="shared" si="71"/>
        <v>0.15059099829518335</v>
      </c>
      <c r="CE115" s="135">
        <f t="shared" si="72"/>
        <v>0.17099460408178027</v>
      </c>
      <c r="CF115" s="92" t="str">
        <f t="shared" si="73"/>
        <v>OK</v>
      </c>
      <c r="CG115" s="50"/>
      <c r="DA115" s="111"/>
      <c r="DB115" s="111"/>
      <c r="DC115" s="111"/>
      <c r="DD115" s="116"/>
      <c r="DE115" s="120"/>
      <c r="DF115" s="121"/>
      <c r="DG115" s="121"/>
      <c r="DH115" s="121"/>
      <c r="DI115" s="121"/>
      <c r="DJ115" s="121"/>
      <c r="DK115" s="122"/>
      <c r="DL115" s="123"/>
      <c r="DM115" s="123"/>
      <c r="DN115" s="123"/>
      <c r="DO115" s="123"/>
      <c r="DP115" s="123"/>
      <c r="DQ115" s="111"/>
      <c r="DR115" s="120"/>
      <c r="DS115" s="120"/>
      <c r="DT115" s="120"/>
      <c r="DU115" s="120"/>
      <c r="DV115" s="120"/>
      <c r="DW115" s="120"/>
      <c r="DX115" s="120"/>
      <c r="DY115" s="120"/>
      <c r="DZ115" s="120"/>
      <c r="EA115" s="122"/>
      <c r="EB115" s="122"/>
      <c r="EC115" s="122"/>
      <c r="ED115" s="122"/>
      <c r="EE115" s="122"/>
      <c r="EF115" s="122"/>
      <c r="EG115" s="122"/>
      <c r="EH115" s="122"/>
      <c r="EI115" s="122"/>
      <c r="EJ115" s="122"/>
      <c r="EK115" s="131"/>
      <c r="EL115" s="122"/>
      <c r="EM115" s="276"/>
      <c r="EN115" s="276"/>
      <c r="EO115" s="135"/>
      <c r="EP115" s="136"/>
      <c r="EQ115" s="137"/>
      <c r="ER115" s="276"/>
      <c r="ES115" s="276"/>
      <c r="ET115" s="276"/>
      <c r="EU115" s="276"/>
      <c r="EV115" s="139"/>
      <c r="EW115" s="131"/>
      <c r="EX115" s="139"/>
      <c r="EY115" s="123"/>
      <c r="EZ115" s="141"/>
      <c r="FA115" s="131"/>
      <c r="FB115" s="143"/>
      <c r="FC115" s="123"/>
      <c r="FD115" s="131"/>
      <c r="FE115" s="276"/>
      <c r="FF115" s="276"/>
      <c r="FG115" s="50"/>
    </row>
    <row r="116" spans="27:163">
      <c r="AA116" s="111" t="s">
        <v>245</v>
      </c>
      <c r="AB116" s="111" t="s">
        <v>312</v>
      </c>
      <c r="AC116" s="111">
        <v>46</v>
      </c>
      <c r="AD116" s="116">
        <v>2.6850000000000001</v>
      </c>
      <c r="AE116" s="120">
        <v>1100</v>
      </c>
      <c r="AF116" s="121">
        <v>350</v>
      </c>
      <c r="AG116" s="121">
        <v>14</v>
      </c>
      <c r="AH116" s="121">
        <v>18.000000000000004</v>
      </c>
      <c r="AI116" s="121">
        <v>1064</v>
      </c>
      <c r="AJ116" s="64" t="str" cm="1">
        <f t="array" ref="AJ116">_xll.Dce_Name_SectI(AE116, AE116, AF116, AG116, AH116, "x", "-", "H Tổng")</f>
        <v>1100x350x14x18</v>
      </c>
      <c r="AK116" s="122">
        <f t="shared" si="40"/>
        <v>1360</v>
      </c>
      <c r="AL116" s="123">
        <f t="shared" si="41"/>
        <v>350</v>
      </c>
      <c r="AM116" s="123">
        <f t="shared" si="42"/>
        <v>25</v>
      </c>
      <c r="AN116" s="123">
        <f t="shared" si="43"/>
        <v>16</v>
      </c>
      <c r="AO116" s="123">
        <f t="shared" si="44"/>
        <v>27</v>
      </c>
      <c r="AP116" s="165" t="str">
        <f t="shared" si="45"/>
        <v>1360x350x25 + 16M27</v>
      </c>
      <c r="AQ116" s="111" t="s">
        <v>332</v>
      </c>
      <c r="AR116" s="120">
        <v>0</v>
      </c>
      <c r="AS116" s="120">
        <v>217.96687707274427</v>
      </c>
      <c r="AT116" s="120">
        <v>-4.092726157978176E-15</v>
      </c>
      <c r="AU116" s="120">
        <v>-1.4474104467456892E-3</v>
      </c>
      <c r="AV116" s="120">
        <v>6.0735055740224174E-14</v>
      </c>
      <c r="AW116" s="120">
        <v>-636.70708974985087</v>
      </c>
      <c r="AX116" s="120"/>
      <c r="AY116" s="120"/>
      <c r="AZ116" s="120"/>
      <c r="BA116" s="122">
        <f t="shared" si="46"/>
        <v>60</v>
      </c>
      <c r="BB116" s="122">
        <f t="shared" si="47"/>
        <v>70</v>
      </c>
      <c r="BC116" s="122">
        <f t="shared" si="48"/>
        <v>80</v>
      </c>
      <c r="BD116" s="122">
        <f t="shared" si="49"/>
        <v>160</v>
      </c>
      <c r="BE116" s="122">
        <f>VLOOKUP(AO116,Data!$V$4:$Z$15,3,FALSE)</f>
        <v>572.55526111673976</v>
      </c>
      <c r="BF116" s="122">
        <f>VLOOKUP(AO116,Data!$V$4:$Z$15,4,FALSE)</f>
        <v>459</v>
      </c>
      <c r="BG116" s="163">
        <f t="shared" si="50"/>
        <v>180</v>
      </c>
      <c r="BH116" s="122">
        <f t="shared" si="51"/>
        <v>153.97156081951366</v>
      </c>
      <c r="BI116" s="122">
        <f t="shared" si="52"/>
        <v>273.375</v>
      </c>
      <c r="BJ116" s="163">
        <f t="shared" si="53"/>
        <v>185.06880000000001</v>
      </c>
      <c r="BK116" s="131">
        <f t="shared" si="54"/>
        <v>13.622929817046517</v>
      </c>
      <c r="BL116" s="134">
        <f t="shared" si="55"/>
        <v>0.85037037037037044</v>
      </c>
      <c r="BM116" s="135">
        <f t="shared" si="56"/>
        <v>0.10404516119553048</v>
      </c>
      <c r="BN116" s="92" t="str">
        <f t="shared" si="57"/>
        <v>OK</v>
      </c>
      <c r="BO116" s="135">
        <f>_xll.DCEBoltDisRS(AN116, AE116, BA116, BB116, BC116, BD116, "h1")</f>
        <v>1240</v>
      </c>
      <c r="BP116" s="136">
        <f>_xll.DCEBoltDisRS(AN116, AE116, BA116, BB116, BC116, BD116, "Tong")</f>
        <v>4523000</v>
      </c>
      <c r="BQ116" s="137">
        <f t="shared" si="58"/>
        <v>87.278000363676227</v>
      </c>
      <c r="BR116" s="135">
        <f t="shared" si="59"/>
        <v>0.47159759161823184</v>
      </c>
      <c r="BS116" s="64" t="str">
        <f t="shared" si="60"/>
        <v>OK</v>
      </c>
      <c r="BT116" s="131">
        <f t="shared" si="61"/>
        <v>0.47982544137729005</v>
      </c>
      <c r="BU116" s="92" t="str">
        <f t="shared" si="62"/>
        <v>OK</v>
      </c>
      <c r="BV116" s="139">
        <f t="shared" si="63"/>
        <v>588.45387222721888</v>
      </c>
      <c r="BW116" s="131">
        <f t="shared" si="64"/>
        <v>13.240212125112425</v>
      </c>
      <c r="BX116" s="139">
        <f t="shared" si="65"/>
        <v>294.22693611360944</v>
      </c>
      <c r="BY116" s="123">
        <f t="shared" si="66"/>
        <v>93.460320883146537</v>
      </c>
      <c r="BZ116" s="141">
        <f t="shared" si="67"/>
        <v>0.45432100429307348</v>
      </c>
      <c r="CA116" s="131">
        <f t="shared" si="68"/>
        <v>8.65373341510616</v>
      </c>
      <c r="CB116" s="143">
        <f t="shared" si="69"/>
        <v>7.2528895959941483E-2</v>
      </c>
      <c r="CC116" s="123">
        <f t="shared" si="70"/>
        <v>94.654597805071745</v>
      </c>
      <c r="CD116" s="131">
        <f t="shared" si="71"/>
        <v>0.4001100148765111</v>
      </c>
      <c r="CE116" s="135">
        <f t="shared" si="72"/>
        <v>0.45432100429307348</v>
      </c>
      <c r="CF116" s="92" t="str">
        <f t="shared" si="73"/>
        <v>OK</v>
      </c>
      <c r="CG116" s="50"/>
      <c r="DA116" s="111"/>
      <c r="DB116" s="111"/>
      <c r="DC116" s="111"/>
      <c r="DD116" s="116"/>
      <c r="DE116" s="120"/>
      <c r="DF116" s="121"/>
      <c r="DG116" s="121"/>
      <c r="DH116" s="121"/>
      <c r="DI116" s="121"/>
      <c r="DJ116" s="121"/>
      <c r="DK116" s="122"/>
      <c r="DL116" s="123"/>
      <c r="DM116" s="123"/>
      <c r="DN116" s="123"/>
      <c r="DO116" s="123"/>
      <c r="DP116" s="123"/>
      <c r="DQ116" s="111"/>
      <c r="DR116" s="120"/>
      <c r="DS116" s="120"/>
      <c r="DT116" s="120"/>
      <c r="DU116" s="120"/>
      <c r="DV116" s="120"/>
      <c r="DW116" s="120"/>
      <c r="DX116" s="120"/>
      <c r="DY116" s="120"/>
      <c r="DZ116" s="120"/>
      <c r="EA116" s="122"/>
      <c r="EB116" s="122"/>
      <c r="EC116" s="122"/>
      <c r="ED116" s="122"/>
      <c r="EE116" s="122"/>
      <c r="EF116" s="122"/>
      <c r="EG116" s="122"/>
      <c r="EH116" s="122"/>
      <c r="EI116" s="122"/>
      <c r="EJ116" s="122"/>
      <c r="EK116" s="131"/>
      <c r="EL116" s="122"/>
      <c r="EM116" s="276"/>
      <c r="EN116" s="276"/>
      <c r="EO116" s="135"/>
      <c r="EP116" s="136"/>
      <c r="EQ116" s="137"/>
      <c r="ER116" s="276"/>
      <c r="ES116" s="276"/>
      <c r="ET116" s="276"/>
      <c r="EU116" s="276"/>
      <c r="EV116" s="139"/>
      <c r="EW116" s="131"/>
      <c r="EX116" s="139"/>
      <c r="EY116" s="123"/>
      <c r="EZ116" s="141"/>
      <c r="FA116" s="131"/>
      <c r="FB116" s="143"/>
      <c r="FC116" s="123"/>
      <c r="FD116" s="131"/>
      <c r="FE116" s="276"/>
      <c r="FF116" s="276"/>
      <c r="FG116" s="50"/>
    </row>
    <row r="117" spans="27:163">
      <c r="AA117" s="111" t="s">
        <v>245</v>
      </c>
      <c r="AB117" s="111" t="s">
        <v>312</v>
      </c>
      <c r="AC117" s="111">
        <v>46</v>
      </c>
      <c r="AD117" s="116">
        <v>0</v>
      </c>
      <c r="AE117" s="120">
        <v>750</v>
      </c>
      <c r="AF117" s="121">
        <v>350</v>
      </c>
      <c r="AG117" s="121">
        <v>14</v>
      </c>
      <c r="AH117" s="121">
        <v>18.000000000000004</v>
      </c>
      <c r="AI117" s="121">
        <v>714</v>
      </c>
      <c r="AJ117" s="64" t="str" cm="1">
        <f t="array" ref="AJ117">_xll.Dce_Name_SectI(AE117, AE117, AF117, AG117, AH117, "x", "-", "H Tổng")</f>
        <v>750x350x14x18</v>
      </c>
      <c r="AK117" s="122">
        <f t="shared" si="40"/>
        <v>1010</v>
      </c>
      <c r="AL117" s="123">
        <f t="shared" si="41"/>
        <v>350</v>
      </c>
      <c r="AM117" s="123">
        <f t="shared" si="42"/>
        <v>25</v>
      </c>
      <c r="AN117" s="123">
        <f t="shared" si="43"/>
        <v>12</v>
      </c>
      <c r="AO117" s="123">
        <f t="shared" si="44"/>
        <v>24</v>
      </c>
      <c r="AP117" s="165" t="str">
        <f t="shared" si="45"/>
        <v>1010x350x25 + 12M24</v>
      </c>
      <c r="AQ117" s="111" t="s">
        <v>333</v>
      </c>
      <c r="AR117" s="120">
        <v>0</v>
      </c>
      <c r="AS117" s="120">
        <v>161.41966517411885</v>
      </c>
      <c r="AT117" s="120">
        <v>-4.8530637286603447E-13</v>
      </c>
      <c r="AU117" s="120">
        <v>-1.4405678754732662E-3</v>
      </c>
      <c r="AV117" s="120">
        <v>-2.2500753402709955E-13</v>
      </c>
      <c r="AW117" s="120">
        <v>-120.57362418527157</v>
      </c>
      <c r="AX117" s="120"/>
      <c r="AY117" s="120"/>
      <c r="AZ117" s="120"/>
      <c r="BA117" s="122">
        <f t="shared" si="46"/>
        <v>60</v>
      </c>
      <c r="BB117" s="122">
        <f t="shared" si="47"/>
        <v>70</v>
      </c>
      <c r="BC117" s="122">
        <f t="shared" si="48"/>
        <v>80</v>
      </c>
      <c r="BD117" s="122">
        <f t="shared" si="49"/>
        <v>150</v>
      </c>
      <c r="BE117" s="122">
        <f>VLOOKUP(AO117,Data!$V$4:$Z$15,3,FALSE)</f>
        <v>452.38934211693021</v>
      </c>
      <c r="BF117" s="122">
        <f>VLOOKUP(AO117,Data!$V$4:$Z$15,4,FALSE)</f>
        <v>353</v>
      </c>
      <c r="BG117" s="163">
        <f t="shared" si="50"/>
        <v>180</v>
      </c>
      <c r="BH117" s="122">
        <f t="shared" si="51"/>
        <v>121.65654188208487</v>
      </c>
      <c r="BI117" s="122">
        <f t="shared" si="52"/>
        <v>243</v>
      </c>
      <c r="BJ117" s="163">
        <f t="shared" si="53"/>
        <v>142.3296</v>
      </c>
      <c r="BK117" s="131">
        <f t="shared" si="54"/>
        <v>13.451638764509903</v>
      </c>
      <c r="BL117" s="134">
        <f t="shared" si="55"/>
        <v>0.89458333333333329</v>
      </c>
      <c r="BM117" s="135">
        <f t="shared" si="56"/>
        <v>0.1236001295606796</v>
      </c>
      <c r="BN117" s="92" t="str">
        <f t="shared" si="57"/>
        <v>OK</v>
      </c>
      <c r="BO117" s="135">
        <f>_xll.DCEBoltDisRS(AN117, AE117, BA117, BB117, BC117, BD117, "h1")</f>
        <v>890</v>
      </c>
      <c r="BP117" s="136">
        <f>_xll.DCEBoltDisRS(AN117, AE117, BA117, BB117, BC117, BD117, "Tong")</f>
        <v>1800300</v>
      </c>
      <c r="BQ117" s="137">
        <f t="shared" si="58"/>
        <v>29.803512060459841</v>
      </c>
      <c r="BR117" s="135">
        <f t="shared" si="59"/>
        <v>0.20939784879926482</v>
      </c>
      <c r="BS117" s="64" t="str">
        <f t="shared" si="60"/>
        <v>OK</v>
      </c>
      <c r="BT117" s="131">
        <f t="shared" si="61"/>
        <v>0.23679805781063692</v>
      </c>
      <c r="BU117" s="92" t="str">
        <f t="shared" si="62"/>
        <v>OK</v>
      </c>
      <c r="BV117" s="139">
        <f t="shared" si="63"/>
        <v>164.71806582687373</v>
      </c>
      <c r="BW117" s="131">
        <f t="shared" si="64"/>
        <v>3.7061564811046588</v>
      </c>
      <c r="BX117" s="139">
        <f t="shared" si="65"/>
        <v>82.359032913436863</v>
      </c>
      <c r="BY117" s="123">
        <f t="shared" si="66"/>
        <v>35.226833879806662</v>
      </c>
      <c r="BZ117" s="141">
        <f t="shared" si="67"/>
        <v>0.17124155358239351</v>
      </c>
      <c r="CA117" s="131">
        <f t="shared" si="68"/>
        <v>3.261743877759876</v>
      </c>
      <c r="CB117" s="143">
        <f t="shared" si="69"/>
        <v>2.7337412768581339E-2</v>
      </c>
      <c r="CC117" s="123">
        <f t="shared" si="70"/>
        <v>35.67697779476012</v>
      </c>
      <c r="CD117" s="131">
        <f t="shared" si="71"/>
        <v>0.15080848101649813</v>
      </c>
      <c r="CE117" s="135">
        <f t="shared" si="72"/>
        <v>0.17124155358239351</v>
      </c>
      <c r="CF117" s="92" t="str">
        <f t="shared" si="73"/>
        <v>OK</v>
      </c>
      <c r="CG117" s="50"/>
      <c r="DA117" s="111"/>
      <c r="DB117" s="111"/>
      <c r="DC117" s="111"/>
      <c r="DD117" s="116"/>
      <c r="DE117" s="120"/>
      <c r="DF117" s="121"/>
      <c r="DG117" s="121"/>
      <c r="DH117" s="121"/>
      <c r="DI117" s="121"/>
      <c r="DJ117" s="121"/>
      <c r="DK117" s="122"/>
      <c r="DL117" s="123"/>
      <c r="DM117" s="123"/>
      <c r="DN117" s="123"/>
      <c r="DO117" s="123"/>
      <c r="DP117" s="123"/>
      <c r="DQ117" s="111"/>
      <c r="DR117" s="120"/>
      <c r="DS117" s="120"/>
      <c r="DT117" s="120"/>
      <c r="DU117" s="120"/>
      <c r="DV117" s="120"/>
      <c r="DW117" s="120"/>
      <c r="DX117" s="120"/>
      <c r="DY117" s="120"/>
      <c r="DZ117" s="120"/>
      <c r="EA117" s="122"/>
      <c r="EB117" s="122"/>
      <c r="EC117" s="122"/>
      <c r="ED117" s="122"/>
      <c r="EE117" s="122"/>
      <c r="EF117" s="122"/>
      <c r="EG117" s="122"/>
      <c r="EH117" s="122"/>
      <c r="EI117" s="122"/>
      <c r="EJ117" s="122"/>
      <c r="EK117" s="131"/>
      <c r="EL117" s="122"/>
      <c r="EM117" s="276"/>
      <c r="EN117" s="276"/>
      <c r="EO117" s="135"/>
      <c r="EP117" s="136"/>
      <c r="EQ117" s="137"/>
      <c r="ER117" s="276"/>
      <c r="ES117" s="276"/>
      <c r="ET117" s="276"/>
      <c r="EU117" s="276"/>
      <c r="EV117" s="139"/>
      <c r="EW117" s="131"/>
      <c r="EX117" s="139"/>
      <c r="EY117" s="123"/>
      <c r="EZ117" s="141"/>
      <c r="FA117" s="131"/>
      <c r="FB117" s="143"/>
      <c r="FC117" s="123"/>
      <c r="FD117" s="131"/>
      <c r="FE117" s="276"/>
      <c r="FF117" s="276"/>
      <c r="FG117" s="50"/>
    </row>
    <row r="118" spans="27:163">
      <c r="AA118" s="111" t="s">
        <v>245</v>
      </c>
      <c r="AB118" s="111" t="s">
        <v>312</v>
      </c>
      <c r="AC118" s="111">
        <v>46</v>
      </c>
      <c r="AD118" s="116">
        <v>2.6850000000000001</v>
      </c>
      <c r="AE118" s="120">
        <v>1100</v>
      </c>
      <c r="AF118" s="121">
        <v>350</v>
      </c>
      <c r="AG118" s="121">
        <v>14</v>
      </c>
      <c r="AH118" s="121">
        <v>18.000000000000004</v>
      </c>
      <c r="AI118" s="121">
        <v>1064</v>
      </c>
      <c r="AJ118" s="64" t="str" cm="1">
        <f t="array" ref="AJ118">_xll.Dce_Name_SectI(AE118, AE118, AF118, AG118, AH118, "x", "-", "H Tổng")</f>
        <v>1100x350x14x18</v>
      </c>
      <c r="AK118" s="122">
        <f t="shared" si="40"/>
        <v>1360</v>
      </c>
      <c r="AL118" s="123">
        <f t="shared" si="41"/>
        <v>350</v>
      </c>
      <c r="AM118" s="123">
        <f t="shared" si="42"/>
        <v>25</v>
      </c>
      <c r="AN118" s="123">
        <f t="shared" si="43"/>
        <v>16</v>
      </c>
      <c r="AO118" s="123">
        <f t="shared" si="44"/>
        <v>27</v>
      </c>
      <c r="AP118" s="165" t="str">
        <f t="shared" si="45"/>
        <v>1360x350x25 + 16M27</v>
      </c>
      <c r="AQ118" s="111" t="s">
        <v>333</v>
      </c>
      <c r="AR118" s="120">
        <v>0</v>
      </c>
      <c r="AS118" s="120">
        <v>219.02343385750063</v>
      </c>
      <c r="AT118" s="120">
        <v>-4.092726157978176E-15</v>
      </c>
      <c r="AU118" s="120">
        <v>-1.4403522231994103E-3</v>
      </c>
      <c r="AV118" s="120">
        <v>1.2033970051561478E-13</v>
      </c>
      <c r="AW118" s="120">
        <v>-639.71781474738464</v>
      </c>
      <c r="AX118" s="120"/>
      <c r="AY118" s="120"/>
      <c r="AZ118" s="120"/>
      <c r="BA118" s="122">
        <f t="shared" si="46"/>
        <v>60</v>
      </c>
      <c r="BB118" s="122">
        <f t="shared" si="47"/>
        <v>70</v>
      </c>
      <c r="BC118" s="122">
        <f t="shared" si="48"/>
        <v>80</v>
      </c>
      <c r="BD118" s="122">
        <f t="shared" si="49"/>
        <v>160</v>
      </c>
      <c r="BE118" s="122">
        <f>VLOOKUP(AO118,Data!$V$4:$Z$15,3,FALSE)</f>
        <v>572.55526111673976</v>
      </c>
      <c r="BF118" s="122">
        <f>VLOOKUP(AO118,Data!$V$4:$Z$15,4,FALSE)</f>
        <v>459</v>
      </c>
      <c r="BG118" s="163">
        <f t="shared" si="50"/>
        <v>180</v>
      </c>
      <c r="BH118" s="122">
        <f t="shared" si="51"/>
        <v>153.97156081951366</v>
      </c>
      <c r="BI118" s="122">
        <f t="shared" si="52"/>
        <v>273.375</v>
      </c>
      <c r="BJ118" s="163">
        <f t="shared" si="53"/>
        <v>185.06880000000001</v>
      </c>
      <c r="BK118" s="131">
        <f t="shared" si="54"/>
        <v>13.68896461609379</v>
      </c>
      <c r="BL118" s="134">
        <f t="shared" si="55"/>
        <v>0.85037037037037044</v>
      </c>
      <c r="BM118" s="135">
        <f t="shared" si="56"/>
        <v>0.10454950214154275</v>
      </c>
      <c r="BN118" s="92" t="str">
        <f t="shared" si="57"/>
        <v>OK</v>
      </c>
      <c r="BO118" s="135">
        <f>_xll.DCEBoltDisRS(AN118, AE118, BA118, BB118, BC118, BD118, "h1")</f>
        <v>1240</v>
      </c>
      <c r="BP118" s="136">
        <f>_xll.DCEBoltDisRS(AN118, AE118, BA118, BB118, BC118, BD118, "Tong")</f>
        <v>4523000</v>
      </c>
      <c r="BQ118" s="137">
        <f t="shared" si="58"/>
        <v>87.690701999420412</v>
      </c>
      <c r="BR118" s="135">
        <f t="shared" si="59"/>
        <v>0.47382758195557761</v>
      </c>
      <c r="BS118" s="64" t="str">
        <f t="shared" si="60"/>
        <v>OK</v>
      </c>
      <c r="BT118" s="131">
        <f t="shared" si="61"/>
        <v>0.48209627512818842</v>
      </c>
      <c r="BU118" s="92" t="str">
        <f t="shared" si="62"/>
        <v>OK</v>
      </c>
      <c r="BV118" s="139">
        <f t="shared" si="63"/>
        <v>591.23642767780461</v>
      </c>
      <c r="BW118" s="131">
        <f t="shared" si="64"/>
        <v>13.302819622750603</v>
      </c>
      <c r="BX118" s="139">
        <f t="shared" si="65"/>
        <v>295.61821383890231</v>
      </c>
      <c r="BY118" s="123">
        <f t="shared" si="66"/>
        <v>93.902256160592486</v>
      </c>
      <c r="BZ118" s="141">
        <f t="shared" si="67"/>
        <v>0.45646930078065795</v>
      </c>
      <c r="CA118" s="131">
        <f t="shared" si="68"/>
        <v>8.6946533482030084</v>
      </c>
      <c r="CB118" s="143">
        <f t="shared" si="69"/>
        <v>7.2871855169325983E-2</v>
      </c>
      <c r="CC118" s="123">
        <f t="shared" si="70"/>
        <v>95.102180325089208</v>
      </c>
      <c r="CD118" s="131">
        <f t="shared" si="71"/>
        <v>0.40200196997320325</v>
      </c>
      <c r="CE118" s="135">
        <f t="shared" si="72"/>
        <v>0.45646930078065795</v>
      </c>
      <c r="CF118" s="92" t="str">
        <f t="shared" si="73"/>
        <v>OK</v>
      </c>
      <c r="CG118" s="50"/>
      <c r="DA118" s="111"/>
      <c r="DB118" s="111"/>
      <c r="DC118" s="111"/>
      <c r="DD118" s="116"/>
      <c r="DE118" s="120"/>
      <c r="DF118" s="121"/>
      <c r="DG118" s="121"/>
      <c r="DH118" s="121"/>
      <c r="DI118" s="121"/>
      <c r="DJ118" s="121"/>
      <c r="DK118" s="122"/>
      <c r="DL118" s="123"/>
      <c r="DM118" s="123"/>
      <c r="DN118" s="123"/>
      <c r="DO118" s="123"/>
      <c r="DP118" s="123"/>
      <c r="DQ118" s="111"/>
      <c r="DR118" s="120"/>
      <c r="DS118" s="120"/>
      <c r="DT118" s="120"/>
      <c r="DU118" s="120"/>
      <c r="DV118" s="120"/>
      <c r="DW118" s="120"/>
      <c r="DX118" s="120"/>
      <c r="DY118" s="120"/>
      <c r="DZ118" s="120"/>
      <c r="EA118" s="122"/>
      <c r="EB118" s="122"/>
      <c r="EC118" s="122"/>
      <c r="ED118" s="122"/>
      <c r="EE118" s="122"/>
      <c r="EF118" s="122"/>
      <c r="EG118" s="122"/>
      <c r="EH118" s="122"/>
      <c r="EI118" s="122"/>
      <c r="EJ118" s="122"/>
      <c r="EK118" s="131"/>
      <c r="EL118" s="122"/>
      <c r="EM118" s="276"/>
      <c r="EN118" s="276"/>
      <c r="EO118" s="135"/>
      <c r="EP118" s="136"/>
      <c r="EQ118" s="137"/>
      <c r="ER118" s="276"/>
      <c r="ES118" s="276"/>
      <c r="ET118" s="276"/>
      <c r="EU118" s="276"/>
      <c r="EV118" s="139"/>
      <c r="EW118" s="131"/>
      <c r="EX118" s="139"/>
      <c r="EY118" s="123"/>
      <c r="EZ118" s="141"/>
      <c r="FA118" s="131"/>
      <c r="FB118" s="143"/>
      <c r="FC118" s="123"/>
      <c r="FD118" s="131"/>
      <c r="FE118" s="276"/>
      <c r="FF118" s="276"/>
      <c r="FG118" s="50"/>
    </row>
    <row r="119" spans="27:163">
      <c r="AA119" s="111" t="s">
        <v>245</v>
      </c>
      <c r="AB119" s="111" t="s">
        <v>312</v>
      </c>
      <c r="AC119" s="111">
        <v>46</v>
      </c>
      <c r="AD119" s="116">
        <v>0</v>
      </c>
      <c r="AE119" s="120">
        <v>750</v>
      </c>
      <c r="AF119" s="121">
        <v>350</v>
      </c>
      <c r="AG119" s="121">
        <v>14</v>
      </c>
      <c r="AH119" s="121">
        <v>18.000000000000004</v>
      </c>
      <c r="AI119" s="121">
        <v>714</v>
      </c>
      <c r="AJ119" s="64" t="str" cm="1">
        <f t="array" ref="AJ119">_xll.Dce_Name_SectI(AE119, AE119, AF119, AG119, AH119, "x", "-", "H Tổng")</f>
        <v>750x350x14x18</v>
      </c>
      <c r="AK119" s="122">
        <f t="shared" si="40"/>
        <v>1010</v>
      </c>
      <c r="AL119" s="123">
        <f t="shared" si="41"/>
        <v>350</v>
      </c>
      <c r="AM119" s="123">
        <f t="shared" si="42"/>
        <v>25</v>
      </c>
      <c r="AN119" s="123">
        <f t="shared" si="43"/>
        <v>12</v>
      </c>
      <c r="AO119" s="123">
        <f t="shared" si="44"/>
        <v>24</v>
      </c>
      <c r="AP119" s="165" t="str">
        <f t="shared" si="45"/>
        <v>1010x350x25 + 12M24</v>
      </c>
      <c r="AQ119" s="111" t="s">
        <v>334</v>
      </c>
      <c r="AR119" s="120">
        <v>0</v>
      </c>
      <c r="AS119" s="120">
        <v>164.4066948182647</v>
      </c>
      <c r="AT119" s="120">
        <v>-2.5247572921216484E-13</v>
      </c>
      <c r="AU119" s="120">
        <v>-1.6000466177972347E-3</v>
      </c>
      <c r="AV119" s="120">
        <v>-2.2500753402709955E-13</v>
      </c>
      <c r="AW119" s="120">
        <v>-144.03443819286528</v>
      </c>
      <c r="AX119" s="120"/>
      <c r="AY119" s="120"/>
      <c r="AZ119" s="120"/>
      <c r="BA119" s="122">
        <f t="shared" si="46"/>
        <v>60</v>
      </c>
      <c r="BB119" s="122">
        <f t="shared" si="47"/>
        <v>70</v>
      </c>
      <c r="BC119" s="122">
        <f t="shared" si="48"/>
        <v>80</v>
      </c>
      <c r="BD119" s="122">
        <f t="shared" si="49"/>
        <v>150</v>
      </c>
      <c r="BE119" s="122">
        <f>VLOOKUP(AO119,Data!$V$4:$Z$15,3,FALSE)</f>
        <v>452.38934211693021</v>
      </c>
      <c r="BF119" s="122">
        <f>VLOOKUP(AO119,Data!$V$4:$Z$15,4,FALSE)</f>
        <v>353</v>
      </c>
      <c r="BG119" s="163">
        <f t="shared" si="50"/>
        <v>180</v>
      </c>
      <c r="BH119" s="122">
        <f t="shared" si="51"/>
        <v>121.65654188208487</v>
      </c>
      <c r="BI119" s="122">
        <f t="shared" si="52"/>
        <v>243</v>
      </c>
      <c r="BJ119" s="163">
        <f t="shared" si="53"/>
        <v>142.3296</v>
      </c>
      <c r="BK119" s="131">
        <f t="shared" si="54"/>
        <v>13.700557901522059</v>
      </c>
      <c r="BL119" s="134">
        <f t="shared" si="55"/>
        <v>0.89458333333333329</v>
      </c>
      <c r="BM119" s="135">
        <f t="shared" si="56"/>
        <v>0.12588731836521452</v>
      </c>
      <c r="BN119" s="92" t="str">
        <f t="shared" si="57"/>
        <v>OK</v>
      </c>
      <c r="BO119" s="135">
        <f>_xll.DCEBoltDisRS(AN119, AE119, BA119, BB119, BC119, BD119, "h1")</f>
        <v>890</v>
      </c>
      <c r="BP119" s="136">
        <f>_xll.DCEBoltDisRS(AN119, AE119, BA119, BB119, BC119, BD119, "Tong")</f>
        <v>1800300</v>
      </c>
      <c r="BQ119" s="137">
        <f t="shared" si="58"/>
        <v>35.602580123215603</v>
      </c>
      <c r="BR119" s="135">
        <f t="shared" si="59"/>
        <v>0.2501417844441044</v>
      </c>
      <c r="BS119" s="64" t="str">
        <f t="shared" si="60"/>
        <v>OK</v>
      </c>
      <c r="BT119" s="131">
        <f t="shared" si="61"/>
        <v>0.2743235912982015</v>
      </c>
      <c r="BU119" s="92" t="str">
        <f t="shared" si="62"/>
        <v>OK</v>
      </c>
      <c r="BV119" s="139">
        <f t="shared" si="63"/>
        <v>196.76835818697444</v>
      </c>
      <c r="BW119" s="131">
        <f t="shared" si="64"/>
        <v>4.4272880592069246</v>
      </c>
      <c r="BX119" s="139">
        <f t="shared" si="65"/>
        <v>98.384179093487219</v>
      </c>
      <c r="BY119" s="123">
        <f t="shared" si="66"/>
        <v>42.081153830085618</v>
      </c>
      <c r="BZ119" s="141">
        <f t="shared" si="67"/>
        <v>0.20456116445180511</v>
      </c>
      <c r="CA119" s="131">
        <f t="shared" si="68"/>
        <v>3.8964031324153359</v>
      </c>
      <c r="CB119" s="143">
        <f t="shared" si="69"/>
        <v>3.2656635448883323E-2</v>
      </c>
      <c r="CC119" s="123">
        <f t="shared" si="70"/>
        <v>42.618885248000296</v>
      </c>
      <c r="CD119" s="131">
        <f t="shared" si="71"/>
        <v>0.18015229271497712</v>
      </c>
      <c r="CE119" s="135">
        <f t="shared" si="72"/>
        <v>0.20456116445180511</v>
      </c>
      <c r="CF119" s="92" t="str">
        <f t="shared" si="73"/>
        <v>OK</v>
      </c>
      <c r="CG119" s="50"/>
      <c r="DA119" s="111"/>
      <c r="DB119" s="111"/>
      <c r="DC119" s="111"/>
      <c r="DD119" s="116"/>
      <c r="DE119" s="120"/>
      <c r="DF119" s="121"/>
      <c r="DG119" s="121"/>
      <c r="DH119" s="121"/>
      <c r="DI119" s="121"/>
      <c r="DJ119" s="121"/>
      <c r="DK119" s="122"/>
      <c r="DL119" s="123"/>
      <c r="DM119" s="123"/>
      <c r="DN119" s="123"/>
      <c r="DO119" s="123"/>
      <c r="DP119" s="123"/>
      <c r="DQ119" s="111"/>
      <c r="DR119" s="120"/>
      <c r="DS119" s="120"/>
      <c r="DT119" s="120"/>
      <c r="DU119" s="120"/>
      <c r="DV119" s="120"/>
      <c r="DW119" s="120"/>
      <c r="DX119" s="120"/>
      <c r="DY119" s="120"/>
      <c r="DZ119" s="120"/>
      <c r="EA119" s="122"/>
      <c r="EB119" s="122"/>
      <c r="EC119" s="122"/>
      <c r="ED119" s="122"/>
      <c r="EE119" s="122"/>
      <c r="EF119" s="122"/>
      <c r="EG119" s="122"/>
      <c r="EH119" s="122"/>
      <c r="EI119" s="122"/>
      <c r="EJ119" s="122"/>
      <c r="EK119" s="131"/>
      <c r="EL119" s="122"/>
      <c r="EM119" s="276"/>
      <c r="EN119" s="276"/>
      <c r="EO119" s="135"/>
      <c r="EP119" s="136"/>
      <c r="EQ119" s="137"/>
      <c r="ER119" s="276"/>
      <c r="ES119" s="276"/>
      <c r="ET119" s="276"/>
      <c r="EU119" s="276"/>
      <c r="EV119" s="139"/>
      <c r="EW119" s="131"/>
      <c r="EX119" s="139"/>
      <c r="EY119" s="123"/>
      <c r="EZ119" s="141"/>
      <c r="FA119" s="131"/>
      <c r="FB119" s="143"/>
      <c r="FC119" s="123"/>
      <c r="FD119" s="131"/>
      <c r="FE119" s="276"/>
      <c r="FF119" s="276"/>
      <c r="FG119" s="50"/>
    </row>
    <row r="120" spans="27:163">
      <c r="AA120" s="111" t="s">
        <v>245</v>
      </c>
      <c r="AB120" s="111" t="s">
        <v>312</v>
      </c>
      <c r="AC120" s="111">
        <v>46</v>
      </c>
      <c r="AD120" s="116">
        <v>2.6850000000000001</v>
      </c>
      <c r="AE120" s="120">
        <v>1100</v>
      </c>
      <c r="AF120" s="121">
        <v>350</v>
      </c>
      <c r="AG120" s="121">
        <v>14</v>
      </c>
      <c r="AH120" s="121">
        <v>18.000000000000004</v>
      </c>
      <c r="AI120" s="121">
        <v>1064</v>
      </c>
      <c r="AJ120" s="64" t="str" cm="1">
        <f t="array" ref="AJ120">_xll.Dce_Name_SectI(AE120, AE120, AF120, AG120, AH120, "x", "-", "H Tổng")</f>
        <v>1100x350x14x18</v>
      </c>
      <c r="AK120" s="122">
        <f t="shared" si="40"/>
        <v>1360</v>
      </c>
      <c r="AL120" s="123">
        <f t="shared" si="41"/>
        <v>350</v>
      </c>
      <c r="AM120" s="123">
        <f t="shared" si="42"/>
        <v>25</v>
      </c>
      <c r="AN120" s="123">
        <f t="shared" si="43"/>
        <v>16</v>
      </c>
      <c r="AO120" s="123">
        <f t="shared" si="44"/>
        <v>27</v>
      </c>
      <c r="AP120" s="165" t="str">
        <f t="shared" si="45"/>
        <v>1360x350x25 + 16M27</v>
      </c>
      <c r="AQ120" s="111" t="s">
        <v>334</v>
      </c>
      <c r="AR120" s="120">
        <v>0</v>
      </c>
      <c r="AS120" s="120">
        <v>222.01046454283963</v>
      </c>
      <c r="AT120" s="120">
        <v>5.4114934755489221E-14</v>
      </c>
      <c r="AU120" s="120">
        <v>-1.59980958490187E-3</v>
      </c>
      <c r="AV120" s="120">
        <v>-8.6472118709934861E-14</v>
      </c>
      <c r="AW120" s="120">
        <v>-671.19874553533748</v>
      </c>
      <c r="AX120" s="120"/>
      <c r="AY120" s="120"/>
      <c r="AZ120" s="120"/>
      <c r="BA120" s="122">
        <f t="shared" si="46"/>
        <v>60</v>
      </c>
      <c r="BB120" s="122">
        <f t="shared" si="47"/>
        <v>70</v>
      </c>
      <c r="BC120" s="122">
        <f t="shared" si="48"/>
        <v>80</v>
      </c>
      <c r="BD120" s="122">
        <f t="shared" si="49"/>
        <v>160</v>
      </c>
      <c r="BE120" s="122">
        <f>VLOOKUP(AO120,Data!$V$4:$Z$15,3,FALSE)</f>
        <v>572.55526111673976</v>
      </c>
      <c r="BF120" s="122">
        <f>VLOOKUP(AO120,Data!$V$4:$Z$15,4,FALSE)</f>
        <v>459</v>
      </c>
      <c r="BG120" s="163">
        <f t="shared" si="50"/>
        <v>180</v>
      </c>
      <c r="BH120" s="122">
        <f t="shared" si="51"/>
        <v>153.97156081951366</v>
      </c>
      <c r="BI120" s="122">
        <f t="shared" si="52"/>
        <v>273.375</v>
      </c>
      <c r="BJ120" s="163">
        <f t="shared" si="53"/>
        <v>185.06880000000001</v>
      </c>
      <c r="BK120" s="131">
        <f t="shared" si="54"/>
        <v>13.875654033927477</v>
      </c>
      <c r="BL120" s="134">
        <f t="shared" si="55"/>
        <v>0.85037037037037044</v>
      </c>
      <c r="BM120" s="135">
        <f t="shared" si="56"/>
        <v>0.1059753430460228</v>
      </c>
      <c r="BN120" s="92" t="str">
        <f t="shared" si="57"/>
        <v>OK</v>
      </c>
      <c r="BO120" s="135">
        <f>_xll.DCEBoltDisRS(AN120, AE120, BA120, BB120, BC120, BD120, "h1")</f>
        <v>1240</v>
      </c>
      <c r="BP120" s="136">
        <f>_xll.DCEBoltDisRS(AN120, AE120, BA120, BB120, BC120, BD120, "Tong")</f>
        <v>4523000</v>
      </c>
      <c r="BQ120" s="137">
        <f t="shared" si="58"/>
        <v>92.006018623017738</v>
      </c>
      <c r="BR120" s="135">
        <f t="shared" si="59"/>
        <v>0.49714494622009614</v>
      </c>
      <c r="BS120" s="64" t="str">
        <f t="shared" si="60"/>
        <v>OK</v>
      </c>
      <c r="BT120" s="131">
        <f t="shared" si="61"/>
        <v>0.50524687436343796</v>
      </c>
      <c r="BU120" s="92" t="str">
        <f t="shared" si="62"/>
        <v>OK</v>
      </c>
      <c r="BV120" s="139">
        <f t="shared" si="63"/>
        <v>620.33155779606045</v>
      </c>
      <c r="BW120" s="131">
        <f t="shared" si="64"/>
        <v>13.95746005041136</v>
      </c>
      <c r="BX120" s="139">
        <f t="shared" si="65"/>
        <v>310.16577889803023</v>
      </c>
      <c r="BY120" s="123">
        <f t="shared" si="66"/>
        <v>98.523247414668432</v>
      </c>
      <c r="BZ120" s="141">
        <f t="shared" si="67"/>
        <v>0.4789324527101938</v>
      </c>
      <c r="CA120" s="131">
        <f t="shared" si="68"/>
        <v>9.1225229087655944</v>
      </c>
      <c r="CB120" s="143">
        <f t="shared" si="69"/>
        <v>7.6457926677872559E-2</v>
      </c>
      <c r="CC120" s="123">
        <f t="shared" si="70"/>
        <v>99.782220629703517</v>
      </c>
      <c r="CD120" s="131">
        <f t="shared" si="71"/>
        <v>0.42178474903860191</v>
      </c>
      <c r="CE120" s="135">
        <f t="shared" si="72"/>
        <v>0.4789324527101938</v>
      </c>
      <c r="CF120" s="92" t="str">
        <f t="shared" si="73"/>
        <v>OK</v>
      </c>
      <c r="CG120" s="50"/>
      <c r="DA120" s="111"/>
      <c r="DB120" s="111"/>
      <c r="DC120" s="111"/>
      <c r="DD120" s="116"/>
      <c r="DE120" s="120"/>
      <c r="DF120" s="121"/>
      <c r="DG120" s="121"/>
      <c r="DH120" s="121"/>
      <c r="DI120" s="121"/>
      <c r="DJ120" s="121"/>
      <c r="DK120" s="122"/>
      <c r="DL120" s="123"/>
      <c r="DM120" s="123"/>
      <c r="DN120" s="123"/>
      <c r="DO120" s="123"/>
      <c r="DP120" s="123"/>
      <c r="DQ120" s="111"/>
      <c r="DR120" s="120"/>
      <c r="DS120" s="120"/>
      <c r="DT120" s="120"/>
      <c r="DU120" s="120"/>
      <c r="DV120" s="120"/>
      <c r="DW120" s="120"/>
      <c r="DX120" s="120"/>
      <c r="DY120" s="120"/>
      <c r="DZ120" s="120"/>
      <c r="EA120" s="122"/>
      <c r="EB120" s="122"/>
      <c r="EC120" s="122"/>
      <c r="ED120" s="122"/>
      <c r="EE120" s="122"/>
      <c r="EF120" s="122"/>
      <c r="EG120" s="122"/>
      <c r="EH120" s="122"/>
      <c r="EI120" s="122"/>
      <c r="EJ120" s="122"/>
      <c r="EK120" s="131"/>
      <c r="EL120" s="122"/>
      <c r="EM120" s="276"/>
      <c r="EN120" s="276"/>
      <c r="EO120" s="135"/>
      <c r="EP120" s="136"/>
      <c r="EQ120" s="137"/>
      <c r="ER120" s="276"/>
      <c r="ES120" s="276"/>
      <c r="ET120" s="276"/>
      <c r="EU120" s="276"/>
      <c r="EV120" s="139"/>
      <c r="EW120" s="131"/>
      <c r="EX120" s="139"/>
      <c r="EY120" s="123"/>
      <c r="EZ120" s="141"/>
      <c r="FA120" s="131"/>
      <c r="FB120" s="143"/>
      <c r="FC120" s="123"/>
      <c r="FD120" s="131"/>
      <c r="FE120" s="276"/>
      <c r="FF120" s="276"/>
      <c r="FG120" s="50"/>
    </row>
    <row r="121" spans="27:163">
      <c r="AA121" s="111" t="s">
        <v>245</v>
      </c>
      <c r="AB121" s="111" t="s">
        <v>312</v>
      </c>
      <c r="AC121" s="111">
        <v>46</v>
      </c>
      <c r="AD121" s="116">
        <v>0</v>
      </c>
      <c r="AE121" s="120">
        <v>750</v>
      </c>
      <c r="AF121" s="121">
        <v>350</v>
      </c>
      <c r="AG121" s="121">
        <v>14</v>
      </c>
      <c r="AH121" s="121">
        <v>18.000000000000004</v>
      </c>
      <c r="AI121" s="121">
        <v>714</v>
      </c>
      <c r="AJ121" s="64" t="str" cm="1">
        <f t="array" ref="AJ121">_xll.Dce_Name_SectI(AE121, AE121, AF121, AG121, AH121, "x", "-", "H Tổng")</f>
        <v>750x350x14x18</v>
      </c>
      <c r="AK121" s="122">
        <f t="shared" si="40"/>
        <v>1010</v>
      </c>
      <c r="AL121" s="123">
        <f t="shared" si="41"/>
        <v>350</v>
      </c>
      <c r="AM121" s="123">
        <f t="shared" si="42"/>
        <v>25</v>
      </c>
      <c r="AN121" s="123">
        <f t="shared" si="43"/>
        <v>12</v>
      </c>
      <c r="AO121" s="123">
        <f t="shared" si="44"/>
        <v>24</v>
      </c>
      <c r="AP121" s="165" t="str">
        <f t="shared" si="45"/>
        <v>1010x350x25 + 12M24</v>
      </c>
      <c r="AQ121" s="111" t="s">
        <v>335</v>
      </c>
      <c r="AR121" s="120">
        <v>0</v>
      </c>
      <c r="AS121" s="120">
        <v>165.42899330208013</v>
      </c>
      <c r="AT121" s="120">
        <v>-1.9645085558295248E-14</v>
      </c>
      <c r="AU121" s="120">
        <v>-1.5952219042667855E-3</v>
      </c>
      <c r="AV121" s="120">
        <v>-4.6193599700927721E-14</v>
      </c>
      <c r="AW121" s="120">
        <v>-144.02114316452545</v>
      </c>
      <c r="AX121" s="120"/>
      <c r="AY121" s="120"/>
      <c r="AZ121" s="120"/>
      <c r="BA121" s="122">
        <f t="shared" si="46"/>
        <v>60</v>
      </c>
      <c r="BB121" s="122">
        <f t="shared" si="47"/>
        <v>70</v>
      </c>
      <c r="BC121" s="122">
        <f t="shared" si="48"/>
        <v>80</v>
      </c>
      <c r="BD121" s="122">
        <f t="shared" si="49"/>
        <v>150</v>
      </c>
      <c r="BE121" s="122">
        <f>VLOOKUP(AO121,Data!$V$4:$Z$15,3,FALSE)</f>
        <v>452.38934211693021</v>
      </c>
      <c r="BF121" s="122">
        <f>VLOOKUP(AO121,Data!$V$4:$Z$15,4,FALSE)</f>
        <v>353</v>
      </c>
      <c r="BG121" s="163">
        <f t="shared" si="50"/>
        <v>180</v>
      </c>
      <c r="BH121" s="122">
        <f t="shared" si="51"/>
        <v>121.65654188208487</v>
      </c>
      <c r="BI121" s="122">
        <f t="shared" si="52"/>
        <v>243</v>
      </c>
      <c r="BJ121" s="163">
        <f t="shared" si="53"/>
        <v>142.3296</v>
      </c>
      <c r="BK121" s="131">
        <f t="shared" si="54"/>
        <v>13.785749441840011</v>
      </c>
      <c r="BL121" s="134">
        <f t="shared" si="55"/>
        <v>0.89458333333333329</v>
      </c>
      <c r="BM121" s="135">
        <f t="shared" si="56"/>
        <v>0.1266700992296958</v>
      </c>
      <c r="BN121" s="92" t="str">
        <f t="shared" si="57"/>
        <v>OK</v>
      </c>
      <c r="BO121" s="135">
        <f>_xll.DCEBoltDisRS(AN121, AE121, BA121, BB121, BC121, BD121, "h1")</f>
        <v>890</v>
      </c>
      <c r="BP121" s="136">
        <f>_xll.DCEBoltDisRS(AN121, AE121, BA121, BB121, BC121, BD121, "Tong")</f>
        <v>1800300</v>
      </c>
      <c r="BQ121" s="137">
        <f t="shared" si="58"/>
        <v>35.599293844478041</v>
      </c>
      <c r="BR121" s="135">
        <f t="shared" si="59"/>
        <v>0.25011869522908825</v>
      </c>
      <c r="BS121" s="64" t="str">
        <f t="shared" si="60"/>
        <v>OK</v>
      </c>
      <c r="BT121" s="131">
        <f t="shared" si="61"/>
        <v>0.27459077740643612</v>
      </c>
      <c r="BU121" s="92" t="str">
        <f t="shared" si="62"/>
        <v>OK</v>
      </c>
      <c r="BV121" s="139">
        <f t="shared" si="63"/>
        <v>196.75019557995282</v>
      </c>
      <c r="BW121" s="131">
        <f t="shared" si="64"/>
        <v>4.4268794005489385</v>
      </c>
      <c r="BX121" s="139">
        <f t="shared" si="65"/>
        <v>98.375097789976408</v>
      </c>
      <c r="BY121" s="123">
        <f t="shared" si="66"/>
        <v>42.07726954977209</v>
      </c>
      <c r="BZ121" s="141">
        <f t="shared" si="67"/>
        <v>0.20454228253361434</v>
      </c>
      <c r="CA121" s="131">
        <f t="shared" si="68"/>
        <v>3.8960434768307488</v>
      </c>
      <c r="CB121" s="143">
        <f t="shared" si="69"/>
        <v>3.265362109412745E-2</v>
      </c>
      <c r="CC121" s="123">
        <f t="shared" si="70"/>
        <v>42.614951332651358</v>
      </c>
      <c r="CD121" s="131">
        <f t="shared" si="71"/>
        <v>0.18013566384574853</v>
      </c>
      <c r="CE121" s="135">
        <f t="shared" si="72"/>
        <v>0.20454228253361434</v>
      </c>
      <c r="CF121" s="92" t="str">
        <f t="shared" si="73"/>
        <v>OK</v>
      </c>
      <c r="CG121" s="50"/>
      <c r="DA121" s="111"/>
      <c r="DB121" s="111"/>
      <c r="DC121" s="111"/>
      <c r="DD121" s="116"/>
      <c r="DE121" s="120"/>
      <c r="DF121" s="121"/>
      <c r="DG121" s="121"/>
      <c r="DH121" s="121"/>
      <c r="DI121" s="121"/>
      <c r="DJ121" s="121"/>
      <c r="DK121" s="122"/>
      <c r="DL121" s="123"/>
      <c r="DM121" s="123"/>
      <c r="DN121" s="123"/>
      <c r="DO121" s="123"/>
      <c r="DP121" s="123"/>
      <c r="DQ121" s="111"/>
      <c r="DR121" s="120"/>
      <c r="DS121" s="120"/>
      <c r="DT121" s="120"/>
      <c r="DU121" s="120"/>
      <c r="DV121" s="120"/>
      <c r="DW121" s="120"/>
      <c r="DX121" s="120"/>
      <c r="DY121" s="120"/>
      <c r="DZ121" s="120"/>
      <c r="EA121" s="122"/>
      <c r="EB121" s="122"/>
      <c r="EC121" s="122"/>
      <c r="ED121" s="122"/>
      <c r="EE121" s="122"/>
      <c r="EF121" s="122"/>
      <c r="EG121" s="122"/>
      <c r="EH121" s="122"/>
      <c r="EI121" s="122"/>
      <c r="EJ121" s="122"/>
      <c r="EK121" s="131"/>
      <c r="EL121" s="122"/>
      <c r="EM121" s="276"/>
      <c r="EN121" s="276"/>
      <c r="EO121" s="135"/>
      <c r="EP121" s="136"/>
      <c r="EQ121" s="137"/>
      <c r="ER121" s="276"/>
      <c r="ES121" s="276"/>
      <c r="ET121" s="276"/>
      <c r="EU121" s="276"/>
      <c r="EV121" s="139"/>
      <c r="EW121" s="131"/>
      <c r="EX121" s="139"/>
      <c r="EY121" s="123"/>
      <c r="EZ121" s="141"/>
      <c r="FA121" s="131"/>
      <c r="FB121" s="143"/>
      <c r="FC121" s="123"/>
      <c r="FD121" s="131"/>
      <c r="FE121" s="276"/>
      <c r="FF121" s="276"/>
      <c r="FG121" s="50"/>
    </row>
    <row r="122" spans="27:163">
      <c r="AA122" s="111" t="s">
        <v>245</v>
      </c>
      <c r="AB122" s="111" t="s">
        <v>312</v>
      </c>
      <c r="AC122" s="111">
        <v>46</v>
      </c>
      <c r="AD122" s="116">
        <v>2.6850000000000001</v>
      </c>
      <c r="AE122" s="120">
        <v>1100</v>
      </c>
      <c r="AF122" s="121">
        <v>350</v>
      </c>
      <c r="AG122" s="121">
        <v>14</v>
      </c>
      <c r="AH122" s="121">
        <v>18.000000000000004</v>
      </c>
      <c r="AI122" s="121">
        <v>1064</v>
      </c>
      <c r="AJ122" s="64" t="str" cm="1">
        <f t="array" ref="AJ122">_xll.Dce_Name_SectI(AE122, AE122, AF122, AG122, AH122, "x", "-", "H Tổng")</f>
        <v>1100x350x14x18</v>
      </c>
      <c r="AK122" s="122">
        <f t="shared" si="40"/>
        <v>1360</v>
      </c>
      <c r="AL122" s="123">
        <f t="shared" si="41"/>
        <v>350</v>
      </c>
      <c r="AM122" s="123">
        <f t="shared" si="42"/>
        <v>25</v>
      </c>
      <c r="AN122" s="123">
        <f t="shared" si="43"/>
        <v>16</v>
      </c>
      <c r="AO122" s="123">
        <f t="shared" si="44"/>
        <v>27</v>
      </c>
      <c r="AP122" s="165" t="str">
        <f t="shared" si="45"/>
        <v>1360x350x25 + 16M27</v>
      </c>
      <c r="AQ122" s="111" t="s">
        <v>335</v>
      </c>
      <c r="AR122" s="120">
        <v>0</v>
      </c>
      <c r="AS122" s="120">
        <v>223.03276325226096</v>
      </c>
      <c r="AT122" s="120">
        <v>-4.092726157978176E-15</v>
      </c>
      <c r="AU122" s="120">
        <v>-1.5949849513278986E-3</v>
      </c>
      <c r="AV122" s="120">
        <v>1.1304109648335722E-15</v>
      </c>
      <c r="AW122" s="120">
        <v>-673.93031158604106</v>
      </c>
      <c r="AX122" s="120"/>
      <c r="AY122" s="120"/>
      <c r="AZ122" s="120"/>
      <c r="BA122" s="122">
        <f t="shared" si="46"/>
        <v>60</v>
      </c>
      <c r="BB122" s="122">
        <f t="shared" si="47"/>
        <v>70</v>
      </c>
      <c r="BC122" s="122">
        <f t="shared" si="48"/>
        <v>80</v>
      </c>
      <c r="BD122" s="122">
        <f t="shared" si="49"/>
        <v>160</v>
      </c>
      <c r="BE122" s="122">
        <f>VLOOKUP(AO122,Data!$V$4:$Z$15,3,FALSE)</f>
        <v>572.55526111673976</v>
      </c>
      <c r="BF122" s="122">
        <f>VLOOKUP(AO122,Data!$V$4:$Z$15,4,FALSE)</f>
        <v>459</v>
      </c>
      <c r="BG122" s="163">
        <f t="shared" si="50"/>
        <v>180</v>
      </c>
      <c r="BH122" s="122">
        <f t="shared" si="51"/>
        <v>153.97156081951366</v>
      </c>
      <c r="BI122" s="122">
        <f t="shared" si="52"/>
        <v>273.375</v>
      </c>
      <c r="BJ122" s="163">
        <f t="shared" si="53"/>
        <v>185.06880000000001</v>
      </c>
      <c r="BK122" s="131">
        <f t="shared" si="54"/>
        <v>13.93954770326631</v>
      </c>
      <c r="BL122" s="134">
        <f t="shared" si="55"/>
        <v>0.85037037037037044</v>
      </c>
      <c r="BM122" s="135">
        <f t="shared" si="56"/>
        <v>0.10646333110843022</v>
      </c>
      <c r="BN122" s="92" t="str">
        <f t="shared" si="57"/>
        <v>OK</v>
      </c>
      <c r="BO122" s="135">
        <f>_xll.DCEBoltDisRS(AN122, AE122, BA122, BB122, BC122, BD122, "h1")</f>
        <v>1240</v>
      </c>
      <c r="BP122" s="136">
        <f>_xll.DCEBoltDisRS(AN122, AE122, BA122, BB122, BC122, BD122, "Tong")</f>
        <v>4523000</v>
      </c>
      <c r="BQ122" s="137">
        <f t="shared" si="58"/>
        <v>92.380453942813489</v>
      </c>
      <c r="BR122" s="135">
        <f t="shared" si="59"/>
        <v>0.49916816850173279</v>
      </c>
      <c r="BS122" s="64" t="str">
        <f t="shared" si="60"/>
        <v>OK</v>
      </c>
      <c r="BT122" s="131">
        <f t="shared" si="61"/>
        <v>0.5073116714890934</v>
      </c>
      <c r="BU122" s="92" t="str">
        <f t="shared" si="62"/>
        <v>OK</v>
      </c>
      <c r="BV122" s="139">
        <f t="shared" si="63"/>
        <v>622.85611052314323</v>
      </c>
      <c r="BW122" s="131">
        <f t="shared" si="64"/>
        <v>14.014262486770722</v>
      </c>
      <c r="BX122" s="139">
        <f t="shared" si="65"/>
        <v>311.42805526157161</v>
      </c>
      <c r="BY122" s="123">
        <f t="shared" si="66"/>
        <v>98.924205788969815</v>
      </c>
      <c r="BZ122" s="141">
        <f t="shared" si="67"/>
        <v>0.48088155591860332</v>
      </c>
      <c r="CA122" s="131">
        <f t="shared" si="68"/>
        <v>9.1596486841638711</v>
      </c>
      <c r="CB122" s="143">
        <f t="shared" si="69"/>
        <v>7.6769086193902186E-2</v>
      </c>
      <c r="CC122" s="123">
        <f t="shared" si="70"/>
        <v>100.18830262575749</v>
      </c>
      <c r="CD122" s="131">
        <f t="shared" si="71"/>
        <v>0.42350127921515857</v>
      </c>
      <c r="CE122" s="135">
        <f t="shared" si="72"/>
        <v>0.48088155591860332</v>
      </c>
      <c r="CF122" s="92" t="str">
        <f t="shared" si="73"/>
        <v>OK</v>
      </c>
      <c r="CG122" s="50"/>
      <c r="DA122" s="111"/>
      <c r="DB122" s="111"/>
      <c r="DC122" s="111"/>
      <c r="DD122" s="116"/>
      <c r="DE122" s="120"/>
      <c r="DF122" s="121"/>
      <c r="DG122" s="121"/>
      <c r="DH122" s="121"/>
      <c r="DI122" s="121"/>
      <c r="DJ122" s="121"/>
      <c r="DK122" s="122"/>
      <c r="DL122" s="123"/>
      <c r="DM122" s="123"/>
      <c r="DN122" s="123"/>
      <c r="DO122" s="123"/>
      <c r="DP122" s="123"/>
      <c r="DQ122" s="111"/>
      <c r="DR122" s="120"/>
      <c r="DS122" s="120"/>
      <c r="DT122" s="120"/>
      <c r="DU122" s="120"/>
      <c r="DV122" s="120"/>
      <c r="DW122" s="120"/>
      <c r="DX122" s="120"/>
      <c r="DY122" s="120"/>
      <c r="DZ122" s="120"/>
      <c r="EA122" s="122"/>
      <c r="EB122" s="122"/>
      <c r="EC122" s="122"/>
      <c r="ED122" s="122"/>
      <c r="EE122" s="122"/>
      <c r="EF122" s="122"/>
      <c r="EG122" s="122"/>
      <c r="EH122" s="122"/>
      <c r="EI122" s="122"/>
      <c r="EJ122" s="122"/>
      <c r="EK122" s="131"/>
      <c r="EL122" s="122"/>
      <c r="EM122" s="276"/>
      <c r="EN122" s="276"/>
      <c r="EO122" s="135"/>
      <c r="EP122" s="136"/>
      <c r="EQ122" s="137"/>
      <c r="ER122" s="276"/>
      <c r="ES122" s="276"/>
      <c r="ET122" s="276"/>
      <c r="EU122" s="276"/>
      <c r="EV122" s="139"/>
      <c r="EW122" s="131"/>
      <c r="EX122" s="139"/>
      <c r="EY122" s="123"/>
      <c r="EZ122" s="141"/>
      <c r="FA122" s="131"/>
      <c r="FB122" s="143"/>
      <c r="FC122" s="123"/>
      <c r="FD122" s="131"/>
      <c r="FE122" s="276"/>
      <c r="FF122" s="276"/>
      <c r="FG122" s="50"/>
    </row>
    <row r="123" spans="27:163">
      <c r="AA123" s="111" t="s">
        <v>245</v>
      </c>
      <c r="AB123" s="111" t="s">
        <v>312</v>
      </c>
      <c r="AC123" s="111">
        <v>46</v>
      </c>
      <c r="AD123" s="116">
        <v>0</v>
      </c>
      <c r="AE123" s="120">
        <v>750</v>
      </c>
      <c r="AF123" s="121">
        <v>350</v>
      </c>
      <c r="AG123" s="121">
        <v>14</v>
      </c>
      <c r="AH123" s="121">
        <v>18.000000000000004</v>
      </c>
      <c r="AI123" s="121">
        <v>714</v>
      </c>
      <c r="AJ123" s="64" t="str" cm="1">
        <f t="array" ref="AJ123">_xll.Dce_Name_SectI(AE123, AE123, AF123, AG123, AH123, "x", "-", "H Tổng")</f>
        <v>750x350x14x18</v>
      </c>
      <c r="AK123" s="122">
        <f t="shared" si="40"/>
        <v>1010</v>
      </c>
      <c r="AL123" s="123">
        <f t="shared" si="41"/>
        <v>350</v>
      </c>
      <c r="AM123" s="123">
        <f t="shared" si="42"/>
        <v>25</v>
      </c>
      <c r="AN123" s="123">
        <f t="shared" si="43"/>
        <v>12</v>
      </c>
      <c r="AO123" s="123">
        <f t="shared" si="44"/>
        <v>24</v>
      </c>
      <c r="AP123" s="165" t="str">
        <f t="shared" si="45"/>
        <v>1010x350x25 + 12M24</v>
      </c>
      <c r="AQ123" s="111" t="s">
        <v>336</v>
      </c>
      <c r="AR123" s="120">
        <v>0</v>
      </c>
      <c r="AS123" s="120">
        <v>166.98497078667592</v>
      </c>
      <c r="AT123" s="120">
        <v>-2.1464074961841103E-14</v>
      </c>
      <c r="AU123" s="120">
        <v>-1.5234827854518041E-3</v>
      </c>
      <c r="AV123" s="120">
        <v>1.8998980522155757E-14</v>
      </c>
      <c r="AW123" s="120">
        <v>-164.4590792712514</v>
      </c>
      <c r="AX123" s="120"/>
      <c r="AY123" s="120"/>
      <c r="AZ123" s="120"/>
      <c r="BA123" s="122">
        <f t="shared" si="46"/>
        <v>60</v>
      </c>
      <c r="BB123" s="122">
        <f t="shared" si="47"/>
        <v>70</v>
      </c>
      <c r="BC123" s="122">
        <f t="shared" si="48"/>
        <v>80</v>
      </c>
      <c r="BD123" s="122">
        <f t="shared" si="49"/>
        <v>150</v>
      </c>
      <c r="BE123" s="122">
        <f>VLOOKUP(AO123,Data!$V$4:$Z$15,3,FALSE)</f>
        <v>452.38934211693021</v>
      </c>
      <c r="BF123" s="122">
        <f>VLOOKUP(AO123,Data!$V$4:$Z$15,4,FALSE)</f>
        <v>353</v>
      </c>
      <c r="BG123" s="163">
        <f t="shared" si="50"/>
        <v>180</v>
      </c>
      <c r="BH123" s="122">
        <f t="shared" si="51"/>
        <v>121.65654188208487</v>
      </c>
      <c r="BI123" s="122">
        <f t="shared" si="52"/>
        <v>243</v>
      </c>
      <c r="BJ123" s="163">
        <f t="shared" si="53"/>
        <v>142.3296</v>
      </c>
      <c r="BK123" s="131">
        <f t="shared" si="54"/>
        <v>13.915414232222993</v>
      </c>
      <c r="BL123" s="134">
        <f t="shared" si="55"/>
        <v>0.89458333333333329</v>
      </c>
      <c r="BM123" s="135">
        <f t="shared" si="56"/>
        <v>0.12786152171519091</v>
      </c>
      <c r="BN123" s="92" t="str">
        <f t="shared" si="57"/>
        <v>OK</v>
      </c>
      <c r="BO123" s="135">
        <f>_xll.DCEBoltDisRS(AN123, AE123, BA123, BB123, BC123, BD123, "h1")</f>
        <v>890</v>
      </c>
      <c r="BP123" s="136">
        <f>_xll.DCEBoltDisRS(AN123, AE123, BA123, BB123, BC123, BD123, "Tong")</f>
        <v>1800300</v>
      </c>
      <c r="BQ123" s="137">
        <f t="shared" si="58"/>
        <v>40.651163848084693</v>
      </c>
      <c r="BR123" s="135">
        <f t="shared" si="59"/>
        <v>0.28561285809898079</v>
      </c>
      <c r="BS123" s="64" t="str">
        <f t="shared" si="60"/>
        <v>OK</v>
      </c>
      <c r="BT123" s="131">
        <f t="shared" si="61"/>
        <v>0.30766560827212996</v>
      </c>
      <c r="BU123" s="92" t="str">
        <f t="shared" si="62"/>
        <v>OK</v>
      </c>
      <c r="BV123" s="139">
        <f t="shared" si="63"/>
        <v>224.67087332138169</v>
      </c>
      <c r="BW123" s="131">
        <f t="shared" si="64"/>
        <v>5.055094649731088</v>
      </c>
      <c r="BX123" s="139">
        <f t="shared" si="65"/>
        <v>112.33543666069085</v>
      </c>
      <c r="BY123" s="123">
        <f t="shared" si="66"/>
        <v>48.048424393483607</v>
      </c>
      <c r="BZ123" s="141">
        <f t="shared" si="67"/>
        <v>0.23356872969054535</v>
      </c>
      <c r="CA123" s="131">
        <f t="shared" si="68"/>
        <v>4.448928184581816</v>
      </c>
      <c r="CB123" s="143">
        <f t="shared" si="69"/>
        <v>3.7287472811389742E-2</v>
      </c>
      <c r="CC123" s="123">
        <f t="shared" si="70"/>
        <v>48.662408208708797</v>
      </c>
      <c r="CD123" s="131">
        <f t="shared" si="71"/>
        <v>0.20569858542328601</v>
      </c>
      <c r="CE123" s="135">
        <f t="shared" si="72"/>
        <v>0.23356872969054535</v>
      </c>
      <c r="CF123" s="92" t="str">
        <f t="shared" si="73"/>
        <v>OK</v>
      </c>
      <c r="CG123" s="50"/>
      <c r="DA123" s="111"/>
      <c r="DB123" s="111"/>
      <c r="DC123" s="111"/>
      <c r="DD123" s="116"/>
      <c r="DE123" s="120"/>
      <c r="DF123" s="121"/>
      <c r="DG123" s="121"/>
      <c r="DH123" s="121"/>
      <c r="DI123" s="121"/>
      <c r="DJ123" s="121"/>
      <c r="DK123" s="122"/>
      <c r="DL123" s="123"/>
      <c r="DM123" s="123"/>
      <c r="DN123" s="123"/>
      <c r="DO123" s="123"/>
      <c r="DP123" s="123"/>
      <c r="DQ123" s="111"/>
      <c r="DR123" s="120"/>
      <c r="DS123" s="120"/>
      <c r="DT123" s="120"/>
      <c r="DU123" s="120"/>
      <c r="DV123" s="120"/>
      <c r="DW123" s="120"/>
      <c r="DX123" s="120"/>
      <c r="DY123" s="120"/>
      <c r="DZ123" s="120"/>
      <c r="EA123" s="122"/>
      <c r="EB123" s="122"/>
      <c r="EC123" s="122"/>
      <c r="ED123" s="122"/>
      <c r="EE123" s="122"/>
      <c r="EF123" s="122"/>
      <c r="EG123" s="122"/>
      <c r="EH123" s="122"/>
      <c r="EI123" s="122"/>
      <c r="EJ123" s="122"/>
      <c r="EK123" s="131"/>
      <c r="EL123" s="122"/>
      <c r="EM123" s="276"/>
      <c r="EN123" s="276"/>
      <c r="EO123" s="135"/>
      <c r="EP123" s="136"/>
      <c r="EQ123" s="137"/>
      <c r="ER123" s="276"/>
      <c r="ES123" s="276"/>
      <c r="ET123" s="276"/>
      <c r="EU123" s="276"/>
      <c r="EV123" s="139"/>
      <c r="EW123" s="131"/>
      <c r="EX123" s="139"/>
      <c r="EY123" s="123"/>
      <c r="EZ123" s="141"/>
      <c r="FA123" s="131"/>
      <c r="FB123" s="143"/>
      <c r="FC123" s="123"/>
      <c r="FD123" s="131"/>
      <c r="FE123" s="276"/>
      <c r="FF123" s="276"/>
      <c r="FG123" s="50"/>
    </row>
    <row r="124" spans="27:163">
      <c r="AA124" s="111" t="s">
        <v>245</v>
      </c>
      <c r="AB124" s="111" t="s">
        <v>312</v>
      </c>
      <c r="AC124" s="111">
        <v>46</v>
      </c>
      <c r="AD124" s="116">
        <v>2.6850000000000001</v>
      </c>
      <c r="AE124" s="120">
        <v>1100</v>
      </c>
      <c r="AF124" s="121">
        <v>350</v>
      </c>
      <c r="AG124" s="121">
        <v>14</v>
      </c>
      <c r="AH124" s="121">
        <v>18.000000000000004</v>
      </c>
      <c r="AI124" s="121">
        <v>1064</v>
      </c>
      <c r="AJ124" s="64" t="str" cm="1">
        <f t="array" ref="AJ124">_xll.Dce_Name_SectI(AE124, AE124, AF124, AG124, AH124, "x", "-", "H Tổng")</f>
        <v>1100x350x14x18</v>
      </c>
      <c r="AK124" s="122">
        <f t="shared" si="40"/>
        <v>1360</v>
      </c>
      <c r="AL124" s="123">
        <f t="shared" si="41"/>
        <v>350</v>
      </c>
      <c r="AM124" s="123">
        <f t="shared" si="42"/>
        <v>25</v>
      </c>
      <c r="AN124" s="123">
        <f t="shared" si="43"/>
        <v>16</v>
      </c>
      <c r="AO124" s="123">
        <f t="shared" si="44"/>
        <v>27</v>
      </c>
      <c r="AP124" s="165" t="str">
        <f t="shared" si="45"/>
        <v>1360x350x25 + 16M27</v>
      </c>
      <c r="AQ124" s="111" t="s">
        <v>336</v>
      </c>
      <c r="AR124" s="120">
        <v>0</v>
      </c>
      <c r="AS124" s="120">
        <v>224.58874141267449</v>
      </c>
      <c r="AT124" s="120">
        <v>-3.1832314562052481E-15</v>
      </c>
      <c r="AU124" s="120">
        <v>-1.5232562314788796E-3</v>
      </c>
      <c r="AV124" s="120">
        <v>-2.3837856133468437E-16</v>
      </c>
      <c r="AW124" s="120">
        <v>-698.54598124991389</v>
      </c>
      <c r="AX124" s="120"/>
      <c r="AY124" s="120"/>
      <c r="AZ124" s="120"/>
      <c r="BA124" s="122">
        <f t="shared" si="46"/>
        <v>60</v>
      </c>
      <c r="BB124" s="122">
        <f t="shared" si="47"/>
        <v>70</v>
      </c>
      <c r="BC124" s="122">
        <f t="shared" si="48"/>
        <v>80</v>
      </c>
      <c r="BD124" s="122">
        <f t="shared" si="49"/>
        <v>160</v>
      </c>
      <c r="BE124" s="122">
        <f>VLOOKUP(AO124,Data!$V$4:$Z$15,3,FALSE)</f>
        <v>572.55526111673976</v>
      </c>
      <c r="BF124" s="122">
        <f>VLOOKUP(AO124,Data!$V$4:$Z$15,4,FALSE)</f>
        <v>459</v>
      </c>
      <c r="BG124" s="163">
        <f t="shared" si="50"/>
        <v>180</v>
      </c>
      <c r="BH124" s="122">
        <f t="shared" si="51"/>
        <v>153.97156081951366</v>
      </c>
      <c r="BI124" s="122">
        <f t="shared" si="52"/>
        <v>273.375</v>
      </c>
      <c r="BJ124" s="163">
        <f t="shared" si="53"/>
        <v>185.06880000000001</v>
      </c>
      <c r="BK124" s="131">
        <f t="shared" si="54"/>
        <v>14.036796338292156</v>
      </c>
      <c r="BL124" s="134">
        <f t="shared" si="55"/>
        <v>0.85037037037037044</v>
      </c>
      <c r="BM124" s="135">
        <f t="shared" si="56"/>
        <v>0.10720606780627684</v>
      </c>
      <c r="BN124" s="92" t="str">
        <f t="shared" si="57"/>
        <v>OK</v>
      </c>
      <c r="BO124" s="135">
        <f>_xll.DCEBoltDisRS(AN124, AE124, BA124, BB124, BC124, BD124, "h1")</f>
        <v>1240</v>
      </c>
      <c r="BP124" s="136">
        <f>_xll.DCEBoltDisRS(AN124, AE124, BA124, BB124, BC124, BD124, "Tong")</f>
        <v>4523000</v>
      </c>
      <c r="BQ124" s="137">
        <f t="shared" si="58"/>
        <v>95.754700060788565</v>
      </c>
      <c r="BR124" s="135">
        <f t="shared" si="59"/>
        <v>0.5174005562298376</v>
      </c>
      <c r="BS124" s="64" t="str">
        <f t="shared" si="60"/>
        <v>OK</v>
      </c>
      <c r="BT124" s="131">
        <f t="shared" si="61"/>
        <v>0.52537069573746464</v>
      </c>
      <c r="BU124" s="92" t="str">
        <f t="shared" si="62"/>
        <v>OK</v>
      </c>
      <c r="BV124" s="139">
        <f t="shared" si="63"/>
        <v>645.6062673289407</v>
      </c>
      <c r="BW124" s="131">
        <f t="shared" si="64"/>
        <v>14.526141014901166</v>
      </c>
      <c r="BX124" s="139">
        <f t="shared" si="65"/>
        <v>322.80313366447035</v>
      </c>
      <c r="BY124" s="123">
        <f t="shared" si="66"/>
        <v>102.53746598753764</v>
      </c>
      <c r="BZ124" s="141">
        <f t="shared" si="67"/>
        <v>0.49844601521719695</v>
      </c>
      <c r="CA124" s="131">
        <f t="shared" si="68"/>
        <v>9.494209813660893</v>
      </c>
      <c r="CB124" s="143">
        <f t="shared" si="69"/>
        <v>7.95731186489778E-2</v>
      </c>
      <c r="CC124" s="123">
        <f t="shared" si="70"/>
        <v>103.84773464598486</v>
      </c>
      <c r="CD124" s="131">
        <f t="shared" si="71"/>
        <v>0.43896989282723076</v>
      </c>
      <c r="CE124" s="135">
        <f t="shared" si="72"/>
        <v>0.49844601521719695</v>
      </c>
      <c r="CF124" s="92" t="str">
        <f t="shared" si="73"/>
        <v>OK</v>
      </c>
      <c r="CG124" s="50"/>
      <c r="DA124" s="111"/>
      <c r="DB124" s="111"/>
      <c r="DC124" s="111"/>
      <c r="DD124" s="116"/>
      <c r="DE124" s="120"/>
      <c r="DF124" s="121"/>
      <c r="DG124" s="121"/>
      <c r="DH124" s="121"/>
      <c r="DI124" s="121"/>
      <c r="DJ124" s="121"/>
      <c r="DK124" s="122"/>
      <c r="DL124" s="123"/>
      <c r="DM124" s="123"/>
      <c r="DN124" s="123"/>
      <c r="DO124" s="123"/>
      <c r="DP124" s="123"/>
      <c r="DQ124" s="111"/>
      <c r="DR124" s="120"/>
      <c r="DS124" s="120"/>
      <c r="DT124" s="120"/>
      <c r="DU124" s="120"/>
      <c r="DV124" s="120"/>
      <c r="DW124" s="120"/>
      <c r="DX124" s="120"/>
      <c r="DY124" s="120"/>
      <c r="DZ124" s="120"/>
      <c r="EA124" s="122"/>
      <c r="EB124" s="122"/>
      <c r="EC124" s="122"/>
      <c r="ED124" s="122"/>
      <c r="EE124" s="122"/>
      <c r="EF124" s="122"/>
      <c r="EG124" s="122"/>
      <c r="EH124" s="122"/>
      <c r="EI124" s="122"/>
      <c r="EJ124" s="122"/>
      <c r="EK124" s="131"/>
      <c r="EL124" s="122"/>
      <c r="EM124" s="276"/>
      <c r="EN124" s="276"/>
      <c r="EO124" s="135"/>
      <c r="EP124" s="136"/>
      <c r="EQ124" s="137"/>
      <c r="ER124" s="276"/>
      <c r="ES124" s="276"/>
      <c r="ET124" s="276"/>
      <c r="EU124" s="276"/>
      <c r="EV124" s="139"/>
      <c r="EW124" s="131"/>
      <c r="EX124" s="139"/>
      <c r="EY124" s="123"/>
      <c r="EZ124" s="141"/>
      <c r="FA124" s="131"/>
      <c r="FB124" s="143"/>
      <c r="FC124" s="123"/>
      <c r="FD124" s="131"/>
      <c r="FE124" s="276"/>
      <c r="FF124" s="276"/>
      <c r="FG124" s="50"/>
    </row>
    <row r="125" spans="27:163">
      <c r="AA125" s="111" t="s">
        <v>245</v>
      </c>
      <c r="AB125" s="111" t="s">
        <v>312</v>
      </c>
      <c r="AC125" s="111">
        <v>46</v>
      </c>
      <c r="AD125" s="116">
        <v>0</v>
      </c>
      <c r="AE125" s="120">
        <v>750</v>
      </c>
      <c r="AF125" s="121">
        <v>350</v>
      </c>
      <c r="AG125" s="121">
        <v>14</v>
      </c>
      <c r="AH125" s="121">
        <v>18.000000000000004</v>
      </c>
      <c r="AI125" s="121">
        <v>714</v>
      </c>
      <c r="AJ125" s="64" t="str" cm="1">
        <f t="array" ref="AJ125">_xll.Dce_Name_SectI(AE125, AE125, AF125, AG125, AH125, "x", "-", "H Tổng")</f>
        <v>750x350x14x18</v>
      </c>
      <c r="AK125" s="122">
        <f t="shared" si="40"/>
        <v>1010</v>
      </c>
      <c r="AL125" s="123">
        <f t="shared" si="41"/>
        <v>350</v>
      </c>
      <c r="AM125" s="123">
        <f t="shared" si="42"/>
        <v>25</v>
      </c>
      <c r="AN125" s="123">
        <f t="shared" si="43"/>
        <v>12</v>
      </c>
      <c r="AO125" s="123">
        <f t="shared" si="44"/>
        <v>24</v>
      </c>
      <c r="AP125" s="165" t="str">
        <f t="shared" si="45"/>
        <v>1010x350x25 + 12M24</v>
      </c>
      <c r="AQ125" s="111" t="s">
        <v>337</v>
      </c>
      <c r="AR125" s="120">
        <v>0</v>
      </c>
      <c r="AS125" s="120">
        <v>168.25063804357802</v>
      </c>
      <c r="AT125" s="120">
        <v>-3.0559021979570387E-14</v>
      </c>
      <c r="AU125" s="120">
        <v>-1.5741311908801677E-3</v>
      </c>
      <c r="AV125" s="120">
        <v>1.5273690223693843E-14</v>
      </c>
      <c r="AW125" s="120">
        <v>-165.95164407264795</v>
      </c>
      <c r="AX125" s="120"/>
      <c r="AY125" s="120"/>
      <c r="AZ125" s="120"/>
      <c r="BA125" s="122">
        <f t="shared" si="46"/>
        <v>60</v>
      </c>
      <c r="BB125" s="122">
        <f t="shared" si="47"/>
        <v>70</v>
      </c>
      <c r="BC125" s="122">
        <f t="shared" si="48"/>
        <v>80</v>
      </c>
      <c r="BD125" s="122">
        <f t="shared" si="49"/>
        <v>150</v>
      </c>
      <c r="BE125" s="122">
        <f>VLOOKUP(AO125,Data!$V$4:$Z$15,3,FALSE)</f>
        <v>452.38934211693021</v>
      </c>
      <c r="BF125" s="122">
        <f>VLOOKUP(AO125,Data!$V$4:$Z$15,4,FALSE)</f>
        <v>353</v>
      </c>
      <c r="BG125" s="163">
        <f t="shared" si="50"/>
        <v>180</v>
      </c>
      <c r="BH125" s="122">
        <f t="shared" si="51"/>
        <v>121.65654188208487</v>
      </c>
      <c r="BI125" s="122">
        <f t="shared" si="52"/>
        <v>243</v>
      </c>
      <c r="BJ125" s="163">
        <f t="shared" si="53"/>
        <v>142.3296</v>
      </c>
      <c r="BK125" s="131">
        <f t="shared" si="54"/>
        <v>14.020886503631502</v>
      </c>
      <c r="BL125" s="134">
        <f t="shared" si="55"/>
        <v>0.89458333333333329</v>
      </c>
      <c r="BM125" s="135">
        <f t="shared" si="56"/>
        <v>0.12883065169551311</v>
      </c>
      <c r="BN125" s="92" t="str">
        <f t="shared" si="57"/>
        <v>OK</v>
      </c>
      <c r="BO125" s="135">
        <f>_xll.DCEBoltDisRS(AN125, AE125, BA125, BB125, BC125, BD125, "h1")</f>
        <v>890</v>
      </c>
      <c r="BP125" s="136">
        <f>_xll.DCEBoltDisRS(AN125, AE125, BA125, BB125, BC125, BD125, "Tong")</f>
        <v>1800300</v>
      </c>
      <c r="BQ125" s="137">
        <f t="shared" si="58"/>
        <v>41.02009754614695</v>
      </c>
      <c r="BR125" s="135">
        <f t="shared" si="59"/>
        <v>0.2882049661219237</v>
      </c>
      <c r="BS125" s="64" t="str">
        <f t="shared" si="60"/>
        <v>OK</v>
      </c>
      <c r="BT125" s="131">
        <f t="shared" si="61"/>
        <v>0.31039427870862618</v>
      </c>
      <c r="BU125" s="92" t="str">
        <f t="shared" si="62"/>
        <v>OK</v>
      </c>
      <c r="BV125" s="139">
        <f t="shared" si="63"/>
        <v>226.70989627410924</v>
      </c>
      <c r="BW125" s="131">
        <f t="shared" si="64"/>
        <v>5.1009726661674577</v>
      </c>
      <c r="BX125" s="139">
        <f t="shared" si="65"/>
        <v>113.35494813705462</v>
      </c>
      <c r="BY125" s="123">
        <f t="shared" si="66"/>
        <v>48.484492668522371</v>
      </c>
      <c r="BZ125" s="141">
        <f t="shared" si="67"/>
        <v>0.23568850602753932</v>
      </c>
      <c r="CA125" s="131">
        <f t="shared" si="68"/>
        <v>4.4893048767150345</v>
      </c>
      <c r="CB125" s="143">
        <f t="shared" si="69"/>
        <v>3.7625878995456469E-2</v>
      </c>
      <c r="CC125" s="123">
        <f t="shared" si="70"/>
        <v>49.104048755192196</v>
      </c>
      <c r="CD125" s="131">
        <f t="shared" si="71"/>
        <v>0.20756542348209264</v>
      </c>
      <c r="CE125" s="135">
        <f t="shared" si="72"/>
        <v>0.23568850602753932</v>
      </c>
      <c r="CF125" s="92" t="str">
        <f t="shared" si="73"/>
        <v>OK</v>
      </c>
      <c r="CG125" s="50"/>
      <c r="DA125" s="111"/>
      <c r="DB125" s="111"/>
      <c r="DC125" s="111"/>
      <c r="DD125" s="116"/>
      <c r="DE125" s="120"/>
      <c r="DF125" s="121"/>
      <c r="DG125" s="121"/>
      <c r="DH125" s="121"/>
      <c r="DI125" s="121"/>
      <c r="DJ125" s="121"/>
      <c r="DK125" s="122"/>
      <c r="DL125" s="123"/>
      <c r="DM125" s="123"/>
      <c r="DN125" s="123"/>
      <c r="DO125" s="123"/>
      <c r="DP125" s="123"/>
      <c r="DQ125" s="111"/>
      <c r="DR125" s="120"/>
      <c r="DS125" s="120"/>
      <c r="DT125" s="120"/>
      <c r="DU125" s="120"/>
      <c r="DV125" s="120"/>
      <c r="DW125" s="120"/>
      <c r="DX125" s="120"/>
      <c r="DY125" s="120"/>
      <c r="DZ125" s="120"/>
      <c r="EA125" s="122"/>
      <c r="EB125" s="122"/>
      <c r="EC125" s="122"/>
      <c r="ED125" s="122"/>
      <c r="EE125" s="122"/>
      <c r="EF125" s="122"/>
      <c r="EG125" s="122"/>
      <c r="EH125" s="122"/>
      <c r="EI125" s="122"/>
      <c r="EJ125" s="122"/>
      <c r="EK125" s="131"/>
      <c r="EL125" s="122"/>
      <c r="EM125" s="276"/>
      <c r="EN125" s="276"/>
      <c r="EO125" s="135"/>
      <c r="EP125" s="136"/>
      <c r="EQ125" s="137"/>
      <c r="ER125" s="276"/>
      <c r="ES125" s="276"/>
      <c r="ET125" s="276"/>
      <c r="EU125" s="276"/>
      <c r="EV125" s="139"/>
      <c r="EW125" s="131"/>
      <c r="EX125" s="139"/>
      <c r="EY125" s="123"/>
      <c r="EZ125" s="141"/>
      <c r="FA125" s="131"/>
      <c r="FB125" s="143"/>
      <c r="FC125" s="123"/>
      <c r="FD125" s="131"/>
      <c r="FE125" s="276"/>
      <c r="FF125" s="276"/>
      <c r="FG125" s="50"/>
    </row>
    <row r="126" spans="27:163">
      <c r="AA126" s="111" t="s">
        <v>245</v>
      </c>
      <c r="AB126" s="111" t="s">
        <v>312</v>
      </c>
      <c r="AC126" s="111">
        <v>46</v>
      </c>
      <c r="AD126" s="116">
        <v>2.6850000000000001</v>
      </c>
      <c r="AE126" s="120">
        <v>1100</v>
      </c>
      <c r="AF126" s="121">
        <v>350</v>
      </c>
      <c r="AG126" s="121">
        <v>14</v>
      </c>
      <c r="AH126" s="121">
        <v>18.000000000000004</v>
      </c>
      <c r="AI126" s="121">
        <v>1064</v>
      </c>
      <c r="AJ126" s="64" t="str" cm="1">
        <f t="array" ref="AJ126">_xll.Dce_Name_SectI(AE126, AE126, AF126, AG126, AH126, "x", "-", "H Tổng")</f>
        <v>1100x350x14x18</v>
      </c>
      <c r="AK126" s="122">
        <f t="shared" si="40"/>
        <v>1360</v>
      </c>
      <c r="AL126" s="123">
        <f t="shared" si="41"/>
        <v>350</v>
      </c>
      <c r="AM126" s="123">
        <f t="shared" si="42"/>
        <v>25</v>
      </c>
      <c r="AN126" s="123">
        <f t="shared" si="43"/>
        <v>16</v>
      </c>
      <c r="AO126" s="123">
        <f t="shared" si="44"/>
        <v>27</v>
      </c>
      <c r="AP126" s="165" t="str">
        <f t="shared" si="45"/>
        <v>1360x350x25 + 16M27</v>
      </c>
      <c r="AQ126" s="111" t="s">
        <v>337</v>
      </c>
      <c r="AR126" s="120">
        <v>0</v>
      </c>
      <c r="AS126" s="120">
        <v>225.85440897344401</v>
      </c>
      <c r="AT126" s="120">
        <v>-4.092726157978176E-15</v>
      </c>
      <c r="AU126" s="120">
        <v>-1.5738971667878443E-3</v>
      </c>
      <c r="AV126" s="120">
        <v>1.1304109648335722E-15</v>
      </c>
      <c r="AW126" s="120">
        <v>-703.43684417111785</v>
      </c>
      <c r="AX126" s="120"/>
      <c r="AY126" s="120"/>
      <c r="AZ126" s="120"/>
      <c r="BA126" s="122">
        <f t="shared" si="46"/>
        <v>60</v>
      </c>
      <c r="BB126" s="122">
        <f t="shared" si="47"/>
        <v>70</v>
      </c>
      <c r="BC126" s="122">
        <f t="shared" si="48"/>
        <v>80</v>
      </c>
      <c r="BD126" s="122">
        <f t="shared" si="49"/>
        <v>160</v>
      </c>
      <c r="BE126" s="122">
        <f>VLOOKUP(AO126,Data!$V$4:$Z$15,3,FALSE)</f>
        <v>572.55526111673976</v>
      </c>
      <c r="BF126" s="122">
        <f>VLOOKUP(AO126,Data!$V$4:$Z$15,4,FALSE)</f>
        <v>459</v>
      </c>
      <c r="BG126" s="163">
        <f t="shared" si="50"/>
        <v>180</v>
      </c>
      <c r="BH126" s="122">
        <f t="shared" si="51"/>
        <v>153.97156081951366</v>
      </c>
      <c r="BI126" s="122">
        <f t="shared" si="52"/>
        <v>273.375</v>
      </c>
      <c r="BJ126" s="163">
        <f t="shared" si="53"/>
        <v>185.06880000000001</v>
      </c>
      <c r="BK126" s="131">
        <f t="shared" si="54"/>
        <v>14.115900560840251</v>
      </c>
      <c r="BL126" s="134">
        <f t="shared" si="55"/>
        <v>0.85037037037037044</v>
      </c>
      <c r="BM126" s="135">
        <f t="shared" si="56"/>
        <v>0.10781022650758387</v>
      </c>
      <c r="BN126" s="92" t="str">
        <f t="shared" si="57"/>
        <v>OK</v>
      </c>
      <c r="BO126" s="135">
        <f>_xll.DCEBoltDisRS(AN126, AE126, BA126, BB126, BC126, BD126, "h1")</f>
        <v>1240</v>
      </c>
      <c r="BP126" s="136">
        <f>_xll.DCEBoltDisRS(AN126, AE126, BA126, BB126, BC126, BD126, "Tong")</f>
        <v>4523000</v>
      </c>
      <c r="BQ126" s="137">
        <f t="shared" si="58"/>
        <v>96.425125665729183</v>
      </c>
      <c r="BR126" s="135">
        <f t="shared" si="59"/>
        <v>0.52102313121244193</v>
      </c>
      <c r="BS126" s="64" t="str">
        <f t="shared" si="60"/>
        <v>OK</v>
      </c>
      <c r="BT126" s="131">
        <f t="shared" si="61"/>
        <v>0.52902747852559884</v>
      </c>
      <c r="BU126" s="92" t="str">
        <f t="shared" si="62"/>
        <v>OK</v>
      </c>
      <c r="BV126" s="139">
        <f t="shared" si="63"/>
        <v>650.12647335593147</v>
      </c>
      <c r="BW126" s="131">
        <f t="shared" si="64"/>
        <v>14.627845650508457</v>
      </c>
      <c r="BX126" s="139">
        <f t="shared" si="65"/>
        <v>325.06323667796573</v>
      </c>
      <c r="BY126" s="123">
        <f t="shared" si="66"/>
        <v>103.25538106241265</v>
      </c>
      <c r="BZ126" s="141">
        <f t="shared" si="67"/>
        <v>0.50193588016450597</v>
      </c>
      <c r="CA126" s="131">
        <f t="shared" si="68"/>
        <v>9.5606834317048737</v>
      </c>
      <c r="CB126" s="143">
        <f t="shared" si="69"/>
        <v>8.0130249068407711E-2</v>
      </c>
      <c r="CC126" s="123">
        <f t="shared" si="70"/>
        <v>104.57482355417997</v>
      </c>
      <c r="CD126" s="131">
        <f t="shared" si="71"/>
        <v>0.44204333627974635</v>
      </c>
      <c r="CE126" s="135">
        <f t="shared" si="72"/>
        <v>0.50193588016450597</v>
      </c>
      <c r="CF126" s="92" t="str">
        <f t="shared" si="73"/>
        <v>OK</v>
      </c>
      <c r="CG126" s="50"/>
      <c r="DA126" s="111"/>
      <c r="DB126" s="111"/>
      <c r="DC126" s="111"/>
      <c r="DD126" s="116"/>
      <c r="DE126" s="120"/>
      <c r="DF126" s="121"/>
      <c r="DG126" s="121"/>
      <c r="DH126" s="121"/>
      <c r="DI126" s="121"/>
      <c r="DJ126" s="121"/>
      <c r="DK126" s="122"/>
      <c r="DL126" s="123"/>
      <c r="DM126" s="123"/>
      <c r="DN126" s="123"/>
      <c r="DO126" s="123"/>
      <c r="DP126" s="123"/>
      <c r="DQ126" s="111"/>
      <c r="DR126" s="120"/>
      <c r="DS126" s="120"/>
      <c r="DT126" s="120"/>
      <c r="DU126" s="120"/>
      <c r="DV126" s="120"/>
      <c r="DW126" s="120"/>
      <c r="DX126" s="120"/>
      <c r="DY126" s="120"/>
      <c r="DZ126" s="120"/>
      <c r="EA126" s="122"/>
      <c r="EB126" s="122"/>
      <c r="EC126" s="122"/>
      <c r="ED126" s="122"/>
      <c r="EE126" s="122"/>
      <c r="EF126" s="122"/>
      <c r="EG126" s="122"/>
      <c r="EH126" s="122"/>
      <c r="EI126" s="122"/>
      <c r="EJ126" s="122"/>
      <c r="EK126" s="131"/>
      <c r="EL126" s="122"/>
      <c r="EM126" s="276"/>
      <c r="EN126" s="276"/>
      <c r="EO126" s="135"/>
      <c r="EP126" s="136"/>
      <c r="EQ126" s="137"/>
      <c r="ER126" s="276"/>
      <c r="ES126" s="276"/>
      <c r="ET126" s="276"/>
      <c r="EU126" s="276"/>
      <c r="EV126" s="139"/>
      <c r="EW126" s="131"/>
      <c r="EX126" s="139"/>
      <c r="EY126" s="123"/>
      <c r="EZ126" s="141"/>
      <c r="FA126" s="131"/>
      <c r="FB126" s="143"/>
      <c r="FC126" s="123"/>
      <c r="FD126" s="131"/>
      <c r="FE126" s="276"/>
      <c r="FF126" s="276"/>
      <c r="FG126" s="50"/>
    </row>
    <row r="127" spans="27:163">
      <c r="AA127" s="111" t="s">
        <v>245</v>
      </c>
      <c r="AB127" s="111" t="s">
        <v>312</v>
      </c>
      <c r="AC127" s="111">
        <v>46</v>
      </c>
      <c r="AD127" s="116">
        <v>0</v>
      </c>
      <c r="AE127" s="120">
        <v>750</v>
      </c>
      <c r="AF127" s="121">
        <v>350</v>
      </c>
      <c r="AG127" s="121">
        <v>14</v>
      </c>
      <c r="AH127" s="121">
        <v>18.000000000000004</v>
      </c>
      <c r="AI127" s="121">
        <v>714</v>
      </c>
      <c r="AJ127" s="64" t="str" cm="1">
        <f t="array" ref="AJ127">_xll.Dce_Name_SectI(AE127, AE127, AF127, AG127, AH127, "x", "-", "H Tổng")</f>
        <v>750x350x14x18</v>
      </c>
      <c r="AK127" s="122">
        <f t="shared" si="40"/>
        <v>1010</v>
      </c>
      <c r="AL127" s="123">
        <f t="shared" si="41"/>
        <v>350</v>
      </c>
      <c r="AM127" s="123">
        <f t="shared" si="42"/>
        <v>25</v>
      </c>
      <c r="AN127" s="123">
        <f t="shared" si="43"/>
        <v>12</v>
      </c>
      <c r="AO127" s="123">
        <f t="shared" si="44"/>
        <v>24</v>
      </c>
      <c r="AP127" s="165" t="str">
        <f t="shared" si="45"/>
        <v>1010x350x25 + 12M24</v>
      </c>
      <c r="AQ127" s="111" t="s">
        <v>338</v>
      </c>
      <c r="AR127" s="120">
        <v>0</v>
      </c>
      <c r="AS127" s="120">
        <v>157.59279084468088</v>
      </c>
      <c r="AT127" s="120">
        <v>-1.555235940031707E-14</v>
      </c>
      <c r="AU127" s="120">
        <v>-1.4800294356314306E-3</v>
      </c>
      <c r="AV127" s="120">
        <v>1.0849907994270322E-14</v>
      </c>
      <c r="AW127" s="120">
        <v>-98.908337137771298</v>
      </c>
      <c r="AX127" s="120"/>
      <c r="AY127" s="120"/>
      <c r="AZ127" s="120"/>
      <c r="BA127" s="122">
        <f t="shared" si="46"/>
        <v>60</v>
      </c>
      <c r="BB127" s="122">
        <f t="shared" si="47"/>
        <v>70</v>
      </c>
      <c r="BC127" s="122">
        <f t="shared" si="48"/>
        <v>80</v>
      </c>
      <c r="BD127" s="122">
        <f t="shared" si="49"/>
        <v>150</v>
      </c>
      <c r="BE127" s="122">
        <f>VLOOKUP(AO127,Data!$V$4:$Z$15,3,FALSE)</f>
        <v>452.38934211693021</v>
      </c>
      <c r="BF127" s="122">
        <f>VLOOKUP(AO127,Data!$V$4:$Z$15,4,FALSE)</f>
        <v>353</v>
      </c>
      <c r="BG127" s="163">
        <f t="shared" si="50"/>
        <v>180</v>
      </c>
      <c r="BH127" s="122">
        <f t="shared" si="51"/>
        <v>121.65654188208487</v>
      </c>
      <c r="BI127" s="122">
        <f t="shared" si="52"/>
        <v>243</v>
      </c>
      <c r="BJ127" s="163">
        <f t="shared" si="53"/>
        <v>142.3296</v>
      </c>
      <c r="BK127" s="131">
        <f t="shared" si="54"/>
        <v>13.132732570390074</v>
      </c>
      <c r="BL127" s="134">
        <f t="shared" si="55"/>
        <v>0.89458333333333329</v>
      </c>
      <c r="BM127" s="135">
        <f t="shared" si="56"/>
        <v>0.12066986599941676</v>
      </c>
      <c r="BN127" s="92" t="str">
        <f t="shared" si="57"/>
        <v>OK</v>
      </c>
      <c r="BO127" s="135">
        <f>_xll.DCEBoltDisRS(AN127, AE127, BA127, BB127, BC127, BD127, "h1")</f>
        <v>890</v>
      </c>
      <c r="BP127" s="136">
        <f>_xll.DCEBoltDisRS(AN127, AE127, BA127, BB127, BC127, BD127, "Tong")</f>
        <v>1800300</v>
      </c>
      <c r="BQ127" s="137">
        <f t="shared" si="58"/>
        <v>24.448264192805773</v>
      </c>
      <c r="BR127" s="135">
        <f t="shared" si="59"/>
        <v>0.1717721696176043</v>
      </c>
      <c r="BS127" s="64" t="str">
        <f t="shared" si="60"/>
        <v>OK</v>
      </c>
      <c r="BT127" s="131">
        <f t="shared" si="61"/>
        <v>0.20287611746499765</v>
      </c>
      <c r="BU127" s="92" t="str">
        <f t="shared" si="62"/>
        <v>OK</v>
      </c>
      <c r="BV127" s="139">
        <f t="shared" si="63"/>
        <v>135.12067914996078</v>
      </c>
      <c r="BW127" s="131">
        <f t="shared" si="64"/>
        <v>3.0402152808741176</v>
      </c>
      <c r="BX127" s="139">
        <f t="shared" si="65"/>
        <v>67.560339574980389</v>
      </c>
      <c r="BY127" s="123">
        <f t="shared" si="66"/>
        <v>28.897095739001514</v>
      </c>
      <c r="BZ127" s="141">
        <f t="shared" si="67"/>
        <v>0.14047199317570183</v>
      </c>
      <c r="CA127" s="131">
        <f t="shared" si="68"/>
        <v>2.6756570128705106</v>
      </c>
      <c r="CB127" s="143">
        <f t="shared" si="69"/>
        <v>2.2425286266874494E-2</v>
      </c>
      <c r="CC127" s="123">
        <f t="shared" si="70"/>
        <v>29.266355487156048</v>
      </c>
      <c r="CD127" s="131">
        <f t="shared" si="71"/>
        <v>0.12371043986116689</v>
      </c>
      <c r="CE127" s="135">
        <f t="shared" si="72"/>
        <v>0.14047199317570183</v>
      </c>
      <c r="CF127" s="92" t="str">
        <f t="shared" si="73"/>
        <v>OK</v>
      </c>
      <c r="CG127" s="50"/>
      <c r="DA127" s="111"/>
      <c r="DB127" s="111"/>
      <c r="DC127" s="111"/>
      <c r="DD127" s="116"/>
      <c r="DE127" s="120"/>
      <c r="DF127" s="121"/>
      <c r="DG127" s="121"/>
      <c r="DH127" s="121"/>
      <c r="DI127" s="121"/>
      <c r="DJ127" s="121"/>
      <c r="DK127" s="122"/>
      <c r="DL127" s="123"/>
      <c r="DM127" s="123"/>
      <c r="DN127" s="123"/>
      <c r="DO127" s="123"/>
      <c r="DP127" s="123"/>
      <c r="DQ127" s="111"/>
      <c r="DR127" s="120"/>
      <c r="DS127" s="120"/>
      <c r="DT127" s="120"/>
      <c r="DU127" s="120"/>
      <c r="DV127" s="120"/>
      <c r="DW127" s="120"/>
      <c r="DX127" s="120"/>
      <c r="DY127" s="120"/>
      <c r="DZ127" s="120"/>
      <c r="EA127" s="122"/>
      <c r="EB127" s="122"/>
      <c r="EC127" s="122"/>
      <c r="ED127" s="122"/>
      <c r="EE127" s="122"/>
      <c r="EF127" s="122"/>
      <c r="EG127" s="122"/>
      <c r="EH127" s="122"/>
      <c r="EI127" s="122"/>
      <c r="EJ127" s="122"/>
      <c r="EK127" s="131"/>
      <c r="EL127" s="122"/>
      <c r="EM127" s="276"/>
      <c r="EN127" s="276"/>
      <c r="EO127" s="135"/>
      <c r="EP127" s="136"/>
      <c r="EQ127" s="137"/>
      <c r="ER127" s="276"/>
      <c r="ES127" s="276"/>
      <c r="ET127" s="276"/>
      <c r="EU127" s="276"/>
      <c r="EV127" s="139"/>
      <c r="EW127" s="131"/>
      <c r="EX127" s="139"/>
      <c r="EY127" s="123"/>
      <c r="EZ127" s="141"/>
      <c r="FA127" s="131"/>
      <c r="FB127" s="143"/>
      <c r="FC127" s="123"/>
      <c r="FD127" s="131"/>
      <c r="FE127" s="276"/>
      <c r="FF127" s="276"/>
      <c r="FG127" s="50"/>
    </row>
    <row r="128" spans="27:163">
      <c r="AA128" s="111" t="s">
        <v>245</v>
      </c>
      <c r="AB128" s="111" t="s">
        <v>312</v>
      </c>
      <c r="AC128" s="111">
        <v>46</v>
      </c>
      <c r="AD128" s="116">
        <v>2.6850000000000001</v>
      </c>
      <c r="AE128" s="120">
        <v>1100</v>
      </c>
      <c r="AF128" s="121">
        <v>350</v>
      </c>
      <c r="AG128" s="121">
        <v>14</v>
      </c>
      <c r="AH128" s="121">
        <v>18.000000000000004</v>
      </c>
      <c r="AI128" s="121">
        <v>1064</v>
      </c>
      <c r="AJ128" s="64" t="str" cm="1">
        <f t="array" ref="AJ128">_xll.Dce_Name_SectI(AE128, AE128, AF128, AG128, AH128, "x", "-", "H Tổng")</f>
        <v>1100x350x14x18</v>
      </c>
      <c r="AK128" s="122">
        <f t="shared" si="40"/>
        <v>1360</v>
      </c>
      <c r="AL128" s="123">
        <f t="shared" si="41"/>
        <v>350</v>
      </c>
      <c r="AM128" s="123">
        <f t="shared" si="42"/>
        <v>25</v>
      </c>
      <c r="AN128" s="123">
        <f t="shared" si="43"/>
        <v>16</v>
      </c>
      <c r="AO128" s="123">
        <f t="shared" si="44"/>
        <v>27</v>
      </c>
      <c r="AP128" s="165" t="str">
        <f t="shared" si="45"/>
        <v>1360x350x25 + 16M27</v>
      </c>
      <c r="AQ128" s="111" t="s">
        <v>338</v>
      </c>
      <c r="AR128" s="120">
        <v>0</v>
      </c>
      <c r="AS128" s="120">
        <v>215.19655833062311</v>
      </c>
      <c r="AT128" s="120">
        <v>-4.5474735088646405E-15</v>
      </c>
      <c r="AU128" s="120">
        <v>-1.479808988921121E-3</v>
      </c>
      <c r="AV128" s="120">
        <v>1.3491444406099615E-15</v>
      </c>
      <c r="AW128" s="120">
        <v>-607.77743514410224</v>
      </c>
      <c r="AX128" s="120"/>
      <c r="AY128" s="120"/>
      <c r="AZ128" s="120"/>
      <c r="BA128" s="122">
        <f t="shared" si="46"/>
        <v>60</v>
      </c>
      <c r="BB128" s="122">
        <f t="shared" si="47"/>
        <v>70</v>
      </c>
      <c r="BC128" s="122">
        <f t="shared" si="48"/>
        <v>80</v>
      </c>
      <c r="BD128" s="122">
        <f t="shared" si="49"/>
        <v>160</v>
      </c>
      <c r="BE128" s="122">
        <f>VLOOKUP(AO128,Data!$V$4:$Z$15,3,FALSE)</f>
        <v>572.55526111673976</v>
      </c>
      <c r="BF128" s="122">
        <f>VLOOKUP(AO128,Data!$V$4:$Z$15,4,FALSE)</f>
        <v>459</v>
      </c>
      <c r="BG128" s="163">
        <f t="shared" si="50"/>
        <v>180</v>
      </c>
      <c r="BH128" s="122">
        <f t="shared" si="51"/>
        <v>153.97156081951366</v>
      </c>
      <c r="BI128" s="122">
        <f t="shared" si="52"/>
        <v>273.375</v>
      </c>
      <c r="BJ128" s="163">
        <f t="shared" si="53"/>
        <v>185.06880000000001</v>
      </c>
      <c r="BK128" s="131">
        <f t="shared" si="54"/>
        <v>13.449784895663944</v>
      </c>
      <c r="BL128" s="134">
        <f t="shared" si="55"/>
        <v>0.85037037037037044</v>
      </c>
      <c r="BM128" s="135">
        <f t="shared" si="56"/>
        <v>0.10272276641721378</v>
      </c>
      <c r="BN128" s="92" t="str">
        <f t="shared" si="57"/>
        <v>OK</v>
      </c>
      <c r="BO128" s="135">
        <f>_xll.DCEBoltDisRS(AN128, AE128, BA128, BB128, BC128, BD128, "h1")</f>
        <v>1240</v>
      </c>
      <c r="BP128" s="136">
        <f>_xll.DCEBoltDisRS(AN128, AE128, BA128, BB128, BC128, BD128, "Tong")</f>
        <v>4523000</v>
      </c>
      <c r="BQ128" s="137">
        <f t="shared" si="58"/>
        <v>83.312405436511909</v>
      </c>
      <c r="BR128" s="135">
        <f t="shared" si="59"/>
        <v>0.45016991214354829</v>
      </c>
      <c r="BS128" s="64" t="str">
        <f t="shared" si="60"/>
        <v>OK</v>
      </c>
      <c r="BT128" s="131">
        <f t="shared" si="61"/>
        <v>0.45856667023197539</v>
      </c>
      <c r="BU128" s="92" t="str">
        <f t="shared" si="62"/>
        <v>OK</v>
      </c>
      <c r="BV128" s="139">
        <f t="shared" si="63"/>
        <v>561.71666834020539</v>
      </c>
      <c r="BW128" s="131">
        <f t="shared" si="64"/>
        <v>12.63862503765462</v>
      </c>
      <c r="BX128" s="139">
        <f t="shared" si="65"/>
        <v>280.85833417010269</v>
      </c>
      <c r="BY128" s="123">
        <f t="shared" si="66"/>
        <v>89.213823795209095</v>
      </c>
      <c r="BZ128" s="141">
        <f t="shared" si="67"/>
        <v>0.43367831011559982</v>
      </c>
      <c r="CA128" s="131">
        <f t="shared" si="68"/>
        <v>8.2605392402971365</v>
      </c>
      <c r="CB128" s="143">
        <f t="shared" si="69"/>
        <v>6.9233446697892678E-2</v>
      </c>
      <c r="CC128" s="123">
        <f t="shared" si="70"/>
        <v>90.353837117103566</v>
      </c>
      <c r="CD128" s="131">
        <f t="shared" si="71"/>
        <v>0.38193047090563109</v>
      </c>
      <c r="CE128" s="135">
        <f t="shared" si="72"/>
        <v>0.43367831011559982</v>
      </c>
      <c r="CF128" s="92" t="str">
        <f t="shared" si="73"/>
        <v>OK</v>
      </c>
      <c r="CG128" s="50"/>
      <c r="DA128" s="111"/>
      <c r="DB128" s="111"/>
      <c r="DC128" s="111"/>
      <c r="DD128" s="116"/>
      <c r="DE128" s="120"/>
      <c r="DF128" s="121"/>
      <c r="DG128" s="121"/>
      <c r="DH128" s="121"/>
      <c r="DI128" s="121"/>
      <c r="DJ128" s="121"/>
      <c r="DK128" s="122"/>
      <c r="DL128" s="123"/>
      <c r="DM128" s="123"/>
      <c r="DN128" s="123"/>
      <c r="DO128" s="123"/>
      <c r="DP128" s="123"/>
      <c r="DQ128" s="111"/>
      <c r="DR128" s="120"/>
      <c r="DS128" s="120"/>
      <c r="DT128" s="120"/>
      <c r="DU128" s="120"/>
      <c r="DV128" s="120"/>
      <c r="DW128" s="120"/>
      <c r="DX128" s="120"/>
      <c r="DY128" s="120"/>
      <c r="DZ128" s="120"/>
      <c r="EA128" s="122"/>
      <c r="EB128" s="122"/>
      <c r="EC128" s="122"/>
      <c r="ED128" s="122"/>
      <c r="EE128" s="122"/>
      <c r="EF128" s="122"/>
      <c r="EG128" s="122"/>
      <c r="EH128" s="122"/>
      <c r="EI128" s="122"/>
      <c r="EJ128" s="122"/>
      <c r="EK128" s="131"/>
      <c r="EL128" s="122"/>
      <c r="EM128" s="276"/>
      <c r="EN128" s="276"/>
      <c r="EO128" s="135"/>
      <c r="EP128" s="136"/>
      <c r="EQ128" s="137"/>
      <c r="ER128" s="276"/>
      <c r="ES128" s="276"/>
      <c r="ET128" s="276"/>
      <c r="EU128" s="276"/>
      <c r="EV128" s="139"/>
      <c r="EW128" s="131"/>
      <c r="EX128" s="139"/>
      <c r="EY128" s="123"/>
      <c r="EZ128" s="141"/>
      <c r="FA128" s="131"/>
      <c r="FB128" s="143"/>
      <c r="FC128" s="123"/>
      <c r="FD128" s="131"/>
      <c r="FE128" s="276"/>
      <c r="FF128" s="276"/>
      <c r="FG128" s="50"/>
    </row>
    <row r="129" spans="27:163">
      <c r="AA129" s="111" t="s">
        <v>245</v>
      </c>
      <c r="AB129" s="111" t="s">
        <v>312</v>
      </c>
      <c r="AC129" s="111">
        <v>46</v>
      </c>
      <c r="AD129" s="116">
        <v>0</v>
      </c>
      <c r="AE129" s="120">
        <v>750</v>
      </c>
      <c r="AF129" s="121">
        <v>350</v>
      </c>
      <c r="AG129" s="121">
        <v>14</v>
      </c>
      <c r="AH129" s="121">
        <v>18.000000000000004</v>
      </c>
      <c r="AI129" s="121">
        <v>714</v>
      </c>
      <c r="AJ129" s="64" t="str" cm="1">
        <f t="array" ref="AJ129">_xll.Dce_Name_SectI(AE129, AE129, AF129, AG129, AH129, "x", "-", "H Tổng")</f>
        <v>750x350x14x18</v>
      </c>
      <c r="AK129" s="122">
        <f t="shared" si="40"/>
        <v>1010</v>
      </c>
      <c r="AL129" s="123">
        <f t="shared" si="41"/>
        <v>350</v>
      </c>
      <c r="AM129" s="123">
        <f t="shared" si="42"/>
        <v>25</v>
      </c>
      <c r="AN129" s="123">
        <f t="shared" si="43"/>
        <v>12</v>
      </c>
      <c r="AO129" s="123">
        <f t="shared" si="44"/>
        <v>24</v>
      </c>
      <c r="AP129" s="165" t="str">
        <f t="shared" si="45"/>
        <v>1010x350x25 + 12M24</v>
      </c>
      <c r="AQ129" s="111" t="s">
        <v>339</v>
      </c>
      <c r="AR129" s="120">
        <v>0</v>
      </c>
      <c r="AS129" s="120">
        <v>158.87177682956798</v>
      </c>
      <c r="AT129" s="120">
        <v>-1.8280843505635854E-14</v>
      </c>
      <c r="AU129" s="120">
        <v>-1.5307262957309439E-3</v>
      </c>
      <c r="AV129" s="120">
        <v>1.0151416063308713E-14</v>
      </c>
      <c r="AW129" s="120">
        <v>-100.52864392937086</v>
      </c>
      <c r="AX129" s="120"/>
      <c r="AY129" s="120"/>
      <c r="AZ129" s="120"/>
      <c r="BA129" s="122">
        <f t="shared" si="46"/>
        <v>60</v>
      </c>
      <c r="BB129" s="122">
        <f t="shared" si="47"/>
        <v>70</v>
      </c>
      <c r="BC129" s="122">
        <f t="shared" si="48"/>
        <v>80</v>
      </c>
      <c r="BD129" s="122">
        <f t="shared" si="49"/>
        <v>150</v>
      </c>
      <c r="BE129" s="122">
        <f>VLOOKUP(AO129,Data!$V$4:$Z$15,3,FALSE)</f>
        <v>452.38934211693021</v>
      </c>
      <c r="BF129" s="122">
        <f>VLOOKUP(AO129,Data!$V$4:$Z$15,4,FALSE)</f>
        <v>353</v>
      </c>
      <c r="BG129" s="163">
        <f t="shared" si="50"/>
        <v>180</v>
      </c>
      <c r="BH129" s="122">
        <f t="shared" si="51"/>
        <v>121.65654188208487</v>
      </c>
      <c r="BI129" s="122">
        <f t="shared" si="52"/>
        <v>243</v>
      </c>
      <c r="BJ129" s="163">
        <f t="shared" si="53"/>
        <v>142.3296</v>
      </c>
      <c r="BK129" s="131">
        <f t="shared" si="54"/>
        <v>13.239314735797331</v>
      </c>
      <c r="BL129" s="134">
        <f t="shared" si="55"/>
        <v>0.89458333333333329</v>
      </c>
      <c r="BM129" s="135">
        <f t="shared" si="56"/>
        <v>0.12164919421985271</v>
      </c>
      <c r="BN129" s="92" t="str">
        <f t="shared" si="57"/>
        <v>OK</v>
      </c>
      <c r="BO129" s="135">
        <f>_xll.DCEBoltDisRS(AN129, AE129, BA129, BB129, BC129, BD129, "h1")</f>
        <v>890</v>
      </c>
      <c r="BP129" s="136">
        <f>_xll.DCEBoltDisRS(AN129, AE129, BA129, BB129, BC129, BD129, "Tong")</f>
        <v>1800300</v>
      </c>
      <c r="BQ129" s="137">
        <f t="shared" si="58"/>
        <v>24.848773286991072</v>
      </c>
      <c r="BR129" s="135">
        <f t="shared" si="59"/>
        <v>0.17458612465004519</v>
      </c>
      <c r="BS129" s="64" t="str">
        <f t="shared" si="60"/>
        <v>OK</v>
      </c>
      <c r="BT129" s="131">
        <f t="shared" si="61"/>
        <v>0.20572620131690356</v>
      </c>
      <c r="BU129" s="92" t="str">
        <f t="shared" si="62"/>
        <v>OK</v>
      </c>
      <c r="BV129" s="139">
        <f t="shared" si="63"/>
        <v>137.33421301826621</v>
      </c>
      <c r="BW129" s="131">
        <f t="shared" si="64"/>
        <v>3.0900197929109896</v>
      </c>
      <c r="BX129" s="139">
        <f t="shared" si="65"/>
        <v>68.667106509133106</v>
      </c>
      <c r="BY129" s="123">
        <f t="shared" si="66"/>
        <v>29.370485160342078</v>
      </c>
      <c r="BZ129" s="141">
        <f t="shared" si="67"/>
        <v>0.14277319175166289</v>
      </c>
      <c r="CA129" s="131">
        <f t="shared" si="68"/>
        <v>2.7194893666983408</v>
      </c>
      <c r="CB129" s="143">
        <f t="shared" si="69"/>
        <v>2.2792655132768663E-2</v>
      </c>
      <c r="CC129" s="123">
        <f t="shared" si="70"/>
        <v>29.74579408589776</v>
      </c>
      <c r="CD129" s="131">
        <f t="shared" si="71"/>
        <v>0.12573705229546156</v>
      </c>
      <c r="CE129" s="135">
        <f t="shared" si="72"/>
        <v>0.14277319175166289</v>
      </c>
      <c r="CF129" s="92" t="str">
        <f t="shared" si="73"/>
        <v>OK</v>
      </c>
      <c r="CG129" s="50"/>
      <c r="DA129" s="111"/>
      <c r="DB129" s="111"/>
      <c r="DC129" s="111"/>
      <c r="DD129" s="116"/>
      <c r="DE129" s="120"/>
      <c r="DF129" s="121"/>
      <c r="DG129" s="121"/>
      <c r="DH129" s="121"/>
      <c r="DI129" s="121"/>
      <c r="DJ129" s="121"/>
      <c r="DK129" s="122"/>
      <c r="DL129" s="123"/>
      <c r="DM129" s="123"/>
      <c r="DN129" s="123"/>
      <c r="DO129" s="123"/>
      <c r="DP129" s="123"/>
      <c r="DQ129" s="111"/>
      <c r="DR129" s="120"/>
      <c r="DS129" s="120"/>
      <c r="DT129" s="120"/>
      <c r="DU129" s="120"/>
      <c r="DV129" s="120"/>
      <c r="DW129" s="120"/>
      <c r="DX129" s="120"/>
      <c r="DY129" s="120"/>
      <c r="DZ129" s="120"/>
      <c r="EA129" s="122"/>
      <c r="EB129" s="122"/>
      <c r="EC129" s="122"/>
      <c r="ED129" s="122"/>
      <c r="EE129" s="122"/>
      <c r="EF129" s="122"/>
      <c r="EG129" s="122"/>
      <c r="EH129" s="122"/>
      <c r="EI129" s="122"/>
      <c r="EJ129" s="122"/>
      <c r="EK129" s="131"/>
      <c r="EL129" s="122"/>
      <c r="EM129" s="276"/>
      <c r="EN129" s="276"/>
      <c r="EO129" s="135"/>
      <c r="EP129" s="136"/>
      <c r="EQ129" s="137"/>
      <c r="ER129" s="276"/>
      <c r="ES129" s="276"/>
      <c r="ET129" s="276"/>
      <c r="EU129" s="276"/>
      <c r="EV129" s="139"/>
      <c r="EW129" s="131"/>
      <c r="EX129" s="139"/>
      <c r="EY129" s="123"/>
      <c r="EZ129" s="141"/>
      <c r="FA129" s="131"/>
      <c r="FB129" s="143"/>
      <c r="FC129" s="123"/>
      <c r="FD129" s="131"/>
      <c r="FE129" s="276"/>
      <c r="FF129" s="276"/>
      <c r="FG129" s="50"/>
    </row>
    <row r="130" spans="27:163">
      <c r="AA130" s="111" t="s">
        <v>245</v>
      </c>
      <c r="AB130" s="111" t="s">
        <v>312</v>
      </c>
      <c r="AC130" s="111">
        <v>46</v>
      </c>
      <c r="AD130" s="116">
        <v>2.6850000000000001</v>
      </c>
      <c r="AE130" s="120">
        <v>1100</v>
      </c>
      <c r="AF130" s="121">
        <v>350</v>
      </c>
      <c r="AG130" s="121">
        <v>14</v>
      </c>
      <c r="AH130" s="121">
        <v>18.000000000000004</v>
      </c>
      <c r="AI130" s="121">
        <v>1064</v>
      </c>
      <c r="AJ130" s="64" t="str" cm="1">
        <f t="array" ref="AJ130">_xll.Dce_Name_SectI(AE130, AE130, AF130, AG130, AH130, "x", "-", "H Tổng")</f>
        <v>1100x350x14x18</v>
      </c>
      <c r="AK130" s="122">
        <f t="shared" si="40"/>
        <v>1360</v>
      </c>
      <c r="AL130" s="123">
        <f t="shared" si="41"/>
        <v>350</v>
      </c>
      <c r="AM130" s="123">
        <f t="shared" si="42"/>
        <v>25</v>
      </c>
      <c r="AN130" s="123">
        <f t="shared" si="43"/>
        <v>16</v>
      </c>
      <c r="AO130" s="123">
        <f t="shared" si="44"/>
        <v>27</v>
      </c>
      <c r="AP130" s="165" t="str">
        <f t="shared" si="45"/>
        <v>1360x350x25 + 16M27</v>
      </c>
      <c r="AQ130" s="111" t="s">
        <v>339</v>
      </c>
      <c r="AR130" s="120">
        <v>0</v>
      </c>
      <c r="AS130" s="120">
        <v>216.47554462439584</v>
      </c>
      <c r="AT130" s="120">
        <v>-4.092726157978176E-15</v>
      </c>
      <c r="AU130" s="120">
        <v>-1.5304983733886402E-3</v>
      </c>
      <c r="AV130" s="120">
        <v>1.0139956430066375E-15</v>
      </c>
      <c r="AW130" s="120">
        <v>-612.83180045077393</v>
      </c>
      <c r="AX130" s="120"/>
      <c r="AY130" s="120"/>
      <c r="AZ130" s="120"/>
      <c r="BA130" s="122">
        <f t="shared" si="46"/>
        <v>60</v>
      </c>
      <c r="BB130" s="122">
        <f t="shared" si="47"/>
        <v>70</v>
      </c>
      <c r="BC130" s="122">
        <f t="shared" si="48"/>
        <v>80</v>
      </c>
      <c r="BD130" s="122">
        <f t="shared" si="49"/>
        <v>160</v>
      </c>
      <c r="BE130" s="122">
        <f>VLOOKUP(AO130,Data!$V$4:$Z$15,3,FALSE)</f>
        <v>572.55526111673976</v>
      </c>
      <c r="BF130" s="122">
        <f>VLOOKUP(AO130,Data!$V$4:$Z$15,4,FALSE)</f>
        <v>459</v>
      </c>
      <c r="BG130" s="163">
        <f t="shared" si="50"/>
        <v>180</v>
      </c>
      <c r="BH130" s="122">
        <f t="shared" si="51"/>
        <v>153.97156081951366</v>
      </c>
      <c r="BI130" s="122">
        <f t="shared" si="52"/>
        <v>273.375</v>
      </c>
      <c r="BJ130" s="163">
        <f t="shared" si="53"/>
        <v>185.06880000000001</v>
      </c>
      <c r="BK130" s="131">
        <f t="shared" si="54"/>
        <v>13.52972153902474</v>
      </c>
      <c r="BL130" s="134">
        <f t="shared" si="55"/>
        <v>0.85037037037037044</v>
      </c>
      <c r="BM130" s="135">
        <f t="shared" si="56"/>
        <v>0.10333328273459923</v>
      </c>
      <c r="BN130" s="92" t="str">
        <f t="shared" si="57"/>
        <v>OK</v>
      </c>
      <c r="BO130" s="135">
        <f>_xll.DCEBoltDisRS(AN130, AE130, BA130, BB130, BC130, BD130, "h1")</f>
        <v>1240</v>
      </c>
      <c r="BP130" s="136">
        <f>_xll.DCEBoltDisRS(AN130, AE130, BA130, BB130, BC130, BD130, "Tong")</f>
        <v>4523000</v>
      </c>
      <c r="BQ130" s="137">
        <f t="shared" si="58"/>
        <v>84.005243484297992</v>
      </c>
      <c r="BR130" s="135">
        <f t="shared" si="59"/>
        <v>0.45391359042852164</v>
      </c>
      <c r="BS130" s="64" t="str">
        <f t="shared" si="60"/>
        <v>OK</v>
      </c>
      <c r="BT130" s="131">
        <f t="shared" si="61"/>
        <v>0.46234073903163819</v>
      </c>
      <c r="BU130" s="92" t="str">
        <f t="shared" si="62"/>
        <v>OK</v>
      </c>
      <c r="BV130" s="139">
        <f t="shared" si="63"/>
        <v>566.387985629181</v>
      </c>
      <c r="BW130" s="131">
        <f t="shared" si="64"/>
        <v>12.743729676656573</v>
      </c>
      <c r="BX130" s="139">
        <f t="shared" si="65"/>
        <v>283.1939928145905</v>
      </c>
      <c r="BY130" s="123">
        <f t="shared" si="66"/>
        <v>89.955738894046405</v>
      </c>
      <c r="BZ130" s="141">
        <f t="shared" si="67"/>
        <v>0.43728484184605898</v>
      </c>
      <c r="CA130" s="131">
        <f t="shared" si="68"/>
        <v>8.3292350827820734</v>
      </c>
      <c r="CB130" s="143">
        <f t="shared" si="69"/>
        <v>6.9809202082704164E-2</v>
      </c>
      <c r="CC130" s="123">
        <f t="shared" si="70"/>
        <v>91.105232732080751</v>
      </c>
      <c r="CD130" s="131">
        <f t="shared" si="71"/>
        <v>0.38510666009937522</v>
      </c>
      <c r="CE130" s="135">
        <f t="shared" si="72"/>
        <v>0.43728484184605898</v>
      </c>
      <c r="CF130" s="92" t="str">
        <f t="shared" si="73"/>
        <v>OK</v>
      </c>
      <c r="CG130" s="50"/>
      <c r="DA130" s="111"/>
      <c r="DB130" s="111"/>
      <c r="DC130" s="111"/>
      <c r="DD130" s="116"/>
      <c r="DE130" s="120"/>
      <c r="DF130" s="121"/>
      <c r="DG130" s="121"/>
      <c r="DH130" s="121"/>
      <c r="DI130" s="121"/>
      <c r="DJ130" s="121"/>
      <c r="DK130" s="122"/>
      <c r="DL130" s="123"/>
      <c r="DM130" s="123"/>
      <c r="DN130" s="123"/>
      <c r="DO130" s="123"/>
      <c r="DP130" s="123"/>
      <c r="DQ130" s="111"/>
      <c r="DR130" s="120"/>
      <c r="DS130" s="120"/>
      <c r="DT130" s="120"/>
      <c r="DU130" s="120"/>
      <c r="DV130" s="120"/>
      <c r="DW130" s="120"/>
      <c r="DX130" s="120"/>
      <c r="DY130" s="120"/>
      <c r="DZ130" s="120"/>
      <c r="EA130" s="122"/>
      <c r="EB130" s="122"/>
      <c r="EC130" s="122"/>
      <c r="ED130" s="122"/>
      <c r="EE130" s="122"/>
      <c r="EF130" s="122"/>
      <c r="EG130" s="122"/>
      <c r="EH130" s="122"/>
      <c r="EI130" s="122"/>
      <c r="EJ130" s="122"/>
      <c r="EK130" s="131"/>
      <c r="EL130" s="122"/>
      <c r="EM130" s="276"/>
      <c r="EN130" s="276"/>
      <c r="EO130" s="135"/>
      <c r="EP130" s="136"/>
      <c r="EQ130" s="137"/>
      <c r="ER130" s="276"/>
      <c r="ES130" s="276"/>
      <c r="ET130" s="276"/>
      <c r="EU130" s="276"/>
      <c r="EV130" s="139"/>
      <c r="EW130" s="131"/>
      <c r="EX130" s="139"/>
      <c r="EY130" s="123"/>
      <c r="EZ130" s="141"/>
      <c r="FA130" s="131"/>
      <c r="FB130" s="143"/>
      <c r="FC130" s="123"/>
      <c r="FD130" s="131"/>
      <c r="FE130" s="276"/>
      <c r="FF130" s="276"/>
      <c r="FG130" s="50"/>
    </row>
    <row r="131" spans="27:163">
      <c r="AA131" s="111" t="s">
        <v>245</v>
      </c>
      <c r="AB131" s="111" t="s">
        <v>340</v>
      </c>
      <c r="AC131" s="111">
        <v>102</v>
      </c>
      <c r="AD131" s="116">
        <v>0.3</v>
      </c>
      <c r="AE131" s="120">
        <v>1100</v>
      </c>
      <c r="AF131" s="121">
        <v>350</v>
      </c>
      <c r="AG131" s="121">
        <v>14</v>
      </c>
      <c r="AH131" s="121">
        <v>18.000000000000004</v>
      </c>
      <c r="AI131" s="121">
        <v>1064</v>
      </c>
      <c r="AJ131" s="64" t="str" cm="1">
        <f t="array" ref="AJ131">_xll.Dce_Name_SectI(AE131, AE131, AF131, AG131, AH131, "x", "-", "H Tổng")</f>
        <v>1100x350x14x18</v>
      </c>
      <c r="AK131" s="122">
        <f t="shared" si="40"/>
        <v>1360</v>
      </c>
      <c r="AL131" s="123">
        <f t="shared" si="41"/>
        <v>350</v>
      </c>
      <c r="AM131" s="123">
        <f t="shared" si="42"/>
        <v>25</v>
      </c>
      <c r="AN131" s="123">
        <f t="shared" si="43"/>
        <v>16</v>
      </c>
      <c r="AO131" s="123">
        <f t="shared" si="44"/>
        <v>27</v>
      </c>
      <c r="AP131" s="165" t="str">
        <f t="shared" si="45"/>
        <v>1360x350x25 + 16M27</v>
      </c>
      <c r="AQ131" s="111" t="s">
        <v>313</v>
      </c>
      <c r="AR131" s="120">
        <v>0</v>
      </c>
      <c r="AS131" s="120">
        <v>-307.3996282310876</v>
      </c>
      <c r="AT131" s="120">
        <v>-2.5465851649641983E-15</v>
      </c>
      <c r="AU131" s="120">
        <v>8.0310378246041276E-4</v>
      </c>
      <c r="AV131" s="120">
        <v>-1.8691935110837214E-15</v>
      </c>
      <c r="AW131" s="120">
        <v>-879.72158598988221</v>
      </c>
      <c r="AX131" s="120"/>
      <c r="AY131" s="120"/>
      <c r="AZ131" s="120"/>
      <c r="BA131" s="122">
        <f t="shared" si="46"/>
        <v>60</v>
      </c>
      <c r="BB131" s="122">
        <f t="shared" si="47"/>
        <v>70</v>
      </c>
      <c r="BC131" s="122">
        <f t="shared" si="48"/>
        <v>80</v>
      </c>
      <c r="BD131" s="122">
        <f t="shared" si="49"/>
        <v>160</v>
      </c>
      <c r="BE131" s="122">
        <f>VLOOKUP(AO131,Data!$V$4:$Z$15,3,FALSE)</f>
        <v>572.55526111673976</v>
      </c>
      <c r="BF131" s="122">
        <f>VLOOKUP(AO131,Data!$V$4:$Z$15,4,FALSE)</f>
        <v>459</v>
      </c>
      <c r="BG131" s="163">
        <f t="shared" si="50"/>
        <v>180</v>
      </c>
      <c r="BH131" s="122">
        <f t="shared" si="51"/>
        <v>153.97156081951366</v>
      </c>
      <c r="BI131" s="122">
        <f t="shared" si="52"/>
        <v>273.375</v>
      </c>
      <c r="BJ131" s="163">
        <f t="shared" si="53"/>
        <v>185.06880000000001</v>
      </c>
      <c r="BK131" s="131">
        <f t="shared" si="54"/>
        <v>19.212476764442975</v>
      </c>
      <c r="BL131" s="134">
        <f t="shared" si="55"/>
        <v>0.85037037037037044</v>
      </c>
      <c r="BM131" s="135">
        <f t="shared" si="56"/>
        <v>0.1467353402511497</v>
      </c>
      <c r="BN131" s="92" t="str">
        <f t="shared" si="57"/>
        <v>OK</v>
      </c>
      <c r="BO131" s="135">
        <f>_xll.DCEBoltDisRS(AN131, AE131, BA131, BB131, BC131, BD131, "h1")</f>
        <v>1240</v>
      </c>
      <c r="BP131" s="136">
        <f>_xll.DCEBoltDisRS(AN131, AE131, BA131, BB131, BC131, BD131, "Tong")</f>
        <v>4523000</v>
      </c>
      <c r="BQ131" s="137">
        <f t="shared" si="58"/>
        <v>120.5897376329266</v>
      </c>
      <c r="BR131" s="135">
        <f t="shared" si="59"/>
        <v>0.65159409707593385</v>
      </c>
      <c r="BS131" s="64" t="str">
        <f t="shared" si="60"/>
        <v>OK</v>
      </c>
      <c r="BT131" s="131">
        <f t="shared" si="61"/>
        <v>0.66343406788003234</v>
      </c>
      <c r="BU131" s="92" t="str">
        <f t="shared" si="62"/>
        <v>OK</v>
      </c>
      <c r="BV131" s="139">
        <f t="shared" si="63"/>
        <v>813.05137337327369</v>
      </c>
      <c r="BW131" s="131">
        <f t="shared" si="64"/>
        <v>18.293655900898656</v>
      </c>
      <c r="BX131" s="139">
        <f t="shared" si="65"/>
        <v>406.52568668663685</v>
      </c>
      <c r="BY131" s="123">
        <f t="shared" si="66"/>
        <v>129.13168871222581</v>
      </c>
      <c r="BZ131" s="141">
        <f t="shared" si="67"/>
        <v>0.62772348679554224</v>
      </c>
      <c r="CA131" s="131">
        <f t="shared" si="68"/>
        <v>11.956637843724613</v>
      </c>
      <c r="CB131" s="143">
        <f t="shared" si="69"/>
        <v>0.10021128460976089</v>
      </c>
      <c r="CC131" s="123">
        <f t="shared" si="70"/>
        <v>130.78178999864295</v>
      </c>
      <c r="CD131" s="131">
        <f t="shared" si="71"/>
        <v>0.55282157608122029</v>
      </c>
      <c r="CE131" s="135">
        <f t="shared" si="72"/>
        <v>0.62772348679554224</v>
      </c>
      <c r="CF131" s="92" t="str">
        <f t="shared" si="73"/>
        <v>OK</v>
      </c>
      <c r="CG131" s="50"/>
      <c r="DA131" s="111"/>
      <c r="DB131" s="111"/>
      <c r="DC131" s="111"/>
      <c r="DD131" s="116"/>
      <c r="DE131" s="120"/>
      <c r="DF131" s="121"/>
      <c r="DG131" s="121"/>
      <c r="DH131" s="121"/>
      <c r="DI131" s="121"/>
      <c r="DJ131" s="121"/>
      <c r="DK131" s="122"/>
      <c r="DL131" s="123"/>
      <c r="DM131" s="123"/>
      <c r="DN131" s="123"/>
      <c r="DO131" s="123"/>
      <c r="DP131" s="123"/>
      <c r="DQ131" s="111"/>
      <c r="DR131" s="120"/>
      <c r="DS131" s="120"/>
      <c r="DT131" s="120"/>
      <c r="DU131" s="120"/>
      <c r="DV131" s="120"/>
      <c r="DW131" s="120"/>
      <c r="DX131" s="120"/>
      <c r="DY131" s="120"/>
      <c r="DZ131" s="120"/>
      <c r="EA131" s="122"/>
      <c r="EB131" s="122"/>
      <c r="EC131" s="122"/>
      <c r="ED131" s="122"/>
      <c r="EE131" s="122"/>
      <c r="EF131" s="122"/>
      <c r="EG131" s="122"/>
      <c r="EH131" s="122"/>
      <c r="EI131" s="122"/>
      <c r="EJ131" s="122"/>
      <c r="EK131" s="131"/>
      <c r="EL131" s="122"/>
      <c r="EM131" s="276"/>
      <c r="EN131" s="276"/>
      <c r="EO131" s="135"/>
      <c r="EP131" s="136"/>
      <c r="EQ131" s="137"/>
      <c r="ER131" s="276"/>
      <c r="ES131" s="276"/>
      <c r="ET131" s="276"/>
      <c r="EU131" s="276"/>
      <c r="EV131" s="139"/>
      <c r="EW131" s="131"/>
      <c r="EX131" s="139"/>
      <c r="EY131" s="123"/>
      <c r="EZ131" s="141"/>
      <c r="FA131" s="131"/>
      <c r="FB131" s="143"/>
      <c r="FC131" s="123"/>
      <c r="FD131" s="131"/>
      <c r="FE131" s="276"/>
      <c r="FF131" s="276"/>
      <c r="FG131" s="50"/>
    </row>
    <row r="132" spans="27:163">
      <c r="AA132" s="111" t="s">
        <v>245</v>
      </c>
      <c r="AB132" s="111" t="s">
        <v>340</v>
      </c>
      <c r="AC132" s="111">
        <v>102</v>
      </c>
      <c r="AD132" s="116">
        <v>3</v>
      </c>
      <c r="AE132" s="120">
        <v>750</v>
      </c>
      <c r="AF132" s="121">
        <v>350</v>
      </c>
      <c r="AG132" s="121">
        <v>14</v>
      </c>
      <c r="AH132" s="121">
        <v>18.000000000000004</v>
      </c>
      <c r="AI132" s="121">
        <v>714</v>
      </c>
      <c r="AJ132" s="64" t="str" cm="1">
        <f t="array" ref="AJ132">_xll.Dce_Name_SectI(AE132, AE132, AF132, AG132, AH132, "x", "-", "H Tổng")</f>
        <v>750x350x14x18</v>
      </c>
      <c r="AK132" s="122">
        <f t="shared" si="40"/>
        <v>1010</v>
      </c>
      <c r="AL132" s="123">
        <f t="shared" si="41"/>
        <v>350</v>
      </c>
      <c r="AM132" s="123">
        <f t="shared" si="42"/>
        <v>25</v>
      </c>
      <c r="AN132" s="123">
        <f t="shared" si="43"/>
        <v>12</v>
      </c>
      <c r="AO132" s="123">
        <f t="shared" si="44"/>
        <v>24</v>
      </c>
      <c r="AP132" s="165" t="str">
        <f t="shared" si="45"/>
        <v>1010x350x25 + 12M24</v>
      </c>
      <c r="AQ132" s="111" t="s">
        <v>313</v>
      </c>
      <c r="AR132" s="120">
        <v>0</v>
      </c>
      <c r="AS132" s="120">
        <v>-216.3158846982048</v>
      </c>
      <c r="AT132" s="120">
        <v>3.5652192309498773E-14</v>
      </c>
      <c r="AU132" s="120">
        <v>8.0323659914614039E-4</v>
      </c>
      <c r="AV132" s="120">
        <v>1.5900877770036457E-14</v>
      </c>
      <c r="AW132" s="120">
        <v>-152.07527031797918</v>
      </c>
      <c r="AX132" s="120"/>
      <c r="AY132" s="120"/>
      <c r="AZ132" s="120"/>
      <c r="BA132" s="122">
        <f t="shared" si="46"/>
        <v>60</v>
      </c>
      <c r="BB132" s="122">
        <f t="shared" si="47"/>
        <v>70</v>
      </c>
      <c r="BC132" s="122">
        <f t="shared" si="48"/>
        <v>80</v>
      </c>
      <c r="BD132" s="122">
        <f t="shared" si="49"/>
        <v>150</v>
      </c>
      <c r="BE132" s="122">
        <f>VLOOKUP(AO132,Data!$V$4:$Z$15,3,FALSE)</f>
        <v>452.38934211693021</v>
      </c>
      <c r="BF132" s="122">
        <f>VLOOKUP(AO132,Data!$V$4:$Z$15,4,FALSE)</f>
        <v>353</v>
      </c>
      <c r="BG132" s="163">
        <f t="shared" si="50"/>
        <v>180</v>
      </c>
      <c r="BH132" s="122">
        <f t="shared" si="51"/>
        <v>121.65654188208487</v>
      </c>
      <c r="BI132" s="122">
        <f t="shared" si="52"/>
        <v>243</v>
      </c>
      <c r="BJ132" s="163">
        <f t="shared" si="53"/>
        <v>142.3296</v>
      </c>
      <c r="BK132" s="131">
        <f t="shared" si="54"/>
        <v>18.0263237248504</v>
      </c>
      <c r="BL132" s="134">
        <f t="shared" si="55"/>
        <v>0.89458333333333329</v>
      </c>
      <c r="BM132" s="135">
        <f t="shared" si="56"/>
        <v>0.16563453620035112</v>
      </c>
      <c r="BN132" s="92" t="str">
        <f t="shared" si="57"/>
        <v>OK</v>
      </c>
      <c r="BO132" s="135">
        <f>_xll.DCEBoltDisRS(AN132, AE132, BA132, BB132, BC132, BD132, "h1")</f>
        <v>890</v>
      </c>
      <c r="BP132" s="136">
        <f>_xll.DCEBoltDisRS(AN132, AE132, BA132, BB132, BC132, BD132, "Tong")</f>
        <v>1800300</v>
      </c>
      <c r="BQ132" s="137">
        <f t="shared" si="58"/>
        <v>37.590121252847155</v>
      </c>
      <c r="BR132" s="135">
        <f t="shared" si="59"/>
        <v>0.26410613992343934</v>
      </c>
      <c r="BS132" s="64" t="str">
        <f t="shared" si="60"/>
        <v>OK</v>
      </c>
      <c r="BT132" s="131">
        <f t="shared" si="61"/>
        <v>0.30283255514498397</v>
      </c>
      <c r="BU132" s="92" t="str">
        <f t="shared" si="62"/>
        <v>OK</v>
      </c>
      <c r="BV132" s="139">
        <f t="shared" si="63"/>
        <v>207.75310152729395</v>
      </c>
      <c r="BW132" s="131">
        <f t="shared" si="64"/>
        <v>4.6744447843641135</v>
      </c>
      <c r="BX132" s="139">
        <f t="shared" si="65"/>
        <v>103.87655076364697</v>
      </c>
      <c r="BY132" s="123">
        <f t="shared" si="66"/>
        <v>44.430366267223256</v>
      </c>
      <c r="BZ132" s="141">
        <f t="shared" si="67"/>
        <v>0.21598094713233529</v>
      </c>
      <c r="CA132" s="131">
        <f t="shared" si="68"/>
        <v>4.1139228025206718</v>
      </c>
      <c r="CB132" s="143">
        <f t="shared" si="69"/>
        <v>3.4479716975149309E-2</v>
      </c>
      <c r="CC132" s="123">
        <f t="shared" si="70"/>
        <v>44.998116950767049</v>
      </c>
      <c r="CD132" s="131">
        <f t="shared" si="71"/>
        <v>0.19020943155517475</v>
      </c>
      <c r="CE132" s="135">
        <f t="shared" si="72"/>
        <v>0.21598094713233529</v>
      </c>
      <c r="CF132" s="92" t="str">
        <f t="shared" si="73"/>
        <v>OK</v>
      </c>
      <c r="CG132" s="50"/>
      <c r="DA132" s="111"/>
      <c r="DB132" s="111"/>
      <c r="DC132" s="111"/>
      <c r="DD132" s="116"/>
      <c r="DE132" s="120"/>
      <c r="DF132" s="121"/>
      <c r="DG132" s="121"/>
      <c r="DH132" s="121"/>
      <c r="DI132" s="121"/>
      <c r="DJ132" s="121"/>
      <c r="DK132" s="122"/>
      <c r="DL132" s="123"/>
      <c r="DM132" s="123"/>
      <c r="DN132" s="123"/>
      <c r="DO132" s="123"/>
      <c r="DP132" s="123"/>
      <c r="DQ132" s="111"/>
      <c r="DR132" s="120"/>
      <c r="DS132" s="120"/>
      <c r="DT132" s="120"/>
      <c r="DU132" s="120"/>
      <c r="DV132" s="120"/>
      <c r="DW132" s="120"/>
      <c r="DX132" s="120"/>
      <c r="DY132" s="120"/>
      <c r="DZ132" s="120"/>
      <c r="EA132" s="122"/>
      <c r="EB132" s="122"/>
      <c r="EC132" s="122"/>
      <c r="ED132" s="122"/>
      <c r="EE132" s="122"/>
      <c r="EF132" s="122"/>
      <c r="EG132" s="122"/>
      <c r="EH132" s="122"/>
      <c r="EI132" s="122"/>
      <c r="EJ132" s="122"/>
      <c r="EK132" s="131"/>
      <c r="EL132" s="122"/>
      <c r="EM132" s="276"/>
      <c r="EN132" s="276"/>
      <c r="EO132" s="135"/>
      <c r="EP132" s="136"/>
      <c r="EQ132" s="137"/>
      <c r="ER132" s="276"/>
      <c r="ES132" s="276"/>
      <c r="ET132" s="276"/>
      <c r="EU132" s="276"/>
      <c r="EV132" s="139"/>
      <c r="EW132" s="131"/>
      <c r="EX132" s="139"/>
      <c r="EY132" s="123"/>
      <c r="EZ132" s="141"/>
      <c r="FA132" s="131"/>
      <c r="FB132" s="143"/>
      <c r="FC132" s="123"/>
      <c r="FD132" s="131"/>
      <c r="FE132" s="276"/>
      <c r="FF132" s="276"/>
      <c r="FG132" s="50"/>
    </row>
    <row r="133" spans="27:163">
      <c r="AA133" s="111" t="s">
        <v>245</v>
      </c>
      <c r="AB133" s="111" t="s">
        <v>340</v>
      </c>
      <c r="AC133" s="111">
        <v>102</v>
      </c>
      <c r="AD133" s="116">
        <v>0.3</v>
      </c>
      <c r="AE133" s="120">
        <v>1100</v>
      </c>
      <c r="AF133" s="121">
        <v>350</v>
      </c>
      <c r="AG133" s="121">
        <v>14</v>
      </c>
      <c r="AH133" s="121">
        <v>18.000000000000004</v>
      </c>
      <c r="AI133" s="121">
        <v>1064</v>
      </c>
      <c r="AJ133" s="64" t="str" cm="1">
        <f t="array" ref="AJ133">_xll.Dce_Name_SectI(AE133, AE133, AF133, AG133, AH133, "x", "-", "H Tổng")</f>
        <v>1100x350x14x18</v>
      </c>
      <c r="AK133" s="122">
        <f t="shared" si="40"/>
        <v>1360</v>
      </c>
      <c r="AL133" s="123">
        <f t="shared" si="41"/>
        <v>350</v>
      </c>
      <c r="AM133" s="123">
        <f t="shared" si="42"/>
        <v>25</v>
      </c>
      <c r="AN133" s="123">
        <f t="shared" si="43"/>
        <v>16</v>
      </c>
      <c r="AO133" s="123">
        <f t="shared" si="44"/>
        <v>27</v>
      </c>
      <c r="AP133" s="165" t="str">
        <f t="shared" si="45"/>
        <v>1360x350x25 + 16M27</v>
      </c>
      <c r="AQ133" s="111" t="s">
        <v>314</v>
      </c>
      <c r="AR133" s="120">
        <v>0</v>
      </c>
      <c r="AS133" s="120">
        <v>-835.66879041449158</v>
      </c>
      <c r="AT133" s="120">
        <v>3.6664005165221163E-15</v>
      </c>
      <c r="AU133" s="120">
        <v>1.835721973380223E-3</v>
      </c>
      <c r="AV133" s="120">
        <v>-2.8909425964229748E-16</v>
      </c>
      <c r="AW133" s="120">
        <v>-2440.3613046296405</v>
      </c>
      <c r="AX133" s="120"/>
      <c r="AY133" s="120"/>
      <c r="AZ133" s="120"/>
      <c r="BA133" s="122">
        <f t="shared" si="46"/>
        <v>60</v>
      </c>
      <c r="BB133" s="122">
        <f t="shared" si="47"/>
        <v>70</v>
      </c>
      <c r="BC133" s="122">
        <f t="shared" si="48"/>
        <v>80</v>
      </c>
      <c r="BD133" s="122">
        <f t="shared" si="49"/>
        <v>160</v>
      </c>
      <c r="BE133" s="122">
        <f>VLOOKUP(AO133,Data!$V$4:$Z$15,3,FALSE)</f>
        <v>572.55526111673976</v>
      </c>
      <c r="BF133" s="122">
        <f>VLOOKUP(AO133,Data!$V$4:$Z$15,4,FALSE)</f>
        <v>459</v>
      </c>
      <c r="BG133" s="163">
        <f t="shared" si="50"/>
        <v>180</v>
      </c>
      <c r="BH133" s="122">
        <f t="shared" si="51"/>
        <v>153.97156081951366</v>
      </c>
      <c r="BI133" s="122">
        <f t="shared" si="52"/>
        <v>273.375</v>
      </c>
      <c r="BJ133" s="163">
        <f t="shared" si="53"/>
        <v>185.06880000000001</v>
      </c>
      <c r="BK133" s="131">
        <f t="shared" si="54"/>
        <v>52.229299400905724</v>
      </c>
      <c r="BL133" s="134">
        <f t="shared" si="55"/>
        <v>0.85037037037037044</v>
      </c>
      <c r="BM133" s="135">
        <f t="shared" si="56"/>
        <v>0.39890140728002432</v>
      </c>
      <c r="BN133" s="92" t="str">
        <f t="shared" si="57"/>
        <v>OK</v>
      </c>
      <c r="BO133" s="135">
        <f>_xll.DCEBoltDisRS(AN133, AE133, BA133, BB133, BC133, BD133, "h1")</f>
        <v>1240</v>
      </c>
      <c r="BP133" s="136">
        <f>_xll.DCEBoltDisRS(AN133, AE133, BA133, BB133, BC133, BD133, "Tong")</f>
        <v>4523000</v>
      </c>
      <c r="BQ133" s="137">
        <f t="shared" si="58"/>
        <v>334.51779988290457</v>
      </c>
      <c r="BR133" s="135">
        <f t="shared" si="59"/>
        <v>1.8075321171526726</v>
      </c>
      <c r="BS133" s="64" t="str">
        <f t="shared" si="60"/>
        <v>O/S</v>
      </c>
      <c r="BT133" s="131">
        <f t="shared" si="61"/>
        <v>1.8390863084419773</v>
      </c>
      <c r="BU133" s="92" t="str">
        <f t="shared" si="62"/>
        <v>O/S</v>
      </c>
      <c r="BV133" s="139">
        <f t="shared" si="63"/>
        <v>2255.4171022455084</v>
      </c>
      <c r="BW133" s="131">
        <f t="shared" si="64"/>
        <v>50.746884800523937</v>
      </c>
      <c r="BX133" s="139">
        <f t="shared" si="65"/>
        <v>1127.7085511227542</v>
      </c>
      <c r="BY133" s="123">
        <f t="shared" si="66"/>
        <v>358.21330447428659</v>
      </c>
      <c r="BZ133" s="141">
        <f t="shared" si="67"/>
        <v>1.7413146745277821</v>
      </c>
      <c r="CA133" s="131">
        <f t="shared" si="68"/>
        <v>33.167898562433948</v>
      </c>
      <c r="CB133" s="143">
        <f t="shared" si="69"/>
        <v>0.27798765557595506</v>
      </c>
      <c r="CC133" s="123">
        <f t="shared" si="70"/>
        <v>362.79071099951233</v>
      </c>
      <c r="CD133" s="131">
        <f t="shared" si="71"/>
        <v>1.5335356141283736</v>
      </c>
      <c r="CE133" s="135">
        <f t="shared" si="72"/>
        <v>1.7413146745277821</v>
      </c>
      <c r="CF133" s="92" t="str">
        <f t="shared" si="73"/>
        <v>O/S</v>
      </c>
      <c r="CG133" s="50"/>
      <c r="DA133" s="111"/>
      <c r="DB133" s="111"/>
      <c r="DC133" s="111"/>
      <c r="DD133" s="116"/>
      <c r="DE133" s="120"/>
      <c r="DF133" s="121"/>
      <c r="DG133" s="121"/>
      <c r="DH133" s="121"/>
      <c r="DI133" s="121"/>
      <c r="DJ133" s="121"/>
      <c r="DK133" s="122"/>
      <c r="DL133" s="123"/>
      <c r="DM133" s="123"/>
      <c r="DN133" s="123"/>
      <c r="DO133" s="123"/>
      <c r="DP133" s="123"/>
      <c r="DQ133" s="111"/>
      <c r="DR133" s="120"/>
      <c r="DS133" s="120"/>
      <c r="DT133" s="120"/>
      <c r="DU133" s="120"/>
      <c r="DV133" s="120"/>
      <c r="DW133" s="120"/>
      <c r="DX133" s="120"/>
      <c r="DY133" s="120"/>
      <c r="DZ133" s="120"/>
      <c r="EA133" s="122"/>
      <c r="EB133" s="122"/>
      <c r="EC133" s="122"/>
      <c r="ED133" s="122"/>
      <c r="EE133" s="122"/>
      <c r="EF133" s="122"/>
      <c r="EG133" s="122"/>
      <c r="EH133" s="122"/>
      <c r="EI133" s="122"/>
      <c r="EJ133" s="122"/>
      <c r="EK133" s="131"/>
      <c r="EL133" s="122"/>
      <c r="EM133" s="276"/>
      <c r="EN133" s="276"/>
      <c r="EO133" s="135"/>
      <c r="EP133" s="136"/>
      <c r="EQ133" s="137"/>
      <c r="ER133" s="276"/>
      <c r="ES133" s="276"/>
      <c r="ET133" s="276"/>
      <c r="EU133" s="276"/>
      <c r="EV133" s="139"/>
      <c r="EW133" s="131"/>
      <c r="EX133" s="139"/>
      <c r="EY133" s="123"/>
      <c r="EZ133" s="141"/>
      <c r="FA133" s="131"/>
      <c r="FB133" s="143"/>
      <c r="FC133" s="123"/>
      <c r="FD133" s="131"/>
      <c r="FE133" s="276"/>
      <c r="FF133" s="276"/>
      <c r="FG133" s="50"/>
    </row>
    <row r="134" spans="27:163">
      <c r="AA134" s="111" t="s">
        <v>245</v>
      </c>
      <c r="AB134" s="111" t="s">
        <v>340</v>
      </c>
      <c r="AC134" s="111">
        <v>102</v>
      </c>
      <c r="AD134" s="116">
        <v>3</v>
      </c>
      <c r="AE134" s="120">
        <v>750</v>
      </c>
      <c r="AF134" s="121">
        <v>350</v>
      </c>
      <c r="AG134" s="121">
        <v>14</v>
      </c>
      <c r="AH134" s="121">
        <v>18.000000000000004</v>
      </c>
      <c r="AI134" s="121">
        <v>714</v>
      </c>
      <c r="AJ134" s="64" t="str" cm="1">
        <f t="array" ref="AJ134">_xll.Dce_Name_SectI(AE134, AE134, AF134, AG134, AH134, "x", "-", "H Tổng")</f>
        <v>750x350x14x18</v>
      </c>
      <c r="AK134" s="122">
        <f t="shared" si="40"/>
        <v>1010</v>
      </c>
      <c r="AL134" s="123">
        <f t="shared" si="41"/>
        <v>350</v>
      </c>
      <c r="AM134" s="123">
        <f t="shared" si="42"/>
        <v>25</v>
      </c>
      <c r="AN134" s="123">
        <f t="shared" si="43"/>
        <v>12</v>
      </c>
      <c r="AO134" s="123">
        <f t="shared" si="44"/>
        <v>24</v>
      </c>
      <c r="AP134" s="165" t="str">
        <f t="shared" si="45"/>
        <v>1010x350x25 + 12M24</v>
      </c>
      <c r="AQ134" s="111" t="s">
        <v>314</v>
      </c>
      <c r="AR134" s="120">
        <v>0</v>
      </c>
      <c r="AS134" s="120">
        <v>-592.1600896369697</v>
      </c>
      <c r="AT134" s="120">
        <v>5.3842086344957335E-14</v>
      </c>
      <c r="AU134" s="120">
        <v>1.8360262528624579E-3</v>
      </c>
      <c r="AV134" s="120">
        <v>8.3152553997933852E-14</v>
      </c>
      <c r="AW134" s="120">
        <v>-453.7445347249556</v>
      </c>
      <c r="AX134" s="120"/>
      <c r="AY134" s="120"/>
      <c r="AZ134" s="120"/>
      <c r="BA134" s="122">
        <f t="shared" si="46"/>
        <v>60</v>
      </c>
      <c r="BB134" s="122">
        <f t="shared" si="47"/>
        <v>70</v>
      </c>
      <c r="BC134" s="122">
        <f t="shared" si="48"/>
        <v>80</v>
      </c>
      <c r="BD134" s="122">
        <f t="shared" si="49"/>
        <v>150</v>
      </c>
      <c r="BE134" s="122">
        <f>VLOOKUP(AO134,Data!$V$4:$Z$15,3,FALSE)</f>
        <v>452.38934211693021</v>
      </c>
      <c r="BF134" s="122">
        <f>VLOOKUP(AO134,Data!$V$4:$Z$15,4,FALSE)</f>
        <v>353</v>
      </c>
      <c r="BG134" s="163">
        <f t="shared" si="50"/>
        <v>180</v>
      </c>
      <c r="BH134" s="122">
        <f t="shared" si="51"/>
        <v>121.65654188208487</v>
      </c>
      <c r="BI134" s="122">
        <f t="shared" si="52"/>
        <v>243</v>
      </c>
      <c r="BJ134" s="163">
        <f t="shared" si="53"/>
        <v>142.3296</v>
      </c>
      <c r="BK134" s="131">
        <f t="shared" si="54"/>
        <v>49.346674136414144</v>
      </c>
      <c r="BL134" s="134">
        <f t="shared" si="55"/>
        <v>0.89458333333333329</v>
      </c>
      <c r="BM134" s="135">
        <f t="shared" si="56"/>
        <v>0.45342098635159461</v>
      </c>
      <c r="BN134" s="92" t="str">
        <f t="shared" si="57"/>
        <v>OK</v>
      </c>
      <c r="BO134" s="135">
        <f>_xll.DCEBoltDisRS(AN134, AE134, BA134, BB134, BC134, BD134, "h1")</f>
        <v>890</v>
      </c>
      <c r="BP134" s="136">
        <f>_xll.DCEBoltDisRS(AN134, AE134, BA134, BB134, BC134, BD134, "Tong")</f>
        <v>1800300</v>
      </c>
      <c r="BQ134" s="137">
        <f t="shared" si="58"/>
        <v>112.15703935599913</v>
      </c>
      <c r="BR134" s="135">
        <f t="shared" si="59"/>
        <v>0.78800923599868988</v>
      </c>
      <c r="BS134" s="64" t="str">
        <f t="shared" si="60"/>
        <v>OK</v>
      </c>
      <c r="BT134" s="131">
        <f t="shared" si="61"/>
        <v>0.88627786751291593</v>
      </c>
      <c r="BU134" s="92" t="str">
        <f t="shared" si="62"/>
        <v>OK</v>
      </c>
      <c r="BV134" s="139">
        <f t="shared" si="63"/>
        <v>619.86958295758961</v>
      </c>
      <c r="BW134" s="131">
        <f t="shared" si="64"/>
        <v>13.947065616545766</v>
      </c>
      <c r="BX134" s="139">
        <f t="shared" si="65"/>
        <v>309.93479147879481</v>
      </c>
      <c r="BY134" s="123">
        <f t="shared" si="66"/>
        <v>132.56616823647462</v>
      </c>
      <c r="BZ134" s="141">
        <f t="shared" si="67"/>
        <v>0.64441887337175174</v>
      </c>
      <c r="CA134" s="131">
        <f t="shared" si="68"/>
        <v>12.274645207080983</v>
      </c>
      <c r="CB134" s="143">
        <f t="shared" si="69"/>
        <v>0.10287657620877262</v>
      </c>
      <c r="CC134" s="123">
        <f t="shared" si="70"/>
        <v>134.26015680677733</v>
      </c>
      <c r="CD134" s="131">
        <f t="shared" si="71"/>
        <v>0.56752481741995264</v>
      </c>
      <c r="CE134" s="135">
        <f t="shared" si="72"/>
        <v>0.64441887337175174</v>
      </c>
      <c r="CF134" s="92" t="str">
        <f t="shared" si="73"/>
        <v>OK</v>
      </c>
      <c r="CG134" s="50"/>
      <c r="DA134" s="111"/>
      <c r="DB134" s="111"/>
      <c r="DC134" s="111"/>
      <c r="DD134" s="116"/>
      <c r="DE134" s="120"/>
      <c r="DF134" s="121"/>
      <c r="DG134" s="121"/>
      <c r="DH134" s="121"/>
      <c r="DI134" s="121"/>
      <c r="DJ134" s="121"/>
      <c r="DK134" s="122"/>
      <c r="DL134" s="123"/>
      <c r="DM134" s="123"/>
      <c r="DN134" s="123"/>
      <c r="DO134" s="123"/>
      <c r="DP134" s="123"/>
      <c r="DQ134" s="111"/>
      <c r="DR134" s="120"/>
      <c r="DS134" s="120"/>
      <c r="DT134" s="120"/>
      <c r="DU134" s="120"/>
      <c r="DV134" s="120"/>
      <c r="DW134" s="120"/>
      <c r="DX134" s="120"/>
      <c r="DY134" s="120"/>
      <c r="DZ134" s="120"/>
      <c r="EA134" s="122"/>
      <c r="EB134" s="122"/>
      <c r="EC134" s="122"/>
      <c r="ED134" s="122"/>
      <c r="EE134" s="122"/>
      <c r="EF134" s="122"/>
      <c r="EG134" s="122"/>
      <c r="EH134" s="122"/>
      <c r="EI134" s="122"/>
      <c r="EJ134" s="122"/>
      <c r="EK134" s="131"/>
      <c r="EL134" s="122"/>
      <c r="EM134" s="276"/>
      <c r="EN134" s="276"/>
      <c r="EO134" s="135"/>
      <c r="EP134" s="136"/>
      <c r="EQ134" s="137"/>
      <c r="ER134" s="276"/>
      <c r="ES134" s="276"/>
      <c r="ET134" s="276"/>
      <c r="EU134" s="276"/>
      <c r="EV134" s="139"/>
      <c r="EW134" s="131"/>
      <c r="EX134" s="139"/>
      <c r="EY134" s="123"/>
      <c r="EZ134" s="141"/>
      <c r="FA134" s="131"/>
      <c r="FB134" s="143"/>
      <c r="FC134" s="123"/>
      <c r="FD134" s="131"/>
      <c r="FE134" s="276"/>
      <c r="FF134" s="276"/>
      <c r="FG134" s="50"/>
    </row>
    <row r="135" spans="27:163">
      <c r="AA135" s="111" t="s">
        <v>245</v>
      </c>
      <c r="AB135" s="111" t="s">
        <v>340</v>
      </c>
      <c r="AC135" s="111">
        <v>102</v>
      </c>
      <c r="AD135" s="116">
        <v>0.3</v>
      </c>
      <c r="AE135" s="120">
        <v>1100</v>
      </c>
      <c r="AF135" s="121">
        <v>350</v>
      </c>
      <c r="AG135" s="121">
        <v>14</v>
      </c>
      <c r="AH135" s="121">
        <v>18.000000000000004</v>
      </c>
      <c r="AI135" s="121">
        <v>1064</v>
      </c>
      <c r="AJ135" s="64" t="str" cm="1">
        <f t="array" ref="AJ135">_xll.Dce_Name_SectI(AE135, AE135, AF135, AG135, AH135, "x", "-", "H Tổng")</f>
        <v>1100x350x14x18</v>
      </c>
      <c r="AK135" s="122">
        <f t="shared" si="40"/>
        <v>1360</v>
      </c>
      <c r="AL135" s="123">
        <f t="shared" si="41"/>
        <v>350</v>
      </c>
      <c r="AM135" s="123">
        <f t="shared" si="42"/>
        <v>25</v>
      </c>
      <c r="AN135" s="123">
        <f t="shared" si="43"/>
        <v>16</v>
      </c>
      <c r="AO135" s="123">
        <f t="shared" si="44"/>
        <v>27</v>
      </c>
      <c r="AP135" s="165" t="str">
        <f t="shared" si="45"/>
        <v>1360x350x25 + 16M27</v>
      </c>
      <c r="AQ135" s="111" t="s">
        <v>315</v>
      </c>
      <c r="AR135" s="120">
        <v>0</v>
      </c>
      <c r="AS135" s="120">
        <v>-619.52315272787303</v>
      </c>
      <c r="AT135" s="120">
        <v>1.5461409930139779E-15</v>
      </c>
      <c r="AU135" s="120">
        <v>1.4320115696693247E-3</v>
      </c>
      <c r="AV135" s="120">
        <v>-7.2777766035869702E-16</v>
      </c>
      <c r="AW135" s="120">
        <v>-1791.6486083892471</v>
      </c>
      <c r="AX135" s="120"/>
      <c r="AY135" s="120"/>
      <c r="AZ135" s="120"/>
      <c r="BA135" s="122">
        <f t="shared" si="46"/>
        <v>60</v>
      </c>
      <c r="BB135" s="122">
        <f t="shared" si="47"/>
        <v>70</v>
      </c>
      <c r="BC135" s="122">
        <f t="shared" si="48"/>
        <v>80</v>
      </c>
      <c r="BD135" s="122">
        <f t="shared" si="49"/>
        <v>160</v>
      </c>
      <c r="BE135" s="122">
        <f>VLOOKUP(AO135,Data!$V$4:$Z$15,3,FALSE)</f>
        <v>572.55526111673976</v>
      </c>
      <c r="BF135" s="122">
        <f>VLOOKUP(AO135,Data!$V$4:$Z$15,4,FALSE)</f>
        <v>459</v>
      </c>
      <c r="BG135" s="163">
        <f t="shared" si="50"/>
        <v>180</v>
      </c>
      <c r="BH135" s="122">
        <f t="shared" si="51"/>
        <v>153.97156081951366</v>
      </c>
      <c r="BI135" s="122">
        <f t="shared" si="52"/>
        <v>273.375</v>
      </c>
      <c r="BJ135" s="163">
        <f t="shared" si="53"/>
        <v>185.06880000000001</v>
      </c>
      <c r="BK135" s="131">
        <f t="shared" si="54"/>
        <v>38.720197045492064</v>
      </c>
      <c r="BL135" s="134">
        <f t="shared" si="55"/>
        <v>0.85037037037037044</v>
      </c>
      <c r="BM135" s="135">
        <f t="shared" si="56"/>
        <v>0.29572560361280242</v>
      </c>
      <c r="BN135" s="92" t="str">
        <f t="shared" si="57"/>
        <v>OK</v>
      </c>
      <c r="BO135" s="135">
        <f>_xll.DCEBoltDisRS(AN135, AE135, BA135, BB135, BC135, BD135, "h1")</f>
        <v>1240</v>
      </c>
      <c r="BP135" s="136">
        <f>_xll.DCEBoltDisRS(AN135, AE135, BA135, BB135, BC135, BD135, "Tong")</f>
        <v>4523000</v>
      </c>
      <c r="BQ135" s="137">
        <f t="shared" si="58"/>
        <v>245.59410506330605</v>
      </c>
      <c r="BR135" s="135">
        <f t="shared" si="59"/>
        <v>1.3270421868154223</v>
      </c>
      <c r="BS135" s="64" t="str">
        <f t="shared" si="60"/>
        <v>O/S</v>
      </c>
      <c r="BT135" s="131">
        <f t="shared" si="61"/>
        <v>1.3506595761180158</v>
      </c>
      <c r="BU135" s="92" t="str">
        <f t="shared" si="62"/>
        <v>O/S</v>
      </c>
      <c r="BV135" s="139">
        <f t="shared" si="63"/>
        <v>1655.8674754059584</v>
      </c>
      <c r="BW135" s="131">
        <f t="shared" si="64"/>
        <v>37.257018196634064</v>
      </c>
      <c r="BX135" s="139">
        <f t="shared" si="65"/>
        <v>827.93373770297922</v>
      </c>
      <c r="BY135" s="123">
        <f t="shared" si="66"/>
        <v>262.99071668212281</v>
      </c>
      <c r="BZ135" s="141">
        <f t="shared" si="67"/>
        <v>1.2784270949825416</v>
      </c>
      <c r="CA135" s="131">
        <f t="shared" si="68"/>
        <v>24.350992285381743</v>
      </c>
      <c r="CB135" s="143">
        <f t="shared" si="69"/>
        <v>0.20409117097422438</v>
      </c>
      <c r="CC135" s="123">
        <f t="shared" si="70"/>
        <v>266.35132726687272</v>
      </c>
      <c r="CD135" s="131">
        <f t="shared" si="71"/>
        <v>1.1258812142923367</v>
      </c>
      <c r="CE135" s="135">
        <f t="shared" si="72"/>
        <v>1.2784270949825416</v>
      </c>
      <c r="CF135" s="92" t="str">
        <f t="shared" si="73"/>
        <v>O/S</v>
      </c>
      <c r="CG135" s="50"/>
      <c r="DA135" s="111"/>
      <c r="DB135" s="111"/>
      <c r="DC135" s="111"/>
      <c r="DD135" s="116"/>
      <c r="DE135" s="120"/>
      <c r="DF135" s="121"/>
      <c r="DG135" s="121"/>
      <c r="DH135" s="121"/>
      <c r="DI135" s="121"/>
      <c r="DJ135" s="121"/>
      <c r="DK135" s="122"/>
      <c r="DL135" s="123"/>
      <c r="DM135" s="123"/>
      <c r="DN135" s="123"/>
      <c r="DO135" s="123"/>
      <c r="DP135" s="123"/>
      <c r="DQ135" s="111"/>
      <c r="DR135" s="120"/>
      <c r="DS135" s="120"/>
      <c r="DT135" s="120"/>
      <c r="DU135" s="120"/>
      <c r="DV135" s="120"/>
      <c r="DW135" s="120"/>
      <c r="DX135" s="120"/>
      <c r="DY135" s="120"/>
      <c r="DZ135" s="120"/>
      <c r="EA135" s="122"/>
      <c r="EB135" s="122"/>
      <c r="EC135" s="122"/>
      <c r="ED135" s="122"/>
      <c r="EE135" s="122"/>
      <c r="EF135" s="122"/>
      <c r="EG135" s="122"/>
      <c r="EH135" s="122"/>
      <c r="EI135" s="122"/>
      <c r="EJ135" s="122"/>
      <c r="EK135" s="131"/>
      <c r="EL135" s="122"/>
      <c r="EM135" s="276"/>
      <c r="EN135" s="276"/>
      <c r="EO135" s="135"/>
      <c r="EP135" s="136"/>
      <c r="EQ135" s="137"/>
      <c r="ER135" s="276"/>
      <c r="ES135" s="276"/>
      <c r="ET135" s="276"/>
      <c r="EU135" s="276"/>
      <c r="EV135" s="139"/>
      <c r="EW135" s="131"/>
      <c r="EX135" s="139"/>
      <c r="EY135" s="123"/>
      <c r="EZ135" s="141"/>
      <c r="FA135" s="131"/>
      <c r="FB135" s="143"/>
      <c r="FC135" s="123"/>
      <c r="FD135" s="131"/>
      <c r="FE135" s="276"/>
      <c r="FF135" s="276"/>
      <c r="FG135" s="50"/>
    </row>
    <row r="136" spans="27:163">
      <c r="AA136" s="111" t="s">
        <v>245</v>
      </c>
      <c r="AB136" s="111" t="s">
        <v>340</v>
      </c>
      <c r="AC136" s="111">
        <v>102</v>
      </c>
      <c r="AD136" s="116">
        <v>3</v>
      </c>
      <c r="AE136" s="120">
        <v>750</v>
      </c>
      <c r="AF136" s="121">
        <v>350</v>
      </c>
      <c r="AG136" s="121">
        <v>14</v>
      </c>
      <c r="AH136" s="121">
        <v>18.000000000000004</v>
      </c>
      <c r="AI136" s="121">
        <v>714</v>
      </c>
      <c r="AJ136" s="64" t="str" cm="1">
        <f t="array" ref="AJ136">_xll.Dce_Name_SectI(AE136, AE136, AF136, AG136, AH136, "x", "-", "H Tổng")</f>
        <v>750x350x14x18</v>
      </c>
      <c r="AK136" s="122">
        <f t="shared" si="40"/>
        <v>1010</v>
      </c>
      <c r="AL136" s="123">
        <f t="shared" si="41"/>
        <v>350</v>
      </c>
      <c r="AM136" s="123">
        <f t="shared" si="42"/>
        <v>25</v>
      </c>
      <c r="AN136" s="123">
        <f t="shared" si="43"/>
        <v>12</v>
      </c>
      <c r="AO136" s="123">
        <f t="shared" si="44"/>
        <v>24</v>
      </c>
      <c r="AP136" s="165" t="str">
        <f t="shared" si="45"/>
        <v>1010x350x25 + 12M24</v>
      </c>
      <c r="AQ136" s="111" t="s">
        <v>315</v>
      </c>
      <c r="AR136" s="120">
        <v>0</v>
      </c>
      <c r="AS136" s="120">
        <v>-438.05329780216198</v>
      </c>
      <c r="AT136" s="120">
        <v>4.5110937207937226E-14</v>
      </c>
      <c r="AU136" s="120">
        <v>1.4322487672451202E-3</v>
      </c>
      <c r="AV136" s="120">
        <v>5.5882264859974368E-14</v>
      </c>
      <c r="AW136" s="120">
        <v>-320.3843822991027</v>
      </c>
      <c r="AX136" s="120"/>
      <c r="AY136" s="120"/>
      <c r="AZ136" s="120"/>
      <c r="BA136" s="122">
        <f t="shared" si="46"/>
        <v>60</v>
      </c>
      <c r="BB136" s="122">
        <f t="shared" si="47"/>
        <v>70</v>
      </c>
      <c r="BC136" s="122">
        <f t="shared" si="48"/>
        <v>80</v>
      </c>
      <c r="BD136" s="122">
        <f t="shared" si="49"/>
        <v>150</v>
      </c>
      <c r="BE136" s="122">
        <f>VLOOKUP(AO136,Data!$V$4:$Z$15,3,FALSE)</f>
        <v>452.38934211693021</v>
      </c>
      <c r="BF136" s="122">
        <f>VLOOKUP(AO136,Data!$V$4:$Z$15,4,FALSE)</f>
        <v>353</v>
      </c>
      <c r="BG136" s="163">
        <f t="shared" si="50"/>
        <v>180</v>
      </c>
      <c r="BH136" s="122">
        <f t="shared" si="51"/>
        <v>121.65654188208487</v>
      </c>
      <c r="BI136" s="122">
        <f t="shared" si="52"/>
        <v>243</v>
      </c>
      <c r="BJ136" s="163">
        <f t="shared" si="53"/>
        <v>142.3296</v>
      </c>
      <c r="BK136" s="131">
        <f t="shared" si="54"/>
        <v>36.504441483513496</v>
      </c>
      <c r="BL136" s="134">
        <f t="shared" si="55"/>
        <v>0.89458333333333329</v>
      </c>
      <c r="BM136" s="135">
        <f t="shared" si="56"/>
        <v>0.33542037337537023</v>
      </c>
      <c r="BN136" s="92" t="str">
        <f t="shared" si="57"/>
        <v>OK</v>
      </c>
      <c r="BO136" s="135">
        <f>_xll.DCEBoltDisRS(AN136, AE136, BA136, BB136, BC136, BD136, "h1")</f>
        <v>890</v>
      </c>
      <c r="BP136" s="136">
        <f>_xll.DCEBoltDisRS(AN136, AE136, BA136, BB136, BC136, BD136, "Tong")</f>
        <v>1800300</v>
      </c>
      <c r="BQ136" s="137">
        <f t="shared" si="58"/>
        <v>79.192940133922505</v>
      </c>
      <c r="BR136" s="135">
        <f t="shared" si="59"/>
        <v>0.55640527433452003</v>
      </c>
      <c r="BS136" s="64" t="str">
        <f t="shared" si="60"/>
        <v>OK</v>
      </c>
      <c r="BT136" s="131">
        <f t="shared" si="61"/>
        <v>0.63215798539270385</v>
      </c>
      <c r="BU136" s="92" t="str">
        <f t="shared" si="62"/>
        <v>OK</v>
      </c>
      <c r="BV136" s="139">
        <f t="shared" si="63"/>
        <v>437.68358237582339</v>
      </c>
      <c r="BW136" s="131">
        <f t="shared" si="64"/>
        <v>9.8478806034560264</v>
      </c>
      <c r="BX136" s="139">
        <f t="shared" si="65"/>
        <v>218.8417911879117</v>
      </c>
      <c r="BY136" s="123">
        <f t="shared" si="66"/>
        <v>93.603617617007771</v>
      </c>
      <c r="BZ136" s="141">
        <f t="shared" si="67"/>
        <v>0.45501758563823225</v>
      </c>
      <c r="CA136" s="131">
        <f t="shared" si="68"/>
        <v>8.6670016312044247</v>
      </c>
      <c r="CB136" s="143">
        <f t="shared" si="69"/>
        <v>7.2640099878389583E-2</v>
      </c>
      <c r="CC136" s="123">
        <f t="shared" si="70"/>
        <v>94.799725647371517</v>
      </c>
      <c r="CD136" s="131">
        <f t="shared" si="71"/>
        <v>0.40072347797801977</v>
      </c>
      <c r="CE136" s="135">
        <f t="shared" si="72"/>
        <v>0.45501758563823225</v>
      </c>
      <c r="CF136" s="92" t="str">
        <f t="shared" si="73"/>
        <v>OK</v>
      </c>
      <c r="CG136" s="50"/>
      <c r="DA136" s="111"/>
      <c r="DB136" s="111"/>
      <c r="DC136" s="111"/>
      <c r="DD136" s="116"/>
      <c r="DE136" s="120"/>
      <c r="DF136" s="121"/>
      <c r="DG136" s="121"/>
      <c r="DH136" s="121"/>
      <c r="DI136" s="121"/>
      <c r="DJ136" s="121"/>
      <c r="DK136" s="122"/>
      <c r="DL136" s="123"/>
      <c r="DM136" s="123"/>
      <c r="DN136" s="123"/>
      <c r="DO136" s="123"/>
      <c r="DP136" s="123"/>
      <c r="DQ136" s="111"/>
      <c r="DR136" s="120"/>
      <c r="DS136" s="120"/>
      <c r="DT136" s="120"/>
      <c r="DU136" s="120"/>
      <c r="DV136" s="120"/>
      <c r="DW136" s="120"/>
      <c r="DX136" s="120"/>
      <c r="DY136" s="120"/>
      <c r="DZ136" s="120"/>
      <c r="EA136" s="122"/>
      <c r="EB136" s="122"/>
      <c r="EC136" s="122"/>
      <c r="ED136" s="122"/>
      <c r="EE136" s="122"/>
      <c r="EF136" s="122"/>
      <c r="EG136" s="122"/>
      <c r="EH136" s="122"/>
      <c r="EI136" s="122"/>
      <c r="EJ136" s="122"/>
      <c r="EK136" s="131"/>
      <c r="EL136" s="122"/>
      <c r="EM136" s="276"/>
      <c r="EN136" s="276"/>
      <c r="EO136" s="135"/>
      <c r="EP136" s="136"/>
      <c r="EQ136" s="137"/>
      <c r="ER136" s="276"/>
      <c r="ES136" s="276"/>
      <c r="ET136" s="276"/>
      <c r="EU136" s="276"/>
      <c r="EV136" s="139"/>
      <c r="EW136" s="131"/>
      <c r="EX136" s="139"/>
      <c r="EY136" s="123"/>
      <c r="EZ136" s="141"/>
      <c r="FA136" s="131"/>
      <c r="FB136" s="143"/>
      <c r="FC136" s="123"/>
      <c r="FD136" s="131"/>
      <c r="FE136" s="276"/>
      <c r="FF136" s="276"/>
      <c r="FG136" s="50"/>
    </row>
    <row r="137" spans="27:163">
      <c r="AA137" s="111" t="s">
        <v>245</v>
      </c>
      <c r="AB137" s="111" t="s">
        <v>340</v>
      </c>
      <c r="AC137" s="111">
        <v>102</v>
      </c>
      <c r="AD137" s="116">
        <v>0.3</v>
      </c>
      <c r="AE137" s="120">
        <v>1100</v>
      </c>
      <c r="AF137" s="121">
        <v>350</v>
      </c>
      <c r="AG137" s="121">
        <v>14</v>
      </c>
      <c r="AH137" s="121">
        <v>18.000000000000004</v>
      </c>
      <c r="AI137" s="121">
        <v>1064</v>
      </c>
      <c r="AJ137" s="64" t="str" cm="1">
        <f t="array" ref="AJ137">_xll.Dce_Name_SectI(AE137, AE137, AF137, AG137, AH137, "x", "-", "H Tổng")</f>
        <v>1100x350x14x18</v>
      </c>
      <c r="AK137" s="122">
        <f t="shared" si="40"/>
        <v>1360</v>
      </c>
      <c r="AL137" s="123">
        <f t="shared" si="41"/>
        <v>350</v>
      </c>
      <c r="AM137" s="123">
        <f t="shared" si="42"/>
        <v>25</v>
      </c>
      <c r="AN137" s="123">
        <f t="shared" si="43"/>
        <v>16</v>
      </c>
      <c r="AO137" s="123">
        <f t="shared" si="44"/>
        <v>27</v>
      </c>
      <c r="AP137" s="165" t="str">
        <f t="shared" si="45"/>
        <v>1360x350x25 + 16M27</v>
      </c>
      <c r="AQ137" s="111" t="s">
        <v>316</v>
      </c>
      <c r="AR137" s="120">
        <v>0</v>
      </c>
      <c r="AS137" s="120">
        <v>-266.34352940673273</v>
      </c>
      <c r="AT137" s="120">
        <v>1.2460077414289114E-14</v>
      </c>
      <c r="AU137" s="120">
        <v>8.2126350385821939E-4</v>
      </c>
      <c r="AV137" s="120">
        <v>-5.7554643717594437E-15</v>
      </c>
      <c r="AW137" s="120">
        <v>-779.4566450404003</v>
      </c>
      <c r="AX137" s="120"/>
      <c r="AY137" s="120"/>
      <c r="AZ137" s="120"/>
      <c r="BA137" s="122">
        <f t="shared" si="46"/>
        <v>60</v>
      </c>
      <c r="BB137" s="122">
        <f t="shared" si="47"/>
        <v>70</v>
      </c>
      <c r="BC137" s="122">
        <f t="shared" si="48"/>
        <v>80</v>
      </c>
      <c r="BD137" s="122">
        <f t="shared" si="49"/>
        <v>160</v>
      </c>
      <c r="BE137" s="122">
        <f>VLOOKUP(AO137,Data!$V$4:$Z$15,3,FALSE)</f>
        <v>572.55526111673976</v>
      </c>
      <c r="BF137" s="122">
        <f>VLOOKUP(AO137,Data!$V$4:$Z$15,4,FALSE)</f>
        <v>459</v>
      </c>
      <c r="BG137" s="163">
        <f t="shared" si="50"/>
        <v>180</v>
      </c>
      <c r="BH137" s="122">
        <f t="shared" si="51"/>
        <v>153.97156081951366</v>
      </c>
      <c r="BI137" s="122">
        <f t="shared" si="52"/>
        <v>273.375</v>
      </c>
      <c r="BJ137" s="163">
        <f t="shared" si="53"/>
        <v>185.06880000000001</v>
      </c>
      <c r="BK137" s="131">
        <f t="shared" si="54"/>
        <v>16.646470587920795</v>
      </c>
      <c r="BL137" s="134">
        <f t="shared" si="55"/>
        <v>0.85037037037037044</v>
      </c>
      <c r="BM137" s="135">
        <f t="shared" si="56"/>
        <v>0.12713746153853228</v>
      </c>
      <c r="BN137" s="92" t="str">
        <f t="shared" si="57"/>
        <v>OK</v>
      </c>
      <c r="BO137" s="135">
        <f>_xll.DCEBoltDisRS(AN137, AE137, BA137, BB137, BC137, BD137, "h1")</f>
        <v>1240</v>
      </c>
      <c r="BP137" s="136">
        <f>_xll.DCEBoltDisRS(AN137, AE137, BA137, BB137, BC137, BD137, "Tong")</f>
        <v>4523000</v>
      </c>
      <c r="BQ137" s="137">
        <f t="shared" si="58"/>
        <v>106.84570416207124</v>
      </c>
      <c r="BR137" s="135">
        <f t="shared" si="59"/>
        <v>0.57732964260897157</v>
      </c>
      <c r="BS137" s="64" t="str">
        <f t="shared" si="60"/>
        <v>OK</v>
      </c>
      <c r="BT137" s="131">
        <f t="shared" si="61"/>
        <v>0.58736542130985525</v>
      </c>
      <c r="BU137" s="92" t="str">
        <f t="shared" si="62"/>
        <v>OK</v>
      </c>
      <c r="BV137" s="139">
        <f t="shared" si="63"/>
        <v>720.38506935341979</v>
      </c>
      <c r="BW137" s="131">
        <f t="shared" si="64"/>
        <v>16.208664060451945</v>
      </c>
      <c r="BX137" s="139">
        <f t="shared" si="65"/>
        <v>360.1925346767099</v>
      </c>
      <c r="BY137" s="123">
        <f t="shared" si="66"/>
        <v>114.41409925024902</v>
      </c>
      <c r="BZ137" s="141">
        <f t="shared" si="67"/>
        <v>0.55617964913315499</v>
      </c>
      <c r="CA137" s="131">
        <f t="shared" si="68"/>
        <v>10.593898078726761</v>
      </c>
      <c r="CB137" s="143">
        <f t="shared" si="69"/>
        <v>8.8789854587029857E-2</v>
      </c>
      <c r="CC137" s="123">
        <f t="shared" si="70"/>
        <v>115.87613273126259</v>
      </c>
      <c r="CD137" s="131">
        <f t="shared" si="71"/>
        <v>0.48981457072393614</v>
      </c>
      <c r="CE137" s="135">
        <f t="shared" si="72"/>
        <v>0.55617964913315499</v>
      </c>
      <c r="CF137" s="92" t="str">
        <f t="shared" si="73"/>
        <v>OK</v>
      </c>
      <c r="CG137" s="50"/>
      <c r="DA137" s="111"/>
      <c r="DB137" s="111"/>
      <c r="DC137" s="111"/>
      <c r="DD137" s="116"/>
      <c r="DE137" s="120"/>
      <c r="DF137" s="121"/>
      <c r="DG137" s="121"/>
      <c r="DH137" s="121"/>
      <c r="DI137" s="121"/>
      <c r="DJ137" s="121"/>
      <c r="DK137" s="122"/>
      <c r="DL137" s="123"/>
      <c r="DM137" s="123"/>
      <c r="DN137" s="123"/>
      <c r="DO137" s="123"/>
      <c r="DP137" s="123"/>
      <c r="DQ137" s="111"/>
      <c r="DR137" s="120"/>
      <c r="DS137" s="120"/>
      <c r="DT137" s="120"/>
      <c r="DU137" s="120"/>
      <c r="DV137" s="120"/>
      <c r="DW137" s="120"/>
      <c r="DX137" s="120"/>
      <c r="DY137" s="120"/>
      <c r="DZ137" s="120"/>
      <c r="EA137" s="122"/>
      <c r="EB137" s="122"/>
      <c r="EC137" s="122"/>
      <c r="ED137" s="122"/>
      <c r="EE137" s="122"/>
      <c r="EF137" s="122"/>
      <c r="EG137" s="122"/>
      <c r="EH137" s="122"/>
      <c r="EI137" s="122"/>
      <c r="EJ137" s="122"/>
      <c r="EK137" s="131"/>
      <c r="EL137" s="122"/>
      <c r="EM137" s="276"/>
      <c r="EN137" s="276"/>
      <c r="EO137" s="135"/>
      <c r="EP137" s="136"/>
      <c r="EQ137" s="137"/>
      <c r="ER137" s="276"/>
      <c r="ES137" s="276"/>
      <c r="ET137" s="276"/>
      <c r="EU137" s="276"/>
      <c r="EV137" s="139"/>
      <c r="EW137" s="131"/>
      <c r="EX137" s="139"/>
      <c r="EY137" s="123"/>
      <c r="EZ137" s="141"/>
      <c r="FA137" s="131"/>
      <c r="FB137" s="143"/>
      <c r="FC137" s="123"/>
      <c r="FD137" s="131"/>
      <c r="FE137" s="276"/>
      <c r="FF137" s="276"/>
      <c r="FG137" s="50"/>
    </row>
    <row r="138" spans="27:163">
      <c r="AA138" s="111" t="s">
        <v>245</v>
      </c>
      <c r="AB138" s="111" t="s">
        <v>340</v>
      </c>
      <c r="AC138" s="111">
        <v>102</v>
      </c>
      <c r="AD138" s="116">
        <v>3</v>
      </c>
      <c r="AE138" s="120">
        <v>750</v>
      </c>
      <c r="AF138" s="121">
        <v>350</v>
      </c>
      <c r="AG138" s="121">
        <v>14</v>
      </c>
      <c r="AH138" s="121">
        <v>18.000000000000004</v>
      </c>
      <c r="AI138" s="121">
        <v>714</v>
      </c>
      <c r="AJ138" s="64" t="str" cm="1">
        <f t="array" ref="AJ138">_xll.Dce_Name_SectI(AE138, AE138, AF138, AG138, AH138, "x", "-", "H Tổng")</f>
        <v>750x350x14x18</v>
      </c>
      <c r="AK138" s="122">
        <f t="shared" si="40"/>
        <v>1010</v>
      </c>
      <c r="AL138" s="123">
        <f t="shared" si="41"/>
        <v>350</v>
      </c>
      <c r="AM138" s="123">
        <f t="shared" si="42"/>
        <v>25</v>
      </c>
      <c r="AN138" s="123">
        <f t="shared" si="43"/>
        <v>12</v>
      </c>
      <c r="AO138" s="123">
        <f t="shared" si="44"/>
        <v>24</v>
      </c>
      <c r="AP138" s="165" t="str">
        <f t="shared" si="45"/>
        <v>1010x350x25 + 12M24</v>
      </c>
      <c r="AQ138" s="111" t="s">
        <v>316</v>
      </c>
      <c r="AR138" s="120">
        <v>0</v>
      </c>
      <c r="AS138" s="120">
        <v>-188.27174816455707</v>
      </c>
      <c r="AT138" s="120">
        <v>-8.5856299847364411E-14</v>
      </c>
      <c r="AU138" s="120">
        <v>8.2139933555718837E-4</v>
      </c>
      <c r="AV138" s="120">
        <v>1.3903190847486256E-13</v>
      </c>
      <c r="AW138" s="120">
        <v>-148.04278398213376</v>
      </c>
      <c r="AX138" s="120"/>
      <c r="AY138" s="120"/>
      <c r="AZ138" s="120"/>
      <c r="BA138" s="122">
        <f t="shared" si="46"/>
        <v>60</v>
      </c>
      <c r="BB138" s="122">
        <f t="shared" si="47"/>
        <v>70</v>
      </c>
      <c r="BC138" s="122">
        <f t="shared" si="48"/>
        <v>80</v>
      </c>
      <c r="BD138" s="122">
        <f t="shared" si="49"/>
        <v>150</v>
      </c>
      <c r="BE138" s="122">
        <f>VLOOKUP(AO138,Data!$V$4:$Z$15,3,FALSE)</f>
        <v>452.38934211693021</v>
      </c>
      <c r="BF138" s="122">
        <f>VLOOKUP(AO138,Data!$V$4:$Z$15,4,FALSE)</f>
        <v>353</v>
      </c>
      <c r="BG138" s="163">
        <f t="shared" si="50"/>
        <v>180</v>
      </c>
      <c r="BH138" s="122">
        <f t="shared" si="51"/>
        <v>121.65654188208487</v>
      </c>
      <c r="BI138" s="122">
        <f t="shared" si="52"/>
        <v>243</v>
      </c>
      <c r="BJ138" s="163">
        <f t="shared" si="53"/>
        <v>142.3296</v>
      </c>
      <c r="BK138" s="131">
        <f t="shared" si="54"/>
        <v>15.689312347046423</v>
      </c>
      <c r="BL138" s="134">
        <f t="shared" si="55"/>
        <v>0.89458333333333329</v>
      </c>
      <c r="BM138" s="135">
        <f t="shared" si="56"/>
        <v>0.14416095114962454</v>
      </c>
      <c r="BN138" s="92" t="str">
        <f t="shared" si="57"/>
        <v>OK</v>
      </c>
      <c r="BO138" s="135">
        <f>_xll.DCEBoltDisRS(AN138, AE138, BA138, BB138, BC138, BD138, "h1")</f>
        <v>890</v>
      </c>
      <c r="BP138" s="136">
        <f>_xll.DCEBoltDisRS(AN138, AE138, BA138, BB138, BC138, BD138, "Tong")</f>
        <v>1800300</v>
      </c>
      <c r="BQ138" s="137">
        <f t="shared" si="58"/>
        <v>36.593367145503258</v>
      </c>
      <c r="BR138" s="135">
        <f t="shared" si="59"/>
        <v>0.25710299997683728</v>
      </c>
      <c r="BS138" s="64" t="str">
        <f t="shared" si="60"/>
        <v>OK</v>
      </c>
      <c r="BT138" s="131">
        <f t="shared" si="61"/>
        <v>0.28763459774849326</v>
      </c>
      <c r="BU138" s="92" t="str">
        <f t="shared" si="62"/>
        <v>OK</v>
      </c>
      <c r="BV138" s="139">
        <f t="shared" si="63"/>
        <v>202.24424041275103</v>
      </c>
      <c r="BW138" s="131">
        <f t="shared" si="64"/>
        <v>4.5504954092868983</v>
      </c>
      <c r="BX138" s="139">
        <f t="shared" si="65"/>
        <v>101.12212020637551</v>
      </c>
      <c r="BY138" s="123">
        <f t="shared" si="66"/>
        <v>43.252233593222002</v>
      </c>
      <c r="BZ138" s="141">
        <f t="shared" si="67"/>
        <v>0.21025391330038476</v>
      </c>
      <c r="CA138" s="131">
        <f t="shared" si="68"/>
        <v>4.0048364438168527</v>
      </c>
      <c r="CB138" s="143">
        <f t="shared" si="69"/>
        <v>3.3565439543484163E-2</v>
      </c>
      <c r="CC138" s="123">
        <f t="shared" si="70"/>
        <v>43.804929581358905</v>
      </c>
      <c r="CD138" s="131">
        <f t="shared" si="71"/>
        <v>0.18516576513859445</v>
      </c>
      <c r="CE138" s="135">
        <f t="shared" si="72"/>
        <v>0.21025391330038476</v>
      </c>
      <c r="CF138" s="92" t="str">
        <f t="shared" si="73"/>
        <v>OK</v>
      </c>
      <c r="CG138" s="50"/>
      <c r="DA138" s="111"/>
      <c r="DB138" s="111"/>
      <c r="DC138" s="111"/>
      <c r="DD138" s="116"/>
      <c r="DE138" s="120"/>
      <c r="DF138" s="121"/>
      <c r="DG138" s="121"/>
      <c r="DH138" s="121"/>
      <c r="DI138" s="121"/>
      <c r="DJ138" s="121"/>
      <c r="DK138" s="122"/>
      <c r="DL138" s="123"/>
      <c r="DM138" s="123"/>
      <c r="DN138" s="123"/>
      <c r="DO138" s="123"/>
      <c r="DP138" s="123"/>
      <c r="DQ138" s="111"/>
      <c r="DR138" s="120"/>
      <c r="DS138" s="120"/>
      <c r="DT138" s="120"/>
      <c r="DU138" s="120"/>
      <c r="DV138" s="120"/>
      <c r="DW138" s="120"/>
      <c r="DX138" s="120"/>
      <c r="DY138" s="120"/>
      <c r="DZ138" s="120"/>
      <c r="EA138" s="122"/>
      <c r="EB138" s="122"/>
      <c r="EC138" s="122"/>
      <c r="ED138" s="122"/>
      <c r="EE138" s="122"/>
      <c r="EF138" s="122"/>
      <c r="EG138" s="122"/>
      <c r="EH138" s="122"/>
      <c r="EI138" s="122"/>
      <c r="EJ138" s="122"/>
      <c r="EK138" s="131"/>
      <c r="EL138" s="122"/>
      <c r="EM138" s="276"/>
      <c r="EN138" s="276"/>
      <c r="EO138" s="135"/>
      <c r="EP138" s="136"/>
      <c r="EQ138" s="137"/>
      <c r="ER138" s="276"/>
      <c r="ES138" s="276"/>
      <c r="ET138" s="276"/>
      <c r="EU138" s="276"/>
      <c r="EV138" s="139"/>
      <c r="EW138" s="131"/>
      <c r="EX138" s="139"/>
      <c r="EY138" s="123"/>
      <c r="EZ138" s="141"/>
      <c r="FA138" s="131"/>
      <c r="FB138" s="143"/>
      <c r="FC138" s="123"/>
      <c r="FD138" s="131"/>
      <c r="FE138" s="276"/>
      <c r="FF138" s="276"/>
      <c r="FG138" s="50"/>
    </row>
    <row r="139" spans="27:163">
      <c r="AA139" s="111" t="s">
        <v>245</v>
      </c>
      <c r="AB139" s="111" t="s">
        <v>340</v>
      </c>
      <c r="AC139" s="111">
        <v>102</v>
      </c>
      <c r="AD139" s="116">
        <v>0.3</v>
      </c>
      <c r="AE139" s="120">
        <v>1100</v>
      </c>
      <c r="AF139" s="121">
        <v>350</v>
      </c>
      <c r="AG139" s="121">
        <v>14</v>
      </c>
      <c r="AH139" s="121">
        <v>18.000000000000004</v>
      </c>
      <c r="AI139" s="121">
        <v>1064</v>
      </c>
      <c r="AJ139" s="64" t="str" cm="1">
        <f t="array" ref="AJ139">_xll.Dce_Name_SectI(AE139, AE139, AF139, AG139, AH139, "x", "-", "H Tổng")</f>
        <v>1100x350x14x18</v>
      </c>
      <c r="AK139" s="122">
        <f t="shared" si="40"/>
        <v>1360</v>
      </c>
      <c r="AL139" s="123">
        <f t="shared" si="41"/>
        <v>350</v>
      </c>
      <c r="AM139" s="123">
        <f t="shared" si="42"/>
        <v>25</v>
      </c>
      <c r="AN139" s="123">
        <f t="shared" si="43"/>
        <v>16</v>
      </c>
      <c r="AO139" s="123">
        <f t="shared" si="44"/>
        <v>27</v>
      </c>
      <c r="AP139" s="165" t="str">
        <f t="shared" si="45"/>
        <v>1360x350x25 + 16M27</v>
      </c>
      <c r="AQ139" s="111" t="s">
        <v>317</v>
      </c>
      <c r="AR139" s="120">
        <v>0</v>
      </c>
      <c r="AS139" s="120">
        <v>-264.89790629533377</v>
      </c>
      <c r="AT139" s="120">
        <v>5.6115823099389664E-14</v>
      </c>
      <c r="AU139" s="120">
        <v>1.038082093420589E-3</v>
      </c>
      <c r="AV139" s="120">
        <v>-1.8415630620438603E-14</v>
      </c>
      <c r="AW139" s="120">
        <v>-764.00814169566877</v>
      </c>
      <c r="AX139" s="120"/>
      <c r="AY139" s="120"/>
      <c r="AZ139" s="120"/>
      <c r="BA139" s="122">
        <f t="shared" si="46"/>
        <v>60</v>
      </c>
      <c r="BB139" s="122">
        <f t="shared" si="47"/>
        <v>70</v>
      </c>
      <c r="BC139" s="122">
        <f t="shared" si="48"/>
        <v>80</v>
      </c>
      <c r="BD139" s="122">
        <f t="shared" si="49"/>
        <v>160</v>
      </c>
      <c r="BE139" s="122">
        <f>VLOOKUP(AO139,Data!$V$4:$Z$15,3,FALSE)</f>
        <v>572.55526111673976</v>
      </c>
      <c r="BF139" s="122">
        <f>VLOOKUP(AO139,Data!$V$4:$Z$15,4,FALSE)</f>
        <v>459</v>
      </c>
      <c r="BG139" s="163">
        <f t="shared" si="50"/>
        <v>180</v>
      </c>
      <c r="BH139" s="122">
        <f t="shared" si="51"/>
        <v>153.97156081951366</v>
      </c>
      <c r="BI139" s="122">
        <f t="shared" si="52"/>
        <v>273.375</v>
      </c>
      <c r="BJ139" s="163">
        <f t="shared" si="53"/>
        <v>185.06880000000001</v>
      </c>
      <c r="BK139" s="131">
        <f t="shared" si="54"/>
        <v>16.556119143458361</v>
      </c>
      <c r="BL139" s="134">
        <f t="shared" si="55"/>
        <v>0.85037037037037044</v>
      </c>
      <c r="BM139" s="135">
        <f t="shared" si="56"/>
        <v>0.1264474021511911</v>
      </c>
      <c r="BN139" s="92" t="str">
        <f t="shared" si="57"/>
        <v>OK</v>
      </c>
      <c r="BO139" s="135">
        <f>_xll.DCEBoltDisRS(AN139, AE139, BA139, BB139, BC139, BD139, "h1")</f>
        <v>1240</v>
      </c>
      <c r="BP139" s="136">
        <f>_xll.DCEBoltDisRS(AN139, AE139, BA139, BB139, BC139, BD139, "Tong")</f>
        <v>4523000</v>
      </c>
      <c r="BQ139" s="137">
        <f t="shared" si="58"/>
        <v>104.72806717915425</v>
      </c>
      <c r="BR139" s="135">
        <f t="shared" si="59"/>
        <v>0.56588721156215549</v>
      </c>
      <c r="BS139" s="64" t="str">
        <f t="shared" si="60"/>
        <v>OK</v>
      </c>
      <c r="BT139" s="131">
        <f t="shared" si="61"/>
        <v>0.57601251605173043</v>
      </c>
      <c r="BU139" s="92" t="str">
        <f t="shared" si="62"/>
        <v>OK</v>
      </c>
      <c r="BV139" s="139">
        <f t="shared" si="63"/>
        <v>706.10733982963836</v>
      </c>
      <c r="BW139" s="131">
        <f t="shared" si="64"/>
        <v>15.887415146166862</v>
      </c>
      <c r="BX139" s="139">
        <f t="shared" si="65"/>
        <v>353.05366991481918</v>
      </c>
      <c r="BY139" s="123">
        <f t="shared" si="66"/>
        <v>112.1464598552955</v>
      </c>
      <c r="BZ139" s="141">
        <f t="shared" si="67"/>
        <v>0.54515640207435323</v>
      </c>
      <c r="CA139" s="131">
        <f t="shared" si="68"/>
        <v>10.383931468082917</v>
      </c>
      <c r="CB139" s="143">
        <f t="shared" si="69"/>
        <v>8.7030076959507208E-2</v>
      </c>
      <c r="CC139" s="123">
        <f t="shared" si="70"/>
        <v>113.57951644674726</v>
      </c>
      <c r="CD139" s="131">
        <f t="shared" si="71"/>
        <v>0.4801066516468786</v>
      </c>
      <c r="CE139" s="135">
        <f t="shared" si="72"/>
        <v>0.54515640207435323</v>
      </c>
      <c r="CF139" s="92" t="str">
        <f t="shared" si="73"/>
        <v>OK</v>
      </c>
      <c r="CG139" s="50"/>
      <c r="DA139" s="111"/>
      <c r="DB139" s="111"/>
      <c r="DC139" s="111"/>
      <c r="DD139" s="116"/>
      <c r="DE139" s="120"/>
      <c r="DF139" s="121"/>
      <c r="DG139" s="121"/>
      <c r="DH139" s="121"/>
      <c r="DI139" s="121"/>
      <c r="DJ139" s="121"/>
      <c r="DK139" s="122"/>
      <c r="DL139" s="123"/>
      <c r="DM139" s="123"/>
      <c r="DN139" s="123"/>
      <c r="DO139" s="123"/>
      <c r="DP139" s="123"/>
      <c r="DQ139" s="111"/>
      <c r="DR139" s="120"/>
      <c r="DS139" s="120"/>
      <c r="DT139" s="120"/>
      <c r="DU139" s="120"/>
      <c r="DV139" s="120"/>
      <c r="DW139" s="120"/>
      <c r="DX139" s="120"/>
      <c r="DY139" s="120"/>
      <c r="DZ139" s="120"/>
      <c r="EA139" s="122"/>
      <c r="EB139" s="122"/>
      <c r="EC139" s="122"/>
      <c r="ED139" s="122"/>
      <c r="EE139" s="122"/>
      <c r="EF139" s="122"/>
      <c r="EG139" s="122"/>
      <c r="EH139" s="122"/>
      <c r="EI139" s="122"/>
      <c r="EJ139" s="122"/>
      <c r="EK139" s="131"/>
      <c r="EL139" s="122"/>
      <c r="EM139" s="276"/>
      <c r="EN139" s="276"/>
      <c r="EO139" s="135"/>
      <c r="EP139" s="136"/>
      <c r="EQ139" s="137"/>
      <c r="ER139" s="276"/>
      <c r="ES139" s="276"/>
      <c r="ET139" s="276"/>
      <c r="EU139" s="276"/>
      <c r="EV139" s="139"/>
      <c r="EW139" s="131"/>
      <c r="EX139" s="139"/>
      <c r="EY139" s="123"/>
      <c r="EZ139" s="141"/>
      <c r="FA139" s="131"/>
      <c r="FB139" s="143"/>
      <c r="FC139" s="123"/>
      <c r="FD139" s="131"/>
      <c r="FE139" s="276"/>
      <c r="FF139" s="276"/>
      <c r="FG139" s="50"/>
    </row>
    <row r="140" spans="27:163">
      <c r="AA140" s="111" t="s">
        <v>245</v>
      </c>
      <c r="AB140" s="111" t="s">
        <v>340</v>
      </c>
      <c r="AC140" s="111">
        <v>102</v>
      </c>
      <c r="AD140" s="116">
        <v>3</v>
      </c>
      <c r="AE140" s="120">
        <v>750</v>
      </c>
      <c r="AF140" s="121">
        <v>350</v>
      </c>
      <c r="AG140" s="121">
        <v>14</v>
      </c>
      <c r="AH140" s="121">
        <v>18.000000000000004</v>
      </c>
      <c r="AI140" s="121">
        <v>714</v>
      </c>
      <c r="AJ140" s="64" t="str" cm="1">
        <f t="array" ref="AJ140">_xll.Dce_Name_SectI(AE140, AE140, AF140, AG140, AH140, "x", "-", "H Tổng")</f>
        <v>750x350x14x18</v>
      </c>
      <c r="AK140" s="122">
        <f t="shared" si="40"/>
        <v>1010</v>
      </c>
      <c r="AL140" s="123">
        <f t="shared" si="41"/>
        <v>350</v>
      </c>
      <c r="AM140" s="123">
        <f t="shared" si="42"/>
        <v>25</v>
      </c>
      <c r="AN140" s="123">
        <f t="shared" si="43"/>
        <v>12</v>
      </c>
      <c r="AO140" s="123">
        <f t="shared" si="44"/>
        <v>24</v>
      </c>
      <c r="AP140" s="165" t="str">
        <f t="shared" si="45"/>
        <v>1010x350x25 + 12M24</v>
      </c>
      <c r="AQ140" s="111" t="s">
        <v>317</v>
      </c>
      <c r="AR140" s="120">
        <v>0</v>
      </c>
      <c r="AS140" s="120">
        <v>-186.82612563223714</v>
      </c>
      <c r="AT140" s="120">
        <v>2.6338966563343999E-13</v>
      </c>
      <c r="AU140" s="120">
        <v>1.0382536821595357E-3</v>
      </c>
      <c r="AV140" s="120">
        <v>-1.2243690434843298E-13</v>
      </c>
      <c r="AW140" s="120">
        <v>-136.49749680624106</v>
      </c>
      <c r="AX140" s="120"/>
      <c r="AY140" s="120"/>
      <c r="AZ140" s="120"/>
      <c r="BA140" s="122">
        <f t="shared" si="46"/>
        <v>60</v>
      </c>
      <c r="BB140" s="122">
        <f t="shared" si="47"/>
        <v>70</v>
      </c>
      <c r="BC140" s="122">
        <f t="shared" si="48"/>
        <v>80</v>
      </c>
      <c r="BD140" s="122">
        <f t="shared" si="49"/>
        <v>150</v>
      </c>
      <c r="BE140" s="122">
        <f>VLOOKUP(AO140,Data!$V$4:$Z$15,3,FALSE)</f>
        <v>452.38934211693021</v>
      </c>
      <c r="BF140" s="122">
        <f>VLOOKUP(AO140,Data!$V$4:$Z$15,4,FALSE)</f>
        <v>353</v>
      </c>
      <c r="BG140" s="163">
        <f t="shared" si="50"/>
        <v>180</v>
      </c>
      <c r="BH140" s="122">
        <f t="shared" si="51"/>
        <v>121.65654188208487</v>
      </c>
      <c r="BI140" s="122">
        <f t="shared" si="52"/>
        <v>243</v>
      </c>
      <c r="BJ140" s="163">
        <f t="shared" si="53"/>
        <v>142.3296</v>
      </c>
      <c r="BK140" s="131">
        <f t="shared" si="54"/>
        <v>15.568843802686429</v>
      </c>
      <c r="BL140" s="134">
        <f t="shared" si="55"/>
        <v>0.89458333333333329</v>
      </c>
      <c r="BM140" s="135">
        <f t="shared" si="56"/>
        <v>0.14305402819759239</v>
      </c>
      <c r="BN140" s="92" t="str">
        <f t="shared" si="57"/>
        <v>OK</v>
      </c>
      <c r="BO140" s="135">
        <f>_xll.DCEBoltDisRS(AN140, AE140, BA140, BB140, BC140, BD140, "h1")</f>
        <v>890</v>
      </c>
      <c r="BP140" s="136">
        <f>_xll.DCEBoltDisRS(AN140, AE140, BA140, BB140, BC140, BD140, "Tong")</f>
        <v>1800300</v>
      </c>
      <c r="BQ140" s="137">
        <f t="shared" si="58"/>
        <v>33.73959122300576</v>
      </c>
      <c r="BR140" s="135">
        <f t="shared" si="59"/>
        <v>0.23705252612953145</v>
      </c>
      <c r="BS140" s="64" t="str">
        <f t="shared" si="60"/>
        <v>OK</v>
      </c>
      <c r="BT140" s="131">
        <f t="shared" si="61"/>
        <v>0.26939038712949265</v>
      </c>
      <c r="BU140" s="92" t="str">
        <f t="shared" si="62"/>
        <v>OK</v>
      </c>
      <c r="BV140" s="139">
        <f t="shared" si="63"/>
        <v>186.47199017246047</v>
      </c>
      <c r="BW140" s="131">
        <f t="shared" si="64"/>
        <v>4.19561977888036</v>
      </c>
      <c r="BX140" s="139">
        <f t="shared" si="65"/>
        <v>93.235995086230233</v>
      </c>
      <c r="BY140" s="123">
        <f t="shared" si="66"/>
        <v>39.879158294308375</v>
      </c>
      <c r="BZ140" s="141">
        <f t="shared" si="67"/>
        <v>0.19385701948622128</v>
      </c>
      <c r="CA140" s="131">
        <f t="shared" si="68"/>
        <v>3.6925146568804053</v>
      </c>
      <c r="CB140" s="143">
        <f t="shared" si="69"/>
        <v>3.0947800045693055E-2</v>
      </c>
      <c r="CC140" s="123">
        <f t="shared" si="70"/>
        <v>40.388751648650079</v>
      </c>
      <c r="CD140" s="131">
        <f t="shared" si="71"/>
        <v>0.17072539948100882</v>
      </c>
      <c r="CE140" s="135">
        <f t="shared" si="72"/>
        <v>0.19385701948622128</v>
      </c>
      <c r="CF140" s="92" t="str">
        <f t="shared" si="73"/>
        <v>OK</v>
      </c>
      <c r="CG140" s="50"/>
      <c r="DA140" s="111"/>
      <c r="DB140" s="111"/>
      <c r="DC140" s="111"/>
      <c r="DD140" s="116"/>
      <c r="DE140" s="120"/>
      <c r="DF140" s="121"/>
      <c r="DG140" s="121"/>
      <c r="DH140" s="121"/>
      <c r="DI140" s="121"/>
      <c r="DJ140" s="121"/>
      <c r="DK140" s="122"/>
      <c r="DL140" s="123"/>
      <c r="DM140" s="123"/>
      <c r="DN140" s="123"/>
      <c r="DO140" s="123"/>
      <c r="DP140" s="123"/>
      <c r="DQ140" s="111"/>
      <c r="DR140" s="120"/>
      <c r="DS140" s="120"/>
      <c r="DT140" s="120"/>
      <c r="DU140" s="120"/>
      <c r="DV140" s="120"/>
      <c r="DW140" s="120"/>
      <c r="DX140" s="120"/>
      <c r="DY140" s="120"/>
      <c r="DZ140" s="120"/>
      <c r="EA140" s="122"/>
      <c r="EB140" s="122"/>
      <c r="EC140" s="122"/>
      <c r="ED140" s="122"/>
      <c r="EE140" s="122"/>
      <c r="EF140" s="122"/>
      <c r="EG140" s="122"/>
      <c r="EH140" s="122"/>
      <c r="EI140" s="122"/>
      <c r="EJ140" s="122"/>
      <c r="EK140" s="131"/>
      <c r="EL140" s="122"/>
      <c r="EM140" s="276"/>
      <c r="EN140" s="276"/>
      <c r="EO140" s="135"/>
      <c r="EP140" s="136"/>
      <c r="EQ140" s="137"/>
      <c r="ER140" s="276"/>
      <c r="ES140" s="276"/>
      <c r="ET140" s="276"/>
      <c r="EU140" s="276"/>
      <c r="EV140" s="139"/>
      <c r="EW140" s="131"/>
      <c r="EX140" s="139"/>
      <c r="EY140" s="123"/>
      <c r="EZ140" s="141"/>
      <c r="FA140" s="131"/>
      <c r="FB140" s="143"/>
      <c r="FC140" s="123"/>
      <c r="FD140" s="131"/>
      <c r="FE140" s="276"/>
      <c r="FF140" s="276"/>
      <c r="FG140" s="50"/>
    </row>
    <row r="141" spans="27:163">
      <c r="AA141" s="111" t="s">
        <v>245</v>
      </c>
      <c r="AB141" s="111" t="s">
        <v>340</v>
      </c>
      <c r="AC141" s="111">
        <v>102</v>
      </c>
      <c r="AD141" s="116">
        <v>0.3</v>
      </c>
      <c r="AE141" s="120">
        <v>1100</v>
      </c>
      <c r="AF141" s="121">
        <v>350</v>
      </c>
      <c r="AG141" s="121">
        <v>14</v>
      </c>
      <c r="AH141" s="121">
        <v>18.000000000000004</v>
      </c>
      <c r="AI141" s="121">
        <v>1064</v>
      </c>
      <c r="AJ141" s="64" t="str" cm="1">
        <f t="array" ref="AJ141">_xll.Dce_Name_SectI(AE141, AE141, AF141, AG141, AH141, "x", "-", "H Tổng")</f>
        <v>1100x350x14x18</v>
      </c>
      <c r="AK141" s="122">
        <f t="shared" si="40"/>
        <v>1360</v>
      </c>
      <c r="AL141" s="123">
        <f t="shared" si="41"/>
        <v>350</v>
      </c>
      <c r="AM141" s="123">
        <f t="shared" si="42"/>
        <v>25</v>
      </c>
      <c r="AN141" s="123">
        <f t="shared" si="43"/>
        <v>16</v>
      </c>
      <c r="AO141" s="123">
        <f t="shared" si="44"/>
        <v>27</v>
      </c>
      <c r="AP141" s="165" t="str">
        <f t="shared" si="45"/>
        <v>1360x350x25 + 16M27</v>
      </c>
      <c r="AQ141" s="111" t="s">
        <v>318</v>
      </c>
      <c r="AR141" s="120">
        <v>0</v>
      </c>
      <c r="AS141" s="120">
        <v>-262.81464214269289</v>
      </c>
      <c r="AT141" s="120">
        <v>2.7011992642655963E-14</v>
      </c>
      <c r="AU141" s="120">
        <v>3.6226999816464254E-4</v>
      </c>
      <c r="AV141" s="120">
        <v>4.9629124987404781E-14</v>
      </c>
      <c r="AW141" s="120">
        <v>-751.8838325905441</v>
      </c>
      <c r="AX141" s="120"/>
      <c r="AY141" s="120"/>
      <c r="AZ141" s="120"/>
      <c r="BA141" s="122">
        <f t="shared" si="46"/>
        <v>60</v>
      </c>
      <c r="BB141" s="122">
        <f t="shared" si="47"/>
        <v>70</v>
      </c>
      <c r="BC141" s="122">
        <f t="shared" si="48"/>
        <v>80</v>
      </c>
      <c r="BD141" s="122">
        <f t="shared" si="49"/>
        <v>160</v>
      </c>
      <c r="BE141" s="122">
        <f>VLOOKUP(AO141,Data!$V$4:$Z$15,3,FALSE)</f>
        <v>572.55526111673976</v>
      </c>
      <c r="BF141" s="122">
        <f>VLOOKUP(AO141,Data!$V$4:$Z$15,4,FALSE)</f>
        <v>459</v>
      </c>
      <c r="BG141" s="163">
        <f t="shared" si="50"/>
        <v>180</v>
      </c>
      <c r="BH141" s="122">
        <f t="shared" si="51"/>
        <v>153.97156081951366</v>
      </c>
      <c r="BI141" s="122">
        <f t="shared" si="52"/>
        <v>273.375</v>
      </c>
      <c r="BJ141" s="163">
        <f t="shared" si="53"/>
        <v>185.06880000000001</v>
      </c>
      <c r="BK141" s="131">
        <f t="shared" si="54"/>
        <v>16.425915133918306</v>
      </c>
      <c r="BL141" s="134">
        <f t="shared" si="55"/>
        <v>0.85037037037037044</v>
      </c>
      <c r="BM141" s="135">
        <f t="shared" si="56"/>
        <v>0.12545296869650591</v>
      </c>
      <c r="BN141" s="92" t="str">
        <f t="shared" si="57"/>
        <v>OK</v>
      </c>
      <c r="BO141" s="135">
        <f>_xll.DCEBoltDisRS(AN141, AE141, BA141, BB141, BC141, BD141, "h1")</f>
        <v>1240</v>
      </c>
      <c r="BP141" s="136">
        <f>_xll.DCEBoltDisRS(AN141, AE141, BA141, BB141, BC141, BD141, "Tong")</f>
        <v>4523000</v>
      </c>
      <c r="BQ141" s="137">
        <f t="shared" si="58"/>
        <v>103.06610130580087</v>
      </c>
      <c r="BR141" s="135">
        <f t="shared" si="59"/>
        <v>0.55690695193247519</v>
      </c>
      <c r="BS141" s="64" t="str">
        <f t="shared" si="60"/>
        <v>OK</v>
      </c>
      <c r="BT141" s="131">
        <f t="shared" si="61"/>
        <v>0.56703288518059247</v>
      </c>
      <c r="BU141" s="92" t="str">
        <f t="shared" si="62"/>
        <v>OK</v>
      </c>
      <c r="BV141" s="139">
        <f t="shared" si="63"/>
        <v>694.90187854948624</v>
      </c>
      <c r="BW141" s="131">
        <f t="shared" si="64"/>
        <v>15.63529226736344</v>
      </c>
      <c r="BX141" s="139">
        <f t="shared" si="65"/>
        <v>347.45093927474312</v>
      </c>
      <c r="BY141" s="123">
        <f t="shared" si="66"/>
        <v>110.36676894609487</v>
      </c>
      <c r="BZ141" s="141">
        <f t="shared" si="67"/>
        <v>0.53650512682129459</v>
      </c>
      <c r="CA141" s="131">
        <f t="shared" si="68"/>
        <v>10.219145272786562</v>
      </c>
      <c r="CB141" s="143">
        <f t="shared" si="69"/>
        <v>8.5648966606209229E-2</v>
      </c>
      <c r="CC141" s="123">
        <f t="shared" si="70"/>
        <v>111.77708386748886</v>
      </c>
      <c r="CD141" s="131">
        <f t="shared" si="71"/>
        <v>0.47248767335291192</v>
      </c>
      <c r="CE141" s="135">
        <f t="shared" si="72"/>
        <v>0.53650512682129459</v>
      </c>
      <c r="CF141" s="92" t="str">
        <f t="shared" si="73"/>
        <v>OK</v>
      </c>
      <c r="CG141" s="50"/>
      <c r="DA141" s="111"/>
      <c r="DB141" s="111"/>
      <c r="DC141" s="111"/>
      <c r="DD141" s="116"/>
      <c r="DE141" s="120"/>
      <c r="DF141" s="121"/>
      <c r="DG141" s="121"/>
      <c r="DH141" s="121"/>
      <c r="DI141" s="121"/>
      <c r="DJ141" s="121"/>
      <c r="DK141" s="122"/>
      <c r="DL141" s="123"/>
      <c r="DM141" s="123"/>
      <c r="DN141" s="123"/>
      <c r="DO141" s="123"/>
      <c r="DP141" s="123"/>
      <c r="DQ141" s="111"/>
      <c r="DR141" s="120"/>
      <c r="DS141" s="120"/>
      <c r="DT141" s="120"/>
      <c r="DU141" s="120"/>
      <c r="DV141" s="120"/>
      <c r="DW141" s="120"/>
      <c r="DX141" s="120"/>
      <c r="DY141" s="120"/>
      <c r="DZ141" s="120"/>
      <c r="EA141" s="122"/>
      <c r="EB141" s="122"/>
      <c r="EC141" s="122"/>
      <c r="ED141" s="122"/>
      <c r="EE141" s="122"/>
      <c r="EF141" s="122"/>
      <c r="EG141" s="122"/>
      <c r="EH141" s="122"/>
      <c r="EI141" s="122"/>
      <c r="EJ141" s="122"/>
      <c r="EK141" s="131"/>
      <c r="EL141" s="122"/>
      <c r="EM141" s="276"/>
      <c r="EN141" s="276"/>
      <c r="EO141" s="135"/>
      <c r="EP141" s="136"/>
      <c r="EQ141" s="137"/>
      <c r="ER141" s="276"/>
      <c r="ES141" s="276"/>
      <c r="ET141" s="276"/>
      <c r="EU141" s="276"/>
      <c r="EV141" s="139"/>
      <c r="EW141" s="131"/>
      <c r="EX141" s="139"/>
      <c r="EY141" s="123"/>
      <c r="EZ141" s="141"/>
      <c r="FA141" s="131"/>
      <c r="FB141" s="143"/>
      <c r="FC141" s="123"/>
      <c r="FD141" s="131"/>
      <c r="FE141" s="276"/>
      <c r="FF141" s="276"/>
      <c r="FG141" s="50"/>
    </row>
    <row r="142" spans="27:163">
      <c r="AA142" s="111" t="s">
        <v>245</v>
      </c>
      <c r="AB142" s="111" t="s">
        <v>340</v>
      </c>
      <c r="AC142" s="111">
        <v>102</v>
      </c>
      <c r="AD142" s="116">
        <v>3</v>
      </c>
      <c r="AE142" s="120">
        <v>750</v>
      </c>
      <c r="AF142" s="121">
        <v>350</v>
      </c>
      <c r="AG142" s="121">
        <v>14</v>
      </c>
      <c r="AH142" s="121">
        <v>18.000000000000004</v>
      </c>
      <c r="AI142" s="121">
        <v>714</v>
      </c>
      <c r="AJ142" s="64" t="str" cm="1">
        <f t="array" ref="AJ142">_xll.Dce_Name_SectI(AE142, AE142, AF142, AG142, AH142, "x", "-", "H Tổng")</f>
        <v>750x350x14x18</v>
      </c>
      <c r="AK142" s="122">
        <f t="shared" si="40"/>
        <v>1010</v>
      </c>
      <c r="AL142" s="123">
        <f t="shared" si="41"/>
        <v>350</v>
      </c>
      <c r="AM142" s="123">
        <f t="shared" si="42"/>
        <v>25</v>
      </c>
      <c r="AN142" s="123">
        <f t="shared" si="43"/>
        <v>12</v>
      </c>
      <c r="AO142" s="123">
        <f t="shared" si="44"/>
        <v>24</v>
      </c>
      <c r="AP142" s="165" t="str">
        <f t="shared" si="45"/>
        <v>1010x350x25 + 12M24</v>
      </c>
      <c r="AQ142" s="111" t="s">
        <v>318</v>
      </c>
      <c r="AR142" s="120">
        <v>0</v>
      </c>
      <c r="AS142" s="120">
        <v>-184.74286216842293</v>
      </c>
      <c r="AT142" s="120">
        <v>3.0559021979570381E-14</v>
      </c>
      <c r="AU142" s="120">
        <v>3.6233005082414742E-4</v>
      </c>
      <c r="AV142" s="120">
        <v>1.2139207683503625E-14</v>
      </c>
      <c r="AW142" s="120">
        <v>-129.99803113278875</v>
      </c>
      <c r="AX142" s="120"/>
      <c r="AY142" s="120"/>
      <c r="AZ142" s="120"/>
      <c r="BA142" s="122">
        <f t="shared" si="46"/>
        <v>60</v>
      </c>
      <c r="BB142" s="122">
        <f t="shared" si="47"/>
        <v>70</v>
      </c>
      <c r="BC142" s="122">
        <f t="shared" si="48"/>
        <v>80</v>
      </c>
      <c r="BD142" s="122">
        <f t="shared" si="49"/>
        <v>150</v>
      </c>
      <c r="BE142" s="122">
        <f>VLOOKUP(AO142,Data!$V$4:$Z$15,3,FALSE)</f>
        <v>452.38934211693021</v>
      </c>
      <c r="BF142" s="122">
        <f>VLOOKUP(AO142,Data!$V$4:$Z$15,4,FALSE)</f>
        <v>353</v>
      </c>
      <c r="BG142" s="163">
        <f t="shared" si="50"/>
        <v>180</v>
      </c>
      <c r="BH142" s="122">
        <f t="shared" si="51"/>
        <v>121.65654188208487</v>
      </c>
      <c r="BI142" s="122">
        <f t="shared" si="52"/>
        <v>243</v>
      </c>
      <c r="BJ142" s="163">
        <f t="shared" si="53"/>
        <v>142.3296</v>
      </c>
      <c r="BK142" s="131">
        <f t="shared" si="54"/>
        <v>15.395238514035244</v>
      </c>
      <c r="BL142" s="134">
        <f t="shared" si="55"/>
        <v>0.89458333333333329</v>
      </c>
      <c r="BM142" s="135">
        <f t="shared" si="56"/>
        <v>0.14145885927093949</v>
      </c>
      <c r="BN142" s="92" t="str">
        <f t="shared" si="57"/>
        <v>OK</v>
      </c>
      <c r="BO142" s="135">
        <f>_xll.DCEBoltDisRS(AN142, AE142, BA142, BB142, BC142, BD142, "h1")</f>
        <v>890</v>
      </c>
      <c r="BP142" s="136">
        <f>_xll.DCEBoltDisRS(AN142, AE142, BA142, BB142, BC142, BD142, "Tong")</f>
        <v>1800300</v>
      </c>
      <c r="BQ142" s="137">
        <f t="shared" si="58"/>
        <v>32.133046633389426</v>
      </c>
      <c r="BR142" s="135">
        <f t="shared" si="59"/>
        <v>0.22576503154220504</v>
      </c>
      <c r="BS142" s="64" t="str">
        <f t="shared" si="60"/>
        <v>OK</v>
      </c>
      <c r="BT142" s="131">
        <f t="shared" si="61"/>
        <v>0.25881253124468373</v>
      </c>
      <c r="BU142" s="92" t="str">
        <f t="shared" si="62"/>
        <v>OK</v>
      </c>
      <c r="BV142" s="139">
        <f t="shared" si="63"/>
        <v>177.59293870599558</v>
      </c>
      <c r="BW142" s="131">
        <f t="shared" si="64"/>
        <v>3.9958411208849003</v>
      </c>
      <c r="BX142" s="139">
        <f t="shared" si="65"/>
        <v>88.796469352997789</v>
      </c>
      <c r="BY142" s="123">
        <f t="shared" si="66"/>
        <v>37.9802720400941</v>
      </c>
      <c r="BZ142" s="141">
        <f t="shared" si="67"/>
        <v>0.18462632241712412</v>
      </c>
      <c r="CA142" s="131">
        <f t="shared" si="68"/>
        <v>3.516691855564269</v>
      </c>
      <c r="CB142" s="143">
        <f t="shared" si="69"/>
        <v>2.9474189402478312E-2</v>
      </c>
      <c r="CC142" s="123">
        <f t="shared" si="70"/>
        <v>38.465600594044155</v>
      </c>
      <c r="CD142" s="131">
        <f t="shared" si="71"/>
        <v>0.16259613777675672</v>
      </c>
      <c r="CE142" s="135">
        <f t="shared" si="72"/>
        <v>0.18462632241712412</v>
      </c>
      <c r="CF142" s="92" t="str">
        <f t="shared" si="73"/>
        <v>OK</v>
      </c>
      <c r="CG142" s="50"/>
      <c r="DA142" s="111"/>
      <c r="DB142" s="111"/>
      <c r="DC142" s="111"/>
      <c r="DD142" s="116"/>
      <c r="DE142" s="120"/>
      <c r="DF142" s="121"/>
      <c r="DG142" s="121"/>
      <c r="DH142" s="121"/>
      <c r="DI142" s="121"/>
      <c r="DJ142" s="121"/>
      <c r="DK142" s="122"/>
      <c r="DL142" s="123"/>
      <c r="DM142" s="123"/>
      <c r="DN142" s="123"/>
      <c r="DO142" s="123"/>
      <c r="DP142" s="123"/>
      <c r="DQ142" s="111"/>
      <c r="DR142" s="120"/>
      <c r="DS142" s="120"/>
      <c r="DT142" s="120"/>
      <c r="DU142" s="120"/>
      <c r="DV142" s="120"/>
      <c r="DW142" s="120"/>
      <c r="DX142" s="120"/>
      <c r="DY142" s="120"/>
      <c r="DZ142" s="120"/>
      <c r="EA142" s="122"/>
      <c r="EB142" s="122"/>
      <c r="EC142" s="122"/>
      <c r="ED142" s="122"/>
      <c r="EE142" s="122"/>
      <c r="EF142" s="122"/>
      <c r="EG142" s="122"/>
      <c r="EH142" s="122"/>
      <c r="EI142" s="122"/>
      <c r="EJ142" s="122"/>
      <c r="EK142" s="131"/>
      <c r="EL142" s="122"/>
      <c r="EM142" s="276"/>
      <c r="EN142" s="276"/>
      <c r="EO142" s="135"/>
      <c r="EP142" s="136"/>
      <c r="EQ142" s="137"/>
      <c r="ER142" s="276"/>
      <c r="ES142" s="276"/>
      <c r="ET142" s="276"/>
      <c r="EU142" s="276"/>
      <c r="EV142" s="139"/>
      <c r="EW142" s="131"/>
      <c r="EX142" s="139"/>
      <c r="EY142" s="123"/>
      <c r="EZ142" s="141"/>
      <c r="FA142" s="131"/>
      <c r="FB142" s="143"/>
      <c r="FC142" s="123"/>
      <c r="FD142" s="131"/>
      <c r="FE142" s="276"/>
      <c r="FF142" s="276"/>
      <c r="FG142" s="50"/>
    </row>
    <row r="143" spans="27:163">
      <c r="AA143" s="111" t="s">
        <v>245</v>
      </c>
      <c r="AB143" s="111" t="s">
        <v>340</v>
      </c>
      <c r="AC143" s="111">
        <v>102</v>
      </c>
      <c r="AD143" s="116">
        <v>0.3</v>
      </c>
      <c r="AE143" s="120">
        <v>1100</v>
      </c>
      <c r="AF143" s="121">
        <v>350</v>
      </c>
      <c r="AG143" s="121">
        <v>14</v>
      </c>
      <c r="AH143" s="121">
        <v>18.000000000000004</v>
      </c>
      <c r="AI143" s="121">
        <v>1064</v>
      </c>
      <c r="AJ143" s="64" t="str" cm="1">
        <f t="array" ref="AJ143">_xll.Dce_Name_SectI(AE143, AE143, AF143, AG143, AH143, "x", "-", "H Tổng")</f>
        <v>1100x350x14x18</v>
      </c>
      <c r="AK143" s="122">
        <f t="shared" si="40"/>
        <v>1360</v>
      </c>
      <c r="AL143" s="123">
        <f t="shared" si="41"/>
        <v>350</v>
      </c>
      <c r="AM143" s="123">
        <f t="shared" si="42"/>
        <v>25</v>
      </c>
      <c r="AN143" s="123">
        <f t="shared" si="43"/>
        <v>16</v>
      </c>
      <c r="AO143" s="123">
        <f t="shared" si="44"/>
        <v>27</v>
      </c>
      <c r="AP143" s="165" t="str">
        <f t="shared" si="45"/>
        <v>1360x350x25 + 16M27</v>
      </c>
      <c r="AQ143" s="111" t="s">
        <v>319</v>
      </c>
      <c r="AR143" s="120">
        <v>0</v>
      </c>
      <c r="AS143" s="120">
        <v>-261.39916004289063</v>
      </c>
      <c r="AT143" s="120">
        <v>1.2460077414289114E-14</v>
      </c>
      <c r="AU143" s="120">
        <v>5.7733223725809745E-4</v>
      </c>
      <c r="AV143" s="120">
        <v>9.1456968220882088E-15</v>
      </c>
      <c r="AW143" s="120">
        <v>-736.68181037224247</v>
      </c>
      <c r="AX143" s="120"/>
      <c r="AY143" s="120"/>
      <c r="AZ143" s="120"/>
      <c r="BA143" s="122">
        <f t="shared" si="46"/>
        <v>60</v>
      </c>
      <c r="BB143" s="122">
        <f t="shared" si="47"/>
        <v>70</v>
      </c>
      <c r="BC143" s="122">
        <f t="shared" si="48"/>
        <v>80</v>
      </c>
      <c r="BD143" s="122">
        <f t="shared" si="49"/>
        <v>160</v>
      </c>
      <c r="BE143" s="122">
        <f>VLOOKUP(AO143,Data!$V$4:$Z$15,3,FALSE)</f>
        <v>572.55526111673976</v>
      </c>
      <c r="BF143" s="122">
        <f>VLOOKUP(AO143,Data!$V$4:$Z$15,4,FALSE)</f>
        <v>459</v>
      </c>
      <c r="BG143" s="163">
        <f t="shared" si="50"/>
        <v>180</v>
      </c>
      <c r="BH143" s="122">
        <f t="shared" si="51"/>
        <v>153.97156081951366</v>
      </c>
      <c r="BI143" s="122">
        <f t="shared" si="52"/>
        <v>273.375</v>
      </c>
      <c r="BJ143" s="163">
        <f t="shared" si="53"/>
        <v>185.06880000000001</v>
      </c>
      <c r="BK143" s="131">
        <f t="shared" si="54"/>
        <v>16.337447502680664</v>
      </c>
      <c r="BL143" s="134">
        <f t="shared" si="55"/>
        <v>0.85037037037037044</v>
      </c>
      <c r="BM143" s="135">
        <f t="shared" si="56"/>
        <v>0.12477729693746997</v>
      </c>
      <c r="BN143" s="92" t="str">
        <f t="shared" si="57"/>
        <v>OK</v>
      </c>
      <c r="BO143" s="135">
        <f>_xll.DCEBoltDisRS(AN143, AE143, BA143, BB143, BC143, BD143, "h1")</f>
        <v>1240</v>
      </c>
      <c r="BP143" s="136">
        <f>_xll.DCEBoltDisRS(AN143, AE143, BA143, BB143, BC143, BD143, "Tong")</f>
        <v>4523000</v>
      </c>
      <c r="BQ143" s="137">
        <f t="shared" si="58"/>
        <v>100.9822512559784</v>
      </c>
      <c r="BR143" s="135">
        <f t="shared" si="59"/>
        <v>0.54564708506230331</v>
      </c>
      <c r="BS143" s="64" t="str">
        <f t="shared" si="60"/>
        <v>OK</v>
      </c>
      <c r="BT143" s="131">
        <f t="shared" si="61"/>
        <v>0.55586816701867081</v>
      </c>
      <c r="BU143" s="92" t="str">
        <f t="shared" si="62"/>
        <v>OK</v>
      </c>
      <c r="BV143" s="139">
        <f t="shared" si="63"/>
        <v>680.85195043645319</v>
      </c>
      <c r="BW143" s="131">
        <f t="shared" si="64"/>
        <v>15.319168884820197</v>
      </c>
      <c r="BX143" s="139">
        <f t="shared" si="65"/>
        <v>340.4259752182266</v>
      </c>
      <c r="BY143" s="123">
        <f t="shared" si="66"/>
        <v>108.13530977520138</v>
      </c>
      <c r="BZ143" s="141">
        <f t="shared" si="67"/>
        <v>0.5256577558516734</v>
      </c>
      <c r="CA143" s="131">
        <f t="shared" si="68"/>
        <v>10.012528682889018</v>
      </c>
      <c r="CB143" s="143">
        <f t="shared" si="69"/>
        <v>8.3917266259845705E-2</v>
      </c>
      <c r="CC143" s="123">
        <f t="shared" si="70"/>
        <v>109.51711013378589</v>
      </c>
      <c r="CD143" s="131">
        <f t="shared" si="71"/>
        <v>0.46293464428532693</v>
      </c>
      <c r="CE143" s="135">
        <f t="shared" si="72"/>
        <v>0.5256577558516734</v>
      </c>
      <c r="CF143" s="92" t="str">
        <f t="shared" si="73"/>
        <v>OK</v>
      </c>
      <c r="CG143" s="50"/>
      <c r="DA143" s="111"/>
      <c r="DB143" s="111"/>
      <c r="DC143" s="111"/>
      <c r="DD143" s="116"/>
      <c r="DE143" s="120"/>
      <c r="DF143" s="121"/>
      <c r="DG143" s="121"/>
      <c r="DH143" s="121"/>
      <c r="DI143" s="121"/>
      <c r="DJ143" s="121"/>
      <c r="DK143" s="122"/>
      <c r="DL143" s="123"/>
      <c r="DM143" s="123"/>
      <c r="DN143" s="123"/>
      <c r="DO143" s="123"/>
      <c r="DP143" s="123"/>
      <c r="DQ143" s="111"/>
      <c r="DR143" s="120"/>
      <c r="DS143" s="120"/>
      <c r="DT143" s="120"/>
      <c r="DU143" s="120"/>
      <c r="DV143" s="120"/>
      <c r="DW143" s="120"/>
      <c r="DX143" s="120"/>
      <c r="DY143" s="120"/>
      <c r="DZ143" s="120"/>
      <c r="EA143" s="122"/>
      <c r="EB143" s="122"/>
      <c r="EC143" s="122"/>
      <c r="ED143" s="122"/>
      <c r="EE143" s="122"/>
      <c r="EF143" s="122"/>
      <c r="EG143" s="122"/>
      <c r="EH143" s="122"/>
      <c r="EI143" s="122"/>
      <c r="EJ143" s="122"/>
      <c r="EK143" s="131"/>
      <c r="EL143" s="122"/>
      <c r="EM143" s="276"/>
      <c r="EN143" s="276"/>
      <c r="EO143" s="135"/>
      <c r="EP143" s="136"/>
      <c r="EQ143" s="137"/>
      <c r="ER143" s="276"/>
      <c r="ES143" s="276"/>
      <c r="ET143" s="276"/>
      <c r="EU143" s="276"/>
      <c r="EV143" s="139"/>
      <c r="EW143" s="131"/>
      <c r="EX143" s="139"/>
      <c r="EY143" s="123"/>
      <c r="EZ143" s="141"/>
      <c r="FA143" s="131"/>
      <c r="FB143" s="143"/>
      <c r="FC143" s="123"/>
      <c r="FD143" s="131"/>
      <c r="FE143" s="276"/>
      <c r="FF143" s="276"/>
      <c r="FG143" s="50"/>
    </row>
    <row r="144" spans="27:163">
      <c r="AA144" s="111" t="s">
        <v>245</v>
      </c>
      <c r="AB144" s="111" t="s">
        <v>340</v>
      </c>
      <c r="AC144" s="111">
        <v>102</v>
      </c>
      <c r="AD144" s="116">
        <v>3</v>
      </c>
      <c r="AE144" s="120">
        <v>750</v>
      </c>
      <c r="AF144" s="121">
        <v>350</v>
      </c>
      <c r="AG144" s="121">
        <v>14</v>
      </c>
      <c r="AH144" s="121">
        <v>18.000000000000004</v>
      </c>
      <c r="AI144" s="121">
        <v>714</v>
      </c>
      <c r="AJ144" s="64" t="str" cm="1">
        <f t="array" ref="AJ144">_xll.Dce_Name_SectI(AE144, AE144, AF144, AG144, AH144, "x", "-", "H Tổng")</f>
        <v>750x350x14x18</v>
      </c>
      <c r="AK144" s="122">
        <f t="shared" si="40"/>
        <v>1010</v>
      </c>
      <c r="AL144" s="123">
        <f t="shared" si="41"/>
        <v>350</v>
      </c>
      <c r="AM144" s="123">
        <f t="shared" si="42"/>
        <v>25</v>
      </c>
      <c r="AN144" s="123">
        <f t="shared" si="43"/>
        <v>12</v>
      </c>
      <c r="AO144" s="123">
        <f t="shared" si="44"/>
        <v>24</v>
      </c>
      <c r="AP144" s="165" t="str">
        <f t="shared" si="45"/>
        <v>1010x350x25 + 12M24</v>
      </c>
      <c r="AQ144" s="111" t="s">
        <v>319</v>
      </c>
      <c r="AR144" s="120">
        <v>0</v>
      </c>
      <c r="AS144" s="120">
        <v>-183.3273806367128</v>
      </c>
      <c r="AT144" s="120">
        <v>3.0559021979570381E-14</v>
      </c>
      <c r="AU144" s="120">
        <v>5.774277624938964E-4</v>
      </c>
      <c r="AV144" s="120">
        <v>1.2139207683503625E-14</v>
      </c>
      <c r="AW144" s="120">
        <v>-118.61784375538818</v>
      </c>
      <c r="AX144" s="120"/>
      <c r="AY144" s="120"/>
      <c r="AZ144" s="120"/>
      <c r="BA144" s="122">
        <f t="shared" si="46"/>
        <v>60</v>
      </c>
      <c r="BB144" s="122">
        <f t="shared" si="47"/>
        <v>70</v>
      </c>
      <c r="BC144" s="122">
        <f t="shared" si="48"/>
        <v>80</v>
      </c>
      <c r="BD144" s="122">
        <f t="shared" si="49"/>
        <v>150</v>
      </c>
      <c r="BE144" s="122">
        <f>VLOOKUP(AO144,Data!$V$4:$Z$15,3,FALSE)</f>
        <v>452.38934211693021</v>
      </c>
      <c r="BF144" s="122">
        <f>VLOOKUP(AO144,Data!$V$4:$Z$15,4,FALSE)</f>
        <v>353</v>
      </c>
      <c r="BG144" s="163">
        <f t="shared" si="50"/>
        <v>180</v>
      </c>
      <c r="BH144" s="122">
        <f t="shared" si="51"/>
        <v>121.65654188208487</v>
      </c>
      <c r="BI144" s="122">
        <f t="shared" si="52"/>
        <v>243</v>
      </c>
      <c r="BJ144" s="163">
        <f t="shared" si="53"/>
        <v>142.3296</v>
      </c>
      <c r="BK144" s="131">
        <f t="shared" si="54"/>
        <v>15.277281719726068</v>
      </c>
      <c r="BL144" s="134">
        <f t="shared" si="55"/>
        <v>0.89458333333333329</v>
      </c>
      <c r="BM144" s="135">
        <f t="shared" si="56"/>
        <v>0.14037501548696557</v>
      </c>
      <c r="BN144" s="92" t="str">
        <f t="shared" si="57"/>
        <v>OK</v>
      </c>
      <c r="BO144" s="135">
        <f>_xll.DCEBoltDisRS(AN144, AE144, BA144, BB144, BC144, BD144, "h1")</f>
        <v>890</v>
      </c>
      <c r="BP144" s="136">
        <f>_xll.DCEBoltDisRS(AN144, AE144, BA144, BB144, BC144, BD144, "Tong")</f>
        <v>1800300</v>
      </c>
      <c r="BQ144" s="137">
        <f t="shared" si="58"/>
        <v>29.320080248374015</v>
      </c>
      <c r="BR144" s="135">
        <f t="shared" si="59"/>
        <v>0.20600128327750528</v>
      </c>
      <c r="BS144" s="64" t="str">
        <f t="shared" si="60"/>
        <v>OK</v>
      </c>
      <c r="BT144" s="131">
        <f t="shared" si="61"/>
        <v>0.24125950578375566</v>
      </c>
      <c r="BU144" s="92" t="str">
        <f t="shared" si="62"/>
        <v>OK</v>
      </c>
      <c r="BV144" s="139">
        <f t="shared" si="63"/>
        <v>162.04623463850845</v>
      </c>
      <c r="BW144" s="131">
        <f t="shared" si="64"/>
        <v>3.6460402793664399</v>
      </c>
      <c r="BX144" s="139">
        <f t="shared" si="65"/>
        <v>81.023117319254226</v>
      </c>
      <c r="BY144" s="123">
        <f t="shared" si="66"/>
        <v>34.65543235833448</v>
      </c>
      <c r="BZ144" s="141">
        <f t="shared" si="67"/>
        <v>0.1684639072974593</v>
      </c>
      <c r="CA144" s="131">
        <f t="shared" si="68"/>
        <v>3.2088363294754148</v>
      </c>
      <c r="CB144" s="143">
        <f t="shared" si="69"/>
        <v>2.6893982646465402E-2</v>
      </c>
      <c r="CC144" s="123">
        <f t="shared" si="70"/>
        <v>35.098274654335654</v>
      </c>
      <c r="CD144" s="131">
        <f t="shared" si="71"/>
        <v>0.14836227208958311</v>
      </c>
      <c r="CE144" s="135">
        <f t="shared" si="72"/>
        <v>0.1684639072974593</v>
      </c>
      <c r="CF144" s="92" t="str">
        <f t="shared" si="73"/>
        <v>OK</v>
      </c>
      <c r="CG144" s="50"/>
      <c r="DA144" s="111"/>
      <c r="DB144" s="111"/>
      <c r="DC144" s="111"/>
      <c r="DD144" s="116"/>
      <c r="DE144" s="120"/>
      <c r="DF144" s="121"/>
      <c r="DG144" s="121"/>
      <c r="DH144" s="121"/>
      <c r="DI144" s="121"/>
      <c r="DJ144" s="121"/>
      <c r="DK144" s="122"/>
      <c r="DL144" s="123"/>
      <c r="DM144" s="123"/>
      <c r="DN144" s="123"/>
      <c r="DO144" s="123"/>
      <c r="DP144" s="123"/>
      <c r="DQ144" s="111"/>
      <c r="DR144" s="120"/>
      <c r="DS144" s="120"/>
      <c r="DT144" s="120"/>
      <c r="DU144" s="120"/>
      <c r="DV144" s="120"/>
      <c r="DW144" s="120"/>
      <c r="DX144" s="120"/>
      <c r="DY144" s="120"/>
      <c r="DZ144" s="120"/>
      <c r="EA144" s="122"/>
      <c r="EB144" s="122"/>
      <c r="EC144" s="122"/>
      <c r="ED144" s="122"/>
      <c r="EE144" s="122"/>
      <c r="EF144" s="122"/>
      <c r="EG144" s="122"/>
      <c r="EH144" s="122"/>
      <c r="EI144" s="122"/>
      <c r="EJ144" s="122"/>
      <c r="EK144" s="131"/>
      <c r="EL144" s="122"/>
      <c r="EM144" s="276"/>
      <c r="EN144" s="276"/>
      <c r="EO144" s="135"/>
      <c r="EP144" s="136"/>
      <c r="EQ144" s="137"/>
      <c r="ER144" s="276"/>
      <c r="ES144" s="276"/>
      <c r="ET144" s="276"/>
      <c r="EU144" s="276"/>
      <c r="EV144" s="139"/>
      <c r="EW144" s="131"/>
      <c r="EX144" s="139"/>
      <c r="EY144" s="123"/>
      <c r="EZ144" s="141"/>
      <c r="FA144" s="131"/>
      <c r="FB144" s="143"/>
      <c r="FC144" s="123"/>
      <c r="FD144" s="131"/>
      <c r="FE144" s="276"/>
      <c r="FF144" s="276"/>
      <c r="FG144" s="50"/>
    </row>
    <row r="145" spans="27:163">
      <c r="AA145" s="111" t="s">
        <v>245</v>
      </c>
      <c r="AB145" s="111" t="s">
        <v>340</v>
      </c>
      <c r="AC145" s="111">
        <v>102</v>
      </c>
      <c r="AD145" s="116">
        <v>0.3</v>
      </c>
      <c r="AE145" s="120">
        <v>1100</v>
      </c>
      <c r="AF145" s="121">
        <v>350</v>
      </c>
      <c r="AG145" s="121">
        <v>14</v>
      </c>
      <c r="AH145" s="121">
        <v>18.000000000000004</v>
      </c>
      <c r="AI145" s="121">
        <v>1064</v>
      </c>
      <c r="AJ145" s="64" t="str" cm="1">
        <f t="array" ref="AJ145">_xll.Dce_Name_SectI(AE145, AE145, AF145, AG145, AH145, "x", "-", "H Tổng")</f>
        <v>1100x350x14x18</v>
      </c>
      <c r="AK145" s="122">
        <f t="shared" si="40"/>
        <v>1360</v>
      </c>
      <c r="AL145" s="123">
        <f t="shared" si="41"/>
        <v>350</v>
      </c>
      <c r="AM145" s="123">
        <f t="shared" si="42"/>
        <v>25</v>
      </c>
      <c r="AN145" s="123">
        <f t="shared" si="43"/>
        <v>16</v>
      </c>
      <c r="AO145" s="123">
        <f t="shared" si="44"/>
        <v>27</v>
      </c>
      <c r="AP145" s="165" t="str">
        <f t="shared" si="45"/>
        <v>1360x350x25 + 16M27</v>
      </c>
      <c r="AQ145" s="111" t="s">
        <v>320</v>
      </c>
      <c r="AR145" s="120">
        <v>0</v>
      </c>
      <c r="AS145" s="120">
        <v>-260.92815542569269</v>
      </c>
      <c r="AT145" s="120">
        <v>-2.3192114895209664E-15</v>
      </c>
      <c r="AU145" s="120">
        <v>6.7191408417687642E-4</v>
      </c>
      <c r="AV145" s="120">
        <v>-1.4694705896545196E-15</v>
      </c>
      <c r="AW145" s="120">
        <v>-740.83493197269433</v>
      </c>
      <c r="AX145" s="120"/>
      <c r="AY145" s="120"/>
      <c r="AZ145" s="120"/>
      <c r="BA145" s="122">
        <f t="shared" si="46"/>
        <v>60</v>
      </c>
      <c r="BB145" s="122">
        <f t="shared" si="47"/>
        <v>70</v>
      </c>
      <c r="BC145" s="122">
        <f t="shared" si="48"/>
        <v>80</v>
      </c>
      <c r="BD145" s="122">
        <f t="shared" si="49"/>
        <v>160</v>
      </c>
      <c r="BE145" s="122">
        <f>VLOOKUP(AO145,Data!$V$4:$Z$15,3,FALSE)</f>
        <v>572.55526111673976</v>
      </c>
      <c r="BF145" s="122">
        <f>VLOOKUP(AO145,Data!$V$4:$Z$15,4,FALSE)</f>
        <v>459</v>
      </c>
      <c r="BG145" s="163">
        <f t="shared" si="50"/>
        <v>180</v>
      </c>
      <c r="BH145" s="122">
        <f t="shared" si="51"/>
        <v>153.97156081951366</v>
      </c>
      <c r="BI145" s="122">
        <f t="shared" si="52"/>
        <v>273.375</v>
      </c>
      <c r="BJ145" s="163">
        <f t="shared" si="53"/>
        <v>185.06880000000001</v>
      </c>
      <c r="BK145" s="131">
        <f t="shared" si="54"/>
        <v>16.308009714105793</v>
      </c>
      <c r="BL145" s="134">
        <f t="shared" si="55"/>
        <v>0.85037037037037044</v>
      </c>
      <c r="BM145" s="135">
        <f t="shared" si="56"/>
        <v>0.12455246575220762</v>
      </c>
      <c r="BN145" s="92" t="str">
        <f t="shared" si="57"/>
        <v>OK</v>
      </c>
      <c r="BO145" s="135">
        <f>_xll.DCEBoltDisRS(AN145, AE145, BA145, BB145, BC145, BD145, "h1")</f>
        <v>1240</v>
      </c>
      <c r="BP145" s="136">
        <f>_xll.DCEBoltDisRS(AN145, AE145, BA145, BB145, BC145, BD145, "Tong")</f>
        <v>4523000</v>
      </c>
      <c r="BQ145" s="137">
        <f t="shared" si="58"/>
        <v>101.55154937498796</v>
      </c>
      <c r="BR145" s="135">
        <f t="shared" si="59"/>
        <v>0.54872322819939368</v>
      </c>
      <c r="BS145" s="64" t="str">
        <f t="shared" si="60"/>
        <v>OK</v>
      </c>
      <c r="BT145" s="131">
        <f t="shared" si="61"/>
        <v>0.55885178918138445</v>
      </c>
      <c r="BU145" s="92" t="str">
        <f t="shared" si="62"/>
        <v>OK</v>
      </c>
      <c r="BV145" s="139">
        <f t="shared" si="63"/>
        <v>684.69032529823869</v>
      </c>
      <c r="BW145" s="131">
        <f t="shared" si="64"/>
        <v>15.405532319210369</v>
      </c>
      <c r="BX145" s="139">
        <f t="shared" si="65"/>
        <v>342.34516264911935</v>
      </c>
      <c r="BY145" s="123">
        <f t="shared" si="66"/>
        <v>108.74493401795556</v>
      </c>
      <c r="BZ145" s="141">
        <f t="shared" si="67"/>
        <v>0.52862120703172844</v>
      </c>
      <c r="CA145" s="131">
        <f t="shared" si="68"/>
        <v>10.068975372032922</v>
      </c>
      <c r="CB145" s="143">
        <f t="shared" si="69"/>
        <v>8.4390358721540298E-2</v>
      </c>
      <c r="CC145" s="123">
        <f t="shared" si="70"/>
        <v>110.13452442216892</v>
      </c>
      <c r="CD145" s="131">
        <f t="shared" si="71"/>
        <v>0.46554448729177694</v>
      </c>
      <c r="CE145" s="135">
        <f t="shared" si="72"/>
        <v>0.52862120703172844</v>
      </c>
      <c r="CF145" s="92" t="str">
        <f t="shared" si="73"/>
        <v>OK</v>
      </c>
      <c r="CG145" s="50"/>
      <c r="DA145" s="111"/>
      <c r="DB145" s="111"/>
      <c r="DC145" s="111"/>
      <c r="DD145" s="116"/>
      <c r="DE145" s="120"/>
      <c r="DF145" s="121"/>
      <c r="DG145" s="121"/>
      <c r="DH145" s="121"/>
      <c r="DI145" s="121"/>
      <c r="DJ145" s="121"/>
      <c r="DK145" s="122"/>
      <c r="DL145" s="123"/>
      <c r="DM145" s="123"/>
      <c r="DN145" s="123"/>
      <c r="DO145" s="123"/>
      <c r="DP145" s="123"/>
      <c r="DQ145" s="111"/>
      <c r="DR145" s="120"/>
      <c r="DS145" s="120"/>
      <c r="DT145" s="120"/>
      <c r="DU145" s="120"/>
      <c r="DV145" s="120"/>
      <c r="DW145" s="120"/>
      <c r="DX145" s="120"/>
      <c r="DY145" s="120"/>
      <c r="DZ145" s="120"/>
      <c r="EA145" s="122"/>
      <c r="EB145" s="122"/>
      <c r="EC145" s="122"/>
      <c r="ED145" s="122"/>
      <c r="EE145" s="122"/>
      <c r="EF145" s="122"/>
      <c r="EG145" s="122"/>
      <c r="EH145" s="122"/>
      <c r="EI145" s="122"/>
      <c r="EJ145" s="122"/>
      <c r="EK145" s="131"/>
      <c r="EL145" s="122"/>
      <c r="EM145" s="276"/>
      <c r="EN145" s="276"/>
      <c r="EO145" s="135"/>
      <c r="EP145" s="136"/>
      <c r="EQ145" s="137"/>
      <c r="ER145" s="276"/>
      <c r="ES145" s="276"/>
      <c r="ET145" s="276"/>
      <c r="EU145" s="276"/>
      <c r="EV145" s="139"/>
      <c r="EW145" s="131"/>
      <c r="EX145" s="139"/>
      <c r="EY145" s="123"/>
      <c r="EZ145" s="141"/>
      <c r="FA145" s="131"/>
      <c r="FB145" s="143"/>
      <c r="FC145" s="123"/>
      <c r="FD145" s="131"/>
      <c r="FE145" s="276"/>
      <c r="FF145" s="276"/>
      <c r="FG145" s="50"/>
    </row>
    <row r="146" spans="27:163">
      <c r="AA146" s="111" t="s">
        <v>245</v>
      </c>
      <c r="AB146" s="111" t="s">
        <v>340</v>
      </c>
      <c r="AC146" s="111">
        <v>102</v>
      </c>
      <c r="AD146" s="116">
        <v>3</v>
      </c>
      <c r="AE146" s="120">
        <v>750</v>
      </c>
      <c r="AF146" s="121">
        <v>350</v>
      </c>
      <c r="AG146" s="121">
        <v>14</v>
      </c>
      <c r="AH146" s="121">
        <v>18.000000000000004</v>
      </c>
      <c r="AI146" s="121">
        <v>714</v>
      </c>
      <c r="AJ146" s="64" t="str" cm="1">
        <f t="array" ref="AJ146">_xll.Dce_Name_SectI(AE146, AE146, AF146, AG146, AH146, "x", "-", "H Tổng")</f>
        <v>750x350x14x18</v>
      </c>
      <c r="AK146" s="122">
        <f t="shared" si="40"/>
        <v>1010</v>
      </c>
      <c r="AL146" s="123">
        <f t="shared" si="41"/>
        <v>350</v>
      </c>
      <c r="AM146" s="123">
        <f t="shared" si="42"/>
        <v>25</v>
      </c>
      <c r="AN146" s="123">
        <f t="shared" si="43"/>
        <v>12</v>
      </c>
      <c r="AO146" s="123">
        <f t="shared" si="44"/>
        <v>24</v>
      </c>
      <c r="AP146" s="165" t="str">
        <f t="shared" si="45"/>
        <v>1010x350x25 + 12M24</v>
      </c>
      <c r="AQ146" s="111" t="s">
        <v>320</v>
      </c>
      <c r="AR146" s="120">
        <v>0</v>
      </c>
      <c r="AS146" s="120">
        <v>-182.85637607618096</v>
      </c>
      <c r="AT146" s="120">
        <v>2.9649527277797452E-14</v>
      </c>
      <c r="AU146" s="120">
        <v>6.7202522420469076E-4</v>
      </c>
      <c r="AV146" s="120">
        <v>1.4527540770359334E-14</v>
      </c>
      <c r="AW146" s="120">
        <v>-124.04267266168004</v>
      </c>
      <c r="AX146" s="120"/>
      <c r="AY146" s="120"/>
      <c r="AZ146" s="120"/>
      <c r="BA146" s="122">
        <f t="shared" si="46"/>
        <v>60</v>
      </c>
      <c r="BB146" s="122">
        <f t="shared" si="47"/>
        <v>70</v>
      </c>
      <c r="BC146" s="122">
        <f t="shared" si="48"/>
        <v>80</v>
      </c>
      <c r="BD146" s="122">
        <f t="shared" si="49"/>
        <v>150</v>
      </c>
      <c r="BE146" s="122">
        <f>VLOOKUP(AO146,Data!$V$4:$Z$15,3,FALSE)</f>
        <v>452.38934211693021</v>
      </c>
      <c r="BF146" s="122">
        <f>VLOOKUP(AO146,Data!$V$4:$Z$15,4,FALSE)</f>
        <v>353</v>
      </c>
      <c r="BG146" s="163">
        <f t="shared" si="50"/>
        <v>180</v>
      </c>
      <c r="BH146" s="122">
        <f t="shared" si="51"/>
        <v>121.65654188208487</v>
      </c>
      <c r="BI146" s="122">
        <f t="shared" si="52"/>
        <v>243</v>
      </c>
      <c r="BJ146" s="163">
        <f t="shared" si="53"/>
        <v>142.3296</v>
      </c>
      <c r="BK146" s="131">
        <f t="shared" si="54"/>
        <v>15.238031339681747</v>
      </c>
      <c r="BL146" s="134">
        <f t="shared" si="55"/>
        <v>0.89458333333333329</v>
      </c>
      <c r="BM146" s="135">
        <f t="shared" si="56"/>
        <v>0.14001436410881651</v>
      </c>
      <c r="BN146" s="92" t="str">
        <f t="shared" si="57"/>
        <v>OK</v>
      </c>
      <c r="BO146" s="135">
        <f>_xll.DCEBoltDisRS(AN146, AE146, BA146, BB146, BC146, BD146, "h1")</f>
        <v>890</v>
      </c>
      <c r="BP146" s="136">
        <f>_xll.DCEBoltDisRS(AN146, AE146, BA146, BB146, BC146, BD146, "Tong")</f>
        <v>1800300</v>
      </c>
      <c r="BQ146" s="137">
        <f t="shared" si="58"/>
        <v>30.660995019967572</v>
      </c>
      <c r="BR146" s="135">
        <f t="shared" si="59"/>
        <v>0.21542247726381281</v>
      </c>
      <c r="BS146" s="64" t="str">
        <f t="shared" si="60"/>
        <v>OK</v>
      </c>
      <c r="BT146" s="131">
        <f t="shared" si="61"/>
        <v>0.2491897622875181</v>
      </c>
      <c r="BU146" s="92" t="str">
        <f t="shared" si="62"/>
        <v>OK</v>
      </c>
      <c r="BV146" s="139">
        <f t="shared" si="63"/>
        <v>169.45720308972685</v>
      </c>
      <c r="BW146" s="131">
        <f t="shared" si="64"/>
        <v>3.8127870695188539</v>
      </c>
      <c r="BX146" s="139">
        <f t="shared" si="65"/>
        <v>84.728601544863423</v>
      </c>
      <c r="BY146" s="123">
        <f t="shared" si="66"/>
        <v>36.240352343941581</v>
      </c>
      <c r="BZ146" s="141">
        <f t="shared" si="67"/>
        <v>0.17616837944971603</v>
      </c>
      <c r="CA146" s="131">
        <f t="shared" si="68"/>
        <v>3.3555881799945912</v>
      </c>
      <c r="CB146" s="143">
        <f t="shared" si="69"/>
        <v>2.8123943079456586E-2</v>
      </c>
      <c r="CC146" s="123">
        <f t="shared" si="70"/>
        <v>36.703447441816557</v>
      </c>
      <c r="CD146" s="131">
        <f t="shared" si="71"/>
        <v>0.15514742276130189</v>
      </c>
      <c r="CE146" s="135">
        <f t="shared" si="72"/>
        <v>0.17616837944971603</v>
      </c>
      <c r="CF146" s="92" t="str">
        <f t="shared" si="73"/>
        <v>OK</v>
      </c>
      <c r="CG146" s="50"/>
      <c r="DA146" s="111"/>
      <c r="DB146" s="111"/>
      <c r="DC146" s="111"/>
      <c r="DD146" s="116"/>
      <c r="DE146" s="120"/>
      <c r="DF146" s="121"/>
      <c r="DG146" s="121"/>
      <c r="DH146" s="121"/>
      <c r="DI146" s="121"/>
      <c r="DJ146" s="121"/>
      <c r="DK146" s="122"/>
      <c r="DL146" s="123"/>
      <c r="DM146" s="123"/>
      <c r="DN146" s="123"/>
      <c r="DO146" s="123"/>
      <c r="DP146" s="123"/>
      <c r="DQ146" s="111"/>
      <c r="DR146" s="120"/>
      <c r="DS146" s="120"/>
      <c r="DT146" s="120"/>
      <c r="DU146" s="120"/>
      <c r="DV146" s="120"/>
      <c r="DW146" s="120"/>
      <c r="DX146" s="120"/>
      <c r="DY146" s="120"/>
      <c r="DZ146" s="120"/>
      <c r="EA146" s="122"/>
      <c r="EB146" s="122"/>
      <c r="EC146" s="122"/>
      <c r="ED146" s="122"/>
      <c r="EE146" s="122"/>
      <c r="EF146" s="122"/>
      <c r="EG146" s="122"/>
      <c r="EH146" s="122"/>
      <c r="EI146" s="122"/>
      <c r="EJ146" s="122"/>
      <c r="EK146" s="131"/>
      <c r="EL146" s="122"/>
      <c r="EM146" s="276"/>
      <c r="EN146" s="276"/>
      <c r="EO146" s="135"/>
      <c r="EP146" s="136"/>
      <c r="EQ146" s="137"/>
      <c r="ER146" s="276"/>
      <c r="ES146" s="276"/>
      <c r="ET146" s="276"/>
      <c r="EU146" s="276"/>
      <c r="EV146" s="139"/>
      <c r="EW146" s="131"/>
      <c r="EX146" s="139"/>
      <c r="EY146" s="123"/>
      <c r="EZ146" s="141"/>
      <c r="FA146" s="131"/>
      <c r="FB146" s="143"/>
      <c r="FC146" s="123"/>
      <c r="FD146" s="131"/>
      <c r="FE146" s="276"/>
      <c r="FF146" s="276"/>
      <c r="FG146" s="50"/>
    </row>
    <row r="147" spans="27:163">
      <c r="AA147" s="111" t="s">
        <v>245</v>
      </c>
      <c r="AB147" s="111" t="s">
        <v>340</v>
      </c>
      <c r="AC147" s="111">
        <v>102</v>
      </c>
      <c r="AD147" s="116">
        <v>0.3</v>
      </c>
      <c r="AE147" s="120">
        <v>1100</v>
      </c>
      <c r="AF147" s="121">
        <v>350</v>
      </c>
      <c r="AG147" s="121">
        <v>14</v>
      </c>
      <c r="AH147" s="121">
        <v>18.000000000000004</v>
      </c>
      <c r="AI147" s="121">
        <v>1064</v>
      </c>
      <c r="AJ147" s="64" t="str" cm="1">
        <f t="array" ref="AJ147">_xll.Dce_Name_SectI(AE147, AE147, AF147, AG147, AH147, "x", "-", "H Tổng")</f>
        <v>1100x350x14x18</v>
      </c>
      <c r="AK147" s="122">
        <f t="shared" si="40"/>
        <v>1360</v>
      </c>
      <c r="AL147" s="123">
        <f t="shared" si="41"/>
        <v>350</v>
      </c>
      <c r="AM147" s="123">
        <f t="shared" si="42"/>
        <v>25</v>
      </c>
      <c r="AN147" s="123">
        <f t="shared" si="43"/>
        <v>16</v>
      </c>
      <c r="AO147" s="123">
        <f t="shared" si="44"/>
        <v>27</v>
      </c>
      <c r="AP147" s="165" t="str">
        <f t="shared" si="45"/>
        <v>1360x350x25 + 16M27</v>
      </c>
      <c r="AQ147" s="111" t="s">
        <v>321</v>
      </c>
      <c r="AR147" s="120">
        <v>0</v>
      </c>
      <c r="AS147" s="120">
        <v>-259.35875651308277</v>
      </c>
      <c r="AT147" s="120">
        <v>-1.8644641386345023E-15</v>
      </c>
      <c r="AU147" s="120">
        <v>6.9628359575074291E-4</v>
      </c>
      <c r="AV147" s="120">
        <v>-1.3685166777577246E-15</v>
      </c>
      <c r="AW147" s="120">
        <v>-724.46903009126618</v>
      </c>
      <c r="AX147" s="120"/>
      <c r="AY147" s="120"/>
      <c r="AZ147" s="120"/>
      <c r="BA147" s="122">
        <f t="shared" si="46"/>
        <v>60</v>
      </c>
      <c r="BB147" s="122">
        <f t="shared" si="47"/>
        <v>70</v>
      </c>
      <c r="BC147" s="122">
        <f t="shared" si="48"/>
        <v>80</v>
      </c>
      <c r="BD147" s="122">
        <f t="shared" si="49"/>
        <v>160</v>
      </c>
      <c r="BE147" s="122">
        <f>VLOOKUP(AO147,Data!$V$4:$Z$15,3,FALSE)</f>
        <v>572.55526111673976</v>
      </c>
      <c r="BF147" s="122">
        <f>VLOOKUP(AO147,Data!$V$4:$Z$15,4,FALSE)</f>
        <v>459</v>
      </c>
      <c r="BG147" s="163">
        <f t="shared" si="50"/>
        <v>180</v>
      </c>
      <c r="BH147" s="122">
        <f t="shared" si="51"/>
        <v>153.97156081951366</v>
      </c>
      <c r="BI147" s="122">
        <f t="shared" si="52"/>
        <v>273.375</v>
      </c>
      <c r="BJ147" s="163">
        <f t="shared" si="53"/>
        <v>185.06880000000001</v>
      </c>
      <c r="BK147" s="131">
        <f t="shared" si="54"/>
        <v>16.209922282067673</v>
      </c>
      <c r="BL147" s="134">
        <f t="shared" si="55"/>
        <v>0.85037037037037044</v>
      </c>
      <c r="BM147" s="135">
        <f t="shared" si="56"/>
        <v>0.12380332274004208</v>
      </c>
      <c r="BN147" s="92" t="str">
        <f t="shared" si="57"/>
        <v>OK</v>
      </c>
      <c r="BO147" s="135">
        <f>_xll.DCEBoltDisRS(AN147, AE147, BA147, BB147, BC147, BD147, "h1")</f>
        <v>1240</v>
      </c>
      <c r="BP147" s="136">
        <f>_xll.DCEBoltDisRS(AN147, AE147, BA147, BB147, BC147, BD147, "Tong")</f>
        <v>4523000</v>
      </c>
      <c r="BQ147" s="137">
        <f t="shared" si="58"/>
        <v>99.308158004993373</v>
      </c>
      <c r="BR147" s="135">
        <f t="shared" si="59"/>
        <v>0.53660129640973175</v>
      </c>
      <c r="BS147" s="64" t="str">
        <f t="shared" si="60"/>
        <v>OK</v>
      </c>
      <c r="BT147" s="131">
        <f t="shared" si="61"/>
        <v>0.54683137366662338</v>
      </c>
      <c r="BU147" s="92" t="str">
        <f t="shared" si="62"/>
        <v>OK</v>
      </c>
      <c r="BV147" s="139">
        <f t="shared" si="63"/>
        <v>669.56472282002414</v>
      </c>
      <c r="BW147" s="131">
        <f t="shared" si="64"/>
        <v>15.065206263450543</v>
      </c>
      <c r="BX147" s="139">
        <f t="shared" si="65"/>
        <v>334.78236141001207</v>
      </c>
      <c r="BY147" s="123">
        <f t="shared" si="66"/>
        <v>106.34263244788619</v>
      </c>
      <c r="BZ147" s="141">
        <f t="shared" si="67"/>
        <v>0.51694335217722454</v>
      </c>
      <c r="CA147" s="131">
        <f t="shared" si="68"/>
        <v>9.8465400414709432</v>
      </c>
      <c r="CB147" s="143">
        <f t="shared" si="69"/>
        <v>8.2526077933784248E-2</v>
      </c>
      <c r="CC147" s="123">
        <f t="shared" si="70"/>
        <v>107.70152519027336</v>
      </c>
      <c r="CD147" s="131">
        <f t="shared" si="71"/>
        <v>0.4552600702487401</v>
      </c>
      <c r="CE147" s="135">
        <f t="shared" si="72"/>
        <v>0.51694335217722454</v>
      </c>
      <c r="CF147" s="92" t="str">
        <f t="shared" si="73"/>
        <v>OK</v>
      </c>
      <c r="CG147" s="50"/>
      <c r="DA147" s="111"/>
      <c r="DB147" s="111"/>
      <c r="DC147" s="111"/>
      <c r="DD147" s="116"/>
      <c r="DE147" s="120"/>
      <c r="DF147" s="121"/>
      <c r="DG147" s="121"/>
      <c r="DH147" s="121"/>
      <c r="DI147" s="121"/>
      <c r="DJ147" s="121"/>
      <c r="DK147" s="122"/>
      <c r="DL147" s="123"/>
      <c r="DM147" s="123"/>
      <c r="DN147" s="123"/>
      <c r="DO147" s="123"/>
      <c r="DP147" s="123"/>
      <c r="DQ147" s="111"/>
      <c r="DR147" s="120"/>
      <c r="DS147" s="120"/>
      <c r="DT147" s="120"/>
      <c r="DU147" s="120"/>
      <c r="DV147" s="120"/>
      <c r="DW147" s="120"/>
      <c r="DX147" s="120"/>
      <c r="DY147" s="120"/>
      <c r="DZ147" s="120"/>
      <c r="EA147" s="122"/>
      <c r="EB147" s="122"/>
      <c r="EC147" s="122"/>
      <c r="ED147" s="122"/>
      <c r="EE147" s="122"/>
      <c r="EF147" s="122"/>
      <c r="EG147" s="122"/>
      <c r="EH147" s="122"/>
      <c r="EI147" s="122"/>
      <c r="EJ147" s="122"/>
      <c r="EK147" s="131"/>
      <c r="EL147" s="122"/>
      <c r="EM147" s="276"/>
      <c r="EN147" s="276"/>
      <c r="EO147" s="135"/>
      <c r="EP147" s="136"/>
      <c r="EQ147" s="137"/>
      <c r="ER147" s="276"/>
      <c r="ES147" s="276"/>
      <c r="ET147" s="276"/>
      <c r="EU147" s="276"/>
      <c r="EV147" s="139"/>
      <c r="EW147" s="131"/>
      <c r="EX147" s="139"/>
      <c r="EY147" s="123"/>
      <c r="EZ147" s="141"/>
      <c r="FA147" s="131"/>
      <c r="FB147" s="143"/>
      <c r="FC147" s="123"/>
      <c r="FD147" s="131"/>
      <c r="FE147" s="276"/>
      <c r="FF147" s="276"/>
      <c r="FG147" s="50"/>
    </row>
    <row r="148" spans="27:163">
      <c r="AA148" s="111" t="s">
        <v>245</v>
      </c>
      <c r="AB148" s="111" t="s">
        <v>340</v>
      </c>
      <c r="AC148" s="111">
        <v>102</v>
      </c>
      <c r="AD148" s="116">
        <v>3</v>
      </c>
      <c r="AE148" s="120">
        <v>750</v>
      </c>
      <c r="AF148" s="121">
        <v>350</v>
      </c>
      <c r="AG148" s="121">
        <v>14</v>
      </c>
      <c r="AH148" s="121">
        <v>18.000000000000004</v>
      </c>
      <c r="AI148" s="121">
        <v>714</v>
      </c>
      <c r="AJ148" s="64" t="str" cm="1">
        <f t="array" ref="AJ148">_xll.Dce_Name_SectI(AE148, AE148, AF148, AG148, AH148, "x", "-", "H Tổng")</f>
        <v>750x350x14x18</v>
      </c>
      <c r="AK148" s="122">
        <f t="shared" si="40"/>
        <v>1010</v>
      </c>
      <c r="AL148" s="123">
        <f t="shared" si="41"/>
        <v>350</v>
      </c>
      <c r="AM148" s="123">
        <f t="shared" si="42"/>
        <v>25</v>
      </c>
      <c r="AN148" s="123">
        <f t="shared" si="43"/>
        <v>12</v>
      </c>
      <c r="AO148" s="123">
        <f t="shared" si="44"/>
        <v>24</v>
      </c>
      <c r="AP148" s="165" t="str">
        <f t="shared" si="45"/>
        <v>1010x350x25 + 12M24</v>
      </c>
      <c r="AQ148" s="111" t="s">
        <v>321</v>
      </c>
      <c r="AR148" s="120">
        <v>0</v>
      </c>
      <c r="AS148" s="120">
        <v>-181.28697778641046</v>
      </c>
      <c r="AT148" s="120">
        <v>3.0559021979570381E-14</v>
      </c>
      <c r="AU148" s="120">
        <v>6.9639871248285893E-4</v>
      </c>
      <c r="AV148" s="120">
        <v>1.1207885108888147E-14</v>
      </c>
      <c r="AW148" s="120">
        <v>-111.91418423783169</v>
      </c>
      <c r="AX148" s="120"/>
      <c r="AY148" s="120"/>
      <c r="AZ148" s="120"/>
      <c r="BA148" s="122">
        <f t="shared" si="46"/>
        <v>60</v>
      </c>
      <c r="BB148" s="122">
        <f t="shared" si="47"/>
        <v>70</v>
      </c>
      <c r="BC148" s="122">
        <f t="shared" si="48"/>
        <v>80</v>
      </c>
      <c r="BD148" s="122">
        <f t="shared" si="49"/>
        <v>150</v>
      </c>
      <c r="BE148" s="122">
        <f>VLOOKUP(AO148,Data!$V$4:$Z$15,3,FALSE)</f>
        <v>452.38934211693021</v>
      </c>
      <c r="BF148" s="122">
        <f>VLOOKUP(AO148,Data!$V$4:$Z$15,4,FALSE)</f>
        <v>353</v>
      </c>
      <c r="BG148" s="163">
        <f t="shared" si="50"/>
        <v>180</v>
      </c>
      <c r="BH148" s="122">
        <f t="shared" si="51"/>
        <v>121.65654188208487</v>
      </c>
      <c r="BI148" s="122">
        <f t="shared" si="52"/>
        <v>243</v>
      </c>
      <c r="BJ148" s="163">
        <f t="shared" si="53"/>
        <v>142.3296</v>
      </c>
      <c r="BK148" s="131">
        <f t="shared" si="54"/>
        <v>15.107248148867539</v>
      </c>
      <c r="BL148" s="134">
        <f t="shared" si="55"/>
        <v>0.89458333333333329</v>
      </c>
      <c r="BM148" s="135">
        <f t="shared" si="56"/>
        <v>0.13881266522201294</v>
      </c>
      <c r="BN148" s="92" t="str">
        <f t="shared" si="57"/>
        <v>OK</v>
      </c>
      <c r="BO148" s="135">
        <f>_xll.DCEBoltDisRS(AN148, AE148, BA148, BB148, BC148, BD148, "h1")</f>
        <v>890</v>
      </c>
      <c r="BP148" s="136">
        <f>_xll.DCEBoltDisRS(AN148, AE148, BA148, BB148, BC148, BD148, "Tong")</f>
        <v>1800300</v>
      </c>
      <c r="BQ148" s="137">
        <f t="shared" si="58"/>
        <v>27.663062814994781</v>
      </c>
      <c r="BR148" s="135">
        <f t="shared" si="59"/>
        <v>0.19435916924515195</v>
      </c>
      <c r="BS148" s="64" t="str">
        <f t="shared" si="60"/>
        <v>OK</v>
      </c>
      <c r="BT148" s="131">
        <f t="shared" si="61"/>
        <v>0.23064265452432109</v>
      </c>
      <c r="BU148" s="92" t="str">
        <f t="shared" si="62"/>
        <v>OK</v>
      </c>
      <c r="BV148" s="139">
        <f t="shared" si="63"/>
        <v>152.8882298331034</v>
      </c>
      <c r="BW148" s="131">
        <f t="shared" si="64"/>
        <v>3.4399851712448264</v>
      </c>
      <c r="BX148" s="139">
        <f t="shared" si="65"/>
        <v>76.444114916551698</v>
      </c>
      <c r="BY148" s="123">
        <f t="shared" si="66"/>
        <v>32.696888756386464</v>
      </c>
      <c r="BZ148" s="141">
        <f t="shared" si="67"/>
        <v>0.15894320923243421</v>
      </c>
      <c r="CA148" s="131">
        <f t="shared" si="68"/>
        <v>3.0274896996654137</v>
      </c>
      <c r="CB148" s="143">
        <f t="shared" si="69"/>
        <v>2.5374075547962043E-2</v>
      </c>
      <c r="CC148" s="123">
        <f t="shared" si="70"/>
        <v>33.11470392427286</v>
      </c>
      <c r="CD148" s="131">
        <f t="shared" si="71"/>
        <v>0.13997761320646743</v>
      </c>
      <c r="CE148" s="135">
        <f t="shared" si="72"/>
        <v>0.15894320923243421</v>
      </c>
      <c r="CF148" s="92" t="str">
        <f t="shared" si="73"/>
        <v>OK</v>
      </c>
      <c r="CG148" s="50"/>
      <c r="DA148" s="111"/>
      <c r="DB148" s="111"/>
      <c r="DC148" s="111"/>
      <c r="DD148" s="116"/>
      <c r="DE148" s="120"/>
      <c r="DF148" s="121"/>
      <c r="DG148" s="121"/>
      <c r="DH148" s="121"/>
      <c r="DI148" s="121"/>
      <c r="DJ148" s="121"/>
      <c r="DK148" s="122"/>
      <c r="DL148" s="123"/>
      <c r="DM148" s="123"/>
      <c r="DN148" s="123"/>
      <c r="DO148" s="123"/>
      <c r="DP148" s="123"/>
      <c r="DQ148" s="111"/>
      <c r="DR148" s="120"/>
      <c r="DS148" s="120"/>
      <c r="DT148" s="120"/>
      <c r="DU148" s="120"/>
      <c r="DV148" s="120"/>
      <c r="DW148" s="120"/>
      <c r="DX148" s="120"/>
      <c r="DY148" s="120"/>
      <c r="DZ148" s="120"/>
      <c r="EA148" s="122"/>
      <c r="EB148" s="122"/>
      <c r="EC148" s="122"/>
      <c r="ED148" s="122"/>
      <c r="EE148" s="122"/>
      <c r="EF148" s="122"/>
      <c r="EG148" s="122"/>
      <c r="EH148" s="122"/>
      <c r="EI148" s="122"/>
      <c r="EJ148" s="122"/>
      <c r="EK148" s="131"/>
      <c r="EL148" s="122"/>
      <c r="EM148" s="276"/>
      <c r="EN148" s="276"/>
      <c r="EO148" s="135"/>
      <c r="EP148" s="136"/>
      <c r="EQ148" s="137"/>
      <c r="ER148" s="276"/>
      <c r="ES148" s="276"/>
      <c r="ET148" s="276"/>
      <c r="EU148" s="276"/>
      <c r="EV148" s="139"/>
      <c r="EW148" s="131"/>
      <c r="EX148" s="139"/>
      <c r="EY148" s="123"/>
      <c r="EZ148" s="141"/>
      <c r="FA148" s="131"/>
      <c r="FB148" s="143"/>
      <c r="FC148" s="123"/>
      <c r="FD148" s="131"/>
      <c r="FE148" s="276"/>
      <c r="FF148" s="276"/>
      <c r="FG148" s="50"/>
    </row>
    <row r="149" spans="27:163">
      <c r="AA149" s="111" t="s">
        <v>245</v>
      </c>
      <c r="AB149" s="111" t="s">
        <v>340</v>
      </c>
      <c r="AC149" s="111">
        <v>102</v>
      </c>
      <c r="AD149" s="116">
        <v>0.3</v>
      </c>
      <c r="AE149" s="120">
        <v>1100</v>
      </c>
      <c r="AF149" s="121">
        <v>350</v>
      </c>
      <c r="AG149" s="121">
        <v>14</v>
      </c>
      <c r="AH149" s="121">
        <v>18.000000000000004</v>
      </c>
      <c r="AI149" s="121">
        <v>1064</v>
      </c>
      <c r="AJ149" s="64" t="str" cm="1">
        <f t="array" ref="AJ149">_xll.Dce_Name_SectI(AE149, AE149, AF149, AG149, AH149, "x", "-", "H Tổng")</f>
        <v>1100x350x14x18</v>
      </c>
      <c r="AK149" s="122">
        <f t="shared" si="40"/>
        <v>1360</v>
      </c>
      <c r="AL149" s="123">
        <f t="shared" si="41"/>
        <v>350</v>
      </c>
      <c r="AM149" s="123">
        <f t="shared" si="42"/>
        <v>25</v>
      </c>
      <c r="AN149" s="123">
        <f t="shared" si="43"/>
        <v>16</v>
      </c>
      <c r="AO149" s="123">
        <f t="shared" si="44"/>
        <v>27</v>
      </c>
      <c r="AP149" s="165" t="str">
        <f t="shared" si="45"/>
        <v>1360x350x25 + 16M27</v>
      </c>
      <c r="AQ149" s="111" t="s">
        <v>322</v>
      </c>
      <c r="AR149" s="120">
        <v>0</v>
      </c>
      <c r="AS149" s="120">
        <v>-268.37155838011478</v>
      </c>
      <c r="AT149" s="120">
        <v>-2.1202595235081386E-15</v>
      </c>
      <c r="AU149" s="120">
        <v>6.4116395304068157E-4</v>
      </c>
      <c r="AV149" s="120">
        <v>-1.5853743207117071E-15</v>
      </c>
      <c r="AW149" s="120">
        <v>-791.67920213689933</v>
      </c>
      <c r="AX149" s="120"/>
      <c r="AY149" s="120"/>
      <c r="AZ149" s="120"/>
      <c r="BA149" s="122">
        <f t="shared" si="46"/>
        <v>60</v>
      </c>
      <c r="BB149" s="122">
        <f t="shared" si="47"/>
        <v>70</v>
      </c>
      <c r="BC149" s="122">
        <f t="shared" si="48"/>
        <v>80</v>
      </c>
      <c r="BD149" s="122">
        <f t="shared" si="49"/>
        <v>160</v>
      </c>
      <c r="BE149" s="122">
        <f>VLOOKUP(AO149,Data!$V$4:$Z$15,3,FALSE)</f>
        <v>572.55526111673976</v>
      </c>
      <c r="BF149" s="122">
        <f>VLOOKUP(AO149,Data!$V$4:$Z$15,4,FALSE)</f>
        <v>459</v>
      </c>
      <c r="BG149" s="163">
        <f t="shared" si="50"/>
        <v>180</v>
      </c>
      <c r="BH149" s="122">
        <f t="shared" si="51"/>
        <v>153.97156081951366</v>
      </c>
      <c r="BI149" s="122">
        <f t="shared" si="52"/>
        <v>273.375</v>
      </c>
      <c r="BJ149" s="163">
        <f t="shared" si="53"/>
        <v>185.06880000000001</v>
      </c>
      <c r="BK149" s="131">
        <f t="shared" si="54"/>
        <v>16.773222398757174</v>
      </c>
      <c r="BL149" s="134">
        <f t="shared" si="55"/>
        <v>0.85037037037037044</v>
      </c>
      <c r="BM149" s="135">
        <f t="shared" si="56"/>
        <v>0.12810552881682027</v>
      </c>
      <c r="BN149" s="92" t="str">
        <f t="shared" si="57"/>
        <v>OK</v>
      </c>
      <c r="BO149" s="135">
        <f>_xll.DCEBoltDisRS(AN149, AE149, BA149, BB149, BC149, BD149, "h1")</f>
        <v>1240</v>
      </c>
      <c r="BP149" s="136">
        <f>_xll.DCEBoltDisRS(AN149, AE149, BA149, BB149, BC149, BD149, "Tong")</f>
        <v>4523000</v>
      </c>
      <c r="BQ149" s="137">
        <f t="shared" si="58"/>
        <v>108.52113759117347</v>
      </c>
      <c r="BR149" s="135">
        <f t="shared" si="59"/>
        <v>0.58638267277452205</v>
      </c>
      <c r="BS149" s="64" t="str">
        <f t="shared" si="60"/>
        <v>OK</v>
      </c>
      <c r="BT149" s="131">
        <f t="shared" si="61"/>
        <v>0.59641591251899517</v>
      </c>
      <c r="BU149" s="92" t="str">
        <f t="shared" si="62"/>
        <v>OK</v>
      </c>
      <c r="BV149" s="139">
        <f t="shared" si="63"/>
        <v>731.6813328437147</v>
      </c>
      <c r="BW149" s="131">
        <f t="shared" si="64"/>
        <v>16.462829988983579</v>
      </c>
      <c r="BX149" s="139">
        <f t="shared" si="65"/>
        <v>365.84066642185735</v>
      </c>
      <c r="BY149" s="123">
        <f t="shared" si="66"/>
        <v>116.20821168694292</v>
      </c>
      <c r="BZ149" s="141">
        <f t="shared" si="67"/>
        <v>0.56490102903375039</v>
      </c>
      <c r="CA149" s="131">
        <f t="shared" si="68"/>
        <v>10.760019600642863</v>
      </c>
      <c r="CB149" s="143">
        <f t="shared" si="69"/>
        <v>9.0182156614583397E-2</v>
      </c>
      <c r="CC149" s="123">
        <f t="shared" si="70"/>
        <v>117.69317112261014</v>
      </c>
      <c r="CD149" s="131">
        <f t="shared" si="71"/>
        <v>0.4974952885617579</v>
      </c>
      <c r="CE149" s="135">
        <f t="shared" si="72"/>
        <v>0.56490102903375039</v>
      </c>
      <c r="CF149" s="92" t="str">
        <f t="shared" si="73"/>
        <v>OK</v>
      </c>
      <c r="CG149" s="50"/>
      <c r="DA149" s="111"/>
      <c r="DB149" s="111"/>
      <c r="DC149" s="111"/>
      <c r="DD149" s="116"/>
      <c r="DE149" s="120"/>
      <c r="DF149" s="121"/>
      <c r="DG149" s="121"/>
      <c r="DH149" s="121"/>
      <c r="DI149" s="121"/>
      <c r="DJ149" s="121"/>
      <c r="DK149" s="122"/>
      <c r="DL149" s="123"/>
      <c r="DM149" s="123"/>
      <c r="DN149" s="123"/>
      <c r="DO149" s="123"/>
      <c r="DP149" s="123"/>
      <c r="DQ149" s="111"/>
      <c r="DR149" s="120"/>
      <c r="DS149" s="120"/>
      <c r="DT149" s="120"/>
      <c r="DU149" s="120"/>
      <c r="DV149" s="120"/>
      <c r="DW149" s="120"/>
      <c r="DX149" s="120"/>
      <c r="DY149" s="120"/>
      <c r="DZ149" s="120"/>
      <c r="EA149" s="122"/>
      <c r="EB149" s="122"/>
      <c r="EC149" s="122"/>
      <c r="ED149" s="122"/>
      <c r="EE149" s="122"/>
      <c r="EF149" s="122"/>
      <c r="EG149" s="122"/>
      <c r="EH149" s="122"/>
      <c r="EI149" s="122"/>
      <c r="EJ149" s="122"/>
      <c r="EK149" s="131"/>
      <c r="EL149" s="122"/>
      <c r="EM149" s="276"/>
      <c r="EN149" s="276"/>
      <c r="EO149" s="135"/>
      <c r="EP149" s="136"/>
      <c r="EQ149" s="137"/>
      <c r="ER149" s="276"/>
      <c r="ES149" s="276"/>
      <c r="ET149" s="276"/>
      <c r="EU149" s="276"/>
      <c r="EV149" s="139"/>
      <c r="EW149" s="131"/>
      <c r="EX149" s="139"/>
      <c r="EY149" s="123"/>
      <c r="EZ149" s="141"/>
      <c r="FA149" s="131"/>
      <c r="FB149" s="143"/>
      <c r="FC149" s="123"/>
      <c r="FD149" s="131"/>
      <c r="FE149" s="276"/>
      <c r="FF149" s="276"/>
      <c r="FG149" s="50"/>
    </row>
    <row r="150" spans="27:163">
      <c r="AA150" s="111" t="s">
        <v>245</v>
      </c>
      <c r="AB150" s="111" t="s">
        <v>340</v>
      </c>
      <c r="AC150" s="111">
        <v>102</v>
      </c>
      <c r="AD150" s="116">
        <v>3</v>
      </c>
      <c r="AE150" s="120">
        <v>750</v>
      </c>
      <c r="AF150" s="121">
        <v>350</v>
      </c>
      <c r="AG150" s="121">
        <v>14</v>
      </c>
      <c r="AH150" s="121">
        <v>18.000000000000004</v>
      </c>
      <c r="AI150" s="121">
        <v>714</v>
      </c>
      <c r="AJ150" s="64" t="str" cm="1">
        <f t="array" ref="AJ150">_xll.Dce_Name_SectI(AE150, AE150, AF150, AG150, AH150, "x", "-", "H Tổng")</f>
        <v>750x350x14x18</v>
      </c>
      <c r="AK150" s="122">
        <f t="shared" si="40"/>
        <v>1010</v>
      </c>
      <c r="AL150" s="123">
        <f t="shared" si="41"/>
        <v>350</v>
      </c>
      <c r="AM150" s="123">
        <f t="shared" si="42"/>
        <v>25</v>
      </c>
      <c r="AN150" s="123">
        <f t="shared" si="43"/>
        <v>12</v>
      </c>
      <c r="AO150" s="123">
        <f t="shared" si="44"/>
        <v>24</v>
      </c>
      <c r="AP150" s="165" t="str">
        <f t="shared" si="45"/>
        <v>1010x350x25 + 12M24</v>
      </c>
      <c r="AQ150" s="111" t="s">
        <v>322</v>
      </c>
      <c r="AR150" s="120">
        <v>0</v>
      </c>
      <c r="AS150" s="120">
        <v>-190.29977646135097</v>
      </c>
      <c r="AT150" s="120">
        <v>3.1241143005900071E-14</v>
      </c>
      <c r="AU150" s="120">
        <v>6.4127010279217624E-4</v>
      </c>
      <c r="AV150" s="120">
        <v>1.6634385247016322E-14</v>
      </c>
      <c r="AW150" s="120">
        <v>-154.78963193051339</v>
      </c>
      <c r="AX150" s="120"/>
      <c r="AY150" s="120"/>
      <c r="AZ150" s="120"/>
      <c r="BA150" s="122">
        <f t="shared" si="46"/>
        <v>60</v>
      </c>
      <c r="BB150" s="122">
        <f t="shared" si="47"/>
        <v>70</v>
      </c>
      <c r="BC150" s="122">
        <f t="shared" si="48"/>
        <v>80</v>
      </c>
      <c r="BD150" s="122">
        <f t="shared" si="49"/>
        <v>150</v>
      </c>
      <c r="BE150" s="122">
        <f>VLOOKUP(AO150,Data!$V$4:$Z$15,3,FALSE)</f>
        <v>452.38934211693021</v>
      </c>
      <c r="BF150" s="122">
        <f>VLOOKUP(AO150,Data!$V$4:$Z$15,4,FALSE)</f>
        <v>353</v>
      </c>
      <c r="BG150" s="163">
        <f t="shared" si="50"/>
        <v>180</v>
      </c>
      <c r="BH150" s="122">
        <f t="shared" si="51"/>
        <v>121.65654188208487</v>
      </c>
      <c r="BI150" s="122">
        <f t="shared" si="52"/>
        <v>243</v>
      </c>
      <c r="BJ150" s="163">
        <f t="shared" si="53"/>
        <v>142.3296</v>
      </c>
      <c r="BK150" s="131">
        <f t="shared" si="54"/>
        <v>15.858314705112582</v>
      </c>
      <c r="BL150" s="134">
        <f t="shared" si="55"/>
        <v>0.89458333333333329</v>
      </c>
      <c r="BM150" s="135">
        <f t="shared" si="56"/>
        <v>0.14571382613524708</v>
      </c>
      <c r="BN150" s="92" t="str">
        <f t="shared" si="57"/>
        <v>OK</v>
      </c>
      <c r="BO150" s="135">
        <f>_xll.DCEBoltDisRS(AN150, AE150, BA150, BB150, BC150, BD150, "h1")</f>
        <v>890</v>
      </c>
      <c r="BP150" s="136">
        <f>_xll.DCEBoltDisRS(AN150, AE150, BA150, BB150, BC150, BD150, "Tong")</f>
        <v>1800300</v>
      </c>
      <c r="BQ150" s="137">
        <f t="shared" si="58"/>
        <v>38.261059939498118</v>
      </c>
      <c r="BR150" s="135">
        <f t="shared" si="59"/>
        <v>0.268820118510121</v>
      </c>
      <c r="BS150" s="64" t="str">
        <f t="shared" si="60"/>
        <v>OK</v>
      </c>
      <c r="BT150" s="131">
        <f t="shared" si="61"/>
        <v>0.29875776561482842</v>
      </c>
      <c r="BU150" s="92" t="str">
        <f t="shared" si="62"/>
        <v>OK</v>
      </c>
      <c r="BV150" s="139">
        <f t="shared" si="63"/>
        <v>211.4612458067123</v>
      </c>
      <c r="BW150" s="131">
        <f t="shared" si="64"/>
        <v>4.7578780306510264</v>
      </c>
      <c r="BX150" s="139">
        <f t="shared" si="65"/>
        <v>105.73062290335615</v>
      </c>
      <c r="BY150" s="123">
        <f t="shared" si="66"/>
        <v>45.223395142821637</v>
      </c>
      <c r="BZ150" s="141">
        <f t="shared" si="67"/>
        <v>0.21983594861093853</v>
      </c>
      <c r="CA150" s="131">
        <f t="shared" si="68"/>
        <v>4.1873514021131149</v>
      </c>
      <c r="CB150" s="143">
        <f t="shared" si="69"/>
        <v>3.5095138667135782E-2</v>
      </c>
      <c r="CC150" s="123">
        <f t="shared" si="70"/>
        <v>45.801279496735887</v>
      </c>
      <c r="CD150" s="131">
        <f t="shared" si="71"/>
        <v>0.19360444231712035</v>
      </c>
      <c r="CE150" s="135">
        <f t="shared" si="72"/>
        <v>0.21983594861093853</v>
      </c>
      <c r="CF150" s="92" t="str">
        <f t="shared" si="73"/>
        <v>OK</v>
      </c>
      <c r="CG150" s="50"/>
      <c r="DA150" s="111"/>
      <c r="DB150" s="111"/>
      <c r="DC150" s="111"/>
      <c r="DD150" s="116"/>
      <c r="DE150" s="120"/>
      <c r="DF150" s="121"/>
      <c r="DG150" s="121"/>
      <c r="DH150" s="121"/>
      <c r="DI150" s="121"/>
      <c r="DJ150" s="121"/>
      <c r="DK150" s="122"/>
      <c r="DL150" s="123"/>
      <c r="DM150" s="123"/>
      <c r="DN150" s="123"/>
      <c r="DO150" s="123"/>
      <c r="DP150" s="123"/>
      <c r="DQ150" s="111"/>
      <c r="DR150" s="120"/>
      <c r="DS150" s="120"/>
      <c r="DT150" s="120"/>
      <c r="DU150" s="120"/>
      <c r="DV150" s="120"/>
      <c r="DW150" s="120"/>
      <c r="DX150" s="120"/>
      <c r="DY150" s="120"/>
      <c r="DZ150" s="120"/>
      <c r="EA150" s="122"/>
      <c r="EB150" s="122"/>
      <c r="EC150" s="122"/>
      <c r="ED150" s="122"/>
      <c r="EE150" s="122"/>
      <c r="EF150" s="122"/>
      <c r="EG150" s="122"/>
      <c r="EH150" s="122"/>
      <c r="EI150" s="122"/>
      <c r="EJ150" s="122"/>
      <c r="EK150" s="131"/>
      <c r="EL150" s="122"/>
      <c r="EM150" s="276"/>
      <c r="EN150" s="276"/>
      <c r="EO150" s="135"/>
      <c r="EP150" s="136"/>
      <c r="EQ150" s="137"/>
      <c r="ER150" s="276"/>
      <c r="ES150" s="276"/>
      <c r="ET150" s="276"/>
      <c r="EU150" s="276"/>
      <c r="EV150" s="139"/>
      <c r="EW150" s="131"/>
      <c r="EX150" s="139"/>
      <c r="EY150" s="123"/>
      <c r="EZ150" s="141"/>
      <c r="FA150" s="131"/>
      <c r="FB150" s="143"/>
      <c r="FC150" s="123"/>
      <c r="FD150" s="131"/>
      <c r="FE150" s="276"/>
      <c r="FF150" s="276"/>
      <c r="FG150" s="50"/>
    </row>
    <row r="151" spans="27:163">
      <c r="AA151" s="111" t="s">
        <v>245</v>
      </c>
      <c r="AB151" s="111" t="s">
        <v>340</v>
      </c>
      <c r="AC151" s="111">
        <v>102</v>
      </c>
      <c r="AD151" s="116">
        <v>0.3</v>
      </c>
      <c r="AE151" s="120">
        <v>1100</v>
      </c>
      <c r="AF151" s="121">
        <v>350</v>
      </c>
      <c r="AG151" s="121">
        <v>14</v>
      </c>
      <c r="AH151" s="121">
        <v>18.000000000000004</v>
      </c>
      <c r="AI151" s="121">
        <v>1064</v>
      </c>
      <c r="AJ151" s="64" t="str" cm="1">
        <f t="array" ref="AJ151">_xll.Dce_Name_SectI(AE151, AE151, AF151, AG151, AH151, "x", "-", "H Tổng")</f>
        <v>1100x350x14x18</v>
      </c>
      <c r="AK151" s="122">
        <f t="shared" si="40"/>
        <v>1360</v>
      </c>
      <c r="AL151" s="123">
        <f t="shared" si="41"/>
        <v>350</v>
      </c>
      <c r="AM151" s="123">
        <f t="shared" si="42"/>
        <v>25</v>
      </c>
      <c r="AN151" s="123">
        <f t="shared" si="43"/>
        <v>16</v>
      </c>
      <c r="AO151" s="123">
        <f t="shared" si="44"/>
        <v>27</v>
      </c>
      <c r="AP151" s="165" t="str">
        <f t="shared" si="45"/>
        <v>1360x350x25 + 16M27</v>
      </c>
      <c r="AQ151" s="111" t="s">
        <v>323</v>
      </c>
      <c r="AR151" s="120">
        <v>0</v>
      </c>
      <c r="AS151" s="120">
        <v>-266.79254314735823</v>
      </c>
      <c r="AT151" s="120">
        <v>-2.1771029423689462E-15</v>
      </c>
      <c r="AU151" s="120">
        <v>6.6517645950988128E-4</v>
      </c>
      <c r="AV151" s="120">
        <v>-1.6125454749271733E-15</v>
      </c>
      <c r="AW151" s="120">
        <v>-775.27338458860049</v>
      </c>
      <c r="AX151" s="120"/>
      <c r="AY151" s="120"/>
      <c r="AZ151" s="120"/>
      <c r="BA151" s="122">
        <f t="shared" si="46"/>
        <v>60</v>
      </c>
      <c r="BB151" s="122">
        <f t="shared" si="47"/>
        <v>70</v>
      </c>
      <c r="BC151" s="122">
        <f t="shared" si="48"/>
        <v>80</v>
      </c>
      <c r="BD151" s="122">
        <f t="shared" si="49"/>
        <v>160</v>
      </c>
      <c r="BE151" s="122">
        <f>VLOOKUP(AO151,Data!$V$4:$Z$15,3,FALSE)</f>
        <v>572.55526111673976</v>
      </c>
      <c r="BF151" s="122">
        <f>VLOOKUP(AO151,Data!$V$4:$Z$15,4,FALSE)</f>
        <v>459</v>
      </c>
      <c r="BG151" s="163">
        <f t="shared" si="50"/>
        <v>180</v>
      </c>
      <c r="BH151" s="122">
        <f t="shared" si="51"/>
        <v>153.97156081951366</v>
      </c>
      <c r="BI151" s="122">
        <f t="shared" si="52"/>
        <v>273.375</v>
      </c>
      <c r="BJ151" s="163">
        <f t="shared" si="53"/>
        <v>185.06880000000001</v>
      </c>
      <c r="BK151" s="131">
        <f t="shared" si="54"/>
        <v>16.674533946709889</v>
      </c>
      <c r="BL151" s="134">
        <f t="shared" si="55"/>
        <v>0.85037037037037044</v>
      </c>
      <c r="BM151" s="135">
        <f t="shared" si="56"/>
        <v>0.12735179551280307</v>
      </c>
      <c r="BN151" s="92" t="str">
        <f t="shared" si="57"/>
        <v>OK</v>
      </c>
      <c r="BO151" s="135">
        <f>_xll.DCEBoltDisRS(AN151, AE151, BA151, BB151, BC151, BD151, "h1")</f>
        <v>1240</v>
      </c>
      <c r="BP151" s="136">
        <f>_xll.DCEBoltDisRS(AN151, AE151, BA151, BB151, BC151, BD151, "Tong")</f>
        <v>4523000</v>
      </c>
      <c r="BQ151" s="137">
        <f t="shared" si="58"/>
        <v>106.27227469487779</v>
      </c>
      <c r="BR151" s="135">
        <f t="shared" si="59"/>
        <v>0.57423117616193431</v>
      </c>
      <c r="BS151" s="64" t="str">
        <f t="shared" si="60"/>
        <v>OK</v>
      </c>
      <c r="BT151" s="131">
        <f t="shared" si="61"/>
        <v>0.58435392460965807</v>
      </c>
      <c r="BU151" s="92" t="str">
        <f t="shared" si="62"/>
        <v>OK</v>
      </c>
      <c r="BV151" s="139">
        <f t="shared" si="63"/>
        <v>716.51883973068436</v>
      </c>
      <c r="BW151" s="131">
        <f t="shared" si="64"/>
        <v>16.121673893940397</v>
      </c>
      <c r="BX151" s="139">
        <f t="shared" si="65"/>
        <v>358.25941986534218</v>
      </c>
      <c r="BY151" s="123">
        <f t="shared" si="66"/>
        <v>113.80005101604986</v>
      </c>
      <c r="BZ151" s="141">
        <f t="shared" si="67"/>
        <v>0.55319469243913133</v>
      </c>
      <c r="CA151" s="131">
        <f t="shared" si="68"/>
        <v>10.537041760745359</v>
      </c>
      <c r="CB151" s="143">
        <f t="shared" si="69"/>
        <v>8.8313328933450091E-2</v>
      </c>
      <c r="CC151" s="123">
        <f t="shared" si="70"/>
        <v>115.2542379197339</v>
      </c>
      <c r="CD151" s="131">
        <f t="shared" si="71"/>
        <v>0.48718578830805398</v>
      </c>
      <c r="CE151" s="135">
        <f t="shared" si="72"/>
        <v>0.55319469243913133</v>
      </c>
      <c r="CF151" s="92" t="str">
        <f t="shared" si="73"/>
        <v>OK</v>
      </c>
      <c r="CG151" s="50"/>
      <c r="DA151" s="111"/>
      <c r="DB151" s="111"/>
      <c r="DC151" s="111"/>
      <c r="DD151" s="116"/>
      <c r="DE151" s="120"/>
      <c r="DF151" s="121"/>
      <c r="DG151" s="121"/>
      <c r="DH151" s="121"/>
      <c r="DI151" s="121"/>
      <c r="DJ151" s="121"/>
      <c r="DK151" s="122"/>
      <c r="DL151" s="123"/>
      <c r="DM151" s="123"/>
      <c r="DN151" s="123"/>
      <c r="DO151" s="123"/>
      <c r="DP151" s="123"/>
      <c r="DQ151" s="111"/>
      <c r="DR151" s="120"/>
      <c r="DS151" s="120"/>
      <c r="DT151" s="120"/>
      <c r="DU151" s="120"/>
      <c r="DV151" s="120"/>
      <c r="DW151" s="120"/>
      <c r="DX151" s="120"/>
      <c r="DY151" s="120"/>
      <c r="DZ151" s="120"/>
      <c r="EA151" s="122"/>
      <c r="EB151" s="122"/>
      <c r="EC151" s="122"/>
      <c r="ED151" s="122"/>
      <c r="EE151" s="122"/>
      <c r="EF151" s="122"/>
      <c r="EG151" s="122"/>
      <c r="EH151" s="122"/>
      <c r="EI151" s="122"/>
      <c r="EJ151" s="122"/>
      <c r="EK151" s="131"/>
      <c r="EL151" s="122"/>
      <c r="EM151" s="276"/>
      <c r="EN151" s="276"/>
      <c r="EO151" s="135"/>
      <c r="EP151" s="136"/>
      <c r="EQ151" s="137"/>
      <c r="ER151" s="276"/>
      <c r="ES151" s="276"/>
      <c r="ET151" s="276"/>
      <c r="EU151" s="276"/>
      <c r="EV151" s="139"/>
      <c r="EW151" s="131"/>
      <c r="EX151" s="139"/>
      <c r="EY151" s="123"/>
      <c r="EZ151" s="141"/>
      <c r="FA151" s="131"/>
      <c r="FB151" s="143"/>
      <c r="FC151" s="123"/>
      <c r="FD151" s="131"/>
      <c r="FE151" s="276"/>
      <c r="FF151" s="276"/>
      <c r="FG151" s="50"/>
    </row>
    <row r="152" spans="27:163">
      <c r="AA152" s="111" t="s">
        <v>245</v>
      </c>
      <c r="AB152" s="111" t="s">
        <v>340</v>
      </c>
      <c r="AC152" s="111">
        <v>102</v>
      </c>
      <c r="AD152" s="116">
        <v>3</v>
      </c>
      <c r="AE152" s="120">
        <v>750</v>
      </c>
      <c r="AF152" s="121">
        <v>350</v>
      </c>
      <c r="AG152" s="121">
        <v>14</v>
      </c>
      <c r="AH152" s="121">
        <v>18.000000000000004</v>
      </c>
      <c r="AI152" s="121">
        <v>714</v>
      </c>
      <c r="AJ152" s="64" t="str" cm="1">
        <f t="array" ref="AJ152">_xll.Dce_Name_SectI(AE152, AE152, AF152, AG152, AH152, "x", "-", "H Tổng")</f>
        <v>750x350x14x18</v>
      </c>
      <c r="AK152" s="122">
        <f t="shared" ref="AK152:AK215" si="75">AE152+2*(VLOOKUP(AO152,$B$13:$F$21,2,FALSE)+VLOOKUP(AO152,$B$13:$F$21,3,FALSE))</f>
        <v>1010</v>
      </c>
      <c r="AL152" s="123">
        <f t="shared" ref="AL152:AL215" si="76">IFERROR(INDEX($B$24:$B$31,IFERROR(MATCH(AF152,$B$24:$B$31,0),MATCH(AF152,$B$24:$B$31,1)+1)),$B$24)</f>
        <v>350</v>
      </c>
      <c r="AM152" s="123">
        <f t="shared" ref="AM152:AM215" si="77">IFERROR(VLOOKUP(AE152,$B$42:$F$59,4,FALSE),INDEX($E$42:$E$58,MATCH(AE152,$B$42:$B$58,1)+1))</f>
        <v>25</v>
      </c>
      <c r="AN152" s="123">
        <f t="shared" ref="AN152:AN215" si="78">IFERROR(VLOOKUP(AE152,$B$42:$F$59,2,FALSE),INDEX($C$42:$C$58,MATCH(AE152,$B$42:$B$58,1)+1))</f>
        <v>12</v>
      </c>
      <c r="AO152" s="123">
        <f t="shared" ref="AO152:AO215" si="79">IFERROR(VLOOKUP(AE152,$B$42:$F$59,3,FALSE),INDEX($D$42:$D$58,MATCH(AE152,$B$42:$B$58,1)+1))</f>
        <v>24</v>
      </c>
      <c r="AP152" s="165" t="str">
        <f t="shared" ref="AP152:AP215" si="80">AK152&amp;"x"&amp;AL152&amp;"x"&amp;AM152&amp;" + "&amp;AN152&amp;"M"&amp;AO152</f>
        <v>1010x350x25 + 12M24</v>
      </c>
      <c r="AQ152" s="111" t="s">
        <v>323</v>
      </c>
      <c r="AR152" s="120">
        <v>0</v>
      </c>
      <c r="AS152" s="120">
        <v>-188.72076185438277</v>
      </c>
      <c r="AT152" s="120">
        <v>3.1070612749317647E-14</v>
      </c>
      <c r="AU152" s="120">
        <v>6.652865268965912E-4</v>
      </c>
      <c r="AV152" s="120">
        <v>1.5277760212484278E-14</v>
      </c>
      <c r="AW152" s="120">
        <v>-142.6471919845666</v>
      </c>
      <c r="AX152" s="120"/>
      <c r="AY152" s="120"/>
      <c r="AZ152" s="120"/>
      <c r="BA152" s="122">
        <f t="shared" ref="BA152:BA215" si="81">VLOOKUP(AO152,$B$13:$F$21,2,FALSE)</f>
        <v>60</v>
      </c>
      <c r="BB152" s="122">
        <f t="shared" ref="BB152:BB215" si="82">VLOOKUP(AO152,$B$13:$F$21,3,FALSE)</f>
        <v>70</v>
      </c>
      <c r="BC152" s="122">
        <f t="shared" ref="BC152:BC215" si="83">VLOOKUP(AO152,$B$13:$F$21,4,FALSE)</f>
        <v>80</v>
      </c>
      <c r="BD152" s="122">
        <f t="shared" ref="BD152:BD215" si="84">VLOOKUP(AO152,$B$13:$F$21,5,FALSE)</f>
        <v>150</v>
      </c>
      <c r="BE152" s="122">
        <f>VLOOKUP(AO152,Data!$V$4:$Z$15,3,FALSE)</f>
        <v>452.38934211693021</v>
      </c>
      <c r="BF152" s="122">
        <f>VLOOKUP(AO152,Data!$V$4:$Z$15,4,FALSE)</f>
        <v>353</v>
      </c>
      <c r="BG152" s="163">
        <f t="shared" ref="BG152:BG215" si="85">VLOOKUP(AL152,$B$24:$C$39,2,FALSE)</f>
        <v>180</v>
      </c>
      <c r="BH152" s="122">
        <f t="shared" ref="BH152:BH215" si="86">$R$17*BE152*$R$23*$R$24*$R$25/1000</f>
        <v>121.65654188208487</v>
      </c>
      <c r="BI152" s="122">
        <f t="shared" ref="BI152:BI215" si="87">$R$19*AO152*AM152*$R$24*$R$25/1000</f>
        <v>243</v>
      </c>
      <c r="BJ152" s="163">
        <f t="shared" ref="BJ152:BJ215" si="88">$R$18*BF152*$R$24/1000</f>
        <v>142.3296</v>
      </c>
      <c r="BK152" s="131">
        <f t="shared" ref="BK152:BK215" si="89">ABS(AS152)/AN152</f>
        <v>15.726730154531898</v>
      </c>
      <c r="BL152" s="134">
        <f t="shared" ref="BL152:BL215" si="90">MIN(1,MAX(0.75,1-0.005*(BO152/AO152-16)))</f>
        <v>0.89458333333333329</v>
      </c>
      <c r="BM152" s="135">
        <f t="shared" ref="BM152:BM215" si="91">BK152/(BL152*MIN(BH152,BI152))</f>
        <v>0.14450476396931483</v>
      </c>
      <c r="BN152" s="92" t="str">
        <f t="shared" ref="BN152:BN215" si="92">IF(BM152&lt;=1,"OK","O/S")</f>
        <v>OK</v>
      </c>
      <c r="BO152" s="135">
        <f>_xll.DCEBoltDisRS(AN152, AE152, BA152, BB152, BC152, BD152, "h1")</f>
        <v>890</v>
      </c>
      <c r="BP152" s="136">
        <f>_xll.DCEBoltDisRS(AN152, AE152, BA152, BB152, BC152, BD152, "Tong")</f>
        <v>1800300</v>
      </c>
      <c r="BQ152" s="137">
        <f t="shared" ref="BQ152:BQ215" si="93">ABS(AW152)*1000*BO152/(2*BP152)+AR152/AN152</f>
        <v>35.259679182987355</v>
      </c>
      <c r="BR152" s="135">
        <f t="shared" ref="BR152:BR215" si="94">BQ152/BJ152</f>
        <v>0.2477325811566066</v>
      </c>
      <c r="BS152" s="64" t="str">
        <f t="shared" ref="BS152:BS215" si="95">IF(BR152&lt;=1,"OK","O/S")</f>
        <v>OK</v>
      </c>
      <c r="BT152" s="131">
        <f t="shared" ref="BT152:BT215" si="96">SQRT((BK152/BH152)^2+(BQ152/BJ152)^2)</f>
        <v>0.27943257915606423</v>
      </c>
      <c r="BU152" s="92" t="str">
        <f t="shared" ref="BU152:BU215" si="97">IF(BT152&lt;=1,"OK","O/S")</f>
        <v>OK</v>
      </c>
      <c r="BV152" s="139">
        <f t="shared" ref="BV152:BV215" si="98">ABS(ABS(AW152)/((AE152-AH152)/1000)+AR152)</f>
        <v>194.87321309367022</v>
      </c>
      <c r="BW152" s="131">
        <f t="shared" ref="BW152:BW215" si="99">BV152*(BG152/1000)/8</f>
        <v>4.3846472946075794</v>
      </c>
      <c r="BX152" s="139">
        <f t="shared" ref="BX152:BX215" si="100">BV152/2</f>
        <v>97.436606546835108</v>
      </c>
      <c r="BY152" s="123">
        <f t="shared" ref="BY152:BY215" si="101">6*BW152*1000000/(AK152*AM152^2)</f>
        <v>41.675855473497791</v>
      </c>
      <c r="BZ152" s="141">
        <f t="shared" ref="BZ152:BZ215" si="102">BY152/($R$32*$R$30)</f>
        <v>0.20259096410728095</v>
      </c>
      <c r="CA152" s="131">
        <f t="shared" ref="CA152:CA215" si="103">BX152*1000/(AK152*AM152)</f>
        <v>3.8588755068053513</v>
      </c>
      <c r="CB152" s="143">
        <f t="shared" ref="CB152:CB215" si="104">CA152/($R$32*$R$31)</f>
        <v>3.2342107935389684E-2</v>
      </c>
      <c r="CC152" s="123">
        <f t="shared" ref="CC152:CC215" si="105">SQRT(BY152^2+3*CA152^2)</f>
        <v>42.208407811465037</v>
      </c>
      <c r="CD152" s="131">
        <f t="shared" ref="CD152:CD215" si="106">CC152/(1.15*$R$32*$R$30)</f>
        <v>0.17841718277793195</v>
      </c>
      <c r="CE152" s="135">
        <f t="shared" ref="CE152:CE215" si="107">MAX(BZ152,CB152,CD152)</f>
        <v>0.20259096410728095</v>
      </c>
      <c r="CF152" s="92" t="str">
        <f t="shared" ref="CF152:CF215" si="108">IF(CE152&lt;=1,"OK","O/S")</f>
        <v>OK</v>
      </c>
      <c r="CG152" s="50"/>
      <c r="DA152" s="111"/>
      <c r="DB152" s="111"/>
      <c r="DC152" s="111"/>
      <c r="DD152" s="116"/>
      <c r="DE152" s="120"/>
      <c r="DF152" s="121"/>
      <c r="DG152" s="121"/>
      <c r="DH152" s="121"/>
      <c r="DI152" s="121"/>
      <c r="DJ152" s="121"/>
      <c r="DK152" s="122"/>
      <c r="DL152" s="123"/>
      <c r="DM152" s="123"/>
      <c r="DN152" s="123"/>
      <c r="DO152" s="123"/>
      <c r="DP152" s="123"/>
      <c r="DQ152" s="111"/>
      <c r="DR152" s="120"/>
      <c r="DS152" s="120"/>
      <c r="DT152" s="120"/>
      <c r="DU152" s="120"/>
      <c r="DV152" s="120"/>
      <c r="DW152" s="120"/>
      <c r="DX152" s="120"/>
      <c r="DY152" s="120"/>
      <c r="DZ152" s="120"/>
      <c r="EA152" s="122"/>
      <c r="EB152" s="122"/>
      <c r="EC152" s="122"/>
      <c r="ED152" s="122"/>
      <c r="EE152" s="122"/>
      <c r="EF152" s="122"/>
      <c r="EG152" s="122"/>
      <c r="EH152" s="122"/>
      <c r="EI152" s="122"/>
      <c r="EJ152" s="122"/>
      <c r="EK152" s="131"/>
      <c r="EL152" s="122"/>
      <c r="EM152" s="276"/>
      <c r="EN152" s="276"/>
      <c r="EO152" s="135"/>
      <c r="EP152" s="136"/>
      <c r="EQ152" s="137"/>
      <c r="ER152" s="276"/>
      <c r="ES152" s="276"/>
      <c r="ET152" s="276"/>
      <c r="EU152" s="276"/>
      <c r="EV152" s="139"/>
      <c r="EW152" s="131"/>
      <c r="EX152" s="139"/>
      <c r="EY152" s="123"/>
      <c r="EZ152" s="141"/>
      <c r="FA152" s="131"/>
      <c r="FB152" s="143"/>
      <c r="FC152" s="123"/>
      <c r="FD152" s="131"/>
      <c r="FE152" s="276"/>
      <c r="FF152" s="276"/>
      <c r="FG152" s="50"/>
    </row>
    <row r="153" spans="27:163">
      <c r="AA153" s="111" t="s">
        <v>245</v>
      </c>
      <c r="AB153" s="111" t="s">
        <v>340</v>
      </c>
      <c r="AC153" s="111">
        <v>102</v>
      </c>
      <c r="AD153" s="116">
        <v>0.3</v>
      </c>
      <c r="AE153" s="120">
        <v>1100</v>
      </c>
      <c r="AF153" s="121">
        <v>350</v>
      </c>
      <c r="AG153" s="121">
        <v>14</v>
      </c>
      <c r="AH153" s="121">
        <v>18.000000000000004</v>
      </c>
      <c r="AI153" s="121">
        <v>1064</v>
      </c>
      <c r="AJ153" s="64" t="str" cm="1">
        <f t="array" ref="AJ153">_xll.Dce_Name_SectI(AE153, AE153, AF153, AG153, AH153, "x", "-", "H Tổng")</f>
        <v>1100x350x14x18</v>
      </c>
      <c r="AK153" s="122">
        <f t="shared" si="75"/>
        <v>1360</v>
      </c>
      <c r="AL153" s="123">
        <f t="shared" si="76"/>
        <v>350</v>
      </c>
      <c r="AM153" s="123">
        <f t="shared" si="77"/>
        <v>25</v>
      </c>
      <c r="AN153" s="123">
        <f t="shared" si="78"/>
        <v>16</v>
      </c>
      <c r="AO153" s="123">
        <f t="shared" si="79"/>
        <v>27</v>
      </c>
      <c r="AP153" s="165" t="str">
        <f t="shared" si="80"/>
        <v>1360x350x25 + 16M27</v>
      </c>
      <c r="AQ153" s="111" t="s">
        <v>324</v>
      </c>
      <c r="AR153" s="120">
        <v>0</v>
      </c>
      <c r="AS153" s="120">
        <v>-630.50584200226649</v>
      </c>
      <c r="AT153" s="120">
        <v>3.0587443689000788E-14</v>
      </c>
      <c r="AU153" s="120">
        <v>1.6091346421247244E-3</v>
      </c>
      <c r="AV153" s="120">
        <v>-9.2137838691996877E-15</v>
      </c>
      <c r="AW153" s="120">
        <v>-1897.0564085102362</v>
      </c>
      <c r="AX153" s="120"/>
      <c r="AY153" s="120"/>
      <c r="AZ153" s="120"/>
      <c r="BA153" s="122">
        <f t="shared" si="81"/>
        <v>60</v>
      </c>
      <c r="BB153" s="122">
        <f t="shared" si="82"/>
        <v>70</v>
      </c>
      <c r="BC153" s="122">
        <f t="shared" si="83"/>
        <v>80</v>
      </c>
      <c r="BD153" s="122">
        <f t="shared" si="84"/>
        <v>160</v>
      </c>
      <c r="BE153" s="122">
        <f>VLOOKUP(AO153,Data!$V$4:$Z$15,3,FALSE)</f>
        <v>572.55526111673976</v>
      </c>
      <c r="BF153" s="122">
        <f>VLOOKUP(AO153,Data!$V$4:$Z$15,4,FALSE)</f>
        <v>459</v>
      </c>
      <c r="BG153" s="163">
        <f t="shared" si="85"/>
        <v>180</v>
      </c>
      <c r="BH153" s="122">
        <f t="shared" si="86"/>
        <v>153.97156081951366</v>
      </c>
      <c r="BI153" s="122">
        <f t="shared" si="87"/>
        <v>273.375</v>
      </c>
      <c r="BJ153" s="163">
        <f t="shared" si="88"/>
        <v>185.06880000000001</v>
      </c>
      <c r="BK153" s="131">
        <f t="shared" si="89"/>
        <v>39.406615125141656</v>
      </c>
      <c r="BL153" s="134">
        <f t="shared" si="90"/>
        <v>0.85037037037037044</v>
      </c>
      <c r="BM153" s="135">
        <f t="shared" si="91"/>
        <v>0.3009681234454526</v>
      </c>
      <c r="BN153" s="92" t="str">
        <f t="shared" si="92"/>
        <v>OK</v>
      </c>
      <c r="BO153" s="135">
        <f>_xll.DCEBoltDisRS(AN153, AE153, BA153, BB153, BC153, BD153, "h1")</f>
        <v>1240</v>
      </c>
      <c r="BP153" s="136">
        <f>_xll.DCEBoltDisRS(AN153, AE153, BA153, BB153, BC153, BD153, "Tong")</f>
        <v>4523000</v>
      </c>
      <c r="BQ153" s="137">
        <f t="shared" si="93"/>
        <v>260.04310706972063</v>
      </c>
      <c r="BR153" s="135">
        <f t="shared" si="94"/>
        <v>1.4051158653955751</v>
      </c>
      <c r="BS153" s="64" t="str">
        <f t="shared" si="95"/>
        <v>O/S</v>
      </c>
      <c r="BT153" s="131">
        <f t="shared" si="96"/>
        <v>1.4282342242399488</v>
      </c>
      <c r="BU153" s="92" t="str">
        <f t="shared" si="97"/>
        <v>O/S</v>
      </c>
      <c r="BV153" s="139">
        <f t="shared" si="98"/>
        <v>1753.2868840205508</v>
      </c>
      <c r="BW153" s="131">
        <f t="shared" si="99"/>
        <v>39.448954890462389</v>
      </c>
      <c r="BX153" s="139">
        <f t="shared" si="100"/>
        <v>876.64344201027541</v>
      </c>
      <c r="BY153" s="123">
        <f t="shared" si="101"/>
        <v>278.46321099149924</v>
      </c>
      <c r="BZ153" s="141">
        <f t="shared" si="102"/>
        <v>1.3536406089864548</v>
      </c>
      <c r="CA153" s="131">
        <f t="shared" si="103"/>
        <v>25.783630647361043</v>
      </c>
      <c r="CB153" s="143">
        <f t="shared" si="104"/>
        <v>0.21609843693908923</v>
      </c>
      <c r="CC153" s="123">
        <f t="shared" si="105"/>
        <v>282.02153588649014</v>
      </c>
      <c r="CD153" s="131">
        <f t="shared" si="106"/>
        <v>1.1921200188438594</v>
      </c>
      <c r="CE153" s="135">
        <f t="shared" si="107"/>
        <v>1.3536406089864548</v>
      </c>
      <c r="CF153" s="92" t="str">
        <f t="shared" si="108"/>
        <v>O/S</v>
      </c>
      <c r="CG153" s="50"/>
      <c r="DA153" s="111"/>
      <c r="DB153" s="111"/>
      <c r="DC153" s="111"/>
      <c r="DD153" s="116"/>
      <c r="DE153" s="120"/>
      <c r="DF153" s="121"/>
      <c r="DG153" s="121"/>
      <c r="DH153" s="121"/>
      <c r="DI153" s="121"/>
      <c r="DJ153" s="121"/>
      <c r="DK153" s="122"/>
      <c r="DL153" s="123"/>
      <c r="DM153" s="123"/>
      <c r="DN153" s="123"/>
      <c r="DO153" s="123"/>
      <c r="DP153" s="123"/>
      <c r="DQ153" s="111"/>
      <c r="DR153" s="120"/>
      <c r="DS153" s="120"/>
      <c r="DT153" s="120"/>
      <c r="DU153" s="120"/>
      <c r="DV153" s="120"/>
      <c r="DW153" s="120"/>
      <c r="DX153" s="120"/>
      <c r="DY153" s="120"/>
      <c r="DZ153" s="120"/>
      <c r="EA153" s="122"/>
      <c r="EB153" s="122"/>
      <c r="EC153" s="122"/>
      <c r="ED153" s="122"/>
      <c r="EE153" s="122"/>
      <c r="EF153" s="122"/>
      <c r="EG153" s="122"/>
      <c r="EH153" s="122"/>
      <c r="EI153" s="122"/>
      <c r="EJ153" s="122"/>
      <c r="EK153" s="131"/>
      <c r="EL153" s="122"/>
      <c r="EM153" s="276"/>
      <c r="EN153" s="276"/>
      <c r="EO153" s="135"/>
      <c r="EP153" s="136"/>
      <c r="EQ153" s="137"/>
      <c r="ER153" s="276"/>
      <c r="ES153" s="276"/>
      <c r="ET153" s="276"/>
      <c r="EU153" s="276"/>
      <c r="EV153" s="139"/>
      <c r="EW153" s="131"/>
      <c r="EX153" s="139"/>
      <c r="EY153" s="123"/>
      <c r="EZ153" s="141"/>
      <c r="FA153" s="131"/>
      <c r="FB153" s="143"/>
      <c r="FC153" s="123"/>
      <c r="FD153" s="131"/>
      <c r="FE153" s="276"/>
      <c r="FF153" s="276"/>
      <c r="FG153" s="50"/>
    </row>
    <row r="154" spans="27:163">
      <c r="AA154" s="111" t="s">
        <v>245</v>
      </c>
      <c r="AB154" s="111" t="s">
        <v>340</v>
      </c>
      <c r="AC154" s="111">
        <v>102</v>
      </c>
      <c r="AD154" s="116">
        <v>3</v>
      </c>
      <c r="AE154" s="120">
        <v>750</v>
      </c>
      <c r="AF154" s="121">
        <v>350</v>
      </c>
      <c r="AG154" s="121">
        <v>14</v>
      </c>
      <c r="AH154" s="121">
        <v>18.000000000000004</v>
      </c>
      <c r="AI154" s="121">
        <v>714</v>
      </c>
      <c r="AJ154" s="64" t="str" cm="1">
        <f t="array" ref="AJ154">_xll.Dce_Name_SectI(AE154, AE154, AF154, AG154, AH154, "x", "-", "H Tổng")</f>
        <v>750x350x14x18</v>
      </c>
      <c r="AK154" s="122">
        <f t="shared" si="75"/>
        <v>1010</v>
      </c>
      <c r="AL154" s="123">
        <f t="shared" si="76"/>
        <v>350</v>
      </c>
      <c r="AM154" s="123">
        <f t="shared" si="77"/>
        <v>25</v>
      </c>
      <c r="AN154" s="123">
        <f t="shared" si="78"/>
        <v>12</v>
      </c>
      <c r="AO154" s="123">
        <f t="shared" si="79"/>
        <v>24</v>
      </c>
      <c r="AP154" s="165" t="str">
        <f t="shared" si="80"/>
        <v>1010x350x25 + 12M24</v>
      </c>
      <c r="AQ154" s="111" t="s">
        <v>324</v>
      </c>
      <c r="AR154" s="120">
        <v>0</v>
      </c>
      <c r="AS154" s="120">
        <v>-449.0359828489776</v>
      </c>
      <c r="AT154" s="120">
        <v>-1.8771970644593236E-13</v>
      </c>
      <c r="AU154" s="120">
        <v>1.60940134990767E-3</v>
      </c>
      <c r="AV154" s="120">
        <v>3.1069212127476922E-13</v>
      </c>
      <c r="AW154" s="120">
        <v>-396.13868437975367</v>
      </c>
      <c r="AX154" s="120"/>
      <c r="AY154" s="120"/>
      <c r="AZ154" s="120"/>
      <c r="BA154" s="122">
        <f t="shared" si="81"/>
        <v>60</v>
      </c>
      <c r="BB154" s="122">
        <f t="shared" si="82"/>
        <v>70</v>
      </c>
      <c r="BC154" s="122">
        <f t="shared" si="83"/>
        <v>80</v>
      </c>
      <c r="BD154" s="122">
        <f t="shared" si="84"/>
        <v>150</v>
      </c>
      <c r="BE154" s="122">
        <f>VLOOKUP(AO154,Data!$V$4:$Z$15,3,FALSE)</f>
        <v>452.38934211693021</v>
      </c>
      <c r="BF154" s="122">
        <f>VLOOKUP(AO154,Data!$V$4:$Z$15,4,FALSE)</f>
        <v>353</v>
      </c>
      <c r="BG154" s="163">
        <f t="shared" si="85"/>
        <v>180</v>
      </c>
      <c r="BH154" s="122">
        <f t="shared" si="86"/>
        <v>121.65654188208487</v>
      </c>
      <c r="BI154" s="122">
        <f t="shared" si="87"/>
        <v>243</v>
      </c>
      <c r="BJ154" s="163">
        <f t="shared" si="88"/>
        <v>142.3296</v>
      </c>
      <c r="BK154" s="131">
        <f t="shared" si="89"/>
        <v>37.419665237414797</v>
      </c>
      <c r="BL154" s="134">
        <f t="shared" si="90"/>
        <v>0.89458333333333329</v>
      </c>
      <c r="BM154" s="135">
        <f t="shared" si="91"/>
        <v>0.34382988960901062</v>
      </c>
      <c r="BN154" s="92" t="str">
        <f t="shared" si="92"/>
        <v>OK</v>
      </c>
      <c r="BO154" s="135">
        <f>_xll.DCEBoltDisRS(AN154, AE154, BA154, BB154, BC154, BD154, "h1")</f>
        <v>890</v>
      </c>
      <c r="BP154" s="136">
        <f>_xll.DCEBoltDisRS(AN154, AE154, BA154, BB154, BC154, BD154, "Tong")</f>
        <v>1800300</v>
      </c>
      <c r="BQ154" s="137">
        <f t="shared" si="93"/>
        <v>97.917966199516954</v>
      </c>
      <c r="BR154" s="135">
        <f t="shared" si="94"/>
        <v>0.68796628529495585</v>
      </c>
      <c r="BS154" s="64" t="str">
        <f t="shared" si="95"/>
        <v>OK</v>
      </c>
      <c r="BT154" s="131">
        <f t="shared" si="96"/>
        <v>0.75359526764684248</v>
      </c>
      <c r="BU154" s="92" t="str">
        <f t="shared" si="97"/>
        <v>OK</v>
      </c>
      <c r="BV154" s="139">
        <f t="shared" si="98"/>
        <v>541.17306609255968</v>
      </c>
      <c r="BW154" s="131">
        <f t="shared" si="99"/>
        <v>12.176393987082593</v>
      </c>
      <c r="BX154" s="139">
        <f t="shared" si="100"/>
        <v>270.58653304627984</v>
      </c>
      <c r="BY154" s="123">
        <f t="shared" si="101"/>
        <v>115.73602205543851</v>
      </c>
      <c r="BZ154" s="141">
        <f t="shared" si="102"/>
        <v>0.56260566276949286</v>
      </c>
      <c r="CA154" s="131">
        <f t="shared" si="103"/>
        <v>10.71629833846653</v>
      </c>
      <c r="CB154" s="143">
        <f t="shared" si="104"/>
        <v>8.9815718832933086E-2</v>
      </c>
      <c r="CC154" s="123">
        <f t="shared" si="105"/>
        <v>117.21494764514469</v>
      </c>
      <c r="CD154" s="131">
        <f t="shared" si="106"/>
        <v>0.49547381250966965</v>
      </c>
      <c r="CE154" s="135">
        <f t="shared" si="107"/>
        <v>0.56260566276949286</v>
      </c>
      <c r="CF154" s="92" t="str">
        <f t="shared" si="108"/>
        <v>OK</v>
      </c>
      <c r="CG154" s="50"/>
      <c r="DA154" s="111"/>
      <c r="DB154" s="111"/>
      <c r="DC154" s="111"/>
      <c r="DD154" s="116"/>
      <c r="DE154" s="120"/>
      <c r="DF154" s="121"/>
      <c r="DG154" s="121"/>
      <c r="DH154" s="121"/>
      <c r="DI154" s="121"/>
      <c r="DJ154" s="121"/>
      <c r="DK154" s="122"/>
      <c r="DL154" s="123"/>
      <c r="DM154" s="123"/>
      <c r="DN154" s="123"/>
      <c r="DO154" s="123"/>
      <c r="DP154" s="123"/>
      <c r="DQ154" s="111"/>
      <c r="DR154" s="120"/>
      <c r="DS154" s="120"/>
      <c r="DT154" s="120"/>
      <c r="DU154" s="120"/>
      <c r="DV154" s="120"/>
      <c r="DW154" s="120"/>
      <c r="DX154" s="120"/>
      <c r="DY154" s="120"/>
      <c r="DZ154" s="120"/>
      <c r="EA154" s="122"/>
      <c r="EB154" s="122"/>
      <c r="EC154" s="122"/>
      <c r="ED154" s="122"/>
      <c r="EE154" s="122"/>
      <c r="EF154" s="122"/>
      <c r="EG154" s="122"/>
      <c r="EH154" s="122"/>
      <c r="EI154" s="122"/>
      <c r="EJ154" s="122"/>
      <c r="EK154" s="131"/>
      <c r="EL154" s="122"/>
      <c r="EM154" s="276"/>
      <c r="EN154" s="276"/>
      <c r="EO154" s="135"/>
      <c r="EP154" s="136"/>
      <c r="EQ154" s="137"/>
      <c r="ER154" s="276"/>
      <c r="ES154" s="276"/>
      <c r="ET154" s="276"/>
      <c r="EU154" s="276"/>
      <c r="EV154" s="139"/>
      <c r="EW154" s="131"/>
      <c r="EX154" s="139"/>
      <c r="EY154" s="123"/>
      <c r="EZ154" s="141"/>
      <c r="FA154" s="131"/>
      <c r="FB154" s="143"/>
      <c r="FC154" s="123"/>
      <c r="FD154" s="131"/>
      <c r="FE154" s="276"/>
      <c r="FF154" s="276"/>
      <c r="FG154" s="50"/>
    </row>
    <row r="155" spans="27:163">
      <c r="AA155" s="111" t="s">
        <v>245</v>
      </c>
      <c r="AB155" s="111" t="s">
        <v>340</v>
      </c>
      <c r="AC155" s="111">
        <v>102</v>
      </c>
      <c r="AD155" s="116">
        <v>0.3</v>
      </c>
      <c r="AE155" s="120">
        <v>1100</v>
      </c>
      <c r="AF155" s="121">
        <v>350</v>
      </c>
      <c r="AG155" s="121">
        <v>14</v>
      </c>
      <c r="AH155" s="121">
        <v>18.000000000000004</v>
      </c>
      <c r="AI155" s="121">
        <v>1064</v>
      </c>
      <c r="AJ155" s="64" t="str" cm="1">
        <f t="array" ref="AJ155">_xll.Dce_Name_SectI(AE155, AE155, AF155, AG155, AH155, "x", "-", "H Tổng")</f>
        <v>1100x350x14x18</v>
      </c>
      <c r="AK155" s="122">
        <f t="shared" si="75"/>
        <v>1360</v>
      </c>
      <c r="AL155" s="123">
        <f t="shared" si="76"/>
        <v>350</v>
      </c>
      <c r="AM155" s="123">
        <f t="shared" si="77"/>
        <v>25</v>
      </c>
      <c r="AN155" s="123">
        <f t="shared" si="78"/>
        <v>16</v>
      </c>
      <c r="AO155" s="123">
        <f t="shared" si="79"/>
        <v>27</v>
      </c>
      <c r="AP155" s="165" t="str">
        <f t="shared" si="80"/>
        <v>1360x350x25 + 16M27</v>
      </c>
      <c r="AQ155" s="111" t="s">
        <v>325</v>
      </c>
      <c r="AR155" s="120">
        <v>0</v>
      </c>
      <c r="AS155" s="120">
        <v>-627.6145957794688</v>
      </c>
      <c r="AT155" s="120">
        <v>1.1789893505920188E-13</v>
      </c>
      <c r="AU155" s="120">
        <v>2.0427718212494635E-3</v>
      </c>
      <c r="AV155" s="120">
        <v>-3.4534116366558005E-14</v>
      </c>
      <c r="AW155" s="120">
        <v>-1866.1594018207734</v>
      </c>
      <c r="AX155" s="120"/>
      <c r="AY155" s="120"/>
      <c r="AZ155" s="120"/>
      <c r="BA155" s="122">
        <f t="shared" si="81"/>
        <v>60</v>
      </c>
      <c r="BB155" s="122">
        <f t="shared" si="82"/>
        <v>70</v>
      </c>
      <c r="BC155" s="122">
        <f t="shared" si="83"/>
        <v>80</v>
      </c>
      <c r="BD155" s="122">
        <f t="shared" si="84"/>
        <v>160</v>
      </c>
      <c r="BE155" s="122">
        <f>VLOOKUP(AO155,Data!$V$4:$Z$15,3,FALSE)</f>
        <v>572.55526111673976</v>
      </c>
      <c r="BF155" s="122">
        <f>VLOOKUP(AO155,Data!$V$4:$Z$15,4,FALSE)</f>
        <v>459</v>
      </c>
      <c r="BG155" s="163">
        <f t="shared" si="85"/>
        <v>180</v>
      </c>
      <c r="BH155" s="122">
        <f t="shared" si="86"/>
        <v>153.97156081951366</v>
      </c>
      <c r="BI155" s="122">
        <f t="shared" si="87"/>
        <v>273.375</v>
      </c>
      <c r="BJ155" s="163">
        <f t="shared" si="88"/>
        <v>185.06880000000001</v>
      </c>
      <c r="BK155" s="131">
        <f t="shared" si="89"/>
        <v>39.2259122362168</v>
      </c>
      <c r="BL155" s="134">
        <f t="shared" si="90"/>
        <v>0.85037037037037044</v>
      </c>
      <c r="BM155" s="135">
        <f t="shared" si="91"/>
        <v>0.29958800467077035</v>
      </c>
      <c r="BN155" s="92" t="str">
        <f t="shared" si="92"/>
        <v>OK</v>
      </c>
      <c r="BO155" s="135">
        <f>_xll.DCEBoltDisRS(AN155, AE155, BA155, BB155, BC155, BD155, "h1")</f>
        <v>1240</v>
      </c>
      <c r="BP155" s="136">
        <f>_xll.DCEBoltDisRS(AN155, AE155, BA155, BB155, BC155, BD155, "Tong")</f>
        <v>4523000</v>
      </c>
      <c r="BQ155" s="137">
        <f t="shared" si="93"/>
        <v>255.80783310388671</v>
      </c>
      <c r="BR155" s="135">
        <f t="shared" si="94"/>
        <v>1.3822310033019434</v>
      </c>
      <c r="BS155" s="64" t="str">
        <f t="shared" si="95"/>
        <v>O/S</v>
      </c>
      <c r="BT155" s="131">
        <f t="shared" si="96"/>
        <v>1.4055125729049129</v>
      </c>
      <c r="BU155" s="92" t="str">
        <f t="shared" si="97"/>
        <v>O/S</v>
      </c>
      <c r="BV155" s="139">
        <f t="shared" si="98"/>
        <v>1724.7314249729882</v>
      </c>
      <c r="BW155" s="131">
        <f t="shared" si="99"/>
        <v>38.806457061892232</v>
      </c>
      <c r="BX155" s="139">
        <f t="shared" si="100"/>
        <v>862.36571248649409</v>
      </c>
      <c r="BY155" s="123">
        <f t="shared" si="101"/>
        <v>273.92793220159223</v>
      </c>
      <c r="BZ155" s="141">
        <f t="shared" si="102"/>
        <v>1.3315941148688513</v>
      </c>
      <c r="CA155" s="131">
        <f t="shared" si="103"/>
        <v>25.363697426073355</v>
      </c>
      <c r="CB155" s="143">
        <f t="shared" si="104"/>
        <v>0.21257888168404393</v>
      </c>
      <c r="CC155" s="123">
        <f t="shared" si="105"/>
        <v>277.42830331745949</v>
      </c>
      <c r="CD155" s="131">
        <f t="shared" si="106"/>
        <v>1.1727041806897445</v>
      </c>
      <c r="CE155" s="135">
        <f t="shared" si="107"/>
        <v>1.3315941148688513</v>
      </c>
      <c r="CF155" s="92" t="str">
        <f t="shared" si="108"/>
        <v>O/S</v>
      </c>
      <c r="CG155" s="50"/>
      <c r="DA155" s="111"/>
      <c r="DB155" s="111"/>
      <c r="DC155" s="111"/>
      <c r="DD155" s="116"/>
      <c r="DE155" s="120"/>
      <c r="DF155" s="121"/>
      <c r="DG155" s="121"/>
      <c r="DH155" s="121"/>
      <c r="DI155" s="121"/>
      <c r="DJ155" s="121"/>
      <c r="DK155" s="122"/>
      <c r="DL155" s="123"/>
      <c r="DM155" s="123"/>
      <c r="DN155" s="123"/>
      <c r="DO155" s="123"/>
      <c r="DP155" s="123"/>
      <c r="DQ155" s="111"/>
      <c r="DR155" s="120"/>
      <c r="DS155" s="120"/>
      <c r="DT155" s="120"/>
      <c r="DU155" s="120"/>
      <c r="DV155" s="120"/>
      <c r="DW155" s="120"/>
      <c r="DX155" s="120"/>
      <c r="DY155" s="120"/>
      <c r="DZ155" s="120"/>
      <c r="EA155" s="122"/>
      <c r="EB155" s="122"/>
      <c r="EC155" s="122"/>
      <c r="ED155" s="122"/>
      <c r="EE155" s="122"/>
      <c r="EF155" s="122"/>
      <c r="EG155" s="122"/>
      <c r="EH155" s="122"/>
      <c r="EI155" s="122"/>
      <c r="EJ155" s="122"/>
      <c r="EK155" s="131"/>
      <c r="EL155" s="122"/>
      <c r="EM155" s="276"/>
      <c r="EN155" s="276"/>
      <c r="EO155" s="135"/>
      <c r="EP155" s="136"/>
      <c r="EQ155" s="137"/>
      <c r="ER155" s="276"/>
      <c r="ES155" s="276"/>
      <c r="ET155" s="276"/>
      <c r="EU155" s="276"/>
      <c r="EV155" s="139"/>
      <c r="EW155" s="131"/>
      <c r="EX155" s="139"/>
      <c r="EY155" s="123"/>
      <c r="EZ155" s="141"/>
      <c r="FA155" s="131"/>
      <c r="FB155" s="143"/>
      <c r="FC155" s="123"/>
      <c r="FD155" s="131"/>
      <c r="FE155" s="276"/>
      <c r="FF155" s="276"/>
      <c r="FG155" s="50"/>
    </row>
    <row r="156" spans="27:163">
      <c r="AA156" s="111" t="s">
        <v>245</v>
      </c>
      <c r="AB156" s="111" t="s">
        <v>340</v>
      </c>
      <c r="AC156" s="111">
        <v>102</v>
      </c>
      <c r="AD156" s="116">
        <v>3</v>
      </c>
      <c r="AE156" s="120">
        <v>750</v>
      </c>
      <c r="AF156" s="121">
        <v>350</v>
      </c>
      <c r="AG156" s="121">
        <v>14</v>
      </c>
      <c r="AH156" s="121">
        <v>18.000000000000004</v>
      </c>
      <c r="AI156" s="121">
        <v>714</v>
      </c>
      <c r="AJ156" s="64" t="str" cm="1">
        <f t="array" ref="AJ156">_xll.Dce_Name_SectI(AE156, AE156, AF156, AG156, AH156, "x", "-", "H Tổng")</f>
        <v>750x350x14x18</v>
      </c>
      <c r="AK156" s="122">
        <f t="shared" si="75"/>
        <v>1010</v>
      </c>
      <c r="AL156" s="123">
        <f t="shared" si="76"/>
        <v>350</v>
      </c>
      <c r="AM156" s="123">
        <f t="shared" si="77"/>
        <v>25</v>
      </c>
      <c r="AN156" s="123">
        <f t="shared" si="78"/>
        <v>12</v>
      </c>
      <c r="AO156" s="123">
        <f t="shared" si="79"/>
        <v>24</v>
      </c>
      <c r="AP156" s="165" t="str">
        <f t="shared" si="80"/>
        <v>1010x350x25 + 12M24</v>
      </c>
      <c r="AQ156" s="111" t="s">
        <v>325</v>
      </c>
      <c r="AR156" s="120">
        <v>0</v>
      </c>
      <c r="AS156" s="120">
        <v>-446.14473778433774</v>
      </c>
      <c r="AT156" s="120">
        <v>5.1077222451567639E-13</v>
      </c>
      <c r="AU156" s="120">
        <v>2.0431100431123651E-3</v>
      </c>
      <c r="AV156" s="120">
        <v>-2.1224550437182186E-13</v>
      </c>
      <c r="AW156" s="120">
        <v>-373.04811002796828</v>
      </c>
      <c r="AX156" s="120"/>
      <c r="AY156" s="120"/>
      <c r="AZ156" s="120"/>
      <c r="BA156" s="122">
        <f t="shared" si="81"/>
        <v>60</v>
      </c>
      <c r="BB156" s="122">
        <f t="shared" si="82"/>
        <v>70</v>
      </c>
      <c r="BC156" s="122">
        <f t="shared" si="83"/>
        <v>80</v>
      </c>
      <c r="BD156" s="122">
        <f t="shared" si="84"/>
        <v>150</v>
      </c>
      <c r="BE156" s="122">
        <f>VLOOKUP(AO156,Data!$V$4:$Z$15,3,FALSE)</f>
        <v>452.38934211693021</v>
      </c>
      <c r="BF156" s="122">
        <f>VLOOKUP(AO156,Data!$V$4:$Z$15,4,FALSE)</f>
        <v>353</v>
      </c>
      <c r="BG156" s="163">
        <f t="shared" si="85"/>
        <v>180</v>
      </c>
      <c r="BH156" s="122">
        <f t="shared" si="86"/>
        <v>121.65654188208487</v>
      </c>
      <c r="BI156" s="122">
        <f t="shared" si="87"/>
        <v>243</v>
      </c>
      <c r="BJ156" s="163">
        <f t="shared" si="88"/>
        <v>142.3296</v>
      </c>
      <c r="BK156" s="131">
        <f t="shared" si="89"/>
        <v>37.178728148694809</v>
      </c>
      <c r="BL156" s="134">
        <f t="shared" si="90"/>
        <v>0.89458333333333329</v>
      </c>
      <c r="BM156" s="135">
        <f t="shared" si="91"/>
        <v>0.34161604370494625</v>
      </c>
      <c r="BN156" s="92" t="str">
        <f t="shared" si="92"/>
        <v>OK</v>
      </c>
      <c r="BO156" s="135">
        <f>_xll.DCEBoltDisRS(AN156, AE156, BA156, BB156, BC156, BD156, "h1")</f>
        <v>890</v>
      </c>
      <c r="BP156" s="136">
        <f>_xll.DCEBoltDisRS(AN156, AE156, BA156, BB156, BC156, BD156, "Tong")</f>
        <v>1800300</v>
      </c>
      <c r="BQ156" s="137">
        <f t="shared" si="93"/>
        <v>92.210414354521959</v>
      </c>
      <c r="BR156" s="135">
        <f t="shared" si="94"/>
        <v>0.64786533760034426</v>
      </c>
      <c r="BS156" s="64" t="str">
        <f t="shared" si="95"/>
        <v>OK</v>
      </c>
      <c r="BT156" s="131">
        <f t="shared" si="96"/>
        <v>0.71632626096820262</v>
      </c>
      <c r="BU156" s="92" t="str">
        <f t="shared" si="97"/>
        <v>OK</v>
      </c>
      <c r="BV156" s="139">
        <f t="shared" si="98"/>
        <v>509.62856561197856</v>
      </c>
      <c r="BW156" s="131">
        <f t="shared" si="99"/>
        <v>11.466642726269518</v>
      </c>
      <c r="BX156" s="139">
        <f t="shared" si="100"/>
        <v>254.81428280598928</v>
      </c>
      <c r="BY156" s="123">
        <f t="shared" si="101"/>
        <v>108.98987145761124</v>
      </c>
      <c r="BZ156" s="141">
        <f t="shared" si="102"/>
        <v>0.52981187514116579</v>
      </c>
      <c r="CA156" s="131">
        <f t="shared" si="103"/>
        <v>10.091654764593635</v>
      </c>
      <c r="CB156" s="143">
        <f t="shared" si="104"/>
        <v>8.4580439837350876E-2</v>
      </c>
      <c r="CC156" s="123">
        <f t="shared" si="105"/>
        <v>110.38259177972702</v>
      </c>
      <c r="CD156" s="131">
        <f t="shared" si="106"/>
        <v>0.46659308119449838</v>
      </c>
      <c r="CE156" s="135">
        <f t="shared" si="107"/>
        <v>0.52981187514116579</v>
      </c>
      <c r="CF156" s="92" t="str">
        <f t="shared" si="108"/>
        <v>OK</v>
      </c>
      <c r="CG156" s="50"/>
      <c r="DA156" s="111"/>
      <c r="DB156" s="111"/>
      <c r="DC156" s="111"/>
      <c r="DD156" s="116"/>
      <c r="DE156" s="120"/>
      <c r="DF156" s="121"/>
      <c r="DG156" s="121"/>
      <c r="DH156" s="121"/>
      <c r="DI156" s="121"/>
      <c r="DJ156" s="121"/>
      <c r="DK156" s="122"/>
      <c r="DL156" s="123"/>
      <c r="DM156" s="123"/>
      <c r="DN156" s="123"/>
      <c r="DO156" s="123"/>
      <c r="DP156" s="123"/>
      <c r="DQ156" s="111"/>
      <c r="DR156" s="120"/>
      <c r="DS156" s="120"/>
      <c r="DT156" s="120"/>
      <c r="DU156" s="120"/>
      <c r="DV156" s="120"/>
      <c r="DW156" s="120"/>
      <c r="DX156" s="120"/>
      <c r="DY156" s="120"/>
      <c r="DZ156" s="120"/>
      <c r="EA156" s="122"/>
      <c r="EB156" s="122"/>
      <c r="EC156" s="122"/>
      <c r="ED156" s="122"/>
      <c r="EE156" s="122"/>
      <c r="EF156" s="122"/>
      <c r="EG156" s="122"/>
      <c r="EH156" s="122"/>
      <c r="EI156" s="122"/>
      <c r="EJ156" s="122"/>
      <c r="EK156" s="131"/>
      <c r="EL156" s="122"/>
      <c r="EM156" s="276"/>
      <c r="EN156" s="276"/>
      <c r="EO156" s="135"/>
      <c r="EP156" s="136"/>
      <c r="EQ156" s="137"/>
      <c r="ER156" s="276"/>
      <c r="ES156" s="276"/>
      <c r="ET156" s="276"/>
      <c r="EU156" s="276"/>
      <c r="EV156" s="139"/>
      <c r="EW156" s="131"/>
      <c r="EX156" s="139"/>
      <c r="EY156" s="123"/>
      <c r="EZ156" s="141"/>
      <c r="FA156" s="131"/>
      <c r="FB156" s="143"/>
      <c r="FC156" s="123"/>
      <c r="FD156" s="131"/>
      <c r="FE156" s="276"/>
      <c r="FF156" s="276"/>
      <c r="FG156" s="50"/>
    </row>
    <row r="157" spans="27:163">
      <c r="AA157" s="111" t="s">
        <v>245</v>
      </c>
      <c r="AB157" s="111" t="s">
        <v>340</v>
      </c>
      <c r="AC157" s="111">
        <v>102</v>
      </c>
      <c r="AD157" s="116">
        <v>0.3</v>
      </c>
      <c r="AE157" s="120">
        <v>1100</v>
      </c>
      <c r="AF157" s="121">
        <v>350</v>
      </c>
      <c r="AG157" s="121">
        <v>14</v>
      </c>
      <c r="AH157" s="121">
        <v>18.000000000000004</v>
      </c>
      <c r="AI157" s="121">
        <v>1064</v>
      </c>
      <c r="AJ157" s="64" t="str" cm="1">
        <f t="array" ref="AJ157">_xll.Dce_Name_SectI(AE157, AE157, AF157, AG157, AH157, "x", "-", "H Tổng")</f>
        <v>1100x350x14x18</v>
      </c>
      <c r="AK157" s="122">
        <f t="shared" si="75"/>
        <v>1360</v>
      </c>
      <c r="AL157" s="123">
        <f t="shared" si="76"/>
        <v>350</v>
      </c>
      <c r="AM157" s="123">
        <f t="shared" si="77"/>
        <v>25</v>
      </c>
      <c r="AN157" s="123">
        <f t="shared" si="78"/>
        <v>16</v>
      </c>
      <c r="AO157" s="123">
        <f t="shared" si="79"/>
        <v>27</v>
      </c>
      <c r="AP157" s="165" t="str">
        <f t="shared" si="80"/>
        <v>1360x350x25 + 16M27</v>
      </c>
      <c r="AQ157" s="111" t="s">
        <v>326</v>
      </c>
      <c r="AR157" s="120">
        <v>0</v>
      </c>
      <c r="AS157" s="120">
        <v>-623.44806747418693</v>
      </c>
      <c r="AT157" s="120">
        <v>5.9691274145734486E-14</v>
      </c>
      <c r="AU157" s="120">
        <v>6.9114763073757093E-4</v>
      </c>
      <c r="AV157" s="120">
        <v>1.0155539484912876E-13</v>
      </c>
      <c r="AW157" s="120">
        <v>-1841.910783610524</v>
      </c>
      <c r="AX157" s="120"/>
      <c r="AY157" s="120"/>
      <c r="AZ157" s="120"/>
      <c r="BA157" s="122">
        <f t="shared" si="81"/>
        <v>60</v>
      </c>
      <c r="BB157" s="122">
        <f t="shared" si="82"/>
        <v>70</v>
      </c>
      <c r="BC157" s="122">
        <f t="shared" si="83"/>
        <v>80</v>
      </c>
      <c r="BD157" s="122">
        <f t="shared" si="84"/>
        <v>160</v>
      </c>
      <c r="BE157" s="122">
        <f>VLOOKUP(AO157,Data!$V$4:$Z$15,3,FALSE)</f>
        <v>572.55526111673976</v>
      </c>
      <c r="BF157" s="122">
        <f>VLOOKUP(AO157,Data!$V$4:$Z$15,4,FALSE)</f>
        <v>459</v>
      </c>
      <c r="BG157" s="163">
        <f t="shared" si="85"/>
        <v>180</v>
      </c>
      <c r="BH157" s="122">
        <f t="shared" si="86"/>
        <v>153.97156081951366</v>
      </c>
      <c r="BI157" s="122">
        <f t="shared" si="87"/>
        <v>273.375</v>
      </c>
      <c r="BJ157" s="163">
        <f t="shared" si="88"/>
        <v>185.06880000000001</v>
      </c>
      <c r="BK157" s="131">
        <f t="shared" si="89"/>
        <v>38.965504217136683</v>
      </c>
      <c r="BL157" s="134">
        <f t="shared" si="90"/>
        <v>0.85037037037037044</v>
      </c>
      <c r="BM157" s="135">
        <f t="shared" si="91"/>
        <v>0.2975991377613999</v>
      </c>
      <c r="BN157" s="92" t="str">
        <f t="shared" si="92"/>
        <v>OK</v>
      </c>
      <c r="BO157" s="135">
        <f>_xll.DCEBoltDisRS(AN157, AE157, BA157, BB157, BC157, BD157, "h1")</f>
        <v>1240</v>
      </c>
      <c r="BP157" s="136">
        <f>_xll.DCEBoltDisRS(AN157, AE157, BA157, BB157, BC157, BD157, "Tong")</f>
        <v>4523000</v>
      </c>
      <c r="BQ157" s="137">
        <f t="shared" si="93"/>
        <v>252.48390135717997</v>
      </c>
      <c r="BR157" s="135">
        <f t="shared" si="94"/>
        <v>1.3642704840425828</v>
      </c>
      <c r="BS157" s="64" t="str">
        <f t="shared" si="95"/>
        <v>O/S</v>
      </c>
      <c r="BT157" s="131">
        <f t="shared" si="96"/>
        <v>1.3875439163833831</v>
      </c>
      <c r="BU157" s="92" t="str">
        <f t="shared" si="97"/>
        <v>O/S</v>
      </c>
      <c r="BV157" s="139">
        <f t="shared" si="98"/>
        <v>1702.3205024126839</v>
      </c>
      <c r="BW157" s="131">
        <f t="shared" si="99"/>
        <v>38.302211304285386</v>
      </c>
      <c r="BX157" s="139">
        <f t="shared" si="100"/>
        <v>851.16025120634197</v>
      </c>
      <c r="BY157" s="123">
        <f t="shared" si="101"/>
        <v>270.36855038319095</v>
      </c>
      <c r="BZ157" s="141">
        <f t="shared" si="102"/>
        <v>1.314291564362734</v>
      </c>
      <c r="CA157" s="131">
        <f t="shared" si="103"/>
        <v>25.034125035480649</v>
      </c>
      <c r="CB157" s="143">
        <f t="shared" si="104"/>
        <v>0.209816660977448</v>
      </c>
      <c r="CC157" s="123">
        <f t="shared" si="105"/>
        <v>273.82343815894268</v>
      </c>
      <c r="CD157" s="131">
        <f t="shared" si="106"/>
        <v>1.157466224101811</v>
      </c>
      <c r="CE157" s="135">
        <f t="shared" si="107"/>
        <v>1.314291564362734</v>
      </c>
      <c r="CF157" s="92" t="str">
        <f t="shared" si="108"/>
        <v>O/S</v>
      </c>
      <c r="CG157" s="50"/>
      <c r="DA157" s="111"/>
      <c r="DB157" s="111"/>
      <c r="DC157" s="111"/>
      <c r="DD157" s="116"/>
      <c r="DE157" s="120"/>
      <c r="DF157" s="121"/>
      <c r="DG157" s="121"/>
      <c r="DH157" s="121"/>
      <c r="DI157" s="121"/>
      <c r="DJ157" s="121"/>
      <c r="DK157" s="122"/>
      <c r="DL157" s="123"/>
      <c r="DM157" s="123"/>
      <c r="DN157" s="123"/>
      <c r="DO157" s="123"/>
      <c r="DP157" s="123"/>
      <c r="DQ157" s="111"/>
      <c r="DR157" s="120"/>
      <c r="DS157" s="120"/>
      <c r="DT157" s="120"/>
      <c r="DU157" s="120"/>
      <c r="DV157" s="120"/>
      <c r="DW157" s="120"/>
      <c r="DX157" s="120"/>
      <c r="DY157" s="120"/>
      <c r="DZ157" s="120"/>
      <c r="EA157" s="122"/>
      <c r="EB157" s="122"/>
      <c r="EC157" s="122"/>
      <c r="ED157" s="122"/>
      <c r="EE157" s="122"/>
      <c r="EF157" s="122"/>
      <c r="EG157" s="122"/>
      <c r="EH157" s="122"/>
      <c r="EI157" s="122"/>
      <c r="EJ157" s="122"/>
      <c r="EK157" s="131"/>
      <c r="EL157" s="122"/>
      <c r="EM157" s="276"/>
      <c r="EN157" s="276"/>
      <c r="EO157" s="135"/>
      <c r="EP157" s="136"/>
      <c r="EQ157" s="137"/>
      <c r="ER157" s="276"/>
      <c r="ES157" s="276"/>
      <c r="ET157" s="276"/>
      <c r="EU157" s="276"/>
      <c r="EV157" s="139"/>
      <c r="EW157" s="131"/>
      <c r="EX157" s="139"/>
      <c r="EY157" s="123"/>
      <c r="EZ157" s="141"/>
      <c r="FA157" s="131"/>
      <c r="FB157" s="143"/>
      <c r="FC157" s="123"/>
      <c r="FD157" s="131"/>
      <c r="FE157" s="276"/>
      <c r="FF157" s="276"/>
      <c r="FG157" s="50"/>
    </row>
    <row r="158" spans="27:163">
      <c r="AA158" s="111" t="s">
        <v>245</v>
      </c>
      <c r="AB158" s="111" t="s">
        <v>340</v>
      </c>
      <c r="AC158" s="111">
        <v>102</v>
      </c>
      <c r="AD158" s="116">
        <v>3</v>
      </c>
      <c r="AE158" s="120">
        <v>750</v>
      </c>
      <c r="AF158" s="121">
        <v>350</v>
      </c>
      <c r="AG158" s="121">
        <v>14</v>
      </c>
      <c r="AH158" s="121">
        <v>18.000000000000004</v>
      </c>
      <c r="AI158" s="121">
        <v>714</v>
      </c>
      <c r="AJ158" s="64" t="str" cm="1">
        <f t="array" ref="AJ158">_xll.Dce_Name_SectI(AE158, AE158, AF158, AG158, AH158, "x", "-", "H Tổng")</f>
        <v>750x350x14x18</v>
      </c>
      <c r="AK158" s="122">
        <f t="shared" si="75"/>
        <v>1010</v>
      </c>
      <c r="AL158" s="123">
        <f t="shared" si="76"/>
        <v>350</v>
      </c>
      <c r="AM158" s="123">
        <f t="shared" si="77"/>
        <v>25</v>
      </c>
      <c r="AN158" s="123">
        <f t="shared" si="78"/>
        <v>12</v>
      </c>
      <c r="AO158" s="123">
        <f t="shared" si="79"/>
        <v>24</v>
      </c>
      <c r="AP158" s="165" t="str">
        <f t="shared" si="80"/>
        <v>1010x350x25 + 12M24</v>
      </c>
      <c r="AQ158" s="111" t="s">
        <v>326</v>
      </c>
      <c r="AR158" s="120">
        <v>0</v>
      </c>
      <c r="AS158" s="120">
        <v>-441.97821085670932</v>
      </c>
      <c r="AT158" s="120">
        <v>4.5110937207937226E-14</v>
      </c>
      <c r="AU158" s="120">
        <v>6.912627804415883E-4</v>
      </c>
      <c r="AV158" s="120">
        <v>5.6906719692051401E-14</v>
      </c>
      <c r="AW158" s="120">
        <v>-360.04917868106361</v>
      </c>
      <c r="AX158" s="120"/>
      <c r="AY158" s="120"/>
      <c r="AZ158" s="120"/>
      <c r="BA158" s="122">
        <f t="shared" si="81"/>
        <v>60</v>
      </c>
      <c r="BB158" s="122">
        <f t="shared" si="82"/>
        <v>70</v>
      </c>
      <c r="BC158" s="122">
        <f t="shared" si="83"/>
        <v>80</v>
      </c>
      <c r="BD158" s="122">
        <f t="shared" si="84"/>
        <v>150</v>
      </c>
      <c r="BE158" s="122">
        <f>VLOOKUP(AO158,Data!$V$4:$Z$15,3,FALSE)</f>
        <v>452.38934211693021</v>
      </c>
      <c r="BF158" s="122">
        <f>VLOOKUP(AO158,Data!$V$4:$Z$15,4,FALSE)</f>
        <v>353</v>
      </c>
      <c r="BG158" s="163">
        <f t="shared" si="85"/>
        <v>180</v>
      </c>
      <c r="BH158" s="122">
        <f t="shared" si="86"/>
        <v>121.65654188208487</v>
      </c>
      <c r="BI158" s="122">
        <f t="shared" si="87"/>
        <v>243</v>
      </c>
      <c r="BJ158" s="163">
        <f t="shared" si="88"/>
        <v>142.3296</v>
      </c>
      <c r="BK158" s="131">
        <f t="shared" si="89"/>
        <v>36.831517571392446</v>
      </c>
      <c r="BL158" s="134">
        <f t="shared" si="90"/>
        <v>0.89458333333333329</v>
      </c>
      <c r="BM158" s="135">
        <f t="shared" si="91"/>
        <v>0.33842570585164056</v>
      </c>
      <c r="BN158" s="92" t="str">
        <f t="shared" si="92"/>
        <v>OK</v>
      </c>
      <c r="BO158" s="135">
        <f>_xll.DCEBoltDisRS(AN158, AE158, BA158, BB158, BC158, BD158, "h1")</f>
        <v>890</v>
      </c>
      <c r="BP158" s="136">
        <f>_xll.DCEBoltDisRS(AN158, AE158, BA158, BB158, BC158, BD158, "Tong")</f>
        <v>1800300</v>
      </c>
      <c r="BQ158" s="137">
        <f t="shared" si="93"/>
        <v>88.997325175289276</v>
      </c>
      <c r="BR158" s="135">
        <f t="shared" si="94"/>
        <v>0.62529034842569131</v>
      </c>
      <c r="BS158" s="64" t="str">
        <f t="shared" si="95"/>
        <v>OK</v>
      </c>
      <c r="BT158" s="131">
        <f t="shared" si="96"/>
        <v>0.69472698229472563</v>
      </c>
      <c r="BU158" s="92" t="str">
        <f t="shared" si="97"/>
        <v>OK</v>
      </c>
      <c r="BV158" s="139">
        <f t="shared" si="98"/>
        <v>491.87046267904867</v>
      </c>
      <c r="BW158" s="131">
        <f t="shared" si="99"/>
        <v>11.067085410278594</v>
      </c>
      <c r="BX158" s="139">
        <f t="shared" si="100"/>
        <v>245.93523133952434</v>
      </c>
      <c r="BY158" s="123">
        <f t="shared" si="101"/>
        <v>105.19209894918266</v>
      </c>
      <c r="BZ158" s="141">
        <f t="shared" si="102"/>
        <v>0.51135048100297131</v>
      </c>
      <c r="CA158" s="131">
        <f t="shared" si="103"/>
        <v>9.7400091619613587</v>
      </c>
      <c r="CB158" s="143">
        <f t="shared" si="104"/>
        <v>8.1633218550921358E-2</v>
      </c>
      <c r="CC158" s="123">
        <f t="shared" si="105"/>
        <v>106.53628967051513</v>
      </c>
      <c r="CD158" s="131">
        <f t="shared" si="106"/>
        <v>0.45033455778599402</v>
      </c>
      <c r="CE158" s="135">
        <f t="shared" si="107"/>
        <v>0.51135048100297131</v>
      </c>
      <c r="CF158" s="92" t="str">
        <f t="shared" si="108"/>
        <v>OK</v>
      </c>
      <c r="CG158" s="50"/>
      <c r="DA158" s="111"/>
      <c r="DB158" s="111"/>
      <c r="DC158" s="111"/>
      <c r="DD158" s="116"/>
      <c r="DE158" s="120"/>
      <c r="DF158" s="121"/>
      <c r="DG158" s="121"/>
      <c r="DH158" s="121"/>
      <c r="DI158" s="121"/>
      <c r="DJ158" s="121"/>
      <c r="DK158" s="122"/>
      <c r="DL158" s="123"/>
      <c r="DM158" s="123"/>
      <c r="DN158" s="123"/>
      <c r="DO158" s="123"/>
      <c r="DP158" s="123"/>
      <c r="DQ158" s="111"/>
      <c r="DR158" s="120"/>
      <c r="DS158" s="120"/>
      <c r="DT158" s="120"/>
      <c r="DU158" s="120"/>
      <c r="DV158" s="120"/>
      <c r="DW158" s="120"/>
      <c r="DX158" s="120"/>
      <c r="DY158" s="120"/>
      <c r="DZ158" s="120"/>
      <c r="EA158" s="122"/>
      <c r="EB158" s="122"/>
      <c r="EC158" s="122"/>
      <c r="ED158" s="122"/>
      <c r="EE158" s="122"/>
      <c r="EF158" s="122"/>
      <c r="EG158" s="122"/>
      <c r="EH158" s="122"/>
      <c r="EI158" s="122"/>
      <c r="EJ158" s="122"/>
      <c r="EK158" s="131"/>
      <c r="EL158" s="122"/>
      <c r="EM158" s="276"/>
      <c r="EN158" s="276"/>
      <c r="EO158" s="135"/>
      <c r="EP158" s="136"/>
      <c r="EQ158" s="137"/>
      <c r="ER158" s="276"/>
      <c r="ES158" s="276"/>
      <c r="ET158" s="276"/>
      <c r="EU158" s="276"/>
      <c r="EV158" s="139"/>
      <c r="EW158" s="131"/>
      <c r="EX158" s="139"/>
      <c r="EY158" s="123"/>
      <c r="EZ158" s="141"/>
      <c r="FA158" s="131"/>
      <c r="FB158" s="143"/>
      <c r="FC158" s="123"/>
      <c r="FD158" s="131"/>
      <c r="FE158" s="276"/>
      <c r="FF158" s="276"/>
      <c r="FG158" s="50"/>
    </row>
    <row r="159" spans="27:163">
      <c r="AA159" s="111" t="s">
        <v>245</v>
      </c>
      <c r="AB159" s="111" t="s">
        <v>340</v>
      </c>
      <c r="AC159" s="111">
        <v>102</v>
      </c>
      <c r="AD159" s="116">
        <v>0.3</v>
      </c>
      <c r="AE159" s="120">
        <v>1100</v>
      </c>
      <c r="AF159" s="121">
        <v>350</v>
      </c>
      <c r="AG159" s="121">
        <v>14</v>
      </c>
      <c r="AH159" s="121">
        <v>18.000000000000004</v>
      </c>
      <c r="AI159" s="121">
        <v>1064</v>
      </c>
      <c r="AJ159" s="64" t="str" cm="1">
        <f t="array" ref="AJ159">_xll.Dce_Name_SectI(AE159, AE159, AF159, AG159, AH159, "x", "-", "H Tổng")</f>
        <v>1100x350x14x18</v>
      </c>
      <c r="AK159" s="122">
        <f t="shared" si="75"/>
        <v>1360</v>
      </c>
      <c r="AL159" s="123">
        <f t="shared" si="76"/>
        <v>350</v>
      </c>
      <c r="AM159" s="123">
        <f t="shared" si="77"/>
        <v>25</v>
      </c>
      <c r="AN159" s="123">
        <f t="shared" si="78"/>
        <v>16</v>
      </c>
      <c r="AO159" s="123">
        <f t="shared" si="79"/>
        <v>27</v>
      </c>
      <c r="AP159" s="165" t="str">
        <f t="shared" si="80"/>
        <v>1360x350x25 + 16M27</v>
      </c>
      <c r="AQ159" s="111" t="s">
        <v>327</v>
      </c>
      <c r="AR159" s="120">
        <v>0</v>
      </c>
      <c r="AS159" s="120">
        <v>-620.6171032745824</v>
      </c>
      <c r="AT159" s="120">
        <v>3.0587443689000788E-14</v>
      </c>
      <c r="AU159" s="120">
        <v>1.1212721089244807E-3</v>
      </c>
      <c r="AV159" s="120">
        <v>2.0588538518495622E-14</v>
      </c>
      <c r="AW159" s="120">
        <v>-1811.5067391739206</v>
      </c>
      <c r="AX159" s="120"/>
      <c r="AY159" s="120"/>
      <c r="AZ159" s="120"/>
      <c r="BA159" s="122">
        <f t="shared" si="81"/>
        <v>60</v>
      </c>
      <c r="BB159" s="122">
        <f t="shared" si="82"/>
        <v>70</v>
      </c>
      <c r="BC159" s="122">
        <f t="shared" si="83"/>
        <v>80</v>
      </c>
      <c r="BD159" s="122">
        <f t="shared" si="84"/>
        <v>160</v>
      </c>
      <c r="BE159" s="122">
        <f>VLOOKUP(AO159,Data!$V$4:$Z$15,3,FALSE)</f>
        <v>572.55526111673976</v>
      </c>
      <c r="BF159" s="122">
        <f>VLOOKUP(AO159,Data!$V$4:$Z$15,4,FALSE)</f>
        <v>459</v>
      </c>
      <c r="BG159" s="163">
        <f t="shared" si="85"/>
        <v>180</v>
      </c>
      <c r="BH159" s="122">
        <f t="shared" si="86"/>
        <v>153.97156081951366</v>
      </c>
      <c r="BI159" s="122">
        <f t="shared" si="87"/>
        <v>273.375</v>
      </c>
      <c r="BJ159" s="163">
        <f t="shared" si="88"/>
        <v>185.06880000000001</v>
      </c>
      <c r="BK159" s="131">
        <f t="shared" si="89"/>
        <v>38.7885689546614</v>
      </c>
      <c r="BL159" s="134">
        <f t="shared" si="90"/>
        <v>0.85037037037037044</v>
      </c>
      <c r="BM159" s="135">
        <f t="shared" si="91"/>
        <v>0.29624779424332803</v>
      </c>
      <c r="BN159" s="92" t="str">
        <f t="shared" si="92"/>
        <v>OK</v>
      </c>
      <c r="BO159" s="135">
        <f>_xll.DCEBoltDisRS(AN159, AE159, BA159, BB159, BC159, BD159, "h1")</f>
        <v>1240</v>
      </c>
      <c r="BP159" s="136">
        <f>_xll.DCEBoltDisRS(AN159, AE159, BA159, BB159, BC159, BD159, "Tong")</f>
        <v>4523000</v>
      </c>
      <c r="BQ159" s="137">
        <f t="shared" si="93"/>
        <v>248.316201257535</v>
      </c>
      <c r="BR159" s="135">
        <f t="shared" si="94"/>
        <v>1.3417507503022388</v>
      </c>
      <c r="BS159" s="64" t="str">
        <f t="shared" si="95"/>
        <v>O/S</v>
      </c>
      <c r="BT159" s="131">
        <f t="shared" si="96"/>
        <v>1.3651955672808931</v>
      </c>
      <c r="BU159" s="92" t="str">
        <f t="shared" si="97"/>
        <v>O/S</v>
      </c>
      <c r="BV159" s="139">
        <f t="shared" si="98"/>
        <v>1674.2206461866178</v>
      </c>
      <c r="BW159" s="131">
        <f t="shared" si="99"/>
        <v>37.669964539198901</v>
      </c>
      <c r="BX159" s="139">
        <f t="shared" si="100"/>
        <v>837.11032309330892</v>
      </c>
      <c r="BY159" s="123">
        <f t="shared" si="101"/>
        <v>265.90563204140398</v>
      </c>
      <c r="BZ159" s="141">
        <f t="shared" si="102"/>
        <v>1.2925968224234916</v>
      </c>
      <c r="CA159" s="131">
        <f t="shared" si="103"/>
        <v>24.620891855685556</v>
      </c>
      <c r="CB159" s="143">
        <f t="shared" si="104"/>
        <v>0.20635326028472092</v>
      </c>
      <c r="CC159" s="123">
        <f t="shared" si="105"/>
        <v>269.30349069153675</v>
      </c>
      <c r="CD159" s="131">
        <f t="shared" si="106"/>
        <v>1.1383601659666411</v>
      </c>
      <c r="CE159" s="135">
        <f t="shared" si="107"/>
        <v>1.2925968224234916</v>
      </c>
      <c r="CF159" s="92" t="str">
        <f t="shared" si="108"/>
        <v>O/S</v>
      </c>
      <c r="CG159" s="50"/>
      <c r="DA159" s="111"/>
      <c r="DB159" s="111"/>
      <c r="DC159" s="111"/>
      <c r="DD159" s="116"/>
      <c r="DE159" s="120"/>
      <c r="DF159" s="121"/>
      <c r="DG159" s="121"/>
      <c r="DH159" s="121"/>
      <c r="DI159" s="121"/>
      <c r="DJ159" s="121"/>
      <c r="DK159" s="122"/>
      <c r="DL159" s="123"/>
      <c r="DM159" s="123"/>
      <c r="DN159" s="123"/>
      <c r="DO159" s="123"/>
      <c r="DP159" s="123"/>
      <c r="DQ159" s="111"/>
      <c r="DR159" s="120"/>
      <c r="DS159" s="120"/>
      <c r="DT159" s="120"/>
      <c r="DU159" s="120"/>
      <c r="DV159" s="120"/>
      <c r="DW159" s="120"/>
      <c r="DX159" s="120"/>
      <c r="DY159" s="120"/>
      <c r="DZ159" s="120"/>
      <c r="EA159" s="122"/>
      <c r="EB159" s="122"/>
      <c r="EC159" s="122"/>
      <c r="ED159" s="122"/>
      <c r="EE159" s="122"/>
      <c r="EF159" s="122"/>
      <c r="EG159" s="122"/>
      <c r="EH159" s="122"/>
      <c r="EI159" s="122"/>
      <c r="EJ159" s="122"/>
      <c r="EK159" s="131"/>
      <c r="EL159" s="122"/>
      <c r="EM159" s="276"/>
      <c r="EN159" s="276"/>
      <c r="EO159" s="135"/>
      <c r="EP159" s="136"/>
      <c r="EQ159" s="137"/>
      <c r="ER159" s="276"/>
      <c r="ES159" s="276"/>
      <c r="ET159" s="276"/>
      <c r="EU159" s="276"/>
      <c r="EV159" s="139"/>
      <c r="EW159" s="131"/>
      <c r="EX159" s="139"/>
      <c r="EY159" s="123"/>
      <c r="EZ159" s="141"/>
      <c r="FA159" s="131"/>
      <c r="FB159" s="143"/>
      <c r="FC159" s="123"/>
      <c r="FD159" s="131"/>
      <c r="FE159" s="276"/>
      <c r="FF159" s="276"/>
      <c r="FG159" s="50"/>
    </row>
    <row r="160" spans="27:163">
      <c r="AA160" s="111" t="s">
        <v>245</v>
      </c>
      <c r="AB160" s="111" t="s">
        <v>340</v>
      </c>
      <c r="AC160" s="111">
        <v>102</v>
      </c>
      <c r="AD160" s="116">
        <v>3</v>
      </c>
      <c r="AE160" s="120">
        <v>750</v>
      </c>
      <c r="AF160" s="121">
        <v>350</v>
      </c>
      <c r="AG160" s="121">
        <v>14</v>
      </c>
      <c r="AH160" s="121">
        <v>18.000000000000004</v>
      </c>
      <c r="AI160" s="121">
        <v>714</v>
      </c>
      <c r="AJ160" s="64" t="str" cm="1">
        <f t="array" ref="AJ160">_xll.Dce_Name_SectI(AE160, AE160, AF160, AG160, AH160, "x", "-", "H Tổng")</f>
        <v>750x350x14x18</v>
      </c>
      <c r="AK160" s="122">
        <f t="shared" si="75"/>
        <v>1010</v>
      </c>
      <c r="AL160" s="123">
        <f t="shared" si="76"/>
        <v>350</v>
      </c>
      <c r="AM160" s="123">
        <f t="shared" si="77"/>
        <v>25</v>
      </c>
      <c r="AN160" s="123">
        <f t="shared" si="78"/>
        <v>12</v>
      </c>
      <c r="AO160" s="123">
        <f t="shared" si="79"/>
        <v>24</v>
      </c>
      <c r="AP160" s="165" t="str">
        <f t="shared" si="80"/>
        <v>1010x350x25 + 12M24</v>
      </c>
      <c r="AQ160" s="111" t="s">
        <v>327</v>
      </c>
      <c r="AR160" s="120">
        <v>0</v>
      </c>
      <c r="AS160" s="120">
        <v>-439.14724779328907</v>
      </c>
      <c r="AT160" s="120">
        <v>4.5110937207937226E-14</v>
      </c>
      <c r="AU160" s="120">
        <v>1.1214582037810863E-3</v>
      </c>
      <c r="AV160" s="120">
        <v>5.6906719692051401E-14</v>
      </c>
      <c r="AW160" s="120">
        <v>-337.28880392626252</v>
      </c>
      <c r="AX160" s="120"/>
      <c r="AY160" s="120"/>
      <c r="AZ160" s="120"/>
      <c r="BA160" s="122">
        <f t="shared" si="81"/>
        <v>60</v>
      </c>
      <c r="BB160" s="122">
        <f t="shared" si="82"/>
        <v>70</v>
      </c>
      <c r="BC160" s="122">
        <f t="shared" si="83"/>
        <v>80</v>
      </c>
      <c r="BD160" s="122">
        <f t="shared" si="84"/>
        <v>150</v>
      </c>
      <c r="BE160" s="122">
        <f>VLOOKUP(AO160,Data!$V$4:$Z$15,3,FALSE)</f>
        <v>452.38934211693021</v>
      </c>
      <c r="BF160" s="122">
        <f>VLOOKUP(AO160,Data!$V$4:$Z$15,4,FALSE)</f>
        <v>353</v>
      </c>
      <c r="BG160" s="163">
        <f t="shared" si="85"/>
        <v>180</v>
      </c>
      <c r="BH160" s="122">
        <f t="shared" si="86"/>
        <v>121.65654188208487</v>
      </c>
      <c r="BI160" s="122">
        <f t="shared" si="87"/>
        <v>243</v>
      </c>
      <c r="BJ160" s="163">
        <f t="shared" si="88"/>
        <v>142.3296</v>
      </c>
      <c r="BK160" s="131">
        <f t="shared" si="89"/>
        <v>36.595603982774087</v>
      </c>
      <c r="BL160" s="134">
        <f t="shared" si="90"/>
        <v>0.89458333333333329</v>
      </c>
      <c r="BM160" s="135">
        <f t="shared" si="91"/>
        <v>0.33625801828369267</v>
      </c>
      <c r="BN160" s="92" t="str">
        <f t="shared" si="92"/>
        <v>OK</v>
      </c>
      <c r="BO160" s="135">
        <f>_xll.DCEBoltDisRS(AN160, AE160, BA160, BB160, BC160, BD160, "h1")</f>
        <v>890</v>
      </c>
      <c r="BP160" s="136">
        <f>_xll.DCEBoltDisRS(AN160, AE160, BA160, BB160, BC160, BD160, "Tong")</f>
        <v>1800300</v>
      </c>
      <c r="BQ160" s="137">
        <f t="shared" si="93"/>
        <v>83.371392405258476</v>
      </c>
      <c r="BR160" s="135">
        <f t="shared" si="94"/>
        <v>0.58576285189629196</v>
      </c>
      <c r="BS160" s="64" t="str">
        <f t="shared" si="95"/>
        <v>OK</v>
      </c>
      <c r="BT160" s="131">
        <f t="shared" si="96"/>
        <v>0.6584871049630866</v>
      </c>
      <c r="BU160" s="92" t="str">
        <f t="shared" si="97"/>
        <v>OK</v>
      </c>
      <c r="BV160" s="139">
        <f t="shared" si="98"/>
        <v>460.77705454407447</v>
      </c>
      <c r="BW160" s="131">
        <f t="shared" si="99"/>
        <v>10.367483727241675</v>
      </c>
      <c r="BX160" s="139">
        <f t="shared" si="100"/>
        <v>230.38852727203724</v>
      </c>
      <c r="BY160" s="123">
        <f t="shared" si="101"/>
        <v>98.542419585663438</v>
      </c>
      <c r="BZ160" s="141">
        <f t="shared" si="102"/>
        <v>0.47902565076364179</v>
      </c>
      <c r="CA160" s="131">
        <f t="shared" si="103"/>
        <v>9.124298109783652</v>
      </c>
      <c r="CB160" s="143">
        <f t="shared" si="104"/>
        <v>7.6472805038895558E-2</v>
      </c>
      <c r="CC160" s="123">
        <f t="shared" si="105"/>
        <v>99.801637791098145</v>
      </c>
      <c r="CD160" s="131">
        <f t="shared" si="106"/>
        <v>0.4218668264116468</v>
      </c>
      <c r="CE160" s="135">
        <f t="shared" si="107"/>
        <v>0.47902565076364179</v>
      </c>
      <c r="CF160" s="92" t="str">
        <f t="shared" si="108"/>
        <v>OK</v>
      </c>
      <c r="CG160" s="50"/>
      <c r="DA160" s="111"/>
      <c r="DB160" s="111"/>
      <c r="DC160" s="111"/>
      <c r="DD160" s="116"/>
      <c r="DE160" s="120"/>
      <c r="DF160" s="121"/>
      <c r="DG160" s="121"/>
      <c r="DH160" s="121"/>
      <c r="DI160" s="121"/>
      <c r="DJ160" s="121"/>
      <c r="DK160" s="122"/>
      <c r="DL160" s="123"/>
      <c r="DM160" s="123"/>
      <c r="DN160" s="123"/>
      <c r="DO160" s="123"/>
      <c r="DP160" s="123"/>
      <c r="DQ160" s="111"/>
      <c r="DR160" s="120"/>
      <c r="DS160" s="120"/>
      <c r="DT160" s="120"/>
      <c r="DU160" s="120"/>
      <c r="DV160" s="120"/>
      <c r="DW160" s="120"/>
      <c r="DX160" s="120"/>
      <c r="DY160" s="120"/>
      <c r="DZ160" s="120"/>
      <c r="EA160" s="122"/>
      <c r="EB160" s="122"/>
      <c r="EC160" s="122"/>
      <c r="ED160" s="122"/>
      <c r="EE160" s="122"/>
      <c r="EF160" s="122"/>
      <c r="EG160" s="122"/>
      <c r="EH160" s="122"/>
      <c r="EI160" s="122"/>
      <c r="EJ160" s="122"/>
      <c r="EK160" s="131"/>
      <c r="EL160" s="122"/>
      <c r="EM160" s="276"/>
      <c r="EN160" s="276"/>
      <c r="EO160" s="135"/>
      <c r="EP160" s="136"/>
      <c r="EQ160" s="137"/>
      <c r="ER160" s="276"/>
      <c r="ES160" s="276"/>
      <c r="ET160" s="276"/>
      <c r="EU160" s="276"/>
      <c r="EV160" s="139"/>
      <c r="EW160" s="131"/>
      <c r="EX160" s="139"/>
      <c r="EY160" s="123"/>
      <c r="EZ160" s="141"/>
      <c r="FA160" s="131"/>
      <c r="FB160" s="143"/>
      <c r="FC160" s="123"/>
      <c r="FD160" s="131"/>
      <c r="FE160" s="276"/>
      <c r="FF160" s="276"/>
      <c r="FG160" s="50"/>
    </row>
    <row r="161" spans="27:163">
      <c r="AA161" s="111" t="s">
        <v>245</v>
      </c>
      <c r="AB161" s="111" t="s">
        <v>340</v>
      </c>
      <c r="AC161" s="111">
        <v>102</v>
      </c>
      <c r="AD161" s="116">
        <v>0.3</v>
      </c>
      <c r="AE161" s="120">
        <v>1100</v>
      </c>
      <c r="AF161" s="121">
        <v>350</v>
      </c>
      <c r="AG161" s="121">
        <v>14</v>
      </c>
      <c r="AH161" s="121">
        <v>18.000000000000004</v>
      </c>
      <c r="AI161" s="121">
        <v>1064</v>
      </c>
      <c r="AJ161" s="64" t="str" cm="1">
        <f t="array" ref="AJ161">_xll.Dce_Name_SectI(AE161, AE161, AF161, AG161, AH161, "x", "-", "H Tổng")</f>
        <v>1100x350x14x18</v>
      </c>
      <c r="AK161" s="122">
        <f t="shared" si="75"/>
        <v>1360</v>
      </c>
      <c r="AL161" s="123">
        <f t="shared" si="76"/>
        <v>350</v>
      </c>
      <c r="AM161" s="123">
        <f t="shared" si="77"/>
        <v>25</v>
      </c>
      <c r="AN161" s="123">
        <f t="shared" si="78"/>
        <v>16</v>
      </c>
      <c r="AO161" s="123">
        <f t="shared" si="79"/>
        <v>27</v>
      </c>
      <c r="AP161" s="165" t="str">
        <f t="shared" si="80"/>
        <v>1360x350x25 + 16M27</v>
      </c>
      <c r="AQ161" s="111" t="s">
        <v>328</v>
      </c>
      <c r="AR161" s="120">
        <v>0</v>
      </c>
      <c r="AS161" s="120">
        <v>-619.67509404018665</v>
      </c>
      <c r="AT161" s="120">
        <v>1.028865881380625E-15</v>
      </c>
      <c r="AU161" s="120">
        <v>1.3104358027620389E-3</v>
      </c>
      <c r="AV161" s="120">
        <v>-6.4179630498983895E-16</v>
      </c>
      <c r="AW161" s="120">
        <v>-1819.8129823748243</v>
      </c>
      <c r="AX161" s="120"/>
      <c r="AY161" s="120"/>
      <c r="AZ161" s="120"/>
      <c r="BA161" s="122">
        <f t="shared" si="81"/>
        <v>60</v>
      </c>
      <c r="BB161" s="122">
        <f t="shared" si="82"/>
        <v>70</v>
      </c>
      <c r="BC161" s="122">
        <f t="shared" si="83"/>
        <v>80</v>
      </c>
      <c r="BD161" s="122">
        <f t="shared" si="84"/>
        <v>160</v>
      </c>
      <c r="BE161" s="122">
        <f>VLOOKUP(AO161,Data!$V$4:$Z$15,3,FALSE)</f>
        <v>572.55526111673976</v>
      </c>
      <c r="BF161" s="122">
        <f>VLOOKUP(AO161,Data!$V$4:$Z$15,4,FALSE)</f>
        <v>459</v>
      </c>
      <c r="BG161" s="163">
        <f t="shared" si="85"/>
        <v>180</v>
      </c>
      <c r="BH161" s="122">
        <f t="shared" si="86"/>
        <v>153.97156081951366</v>
      </c>
      <c r="BI161" s="122">
        <f t="shared" si="87"/>
        <v>273.375</v>
      </c>
      <c r="BJ161" s="163">
        <f t="shared" si="88"/>
        <v>185.06880000000001</v>
      </c>
      <c r="BK161" s="131">
        <f t="shared" si="89"/>
        <v>38.729693377511666</v>
      </c>
      <c r="BL161" s="134">
        <f t="shared" si="90"/>
        <v>0.85037037037037044</v>
      </c>
      <c r="BM161" s="135">
        <f t="shared" si="91"/>
        <v>0.29579813187280335</v>
      </c>
      <c r="BN161" s="92" t="str">
        <f t="shared" si="92"/>
        <v>OK</v>
      </c>
      <c r="BO161" s="135">
        <f>_xll.DCEBoltDisRS(AN161, AE161, BA161, BB161, BC161, BD161, "h1")</f>
        <v>1240</v>
      </c>
      <c r="BP161" s="136">
        <f>_xll.DCEBoltDisRS(AN161, AE161, BA161, BB161, BC161, BD161, "Tong")</f>
        <v>4523000</v>
      </c>
      <c r="BQ161" s="137">
        <f t="shared" si="93"/>
        <v>249.45479749555406</v>
      </c>
      <c r="BR161" s="135">
        <f t="shared" si="94"/>
        <v>1.3479030365764193</v>
      </c>
      <c r="BS161" s="64" t="str">
        <f t="shared" si="95"/>
        <v>O/S</v>
      </c>
      <c r="BT161" s="131">
        <f t="shared" si="96"/>
        <v>1.3711724708555295</v>
      </c>
      <c r="BU161" s="92" t="str">
        <f t="shared" si="97"/>
        <v>O/S</v>
      </c>
      <c r="BV161" s="139">
        <f t="shared" si="98"/>
        <v>1681.8973959101886</v>
      </c>
      <c r="BW161" s="131">
        <f t="shared" si="99"/>
        <v>37.842691407979245</v>
      </c>
      <c r="BX161" s="139">
        <f t="shared" si="100"/>
        <v>840.9486979550943</v>
      </c>
      <c r="BY161" s="123">
        <f t="shared" si="101"/>
        <v>267.12488052691231</v>
      </c>
      <c r="BZ161" s="141">
        <f t="shared" si="102"/>
        <v>1.2985237247836017</v>
      </c>
      <c r="CA161" s="131">
        <f t="shared" si="103"/>
        <v>24.733785233973361</v>
      </c>
      <c r="CB161" s="143">
        <f t="shared" si="104"/>
        <v>0.20729944520811008</v>
      </c>
      <c r="CC161" s="123">
        <f t="shared" si="105"/>
        <v>270.53831926830281</v>
      </c>
      <c r="CD161" s="131">
        <f t="shared" si="106"/>
        <v>1.143579851979541</v>
      </c>
      <c r="CE161" s="135">
        <f t="shared" si="107"/>
        <v>1.2985237247836017</v>
      </c>
      <c r="CF161" s="92" t="str">
        <f t="shared" si="108"/>
        <v>O/S</v>
      </c>
      <c r="CG161" s="50"/>
      <c r="DA161" s="111"/>
      <c r="DB161" s="111"/>
      <c r="DC161" s="111"/>
      <c r="DD161" s="116"/>
      <c r="DE161" s="120"/>
      <c r="DF161" s="121"/>
      <c r="DG161" s="121"/>
      <c r="DH161" s="121"/>
      <c r="DI161" s="121"/>
      <c r="DJ161" s="121"/>
      <c r="DK161" s="122"/>
      <c r="DL161" s="123"/>
      <c r="DM161" s="123"/>
      <c r="DN161" s="123"/>
      <c r="DO161" s="123"/>
      <c r="DP161" s="123"/>
      <c r="DQ161" s="111"/>
      <c r="DR161" s="120"/>
      <c r="DS161" s="120"/>
      <c r="DT161" s="120"/>
      <c r="DU161" s="120"/>
      <c r="DV161" s="120"/>
      <c r="DW161" s="120"/>
      <c r="DX161" s="120"/>
      <c r="DY161" s="120"/>
      <c r="DZ161" s="120"/>
      <c r="EA161" s="122"/>
      <c r="EB161" s="122"/>
      <c r="EC161" s="122"/>
      <c r="ED161" s="122"/>
      <c r="EE161" s="122"/>
      <c r="EF161" s="122"/>
      <c r="EG161" s="122"/>
      <c r="EH161" s="122"/>
      <c r="EI161" s="122"/>
      <c r="EJ161" s="122"/>
      <c r="EK161" s="131"/>
      <c r="EL161" s="122"/>
      <c r="EM161" s="276"/>
      <c r="EN161" s="276"/>
      <c r="EO161" s="135"/>
      <c r="EP161" s="136"/>
      <c r="EQ161" s="137"/>
      <c r="ER161" s="276"/>
      <c r="ES161" s="276"/>
      <c r="ET161" s="276"/>
      <c r="EU161" s="276"/>
      <c r="EV161" s="139"/>
      <c r="EW161" s="131"/>
      <c r="EX161" s="139"/>
      <c r="EY161" s="123"/>
      <c r="EZ161" s="141"/>
      <c r="FA161" s="131"/>
      <c r="FB161" s="143"/>
      <c r="FC161" s="123"/>
      <c r="FD161" s="131"/>
      <c r="FE161" s="276"/>
      <c r="FF161" s="276"/>
      <c r="FG161" s="50"/>
    </row>
    <row r="162" spans="27:163">
      <c r="AA162" s="111" t="s">
        <v>245</v>
      </c>
      <c r="AB162" s="111" t="s">
        <v>340</v>
      </c>
      <c r="AC162" s="111">
        <v>102</v>
      </c>
      <c r="AD162" s="116">
        <v>3</v>
      </c>
      <c r="AE162" s="120">
        <v>750</v>
      </c>
      <c r="AF162" s="121">
        <v>350</v>
      </c>
      <c r="AG162" s="121">
        <v>14</v>
      </c>
      <c r="AH162" s="121">
        <v>18.000000000000004</v>
      </c>
      <c r="AI162" s="121">
        <v>714</v>
      </c>
      <c r="AJ162" s="64" t="str" cm="1">
        <f t="array" ref="AJ162">_xll.Dce_Name_SectI(AE162, AE162, AF162, AG162, AH162, "x", "-", "H Tổng")</f>
        <v>750x350x14x18</v>
      </c>
      <c r="AK162" s="122">
        <f t="shared" si="75"/>
        <v>1010</v>
      </c>
      <c r="AL162" s="123">
        <f t="shared" si="76"/>
        <v>350</v>
      </c>
      <c r="AM162" s="123">
        <f t="shared" si="77"/>
        <v>25</v>
      </c>
      <c r="AN162" s="123">
        <f t="shared" si="78"/>
        <v>12</v>
      </c>
      <c r="AO162" s="123">
        <f t="shared" si="79"/>
        <v>24</v>
      </c>
      <c r="AP162" s="165" t="str">
        <f t="shared" si="80"/>
        <v>1010x350x25 + 12M24</v>
      </c>
      <c r="AQ162" s="111" t="s">
        <v>328</v>
      </c>
      <c r="AR162" s="120">
        <v>0</v>
      </c>
      <c r="AS162" s="120">
        <v>-438.20523867222539</v>
      </c>
      <c r="AT162" s="120">
        <v>4.3291947804391368E-14</v>
      </c>
      <c r="AU162" s="120">
        <v>1.3106531272026752E-3</v>
      </c>
      <c r="AV162" s="120">
        <v>6.1683385865762813E-14</v>
      </c>
      <c r="AW162" s="120">
        <v>-348.13846173884627</v>
      </c>
      <c r="AX162" s="120"/>
      <c r="AY162" s="120"/>
      <c r="AZ162" s="120"/>
      <c r="BA162" s="122">
        <f t="shared" si="81"/>
        <v>60</v>
      </c>
      <c r="BB162" s="122">
        <f t="shared" si="82"/>
        <v>70</v>
      </c>
      <c r="BC162" s="122">
        <f t="shared" si="83"/>
        <v>80</v>
      </c>
      <c r="BD162" s="122">
        <f t="shared" si="84"/>
        <v>150</v>
      </c>
      <c r="BE162" s="122">
        <f>VLOOKUP(AO162,Data!$V$4:$Z$15,3,FALSE)</f>
        <v>452.38934211693021</v>
      </c>
      <c r="BF162" s="122">
        <f>VLOOKUP(AO162,Data!$V$4:$Z$15,4,FALSE)</f>
        <v>353</v>
      </c>
      <c r="BG162" s="163">
        <f t="shared" si="85"/>
        <v>180</v>
      </c>
      <c r="BH162" s="122">
        <f t="shared" si="86"/>
        <v>121.65654188208487</v>
      </c>
      <c r="BI162" s="122">
        <f t="shared" si="87"/>
        <v>243</v>
      </c>
      <c r="BJ162" s="163">
        <f t="shared" si="88"/>
        <v>142.3296</v>
      </c>
      <c r="BK162" s="131">
        <f t="shared" si="89"/>
        <v>36.517103222685449</v>
      </c>
      <c r="BL162" s="134">
        <f t="shared" si="90"/>
        <v>0.89458333333333329</v>
      </c>
      <c r="BM162" s="135">
        <f t="shared" si="91"/>
        <v>0.33553671552739456</v>
      </c>
      <c r="BN162" s="92" t="str">
        <f t="shared" si="92"/>
        <v>OK</v>
      </c>
      <c r="BO162" s="135">
        <f>_xll.DCEBoltDisRS(AN162, AE162, BA162, BB162, BC162, BD162, "h1")</f>
        <v>890</v>
      </c>
      <c r="BP162" s="136">
        <f>_xll.DCEBoltDisRS(AN162, AE162, BA162, BB162, BC162, BD162, "Tong")</f>
        <v>1800300</v>
      </c>
      <c r="BQ162" s="137">
        <f t="shared" si="93"/>
        <v>86.053221948445582</v>
      </c>
      <c r="BR162" s="135">
        <f t="shared" si="94"/>
        <v>0.60460523986890702</v>
      </c>
      <c r="BS162" s="64" t="str">
        <f t="shared" si="95"/>
        <v>OK</v>
      </c>
      <c r="BT162" s="131">
        <f t="shared" si="96"/>
        <v>0.67501618909786643</v>
      </c>
      <c r="BU162" s="92" t="str">
        <f t="shared" si="97"/>
        <v>OK</v>
      </c>
      <c r="BV162" s="139">
        <f t="shared" si="98"/>
        <v>475.59899144651132</v>
      </c>
      <c r="BW162" s="131">
        <f t="shared" si="99"/>
        <v>10.700977307546504</v>
      </c>
      <c r="BX162" s="139">
        <f t="shared" si="100"/>
        <v>237.79949572325566</v>
      </c>
      <c r="BY162" s="123">
        <f t="shared" si="101"/>
        <v>101.71225955687765</v>
      </c>
      <c r="BZ162" s="141">
        <f t="shared" si="102"/>
        <v>0.49443459506815529</v>
      </c>
      <c r="CA162" s="131">
        <f t="shared" si="103"/>
        <v>9.4178018108220058</v>
      </c>
      <c r="CB162" s="143">
        <f t="shared" si="104"/>
        <v>7.8932725904877932E-2</v>
      </c>
      <c r="CC162" s="123">
        <f t="shared" si="105"/>
        <v>103.01198336605998</v>
      </c>
      <c r="CD162" s="131">
        <f t="shared" si="106"/>
        <v>0.43543712775508453</v>
      </c>
      <c r="CE162" s="135">
        <f t="shared" si="107"/>
        <v>0.49443459506815529</v>
      </c>
      <c r="CF162" s="92" t="str">
        <f t="shared" si="108"/>
        <v>OK</v>
      </c>
      <c r="CG162" s="50"/>
      <c r="DA162" s="111"/>
      <c r="DB162" s="111"/>
      <c r="DC162" s="111"/>
      <c r="DD162" s="116"/>
      <c r="DE162" s="120"/>
      <c r="DF162" s="121"/>
      <c r="DG162" s="121"/>
      <c r="DH162" s="121"/>
      <c r="DI162" s="121"/>
      <c r="DJ162" s="121"/>
      <c r="DK162" s="122"/>
      <c r="DL162" s="123"/>
      <c r="DM162" s="123"/>
      <c r="DN162" s="123"/>
      <c r="DO162" s="123"/>
      <c r="DP162" s="123"/>
      <c r="DQ162" s="111"/>
      <c r="DR162" s="120"/>
      <c r="DS162" s="120"/>
      <c r="DT162" s="120"/>
      <c r="DU162" s="120"/>
      <c r="DV162" s="120"/>
      <c r="DW162" s="120"/>
      <c r="DX162" s="120"/>
      <c r="DY162" s="120"/>
      <c r="DZ162" s="120"/>
      <c r="EA162" s="122"/>
      <c r="EB162" s="122"/>
      <c r="EC162" s="122"/>
      <c r="ED162" s="122"/>
      <c r="EE162" s="122"/>
      <c r="EF162" s="122"/>
      <c r="EG162" s="122"/>
      <c r="EH162" s="122"/>
      <c r="EI162" s="122"/>
      <c r="EJ162" s="122"/>
      <c r="EK162" s="131"/>
      <c r="EL162" s="122"/>
      <c r="EM162" s="276"/>
      <c r="EN162" s="276"/>
      <c r="EO162" s="135"/>
      <c r="EP162" s="136"/>
      <c r="EQ162" s="137"/>
      <c r="ER162" s="276"/>
      <c r="ES162" s="276"/>
      <c r="ET162" s="276"/>
      <c r="EU162" s="276"/>
      <c r="EV162" s="139"/>
      <c r="EW162" s="131"/>
      <c r="EX162" s="139"/>
      <c r="EY162" s="123"/>
      <c r="EZ162" s="141"/>
      <c r="FA162" s="131"/>
      <c r="FB162" s="143"/>
      <c r="FC162" s="123"/>
      <c r="FD162" s="131"/>
      <c r="FE162" s="276"/>
      <c r="FF162" s="276"/>
      <c r="FG162" s="50"/>
    </row>
    <row r="163" spans="27:163">
      <c r="AA163" s="111" t="s">
        <v>245</v>
      </c>
      <c r="AB163" s="111" t="s">
        <v>340</v>
      </c>
      <c r="AC163" s="111">
        <v>102</v>
      </c>
      <c r="AD163" s="116">
        <v>0.3</v>
      </c>
      <c r="AE163" s="120">
        <v>1100</v>
      </c>
      <c r="AF163" s="121">
        <v>350</v>
      </c>
      <c r="AG163" s="121">
        <v>14</v>
      </c>
      <c r="AH163" s="121">
        <v>18.000000000000004</v>
      </c>
      <c r="AI163" s="121">
        <v>1064</v>
      </c>
      <c r="AJ163" s="64" t="str" cm="1">
        <f t="array" ref="AJ163">_xll.Dce_Name_SectI(AE163, AE163, AF163, AG163, AH163, "x", "-", "H Tổng")</f>
        <v>1100x350x14x18</v>
      </c>
      <c r="AK163" s="122">
        <f t="shared" si="75"/>
        <v>1360</v>
      </c>
      <c r="AL163" s="123">
        <f t="shared" si="76"/>
        <v>350</v>
      </c>
      <c r="AM163" s="123">
        <f t="shared" si="77"/>
        <v>25</v>
      </c>
      <c r="AN163" s="123">
        <f t="shared" si="78"/>
        <v>16</v>
      </c>
      <c r="AO163" s="123">
        <f t="shared" si="79"/>
        <v>27</v>
      </c>
      <c r="AP163" s="165" t="str">
        <f t="shared" si="80"/>
        <v>1360x350x25 + 16M27</v>
      </c>
      <c r="AQ163" s="111" t="s">
        <v>329</v>
      </c>
      <c r="AR163" s="120">
        <v>0</v>
      </c>
      <c r="AS163" s="120">
        <v>-616.53629621496668</v>
      </c>
      <c r="AT163" s="120">
        <v>1.9383605831535528E-15</v>
      </c>
      <c r="AU163" s="120">
        <v>1.3591748259097719E-3</v>
      </c>
      <c r="AV163" s="120">
        <v>-4.398884811962489E-16</v>
      </c>
      <c r="AW163" s="120">
        <v>-1787.0811786119677</v>
      </c>
      <c r="AX163" s="120"/>
      <c r="AY163" s="120"/>
      <c r="AZ163" s="120"/>
      <c r="BA163" s="122">
        <f t="shared" si="81"/>
        <v>60</v>
      </c>
      <c r="BB163" s="122">
        <f t="shared" si="82"/>
        <v>70</v>
      </c>
      <c r="BC163" s="122">
        <f t="shared" si="83"/>
        <v>80</v>
      </c>
      <c r="BD163" s="122">
        <f t="shared" si="84"/>
        <v>160</v>
      </c>
      <c r="BE163" s="122">
        <f>VLOOKUP(AO163,Data!$V$4:$Z$15,3,FALSE)</f>
        <v>572.55526111673976</v>
      </c>
      <c r="BF163" s="122">
        <f>VLOOKUP(AO163,Data!$V$4:$Z$15,4,FALSE)</f>
        <v>459</v>
      </c>
      <c r="BG163" s="163">
        <f t="shared" si="85"/>
        <v>180</v>
      </c>
      <c r="BH163" s="122">
        <f t="shared" si="86"/>
        <v>153.97156081951366</v>
      </c>
      <c r="BI163" s="122">
        <f t="shared" si="87"/>
        <v>273.375</v>
      </c>
      <c r="BJ163" s="163">
        <f t="shared" si="88"/>
        <v>185.06880000000001</v>
      </c>
      <c r="BK163" s="131">
        <f t="shared" si="89"/>
        <v>38.533518513435418</v>
      </c>
      <c r="BL163" s="134">
        <f t="shared" si="90"/>
        <v>0.85037037037037044</v>
      </c>
      <c r="BM163" s="135">
        <f t="shared" si="91"/>
        <v>0.29429984584847224</v>
      </c>
      <c r="BN163" s="92" t="str">
        <f t="shared" si="92"/>
        <v>OK</v>
      </c>
      <c r="BO163" s="135">
        <f>_xll.DCEBoltDisRS(AN163, AE163, BA163, BB163, BC163, BD163, "h1")</f>
        <v>1240</v>
      </c>
      <c r="BP163" s="136">
        <f>_xll.DCEBoltDisRS(AN163, AE163, BA163, BB163, BC163, BD163, "Tong")</f>
        <v>4523000</v>
      </c>
      <c r="BQ163" s="137">
        <f t="shared" si="93"/>
        <v>244.96801475556487</v>
      </c>
      <c r="BR163" s="135">
        <f t="shared" si="94"/>
        <v>1.3236591729970955</v>
      </c>
      <c r="BS163" s="64" t="str">
        <f t="shared" si="95"/>
        <v>O/S</v>
      </c>
      <c r="BT163" s="131">
        <f t="shared" si="96"/>
        <v>1.3471100958508226</v>
      </c>
      <c r="BU163" s="92" t="str">
        <f t="shared" si="97"/>
        <v>O/S</v>
      </c>
      <c r="BV163" s="139">
        <f t="shared" si="98"/>
        <v>1651.6461909537593</v>
      </c>
      <c r="BW163" s="131">
        <f t="shared" si="99"/>
        <v>37.162039296459582</v>
      </c>
      <c r="BX163" s="139">
        <f t="shared" si="100"/>
        <v>825.82309547687964</v>
      </c>
      <c r="BY163" s="123">
        <f t="shared" si="101"/>
        <v>262.32027738677351</v>
      </c>
      <c r="BZ163" s="141">
        <f t="shared" si="102"/>
        <v>1.2751680150745937</v>
      </c>
      <c r="CA163" s="131">
        <f t="shared" si="103"/>
        <v>24.2889145728494</v>
      </c>
      <c r="CB163" s="143">
        <f t="shared" si="104"/>
        <v>0.20357088363259795</v>
      </c>
      <c r="CC163" s="123">
        <f t="shared" si="105"/>
        <v>265.67232080451163</v>
      </c>
      <c r="CD163" s="131">
        <f t="shared" si="106"/>
        <v>1.1230110178934671</v>
      </c>
      <c r="CE163" s="135">
        <f t="shared" si="107"/>
        <v>1.2751680150745937</v>
      </c>
      <c r="CF163" s="92" t="str">
        <f t="shared" si="108"/>
        <v>O/S</v>
      </c>
      <c r="CG163" s="50"/>
      <c r="DA163" s="111"/>
      <c r="DB163" s="111"/>
      <c r="DC163" s="111"/>
      <c r="DD163" s="116"/>
      <c r="DE163" s="120"/>
      <c r="DF163" s="121"/>
      <c r="DG163" s="121"/>
      <c r="DH163" s="121"/>
      <c r="DI163" s="121"/>
      <c r="DJ163" s="121"/>
      <c r="DK163" s="122"/>
      <c r="DL163" s="123"/>
      <c r="DM163" s="123"/>
      <c r="DN163" s="123"/>
      <c r="DO163" s="123"/>
      <c r="DP163" s="123"/>
      <c r="DQ163" s="111"/>
      <c r="DR163" s="120"/>
      <c r="DS163" s="120"/>
      <c r="DT163" s="120"/>
      <c r="DU163" s="120"/>
      <c r="DV163" s="120"/>
      <c r="DW163" s="120"/>
      <c r="DX163" s="120"/>
      <c r="DY163" s="120"/>
      <c r="DZ163" s="120"/>
      <c r="EA163" s="122"/>
      <c r="EB163" s="122"/>
      <c r="EC163" s="122"/>
      <c r="ED163" s="122"/>
      <c r="EE163" s="122"/>
      <c r="EF163" s="122"/>
      <c r="EG163" s="122"/>
      <c r="EH163" s="122"/>
      <c r="EI163" s="122"/>
      <c r="EJ163" s="122"/>
      <c r="EK163" s="131"/>
      <c r="EL163" s="122"/>
      <c r="EM163" s="276"/>
      <c r="EN163" s="276"/>
      <c r="EO163" s="135"/>
      <c r="EP163" s="136"/>
      <c r="EQ163" s="137"/>
      <c r="ER163" s="276"/>
      <c r="ES163" s="276"/>
      <c r="ET163" s="276"/>
      <c r="EU163" s="276"/>
      <c r="EV163" s="139"/>
      <c r="EW163" s="131"/>
      <c r="EX163" s="139"/>
      <c r="EY163" s="123"/>
      <c r="EZ163" s="141"/>
      <c r="FA163" s="131"/>
      <c r="FB163" s="143"/>
      <c r="FC163" s="123"/>
      <c r="FD163" s="131"/>
      <c r="FE163" s="276"/>
      <c r="FF163" s="276"/>
      <c r="FG163" s="50"/>
    </row>
    <row r="164" spans="27:163">
      <c r="AA164" s="111" t="s">
        <v>245</v>
      </c>
      <c r="AB164" s="111" t="s">
        <v>340</v>
      </c>
      <c r="AC164" s="111">
        <v>102</v>
      </c>
      <c r="AD164" s="116">
        <v>3</v>
      </c>
      <c r="AE164" s="120">
        <v>750</v>
      </c>
      <c r="AF164" s="121">
        <v>350</v>
      </c>
      <c r="AG164" s="121">
        <v>14</v>
      </c>
      <c r="AH164" s="121">
        <v>18.000000000000004</v>
      </c>
      <c r="AI164" s="121">
        <v>714</v>
      </c>
      <c r="AJ164" s="64" t="str" cm="1">
        <f t="array" ref="AJ164">_xll.Dce_Name_SectI(AE164, AE164, AF164, AG164, AH164, "x", "-", "H Tổng")</f>
        <v>750x350x14x18</v>
      </c>
      <c r="AK164" s="122">
        <f t="shared" si="75"/>
        <v>1010</v>
      </c>
      <c r="AL164" s="123">
        <f t="shared" si="76"/>
        <v>350</v>
      </c>
      <c r="AM164" s="123">
        <f t="shared" si="77"/>
        <v>25</v>
      </c>
      <c r="AN164" s="123">
        <f t="shared" si="78"/>
        <v>12</v>
      </c>
      <c r="AO164" s="123">
        <f t="shared" si="79"/>
        <v>24</v>
      </c>
      <c r="AP164" s="165" t="str">
        <f t="shared" si="80"/>
        <v>1010x350x25 + 12M24</v>
      </c>
      <c r="AQ164" s="111" t="s">
        <v>329</v>
      </c>
      <c r="AR164" s="120">
        <v>0</v>
      </c>
      <c r="AS164" s="120">
        <v>-435.06644209268438</v>
      </c>
      <c r="AT164" s="120">
        <v>4.5110937207937226E-14</v>
      </c>
      <c r="AU164" s="120">
        <v>1.3594001037590113E-3</v>
      </c>
      <c r="AV164" s="120">
        <v>5.5044074542820436E-14</v>
      </c>
      <c r="AW164" s="120">
        <v>-323.88148489114957</v>
      </c>
      <c r="AX164" s="120"/>
      <c r="AY164" s="120"/>
      <c r="AZ164" s="120"/>
      <c r="BA164" s="122">
        <f t="shared" si="81"/>
        <v>60</v>
      </c>
      <c r="BB164" s="122">
        <f t="shared" si="82"/>
        <v>70</v>
      </c>
      <c r="BC164" s="122">
        <f t="shared" si="83"/>
        <v>80</v>
      </c>
      <c r="BD164" s="122">
        <f t="shared" si="84"/>
        <v>150</v>
      </c>
      <c r="BE164" s="122">
        <f>VLOOKUP(AO164,Data!$V$4:$Z$15,3,FALSE)</f>
        <v>452.38934211693021</v>
      </c>
      <c r="BF164" s="122">
        <f>VLOOKUP(AO164,Data!$V$4:$Z$15,4,FALSE)</f>
        <v>353</v>
      </c>
      <c r="BG164" s="163">
        <f t="shared" si="85"/>
        <v>180</v>
      </c>
      <c r="BH164" s="122">
        <f t="shared" si="86"/>
        <v>121.65654188208487</v>
      </c>
      <c r="BI164" s="122">
        <f t="shared" si="87"/>
        <v>243</v>
      </c>
      <c r="BJ164" s="163">
        <f t="shared" si="88"/>
        <v>142.3296</v>
      </c>
      <c r="BK164" s="131">
        <f t="shared" si="89"/>
        <v>36.25553684105703</v>
      </c>
      <c r="BL164" s="134">
        <f t="shared" si="90"/>
        <v>0.89458333333333329</v>
      </c>
      <c r="BM164" s="135">
        <f t="shared" si="91"/>
        <v>0.33313331775378741</v>
      </c>
      <c r="BN164" s="92" t="str">
        <f t="shared" si="92"/>
        <v>OK</v>
      </c>
      <c r="BO164" s="135">
        <f>_xll.DCEBoltDisRS(AN164, AE164, BA164, BB164, BC164, BD164, "h1")</f>
        <v>890</v>
      </c>
      <c r="BP164" s="136">
        <f>_xll.DCEBoltDisRS(AN164, AE164, BA164, BB164, BC164, BD164, "Tong")</f>
        <v>1800300</v>
      </c>
      <c r="BQ164" s="137">
        <f t="shared" si="93"/>
        <v>80.0573575385</v>
      </c>
      <c r="BR164" s="135">
        <f t="shared" si="94"/>
        <v>0.56247862383158531</v>
      </c>
      <c r="BS164" s="64" t="str">
        <f t="shared" si="95"/>
        <v>OK</v>
      </c>
      <c r="BT164" s="131">
        <f t="shared" si="96"/>
        <v>0.63654964359202681</v>
      </c>
      <c r="BU164" s="92" t="str">
        <f t="shared" si="97"/>
        <v>OK</v>
      </c>
      <c r="BV164" s="139">
        <f t="shared" si="98"/>
        <v>442.46104493326447</v>
      </c>
      <c r="BW164" s="131">
        <f t="shared" si="99"/>
        <v>9.9553735109984505</v>
      </c>
      <c r="BX164" s="139">
        <f t="shared" si="100"/>
        <v>221.23052246663224</v>
      </c>
      <c r="BY164" s="123">
        <f t="shared" si="101"/>
        <v>94.625332381767464</v>
      </c>
      <c r="BZ164" s="141">
        <f t="shared" si="102"/>
        <v>0.45998425463359188</v>
      </c>
      <c r="CA164" s="131">
        <f t="shared" si="103"/>
        <v>8.7616048501636534</v>
      </c>
      <c r="CB164" s="143">
        <f t="shared" si="104"/>
        <v>7.3432990841888868E-2</v>
      </c>
      <c r="CC164" s="123">
        <f t="shared" si="105"/>
        <v>95.834496330972627</v>
      </c>
      <c r="CD164" s="131">
        <f t="shared" si="106"/>
        <v>0.40509750864541577</v>
      </c>
      <c r="CE164" s="135">
        <f t="shared" si="107"/>
        <v>0.45998425463359188</v>
      </c>
      <c r="CF164" s="92" t="str">
        <f t="shared" si="108"/>
        <v>OK</v>
      </c>
      <c r="CG164" s="50"/>
      <c r="DA164" s="111"/>
      <c r="DB164" s="111"/>
      <c r="DC164" s="111"/>
      <c r="DD164" s="116"/>
      <c r="DE164" s="120"/>
      <c r="DF164" s="121"/>
      <c r="DG164" s="121"/>
      <c r="DH164" s="121"/>
      <c r="DI164" s="121"/>
      <c r="DJ164" s="121"/>
      <c r="DK164" s="122"/>
      <c r="DL164" s="123"/>
      <c r="DM164" s="123"/>
      <c r="DN164" s="123"/>
      <c r="DO164" s="123"/>
      <c r="DP164" s="123"/>
      <c r="DQ164" s="111"/>
      <c r="DR164" s="120"/>
      <c r="DS164" s="120"/>
      <c r="DT164" s="120"/>
      <c r="DU164" s="120"/>
      <c r="DV164" s="120"/>
      <c r="DW164" s="120"/>
      <c r="DX164" s="120"/>
      <c r="DY164" s="120"/>
      <c r="DZ164" s="120"/>
      <c r="EA164" s="122"/>
      <c r="EB164" s="122"/>
      <c r="EC164" s="122"/>
      <c r="ED164" s="122"/>
      <c r="EE164" s="122"/>
      <c r="EF164" s="122"/>
      <c r="EG164" s="122"/>
      <c r="EH164" s="122"/>
      <c r="EI164" s="122"/>
      <c r="EJ164" s="122"/>
      <c r="EK164" s="131"/>
      <c r="EL164" s="122"/>
      <c r="EM164" s="276"/>
      <c r="EN164" s="276"/>
      <c r="EO164" s="135"/>
      <c r="EP164" s="136"/>
      <c r="EQ164" s="137"/>
      <c r="ER164" s="276"/>
      <c r="ES164" s="276"/>
      <c r="ET164" s="276"/>
      <c r="EU164" s="276"/>
      <c r="EV164" s="139"/>
      <c r="EW164" s="131"/>
      <c r="EX164" s="139"/>
      <c r="EY164" s="123"/>
      <c r="EZ164" s="141"/>
      <c r="FA164" s="131"/>
      <c r="FB164" s="143"/>
      <c r="FC164" s="123"/>
      <c r="FD164" s="131"/>
      <c r="FE164" s="276"/>
      <c r="FF164" s="276"/>
      <c r="FG164" s="50"/>
    </row>
    <row r="165" spans="27:163">
      <c r="AA165" s="111" t="s">
        <v>245</v>
      </c>
      <c r="AB165" s="111" t="s">
        <v>340</v>
      </c>
      <c r="AC165" s="111">
        <v>102</v>
      </c>
      <c r="AD165" s="116">
        <v>0.3</v>
      </c>
      <c r="AE165" s="120">
        <v>1100</v>
      </c>
      <c r="AF165" s="121">
        <v>350</v>
      </c>
      <c r="AG165" s="121">
        <v>14</v>
      </c>
      <c r="AH165" s="121">
        <v>18.000000000000004</v>
      </c>
      <c r="AI165" s="121">
        <v>1064</v>
      </c>
      <c r="AJ165" s="64" t="str" cm="1">
        <f t="array" ref="AJ165">_xll.Dce_Name_SectI(AE165, AE165, AF165, AG165, AH165, "x", "-", "H Tổng")</f>
        <v>1100x350x14x18</v>
      </c>
      <c r="AK165" s="122">
        <f t="shared" si="75"/>
        <v>1360</v>
      </c>
      <c r="AL165" s="123">
        <f t="shared" si="76"/>
        <v>350</v>
      </c>
      <c r="AM165" s="123">
        <f t="shared" si="77"/>
        <v>25</v>
      </c>
      <c r="AN165" s="123">
        <f t="shared" si="78"/>
        <v>16</v>
      </c>
      <c r="AO165" s="123">
        <f t="shared" si="79"/>
        <v>27</v>
      </c>
      <c r="AP165" s="165" t="str">
        <f t="shared" si="80"/>
        <v>1360x350x25 + 16M27</v>
      </c>
      <c r="AQ165" s="111" t="s">
        <v>330</v>
      </c>
      <c r="AR165" s="120">
        <v>0</v>
      </c>
      <c r="AS165" s="120">
        <v>-634.5618999490307</v>
      </c>
      <c r="AT165" s="120">
        <v>1.426769813406281E-15</v>
      </c>
      <c r="AU165" s="120">
        <v>1.2489355404896488E-3</v>
      </c>
      <c r="AV165" s="120">
        <v>-8.7360376710421394E-16</v>
      </c>
      <c r="AW165" s="120">
        <v>-1921.5015227032345</v>
      </c>
      <c r="AX165" s="120"/>
      <c r="AY165" s="120"/>
      <c r="AZ165" s="120"/>
      <c r="BA165" s="122">
        <f t="shared" si="81"/>
        <v>60</v>
      </c>
      <c r="BB165" s="122">
        <f t="shared" si="82"/>
        <v>70</v>
      </c>
      <c r="BC165" s="122">
        <f t="shared" si="83"/>
        <v>80</v>
      </c>
      <c r="BD165" s="122">
        <f t="shared" si="84"/>
        <v>160</v>
      </c>
      <c r="BE165" s="122">
        <f>VLOOKUP(AO165,Data!$V$4:$Z$15,3,FALSE)</f>
        <v>572.55526111673976</v>
      </c>
      <c r="BF165" s="122">
        <f>VLOOKUP(AO165,Data!$V$4:$Z$15,4,FALSE)</f>
        <v>459</v>
      </c>
      <c r="BG165" s="163">
        <f t="shared" si="85"/>
        <v>180</v>
      </c>
      <c r="BH165" s="122">
        <f t="shared" si="86"/>
        <v>153.97156081951366</v>
      </c>
      <c r="BI165" s="122">
        <f t="shared" si="87"/>
        <v>273.375</v>
      </c>
      <c r="BJ165" s="163">
        <f t="shared" si="88"/>
        <v>185.06880000000001</v>
      </c>
      <c r="BK165" s="131">
        <f t="shared" si="89"/>
        <v>39.660118746814419</v>
      </c>
      <c r="BL165" s="134">
        <f t="shared" si="90"/>
        <v>0.85037037037037044</v>
      </c>
      <c r="BM165" s="135">
        <f t="shared" si="91"/>
        <v>0.30290425800202864</v>
      </c>
      <c r="BN165" s="92" t="str">
        <f t="shared" si="92"/>
        <v>OK</v>
      </c>
      <c r="BO165" s="135">
        <f>_xll.DCEBoltDisRS(AN165, AE165, BA165, BB165, BC165, BD165, "h1")</f>
        <v>1240</v>
      </c>
      <c r="BP165" s="136">
        <f>_xll.DCEBoltDisRS(AN165, AE165, BA165, BB165, BC165, BD165, "Tong")</f>
        <v>4523000</v>
      </c>
      <c r="BQ165" s="137">
        <f t="shared" si="93"/>
        <v>263.39397392792517</v>
      </c>
      <c r="BR165" s="135">
        <f t="shared" si="94"/>
        <v>1.4232219257266765</v>
      </c>
      <c r="BS165" s="64" t="str">
        <f t="shared" si="95"/>
        <v>O/S</v>
      </c>
      <c r="BT165" s="131">
        <f t="shared" si="96"/>
        <v>1.4463431548293448</v>
      </c>
      <c r="BU165" s="92" t="str">
        <f t="shared" si="97"/>
        <v>O/S</v>
      </c>
      <c r="BV165" s="139">
        <f t="shared" si="98"/>
        <v>1775.8794110011409</v>
      </c>
      <c r="BW165" s="131">
        <f t="shared" si="99"/>
        <v>39.957286747525664</v>
      </c>
      <c r="BX165" s="139">
        <f t="shared" si="100"/>
        <v>887.93970550057043</v>
      </c>
      <c r="BY165" s="123">
        <f t="shared" si="101"/>
        <v>282.05143586488703</v>
      </c>
      <c r="BZ165" s="141">
        <f t="shared" si="102"/>
        <v>1.3710833687876454</v>
      </c>
      <c r="CA165" s="131">
        <f t="shared" si="103"/>
        <v>26.115873691193251</v>
      </c>
      <c r="CB165" s="143">
        <f t="shared" si="104"/>
        <v>0.21888304099419634</v>
      </c>
      <c r="CC165" s="123">
        <f t="shared" si="105"/>
        <v>285.65561266918519</v>
      </c>
      <c r="CD165" s="131">
        <f t="shared" si="106"/>
        <v>1.2074814545195027</v>
      </c>
      <c r="CE165" s="135">
        <f t="shared" si="107"/>
        <v>1.3710833687876454</v>
      </c>
      <c r="CF165" s="92" t="str">
        <f t="shared" si="108"/>
        <v>O/S</v>
      </c>
      <c r="CG165" s="50"/>
      <c r="DA165" s="111"/>
      <c r="DB165" s="111"/>
      <c r="DC165" s="111"/>
      <c r="DD165" s="116"/>
      <c r="DE165" s="120"/>
      <c r="DF165" s="121"/>
      <c r="DG165" s="121"/>
      <c r="DH165" s="121"/>
      <c r="DI165" s="121"/>
      <c r="DJ165" s="121"/>
      <c r="DK165" s="122"/>
      <c r="DL165" s="123"/>
      <c r="DM165" s="123"/>
      <c r="DN165" s="123"/>
      <c r="DO165" s="123"/>
      <c r="DP165" s="123"/>
      <c r="DQ165" s="111"/>
      <c r="DR165" s="120"/>
      <c r="DS165" s="120"/>
      <c r="DT165" s="120"/>
      <c r="DU165" s="120"/>
      <c r="DV165" s="120"/>
      <c r="DW165" s="120"/>
      <c r="DX165" s="120"/>
      <c r="DY165" s="120"/>
      <c r="DZ165" s="120"/>
      <c r="EA165" s="122"/>
      <c r="EB165" s="122"/>
      <c r="EC165" s="122"/>
      <c r="ED165" s="122"/>
      <c r="EE165" s="122"/>
      <c r="EF165" s="122"/>
      <c r="EG165" s="122"/>
      <c r="EH165" s="122"/>
      <c r="EI165" s="122"/>
      <c r="EJ165" s="122"/>
      <c r="EK165" s="131"/>
      <c r="EL165" s="122"/>
      <c r="EM165" s="276"/>
      <c r="EN165" s="276"/>
      <c r="EO165" s="135"/>
      <c r="EP165" s="136"/>
      <c r="EQ165" s="137"/>
      <c r="ER165" s="276"/>
      <c r="ES165" s="276"/>
      <c r="ET165" s="276"/>
      <c r="EU165" s="276"/>
      <c r="EV165" s="139"/>
      <c r="EW165" s="131"/>
      <c r="EX165" s="139"/>
      <c r="EY165" s="123"/>
      <c r="EZ165" s="141"/>
      <c r="FA165" s="131"/>
      <c r="FB165" s="143"/>
      <c r="FC165" s="123"/>
      <c r="FD165" s="131"/>
      <c r="FE165" s="276"/>
      <c r="FF165" s="276"/>
      <c r="FG165" s="50"/>
    </row>
    <row r="166" spans="27:163">
      <c r="AA166" s="111" t="s">
        <v>245</v>
      </c>
      <c r="AB166" s="111" t="s">
        <v>340</v>
      </c>
      <c r="AC166" s="111">
        <v>102</v>
      </c>
      <c r="AD166" s="116">
        <v>3</v>
      </c>
      <c r="AE166" s="120">
        <v>750</v>
      </c>
      <c r="AF166" s="121">
        <v>350</v>
      </c>
      <c r="AG166" s="121">
        <v>14</v>
      </c>
      <c r="AH166" s="121">
        <v>18.000000000000004</v>
      </c>
      <c r="AI166" s="121">
        <v>714</v>
      </c>
      <c r="AJ166" s="64" t="str" cm="1">
        <f t="array" ref="AJ166">_xll.Dce_Name_SectI(AE166, AE166, AF166, AG166, AH166, "x", "-", "H Tổng")</f>
        <v>750x350x14x18</v>
      </c>
      <c r="AK166" s="122">
        <f t="shared" si="75"/>
        <v>1010</v>
      </c>
      <c r="AL166" s="123">
        <f t="shared" si="76"/>
        <v>350</v>
      </c>
      <c r="AM166" s="123">
        <f t="shared" si="77"/>
        <v>25</v>
      </c>
      <c r="AN166" s="123">
        <f t="shared" si="78"/>
        <v>12</v>
      </c>
      <c r="AO166" s="123">
        <f t="shared" si="79"/>
        <v>24</v>
      </c>
      <c r="AP166" s="165" t="str">
        <f t="shared" si="80"/>
        <v>1010x350x25 + 12M24</v>
      </c>
      <c r="AQ166" s="111" t="s">
        <v>330</v>
      </c>
      <c r="AR166" s="120">
        <v>0</v>
      </c>
      <c r="AS166" s="120">
        <v>-453.09203944256541</v>
      </c>
      <c r="AT166" s="120">
        <v>4.647517926059662E-14</v>
      </c>
      <c r="AU166" s="120">
        <v>1.2491428843776459E-3</v>
      </c>
      <c r="AV166" s="120">
        <v>6.5897074819076801E-14</v>
      </c>
      <c r="AW166" s="120">
        <v>-409.63238027651295</v>
      </c>
      <c r="AX166" s="120"/>
      <c r="AY166" s="120"/>
      <c r="AZ166" s="120"/>
      <c r="BA166" s="122">
        <f t="shared" si="81"/>
        <v>60</v>
      </c>
      <c r="BB166" s="122">
        <f t="shared" si="82"/>
        <v>70</v>
      </c>
      <c r="BC166" s="122">
        <f t="shared" si="83"/>
        <v>80</v>
      </c>
      <c r="BD166" s="122">
        <f t="shared" si="84"/>
        <v>150</v>
      </c>
      <c r="BE166" s="122">
        <f>VLOOKUP(AO166,Data!$V$4:$Z$15,3,FALSE)</f>
        <v>452.38934211693021</v>
      </c>
      <c r="BF166" s="122">
        <f>VLOOKUP(AO166,Data!$V$4:$Z$15,4,FALSE)</f>
        <v>353</v>
      </c>
      <c r="BG166" s="163">
        <f t="shared" si="85"/>
        <v>180</v>
      </c>
      <c r="BH166" s="122">
        <f t="shared" si="86"/>
        <v>121.65654188208487</v>
      </c>
      <c r="BI166" s="122">
        <f t="shared" si="87"/>
        <v>243</v>
      </c>
      <c r="BJ166" s="163">
        <f t="shared" si="88"/>
        <v>142.3296</v>
      </c>
      <c r="BK166" s="131">
        <f t="shared" si="89"/>
        <v>37.757669953547115</v>
      </c>
      <c r="BL166" s="134">
        <f t="shared" si="90"/>
        <v>0.89458333333333329</v>
      </c>
      <c r="BM166" s="135">
        <f t="shared" si="91"/>
        <v>0.34693563958025564</v>
      </c>
      <c r="BN166" s="92" t="str">
        <f t="shared" si="92"/>
        <v>OK</v>
      </c>
      <c r="BO166" s="135">
        <f>_xll.DCEBoltDisRS(AN166, AE166, BA166, BB166, BC166, BD166, "h1")</f>
        <v>890</v>
      </c>
      <c r="BP166" s="136">
        <f>_xll.DCEBoltDisRS(AN166, AE166, BA166, BB166, BC166, BD166, "Tong")</f>
        <v>1800300</v>
      </c>
      <c r="BQ166" s="137">
        <f t="shared" si="93"/>
        <v>101.25335178750667</v>
      </c>
      <c r="BR166" s="135">
        <f t="shared" si="94"/>
        <v>0.7114005223615234</v>
      </c>
      <c r="BS166" s="64" t="str">
        <f t="shared" si="95"/>
        <v>OK</v>
      </c>
      <c r="BT166" s="131">
        <f t="shared" si="96"/>
        <v>0.77615449250302726</v>
      </c>
      <c r="BU166" s="92" t="str">
        <f t="shared" si="97"/>
        <v>OK</v>
      </c>
      <c r="BV166" s="139">
        <f t="shared" si="98"/>
        <v>559.60707688048217</v>
      </c>
      <c r="BW166" s="131">
        <f t="shared" si="99"/>
        <v>12.591159229810849</v>
      </c>
      <c r="BX166" s="139">
        <f t="shared" si="100"/>
        <v>279.80353844024108</v>
      </c>
      <c r="BY166" s="123">
        <f t="shared" si="101"/>
        <v>119.67834515463777</v>
      </c>
      <c r="BZ166" s="141">
        <f t="shared" si="102"/>
        <v>0.58176973339060034</v>
      </c>
      <c r="CA166" s="131">
        <f t="shared" si="103"/>
        <v>11.081328255059052</v>
      </c>
      <c r="CB166" s="143">
        <f t="shared" si="104"/>
        <v>9.2875117080236325E-2</v>
      </c>
      <c r="CC166" s="123">
        <f t="shared" si="105"/>
        <v>121.20764747589865</v>
      </c>
      <c r="CD166" s="131">
        <f t="shared" si="106"/>
        <v>0.51235116686672144</v>
      </c>
      <c r="CE166" s="135">
        <f t="shared" si="107"/>
        <v>0.58176973339060034</v>
      </c>
      <c r="CF166" s="92" t="str">
        <f t="shared" si="108"/>
        <v>OK</v>
      </c>
      <c r="CG166" s="50"/>
      <c r="DA166" s="111"/>
      <c r="DB166" s="111"/>
      <c r="DC166" s="111"/>
      <c r="DD166" s="116"/>
      <c r="DE166" s="120"/>
      <c r="DF166" s="121"/>
      <c r="DG166" s="121"/>
      <c r="DH166" s="121"/>
      <c r="DI166" s="121"/>
      <c r="DJ166" s="121"/>
      <c r="DK166" s="122"/>
      <c r="DL166" s="123"/>
      <c r="DM166" s="123"/>
      <c r="DN166" s="123"/>
      <c r="DO166" s="123"/>
      <c r="DP166" s="123"/>
      <c r="DQ166" s="111"/>
      <c r="DR166" s="120"/>
      <c r="DS166" s="120"/>
      <c r="DT166" s="120"/>
      <c r="DU166" s="120"/>
      <c r="DV166" s="120"/>
      <c r="DW166" s="120"/>
      <c r="DX166" s="120"/>
      <c r="DY166" s="120"/>
      <c r="DZ166" s="120"/>
      <c r="EA166" s="122"/>
      <c r="EB166" s="122"/>
      <c r="EC166" s="122"/>
      <c r="ED166" s="122"/>
      <c r="EE166" s="122"/>
      <c r="EF166" s="122"/>
      <c r="EG166" s="122"/>
      <c r="EH166" s="122"/>
      <c r="EI166" s="122"/>
      <c r="EJ166" s="122"/>
      <c r="EK166" s="131"/>
      <c r="EL166" s="122"/>
      <c r="EM166" s="276"/>
      <c r="EN166" s="276"/>
      <c r="EO166" s="135"/>
      <c r="EP166" s="136"/>
      <c r="EQ166" s="137"/>
      <c r="ER166" s="276"/>
      <c r="ES166" s="276"/>
      <c r="ET166" s="276"/>
      <c r="EU166" s="276"/>
      <c r="EV166" s="139"/>
      <c r="EW166" s="131"/>
      <c r="EX166" s="139"/>
      <c r="EY166" s="123"/>
      <c r="EZ166" s="141"/>
      <c r="FA166" s="131"/>
      <c r="FB166" s="143"/>
      <c r="FC166" s="123"/>
      <c r="FD166" s="131"/>
      <c r="FE166" s="276"/>
      <c r="FF166" s="276"/>
      <c r="FG166" s="50"/>
    </row>
    <row r="167" spans="27:163">
      <c r="AA167" s="111" t="s">
        <v>245</v>
      </c>
      <c r="AB167" s="111" t="s">
        <v>340</v>
      </c>
      <c r="AC167" s="111">
        <v>102</v>
      </c>
      <c r="AD167" s="116">
        <v>0.3</v>
      </c>
      <c r="AE167" s="120">
        <v>1100</v>
      </c>
      <c r="AF167" s="121">
        <v>350</v>
      </c>
      <c r="AG167" s="121">
        <v>14</v>
      </c>
      <c r="AH167" s="121">
        <v>18.000000000000004</v>
      </c>
      <c r="AI167" s="121">
        <v>1064</v>
      </c>
      <c r="AJ167" s="64" t="str" cm="1">
        <f t="array" ref="AJ167">_xll.Dce_Name_SectI(AE167, AE167, AF167, AG167, AH167, "x", "-", "H Tổng")</f>
        <v>1100x350x14x18</v>
      </c>
      <c r="AK167" s="122">
        <f t="shared" si="75"/>
        <v>1360</v>
      </c>
      <c r="AL167" s="123">
        <f t="shared" si="76"/>
        <v>350</v>
      </c>
      <c r="AM167" s="123">
        <f t="shared" si="77"/>
        <v>25</v>
      </c>
      <c r="AN167" s="123">
        <f t="shared" si="78"/>
        <v>16</v>
      </c>
      <c r="AO167" s="123">
        <f t="shared" si="79"/>
        <v>27</v>
      </c>
      <c r="AP167" s="165" t="str">
        <f t="shared" si="80"/>
        <v>1360x350x25 + 16M27</v>
      </c>
      <c r="AQ167" s="111" t="s">
        <v>331</v>
      </c>
      <c r="AR167" s="120">
        <v>0</v>
      </c>
      <c r="AS167" s="120">
        <v>-631.40386948351772</v>
      </c>
      <c r="AT167" s="120">
        <v>1.3130829756846649E-15</v>
      </c>
      <c r="AU167" s="120">
        <v>1.2969605534280482E-3</v>
      </c>
      <c r="AV167" s="120">
        <v>-9.2794607553514641E-16</v>
      </c>
      <c r="AW167" s="120">
        <v>-1888.6898876066366</v>
      </c>
      <c r="AX167" s="120"/>
      <c r="AY167" s="120"/>
      <c r="AZ167" s="120"/>
      <c r="BA167" s="122">
        <f t="shared" si="81"/>
        <v>60</v>
      </c>
      <c r="BB167" s="122">
        <f t="shared" si="82"/>
        <v>70</v>
      </c>
      <c r="BC167" s="122">
        <f t="shared" si="83"/>
        <v>80</v>
      </c>
      <c r="BD167" s="122">
        <f t="shared" si="84"/>
        <v>160</v>
      </c>
      <c r="BE167" s="122">
        <f>VLOOKUP(AO167,Data!$V$4:$Z$15,3,FALSE)</f>
        <v>572.55526111673976</v>
      </c>
      <c r="BF167" s="122">
        <f>VLOOKUP(AO167,Data!$V$4:$Z$15,4,FALSE)</f>
        <v>459</v>
      </c>
      <c r="BG167" s="163">
        <f t="shared" si="85"/>
        <v>180</v>
      </c>
      <c r="BH167" s="122">
        <f t="shared" si="86"/>
        <v>153.97156081951366</v>
      </c>
      <c r="BI167" s="122">
        <f t="shared" si="87"/>
        <v>273.375</v>
      </c>
      <c r="BJ167" s="163">
        <f t="shared" si="88"/>
        <v>185.06880000000001</v>
      </c>
      <c r="BK167" s="131">
        <f t="shared" si="89"/>
        <v>39.462741842719858</v>
      </c>
      <c r="BL167" s="134">
        <f t="shared" si="90"/>
        <v>0.85037037037037044</v>
      </c>
      <c r="BM167" s="135">
        <f t="shared" si="91"/>
        <v>0.30139679139399422</v>
      </c>
      <c r="BN167" s="92" t="str">
        <f t="shared" si="92"/>
        <v>OK</v>
      </c>
      <c r="BO167" s="135">
        <f>_xll.DCEBoltDisRS(AN167, AE167, BA167, BB167, BC167, BD167, "h1")</f>
        <v>1240</v>
      </c>
      <c r="BP167" s="136">
        <f>_xll.DCEBoltDisRS(AN167, AE167, BA167, BB167, BC167, BD167, "Tong")</f>
        <v>4523000</v>
      </c>
      <c r="BQ167" s="137">
        <f t="shared" si="93"/>
        <v>258.89624813533379</v>
      </c>
      <c r="BR167" s="135">
        <f t="shared" si="94"/>
        <v>1.398918932501501</v>
      </c>
      <c r="BS167" s="64" t="str">
        <f t="shared" si="95"/>
        <v>O/S</v>
      </c>
      <c r="BT167" s="131">
        <f t="shared" si="96"/>
        <v>1.4222036796568951</v>
      </c>
      <c r="BU167" s="92" t="str">
        <f t="shared" si="97"/>
        <v>O/S</v>
      </c>
      <c r="BV167" s="139">
        <f t="shared" si="98"/>
        <v>1745.55442477508</v>
      </c>
      <c r="BW167" s="131">
        <f t="shared" si="99"/>
        <v>39.2749745574393</v>
      </c>
      <c r="BX167" s="139">
        <f t="shared" si="100"/>
        <v>872.77721238753998</v>
      </c>
      <c r="BY167" s="123">
        <f t="shared" si="101"/>
        <v>277.23511452310095</v>
      </c>
      <c r="BZ167" s="141">
        <f t="shared" si="102"/>
        <v>1.3476706955984075</v>
      </c>
      <c r="CA167" s="131">
        <f t="shared" si="103"/>
        <v>25.669918011398234</v>
      </c>
      <c r="CB167" s="143">
        <f t="shared" si="104"/>
        <v>0.21514538563192967</v>
      </c>
      <c r="CC167" s="123">
        <f t="shared" si="105"/>
        <v>280.77774626343273</v>
      </c>
      <c r="CD167" s="131">
        <f t="shared" si="106"/>
        <v>1.1868624540120951</v>
      </c>
      <c r="CE167" s="135">
        <f t="shared" si="107"/>
        <v>1.3476706955984075</v>
      </c>
      <c r="CF167" s="92" t="str">
        <f t="shared" si="108"/>
        <v>O/S</v>
      </c>
      <c r="CG167" s="50"/>
      <c r="DA167" s="111"/>
      <c r="DB167" s="111"/>
      <c r="DC167" s="111"/>
      <c r="DD167" s="116"/>
      <c r="DE167" s="120"/>
      <c r="DF167" s="121"/>
      <c r="DG167" s="121"/>
      <c r="DH167" s="121"/>
      <c r="DI167" s="121"/>
      <c r="DJ167" s="121"/>
      <c r="DK167" s="122"/>
      <c r="DL167" s="123"/>
      <c r="DM167" s="123"/>
      <c r="DN167" s="123"/>
      <c r="DO167" s="123"/>
      <c r="DP167" s="123"/>
      <c r="DQ167" s="111"/>
      <c r="DR167" s="120"/>
      <c r="DS167" s="120"/>
      <c r="DT167" s="120"/>
      <c r="DU167" s="120"/>
      <c r="DV167" s="120"/>
      <c r="DW167" s="120"/>
      <c r="DX167" s="120"/>
      <c r="DY167" s="120"/>
      <c r="DZ167" s="120"/>
      <c r="EA167" s="122"/>
      <c r="EB167" s="122"/>
      <c r="EC167" s="122"/>
      <c r="ED167" s="122"/>
      <c r="EE167" s="122"/>
      <c r="EF167" s="122"/>
      <c r="EG167" s="122"/>
      <c r="EH167" s="122"/>
      <c r="EI167" s="122"/>
      <c r="EJ167" s="122"/>
      <c r="EK167" s="131"/>
      <c r="EL167" s="122"/>
      <c r="EM167" s="276"/>
      <c r="EN167" s="276"/>
      <c r="EO167" s="135"/>
      <c r="EP167" s="136"/>
      <c r="EQ167" s="137"/>
      <c r="ER167" s="276"/>
      <c r="ES167" s="276"/>
      <c r="ET167" s="276"/>
      <c r="EU167" s="276"/>
      <c r="EV167" s="139"/>
      <c r="EW167" s="131"/>
      <c r="EX167" s="139"/>
      <c r="EY167" s="123"/>
      <c r="EZ167" s="141"/>
      <c r="FA167" s="131"/>
      <c r="FB167" s="143"/>
      <c r="FC167" s="123"/>
      <c r="FD167" s="131"/>
      <c r="FE167" s="276"/>
      <c r="FF167" s="276"/>
      <c r="FG167" s="50"/>
    </row>
    <row r="168" spans="27:163">
      <c r="AA168" s="111" t="s">
        <v>245</v>
      </c>
      <c r="AB168" s="111" t="s">
        <v>340</v>
      </c>
      <c r="AC168" s="111">
        <v>102</v>
      </c>
      <c r="AD168" s="116">
        <v>3</v>
      </c>
      <c r="AE168" s="120">
        <v>750</v>
      </c>
      <c r="AF168" s="121">
        <v>350</v>
      </c>
      <c r="AG168" s="121">
        <v>14</v>
      </c>
      <c r="AH168" s="121">
        <v>18.000000000000004</v>
      </c>
      <c r="AI168" s="121">
        <v>714</v>
      </c>
      <c r="AJ168" s="64" t="str" cm="1">
        <f t="array" ref="AJ168">_xll.Dce_Name_SectI(AE168, AE168, AF168, AG168, AH168, "x", "-", "H Tổng")</f>
        <v>750x350x14x18</v>
      </c>
      <c r="AK168" s="122">
        <f t="shared" si="75"/>
        <v>1010</v>
      </c>
      <c r="AL168" s="123">
        <f t="shared" si="76"/>
        <v>350</v>
      </c>
      <c r="AM168" s="123">
        <f t="shared" si="77"/>
        <v>25</v>
      </c>
      <c r="AN168" s="123">
        <f t="shared" si="78"/>
        <v>12</v>
      </c>
      <c r="AO168" s="123">
        <f t="shared" si="79"/>
        <v>24</v>
      </c>
      <c r="AP168" s="165" t="str">
        <f t="shared" si="80"/>
        <v>1010x350x25 + 12M24</v>
      </c>
      <c r="AQ168" s="111" t="s">
        <v>331</v>
      </c>
      <c r="AR168" s="120">
        <v>0</v>
      </c>
      <c r="AS168" s="120">
        <v>-449.93401022862901</v>
      </c>
      <c r="AT168" s="120">
        <v>4.6134118747431772E-14</v>
      </c>
      <c r="AU168" s="120">
        <v>1.2971757325864759E-3</v>
      </c>
      <c r="AV168" s="120">
        <v>6.3183824750012707E-14</v>
      </c>
      <c r="AW168" s="120">
        <v>-385.34750038461931</v>
      </c>
      <c r="AX168" s="120"/>
      <c r="AY168" s="120"/>
      <c r="AZ168" s="120"/>
      <c r="BA168" s="122">
        <f t="shared" si="81"/>
        <v>60</v>
      </c>
      <c r="BB168" s="122">
        <f t="shared" si="82"/>
        <v>70</v>
      </c>
      <c r="BC168" s="122">
        <f t="shared" si="83"/>
        <v>80</v>
      </c>
      <c r="BD168" s="122">
        <f t="shared" si="84"/>
        <v>150</v>
      </c>
      <c r="BE168" s="122">
        <f>VLOOKUP(AO168,Data!$V$4:$Z$15,3,FALSE)</f>
        <v>452.38934211693021</v>
      </c>
      <c r="BF168" s="122">
        <f>VLOOKUP(AO168,Data!$V$4:$Z$15,4,FALSE)</f>
        <v>353</v>
      </c>
      <c r="BG168" s="163">
        <f t="shared" si="85"/>
        <v>180</v>
      </c>
      <c r="BH168" s="122">
        <f t="shared" si="86"/>
        <v>121.65654188208487</v>
      </c>
      <c r="BI168" s="122">
        <f t="shared" si="87"/>
        <v>243</v>
      </c>
      <c r="BJ168" s="163">
        <f t="shared" si="88"/>
        <v>142.3296</v>
      </c>
      <c r="BK168" s="131">
        <f t="shared" si="89"/>
        <v>37.494500852385748</v>
      </c>
      <c r="BL168" s="134">
        <f t="shared" si="90"/>
        <v>0.89458333333333329</v>
      </c>
      <c r="BM168" s="135">
        <f t="shared" si="91"/>
        <v>0.34451751524839119</v>
      </c>
      <c r="BN168" s="92" t="str">
        <f t="shared" si="92"/>
        <v>OK</v>
      </c>
      <c r="BO168" s="135">
        <f>_xll.DCEBoltDisRS(AN168, AE168, BA168, BB168, BC168, BD168, "h1")</f>
        <v>890</v>
      </c>
      <c r="BP168" s="136">
        <f>_xll.DCEBoltDisRS(AN168, AE168, BA168, BB168, BC168, BD168, "Tong")</f>
        <v>1800300</v>
      </c>
      <c r="BQ168" s="137">
        <f t="shared" si="93"/>
        <v>95.25059027448512</v>
      </c>
      <c r="BR168" s="135">
        <f t="shared" si="94"/>
        <v>0.66922544765449432</v>
      </c>
      <c r="BS168" s="64" t="str">
        <f t="shared" si="95"/>
        <v>OK</v>
      </c>
      <c r="BT168" s="131">
        <f t="shared" si="96"/>
        <v>0.7367833534926439</v>
      </c>
      <c r="BU168" s="92" t="str">
        <f t="shared" si="97"/>
        <v>OK</v>
      </c>
      <c r="BV168" s="139">
        <f t="shared" si="98"/>
        <v>526.431011454398</v>
      </c>
      <c r="BW168" s="131">
        <f t="shared" si="99"/>
        <v>11.844697757723955</v>
      </c>
      <c r="BX168" s="139">
        <f t="shared" si="100"/>
        <v>263.215505727199</v>
      </c>
      <c r="BY168" s="123">
        <f t="shared" si="101"/>
        <v>112.58326581599006</v>
      </c>
      <c r="BZ168" s="141">
        <f t="shared" si="102"/>
        <v>0.54727976438328507</v>
      </c>
      <c r="CA168" s="131">
        <f t="shared" si="103"/>
        <v>10.424376464443526</v>
      </c>
      <c r="CB168" s="143">
        <f t="shared" si="104"/>
        <v>8.7369055616744115E-2</v>
      </c>
      <c r="CC168" s="123">
        <f t="shared" si="105"/>
        <v>114.02190410535692</v>
      </c>
      <c r="CD168" s="131">
        <f t="shared" si="106"/>
        <v>0.48197664778834459</v>
      </c>
      <c r="CE168" s="135">
        <f t="shared" si="107"/>
        <v>0.54727976438328507</v>
      </c>
      <c r="CF168" s="92" t="str">
        <f t="shared" si="108"/>
        <v>OK</v>
      </c>
      <c r="CG168" s="50"/>
      <c r="DA168" s="111"/>
      <c r="DB168" s="111"/>
      <c r="DC168" s="111"/>
      <c r="DD168" s="116"/>
      <c r="DE168" s="120"/>
      <c r="DF168" s="121"/>
      <c r="DG168" s="121"/>
      <c r="DH168" s="121"/>
      <c r="DI168" s="121"/>
      <c r="DJ168" s="121"/>
      <c r="DK168" s="122"/>
      <c r="DL168" s="123"/>
      <c r="DM168" s="123"/>
      <c r="DN168" s="123"/>
      <c r="DO168" s="123"/>
      <c r="DP168" s="123"/>
      <c r="DQ168" s="111"/>
      <c r="DR168" s="120"/>
      <c r="DS168" s="120"/>
      <c r="DT168" s="120"/>
      <c r="DU168" s="120"/>
      <c r="DV168" s="120"/>
      <c r="DW168" s="120"/>
      <c r="DX168" s="120"/>
      <c r="DY168" s="120"/>
      <c r="DZ168" s="120"/>
      <c r="EA168" s="122"/>
      <c r="EB168" s="122"/>
      <c r="EC168" s="122"/>
      <c r="ED168" s="122"/>
      <c r="EE168" s="122"/>
      <c r="EF168" s="122"/>
      <c r="EG168" s="122"/>
      <c r="EH168" s="122"/>
      <c r="EI168" s="122"/>
      <c r="EJ168" s="122"/>
      <c r="EK168" s="131"/>
      <c r="EL168" s="122"/>
      <c r="EM168" s="276"/>
      <c r="EN168" s="276"/>
      <c r="EO168" s="135"/>
      <c r="EP168" s="136"/>
      <c r="EQ168" s="137"/>
      <c r="ER168" s="276"/>
      <c r="ES168" s="276"/>
      <c r="ET168" s="276"/>
      <c r="EU168" s="276"/>
      <c r="EV168" s="139"/>
      <c r="EW168" s="131"/>
      <c r="EX168" s="139"/>
      <c r="EY168" s="123"/>
      <c r="EZ168" s="141"/>
      <c r="FA168" s="131"/>
      <c r="FB168" s="143"/>
      <c r="FC168" s="123"/>
      <c r="FD168" s="131"/>
      <c r="FE168" s="276"/>
      <c r="FF168" s="276"/>
      <c r="FG168" s="50"/>
    </row>
    <row r="169" spans="27:163">
      <c r="AA169" s="111" t="s">
        <v>245</v>
      </c>
      <c r="AB169" s="111" t="s">
        <v>340</v>
      </c>
      <c r="AC169" s="111">
        <v>102</v>
      </c>
      <c r="AD169" s="116">
        <v>0.3</v>
      </c>
      <c r="AE169" s="120">
        <v>1100</v>
      </c>
      <c r="AF169" s="121">
        <v>350</v>
      </c>
      <c r="AG169" s="121">
        <v>14</v>
      </c>
      <c r="AH169" s="121">
        <v>18.000000000000004</v>
      </c>
      <c r="AI169" s="121">
        <v>1064</v>
      </c>
      <c r="AJ169" s="64" t="str" cm="1">
        <f t="array" ref="AJ169">_xll.Dce_Name_SectI(AE169, AE169, AF169, AG169, AH169, "x", "-", "H Tổng")</f>
        <v>1100x350x14x18</v>
      </c>
      <c r="AK169" s="122">
        <f t="shared" si="75"/>
        <v>1360</v>
      </c>
      <c r="AL169" s="123">
        <f t="shared" si="76"/>
        <v>350</v>
      </c>
      <c r="AM169" s="123">
        <f t="shared" si="77"/>
        <v>25</v>
      </c>
      <c r="AN169" s="123">
        <f t="shared" si="78"/>
        <v>16</v>
      </c>
      <c r="AO169" s="123">
        <f t="shared" si="79"/>
        <v>27</v>
      </c>
      <c r="AP169" s="165" t="str">
        <f t="shared" si="80"/>
        <v>1360x350x25 + 16M27</v>
      </c>
      <c r="AQ169" s="111" t="s">
        <v>332</v>
      </c>
      <c r="AR169" s="120">
        <v>0</v>
      </c>
      <c r="AS169" s="120">
        <v>-207.24951183492649</v>
      </c>
      <c r="AT169" s="120">
        <v>2.7466739993542428E-14</v>
      </c>
      <c r="AU169" s="120">
        <v>7.1608315762621509E-4</v>
      </c>
      <c r="AV169" s="120">
        <v>-9.6417352324351667E-15</v>
      </c>
      <c r="AW169" s="120">
        <v>-656.97856512193005</v>
      </c>
      <c r="AX169" s="120"/>
      <c r="AY169" s="120"/>
      <c r="AZ169" s="120"/>
      <c r="BA169" s="122">
        <f t="shared" si="81"/>
        <v>60</v>
      </c>
      <c r="BB169" s="122">
        <f t="shared" si="82"/>
        <v>70</v>
      </c>
      <c r="BC169" s="122">
        <f t="shared" si="83"/>
        <v>80</v>
      </c>
      <c r="BD169" s="122">
        <f t="shared" si="84"/>
        <v>160</v>
      </c>
      <c r="BE169" s="122">
        <f>VLOOKUP(AO169,Data!$V$4:$Z$15,3,FALSE)</f>
        <v>572.55526111673976</v>
      </c>
      <c r="BF169" s="122">
        <f>VLOOKUP(AO169,Data!$V$4:$Z$15,4,FALSE)</f>
        <v>459</v>
      </c>
      <c r="BG169" s="163">
        <f t="shared" si="85"/>
        <v>180</v>
      </c>
      <c r="BH169" s="122">
        <f t="shared" si="86"/>
        <v>153.97156081951366</v>
      </c>
      <c r="BI169" s="122">
        <f t="shared" si="87"/>
        <v>273.375</v>
      </c>
      <c r="BJ169" s="163">
        <f t="shared" si="88"/>
        <v>185.06880000000001</v>
      </c>
      <c r="BK169" s="131">
        <f t="shared" si="89"/>
        <v>12.953094489682906</v>
      </c>
      <c r="BL169" s="134">
        <f t="shared" si="90"/>
        <v>0.85037037037037044</v>
      </c>
      <c r="BM169" s="135">
        <f t="shared" si="91"/>
        <v>9.8929292175725353E-2</v>
      </c>
      <c r="BN169" s="92" t="str">
        <f t="shared" si="92"/>
        <v>OK</v>
      </c>
      <c r="BO169" s="135">
        <f>_xll.DCEBoltDisRS(AN169, AE169, BA169, BB169, BC169, BD169, "h1")</f>
        <v>1240</v>
      </c>
      <c r="BP169" s="136">
        <f>_xll.DCEBoltDisRS(AN169, AE169, BA169, BB169, BC169, BD169, "Tong")</f>
        <v>4523000</v>
      </c>
      <c r="BQ169" s="137">
        <f t="shared" si="93"/>
        <v>90.056756660534305</v>
      </c>
      <c r="BR169" s="135">
        <f t="shared" si="94"/>
        <v>0.48661231207277672</v>
      </c>
      <c r="BS169" s="64" t="str">
        <f t="shared" si="95"/>
        <v>OK</v>
      </c>
      <c r="BT169" s="131">
        <f t="shared" si="96"/>
        <v>0.49383075723974912</v>
      </c>
      <c r="BU169" s="92" t="str">
        <f t="shared" si="97"/>
        <v>OK</v>
      </c>
      <c r="BV169" s="139">
        <f t="shared" si="98"/>
        <v>607.18906203505549</v>
      </c>
      <c r="BW169" s="131">
        <f t="shared" si="99"/>
        <v>13.661753895788747</v>
      </c>
      <c r="BX169" s="139">
        <f t="shared" si="100"/>
        <v>303.59453101752774</v>
      </c>
      <c r="BY169" s="123">
        <f t="shared" si="101"/>
        <v>96.435909852626452</v>
      </c>
      <c r="BZ169" s="141">
        <f t="shared" si="102"/>
        <v>0.46878567289471196</v>
      </c>
      <c r="CA169" s="131">
        <f t="shared" si="103"/>
        <v>8.9292509122802279</v>
      </c>
      <c r="CB169" s="143">
        <f t="shared" si="104"/>
        <v>7.4838070385490424E-2</v>
      </c>
      <c r="CC169" s="123">
        <f t="shared" si="105"/>
        <v>97.668210153904568</v>
      </c>
      <c r="CD169" s="131">
        <f t="shared" si="106"/>
        <v>0.41284871441867882</v>
      </c>
      <c r="CE169" s="135">
        <f t="shared" si="107"/>
        <v>0.46878567289471196</v>
      </c>
      <c r="CF169" s="92" t="str">
        <f t="shared" si="108"/>
        <v>OK</v>
      </c>
      <c r="CG169" s="50"/>
      <c r="DA169" s="111"/>
      <c r="DB169" s="111"/>
      <c r="DC169" s="111"/>
      <c r="DD169" s="116"/>
      <c r="DE169" s="120"/>
      <c r="DF169" s="121"/>
      <c r="DG169" s="121"/>
      <c r="DH169" s="121"/>
      <c r="DI169" s="121"/>
      <c r="DJ169" s="121"/>
      <c r="DK169" s="122"/>
      <c r="DL169" s="123"/>
      <c r="DM169" s="123"/>
      <c r="DN169" s="123"/>
      <c r="DO169" s="123"/>
      <c r="DP169" s="123"/>
      <c r="DQ169" s="111"/>
      <c r="DR169" s="120"/>
      <c r="DS169" s="120"/>
      <c r="DT169" s="120"/>
      <c r="DU169" s="120"/>
      <c r="DV169" s="120"/>
      <c r="DW169" s="120"/>
      <c r="DX169" s="120"/>
      <c r="DY169" s="120"/>
      <c r="DZ169" s="120"/>
      <c r="EA169" s="122"/>
      <c r="EB169" s="122"/>
      <c r="EC169" s="122"/>
      <c r="ED169" s="122"/>
      <c r="EE169" s="122"/>
      <c r="EF169" s="122"/>
      <c r="EG169" s="122"/>
      <c r="EH169" s="122"/>
      <c r="EI169" s="122"/>
      <c r="EJ169" s="122"/>
      <c r="EK169" s="131"/>
      <c r="EL169" s="122"/>
      <c r="EM169" s="276"/>
      <c r="EN169" s="276"/>
      <c r="EO169" s="135"/>
      <c r="EP169" s="136"/>
      <c r="EQ169" s="137"/>
      <c r="ER169" s="276"/>
      <c r="ES169" s="276"/>
      <c r="ET169" s="276"/>
      <c r="EU169" s="276"/>
      <c r="EV169" s="139"/>
      <c r="EW169" s="131"/>
      <c r="EX169" s="139"/>
      <c r="EY169" s="123"/>
      <c r="EZ169" s="141"/>
      <c r="FA169" s="131"/>
      <c r="FB169" s="143"/>
      <c r="FC169" s="123"/>
      <c r="FD169" s="131"/>
      <c r="FE169" s="276"/>
      <c r="FF169" s="276"/>
      <c r="FG169" s="50"/>
    </row>
    <row r="170" spans="27:163">
      <c r="AA170" s="111" t="s">
        <v>245</v>
      </c>
      <c r="AB170" s="111" t="s">
        <v>340</v>
      </c>
      <c r="AC170" s="111">
        <v>102</v>
      </c>
      <c r="AD170" s="116">
        <v>3</v>
      </c>
      <c r="AE170" s="120">
        <v>750</v>
      </c>
      <c r="AF170" s="121">
        <v>350</v>
      </c>
      <c r="AG170" s="121">
        <v>14</v>
      </c>
      <c r="AH170" s="121">
        <v>18.000000000000004</v>
      </c>
      <c r="AI170" s="121">
        <v>714</v>
      </c>
      <c r="AJ170" s="64" t="str" cm="1">
        <f t="array" ref="AJ170">_xll.Dce_Name_SectI(AE170, AE170, AF170, AG170, AH170, "x", "-", "H Tổng")</f>
        <v>750x350x14x18</v>
      </c>
      <c r="AK170" s="122">
        <f t="shared" si="75"/>
        <v>1010</v>
      </c>
      <c r="AL170" s="123">
        <f t="shared" si="76"/>
        <v>350</v>
      </c>
      <c r="AM170" s="123">
        <f t="shared" si="77"/>
        <v>25</v>
      </c>
      <c r="AN170" s="123">
        <f t="shared" si="78"/>
        <v>12</v>
      </c>
      <c r="AO170" s="123">
        <f t="shared" si="79"/>
        <v>24</v>
      </c>
      <c r="AP170" s="165" t="str">
        <f t="shared" si="80"/>
        <v>1010x350x25 + 12M24</v>
      </c>
      <c r="AQ170" s="111" t="s">
        <v>332</v>
      </c>
      <c r="AR170" s="120">
        <v>0</v>
      </c>
      <c r="AS170" s="120">
        <v>-148.69567301251854</v>
      </c>
      <c r="AT170" s="120">
        <v>-2.0991137716919182E-13</v>
      </c>
      <c r="AU170" s="120">
        <v>7.1620175096247793E-4</v>
      </c>
      <c r="AV170" s="120">
        <v>2.6400739443488415E-13</v>
      </c>
      <c r="AW170" s="120">
        <v>-163.1899718401001</v>
      </c>
      <c r="AX170" s="120"/>
      <c r="AY170" s="120"/>
      <c r="AZ170" s="120"/>
      <c r="BA170" s="122">
        <f t="shared" si="81"/>
        <v>60</v>
      </c>
      <c r="BB170" s="122">
        <f t="shared" si="82"/>
        <v>70</v>
      </c>
      <c r="BC170" s="122">
        <f t="shared" si="83"/>
        <v>80</v>
      </c>
      <c r="BD170" s="122">
        <f t="shared" si="84"/>
        <v>150</v>
      </c>
      <c r="BE170" s="122">
        <f>VLOOKUP(AO170,Data!$V$4:$Z$15,3,FALSE)</f>
        <v>452.38934211693021</v>
      </c>
      <c r="BF170" s="122">
        <f>VLOOKUP(AO170,Data!$V$4:$Z$15,4,FALSE)</f>
        <v>353</v>
      </c>
      <c r="BG170" s="163">
        <f t="shared" si="85"/>
        <v>180</v>
      </c>
      <c r="BH170" s="122">
        <f t="shared" si="86"/>
        <v>121.65654188208487</v>
      </c>
      <c r="BI170" s="122">
        <f t="shared" si="87"/>
        <v>243</v>
      </c>
      <c r="BJ170" s="163">
        <f t="shared" si="88"/>
        <v>142.3296</v>
      </c>
      <c r="BK170" s="131">
        <f t="shared" si="89"/>
        <v>12.391306084376545</v>
      </c>
      <c r="BL170" s="134">
        <f t="shared" si="90"/>
        <v>0.89458333333333329</v>
      </c>
      <c r="BM170" s="135">
        <f t="shared" si="91"/>
        <v>0.11385728269003063</v>
      </c>
      <c r="BN170" s="92" t="str">
        <f t="shared" si="92"/>
        <v>OK</v>
      </c>
      <c r="BO170" s="135">
        <f>_xll.DCEBoltDisRS(AN170, AE170, BA170, BB170, BC170, BD170, "h1")</f>
        <v>890</v>
      </c>
      <c r="BP170" s="136">
        <f>_xll.DCEBoltDisRS(AN170, AE170, BA170, BB170, BC170, BD170, "Tong")</f>
        <v>1800300</v>
      </c>
      <c r="BQ170" s="137">
        <f t="shared" si="93"/>
        <v>40.337464571929431</v>
      </c>
      <c r="BR170" s="135">
        <f t="shared" si="94"/>
        <v>0.28340882410917639</v>
      </c>
      <c r="BS170" s="64" t="str">
        <f t="shared" si="95"/>
        <v>OK</v>
      </c>
      <c r="BT170" s="131">
        <f t="shared" si="96"/>
        <v>0.30115605167840442</v>
      </c>
      <c r="BU170" s="92" t="str">
        <f t="shared" si="97"/>
        <v>OK</v>
      </c>
      <c r="BV170" s="139">
        <f t="shared" si="98"/>
        <v>222.93712000013676</v>
      </c>
      <c r="BW170" s="131">
        <f t="shared" si="99"/>
        <v>5.0160852000030767</v>
      </c>
      <c r="BX170" s="139">
        <f t="shared" si="100"/>
        <v>111.46856000006838</v>
      </c>
      <c r="BY170" s="123">
        <f t="shared" si="101"/>
        <v>47.677641504979739</v>
      </c>
      <c r="BZ170" s="141">
        <f t="shared" si="102"/>
        <v>0.23176631287142932</v>
      </c>
      <c r="CA170" s="131">
        <f t="shared" si="103"/>
        <v>4.4145964356462724</v>
      </c>
      <c r="CB170" s="143">
        <f t="shared" si="104"/>
        <v>3.6999730662744146E-2</v>
      </c>
      <c r="CC170" s="123">
        <f t="shared" si="105"/>
        <v>48.286887294028688</v>
      </c>
      <c r="CD170" s="131">
        <f t="shared" si="106"/>
        <v>0.20411123856171551</v>
      </c>
      <c r="CE170" s="135">
        <f t="shared" si="107"/>
        <v>0.23176631287142932</v>
      </c>
      <c r="CF170" s="92" t="str">
        <f t="shared" si="108"/>
        <v>OK</v>
      </c>
      <c r="CG170" s="50"/>
      <c r="DA170" s="111"/>
      <c r="DB170" s="111"/>
      <c r="DC170" s="111"/>
      <c r="DD170" s="116"/>
      <c r="DE170" s="120"/>
      <c r="DF170" s="121"/>
      <c r="DG170" s="121"/>
      <c r="DH170" s="121"/>
      <c r="DI170" s="121"/>
      <c r="DJ170" s="121"/>
      <c r="DK170" s="122"/>
      <c r="DL170" s="123"/>
      <c r="DM170" s="123"/>
      <c r="DN170" s="123"/>
      <c r="DO170" s="123"/>
      <c r="DP170" s="123"/>
      <c r="DQ170" s="111"/>
      <c r="DR170" s="120"/>
      <c r="DS170" s="120"/>
      <c r="DT170" s="120"/>
      <c r="DU170" s="120"/>
      <c r="DV170" s="120"/>
      <c r="DW170" s="120"/>
      <c r="DX170" s="120"/>
      <c r="DY170" s="120"/>
      <c r="DZ170" s="120"/>
      <c r="EA170" s="122"/>
      <c r="EB170" s="122"/>
      <c r="EC170" s="122"/>
      <c r="ED170" s="122"/>
      <c r="EE170" s="122"/>
      <c r="EF170" s="122"/>
      <c r="EG170" s="122"/>
      <c r="EH170" s="122"/>
      <c r="EI170" s="122"/>
      <c r="EJ170" s="122"/>
      <c r="EK170" s="131"/>
      <c r="EL170" s="122"/>
      <c r="EM170" s="276"/>
      <c r="EN170" s="276"/>
      <c r="EO170" s="135"/>
      <c r="EP170" s="136"/>
      <c r="EQ170" s="137"/>
      <c r="ER170" s="276"/>
      <c r="ES170" s="276"/>
      <c r="ET170" s="276"/>
      <c r="EU170" s="276"/>
      <c r="EV170" s="139"/>
      <c r="EW170" s="131"/>
      <c r="EX170" s="139"/>
      <c r="EY170" s="123"/>
      <c r="EZ170" s="141"/>
      <c r="FA170" s="131"/>
      <c r="FB170" s="143"/>
      <c r="FC170" s="123"/>
      <c r="FD170" s="131"/>
      <c r="FE170" s="276"/>
      <c r="FF170" s="276"/>
      <c r="FG170" s="50"/>
    </row>
    <row r="171" spans="27:163">
      <c r="AA171" s="111" t="s">
        <v>245</v>
      </c>
      <c r="AB171" s="111" t="s">
        <v>340</v>
      </c>
      <c r="AC171" s="111">
        <v>102</v>
      </c>
      <c r="AD171" s="116">
        <v>0.3</v>
      </c>
      <c r="AE171" s="120">
        <v>1100</v>
      </c>
      <c r="AF171" s="121">
        <v>350</v>
      </c>
      <c r="AG171" s="121">
        <v>14</v>
      </c>
      <c r="AH171" s="121">
        <v>18.000000000000004</v>
      </c>
      <c r="AI171" s="121">
        <v>1064</v>
      </c>
      <c r="AJ171" s="64" t="str" cm="1">
        <f t="array" ref="AJ171">_xll.Dce_Name_SectI(AE171, AE171, AF171, AG171, AH171, "x", "-", "H Tổng")</f>
        <v>1100x350x14x18</v>
      </c>
      <c r="AK171" s="122">
        <f t="shared" si="75"/>
        <v>1360</v>
      </c>
      <c r="AL171" s="123">
        <f t="shared" si="76"/>
        <v>350</v>
      </c>
      <c r="AM171" s="123">
        <f t="shared" si="77"/>
        <v>25</v>
      </c>
      <c r="AN171" s="123">
        <f t="shared" si="78"/>
        <v>16</v>
      </c>
      <c r="AO171" s="123">
        <f t="shared" si="79"/>
        <v>27</v>
      </c>
      <c r="AP171" s="165" t="str">
        <f t="shared" si="80"/>
        <v>1360x350x25 + 16M27</v>
      </c>
      <c r="AQ171" s="111" t="s">
        <v>333</v>
      </c>
      <c r="AR171" s="120">
        <v>0</v>
      </c>
      <c r="AS171" s="120">
        <v>-204.35826561212863</v>
      </c>
      <c r="AT171" s="120">
        <v>1.1477823136374352E-13</v>
      </c>
      <c r="AU171" s="120">
        <v>1.1497203367509543E-3</v>
      </c>
      <c r="AV171" s="120">
        <v>-3.4962067729793484E-14</v>
      </c>
      <c r="AW171" s="120">
        <v>-626.08155843246709</v>
      </c>
      <c r="AX171" s="120"/>
      <c r="AY171" s="120"/>
      <c r="AZ171" s="120"/>
      <c r="BA171" s="122">
        <f t="shared" si="81"/>
        <v>60</v>
      </c>
      <c r="BB171" s="122">
        <f t="shared" si="82"/>
        <v>70</v>
      </c>
      <c r="BC171" s="122">
        <f t="shared" si="83"/>
        <v>80</v>
      </c>
      <c r="BD171" s="122">
        <f t="shared" si="84"/>
        <v>160</v>
      </c>
      <c r="BE171" s="122">
        <f>VLOOKUP(AO171,Data!$V$4:$Z$15,3,FALSE)</f>
        <v>572.55526111673976</v>
      </c>
      <c r="BF171" s="122">
        <f>VLOOKUP(AO171,Data!$V$4:$Z$15,4,FALSE)</f>
        <v>459</v>
      </c>
      <c r="BG171" s="163">
        <f t="shared" si="85"/>
        <v>180</v>
      </c>
      <c r="BH171" s="122">
        <f t="shared" si="86"/>
        <v>153.97156081951366</v>
      </c>
      <c r="BI171" s="122">
        <f t="shared" si="87"/>
        <v>273.375</v>
      </c>
      <c r="BJ171" s="163">
        <f t="shared" si="88"/>
        <v>185.06880000000001</v>
      </c>
      <c r="BK171" s="131">
        <f t="shared" si="89"/>
        <v>12.77239160075804</v>
      </c>
      <c r="BL171" s="134">
        <f t="shared" si="90"/>
        <v>0.85037037037037044</v>
      </c>
      <c r="BM171" s="135">
        <f t="shared" si="91"/>
        <v>9.7549173401043007E-2</v>
      </c>
      <c r="BN171" s="92" t="str">
        <f t="shared" si="92"/>
        <v>OK</v>
      </c>
      <c r="BO171" s="135">
        <f>_xll.DCEBoltDisRS(AN171, AE171, BA171, BB171, BC171, BD171, "h1")</f>
        <v>1240</v>
      </c>
      <c r="BP171" s="136">
        <f>_xll.DCEBoltDisRS(AN171, AE171, BA171, BB171, BC171, BD171, "Tong")</f>
        <v>4523000</v>
      </c>
      <c r="BQ171" s="137">
        <f t="shared" si="93"/>
        <v>85.821482694700322</v>
      </c>
      <c r="BR171" s="135">
        <f t="shared" si="94"/>
        <v>0.46372744997914461</v>
      </c>
      <c r="BS171" s="64" t="str">
        <f t="shared" si="95"/>
        <v>OK</v>
      </c>
      <c r="BT171" s="131">
        <f t="shared" si="96"/>
        <v>0.47108845869394789</v>
      </c>
      <c r="BU171" s="92" t="str">
        <f t="shared" si="97"/>
        <v>OK</v>
      </c>
      <c r="BV171" s="139">
        <f t="shared" si="98"/>
        <v>578.63360298749262</v>
      </c>
      <c r="BW171" s="131">
        <f t="shared" si="99"/>
        <v>13.019256067218583</v>
      </c>
      <c r="BX171" s="139">
        <f t="shared" si="100"/>
        <v>289.31680149374631</v>
      </c>
      <c r="BY171" s="123">
        <f t="shared" si="101"/>
        <v>91.900631062719398</v>
      </c>
      <c r="BZ171" s="141">
        <f t="shared" si="102"/>
        <v>0.44673917877710823</v>
      </c>
      <c r="CA171" s="131">
        <f t="shared" si="103"/>
        <v>8.5093176909925372</v>
      </c>
      <c r="CB171" s="143">
        <f t="shared" si="104"/>
        <v>7.1318515130445126E-2</v>
      </c>
      <c r="CC171" s="123">
        <f t="shared" si="105"/>
        <v>93.07497758487392</v>
      </c>
      <c r="CD171" s="131">
        <f t="shared" si="106"/>
        <v>0.39343287626456375</v>
      </c>
      <c r="CE171" s="135">
        <f t="shared" si="107"/>
        <v>0.44673917877710823</v>
      </c>
      <c r="CF171" s="92" t="str">
        <f t="shared" si="108"/>
        <v>OK</v>
      </c>
      <c r="CG171" s="50"/>
      <c r="DA171" s="111"/>
      <c r="DB171" s="111"/>
      <c r="DC171" s="111"/>
      <c r="DD171" s="116"/>
      <c r="DE171" s="120"/>
      <c r="DF171" s="121"/>
      <c r="DG171" s="121"/>
      <c r="DH171" s="121"/>
      <c r="DI171" s="121"/>
      <c r="DJ171" s="121"/>
      <c r="DK171" s="122"/>
      <c r="DL171" s="123"/>
      <c r="DM171" s="123"/>
      <c r="DN171" s="123"/>
      <c r="DO171" s="123"/>
      <c r="DP171" s="123"/>
      <c r="DQ171" s="111"/>
      <c r="DR171" s="120"/>
      <c r="DS171" s="120"/>
      <c r="DT171" s="120"/>
      <c r="DU171" s="120"/>
      <c r="DV171" s="120"/>
      <c r="DW171" s="120"/>
      <c r="DX171" s="120"/>
      <c r="DY171" s="120"/>
      <c r="DZ171" s="120"/>
      <c r="EA171" s="122"/>
      <c r="EB171" s="122"/>
      <c r="EC171" s="122"/>
      <c r="ED171" s="122"/>
      <c r="EE171" s="122"/>
      <c r="EF171" s="122"/>
      <c r="EG171" s="122"/>
      <c r="EH171" s="122"/>
      <c r="EI171" s="122"/>
      <c r="EJ171" s="122"/>
      <c r="EK171" s="131"/>
      <c r="EL171" s="122"/>
      <c r="EM171" s="276"/>
      <c r="EN171" s="276"/>
      <c r="EO171" s="135"/>
      <c r="EP171" s="136"/>
      <c r="EQ171" s="137"/>
      <c r="ER171" s="276"/>
      <c r="ES171" s="276"/>
      <c r="ET171" s="276"/>
      <c r="EU171" s="276"/>
      <c r="EV171" s="139"/>
      <c r="EW171" s="131"/>
      <c r="EX171" s="139"/>
      <c r="EY171" s="123"/>
      <c r="EZ171" s="141"/>
      <c r="FA171" s="131"/>
      <c r="FB171" s="143"/>
      <c r="FC171" s="123"/>
      <c r="FD171" s="131"/>
      <c r="FE171" s="276"/>
      <c r="FF171" s="276"/>
      <c r="FG171" s="50"/>
    </row>
    <row r="172" spans="27:163">
      <c r="AA172" s="111" t="s">
        <v>245</v>
      </c>
      <c r="AB172" s="111" t="s">
        <v>340</v>
      </c>
      <c r="AC172" s="111">
        <v>102</v>
      </c>
      <c r="AD172" s="116">
        <v>3</v>
      </c>
      <c r="AE172" s="120">
        <v>750</v>
      </c>
      <c r="AF172" s="121">
        <v>350</v>
      </c>
      <c r="AG172" s="121">
        <v>14</v>
      </c>
      <c r="AH172" s="121">
        <v>18.000000000000004</v>
      </c>
      <c r="AI172" s="121">
        <v>714</v>
      </c>
      <c r="AJ172" s="64" t="str" cm="1">
        <f t="array" ref="AJ172">_xll.Dce_Name_SectI(AE172, AE172, AF172, AG172, AH172, "x", "-", "H Tổng")</f>
        <v>750x350x14x18</v>
      </c>
      <c r="AK172" s="122">
        <f t="shared" si="75"/>
        <v>1010</v>
      </c>
      <c r="AL172" s="123">
        <f t="shared" si="76"/>
        <v>350</v>
      </c>
      <c r="AM172" s="123">
        <f t="shared" si="77"/>
        <v>25</v>
      </c>
      <c r="AN172" s="123">
        <f t="shared" si="78"/>
        <v>12</v>
      </c>
      <c r="AO172" s="123">
        <f t="shared" si="79"/>
        <v>24</v>
      </c>
      <c r="AP172" s="165" t="str">
        <f t="shared" si="80"/>
        <v>1010x350x25 + 12M24</v>
      </c>
      <c r="AQ172" s="111" t="s">
        <v>333</v>
      </c>
      <c r="AR172" s="120">
        <v>0</v>
      </c>
      <c r="AS172" s="120">
        <v>-145.80442794787868</v>
      </c>
      <c r="AT172" s="120">
        <v>4.8858055379241696E-13</v>
      </c>
      <c r="AU172" s="120">
        <v>1.149910444167173E-3</v>
      </c>
      <c r="AV172" s="120">
        <v>-2.5893023121170692E-13</v>
      </c>
      <c r="AW172" s="120">
        <v>-140.09939748831471</v>
      </c>
      <c r="AX172" s="120"/>
      <c r="AY172" s="120"/>
      <c r="AZ172" s="120"/>
      <c r="BA172" s="122">
        <f t="shared" si="81"/>
        <v>60</v>
      </c>
      <c r="BB172" s="122">
        <f t="shared" si="82"/>
        <v>70</v>
      </c>
      <c r="BC172" s="122">
        <f t="shared" si="83"/>
        <v>80</v>
      </c>
      <c r="BD172" s="122">
        <f t="shared" si="84"/>
        <v>150</v>
      </c>
      <c r="BE172" s="122">
        <f>VLOOKUP(AO172,Data!$V$4:$Z$15,3,FALSE)</f>
        <v>452.38934211693021</v>
      </c>
      <c r="BF172" s="122">
        <f>VLOOKUP(AO172,Data!$V$4:$Z$15,4,FALSE)</f>
        <v>353</v>
      </c>
      <c r="BG172" s="163">
        <f t="shared" si="85"/>
        <v>180</v>
      </c>
      <c r="BH172" s="122">
        <f t="shared" si="86"/>
        <v>121.65654188208487</v>
      </c>
      <c r="BI172" s="122">
        <f t="shared" si="87"/>
        <v>243</v>
      </c>
      <c r="BJ172" s="163">
        <f t="shared" si="88"/>
        <v>142.3296</v>
      </c>
      <c r="BK172" s="131">
        <f t="shared" si="89"/>
        <v>12.150368995656557</v>
      </c>
      <c r="BL172" s="134">
        <f t="shared" si="90"/>
        <v>0.89458333333333329</v>
      </c>
      <c r="BM172" s="135">
        <f t="shared" si="91"/>
        <v>0.11164343678596628</v>
      </c>
      <c r="BN172" s="92" t="str">
        <f t="shared" si="92"/>
        <v>OK</v>
      </c>
      <c r="BO172" s="135">
        <f>_xll.DCEBoltDisRS(AN172, AE172, BA172, BB172, BC172, BD172, "h1")</f>
        <v>890</v>
      </c>
      <c r="BP172" s="136">
        <f>_xll.DCEBoltDisRS(AN172, AE172, BA172, BB172, BC172, BD172, "Tong")</f>
        <v>1800300</v>
      </c>
      <c r="BQ172" s="137">
        <f t="shared" si="93"/>
        <v>34.629912726934428</v>
      </c>
      <c r="BR172" s="135">
        <f t="shared" si="94"/>
        <v>0.24330787641456469</v>
      </c>
      <c r="BS172" s="64" t="str">
        <f t="shared" si="95"/>
        <v>OK</v>
      </c>
      <c r="BT172" s="131">
        <f t="shared" si="96"/>
        <v>0.26300876425753777</v>
      </c>
      <c r="BU172" s="92" t="str">
        <f t="shared" si="97"/>
        <v>OK</v>
      </c>
      <c r="BV172" s="139">
        <f t="shared" si="98"/>
        <v>191.39261951955561</v>
      </c>
      <c r="BW172" s="131">
        <f t="shared" si="99"/>
        <v>4.3063339391900008</v>
      </c>
      <c r="BX172" s="139">
        <f t="shared" si="100"/>
        <v>95.696309759777805</v>
      </c>
      <c r="BY172" s="123">
        <f t="shared" si="101"/>
        <v>40.931490907152487</v>
      </c>
      <c r="BZ172" s="141">
        <f t="shared" si="102"/>
        <v>0.19897252524310238</v>
      </c>
      <c r="CA172" s="131">
        <f t="shared" si="103"/>
        <v>3.7899528617733784</v>
      </c>
      <c r="CB172" s="143">
        <f t="shared" si="104"/>
        <v>3.1764451667161936E-2</v>
      </c>
      <c r="CC172" s="123">
        <f t="shared" si="105"/>
        <v>41.454531428611027</v>
      </c>
      <c r="CD172" s="131">
        <f t="shared" si="106"/>
        <v>0.17523050724654424</v>
      </c>
      <c r="CE172" s="135">
        <f t="shared" si="107"/>
        <v>0.19897252524310238</v>
      </c>
      <c r="CF172" s="92" t="str">
        <f t="shared" si="108"/>
        <v>OK</v>
      </c>
      <c r="CG172" s="50"/>
      <c r="DA172" s="111"/>
      <c r="DB172" s="111"/>
      <c r="DC172" s="111"/>
      <c r="DD172" s="116"/>
      <c r="DE172" s="120"/>
      <c r="DF172" s="121"/>
      <c r="DG172" s="121"/>
      <c r="DH172" s="121"/>
      <c r="DI172" s="121"/>
      <c r="DJ172" s="121"/>
      <c r="DK172" s="122"/>
      <c r="DL172" s="123"/>
      <c r="DM172" s="123"/>
      <c r="DN172" s="123"/>
      <c r="DO172" s="123"/>
      <c r="DP172" s="123"/>
      <c r="DQ172" s="111"/>
      <c r="DR172" s="120"/>
      <c r="DS172" s="120"/>
      <c r="DT172" s="120"/>
      <c r="DU172" s="120"/>
      <c r="DV172" s="120"/>
      <c r="DW172" s="120"/>
      <c r="DX172" s="120"/>
      <c r="DY172" s="120"/>
      <c r="DZ172" s="120"/>
      <c r="EA172" s="122"/>
      <c r="EB172" s="122"/>
      <c r="EC172" s="122"/>
      <c r="ED172" s="122"/>
      <c r="EE172" s="122"/>
      <c r="EF172" s="122"/>
      <c r="EG172" s="122"/>
      <c r="EH172" s="122"/>
      <c r="EI172" s="122"/>
      <c r="EJ172" s="122"/>
      <c r="EK172" s="131"/>
      <c r="EL172" s="122"/>
      <c r="EM172" s="276"/>
      <c r="EN172" s="276"/>
      <c r="EO172" s="135"/>
      <c r="EP172" s="136"/>
      <c r="EQ172" s="137"/>
      <c r="ER172" s="276"/>
      <c r="ES172" s="276"/>
      <c r="ET172" s="276"/>
      <c r="EU172" s="276"/>
      <c r="EV172" s="139"/>
      <c r="EW172" s="131"/>
      <c r="EX172" s="139"/>
      <c r="EY172" s="123"/>
      <c r="EZ172" s="141"/>
      <c r="FA172" s="131"/>
      <c r="FB172" s="143"/>
      <c r="FC172" s="123"/>
      <c r="FD172" s="131"/>
      <c r="FE172" s="276"/>
      <c r="FF172" s="276"/>
      <c r="FG172" s="50"/>
    </row>
    <row r="173" spans="27:163">
      <c r="AA173" s="111" t="s">
        <v>245</v>
      </c>
      <c r="AB173" s="111" t="s">
        <v>340</v>
      </c>
      <c r="AC173" s="111">
        <v>102</v>
      </c>
      <c r="AD173" s="116">
        <v>0.3</v>
      </c>
      <c r="AE173" s="120">
        <v>1100</v>
      </c>
      <c r="AF173" s="121">
        <v>350</v>
      </c>
      <c r="AG173" s="121">
        <v>14</v>
      </c>
      <c r="AH173" s="121">
        <v>18.000000000000004</v>
      </c>
      <c r="AI173" s="121">
        <v>1064</v>
      </c>
      <c r="AJ173" s="64" t="str" cm="1">
        <f t="array" ref="AJ173">_xll.Dce_Name_SectI(AE173, AE173, AF173, AG173, AH173, "x", "-", "H Tổng")</f>
        <v>1100x350x14x18</v>
      </c>
      <c r="AK173" s="122">
        <f t="shared" si="75"/>
        <v>1360</v>
      </c>
      <c r="AL173" s="123">
        <f t="shared" si="76"/>
        <v>350</v>
      </c>
      <c r="AM173" s="123">
        <f t="shared" si="77"/>
        <v>25</v>
      </c>
      <c r="AN173" s="123">
        <f t="shared" si="78"/>
        <v>16</v>
      </c>
      <c r="AO173" s="123">
        <f t="shared" si="79"/>
        <v>27</v>
      </c>
      <c r="AP173" s="165" t="str">
        <f t="shared" si="80"/>
        <v>1360x350x25 + 16M27</v>
      </c>
      <c r="AQ173" s="111" t="s">
        <v>334</v>
      </c>
      <c r="AR173" s="120">
        <v>0</v>
      </c>
      <c r="AS173" s="120">
        <v>-200.19173730684682</v>
      </c>
      <c r="AT173" s="120">
        <v>5.6570570450276129E-14</v>
      </c>
      <c r="AU173" s="120">
        <v>-2.0190385376093849E-4</v>
      </c>
      <c r="AV173" s="120">
        <v>1.0112744348589329E-13</v>
      </c>
      <c r="AW173" s="120">
        <v>-601.83294022221776</v>
      </c>
      <c r="AX173" s="120"/>
      <c r="AY173" s="120"/>
      <c r="AZ173" s="120"/>
      <c r="BA173" s="122">
        <f t="shared" si="81"/>
        <v>60</v>
      </c>
      <c r="BB173" s="122">
        <f t="shared" si="82"/>
        <v>70</v>
      </c>
      <c r="BC173" s="122">
        <f t="shared" si="83"/>
        <v>80</v>
      </c>
      <c r="BD173" s="122">
        <f t="shared" si="84"/>
        <v>160</v>
      </c>
      <c r="BE173" s="122">
        <f>VLOOKUP(AO173,Data!$V$4:$Z$15,3,FALSE)</f>
        <v>572.55526111673976</v>
      </c>
      <c r="BF173" s="122">
        <f>VLOOKUP(AO173,Data!$V$4:$Z$15,4,FALSE)</f>
        <v>459</v>
      </c>
      <c r="BG173" s="163">
        <f t="shared" si="85"/>
        <v>180</v>
      </c>
      <c r="BH173" s="122">
        <f t="shared" si="86"/>
        <v>153.97156081951366</v>
      </c>
      <c r="BI173" s="122">
        <f t="shared" si="87"/>
        <v>273.375</v>
      </c>
      <c r="BJ173" s="163">
        <f t="shared" si="88"/>
        <v>185.06880000000001</v>
      </c>
      <c r="BK173" s="131">
        <f t="shared" si="89"/>
        <v>12.511983581677926</v>
      </c>
      <c r="BL173" s="134">
        <f t="shared" si="90"/>
        <v>0.85037037037037044</v>
      </c>
      <c r="BM173" s="135">
        <f t="shared" si="91"/>
        <v>9.5560306491672617E-2</v>
      </c>
      <c r="BN173" s="92" t="str">
        <f t="shared" si="92"/>
        <v>OK</v>
      </c>
      <c r="BO173" s="135">
        <f>_xll.DCEBoltDisRS(AN173, AE173, BA173, BB173, BC173, BD173, "h1")</f>
        <v>1240</v>
      </c>
      <c r="BP173" s="136">
        <f>_xll.DCEBoltDisRS(AN173, AE173, BA173, BB173, BC173, BD173, "Tong")</f>
        <v>4523000</v>
      </c>
      <c r="BQ173" s="137">
        <f t="shared" si="93"/>
        <v>82.497550947993574</v>
      </c>
      <c r="BR173" s="135">
        <f t="shared" si="94"/>
        <v>0.44576693071978407</v>
      </c>
      <c r="BS173" s="64" t="str">
        <f t="shared" si="95"/>
        <v>OK</v>
      </c>
      <c r="BT173" s="131">
        <f t="shared" si="96"/>
        <v>0.45311324501501743</v>
      </c>
      <c r="BU173" s="92" t="str">
        <f t="shared" si="97"/>
        <v>OK</v>
      </c>
      <c r="BV173" s="139">
        <f t="shared" si="98"/>
        <v>556.22268042718827</v>
      </c>
      <c r="BW173" s="131">
        <f t="shared" si="99"/>
        <v>12.515010309611736</v>
      </c>
      <c r="BX173" s="139">
        <f t="shared" si="100"/>
        <v>278.11134021359413</v>
      </c>
      <c r="BY173" s="123">
        <f t="shared" si="101"/>
        <v>88.341249244318135</v>
      </c>
      <c r="BZ173" s="141">
        <f t="shared" si="102"/>
        <v>0.42943662827099099</v>
      </c>
      <c r="CA173" s="131">
        <f t="shared" si="103"/>
        <v>8.1797453003998282</v>
      </c>
      <c r="CB173" s="143">
        <f t="shared" si="104"/>
        <v>6.855629442384914E-2</v>
      </c>
      <c r="CC173" s="123">
        <f t="shared" si="105"/>
        <v>89.470112426357105</v>
      </c>
      <c r="CD173" s="131">
        <f t="shared" si="106"/>
        <v>0.37819491967663033</v>
      </c>
      <c r="CE173" s="135">
        <f t="shared" si="107"/>
        <v>0.42943662827099099</v>
      </c>
      <c r="CF173" s="92" t="str">
        <f t="shared" si="108"/>
        <v>OK</v>
      </c>
      <c r="CG173" s="50"/>
      <c r="DA173" s="111"/>
      <c r="DB173" s="111"/>
      <c r="DC173" s="111"/>
      <c r="DD173" s="116"/>
      <c r="DE173" s="120"/>
      <c r="DF173" s="121"/>
      <c r="DG173" s="121"/>
      <c r="DH173" s="121"/>
      <c r="DI173" s="121"/>
      <c r="DJ173" s="121"/>
      <c r="DK173" s="122"/>
      <c r="DL173" s="123"/>
      <c r="DM173" s="123"/>
      <c r="DN173" s="123"/>
      <c r="DO173" s="123"/>
      <c r="DP173" s="123"/>
      <c r="DQ173" s="111"/>
      <c r="DR173" s="120"/>
      <c r="DS173" s="120"/>
      <c r="DT173" s="120"/>
      <c r="DU173" s="120"/>
      <c r="DV173" s="120"/>
      <c r="DW173" s="120"/>
      <c r="DX173" s="120"/>
      <c r="DY173" s="120"/>
      <c r="DZ173" s="120"/>
      <c r="EA173" s="122"/>
      <c r="EB173" s="122"/>
      <c r="EC173" s="122"/>
      <c r="ED173" s="122"/>
      <c r="EE173" s="122"/>
      <c r="EF173" s="122"/>
      <c r="EG173" s="122"/>
      <c r="EH173" s="122"/>
      <c r="EI173" s="122"/>
      <c r="EJ173" s="122"/>
      <c r="EK173" s="131"/>
      <c r="EL173" s="122"/>
      <c r="EM173" s="276"/>
      <c r="EN173" s="276"/>
      <c r="EO173" s="135"/>
      <c r="EP173" s="136"/>
      <c r="EQ173" s="137"/>
      <c r="ER173" s="276"/>
      <c r="ES173" s="276"/>
      <c r="ET173" s="276"/>
      <c r="EU173" s="276"/>
      <c r="EV173" s="139"/>
      <c r="EW173" s="131"/>
      <c r="EX173" s="139"/>
      <c r="EY173" s="123"/>
      <c r="EZ173" s="141"/>
      <c r="FA173" s="131"/>
      <c r="FB173" s="143"/>
      <c r="FC173" s="123"/>
      <c r="FD173" s="131"/>
      <c r="FE173" s="276"/>
      <c r="FF173" s="276"/>
      <c r="FG173" s="50"/>
    </row>
    <row r="174" spans="27:163">
      <c r="AA174" s="111" t="s">
        <v>245</v>
      </c>
      <c r="AB174" s="111" t="s">
        <v>340</v>
      </c>
      <c r="AC174" s="111">
        <v>102</v>
      </c>
      <c r="AD174" s="116">
        <v>3</v>
      </c>
      <c r="AE174" s="120">
        <v>750</v>
      </c>
      <c r="AF174" s="121">
        <v>350</v>
      </c>
      <c r="AG174" s="121">
        <v>14</v>
      </c>
      <c r="AH174" s="121">
        <v>18.000000000000004</v>
      </c>
      <c r="AI174" s="121">
        <v>714</v>
      </c>
      <c r="AJ174" s="64" t="str" cm="1">
        <f t="array" ref="AJ174">_xll.Dce_Name_SectI(AE174, AE174, AF174, AG174, AH174, "x", "-", "H Tổng")</f>
        <v>750x350x14x18</v>
      </c>
      <c r="AK174" s="122">
        <f t="shared" si="75"/>
        <v>1010</v>
      </c>
      <c r="AL174" s="123">
        <f t="shared" si="76"/>
        <v>350</v>
      </c>
      <c r="AM174" s="123">
        <f t="shared" si="77"/>
        <v>25</v>
      </c>
      <c r="AN174" s="123">
        <f t="shared" si="78"/>
        <v>12</v>
      </c>
      <c r="AO174" s="123">
        <f t="shared" si="79"/>
        <v>24</v>
      </c>
      <c r="AP174" s="165" t="str">
        <f t="shared" si="80"/>
        <v>1010x350x25 + 12M24</v>
      </c>
      <c r="AQ174" s="111" t="s">
        <v>334</v>
      </c>
      <c r="AR174" s="120">
        <v>0</v>
      </c>
      <c r="AS174" s="120">
        <v>-141.63790102025027</v>
      </c>
      <c r="AT174" s="120">
        <v>2.2919266484677789E-14</v>
      </c>
      <c r="AU174" s="120">
        <v>-2.019368185036039E-4</v>
      </c>
      <c r="AV174" s="120">
        <v>1.0221992852166293E-14</v>
      </c>
      <c r="AW174" s="120">
        <v>-127.10046614141008</v>
      </c>
      <c r="AX174" s="120"/>
      <c r="AY174" s="120"/>
      <c r="AZ174" s="120"/>
      <c r="BA174" s="122">
        <f t="shared" si="81"/>
        <v>60</v>
      </c>
      <c r="BB174" s="122">
        <f t="shared" si="82"/>
        <v>70</v>
      </c>
      <c r="BC174" s="122">
        <f t="shared" si="83"/>
        <v>80</v>
      </c>
      <c r="BD174" s="122">
        <f t="shared" si="84"/>
        <v>150</v>
      </c>
      <c r="BE174" s="122">
        <f>VLOOKUP(AO174,Data!$V$4:$Z$15,3,FALSE)</f>
        <v>452.38934211693021</v>
      </c>
      <c r="BF174" s="122">
        <f>VLOOKUP(AO174,Data!$V$4:$Z$15,4,FALSE)</f>
        <v>353</v>
      </c>
      <c r="BG174" s="163">
        <f t="shared" si="85"/>
        <v>180</v>
      </c>
      <c r="BH174" s="122">
        <f t="shared" si="86"/>
        <v>121.65654188208487</v>
      </c>
      <c r="BI174" s="122">
        <f t="shared" si="87"/>
        <v>243</v>
      </c>
      <c r="BJ174" s="163">
        <f t="shared" si="88"/>
        <v>142.3296</v>
      </c>
      <c r="BK174" s="131">
        <f t="shared" si="89"/>
        <v>11.803158418354188</v>
      </c>
      <c r="BL174" s="134">
        <f t="shared" si="90"/>
        <v>0.89458333333333329</v>
      </c>
      <c r="BM174" s="135">
        <f t="shared" si="91"/>
        <v>0.10845309893266052</v>
      </c>
      <c r="BN174" s="92" t="str">
        <f t="shared" si="92"/>
        <v>OK</v>
      </c>
      <c r="BO174" s="135">
        <f>_xll.DCEBoltDisRS(AN174, AE174, BA174, BB174, BC174, BD174, "h1")</f>
        <v>890</v>
      </c>
      <c r="BP174" s="136">
        <f>_xll.DCEBoltDisRS(AN174, AE174, BA174, BB174, BC174, BD174, "Tong")</f>
        <v>1800300</v>
      </c>
      <c r="BQ174" s="137">
        <f t="shared" si="93"/>
        <v>31.416823547701767</v>
      </c>
      <c r="BR174" s="135">
        <f t="shared" si="94"/>
        <v>0.22073288723991191</v>
      </c>
      <c r="BS174" s="64" t="str">
        <f t="shared" si="95"/>
        <v>OK</v>
      </c>
      <c r="BT174" s="131">
        <f t="shared" si="96"/>
        <v>0.24111398313857837</v>
      </c>
      <c r="BU174" s="92" t="str">
        <f t="shared" si="97"/>
        <v>OK</v>
      </c>
      <c r="BV174" s="139">
        <f t="shared" si="98"/>
        <v>173.63451658662581</v>
      </c>
      <c r="BW174" s="131">
        <f t="shared" si="99"/>
        <v>3.9067766231990806</v>
      </c>
      <c r="BX174" s="139">
        <f t="shared" si="100"/>
        <v>86.817258293312904</v>
      </c>
      <c r="BY174" s="123">
        <f t="shared" si="101"/>
        <v>37.133718398723936</v>
      </c>
      <c r="BZ174" s="141">
        <f t="shared" si="102"/>
        <v>0.18051113110490805</v>
      </c>
      <c r="CA174" s="131">
        <f t="shared" si="103"/>
        <v>3.438307259141105</v>
      </c>
      <c r="CB174" s="143">
        <f t="shared" si="104"/>
        <v>2.8817230380732445E-2</v>
      </c>
      <c r="CC174" s="123">
        <f t="shared" si="105"/>
        <v>37.608229319399179</v>
      </c>
      <c r="CD174" s="131">
        <f t="shared" si="106"/>
        <v>0.15897198383804004</v>
      </c>
      <c r="CE174" s="135">
        <f t="shared" si="107"/>
        <v>0.18051113110490805</v>
      </c>
      <c r="CF174" s="92" t="str">
        <f t="shared" si="108"/>
        <v>OK</v>
      </c>
      <c r="CG174" s="50"/>
      <c r="DA174" s="111"/>
      <c r="DB174" s="111"/>
      <c r="DC174" s="111"/>
      <c r="DD174" s="116"/>
      <c r="DE174" s="120"/>
      <c r="DF174" s="121"/>
      <c r="DG174" s="121"/>
      <c r="DH174" s="121"/>
      <c r="DI174" s="121"/>
      <c r="DJ174" s="121"/>
      <c r="DK174" s="122"/>
      <c r="DL174" s="123"/>
      <c r="DM174" s="123"/>
      <c r="DN174" s="123"/>
      <c r="DO174" s="123"/>
      <c r="DP174" s="123"/>
      <c r="DQ174" s="111"/>
      <c r="DR174" s="120"/>
      <c r="DS174" s="120"/>
      <c r="DT174" s="120"/>
      <c r="DU174" s="120"/>
      <c r="DV174" s="120"/>
      <c r="DW174" s="120"/>
      <c r="DX174" s="120"/>
      <c r="DY174" s="120"/>
      <c r="DZ174" s="120"/>
      <c r="EA174" s="122"/>
      <c r="EB174" s="122"/>
      <c r="EC174" s="122"/>
      <c r="ED174" s="122"/>
      <c r="EE174" s="122"/>
      <c r="EF174" s="122"/>
      <c r="EG174" s="122"/>
      <c r="EH174" s="122"/>
      <c r="EI174" s="122"/>
      <c r="EJ174" s="122"/>
      <c r="EK174" s="131"/>
      <c r="EL174" s="122"/>
      <c r="EM174" s="276"/>
      <c r="EN174" s="276"/>
      <c r="EO174" s="135"/>
      <c r="EP174" s="136"/>
      <c r="EQ174" s="137"/>
      <c r="ER174" s="276"/>
      <c r="ES174" s="276"/>
      <c r="ET174" s="276"/>
      <c r="EU174" s="276"/>
      <c r="EV174" s="139"/>
      <c r="EW174" s="131"/>
      <c r="EX174" s="139"/>
      <c r="EY174" s="123"/>
      <c r="EZ174" s="141"/>
      <c r="FA174" s="131"/>
      <c r="FB174" s="143"/>
      <c r="FC174" s="123"/>
      <c r="FD174" s="131"/>
      <c r="FE174" s="276"/>
      <c r="FF174" s="276"/>
      <c r="FG174" s="50"/>
    </row>
    <row r="175" spans="27:163">
      <c r="AA175" s="111" t="s">
        <v>245</v>
      </c>
      <c r="AB175" s="111" t="s">
        <v>340</v>
      </c>
      <c r="AC175" s="111">
        <v>102</v>
      </c>
      <c r="AD175" s="116">
        <v>0.3</v>
      </c>
      <c r="AE175" s="120">
        <v>1100</v>
      </c>
      <c r="AF175" s="121">
        <v>350</v>
      </c>
      <c r="AG175" s="121">
        <v>14</v>
      </c>
      <c r="AH175" s="121">
        <v>18.000000000000004</v>
      </c>
      <c r="AI175" s="121">
        <v>1064</v>
      </c>
      <c r="AJ175" s="64" t="str" cm="1">
        <f t="array" ref="AJ175">_xll.Dce_Name_SectI(AE175, AE175, AF175, AG175, AH175, "x", "-", "H Tổng")</f>
        <v>1100x350x14x18</v>
      </c>
      <c r="AK175" s="122">
        <f t="shared" si="75"/>
        <v>1360</v>
      </c>
      <c r="AL175" s="123">
        <f t="shared" si="76"/>
        <v>350</v>
      </c>
      <c r="AM175" s="123">
        <f t="shared" si="77"/>
        <v>25</v>
      </c>
      <c r="AN175" s="123">
        <f t="shared" si="78"/>
        <v>16</v>
      </c>
      <c r="AO175" s="123">
        <f t="shared" si="79"/>
        <v>27</v>
      </c>
      <c r="AP175" s="165" t="str">
        <f t="shared" si="80"/>
        <v>1360x350x25 + 16M27</v>
      </c>
      <c r="AQ175" s="111" t="s">
        <v>335</v>
      </c>
      <c r="AR175" s="120">
        <v>0</v>
      </c>
      <c r="AS175" s="120">
        <v>-197.36077310724235</v>
      </c>
      <c r="AT175" s="120">
        <v>2.7466739993542428E-14</v>
      </c>
      <c r="AU175" s="120">
        <v>2.2822062442597139E-4</v>
      </c>
      <c r="AV175" s="120">
        <v>2.016058715526014E-14</v>
      </c>
      <c r="AW175" s="120">
        <v>-571.42889578561449</v>
      </c>
      <c r="AX175" s="120"/>
      <c r="AY175" s="120"/>
      <c r="AZ175" s="120"/>
      <c r="BA175" s="122">
        <f t="shared" si="81"/>
        <v>60</v>
      </c>
      <c r="BB175" s="122">
        <f t="shared" si="82"/>
        <v>70</v>
      </c>
      <c r="BC175" s="122">
        <f t="shared" si="83"/>
        <v>80</v>
      </c>
      <c r="BD175" s="122">
        <f t="shared" si="84"/>
        <v>160</v>
      </c>
      <c r="BE175" s="122">
        <f>VLOOKUP(AO175,Data!$V$4:$Z$15,3,FALSE)</f>
        <v>572.55526111673976</v>
      </c>
      <c r="BF175" s="122">
        <f>VLOOKUP(AO175,Data!$V$4:$Z$15,4,FALSE)</f>
        <v>459</v>
      </c>
      <c r="BG175" s="163">
        <f t="shared" si="85"/>
        <v>180</v>
      </c>
      <c r="BH175" s="122">
        <f t="shared" si="86"/>
        <v>153.97156081951366</v>
      </c>
      <c r="BI175" s="122">
        <f t="shared" si="87"/>
        <v>273.375</v>
      </c>
      <c r="BJ175" s="163">
        <f t="shared" si="88"/>
        <v>185.06880000000001</v>
      </c>
      <c r="BK175" s="131">
        <f t="shared" si="89"/>
        <v>12.335048319202647</v>
      </c>
      <c r="BL175" s="134">
        <f t="shared" si="90"/>
        <v>0.85037037037037044</v>
      </c>
      <c r="BM175" s="135">
        <f t="shared" si="91"/>
        <v>9.4208962973600735E-2</v>
      </c>
      <c r="BN175" s="92" t="str">
        <f t="shared" si="92"/>
        <v>OK</v>
      </c>
      <c r="BO175" s="135">
        <f>_xll.DCEBoltDisRS(AN175, AE175, BA175, BB175, BC175, BD175, "h1")</f>
        <v>1240</v>
      </c>
      <c r="BP175" s="136">
        <f>_xll.DCEBoltDisRS(AN175, AE175, BA175, BB175, BC175, BD175, "Tong")</f>
        <v>4523000</v>
      </c>
      <c r="BQ175" s="137">
        <f t="shared" si="93"/>
        <v>78.329850848348656</v>
      </c>
      <c r="BR175" s="135">
        <f t="shared" si="94"/>
        <v>0.42324719697944035</v>
      </c>
      <c r="BS175" s="64" t="str">
        <f t="shared" si="95"/>
        <v>OK</v>
      </c>
      <c r="BT175" s="131">
        <f t="shared" si="96"/>
        <v>0.43076235226327525</v>
      </c>
      <c r="BU175" s="92" t="str">
        <f t="shared" si="97"/>
        <v>OK</v>
      </c>
      <c r="BV175" s="139">
        <f t="shared" si="98"/>
        <v>528.1228242011224</v>
      </c>
      <c r="BW175" s="131">
        <f t="shared" si="99"/>
        <v>11.882763544525254</v>
      </c>
      <c r="BX175" s="139">
        <f t="shared" si="100"/>
        <v>264.0614121005612</v>
      </c>
      <c r="BY175" s="123">
        <f t="shared" si="101"/>
        <v>83.878330902531204</v>
      </c>
      <c r="BZ175" s="141">
        <f t="shared" si="102"/>
        <v>0.40774188633174896</v>
      </c>
      <c r="CA175" s="131">
        <f t="shared" si="103"/>
        <v>7.7665121206047409</v>
      </c>
      <c r="CB175" s="143">
        <f t="shared" si="104"/>
        <v>6.509289373112212E-2</v>
      </c>
      <c r="CC175" s="123">
        <f t="shared" si="105"/>
        <v>84.950164958951206</v>
      </c>
      <c r="CD175" s="131">
        <f t="shared" si="106"/>
        <v>0.35908886154146047</v>
      </c>
      <c r="CE175" s="135">
        <f t="shared" si="107"/>
        <v>0.40774188633174896</v>
      </c>
      <c r="CF175" s="92" t="str">
        <f t="shared" si="108"/>
        <v>OK</v>
      </c>
      <c r="CG175" s="50"/>
      <c r="DA175" s="111"/>
      <c r="DB175" s="111"/>
      <c r="DC175" s="111"/>
      <c r="DD175" s="116"/>
      <c r="DE175" s="120"/>
      <c r="DF175" s="121"/>
      <c r="DG175" s="121"/>
      <c r="DH175" s="121"/>
      <c r="DI175" s="121"/>
      <c r="DJ175" s="121"/>
      <c r="DK175" s="122"/>
      <c r="DL175" s="123"/>
      <c r="DM175" s="123"/>
      <c r="DN175" s="123"/>
      <c r="DO175" s="123"/>
      <c r="DP175" s="123"/>
      <c r="DQ175" s="111"/>
      <c r="DR175" s="120"/>
      <c r="DS175" s="120"/>
      <c r="DT175" s="120"/>
      <c r="DU175" s="120"/>
      <c r="DV175" s="120"/>
      <c r="DW175" s="120"/>
      <c r="DX175" s="120"/>
      <c r="DY175" s="120"/>
      <c r="DZ175" s="120"/>
      <c r="EA175" s="122"/>
      <c r="EB175" s="122"/>
      <c r="EC175" s="122"/>
      <c r="ED175" s="122"/>
      <c r="EE175" s="122"/>
      <c r="EF175" s="122"/>
      <c r="EG175" s="122"/>
      <c r="EH175" s="122"/>
      <c r="EI175" s="122"/>
      <c r="EJ175" s="122"/>
      <c r="EK175" s="131"/>
      <c r="EL175" s="122"/>
      <c r="EM175" s="276"/>
      <c r="EN175" s="276"/>
      <c r="EO175" s="135"/>
      <c r="EP175" s="136"/>
      <c r="EQ175" s="137"/>
      <c r="ER175" s="276"/>
      <c r="ES175" s="276"/>
      <c r="ET175" s="276"/>
      <c r="EU175" s="276"/>
      <c r="EV175" s="139"/>
      <c r="EW175" s="131"/>
      <c r="EX175" s="139"/>
      <c r="EY175" s="123"/>
      <c r="EZ175" s="141"/>
      <c r="FA175" s="131"/>
      <c r="FB175" s="143"/>
      <c r="FC175" s="123"/>
      <c r="FD175" s="131"/>
      <c r="FE175" s="276"/>
      <c r="FF175" s="276"/>
      <c r="FG175" s="50"/>
    </row>
    <row r="176" spans="27:163">
      <c r="AA176" s="111" t="s">
        <v>245</v>
      </c>
      <c r="AB176" s="111" t="s">
        <v>340</v>
      </c>
      <c r="AC176" s="111">
        <v>102</v>
      </c>
      <c r="AD176" s="116">
        <v>3</v>
      </c>
      <c r="AE176" s="120">
        <v>750</v>
      </c>
      <c r="AF176" s="121">
        <v>350</v>
      </c>
      <c r="AG176" s="121">
        <v>14</v>
      </c>
      <c r="AH176" s="121">
        <v>18.000000000000004</v>
      </c>
      <c r="AI176" s="121">
        <v>714</v>
      </c>
      <c r="AJ176" s="64" t="str" cm="1">
        <f t="array" ref="AJ176">_xll.Dce_Name_SectI(AE176, AE176, AF176, AG176, AH176, "x", "-", "H Tổng")</f>
        <v>750x350x14x18</v>
      </c>
      <c r="AK176" s="122">
        <f t="shared" si="75"/>
        <v>1010</v>
      </c>
      <c r="AL176" s="123">
        <f t="shared" si="76"/>
        <v>350</v>
      </c>
      <c r="AM176" s="123">
        <f t="shared" si="77"/>
        <v>25</v>
      </c>
      <c r="AN176" s="123">
        <f t="shared" si="78"/>
        <v>12</v>
      </c>
      <c r="AO176" s="123">
        <f t="shared" si="79"/>
        <v>24</v>
      </c>
      <c r="AP176" s="165" t="str">
        <f t="shared" si="80"/>
        <v>1010x350x25 + 12M24</v>
      </c>
      <c r="AQ176" s="111" t="s">
        <v>335</v>
      </c>
      <c r="AR176" s="120">
        <v>0</v>
      </c>
      <c r="AS176" s="120">
        <v>-138.80693795682998</v>
      </c>
      <c r="AT176" s="120">
        <v>2.2919266484677789E-14</v>
      </c>
      <c r="AU176" s="120">
        <v>2.2825860483589411E-4</v>
      </c>
      <c r="AV176" s="120">
        <v>1.0221992852166293E-14</v>
      </c>
      <c r="AW176" s="120">
        <v>-104.34009138660896</v>
      </c>
      <c r="AX176" s="120"/>
      <c r="AY176" s="120"/>
      <c r="AZ176" s="120"/>
      <c r="BA176" s="122">
        <f t="shared" si="81"/>
        <v>60</v>
      </c>
      <c r="BB176" s="122">
        <f t="shared" si="82"/>
        <v>70</v>
      </c>
      <c r="BC176" s="122">
        <f t="shared" si="83"/>
        <v>80</v>
      </c>
      <c r="BD176" s="122">
        <f t="shared" si="84"/>
        <v>150</v>
      </c>
      <c r="BE176" s="122">
        <f>VLOOKUP(AO176,Data!$V$4:$Z$15,3,FALSE)</f>
        <v>452.38934211693021</v>
      </c>
      <c r="BF176" s="122">
        <f>VLOOKUP(AO176,Data!$V$4:$Z$15,4,FALSE)</f>
        <v>353</v>
      </c>
      <c r="BG176" s="163">
        <f t="shared" si="85"/>
        <v>180</v>
      </c>
      <c r="BH176" s="122">
        <f t="shared" si="86"/>
        <v>121.65654188208487</v>
      </c>
      <c r="BI176" s="122">
        <f t="shared" si="87"/>
        <v>243</v>
      </c>
      <c r="BJ176" s="163">
        <f t="shared" si="88"/>
        <v>142.3296</v>
      </c>
      <c r="BK176" s="131">
        <f t="shared" si="89"/>
        <v>11.567244829735833</v>
      </c>
      <c r="BL176" s="134">
        <f t="shared" si="90"/>
        <v>0.89458333333333329</v>
      </c>
      <c r="BM176" s="135">
        <f t="shared" si="91"/>
        <v>0.10628541136471266</v>
      </c>
      <c r="BN176" s="92" t="str">
        <f t="shared" si="92"/>
        <v>OK</v>
      </c>
      <c r="BO176" s="135">
        <f>_xll.DCEBoltDisRS(AN176, AE176, BA176, BB176, BC176, BD176, "h1")</f>
        <v>890</v>
      </c>
      <c r="BP176" s="136">
        <f>_xll.DCEBoltDisRS(AN176, AE176, BA176, BB176, BC176, BD176, "Tong")</f>
        <v>1800300</v>
      </c>
      <c r="BQ176" s="137">
        <f t="shared" si="93"/>
        <v>25.790890777670935</v>
      </c>
      <c r="BR176" s="135">
        <f t="shared" si="94"/>
        <v>0.18120539071051234</v>
      </c>
      <c r="BS176" s="64" t="str">
        <f t="shared" si="95"/>
        <v>OK</v>
      </c>
      <c r="BT176" s="131">
        <f t="shared" si="96"/>
        <v>0.20463582323224622</v>
      </c>
      <c r="BU176" s="92" t="str">
        <f t="shared" si="97"/>
        <v>OK</v>
      </c>
      <c r="BV176" s="139">
        <f t="shared" si="98"/>
        <v>142.54110845165158</v>
      </c>
      <c r="BW176" s="131">
        <f t="shared" si="99"/>
        <v>3.2071749401621603</v>
      </c>
      <c r="BX176" s="139">
        <f t="shared" si="100"/>
        <v>71.270554225825791</v>
      </c>
      <c r="BY176" s="123">
        <f t="shared" si="101"/>
        <v>30.484039035204695</v>
      </c>
      <c r="BZ176" s="141">
        <f t="shared" si="102"/>
        <v>0.14818630086557841</v>
      </c>
      <c r="CA176" s="131">
        <f t="shared" si="103"/>
        <v>2.8225962069633979</v>
      </c>
      <c r="CB176" s="143">
        <f t="shared" si="104"/>
        <v>2.3656816868706642E-2</v>
      </c>
      <c r="CC176" s="123">
        <f t="shared" si="105"/>
        <v>30.873577439982171</v>
      </c>
      <c r="CD176" s="131">
        <f t="shared" si="106"/>
        <v>0.13050425246369277</v>
      </c>
      <c r="CE176" s="135">
        <f t="shared" si="107"/>
        <v>0.14818630086557841</v>
      </c>
      <c r="CF176" s="92" t="str">
        <f t="shared" si="108"/>
        <v>OK</v>
      </c>
      <c r="CG176" s="50"/>
      <c r="DA176" s="111"/>
      <c r="DB176" s="111"/>
      <c r="DC176" s="111"/>
      <c r="DD176" s="116"/>
      <c r="DE176" s="120"/>
      <c r="DF176" s="121"/>
      <c r="DG176" s="121"/>
      <c r="DH176" s="121"/>
      <c r="DI176" s="121"/>
      <c r="DJ176" s="121"/>
      <c r="DK176" s="122"/>
      <c r="DL176" s="123"/>
      <c r="DM176" s="123"/>
      <c r="DN176" s="123"/>
      <c r="DO176" s="123"/>
      <c r="DP176" s="123"/>
      <c r="DQ176" s="111"/>
      <c r="DR176" s="120"/>
      <c r="DS176" s="120"/>
      <c r="DT176" s="120"/>
      <c r="DU176" s="120"/>
      <c r="DV176" s="120"/>
      <c r="DW176" s="120"/>
      <c r="DX176" s="120"/>
      <c r="DY176" s="120"/>
      <c r="DZ176" s="120"/>
      <c r="EA176" s="122"/>
      <c r="EB176" s="122"/>
      <c r="EC176" s="122"/>
      <c r="ED176" s="122"/>
      <c r="EE176" s="122"/>
      <c r="EF176" s="122"/>
      <c r="EG176" s="122"/>
      <c r="EH176" s="122"/>
      <c r="EI176" s="122"/>
      <c r="EJ176" s="122"/>
      <c r="EK176" s="131"/>
      <c r="EL176" s="122"/>
      <c r="EM176" s="276"/>
      <c r="EN176" s="276"/>
      <c r="EO176" s="135"/>
      <c r="EP176" s="136"/>
      <c r="EQ176" s="137"/>
      <c r="ER176" s="276"/>
      <c r="ES176" s="276"/>
      <c r="ET176" s="276"/>
      <c r="EU176" s="276"/>
      <c r="EV176" s="139"/>
      <c r="EW176" s="131"/>
      <c r="EX176" s="139"/>
      <c r="EY176" s="123"/>
      <c r="EZ176" s="141"/>
      <c r="FA176" s="131"/>
      <c r="FB176" s="143"/>
      <c r="FC176" s="123"/>
      <c r="FD176" s="131"/>
      <c r="FE176" s="276"/>
      <c r="FF176" s="276"/>
      <c r="FG176" s="50"/>
    </row>
    <row r="177" spans="27:163">
      <c r="AA177" s="111" t="s">
        <v>245</v>
      </c>
      <c r="AB177" s="111" t="s">
        <v>340</v>
      </c>
      <c r="AC177" s="111">
        <v>102</v>
      </c>
      <c r="AD177" s="116">
        <v>0.3</v>
      </c>
      <c r="AE177" s="120">
        <v>1100</v>
      </c>
      <c r="AF177" s="121">
        <v>350</v>
      </c>
      <c r="AG177" s="121">
        <v>14</v>
      </c>
      <c r="AH177" s="121">
        <v>18.000000000000004</v>
      </c>
      <c r="AI177" s="121">
        <v>1064</v>
      </c>
      <c r="AJ177" s="64" t="str" cm="1">
        <f t="array" ref="AJ177">_xll.Dce_Name_SectI(AE177, AE177, AF177, AG177, AH177, "x", "-", "H Tổng")</f>
        <v>1100x350x14x18</v>
      </c>
      <c r="AK177" s="122">
        <f t="shared" si="75"/>
        <v>1360</v>
      </c>
      <c r="AL177" s="123">
        <f t="shared" si="76"/>
        <v>350</v>
      </c>
      <c r="AM177" s="123">
        <f t="shared" si="77"/>
        <v>25</v>
      </c>
      <c r="AN177" s="123">
        <f t="shared" si="78"/>
        <v>16</v>
      </c>
      <c r="AO177" s="123">
        <f t="shared" si="79"/>
        <v>27</v>
      </c>
      <c r="AP177" s="165" t="str">
        <f t="shared" si="80"/>
        <v>1360x350x25 + 16M27</v>
      </c>
      <c r="AQ177" s="111" t="s">
        <v>336</v>
      </c>
      <c r="AR177" s="120">
        <v>0</v>
      </c>
      <c r="AS177" s="120">
        <v>-196.41876387284654</v>
      </c>
      <c r="AT177" s="120">
        <v>-2.0918378140777345E-15</v>
      </c>
      <c r="AU177" s="120">
        <v>4.1738431826352933E-4</v>
      </c>
      <c r="AV177" s="120">
        <v>-1.0697476682253179E-15</v>
      </c>
      <c r="AW177" s="120">
        <v>-579.73513898651811</v>
      </c>
      <c r="AX177" s="120"/>
      <c r="AY177" s="120"/>
      <c r="AZ177" s="120"/>
      <c r="BA177" s="122">
        <f t="shared" si="81"/>
        <v>60</v>
      </c>
      <c r="BB177" s="122">
        <f t="shared" si="82"/>
        <v>70</v>
      </c>
      <c r="BC177" s="122">
        <f t="shared" si="83"/>
        <v>80</v>
      </c>
      <c r="BD177" s="122">
        <f t="shared" si="84"/>
        <v>160</v>
      </c>
      <c r="BE177" s="122">
        <f>VLOOKUP(AO177,Data!$V$4:$Z$15,3,FALSE)</f>
        <v>572.55526111673976</v>
      </c>
      <c r="BF177" s="122">
        <f>VLOOKUP(AO177,Data!$V$4:$Z$15,4,FALSE)</f>
        <v>459</v>
      </c>
      <c r="BG177" s="163">
        <f t="shared" si="85"/>
        <v>180</v>
      </c>
      <c r="BH177" s="122">
        <f t="shared" si="86"/>
        <v>153.97156081951366</v>
      </c>
      <c r="BI177" s="122">
        <f t="shared" si="87"/>
        <v>273.375</v>
      </c>
      <c r="BJ177" s="163">
        <f t="shared" si="88"/>
        <v>185.06880000000001</v>
      </c>
      <c r="BK177" s="131">
        <f t="shared" si="89"/>
        <v>12.276172742052909</v>
      </c>
      <c r="BL177" s="134">
        <f t="shared" si="90"/>
        <v>0.85037037037037044</v>
      </c>
      <c r="BM177" s="135">
        <f t="shared" si="91"/>
        <v>9.3759300603076065E-2</v>
      </c>
      <c r="BN177" s="92" t="str">
        <f t="shared" si="92"/>
        <v>OK</v>
      </c>
      <c r="BO177" s="135">
        <f>_xll.DCEBoltDisRS(AN177, AE177, BA177, BB177, BC177, BD177, "h1")</f>
        <v>1240</v>
      </c>
      <c r="BP177" s="136">
        <f>_xll.DCEBoltDisRS(AN177, AE177, BA177, BB177, BC177, BD177, "Tong")</f>
        <v>4523000</v>
      </c>
      <c r="BQ177" s="137">
        <f t="shared" si="93"/>
        <v>79.468447086367732</v>
      </c>
      <c r="BR177" s="135">
        <f t="shared" si="94"/>
        <v>0.42939948325362098</v>
      </c>
      <c r="BS177" s="64" t="str">
        <f t="shared" si="95"/>
        <v>OK</v>
      </c>
      <c r="BT177" s="131">
        <f t="shared" si="96"/>
        <v>0.43673883504490157</v>
      </c>
      <c r="BU177" s="92" t="str">
        <f t="shared" si="97"/>
        <v>OK</v>
      </c>
      <c r="BV177" s="139">
        <f t="shared" si="98"/>
        <v>535.79957392469328</v>
      </c>
      <c r="BW177" s="131">
        <f t="shared" si="99"/>
        <v>12.055490413305598</v>
      </c>
      <c r="BX177" s="139">
        <f t="shared" si="100"/>
        <v>267.89978696234664</v>
      </c>
      <c r="BY177" s="123">
        <f t="shared" si="101"/>
        <v>85.09757938803952</v>
      </c>
      <c r="BZ177" s="141">
        <f t="shared" si="102"/>
        <v>0.4136687886918588</v>
      </c>
      <c r="CA177" s="131">
        <f t="shared" si="103"/>
        <v>7.8794054988925479</v>
      </c>
      <c r="CB177" s="143">
        <f t="shared" si="104"/>
        <v>6.6039078654511307E-2</v>
      </c>
      <c r="CC177" s="123">
        <f t="shared" si="105"/>
        <v>86.184993535717254</v>
      </c>
      <c r="CD177" s="131">
        <f t="shared" si="106"/>
        <v>0.36430854755436043</v>
      </c>
      <c r="CE177" s="135">
        <f t="shared" si="107"/>
        <v>0.4136687886918588</v>
      </c>
      <c r="CF177" s="92" t="str">
        <f t="shared" si="108"/>
        <v>OK</v>
      </c>
      <c r="CG177" s="50"/>
      <c r="DA177" s="111"/>
      <c r="DB177" s="111"/>
      <c r="DC177" s="111"/>
      <c r="DD177" s="116"/>
      <c r="DE177" s="120"/>
      <c r="DF177" s="121"/>
      <c r="DG177" s="121"/>
      <c r="DH177" s="121"/>
      <c r="DI177" s="121"/>
      <c r="DJ177" s="121"/>
      <c r="DK177" s="122"/>
      <c r="DL177" s="123"/>
      <c r="DM177" s="123"/>
      <c r="DN177" s="123"/>
      <c r="DO177" s="123"/>
      <c r="DP177" s="123"/>
      <c r="DQ177" s="111"/>
      <c r="DR177" s="120"/>
      <c r="DS177" s="120"/>
      <c r="DT177" s="120"/>
      <c r="DU177" s="120"/>
      <c r="DV177" s="120"/>
      <c r="DW177" s="120"/>
      <c r="DX177" s="120"/>
      <c r="DY177" s="120"/>
      <c r="DZ177" s="120"/>
      <c r="EA177" s="122"/>
      <c r="EB177" s="122"/>
      <c r="EC177" s="122"/>
      <c r="ED177" s="122"/>
      <c r="EE177" s="122"/>
      <c r="EF177" s="122"/>
      <c r="EG177" s="122"/>
      <c r="EH177" s="122"/>
      <c r="EI177" s="122"/>
      <c r="EJ177" s="122"/>
      <c r="EK177" s="131"/>
      <c r="EL177" s="122"/>
      <c r="EM177" s="276"/>
      <c r="EN177" s="276"/>
      <c r="EO177" s="135"/>
      <c r="EP177" s="136"/>
      <c r="EQ177" s="137"/>
      <c r="ER177" s="276"/>
      <c r="ES177" s="276"/>
      <c r="ET177" s="276"/>
      <c r="EU177" s="276"/>
      <c r="EV177" s="139"/>
      <c r="EW177" s="131"/>
      <c r="EX177" s="139"/>
      <c r="EY177" s="123"/>
      <c r="EZ177" s="141"/>
      <c r="FA177" s="131"/>
      <c r="FB177" s="143"/>
      <c r="FC177" s="123"/>
      <c r="FD177" s="131"/>
      <c r="FE177" s="276"/>
      <c r="FF177" s="276"/>
      <c r="FG177" s="50"/>
    </row>
    <row r="178" spans="27:163">
      <c r="AA178" s="111" t="s">
        <v>245</v>
      </c>
      <c r="AB178" s="111" t="s">
        <v>340</v>
      </c>
      <c r="AC178" s="111">
        <v>102</v>
      </c>
      <c r="AD178" s="116">
        <v>3</v>
      </c>
      <c r="AE178" s="120">
        <v>750</v>
      </c>
      <c r="AF178" s="121">
        <v>350</v>
      </c>
      <c r="AG178" s="121">
        <v>14</v>
      </c>
      <c r="AH178" s="121">
        <v>18.000000000000004</v>
      </c>
      <c r="AI178" s="121">
        <v>714</v>
      </c>
      <c r="AJ178" s="64" t="str" cm="1">
        <f t="array" ref="AJ178">_xll.Dce_Name_SectI(AE178, AE178, AF178, AG178, AH178, "x", "-", "H Tổng")</f>
        <v>750x350x14x18</v>
      </c>
      <c r="AK178" s="122">
        <f t="shared" si="75"/>
        <v>1010</v>
      </c>
      <c r="AL178" s="123">
        <f t="shared" si="76"/>
        <v>350</v>
      </c>
      <c r="AM178" s="123">
        <f t="shared" si="77"/>
        <v>25</v>
      </c>
      <c r="AN178" s="123">
        <f t="shared" si="78"/>
        <v>12</v>
      </c>
      <c r="AO178" s="123">
        <f t="shared" si="79"/>
        <v>24</v>
      </c>
      <c r="AP178" s="165" t="str">
        <f t="shared" si="80"/>
        <v>1010x350x25 + 12M24</v>
      </c>
      <c r="AQ178" s="111" t="s">
        <v>336</v>
      </c>
      <c r="AR178" s="120">
        <v>0</v>
      </c>
      <c r="AS178" s="120">
        <v>-137.86492883576636</v>
      </c>
      <c r="AT178" s="120">
        <v>2.1100277081131934E-14</v>
      </c>
      <c r="AU178" s="120">
        <v>4.1745352825748287E-4</v>
      </c>
      <c r="AV178" s="120">
        <v>1.4998659025877712E-14</v>
      </c>
      <c r="AW178" s="120">
        <v>-115.18974919919268</v>
      </c>
      <c r="AX178" s="120"/>
      <c r="AY178" s="120"/>
      <c r="AZ178" s="120"/>
      <c r="BA178" s="122">
        <f t="shared" si="81"/>
        <v>60</v>
      </c>
      <c r="BB178" s="122">
        <f t="shared" si="82"/>
        <v>70</v>
      </c>
      <c r="BC178" s="122">
        <f t="shared" si="83"/>
        <v>80</v>
      </c>
      <c r="BD178" s="122">
        <f t="shared" si="84"/>
        <v>150</v>
      </c>
      <c r="BE178" s="122">
        <f>VLOOKUP(AO178,Data!$V$4:$Z$15,3,FALSE)</f>
        <v>452.38934211693021</v>
      </c>
      <c r="BF178" s="122">
        <f>VLOOKUP(AO178,Data!$V$4:$Z$15,4,FALSE)</f>
        <v>353</v>
      </c>
      <c r="BG178" s="163">
        <f t="shared" si="85"/>
        <v>180</v>
      </c>
      <c r="BH178" s="122">
        <f t="shared" si="86"/>
        <v>121.65654188208487</v>
      </c>
      <c r="BI178" s="122">
        <f t="shared" si="87"/>
        <v>243</v>
      </c>
      <c r="BJ178" s="163">
        <f t="shared" si="88"/>
        <v>142.3296</v>
      </c>
      <c r="BK178" s="131">
        <f t="shared" si="89"/>
        <v>11.488744069647197</v>
      </c>
      <c r="BL178" s="134">
        <f t="shared" si="90"/>
        <v>0.89458333333333329</v>
      </c>
      <c r="BM178" s="135">
        <f t="shared" si="91"/>
        <v>0.10556410860841457</v>
      </c>
      <c r="BN178" s="92" t="str">
        <f t="shared" si="92"/>
        <v>OK</v>
      </c>
      <c r="BO178" s="135">
        <f>_xll.DCEBoltDisRS(AN178, AE178, BA178, BB178, BC178, BD178, "h1")</f>
        <v>890</v>
      </c>
      <c r="BP178" s="136">
        <f>_xll.DCEBoltDisRS(AN178, AE178, BA178, BB178, BC178, BD178, "Tong")</f>
        <v>1800300</v>
      </c>
      <c r="BQ178" s="137">
        <f t="shared" si="93"/>
        <v>28.472720320858048</v>
      </c>
      <c r="BR178" s="135">
        <f t="shared" si="94"/>
        <v>0.2000477786831274</v>
      </c>
      <c r="BS178" s="64" t="str">
        <f t="shared" si="95"/>
        <v>OK</v>
      </c>
      <c r="BT178" s="131">
        <f t="shared" si="96"/>
        <v>0.22121765635674792</v>
      </c>
      <c r="BU178" s="92" t="str">
        <f t="shared" si="97"/>
        <v>OK</v>
      </c>
      <c r="BV178" s="139">
        <f t="shared" si="98"/>
        <v>157.36304535408837</v>
      </c>
      <c r="BW178" s="131">
        <f t="shared" si="99"/>
        <v>3.5406685204669883</v>
      </c>
      <c r="BX178" s="139">
        <f t="shared" si="100"/>
        <v>78.681522677044185</v>
      </c>
      <c r="BY178" s="123">
        <f t="shared" si="101"/>
        <v>33.653879006418897</v>
      </c>
      <c r="BZ178" s="141">
        <f t="shared" si="102"/>
        <v>0.16359524517009189</v>
      </c>
      <c r="CA178" s="131">
        <f t="shared" si="103"/>
        <v>3.1160999080017495</v>
      </c>
      <c r="CB178" s="143">
        <f t="shared" si="104"/>
        <v>2.6116737734688995E-2</v>
      </c>
      <c r="CC178" s="123">
        <f t="shared" si="105"/>
        <v>34.083923014943977</v>
      </c>
      <c r="CD178" s="131">
        <f t="shared" si="106"/>
        <v>0.14407455380713036</v>
      </c>
      <c r="CE178" s="135">
        <f t="shared" si="107"/>
        <v>0.16359524517009189</v>
      </c>
      <c r="CF178" s="92" t="str">
        <f t="shared" si="108"/>
        <v>OK</v>
      </c>
      <c r="CG178" s="50"/>
      <c r="DA178" s="111"/>
      <c r="DB178" s="111"/>
      <c r="DC178" s="111"/>
      <c r="DD178" s="116"/>
      <c r="DE178" s="120"/>
      <c r="DF178" s="121"/>
      <c r="DG178" s="121"/>
      <c r="DH178" s="121"/>
      <c r="DI178" s="121"/>
      <c r="DJ178" s="121"/>
      <c r="DK178" s="122"/>
      <c r="DL178" s="123"/>
      <c r="DM178" s="123"/>
      <c r="DN178" s="123"/>
      <c r="DO178" s="123"/>
      <c r="DP178" s="123"/>
      <c r="DQ178" s="111"/>
      <c r="DR178" s="120"/>
      <c r="DS178" s="120"/>
      <c r="DT178" s="120"/>
      <c r="DU178" s="120"/>
      <c r="DV178" s="120"/>
      <c r="DW178" s="120"/>
      <c r="DX178" s="120"/>
      <c r="DY178" s="120"/>
      <c r="DZ178" s="120"/>
      <c r="EA178" s="122"/>
      <c r="EB178" s="122"/>
      <c r="EC178" s="122"/>
      <c r="ED178" s="122"/>
      <c r="EE178" s="122"/>
      <c r="EF178" s="122"/>
      <c r="EG178" s="122"/>
      <c r="EH178" s="122"/>
      <c r="EI178" s="122"/>
      <c r="EJ178" s="122"/>
      <c r="EK178" s="131"/>
      <c r="EL178" s="122"/>
      <c r="EM178" s="276"/>
      <c r="EN178" s="276"/>
      <c r="EO178" s="135"/>
      <c r="EP178" s="136"/>
      <c r="EQ178" s="137"/>
      <c r="ER178" s="276"/>
      <c r="ES178" s="276"/>
      <c r="ET178" s="276"/>
      <c r="EU178" s="276"/>
      <c r="EV178" s="139"/>
      <c r="EW178" s="131"/>
      <c r="EX178" s="139"/>
      <c r="EY178" s="123"/>
      <c r="EZ178" s="141"/>
      <c r="FA178" s="131"/>
      <c r="FB178" s="143"/>
      <c r="FC178" s="123"/>
      <c r="FD178" s="131"/>
      <c r="FE178" s="276"/>
      <c r="FF178" s="276"/>
      <c r="FG178" s="50"/>
    </row>
    <row r="179" spans="27:163">
      <c r="AA179" s="111" t="s">
        <v>245</v>
      </c>
      <c r="AB179" s="111" t="s">
        <v>340</v>
      </c>
      <c r="AC179" s="111">
        <v>102</v>
      </c>
      <c r="AD179" s="116">
        <v>0.3</v>
      </c>
      <c r="AE179" s="120">
        <v>1100</v>
      </c>
      <c r="AF179" s="121">
        <v>350</v>
      </c>
      <c r="AG179" s="121">
        <v>14</v>
      </c>
      <c r="AH179" s="121">
        <v>18.000000000000004</v>
      </c>
      <c r="AI179" s="121">
        <v>1064</v>
      </c>
      <c r="AJ179" s="64" t="str" cm="1">
        <f t="array" ref="AJ179">_xll.Dce_Name_SectI(AE179, AE179, AF179, AG179, AH179, "x", "-", "H Tổng")</f>
        <v>1100x350x14x18</v>
      </c>
      <c r="AK179" s="122">
        <f t="shared" si="75"/>
        <v>1360</v>
      </c>
      <c r="AL179" s="123">
        <f t="shared" si="76"/>
        <v>350</v>
      </c>
      <c r="AM179" s="123">
        <f t="shared" si="77"/>
        <v>25</v>
      </c>
      <c r="AN179" s="123">
        <f t="shared" si="78"/>
        <v>16</v>
      </c>
      <c r="AO179" s="123">
        <f t="shared" si="79"/>
        <v>27</v>
      </c>
      <c r="AP179" s="165" t="str">
        <f t="shared" si="80"/>
        <v>1360x350x25 + 16M27</v>
      </c>
      <c r="AQ179" s="111" t="s">
        <v>337</v>
      </c>
      <c r="AR179" s="120">
        <v>0</v>
      </c>
      <c r="AS179" s="120">
        <v>-193.27996604762666</v>
      </c>
      <c r="AT179" s="120">
        <v>-1.1823431123048065E-15</v>
      </c>
      <c r="AU179" s="120">
        <v>4.661233414112622E-4</v>
      </c>
      <c r="AV179" s="120">
        <v>-8.6783984443172792E-16</v>
      </c>
      <c r="AW179" s="120">
        <v>-547.00333522366179</v>
      </c>
      <c r="AX179" s="120"/>
      <c r="AY179" s="120"/>
      <c r="AZ179" s="120"/>
      <c r="BA179" s="122">
        <f t="shared" si="81"/>
        <v>60</v>
      </c>
      <c r="BB179" s="122">
        <f t="shared" si="82"/>
        <v>70</v>
      </c>
      <c r="BC179" s="122">
        <f t="shared" si="83"/>
        <v>80</v>
      </c>
      <c r="BD179" s="122">
        <f t="shared" si="84"/>
        <v>160</v>
      </c>
      <c r="BE179" s="122">
        <f>VLOOKUP(AO179,Data!$V$4:$Z$15,3,FALSE)</f>
        <v>572.55526111673976</v>
      </c>
      <c r="BF179" s="122">
        <f>VLOOKUP(AO179,Data!$V$4:$Z$15,4,FALSE)</f>
        <v>459</v>
      </c>
      <c r="BG179" s="163">
        <f t="shared" si="85"/>
        <v>180</v>
      </c>
      <c r="BH179" s="122">
        <f t="shared" si="86"/>
        <v>153.97156081951366</v>
      </c>
      <c r="BI179" s="122">
        <f t="shared" si="87"/>
        <v>273.375</v>
      </c>
      <c r="BJ179" s="163">
        <f t="shared" si="88"/>
        <v>185.06880000000001</v>
      </c>
      <c r="BK179" s="131">
        <f t="shared" si="89"/>
        <v>12.079997877976666</v>
      </c>
      <c r="BL179" s="134">
        <f t="shared" si="90"/>
        <v>0.85037037037037044</v>
      </c>
      <c r="BM179" s="135">
        <f t="shared" si="91"/>
        <v>9.2261014578744985E-2</v>
      </c>
      <c r="BN179" s="92" t="str">
        <f t="shared" si="92"/>
        <v>OK</v>
      </c>
      <c r="BO179" s="135">
        <f>_xll.DCEBoltDisRS(AN179, AE179, BA179, BB179, BC179, BD179, "h1")</f>
        <v>1240</v>
      </c>
      <c r="BP179" s="136">
        <f>_xll.DCEBoltDisRS(AN179, AE179, BA179, BB179, BC179, BD179, "Tong")</f>
        <v>4523000</v>
      </c>
      <c r="BQ179" s="137">
        <f t="shared" si="93"/>
        <v>74.981664346378565</v>
      </c>
      <c r="BR179" s="135">
        <f t="shared" si="94"/>
        <v>0.40515561967429714</v>
      </c>
      <c r="BS179" s="64" t="str">
        <f t="shared" si="95"/>
        <v>OK</v>
      </c>
      <c r="BT179" s="131">
        <f t="shared" si="96"/>
        <v>0.41268199050773491</v>
      </c>
      <c r="BU179" s="92" t="str">
        <f t="shared" si="97"/>
        <v>OK</v>
      </c>
      <c r="BV179" s="139">
        <f t="shared" si="98"/>
        <v>505.54836896826407</v>
      </c>
      <c r="BW179" s="131">
        <f t="shared" si="99"/>
        <v>11.374838301785941</v>
      </c>
      <c r="BX179" s="139">
        <f t="shared" si="100"/>
        <v>252.77418448413204</v>
      </c>
      <c r="BY179" s="123">
        <f t="shared" si="101"/>
        <v>80.292976247900754</v>
      </c>
      <c r="BZ179" s="141">
        <f t="shared" si="102"/>
        <v>0.39031307898285095</v>
      </c>
      <c r="CA179" s="131">
        <f t="shared" si="103"/>
        <v>7.4345348377685898</v>
      </c>
      <c r="CB179" s="143">
        <f t="shared" si="104"/>
        <v>6.2310517078999206E-2</v>
      </c>
      <c r="CC179" s="123">
        <f t="shared" si="105"/>
        <v>81.318995071926082</v>
      </c>
      <c r="CD179" s="131">
        <f t="shared" si="106"/>
        <v>0.34373971346828663</v>
      </c>
      <c r="CE179" s="135">
        <f t="shared" si="107"/>
        <v>0.39031307898285095</v>
      </c>
      <c r="CF179" s="92" t="str">
        <f t="shared" si="108"/>
        <v>OK</v>
      </c>
      <c r="CG179" s="50"/>
      <c r="DA179" s="111"/>
      <c r="DB179" s="111"/>
      <c r="DC179" s="111"/>
      <c r="DD179" s="116"/>
      <c r="DE179" s="120"/>
      <c r="DF179" s="121"/>
      <c r="DG179" s="121"/>
      <c r="DH179" s="121"/>
      <c r="DI179" s="121"/>
      <c r="DJ179" s="121"/>
      <c r="DK179" s="122"/>
      <c r="DL179" s="123"/>
      <c r="DM179" s="123"/>
      <c r="DN179" s="123"/>
      <c r="DO179" s="123"/>
      <c r="DP179" s="123"/>
      <c r="DQ179" s="111"/>
      <c r="DR179" s="120"/>
      <c r="DS179" s="120"/>
      <c r="DT179" s="120"/>
      <c r="DU179" s="120"/>
      <c r="DV179" s="120"/>
      <c r="DW179" s="120"/>
      <c r="DX179" s="120"/>
      <c r="DY179" s="120"/>
      <c r="DZ179" s="120"/>
      <c r="EA179" s="122"/>
      <c r="EB179" s="122"/>
      <c r="EC179" s="122"/>
      <c r="ED179" s="122"/>
      <c r="EE179" s="122"/>
      <c r="EF179" s="122"/>
      <c r="EG179" s="122"/>
      <c r="EH179" s="122"/>
      <c r="EI179" s="122"/>
      <c r="EJ179" s="122"/>
      <c r="EK179" s="131"/>
      <c r="EL179" s="122"/>
      <c r="EM179" s="276"/>
      <c r="EN179" s="276"/>
      <c r="EO179" s="135"/>
      <c r="EP179" s="136"/>
      <c r="EQ179" s="137"/>
      <c r="ER179" s="276"/>
      <c r="ES179" s="276"/>
      <c r="ET179" s="276"/>
      <c r="EU179" s="276"/>
      <c r="EV179" s="139"/>
      <c r="EW179" s="131"/>
      <c r="EX179" s="139"/>
      <c r="EY179" s="123"/>
      <c r="EZ179" s="141"/>
      <c r="FA179" s="131"/>
      <c r="FB179" s="143"/>
      <c r="FC179" s="123"/>
      <c r="FD179" s="131"/>
      <c r="FE179" s="276"/>
      <c r="FF179" s="276"/>
      <c r="FG179" s="50"/>
    </row>
    <row r="180" spans="27:163">
      <c r="AA180" s="111" t="s">
        <v>245</v>
      </c>
      <c r="AB180" s="111" t="s">
        <v>340</v>
      </c>
      <c r="AC180" s="111">
        <v>102</v>
      </c>
      <c r="AD180" s="116">
        <v>3</v>
      </c>
      <c r="AE180" s="120">
        <v>750</v>
      </c>
      <c r="AF180" s="121">
        <v>350</v>
      </c>
      <c r="AG180" s="121">
        <v>14</v>
      </c>
      <c r="AH180" s="121">
        <v>18.000000000000004</v>
      </c>
      <c r="AI180" s="121">
        <v>714</v>
      </c>
      <c r="AJ180" s="64" t="str" cm="1">
        <f t="array" ref="AJ180">_xll.Dce_Name_SectI(AE180, AE180, AF180, AG180, AH180, "x", "-", "H Tổng")</f>
        <v>750x350x14x18</v>
      </c>
      <c r="AK180" s="122">
        <f t="shared" si="75"/>
        <v>1010</v>
      </c>
      <c r="AL180" s="123">
        <f t="shared" si="76"/>
        <v>350</v>
      </c>
      <c r="AM180" s="123">
        <f t="shared" si="77"/>
        <v>25</v>
      </c>
      <c r="AN180" s="123">
        <f t="shared" si="78"/>
        <v>12</v>
      </c>
      <c r="AO180" s="123">
        <f t="shared" si="79"/>
        <v>24</v>
      </c>
      <c r="AP180" s="165" t="str">
        <f t="shared" si="80"/>
        <v>1010x350x25 + 12M24</v>
      </c>
      <c r="AQ180" s="111" t="s">
        <v>337</v>
      </c>
      <c r="AR180" s="120">
        <v>0</v>
      </c>
      <c r="AS180" s="120">
        <v>-134.7261322562253</v>
      </c>
      <c r="AT180" s="120">
        <v>2.2919266484677789E-14</v>
      </c>
      <c r="AU180" s="120">
        <v>4.6620050481381917E-4</v>
      </c>
      <c r="AV180" s="120">
        <v>8.3593477029353365E-15</v>
      </c>
      <c r="AW180" s="120">
        <v>-90.932772351495984</v>
      </c>
      <c r="AX180" s="120"/>
      <c r="AY180" s="120"/>
      <c r="AZ180" s="120"/>
      <c r="BA180" s="122">
        <f t="shared" si="81"/>
        <v>60</v>
      </c>
      <c r="BB180" s="122">
        <f t="shared" si="82"/>
        <v>70</v>
      </c>
      <c r="BC180" s="122">
        <f t="shared" si="83"/>
        <v>80</v>
      </c>
      <c r="BD180" s="122">
        <f t="shared" si="84"/>
        <v>150</v>
      </c>
      <c r="BE180" s="122">
        <f>VLOOKUP(AO180,Data!$V$4:$Z$15,3,FALSE)</f>
        <v>452.38934211693021</v>
      </c>
      <c r="BF180" s="122">
        <f>VLOOKUP(AO180,Data!$V$4:$Z$15,4,FALSE)</f>
        <v>353</v>
      </c>
      <c r="BG180" s="163">
        <f t="shared" si="85"/>
        <v>180</v>
      </c>
      <c r="BH180" s="122">
        <f t="shared" si="86"/>
        <v>121.65654188208487</v>
      </c>
      <c r="BI180" s="122">
        <f t="shared" si="87"/>
        <v>243</v>
      </c>
      <c r="BJ180" s="163">
        <f t="shared" si="88"/>
        <v>142.3296</v>
      </c>
      <c r="BK180" s="131">
        <f t="shared" si="89"/>
        <v>11.227177688018775</v>
      </c>
      <c r="BL180" s="134">
        <f t="shared" si="90"/>
        <v>0.89458333333333329</v>
      </c>
      <c r="BM180" s="135">
        <f t="shared" si="91"/>
        <v>0.10316071083480739</v>
      </c>
      <c r="BN180" s="92" t="str">
        <f t="shared" si="92"/>
        <v>OK</v>
      </c>
      <c r="BO180" s="135">
        <f>_xll.DCEBoltDisRS(AN180, AE180, BA180, BB180, BC180, BD180, "h1")</f>
        <v>890</v>
      </c>
      <c r="BP180" s="136">
        <f>_xll.DCEBoltDisRS(AN180, AE180, BA180, BB180, BC180, BD180, "Tong")</f>
        <v>1800300</v>
      </c>
      <c r="BQ180" s="137">
        <f t="shared" si="93"/>
        <v>22.476855910912462</v>
      </c>
      <c r="BR180" s="135">
        <f t="shared" si="94"/>
        <v>0.15792116264580566</v>
      </c>
      <c r="BS180" s="64" t="str">
        <f t="shared" si="95"/>
        <v>OK</v>
      </c>
      <c r="BT180" s="131">
        <f t="shared" si="96"/>
        <v>0.18290919111826734</v>
      </c>
      <c r="BU180" s="92" t="str">
        <f t="shared" si="97"/>
        <v>OK</v>
      </c>
      <c r="BV180" s="139">
        <f t="shared" si="98"/>
        <v>124.22509884084151</v>
      </c>
      <c r="BW180" s="131">
        <f t="shared" si="99"/>
        <v>2.7950647239189337</v>
      </c>
      <c r="BX180" s="139">
        <f t="shared" si="100"/>
        <v>62.112549420420756</v>
      </c>
      <c r="BY180" s="123">
        <f t="shared" si="101"/>
        <v>26.566951831308678</v>
      </c>
      <c r="BZ180" s="141">
        <f t="shared" si="102"/>
        <v>0.12914490473552831</v>
      </c>
      <c r="CA180" s="131">
        <f t="shared" si="103"/>
        <v>2.4599029473433962</v>
      </c>
      <c r="CB180" s="143">
        <f t="shared" si="104"/>
        <v>2.0617002671699924E-2</v>
      </c>
      <c r="CC180" s="123">
        <f t="shared" si="105"/>
        <v>26.9064359798566</v>
      </c>
      <c r="CD180" s="131">
        <f t="shared" si="106"/>
        <v>0.11373493469746149</v>
      </c>
      <c r="CE180" s="135">
        <f t="shared" si="107"/>
        <v>0.12914490473552831</v>
      </c>
      <c r="CF180" s="92" t="str">
        <f t="shared" si="108"/>
        <v>OK</v>
      </c>
      <c r="CG180" s="50"/>
      <c r="DA180" s="111"/>
      <c r="DB180" s="111"/>
      <c r="DC180" s="111"/>
      <c r="DD180" s="116"/>
      <c r="DE180" s="120"/>
      <c r="DF180" s="121"/>
      <c r="DG180" s="121"/>
      <c r="DH180" s="121"/>
      <c r="DI180" s="121"/>
      <c r="DJ180" s="121"/>
      <c r="DK180" s="122"/>
      <c r="DL180" s="123"/>
      <c r="DM180" s="123"/>
      <c r="DN180" s="123"/>
      <c r="DO180" s="123"/>
      <c r="DP180" s="123"/>
      <c r="DQ180" s="111"/>
      <c r="DR180" s="120"/>
      <c r="DS180" s="120"/>
      <c r="DT180" s="120"/>
      <c r="DU180" s="120"/>
      <c r="DV180" s="120"/>
      <c r="DW180" s="120"/>
      <c r="DX180" s="120"/>
      <c r="DY180" s="120"/>
      <c r="DZ180" s="120"/>
      <c r="EA180" s="122"/>
      <c r="EB180" s="122"/>
      <c r="EC180" s="122"/>
      <c r="ED180" s="122"/>
      <c r="EE180" s="122"/>
      <c r="EF180" s="122"/>
      <c r="EG180" s="122"/>
      <c r="EH180" s="122"/>
      <c r="EI180" s="122"/>
      <c r="EJ180" s="122"/>
      <c r="EK180" s="131"/>
      <c r="EL180" s="122"/>
      <c r="EM180" s="276"/>
      <c r="EN180" s="276"/>
      <c r="EO180" s="135"/>
      <c r="EP180" s="136"/>
      <c r="EQ180" s="137"/>
      <c r="ER180" s="276"/>
      <c r="ES180" s="276"/>
      <c r="ET180" s="276"/>
      <c r="EU180" s="276"/>
      <c r="EV180" s="139"/>
      <c r="EW180" s="131"/>
      <c r="EX180" s="139"/>
      <c r="EY180" s="123"/>
      <c r="EZ180" s="141"/>
      <c r="FA180" s="131"/>
      <c r="FB180" s="143"/>
      <c r="FC180" s="123"/>
      <c r="FD180" s="131"/>
      <c r="FE180" s="276"/>
      <c r="FF180" s="276"/>
      <c r="FG180" s="50"/>
    </row>
    <row r="181" spans="27:163">
      <c r="AA181" s="111" t="s">
        <v>245</v>
      </c>
      <c r="AB181" s="111" t="s">
        <v>340</v>
      </c>
      <c r="AC181" s="111">
        <v>102</v>
      </c>
      <c r="AD181" s="116">
        <v>0.3</v>
      </c>
      <c r="AE181" s="120">
        <v>1100</v>
      </c>
      <c r="AF181" s="121">
        <v>350</v>
      </c>
      <c r="AG181" s="121">
        <v>14</v>
      </c>
      <c r="AH181" s="121">
        <v>18.000000000000004</v>
      </c>
      <c r="AI181" s="121">
        <v>1064</v>
      </c>
      <c r="AJ181" s="64" t="str" cm="1">
        <f t="array" ref="AJ181">_xll.Dce_Name_SectI(AE181, AE181, AF181, AG181, AH181, "x", "-", "H Tổng")</f>
        <v>1100x350x14x18</v>
      </c>
      <c r="AK181" s="122">
        <f t="shared" si="75"/>
        <v>1360</v>
      </c>
      <c r="AL181" s="123">
        <f t="shared" si="76"/>
        <v>350</v>
      </c>
      <c r="AM181" s="123">
        <f t="shared" si="77"/>
        <v>25</v>
      </c>
      <c r="AN181" s="123">
        <f t="shared" si="78"/>
        <v>16</v>
      </c>
      <c r="AO181" s="123">
        <f t="shared" si="79"/>
        <v>27</v>
      </c>
      <c r="AP181" s="165" t="str">
        <f t="shared" si="80"/>
        <v>1360x350x25 + 16M27</v>
      </c>
      <c r="AQ181" s="111" t="s">
        <v>338</v>
      </c>
      <c r="AR181" s="120">
        <v>0</v>
      </c>
      <c r="AS181" s="120">
        <v>-211.30556978169065</v>
      </c>
      <c r="AT181" s="120">
        <v>-1.6939338820520785E-15</v>
      </c>
      <c r="AU181" s="120">
        <v>3.5588405599113935E-4</v>
      </c>
      <c r="AV181" s="120">
        <v>-1.3015551303396931E-15</v>
      </c>
      <c r="AW181" s="120">
        <v>-681.42367931492811</v>
      </c>
      <c r="AX181" s="120"/>
      <c r="AY181" s="120"/>
      <c r="AZ181" s="120"/>
      <c r="BA181" s="122">
        <f t="shared" si="81"/>
        <v>60</v>
      </c>
      <c r="BB181" s="122">
        <f t="shared" si="82"/>
        <v>70</v>
      </c>
      <c r="BC181" s="122">
        <f t="shared" si="83"/>
        <v>80</v>
      </c>
      <c r="BD181" s="122">
        <f t="shared" si="84"/>
        <v>160</v>
      </c>
      <c r="BE181" s="122">
        <f>VLOOKUP(AO181,Data!$V$4:$Z$15,3,FALSE)</f>
        <v>572.55526111673976</v>
      </c>
      <c r="BF181" s="122">
        <f>VLOOKUP(AO181,Data!$V$4:$Z$15,4,FALSE)</f>
        <v>459</v>
      </c>
      <c r="BG181" s="163">
        <f t="shared" si="85"/>
        <v>180</v>
      </c>
      <c r="BH181" s="122">
        <f t="shared" si="86"/>
        <v>153.97156081951366</v>
      </c>
      <c r="BI181" s="122">
        <f t="shared" si="87"/>
        <v>273.375</v>
      </c>
      <c r="BJ181" s="163">
        <f t="shared" si="88"/>
        <v>185.06880000000001</v>
      </c>
      <c r="BK181" s="131">
        <f t="shared" si="89"/>
        <v>13.206598111355666</v>
      </c>
      <c r="BL181" s="134">
        <f t="shared" si="90"/>
        <v>0.85037037037037044</v>
      </c>
      <c r="BM181" s="135">
        <f t="shared" si="91"/>
        <v>0.10086542673230134</v>
      </c>
      <c r="BN181" s="92" t="str">
        <f t="shared" si="92"/>
        <v>OK</v>
      </c>
      <c r="BO181" s="135">
        <f>_xll.DCEBoltDisRS(AN181, AE181, BA181, BB181, BC181, BD181, "h1")</f>
        <v>1240</v>
      </c>
      <c r="BP181" s="136">
        <f>_xll.DCEBoltDisRS(AN181, AE181, BA181, BB181, BC181, BD181, "Tong")</f>
        <v>4523000</v>
      </c>
      <c r="BQ181" s="137">
        <f t="shared" si="93"/>
        <v>93.40762351873876</v>
      </c>
      <c r="BR181" s="135">
        <f t="shared" si="94"/>
        <v>0.50471837240387762</v>
      </c>
      <c r="BS181" s="64" t="str">
        <f t="shared" si="95"/>
        <v>OK</v>
      </c>
      <c r="BT181" s="131">
        <f t="shared" si="96"/>
        <v>0.51195472248435259</v>
      </c>
      <c r="BU181" s="92" t="str">
        <f t="shared" si="97"/>
        <v>OK</v>
      </c>
      <c r="BV181" s="139">
        <f t="shared" si="98"/>
        <v>629.78158901564518</v>
      </c>
      <c r="BW181" s="131">
        <f t="shared" si="99"/>
        <v>14.170085752852016</v>
      </c>
      <c r="BX181" s="139">
        <f t="shared" si="100"/>
        <v>314.89079450782259</v>
      </c>
      <c r="BY181" s="123">
        <f t="shared" si="101"/>
        <v>100.02413472601422</v>
      </c>
      <c r="BZ181" s="141">
        <f t="shared" si="102"/>
        <v>0.48622843269590255</v>
      </c>
      <c r="CA181" s="131">
        <f t="shared" si="103"/>
        <v>9.2614939561124299</v>
      </c>
      <c r="CB181" s="143">
        <f t="shared" si="104"/>
        <v>7.7622674440597478E-2</v>
      </c>
      <c r="CC181" s="123">
        <f t="shared" si="105"/>
        <v>101.30228693659964</v>
      </c>
      <c r="CD181" s="131">
        <f t="shared" si="106"/>
        <v>0.42821015009432223</v>
      </c>
      <c r="CE181" s="135">
        <f t="shared" si="107"/>
        <v>0.48622843269590255</v>
      </c>
      <c r="CF181" s="92" t="str">
        <f t="shared" si="108"/>
        <v>OK</v>
      </c>
      <c r="CG181" s="50"/>
      <c r="DA181" s="111"/>
      <c r="DB181" s="111"/>
      <c r="DC181" s="111"/>
      <c r="DD181" s="116"/>
      <c r="DE181" s="120"/>
      <c r="DF181" s="121"/>
      <c r="DG181" s="121"/>
      <c r="DH181" s="121"/>
      <c r="DI181" s="121"/>
      <c r="DJ181" s="121"/>
      <c r="DK181" s="122"/>
      <c r="DL181" s="123"/>
      <c r="DM181" s="123"/>
      <c r="DN181" s="123"/>
      <c r="DO181" s="123"/>
      <c r="DP181" s="123"/>
      <c r="DQ181" s="111"/>
      <c r="DR181" s="120"/>
      <c r="DS181" s="120"/>
      <c r="DT181" s="120"/>
      <c r="DU181" s="120"/>
      <c r="DV181" s="120"/>
      <c r="DW181" s="120"/>
      <c r="DX181" s="120"/>
      <c r="DY181" s="120"/>
      <c r="DZ181" s="120"/>
      <c r="EA181" s="122"/>
      <c r="EB181" s="122"/>
      <c r="EC181" s="122"/>
      <c r="ED181" s="122"/>
      <c r="EE181" s="122"/>
      <c r="EF181" s="122"/>
      <c r="EG181" s="122"/>
      <c r="EH181" s="122"/>
      <c r="EI181" s="122"/>
      <c r="EJ181" s="122"/>
      <c r="EK181" s="131"/>
      <c r="EL181" s="122"/>
      <c r="EM181" s="276"/>
      <c r="EN181" s="276"/>
      <c r="EO181" s="135"/>
      <c r="EP181" s="136"/>
      <c r="EQ181" s="137"/>
      <c r="ER181" s="276"/>
      <c r="ES181" s="276"/>
      <c r="ET181" s="276"/>
      <c r="EU181" s="276"/>
      <c r="EV181" s="139"/>
      <c r="EW181" s="131"/>
      <c r="EX181" s="139"/>
      <c r="EY181" s="123"/>
      <c r="EZ181" s="141"/>
      <c r="FA181" s="131"/>
      <c r="FB181" s="143"/>
      <c r="FC181" s="123"/>
      <c r="FD181" s="131"/>
      <c r="FE181" s="276"/>
      <c r="FF181" s="276"/>
      <c r="FG181" s="50"/>
    </row>
    <row r="182" spans="27:163">
      <c r="AA182" s="111" t="s">
        <v>245</v>
      </c>
      <c r="AB182" s="111" t="s">
        <v>340</v>
      </c>
      <c r="AC182" s="111">
        <v>102</v>
      </c>
      <c r="AD182" s="116">
        <v>3</v>
      </c>
      <c r="AE182" s="120">
        <v>750</v>
      </c>
      <c r="AF182" s="121">
        <v>350</v>
      </c>
      <c r="AG182" s="121">
        <v>14</v>
      </c>
      <c r="AH182" s="121">
        <v>18.000000000000004</v>
      </c>
      <c r="AI182" s="121">
        <v>714</v>
      </c>
      <c r="AJ182" s="64" t="str" cm="1">
        <f t="array" ref="AJ182">_xll.Dce_Name_SectI(AE182, AE182, AF182, AG182, AH182, "x", "-", "H Tổng")</f>
        <v>750x350x14x18</v>
      </c>
      <c r="AK182" s="122">
        <f t="shared" si="75"/>
        <v>1010</v>
      </c>
      <c r="AL182" s="123">
        <f t="shared" si="76"/>
        <v>350</v>
      </c>
      <c r="AM182" s="123">
        <f t="shared" si="77"/>
        <v>25</v>
      </c>
      <c r="AN182" s="123">
        <f t="shared" si="78"/>
        <v>12</v>
      </c>
      <c r="AO182" s="123">
        <f t="shared" si="79"/>
        <v>24</v>
      </c>
      <c r="AP182" s="165" t="str">
        <f t="shared" si="80"/>
        <v>1010x350x25 + 12M24</v>
      </c>
      <c r="AQ182" s="111" t="s">
        <v>338</v>
      </c>
      <c r="AR182" s="120">
        <v>0</v>
      </c>
      <c r="AS182" s="120">
        <v>-152.75172960610638</v>
      </c>
      <c r="AT182" s="120">
        <v>2.4283508537337182E-14</v>
      </c>
      <c r="AU182" s="120">
        <v>3.5594328543245372E-4</v>
      </c>
      <c r="AV182" s="120">
        <v>1.9212347979191687E-14</v>
      </c>
      <c r="AW182" s="120">
        <v>-176.68366773685941</v>
      </c>
      <c r="AX182" s="120"/>
      <c r="AY182" s="120"/>
      <c r="AZ182" s="120"/>
      <c r="BA182" s="122">
        <f t="shared" si="81"/>
        <v>60</v>
      </c>
      <c r="BB182" s="122">
        <f t="shared" si="82"/>
        <v>70</v>
      </c>
      <c r="BC182" s="122">
        <f t="shared" si="83"/>
        <v>80</v>
      </c>
      <c r="BD182" s="122">
        <f t="shared" si="84"/>
        <v>150</v>
      </c>
      <c r="BE182" s="122">
        <f>VLOOKUP(AO182,Data!$V$4:$Z$15,3,FALSE)</f>
        <v>452.38934211693021</v>
      </c>
      <c r="BF182" s="122">
        <f>VLOOKUP(AO182,Data!$V$4:$Z$15,4,FALSE)</f>
        <v>353</v>
      </c>
      <c r="BG182" s="163">
        <f t="shared" si="85"/>
        <v>180</v>
      </c>
      <c r="BH182" s="122">
        <f t="shared" si="86"/>
        <v>121.65654188208487</v>
      </c>
      <c r="BI182" s="122">
        <f t="shared" si="87"/>
        <v>243</v>
      </c>
      <c r="BJ182" s="163">
        <f t="shared" si="88"/>
        <v>142.3296</v>
      </c>
      <c r="BK182" s="131">
        <f t="shared" si="89"/>
        <v>12.729310800508864</v>
      </c>
      <c r="BL182" s="134">
        <f t="shared" si="90"/>
        <v>0.89458333333333329</v>
      </c>
      <c r="BM182" s="135">
        <f t="shared" si="91"/>
        <v>0.11696303266127568</v>
      </c>
      <c r="BN182" s="92" t="str">
        <f t="shared" si="92"/>
        <v>OK</v>
      </c>
      <c r="BO182" s="135">
        <f>_xll.DCEBoltDisRS(AN182, AE182, BA182, BB182, BC182, BD182, "h1")</f>
        <v>890</v>
      </c>
      <c r="BP182" s="136">
        <f>_xll.DCEBoltDisRS(AN182, AE182, BA182, BB182, BC182, BD182, "Tong")</f>
        <v>1800300</v>
      </c>
      <c r="BQ182" s="137">
        <f t="shared" si="93"/>
        <v>43.672850159919143</v>
      </c>
      <c r="BR182" s="135">
        <f t="shared" si="94"/>
        <v>0.30684306117574378</v>
      </c>
      <c r="BS182" s="64" t="str">
        <f t="shared" si="95"/>
        <v>OK</v>
      </c>
      <c r="BT182" s="131">
        <f t="shared" si="96"/>
        <v>0.3241924836763036</v>
      </c>
      <c r="BU182" s="92" t="str">
        <f t="shared" si="97"/>
        <v>OK</v>
      </c>
      <c r="BV182" s="139">
        <f t="shared" si="98"/>
        <v>241.3711307880593</v>
      </c>
      <c r="BW182" s="131">
        <f t="shared" si="99"/>
        <v>5.4308504427313338</v>
      </c>
      <c r="BX182" s="139">
        <f t="shared" si="100"/>
        <v>120.68556539402965</v>
      </c>
      <c r="BY182" s="123">
        <f t="shared" si="101"/>
        <v>51.619964604179017</v>
      </c>
      <c r="BZ182" s="141">
        <f t="shared" si="102"/>
        <v>0.25093038349253693</v>
      </c>
      <c r="CA182" s="131">
        <f t="shared" si="103"/>
        <v>4.7796263522387976</v>
      </c>
      <c r="CB182" s="143">
        <f t="shared" si="104"/>
        <v>4.0059128910047398E-2</v>
      </c>
      <c r="CC182" s="123">
        <f t="shared" si="105"/>
        <v>52.279587124782665</v>
      </c>
      <c r="CD182" s="131">
        <f t="shared" si="106"/>
        <v>0.22098859291876735</v>
      </c>
      <c r="CE182" s="135">
        <f t="shared" si="107"/>
        <v>0.25093038349253693</v>
      </c>
      <c r="CF182" s="92" t="str">
        <f t="shared" si="108"/>
        <v>OK</v>
      </c>
      <c r="CG182" s="50"/>
      <c r="DA182" s="111"/>
      <c r="DB182" s="111"/>
      <c r="DC182" s="111"/>
      <c r="DD182" s="116"/>
      <c r="DE182" s="120"/>
      <c r="DF182" s="121"/>
      <c r="DG182" s="121"/>
      <c r="DH182" s="121"/>
      <c r="DI182" s="121"/>
      <c r="DJ182" s="121"/>
      <c r="DK182" s="122"/>
      <c r="DL182" s="123"/>
      <c r="DM182" s="123"/>
      <c r="DN182" s="123"/>
      <c r="DO182" s="123"/>
      <c r="DP182" s="123"/>
      <c r="DQ182" s="111"/>
      <c r="DR182" s="120"/>
      <c r="DS182" s="120"/>
      <c r="DT182" s="120"/>
      <c r="DU182" s="120"/>
      <c r="DV182" s="120"/>
      <c r="DW182" s="120"/>
      <c r="DX182" s="120"/>
      <c r="DY182" s="120"/>
      <c r="DZ182" s="120"/>
      <c r="EA182" s="122"/>
      <c r="EB182" s="122"/>
      <c r="EC182" s="122"/>
      <c r="ED182" s="122"/>
      <c r="EE182" s="122"/>
      <c r="EF182" s="122"/>
      <c r="EG182" s="122"/>
      <c r="EH182" s="122"/>
      <c r="EI182" s="122"/>
      <c r="EJ182" s="122"/>
      <c r="EK182" s="131"/>
      <c r="EL182" s="122"/>
      <c r="EM182" s="276"/>
      <c r="EN182" s="276"/>
      <c r="EO182" s="135"/>
      <c r="EP182" s="136"/>
      <c r="EQ182" s="137"/>
      <c r="ER182" s="276"/>
      <c r="ES182" s="276"/>
      <c r="ET182" s="276"/>
      <c r="EU182" s="276"/>
      <c r="EV182" s="139"/>
      <c r="EW182" s="131"/>
      <c r="EX182" s="139"/>
      <c r="EY182" s="123"/>
      <c r="EZ182" s="141"/>
      <c r="FA182" s="131"/>
      <c r="FB182" s="143"/>
      <c r="FC182" s="123"/>
      <c r="FD182" s="131"/>
      <c r="FE182" s="276"/>
      <c r="FF182" s="276"/>
      <c r="FG182" s="50"/>
    </row>
    <row r="183" spans="27:163">
      <c r="AA183" s="111" t="s">
        <v>245</v>
      </c>
      <c r="AB183" s="111" t="s">
        <v>340</v>
      </c>
      <c r="AC183" s="111">
        <v>102</v>
      </c>
      <c r="AD183" s="116">
        <v>0.3</v>
      </c>
      <c r="AE183" s="120">
        <v>1100</v>
      </c>
      <c r="AF183" s="121">
        <v>350</v>
      </c>
      <c r="AG183" s="121">
        <v>14</v>
      </c>
      <c r="AH183" s="121">
        <v>18.000000000000004</v>
      </c>
      <c r="AI183" s="121">
        <v>1064</v>
      </c>
      <c r="AJ183" s="64" t="str" cm="1">
        <f t="array" ref="AJ183">_xll.Dce_Name_SectI(AE183, AE183, AF183, AG183, AH183, "x", "-", "H Tổng")</f>
        <v>1100x350x14x18</v>
      </c>
      <c r="AK183" s="122">
        <f t="shared" si="75"/>
        <v>1360</v>
      </c>
      <c r="AL183" s="123">
        <f t="shared" si="76"/>
        <v>350</v>
      </c>
      <c r="AM183" s="123">
        <f t="shared" si="77"/>
        <v>25</v>
      </c>
      <c r="AN183" s="123">
        <f t="shared" si="78"/>
        <v>16</v>
      </c>
      <c r="AO183" s="123">
        <f t="shared" si="79"/>
        <v>27</v>
      </c>
      <c r="AP183" s="165" t="str">
        <f t="shared" si="80"/>
        <v>1360x350x25 + 16M27</v>
      </c>
      <c r="AQ183" s="111" t="s">
        <v>339</v>
      </c>
      <c r="AR183" s="120">
        <v>0</v>
      </c>
      <c r="AS183" s="120">
        <v>-208.14753931617759</v>
      </c>
      <c r="AT183" s="120">
        <v>-1.8076207197736946E-15</v>
      </c>
      <c r="AU183" s="120">
        <v>4.0390906892953887E-4</v>
      </c>
      <c r="AV183" s="120">
        <v>-1.3558974387706254E-15</v>
      </c>
      <c r="AW183" s="120">
        <v>-648.61204421833031</v>
      </c>
      <c r="AX183" s="120"/>
      <c r="AY183" s="120"/>
      <c r="AZ183" s="120"/>
      <c r="BA183" s="122">
        <f t="shared" si="81"/>
        <v>60</v>
      </c>
      <c r="BB183" s="122">
        <f t="shared" si="82"/>
        <v>70</v>
      </c>
      <c r="BC183" s="122">
        <f t="shared" si="83"/>
        <v>80</v>
      </c>
      <c r="BD183" s="122">
        <f t="shared" si="84"/>
        <v>160</v>
      </c>
      <c r="BE183" s="122">
        <f>VLOOKUP(AO183,Data!$V$4:$Z$15,3,FALSE)</f>
        <v>572.55526111673976</v>
      </c>
      <c r="BF183" s="122">
        <f>VLOOKUP(AO183,Data!$V$4:$Z$15,4,FALSE)</f>
        <v>459</v>
      </c>
      <c r="BG183" s="163">
        <f t="shared" si="85"/>
        <v>180</v>
      </c>
      <c r="BH183" s="122">
        <f t="shared" si="86"/>
        <v>153.97156081951366</v>
      </c>
      <c r="BI183" s="122">
        <f t="shared" si="87"/>
        <v>273.375</v>
      </c>
      <c r="BJ183" s="163">
        <f t="shared" si="88"/>
        <v>185.06880000000001</v>
      </c>
      <c r="BK183" s="131">
        <f t="shared" si="89"/>
        <v>13.009221207261099</v>
      </c>
      <c r="BL183" s="134">
        <f t="shared" si="90"/>
        <v>0.85037037037037044</v>
      </c>
      <c r="BM183" s="135">
        <f t="shared" si="91"/>
        <v>9.9357960124266925E-2</v>
      </c>
      <c r="BN183" s="92" t="str">
        <f t="shared" si="92"/>
        <v>OK</v>
      </c>
      <c r="BO183" s="135">
        <f>_xll.DCEBoltDisRS(AN183, AE183, BA183, BB183, BC183, BD183, "h1")</f>
        <v>1240</v>
      </c>
      <c r="BP183" s="136">
        <f>_xll.DCEBoltDisRS(AN183, AE183, BA183, BB183, BC183, BD183, "Tong")</f>
        <v>4523000</v>
      </c>
      <c r="BQ183" s="137">
        <f t="shared" si="93"/>
        <v>88.90989772614742</v>
      </c>
      <c r="BR183" s="135">
        <f t="shared" si="94"/>
        <v>0.48041537917870225</v>
      </c>
      <c r="BS183" s="64" t="str">
        <f t="shared" si="95"/>
        <v>OK</v>
      </c>
      <c r="BT183" s="131">
        <f t="shared" si="96"/>
        <v>0.48778855734366511</v>
      </c>
      <c r="BU183" s="92" t="str">
        <f t="shared" si="97"/>
        <v>OK</v>
      </c>
      <c r="BV183" s="139">
        <f t="shared" si="98"/>
        <v>599.45660278958439</v>
      </c>
      <c r="BW183" s="131">
        <f t="shared" si="99"/>
        <v>13.487773562765648</v>
      </c>
      <c r="BX183" s="139">
        <f t="shared" si="100"/>
        <v>299.7283013947922</v>
      </c>
      <c r="BY183" s="123">
        <f t="shared" si="101"/>
        <v>95.207813384228103</v>
      </c>
      <c r="BZ183" s="141">
        <f t="shared" si="102"/>
        <v>0.46281575950666443</v>
      </c>
      <c r="CA183" s="131">
        <f t="shared" si="103"/>
        <v>8.8155382763174188</v>
      </c>
      <c r="CB183" s="143">
        <f t="shared" si="104"/>
        <v>7.3885019078330866E-2</v>
      </c>
      <c r="CC183" s="123">
        <f t="shared" si="105"/>
        <v>96.424420530847144</v>
      </c>
      <c r="CD183" s="131">
        <f t="shared" si="106"/>
        <v>0.40759114958691434</v>
      </c>
      <c r="CE183" s="135">
        <f t="shared" si="107"/>
        <v>0.46281575950666443</v>
      </c>
      <c r="CF183" s="92" t="str">
        <f t="shared" si="108"/>
        <v>OK</v>
      </c>
      <c r="CG183" s="50"/>
      <c r="DA183" s="111"/>
      <c r="DB183" s="111"/>
      <c r="DC183" s="111"/>
      <c r="DD183" s="116"/>
      <c r="DE183" s="120"/>
      <c r="DF183" s="121"/>
      <c r="DG183" s="121"/>
      <c r="DH183" s="121"/>
      <c r="DI183" s="121"/>
      <c r="DJ183" s="121"/>
      <c r="DK183" s="122"/>
      <c r="DL183" s="123"/>
      <c r="DM183" s="123"/>
      <c r="DN183" s="123"/>
      <c r="DO183" s="123"/>
      <c r="DP183" s="123"/>
      <c r="DQ183" s="111"/>
      <c r="DR183" s="120"/>
      <c r="DS183" s="120"/>
      <c r="DT183" s="120"/>
      <c r="DU183" s="120"/>
      <c r="DV183" s="120"/>
      <c r="DW183" s="120"/>
      <c r="DX183" s="120"/>
      <c r="DY183" s="120"/>
      <c r="DZ183" s="120"/>
      <c r="EA183" s="122"/>
      <c r="EB183" s="122"/>
      <c r="EC183" s="122"/>
      <c r="ED183" s="122"/>
      <c r="EE183" s="122"/>
      <c r="EF183" s="122"/>
      <c r="EG183" s="122"/>
      <c r="EH183" s="122"/>
      <c r="EI183" s="122"/>
      <c r="EJ183" s="122"/>
      <c r="EK183" s="131"/>
      <c r="EL183" s="122"/>
      <c r="EM183" s="276"/>
      <c r="EN183" s="276"/>
      <c r="EO183" s="135"/>
      <c r="EP183" s="136"/>
      <c r="EQ183" s="137"/>
      <c r="ER183" s="276"/>
      <c r="ES183" s="276"/>
      <c r="ET183" s="276"/>
      <c r="EU183" s="276"/>
      <c r="EV183" s="139"/>
      <c r="EW183" s="131"/>
      <c r="EX183" s="139"/>
      <c r="EY183" s="123"/>
      <c r="EZ183" s="141"/>
      <c r="FA183" s="131"/>
      <c r="FB183" s="143"/>
      <c r="FC183" s="123"/>
      <c r="FD183" s="131"/>
      <c r="FE183" s="276"/>
      <c r="FF183" s="276"/>
      <c r="FG183" s="50"/>
    </row>
    <row r="184" spans="27:163">
      <c r="AA184" s="111" t="s">
        <v>245</v>
      </c>
      <c r="AB184" s="111" t="s">
        <v>340</v>
      </c>
      <c r="AC184" s="111">
        <v>102</v>
      </c>
      <c r="AD184" s="116">
        <v>3</v>
      </c>
      <c r="AE184" s="120">
        <v>750</v>
      </c>
      <c r="AF184" s="121">
        <v>350</v>
      </c>
      <c r="AG184" s="121">
        <v>14</v>
      </c>
      <c r="AH184" s="121">
        <v>18.000000000000004</v>
      </c>
      <c r="AI184" s="121">
        <v>714</v>
      </c>
      <c r="AJ184" s="64" t="str" cm="1">
        <f t="array" ref="AJ184">_xll.Dce_Name_SectI(AE184, AE184, AF184, AG184, AH184, "x", "-", "H Tổng")</f>
        <v>750x350x14x18</v>
      </c>
      <c r="AK184" s="122">
        <f t="shared" si="75"/>
        <v>1010</v>
      </c>
      <c r="AL184" s="123">
        <f t="shared" si="76"/>
        <v>350</v>
      </c>
      <c r="AM184" s="123">
        <f t="shared" si="77"/>
        <v>25</v>
      </c>
      <c r="AN184" s="123">
        <f t="shared" si="78"/>
        <v>12</v>
      </c>
      <c r="AO184" s="123">
        <f t="shared" si="79"/>
        <v>24</v>
      </c>
      <c r="AP184" s="165" t="str">
        <f t="shared" si="80"/>
        <v>1010x350x25 + 12M24</v>
      </c>
      <c r="AQ184" s="111" t="s">
        <v>339</v>
      </c>
      <c r="AR184" s="120">
        <v>0</v>
      </c>
      <c r="AS184" s="120">
        <v>-149.59370039216998</v>
      </c>
      <c r="AT184" s="120">
        <v>2.3942448024172334E-14</v>
      </c>
      <c r="AU184" s="120">
        <v>4.0397613364128365E-4</v>
      </c>
      <c r="AV184" s="120">
        <v>1.6499097910127599E-14</v>
      </c>
      <c r="AW184" s="120">
        <v>-152.39878784496577</v>
      </c>
      <c r="AX184" s="120"/>
      <c r="AY184" s="120"/>
      <c r="AZ184" s="120"/>
      <c r="BA184" s="122">
        <f t="shared" si="81"/>
        <v>60</v>
      </c>
      <c r="BB184" s="122">
        <f t="shared" si="82"/>
        <v>70</v>
      </c>
      <c r="BC184" s="122">
        <f t="shared" si="83"/>
        <v>80</v>
      </c>
      <c r="BD184" s="122">
        <f t="shared" si="84"/>
        <v>150</v>
      </c>
      <c r="BE184" s="122">
        <f>VLOOKUP(AO184,Data!$V$4:$Z$15,3,FALSE)</f>
        <v>452.38934211693021</v>
      </c>
      <c r="BF184" s="122">
        <f>VLOOKUP(AO184,Data!$V$4:$Z$15,4,FALSE)</f>
        <v>353</v>
      </c>
      <c r="BG184" s="163">
        <f t="shared" si="85"/>
        <v>180</v>
      </c>
      <c r="BH184" s="122">
        <f t="shared" si="86"/>
        <v>121.65654188208487</v>
      </c>
      <c r="BI184" s="122">
        <f t="shared" si="87"/>
        <v>243</v>
      </c>
      <c r="BJ184" s="163">
        <f t="shared" si="88"/>
        <v>142.3296</v>
      </c>
      <c r="BK184" s="131">
        <f t="shared" si="89"/>
        <v>12.466141699347498</v>
      </c>
      <c r="BL184" s="134">
        <f t="shared" si="90"/>
        <v>0.89458333333333329</v>
      </c>
      <c r="BM184" s="135">
        <f t="shared" si="91"/>
        <v>0.11454490832941122</v>
      </c>
      <c r="BN184" s="92" t="str">
        <f t="shared" si="92"/>
        <v>OK</v>
      </c>
      <c r="BO184" s="135">
        <f>_xll.DCEBoltDisRS(AN184, AE184, BA184, BB184, BC184, BD184, "h1")</f>
        <v>890</v>
      </c>
      <c r="BP184" s="136">
        <f>_xll.DCEBoltDisRS(AN184, AE184, BA184, BB184, BC184, BD184, "Tong")</f>
        <v>1800300</v>
      </c>
      <c r="BQ184" s="137">
        <f t="shared" si="93"/>
        <v>37.670088646897611</v>
      </c>
      <c r="BR184" s="135">
        <f t="shared" si="94"/>
        <v>0.26466798646871492</v>
      </c>
      <c r="BS184" s="64" t="str">
        <f t="shared" si="95"/>
        <v>OK</v>
      </c>
      <c r="BT184" s="131">
        <f t="shared" si="96"/>
        <v>0.2838119746855936</v>
      </c>
      <c r="BU184" s="92" t="str">
        <f t="shared" si="97"/>
        <v>OK</v>
      </c>
      <c r="BV184" s="139">
        <f t="shared" si="98"/>
        <v>208.19506536197508</v>
      </c>
      <c r="BW184" s="131">
        <f t="shared" si="99"/>
        <v>4.6843889706444388</v>
      </c>
      <c r="BX184" s="139">
        <f t="shared" si="100"/>
        <v>104.09753268098754</v>
      </c>
      <c r="BY184" s="123">
        <f t="shared" si="101"/>
        <v>44.524885265531303</v>
      </c>
      <c r="BZ184" s="141">
        <f t="shared" si="102"/>
        <v>0.21644041448522164</v>
      </c>
      <c r="CA184" s="131">
        <f t="shared" si="103"/>
        <v>4.1226745616232687</v>
      </c>
      <c r="CB184" s="143">
        <f t="shared" si="104"/>
        <v>3.4553067446555175E-2</v>
      </c>
      <c r="CC184" s="123">
        <f t="shared" si="105"/>
        <v>45.093843754240922</v>
      </c>
      <c r="CD184" s="131">
        <f t="shared" si="106"/>
        <v>0.19061407384039042</v>
      </c>
      <c r="CE184" s="135">
        <f t="shared" si="107"/>
        <v>0.21644041448522164</v>
      </c>
      <c r="CF184" s="92" t="str">
        <f t="shared" si="108"/>
        <v>OK</v>
      </c>
      <c r="CG184" s="50"/>
      <c r="DA184" s="111"/>
      <c r="DB184" s="111"/>
      <c r="DC184" s="111"/>
      <c r="DD184" s="116"/>
      <c r="DE184" s="120"/>
      <c r="DF184" s="121"/>
      <c r="DG184" s="121"/>
      <c r="DH184" s="121"/>
      <c r="DI184" s="121"/>
      <c r="DJ184" s="121"/>
      <c r="DK184" s="122"/>
      <c r="DL184" s="123"/>
      <c r="DM184" s="123"/>
      <c r="DN184" s="123"/>
      <c r="DO184" s="123"/>
      <c r="DP184" s="123"/>
      <c r="DQ184" s="111"/>
      <c r="DR184" s="120"/>
      <c r="DS184" s="120"/>
      <c r="DT184" s="120"/>
      <c r="DU184" s="120"/>
      <c r="DV184" s="120"/>
      <c r="DW184" s="120"/>
      <c r="DX184" s="120"/>
      <c r="DY184" s="120"/>
      <c r="DZ184" s="120"/>
      <c r="EA184" s="122"/>
      <c r="EB184" s="122"/>
      <c r="EC184" s="122"/>
      <c r="ED184" s="122"/>
      <c r="EE184" s="122"/>
      <c r="EF184" s="122"/>
      <c r="EG184" s="122"/>
      <c r="EH184" s="122"/>
      <c r="EI184" s="122"/>
      <c r="EJ184" s="122"/>
      <c r="EK184" s="131"/>
      <c r="EL184" s="122"/>
      <c r="EM184" s="276"/>
      <c r="EN184" s="276"/>
      <c r="EO184" s="135"/>
      <c r="EP184" s="136"/>
      <c r="EQ184" s="137"/>
      <c r="ER184" s="276"/>
      <c r="ES184" s="276"/>
      <c r="ET184" s="276"/>
      <c r="EU184" s="276"/>
      <c r="EV184" s="139"/>
      <c r="EW184" s="131"/>
      <c r="EX184" s="139"/>
      <c r="EY184" s="123"/>
      <c r="EZ184" s="141"/>
      <c r="FA184" s="131"/>
      <c r="FB184" s="143"/>
      <c r="FC184" s="123"/>
      <c r="FD184" s="131"/>
      <c r="FE184" s="276"/>
      <c r="FF184" s="276"/>
      <c r="FG184" s="50"/>
    </row>
    <row r="185" spans="27:163">
      <c r="AA185" s="111" t="s">
        <v>245</v>
      </c>
      <c r="AB185" s="111" t="s">
        <v>341</v>
      </c>
      <c r="AC185" s="111">
        <v>104</v>
      </c>
      <c r="AD185" s="116">
        <v>0</v>
      </c>
      <c r="AE185" s="120">
        <v>750</v>
      </c>
      <c r="AF185" s="121">
        <v>350</v>
      </c>
      <c r="AG185" s="121">
        <v>14</v>
      </c>
      <c r="AH185" s="121">
        <v>18.000000000000004</v>
      </c>
      <c r="AI185" s="121">
        <v>714</v>
      </c>
      <c r="AJ185" s="64" t="str" cm="1">
        <f t="array" ref="AJ185">_xll.Dce_Name_SectI(AE185, AE185, AF185, AG185, AH185, "x", "-", "H Tổng")</f>
        <v>750x350x14x18</v>
      </c>
      <c r="AK185" s="122">
        <f t="shared" si="75"/>
        <v>1010</v>
      </c>
      <c r="AL185" s="123">
        <f t="shared" si="76"/>
        <v>350</v>
      </c>
      <c r="AM185" s="123">
        <f t="shared" si="77"/>
        <v>25</v>
      </c>
      <c r="AN185" s="123">
        <f t="shared" si="78"/>
        <v>12</v>
      </c>
      <c r="AO185" s="123">
        <f t="shared" si="79"/>
        <v>24</v>
      </c>
      <c r="AP185" s="165" t="str">
        <f t="shared" si="80"/>
        <v>1010x350x25 + 12M24</v>
      </c>
      <c r="AQ185" s="111" t="s">
        <v>313</v>
      </c>
      <c r="AR185" s="120">
        <v>0</v>
      </c>
      <c r="AS185" s="120">
        <v>220.56175492447633</v>
      </c>
      <c r="AT185" s="120">
        <v>-3.0559021979570381E-14</v>
      </c>
      <c r="AU185" s="120">
        <v>6.5641877763900319E-4</v>
      </c>
      <c r="AV185" s="120">
        <v>2.0861625671386711E-14</v>
      </c>
      <c r="AW185" s="120">
        <v>-154.67926139039986</v>
      </c>
      <c r="AX185" s="120"/>
      <c r="AY185" s="120"/>
      <c r="AZ185" s="120"/>
      <c r="BA185" s="122">
        <f t="shared" si="81"/>
        <v>60</v>
      </c>
      <c r="BB185" s="122">
        <f t="shared" si="82"/>
        <v>70</v>
      </c>
      <c r="BC185" s="122">
        <f t="shared" si="83"/>
        <v>80</v>
      </c>
      <c r="BD185" s="122">
        <f t="shared" si="84"/>
        <v>150</v>
      </c>
      <c r="BE185" s="122">
        <f>VLOOKUP(AO185,Data!$V$4:$Z$15,3,FALSE)</f>
        <v>452.38934211693021</v>
      </c>
      <c r="BF185" s="122">
        <f>VLOOKUP(AO185,Data!$V$4:$Z$15,4,FALSE)</f>
        <v>353</v>
      </c>
      <c r="BG185" s="163">
        <f t="shared" si="85"/>
        <v>180</v>
      </c>
      <c r="BH185" s="122">
        <f t="shared" si="86"/>
        <v>121.65654188208487</v>
      </c>
      <c r="BI185" s="122">
        <f t="shared" si="87"/>
        <v>243</v>
      </c>
      <c r="BJ185" s="163">
        <f t="shared" si="88"/>
        <v>142.3296</v>
      </c>
      <c r="BK185" s="131">
        <f t="shared" si="89"/>
        <v>18.38014624370636</v>
      </c>
      <c r="BL185" s="134">
        <f t="shared" si="90"/>
        <v>0.89458333333333329</v>
      </c>
      <c r="BM185" s="135">
        <f t="shared" si="91"/>
        <v>0.16888562775415231</v>
      </c>
      <c r="BN185" s="92" t="str">
        <f t="shared" si="92"/>
        <v>OK</v>
      </c>
      <c r="BO185" s="135">
        <f>_xll.DCEBoltDisRS(AN185, AE185, BA185, BB185, BC185, BD185, "h1")</f>
        <v>890</v>
      </c>
      <c r="BP185" s="136">
        <f>_xll.DCEBoltDisRS(AN185, AE185, BA185, BB185, BC185, BD185, "Tong")</f>
        <v>1800300</v>
      </c>
      <c r="BQ185" s="137">
        <f t="shared" si="93"/>
        <v>38.233778436220597</v>
      </c>
      <c r="BR185" s="135">
        <f t="shared" si="94"/>
        <v>0.26862844015735726</v>
      </c>
      <c r="BS185" s="64" t="str">
        <f t="shared" si="95"/>
        <v>OK</v>
      </c>
      <c r="BT185" s="131">
        <f t="shared" si="96"/>
        <v>0.30819975748457024</v>
      </c>
      <c r="BU185" s="92" t="str">
        <f t="shared" si="97"/>
        <v>OK</v>
      </c>
      <c r="BV185" s="139">
        <f t="shared" si="98"/>
        <v>211.31046638032768</v>
      </c>
      <c r="BW185" s="131">
        <f t="shared" si="99"/>
        <v>4.7544854935573726</v>
      </c>
      <c r="BX185" s="139">
        <f t="shared" si="100"/>
        <v>105.65523319016384</v>
      </c>
      <c r="BY185" s="123">
        <f t="shared" si="101"/>
        <v>45.191149245693843</v>
      </c>
      <c r="BZ185" s="141">
        <f t="shared" si="102"/>
        <v>0.21967919772212288</v>
      </c>
      <c r="CA185" s="131">
        <f t="shared" si="103"/>
        <v>4.184365670897578</v>
      </c>
      <c r="CB185" s="143">
        <f t="shared" si="104"/>
        <v>3.5070114578882962E-2</v>
      </c>
      <c r="CC185" s="123">
        <f t="shared" si="105"/>
        <v>45.768621547408806</v>
      </c>
      <c r="CD185" s="131">
        <f t="shared" si="106"/>
        <v>0.19346639542986818</v>
      </c>
      <c r="CE185" s="135">
        <f t="shared" si="107"/>
        <v>0.21967919772212288</v>
      </c>
      <c r="CF185" s="92" t="str">
        <f t="shared" si="108"/>
        <v>OK</v>
      </c>
      <c r="CG185" s="50"/>
      <c r="DA185" s="111"/>
      <c r="DB185" s="111"/>
      <c r="DC185" s="111"/>
      <c r="DD185" s="116"/>
      <c r="DE185" s="120"/>
      <c r="DF185" s="121"/>
      <c r="DG185" s="121"/>
      <c r="DH185" s="121"/>
      <c r="DI185" s="121"/>
      <c r="DJ185" s="121"/>
      <c r="DK185" s="122"/>
      <c r="DL185" s="123"/>
      <c r="DM185" s="123"/>
      <c r="DN185" s="123"/>
      <c r="DO185" s="123"/>
      <c r="DP185" s="123"/>
      <c r="DQ185" s="111"/>
      <c r="DR185" s="120"/>
      <c r="DS185" s="120"/>
      <c r="DT185" s="120"/>
      <c r="DU185" s="120"/>
      <c r="DV185" s="120"/>
      <c r="DW185" s="120"/>
      <c r="DX185" s="120"/>
      <c r="DY185" s="120"/>
      <c r="DZ185" s="120"/>
      <c r="EA185" s="122"/>
      <c r="EB185" s="122"/>
      <c r="EC185" s="122"/>
      <c r="ED185" s="122"/>
      <c r="EE185" s="122"/>
      <c r="EF185" s="122"/>
      <c r="EG185" s="122"/>
      <c r="EH185" s="122"/>
      <c r="EI185" s="122"/>
      <c r="EJ185" s="122"/>
      <c r="EK185" s="131"/>
      <c r="EL185" s="122"/>
      <c r="EM185" s="276"/>
      <c r="EN185" s="276"/>
      <c r="EO185" s="135"/>
      <c r="EP185" s="136"/>
      <c r="EQ185" s="137"/>
      <c r="ER185" s="276"/>
      <c r="ES185" s="276"/>
      <c r="ET185" s="276"/>
      <c r="EU185" s="276"/>
      <c r="EV185" s="139"/>
      <c r="EW185" s="131"/>
      <c r="EX185" s="139"/>
      <c r="EY185" s="123"/>
      <c r="EZ185" s="141"/>
      <c r="FA185" s="131"/>
      <c r="FB185" s="143"/>
      <c r="FC185" s="123"/>
      <c r="FD185" s="131"/>
      <c r="FE185" s="276"/>
      <c r="FF185" s="276"/>
      <c r="FG185" s="50"/>
    </row>
    <row r="186" spans="27:163">
      <c r="AA186" s="111" t="s">
        <v>245</v>
      </c>
      <c r="AB186" s="111" t="s">
        <v>341</v>
      </c>
      <c r="AC186" s="111">
        <v>104</v>
      </c>
      <c r="AD186" s="116">
        <v>2.6850000000000001</v>
      </c>
      <c r="AE186" s="120">
        <v>1100</v>
      </c>
      <c r="AF186" s="121">
        <v>350</v>
      </c>
      <c r="AG186" s="121">
        <v>14</v>
      </c>
      <c r="AH186" s="121">
        <v>18.000000000000004</v>
      </c>
      <c r="AI186" s="121">
        <v>1064</v>
      </c>
      <c r="AJ186" s="64" t="str" cm="1">
        <f t="array" ref="AJ186">_xll.Dce_Name_SectI(AE186, AE186, AF186, AG186, AH186, "x", "-", "H Tổng")</f>
        <v>1100x350x14x18</v>
      </c>
      <c r="AK186" s="122">
        <f t="shared" si="75"/>
        <v>1360</v>
      </c>
      <c r="AL186" s="123">
        <f t="shared" si="76"/>
        <v>350</v>
      </c>
      <c r="AM186" s="123">
        <f t="shared" si="77"/>
        <v>25</v>
      </c>
      <c r="AN186" s="123">
        <f t="shared" si="78"/>
        <v>16</v>
      </c>
      <c r="AO186" s="123">
        <f t="shared" si="79"/>
        <v>27</v>
      </c>
      <c r="AP186" s="165" t="str">
        <f t="shared" si="80"/>
        <v>1360x350x25 + 16M27</v>
      </c>
      <c r="AQ186" s="111" t="s">
        <v>313</v>
      </c>
      <c r="AR186" s="120">
        <v>0</v>
      </c>
      <c r="AS186" s="120">
        <v>310.16761004005116</v>
      </c>
      <c r="AT186" s="120">
        <v>-6.3664629124104962E-15</v>
      </c>
      <c r="AU186" s="120">
        <v>6.5632193090912297E-4</v>
      </c>
      <c r="AV186" s="120">
        <v>1.7584170564077791E-15</v>
      </c>
      <c r="AW186" s="120">
        <v>-880.24997353339597</v>
      </c>
      <c r="AX186" s="120"/>
      <c r="AY186" s="120"/>
      <c r="AZ186" s="120"/>
      <c r="BA186" s="122">
        <f t="shared" si="81"/>
        <v>60</v>
      </c>
      <c r="BB186" s="122">
        <f t="shared" si="82"/>
        <v>70</v>
      </c>
      <c r="BC186" s="122">
        <f t="shared" si="83"/>
        <v>80</v>
      </c>
      <c r="BD186" s="122">
        <f t="shared" si="84"/>
        <v>160</v>
      </c>
      <c r="BE186" s="122">
        <f>VLOOKUP(AO186,Data!$V$4:$Z$15,3,FALSE)</f>
        <v>572.55526111673976</v>
      </c>
      <c r="BF186" s="122">
        <f>VLOOKUP(AO186,Data!$V$4:$Z$15,4,FALSE)</f>
        <v>459</v>
      </c>
      <c r="BG186" s="163">
        <f t="shared" si="85"/>
        <v>180</v>
      </c>
      <c r="BH186" s="122">
        <f t="shared" si="86"/>
        <v>153.97156081951366</v>
      </c>
      <c r="BI186" s="122">
        <f t="shared" si="87"/>
        <v>273.375</v>
      </c>
      <c r="BJ186" s="163">
        <f t="shared" si="88"/>
        <v>185.06880000000001</v>
      </c>
      <c r="BK186" s="131">
        <f t="shared" si="89"/>
        <v>19.385475627503197</v>
      </c>
      <c r="BL186" s="134">
        <f t="shared" si="90"/>
        <v>0.85037037037037044</v>
      </c>
      <c r="BM186" s="135">
        <f t="shared" si="91"/>
        <v>0.14805661950865723</v>
      </c>
      <c r="BN186" s="92" t="str">
        <f t="shared" si="92"/>
        <v>OK</v>
      </c>
      <c r="BO186" s="135">
        <f>_xll.DCEBoltDisRS(AN186, AE186, BA186, BB186, BC186, BD186, "h1")</f>
        <v>1240</v>
      </c>
      <c r="BP186" s="136">
        <f>_xll.DCEBoltDisRS(AN186, AE186, BA186, BB186, BC186, BD186, "Tong")</f>
        <v>4523000</v>
      </c>
      <c r="BQ186" s="137">
        <f t="shared" si="93"/>
        <v>120.66216749739233</v>
      </c>
      <c r="BR186" s="135">
        <f t="shared" si="94"/>
        <v>0.6519854643105284</v>
      </c>
      <c r="BS186" s="64" t="str">
        <f t="shared" si="95"/>
        <v>OK</v>
      </c>
      <c r="BT186" s="131">
        <f t="shared" si="96"/>
        <v>0.66403057279397359</v>
      </c>
      <c r="BU186" s="92" t="str">
        <f t="shared" si="97"/>
        <v>OK</v>
      </c>
      <c r="BV186" s="139">
        <f t="shared" si="98"/>
        <v>813.5397167591459</v>
      </c>
      <c r="BW186" s="131">
        <f t="shared" si="99"/>
        <v>18.304643627080782</v>
      </c>
      <c r="BX186" s="139">
        <f t="shared" si="100"/>
        <v>406.76985837957295</v>
      </c>
      <c r="BY186" s="123">
        <f t="shared" si="101"/>
        <v>129.20924913233495</v>
      </c>
      <c r="BZ186" s="141">
        <f t="shared" si="102"/>
        <v>0.62810051661551713</v>
      </c>
      <c r="CA186" s="131">
        <f t="shared" si="103"/>
        <v>11.963819364105088</v>
      </c>
      <c r="CB186" s="143">
        <f t="shared" si="104"/>
        <v>0.10027147455547848</v>
      </c>
      <c r="CC186" s="123">
        <f t="shared" si="105"/>
        <v>130.86034151977677</v>
      </c>
      <c r="CD186" s="131">
        <f t="shared" si="106"/>
        <v>0.55315361753528836</v>
      </c>
      <c r="CE186" s="135">
        <f t="shared" si="107"/>
        <v>0.62810051661551713</v>
      </c>
      <c r="CF186" s="92" t="str">
        <f t="shared" si="108"/>
        <v>OK</v>
      </c>
      <c r="CG186" s="50"/>
      <c r="DA186" s="111"/>
      <c r="DB186" s="111"/>
      <c r="DC186" s="111"/>
      <c r="DD186" s="116"/>
      <c r="DE186" s="120"/>
      <c r="DF186" s="121"/>
      <c r="DG186" s="121"/>
      <c r="DH186" s="121"/>
      <c r="DI186" s="121"/>
      <c r="DJ186" s="121"/>
      <c r="DK186" s="122"/>
      <c r="DL186" s="123"/>
      <c r="DM186" s="123"/>
      <c r="DN186" s="123"/>
      <c r="DO186" s="123"/>
      <c r="DP186" s="123"/>
      <c r="DQ186" s="111"/>
      <c r="DR186" s="120"/>
      <c r="DS186" s="120"/>
      <c r="DT186" s="120"/>
      <c r="DU186" s="120"/>
      <c r="DV186" s="120"/>
      <c r="DW186" s="120"/>
      <c r="DX186" s="120"/>
      <c r="DY186" s="120"/>
      <c r="DZ186" s="120"/>
      <c r="EA186" s="122"/>
      <c r="EB186" s="122"/>
      <c r="EC186" s="122"/>
      <c r="ED186" s="122"/>
      <c r="EE186" s="122"/>
      <c r="EF186" s="122"/>
      <c r="EG186" s="122"/>
      <c r="EH186" s="122"/>
      <c r="EI186" s="122"/>
      <c r="EJ186" s="122"/>
      <c r="EK186" s="131"/>
      <c r="EL186" s="122"/>
      <c r="EM186" s="276"/>
      <c r="EN186" s="276"/>
      <c r="EO186" s="135"/>
      <c r="EP186" s="136"/>
      <c r="EQ186" s="137"/>
      <c r="ER186" s="276"/>
      <c r="ES186" s="276"/>
      <c r="ET186" s="276"/>
      <c r="EU186" s="276"/>
      <c r="EV186" s="139"/>
      <c r="EW186" s="131"/>
      <c r="EX186" s="139"/>
      <c r="EY186" s="123"/>
      <c r="EZ186" s="141"/>
      <c r="FA186" s="131"/>
      <c r="FB186" s="143"/>
      <c r="FC186" s="123"/>
      <c r="FD186" s="131"/>
      <c r="FE186" s="276"/>
      <c r="FF186" s="276"/>
      <c r="FG186" s="50"/>
    </row>
    <row r="187" spans="27:163">
      <c r="AA187" s="111" t="s">
        <v>245</v>
      </c>
      <c r="AB187" s="111" t="s">
        <v>341</v>
      </c>
      <c r="AC187" s="111">
        <v>104</v>
      </c>
      <c r="AD187" s="116">
        <v>0</v>
      </c>
      <c r="AE187" s="120">
        <v>750</v>
      </c>
      <c r="AF187" s="121">
        <v>350</v>
      </c>
      <c r="AG187" s="121">
        <v>14</v>
      </c>
      <c r="AH187" s="121">
        <v>18.000000000000004</v>
      </c>
      <c r="AI187" s="121">
        <v>714</v>
      </c>
      <c r="AJ187" s="64" t="str" cm="1">
        <f t="array" ref="AJ187">_xll.Dce_Name_SectI(AE187, AE187, AF187, AG187, AH187, "x", "-", "H Tổng")</f>
        <v>750x350x14x18</v>
      </c>
      <c r="AK187" s="122">
        <f t="shared" si="75"/>
        <v>1010</v>
      </c>
      <c r="AL187" s="123">
        <f t="shared" si="76"/>
        <v>350</v>
      </c>
      <c r="AM187" s="123">
        <f t="shared" si="77"/>
        <v>25</v>
      </c>
      <c r="AN187" s="123">
        <f t="shared" si="78"/>
        <v>12</v>
      </c>
      <c r="AO187" s="123">
        <f t="shared" si="79"/>
        <v>24</v>
      </c>
      <c r="AP187" s="165" t="str">
        <f t="shared" si="80"/>
        <v>1010x350x25 + 12M24</v>
      </c>
      <c r="AQ187" s="111" t="s">
        <v>314</v>
      </c>
      <c r="AR187" s="120">
        <v>0</v>
      </c>
      <c r="AS187" s="120">
        <v>609.49023899182293</v>
      </c>
      <c r="AT187" s="120">
        <v>-4.9590198614168903E-14</v>
      </c>
      <c r="AU187" s="120">
        <v>1.4198611539383971E-3</v>
      </c>
      <c r="AV187" s="120">
        <v>5.3760595619678491E-14</v>
      </c>
      <c r="AW187" s="120">
        <v>-485.3223453078449</v>
      </c>
      <c r="AX187" s="120"/>
      <c r="AY187" s="120"/>
      <c r="AZ187" s="120"/>
      <c r="BA187" s="122">
        <f t="shared" si="81"/>
        <v>60</v>
      </c>
      <c r="BB187" s="122">
        <f t="shared" si="82"/>
        <v>70</v>
      </c>
      <c r="BC187" s="122">
        <f t="shared" si="83"/>
        <v>80</v>
      </c>
      <c r="BD187" s="122">
        <f t="shared" si="84"/>
        <v>150</v>
      </c>
      <c r="BE187" s="122">
        <f>VLOOKUP(AO187,Data!$V$4:$Z$15,3,FALSE)</f>
        <v>452.38934211693021</v>
      </c>
      <c r="BF187" s="122">
        <f>VLOOKUP(AO187,Data!$V$4:$Z$15,4,FALSE)</f>
        <v>353</v>
      </c>
      <c r="BG187" s="163">
        <f t="shared" si="85"/>
        <v>180</v>
      </c>
      <c r="BH187" s="122">
        <f t="shared" si="86"/>
        <v>121.65654188208487</v>
      </c>
      <c r="BI187" s="122">
        <f t="shared" si="87"/>
        <v>243</v>
      </c>
      <c r="BJ187" s="163">
        <f t="shared" si="88"/>
        <v>142.3296</v>
      </c>
      <c r="BK187" s="131">
        <f t="shared" si="89"/>
        <v>50.79085324931858</v>
      </c>
      <c r="BL187" s="134">
        <f t="shared" si="90"/>
        <v>0.89458333333333329</v>
      </c>
      <c r="BM187" s="135">
        <f t="shared" si="91"/>
        <v>0.46669079894385379</v>
      </c>
      <c r="BN187" s="92" t="str">
        <f t="shared" si="92"/>
        <v>OK</v>
      </c>
      <c r="BO187" s="135">
        <f>_xll.DCEBoltDisRS(AN187, AE187, BA187, BB187, BC187, BD187, "h1")</f>
        <v>890</v>
      </c>
      <c r="BP187" s="136">
        <f>_xll.DCEBoltDisRS(AN187, AE187, BA187, BB187, BC187, BD187, "Tong")</f>
        <v>1800300</v>
      </c>
      <c r="BQ187" s="137">
        <f t="shared" si="93"/>
        <v>119.96247495528023</v>
      </c>
      <c r="BR187" s="135">
        <f t="shared" si="94"/>
        <v>0.84284980042998947</v>
      </c>
      <c r="BS187" s="64" t="str">
        <f t="shared" si="95"/>
        <v>OK</v>
      </c>
      <c r="BT187" s="131">
        <f t="shared" si="96"/>
        <v>0.94058325943893195</v>
      </c>
      <c r="BU187" s="92" t="str">
        <f t="shared" si="97"/>
        <v>OK</v>
      </c>
      <c r="BV187" s="139">
        <f t="shared" si="98"/>
        <v>663.00866845334008</v>
      </c>
      <c r="BW187" s="131">
        <f t="shared" si="99"/>
        <v>14.917695040200151</v>
      </c>
      <c r="BX187" s="139">
        <f t="shared" si="100"/>
        <v>331.50433422667004</v>
      </c>
      <c r="BY187" s="123">
        <f t="shared" si="101"/>
        <v>141.79195285734798</v>
      </c>
      <c r="BZ187" s="141">
        <f t="shared" si="102"/>
        <v>0.68926643750099714</v>
      </c>
      <c r="CA187" s="131">
        <f t="shared" si="103"/>
        <v>13.128884523828516</v>
      </c>
      <c r="CB187" s="143">
        <f t="shared" si="104"/>
        <v>0.11003614902634054</v>
      </c>
      <c r="CC187" s="123">
        <f t="shared" si="105"/>
        <v>143.60383254502807</v>
      </c>
      <c r="CD187" s="131">
        <f t="shared" si="106"/>
        <v>0.60702103128937002</v>
      </c>
      <c r="CE187" s="135">
        <f t="shared" si="107"/>
        <v>0.68926643750099714</v>
      </c>
      <c r="CF187" s="92" t="str">
        <f t="shared" si="108"/>
        <v>OK</v>
      </c>
      <c r="CG187" s="50"/>
      <c r="DA187" s="111"/>
      <c r="DB187" s="111"/>
      <c r="DC187" s="111"/>
      <c r="DD187" s="116"/>
      <c r="DE187" s="120"/>
      <c r="DF187" s="121"/>
      <c r="DG187" s="121"/>
      <c r="DH187" s="121"/>
      <c r="DI187" s="121"/>
      <c r="DJ187" s="121"/>
      <c r="DK187" s="122"/>
      <c r="DL187" s="123"/>
      <c r="DM187" s="123"/>
      <c r="DN187" s="123"/>
      <c r="DO187" s="123"/>
      <c r="DP187" s="123"/>
      <c r="DQ187" s="111"/>
      <c r="DR187" s="120"/>
      <c r="DS187" s="120"/>
      <c r="DT187" s="120"/>
      <c r="DU187" s="120"/>
      <c r="DV187" s="120"/>
      <c r="DW187" s="120"/>
      <c r="DX187" s="120"/>
      <c r="DY187" s="120"/>
      <c r="DZ187" s="120"/>
      <c r="EA187" s="122"/>
      <c r="EB187" s="122"/>
      <c r="EC187" s="122"/>
      <c r="ED187" s="122"/>
      <c r="EE187" s="122"/>
      <c r="EF187" s="122"/>
      <c r="EG187" s="122"/>
      <c r="EH187" s="122"/>
      <c r="EI187" s="122"/>
      <c r="EJ187" s="122"/>
      <c r="EK187" s="131"/>
      <c r="EL187" s="122"/>
      <c r="EM187" s="276"/>
      <c r="EN187" s="276"/>
      <c r="EO187" s="135"/>
      <c r="EP187" s="136"/>
      <c r="EQ187" s="137"/>
      <c r="ER187" s="276"/>
      <c r="ES187" s="276"/>
      <c r="ET187" s="276"/>
      <c r="EU187" s="276"/>
      <c r="EV187" s="139"/>
      <c r="EW187" s="131"/>
      <c r="EX187" s="139"/>
      <c r="EY187" s="123"/>
      <c r="EZ187" s="141"/>
      <c r="FA187" s="131"/>
      <c r="FB187" s="143"/>
      <c r="FC187" s="123"/>
      <c r="FD187" s="131"/>
      <c r="FE187" s="276"/>
      <c r="FF187" s="276"/>
      <c r="FG187" s="50"/>
    </row>
    <row r="188" spans="27:163">
      <c r="AA188" s="111" t="s">
        <v>245</v>
      </c>
      <c r="AB188" s="111" t="s">
        <v>341</v>
      </c>
      <c r="AC188" s="111">
        <v>104</v>
      </c>
      <c r="AD188" s="116">
        <v>2.6850000000000001</v>
      </c>
      <c r="AE188" s="120">
        <v>1100</v>
      </c>
      <c r="AF188" s="121">
        <v>350</v>
      </c>
      <c r="AG188" s="121">
        <v>14</v>
      </c>
      <c r="AH188" s="121">
        <v>18.000000000000004</v>
      </c>
      <c r="AI188" s="121">
        <v>1064</v>
      </c>
      <c r="AJ188" s="64" t="str" cm="1">
        <f t="array" ref="AJ188">_xll.Dce_Name_SectI(AE188, AE188, AF188, AG188, AH188, "x", "-", "H Tổng")</f>
        <v>1100x350x14x18</v>
      </c>
      <c r="AK188" s="122">
        <f t="shared" si="75"/>
        <v>1360</v>
      </c>
      <c r="AL188" s="123">
        <f t="shared" si="76"/>
        <v>350</v>
      </c>
      <c r="AM188" s="123">
        <f t="shared" si="77"/>
        <v>25</v>
      </c>
      <c r="AN188" s="123">
        <f t="shared" si="78"/>
        <v>16</v>
      </c>
      <c r="AO188" s="123">
        <f t="shared" si="79"/>
        <v>27</v>
      </c>
      <c r="AP188" s="165" t="str">
        <f t="shared" si="80"/>
        <v>1360x350x25 + 16M27</v>
      </c>
      <c r="AQ188" s="111" t="s">
        <v>314</v>
      </c>
      <c r="AR188" s="120">
        <v>0</v>
      </c>
      <c r="AS188" s="120">
        <v>848.68463625298341</v>
      </c>
      <c r="AT188" s="120">
        <v>-1.7212187231052665E-14</v>
      </c>
      <c r="AU188" s="120">
        <v>1.4196519898438649E-3</v>
      </c>
      <c r="AV188" s="120">
        <v>1.3151043276593553E-14</v>
      </c>
      <c r="AW188" s="120">
        <v>-2480.5121279980167</v>
      </c>
      <c r="AX188" s="120"/>
      <c r="AY188" s="120"/>
      <c r="AZ188" s="120"/>
      <c r="BA188" s="122">
        <f t="shared" si="81"/>
        <v>60</v>
      </c>
      <c r="BB188" s="122">
        <f t="shared" si="82"/>
        <v>70</v>
      </c>
      <c r="BC188" s="122">
        <f t="shared" si="83"/>
        <v>80</v>
      </c>
      <c r="BD188" s="122">
        <f t="shared" si="84"/>
        <v>160</v>
      </c>
      <c r="BE188" s="122">
        <f>VLOOKUP(AO188,Data!$V$4:$Z$15,3,FALSE)</f>
        <v>572.55526111673976</v>
      </c>
      <c r="BF188" s="122">
        <f>VLOOKUP(AO188,Data!$V$4:$Z$15,4,FALSE)</f>
        <v>459</v>
      </c>
      <c r="BG188" s="163">
        <f t="shared" si="85"/>
        <v>180</v>
      </c>
      <c r="BH188" s="122">
        <f t="shared" si="86"/>
        <v>153.97156081951366</v>
      </c>
      <c r="BI188" s="122">
        <f t="shared" si="87"/>
        <v>273.375</v>
      </c>
      <c r="BJ188" s="163">
        <f t="shared" si="88"/>
        <v>185.06880000000001</v>
      </c>
      <c r="BK188" s="131">
        <f t="shared" si="89"/>
        <v>53.042789765811463</v>
      </c>
      <c r="BL188" s="134">
        <f t="shared" si="90"/>
        <v>0.85037037037037044</v>
      </c>
      <c r="BM188" s="135">
        <f t="shared" si="91"/>
        <v>0.40511444201516023</v>
      </c>
      <c r="BN188" s="92" t="str">
        <f t="shared" si="92"/>
        <v>OK</v>
      </c>
      <c r="BO188" s="135">
        <f>_xll.DCEBoltDisRS(AN188, AE188, BA188, BB188, BC188, BD188, "h1")</f>
        <v>1240</v>
      </c>
      <c r="BP188" s="136">
        <f>_xll.DCEBoltDisRS(AN188, AE188, BA188, BB188, BC188, BD188, "Tong")</f>
        <v>4523000</v>
      </c>
      <c r="BQ188" s="137">
        <f t="shared" si="93"/>
        <v>340.021560769129</v>
      </c>
      <c r="BR188" s="135">
        <f t="shared" si="94"/>
        <v>1.8372711163044715</v>
      </c>
      <c r="BS188" s="64" t="str">
        <f t="shared" si="95"/>
        <v>O/S</v>
      </c>
      <c r="BT188" s="131">
        <f t="shared" si="96"/>
        <v>1.8692895861754426</v>
      </c>
      <c r="BU188" s="92" t="str">
        <f t="shared" si="97"/>
        <v>O/S</v>
      </c>
      <c r="BV188" s="139">
        <f t="shared" si="98"/>
        <v>2292.5250720868912</v>
      </c>
      <c r="BW188" s="131">
        <f t="shared" si="99"/>
        <v>51.581814121955048</v>
      </c>
      <c r="BX188" s="139">
        <f t="shared" si="100"/>
        <v>1146.2625360434456</v>
      </c>
      <c r="BY188" s="123">
        <f t="shared" si="101"/>
        <v>364.10692321380031</v>
      </c>
      <c r="BZ188" s="141">
        <f t="shared" si="102"/>
        <v>1.7699642100670849</v>
      </c>
      <c r="CA188" s="131">
        <f t="shared" si="103"/>
        <v>33.713604001277808</v>
      </c>
      <c r="CB188" s="143">
        <f t="shared" si="104"/>
        <v>0.28256133621760615</v>
      </c>
      <c r="CC188" s="123">
        <f t="shared" si="105"/>
        <v>368.7596409810667</v>
      </c>
      <c r="CD188" s="131">
        <f t="shared" si="106"/>
        <v>1.5587665983499199</v>
      </c>
      <c r="CE188" s="135">
        <f t="shared" si="107"/>
        <v>1.7699642100670849</v>
      </c>
      <c r="CF188" s="92" t="str">
        <f t="shared" si="108"/>
        <v>O/S</v>
      </c>
      <c r="CG188" s="50"/>
      <c r="DA188" s="111"/>
      <c r="DB188" s="111"/>
      <c r="DC188" s="111"/>
      <c r="DD188" s="116"/>
      <c r="DE188" s="120"/>
      <c r="DF188" s="121"/>
      <c r="DG188" s="121"/>
      <c r="DH188" s="121"/>
      <c r="DI188" s="121"/>
      <c r="DJ188" s="121"/>
      <c r="DK188" s="122"/>
      <c r="DL188" s="123"/>
      <c r="DM188" s="123"/>
      <c r="DN188" s="123"/>
      <c r="DO188" s="123"/>
      <c r="DP188" s="123"/>
      <c r="DQ188" s="111"/>
      <c r="DR188" s="120"/>
      <c r="DS188" s="120"/>
      <c r="DT188" s="120"/>
      <c r="DU188" s="120"/>
      <c r="DV188" s="120"/>
      <c r="DW188" s="120"/>
      <c r="DX188" s="120"/>
      <c r="DY188" s="120"/>
      <c r="DZ188" s="120"/>
      <c r="EA188" s="122"/>
      <c r="EB188" s="122"/>
      <c r="EC188" s="122"/>
      <c r="ED188" s="122"/>
      <c r="EE188" s="122"/>
      <c r="EF188" s="122"/>
      <c r="EG188" s="122"/>
      <c r="EH188" s="122"/>
      <c r="EI188" s="122"/>
      <c r="EJ188" s="122"/>
      <c r="EK188" s="131"/>
      <c r="EL188" s="122"/>
      <c r="EM188" s="276"/>
      <c r="EN188" s="276"/>
      <c r="EO188" s="135"/>
      <c r="EP188" s="136"/>
      <c r="EQ188" s="137"/>
      <c r="ER188" s="276"/>
      <c r="ES188" s="276"/>
      <c r="ET188" s="276"/>
      <c r="EU188" s="276"/>
      <c r="EV188" s="139"/>
      <c r="EW188" s="131"/>
      <c r="EX188" s="139"/>
      <c r="EY188" s="123"/>
      <c r="EZ188" s="141"/>
      <c r="FA188" s="131"/>
      <c r="FB188" s="143"/>
      <c r="FC188" s="123"/>
      <c r="FD188" s="131"/>
      <c r="FE188" s="276"/>
      <c r="FF188" s="276"/>
      <c r="FG188" s="50"/>
    </row>
    <row r="189" spans="27:163">
      <c r="AA189" s="111" t="s">
        <v>245</v>
      </c>
      <c r="AB189" s="111" t="s">
        <v>341</v>
      </c>
      <c r="AC189" s="111">
        <v>104</v>
      </c>
      <c r="AD189" s="116">
        <v>0</v>
      </c>
      <c r="AE189" s="120">
        <v>750</v>
      </c>
      <c r="AF189" s="121">
        <v>350</v>
      </c>
      <c r="AG189" s="121">
        <v>14</v>
      </c>
      <c r="AH189" s="121">
        <v>18.000000000000004</v>
      </c>
      <c r="AI189" s="121">
        <v>714</v>
      </c>
      <c r="AJ189" s="64" t="str" cm="1">
        <f t="array" ref="AJ189">_xll.Dce_Name_SectI(AE189, AE189, AF189, AG189, AH189, "x", "-", "H Tổng")</f>
        <v>750x350x14x18</v>
      </c>
      <c r="AK189" s="122">
        <f t="shared" si="75"/>
        <v>1010</v>
      </c>
      <c r="AL189" s="123">
        <f t="shared" si="76"/>
        <v>350</v>
      </c>
      <c r="AM189" s="123">
        <f t="shared" si="77"/>
        <v>25</v>
      </c>
      <c r="AN189" s="123">
        <f t="shared" si="78"/>
        <v>12</v>
      </c>
      <c r="AO189" s="123">
        <f t="shared" si="79"/>
        <v>24</v>
      </c>
      <c r="AP189" s="165" t="str">
        <f t="shared" si="80"/>
        <v>1010x350x25 + 12M24</v>
      </c>
      <c r="AQ189" s="111" t="s">
        <v>315</v>
      </c>
      <c r="AR189" s="120">
        <v>0</v>
      </c>
      <c r="AS189" s="120">
        <v>453.40311342263504</v>
      </c>
      <c r="AT189" s="120">
        <v>-4.1109160520136347E-14</v>
      </c>
      <c r="AU189" s="120">
        <v>1.1249692956822202E-3</v>
      </c>
      <c r="AV189" s="120">
        <v>4.0605664253234847E-14</v>
      </c>
      <c r="AW189" s="120">
        <v>-355.3385171569293</v>
      </c>
      <c r="AX189" s="120"/>
      <c r="AY189" s="120"/>
      <c r="AZ189" s="120"/>
      <c r="BA189" s="122">
        <f t="shared" si="81"/>
        <v>60</v>
      </c>
      <c r="BB189" s="122">
        <f t="shared" si="82"/>
        <v>70</v>
      </c>
      <c r="BC189" s="122">
        <f t="shared" si="83"/>
        <v>80</v>
      </c>
      <c r="BD189" s="122">
        <f t="shared" si="84"/>
        <v>150</v>
      </c>
      <c r="BE189" s="122">
        <f>VLOOKUP(AO189,Data!$V$4:$Z$15,3,FALSE)</f>
        <v>452.38934211693021</v>
      </c>
      <c r="BF189" s="122">
        <f>VLOOKUP(AO189,Data!$V$4:$Z$15,4,FALSE)</f>
        <v>353</v>
      </c>
      <c r="BG189" s="163">
        <f t="shared" si="85"/>
        <v>180</v>
      </c>
      <c r="BH189" s="122">
        <f t="shared" si="86"/>
        <v>121.65654188208487</v>
      </c>
      <c r="BI189" s="122">
        <f t="shared" si="87"/>
        <v>243</v>
      </c>
      <c r="BJ189" s="163">
        <f t="shared" si="88"/>
        <v>142.3296</v>
      </c>
      <c r="BK189" s="131">
        <f t="shared" si="89"/>
        <v>37.783592785219589</v>
      </c>
      <c r="BL189" s="134">
        <f t="shared" si="90"/>
        <v>0.89458333333333329</v>
      </c>
      <c r="BM189" s="135">
        <f t="shared" si="91"/>
        <v>0.34717383103108101</v>
      </c>
      <c r="BN189" s="92" t="str">
        <f t="shared" si="92"/>
        <v>OK</v>
      </c>
      <c r="BO189" s="135">
        <f>_xll.DCEBoltDisRS(AN189, AE189, BA189, BB189, BC189, BD189, "h1")</f>
        <v>890</v>
      </c>
      <c r="BP189" s="136">
        <f>_xll.DCEBoltDisRS(AN189, AE189, BA189, BB189, BC189, BD189, "Tong")</f>
        <v>1800300</v>
      </c>
      <c r="BQ189" s="137">
        <f t="shared" si="93"/>
        <v>87.83293902951371</v>
      </c>
      <c r="BR189" s="135">
        <f t="shared" si="94"/>
        <v>0.61710943492789772</v>
      </c>
      <c r="BS189" s="64" t="str">
        <f t="shared" si="95"/>
        <v>OK</v>
      </c>
      <c r="BT189" s="131">
        <f t="shared" si="96"/>
        <v>0.69085559897164694</v>
      </c>
      <c r="BU189" s="92" t="str">
        <f t="shared" si="97"/>
        <v>OK</v>
      </c>
      <c r="BV189" s="139">
        <f t="shared" si="98"/>
        <v>485.43513272804552</v>
      </c>
      <c r="BW189" s="131">
        <f t="shared" si="99"/>
        <v>10.922290486381023</v>
      </c>
      <c r="BX189" s="139">
        <f t="shared" si="100"/>
        <v>242.71756636402276</v>
      </c>
      <c r="BY189" s="123">
        <f t="shared" si="101"/>
        <v>103.8158303656018</v>
      </c>
      <c r="BZ189" s="141">
        <f t="shared" si="102"/>
        <v>0.50466028649945327</v>
      </c>
      <c r="CA189" s="131">
        <f t="shared" si="103"/>
        <v>9.6125768857038718</v>
      </c>
      <c r="CB189" s="143">
        <f t="shared" si="104"/>
        <v>8.0565179837077477E-2</v>
      </c>
      <c r="CC189" s="123">
        <f t="shared" si="105"/>
        <v>105.1424345240784</v>
      </c>
      <c r="CD189" s="131">
        <f t="shared" si="106"/>
        <v>0.44444265801240879</v>
      </c>
      <c r="CE189" s="135">
        <f t="shared" si="107"/>
        <v>0.50466028649945327</v>
      </c>
      <c r="CF189" s="92" t="str">
        <f t="shared" si="108"/>
        <v>OK</v>
      </c>
      <c r="CG189" s="50"/>
      <c r="DA189" s="111"/>
      <c r="DB189" s="111"/>
      <c r="DC189" s="111"/>
      <c r="DD189" s="116"/>
      <c r="DE189" s="120"/>
      <c r="DF189" s="121"/>
      <c r="DG189" s="121"/>
      <c r="DH189" s="121"/>
      <c r="DI189" s="121"/>
      <c r="DJ189" s="121"/>
      <c r="DK189" s="122"/>
      <c r="DL189" s="123"/>
      <c r="DM189" s="123"/>
      <c r="DN189" s="123"/>
      <c r="DO189" s="123"/>
      <c r="DP189" s="123"/>
      <c r="DQ189" s="111"/>
      <c r="DR189" s="120"/>
      <c r="DS189" s="120"/>
      <c r="DT189" s="120"/>
      <c r="DU189" s="120"/>
      <c r="DV189" s="120"/>
      <c r="DW189" s="120"/>
      <c r="DX189" s="120"/>
      <c r="DY189" s="120"/>
      <c r="DZ189" s="120"/>
      <c r="EA189" s="122"/>
      <c r="EB189" s="122"/>
      <c r="EC189" s="122"/>
      <c r="ED189" s="122"/>
      <c r="EE189" s="122"/>
      <c r="EF189" s="122"/>
      <c r="EG189" s="122"/>
      <c r="EH189" s="122"/>
      <c r="EI189" s="122"/>
      <c r="EJ189" s="122"/>
      <c r="EK189" s="131"/>
      <c r="EL189" s="122"/>
      <c r="EM189" s="276"/>
      <c r="EN189" s="276"/>
      <c r="EO189" s="135"/>
      <c r="EP189" s="136"/>
      <c r="EQ189" s="137"/>
      <c r="ER189" s="276"/>
      <c r="ES189" s="276"/>
      <c r="ET189" s="276"/>
      <c r="EU189" s="276"/>
      <c r="EV189" s="139"/>
      <c r="EW189" s="131"/>
      <c r="EX189" s="139"/>
      <c r="EY189" s="123"/>
      <c r="EZ189" s="141"/>
      <c r="FA189" s="131"/>
      <c r="FB189" s="143"/>
      <c r="FC189" s="123"/>
      <c r="FD189" s="131"/>
      <c r="FE189" s="276"/>
      <c r="FF189" s="276"/>
      <c r="FG189" s="50"/>
    </row>
    <row r="190" spans="27:163">
      <c r="AA190" s="111" t="s">
        <v>245</v>
      </c>
      <c r="AB190" s="111" t="s">
        <v>341</v>
      </c>
      <c r="AC190" s="111">
        <v>104</v>
      </c>
      <c r="AD190" s="116">
        <v>2.6850000000000001</v>
      </c>
      <c r="AE190" s="120">
        <v>1100</v>
      </c>
      <c r="AF190" s="121">
        <v>350</v>
      </c>
      <c r="AG190" s="121">
        <v>14</v>
      </c>
      <c r="AH190" s="121">
        <v>18.000000000000004</v>
      </c>
      <c r="AI190" s="121">
        <v>1064</v>
      </c>
      <c r="AJ190" s="64" t="str" cm="1">
        <f t="array" ref="AJ190">_xll.Dce_Name_SectI(AE190, AE190, AF190, AG190, AH190, "x", "-", "H Tổng")</f>
        <v>1100x350x14x18</v>
      </c>
      <c r="AK190" s="122">
        <f t="shared" si="75"/>
        <v>1360</v>
      </c>
      <c r="AL190" s="123">
        <f t="shared" si="76"/>
        <v>350</v>
      </c>
      <c r="AM190" s="123">
        <f t="shared" si="77"/>
        <v>25</v>
      </c>
      <c r="AN190" s="123">
        <f t="shared" si="78"/>
        <v>16</v>
      </c>
      <c r="AO190" s="123">
        <f t="shared" si="79"/>
        <v>27</v>
      </c>
      <c r="AP190" s="165" t="str">
        <f t="shared" si="80"/>
        <v>1360x350x25 + 16M27</v>
      </c>
      <c r="AQ190" s="111" t="s">
        <v>315</v>
      </c>
      <c r="AR190" s="120">
        <v>0</v>
      </c>
      <c r="AS190" s="120">
        <v>631.70149409790281</v>
      </c>
      <c r="AT190" s="120">
        <v>-1.3096723705530165E-14</v>
      </c>
      <c r="AU190" s="120">
        <v>1.1248034888150361E-3</v>
      </c>
      <c r="AV190" s="120">
        <v>9.0003595687448949E-15</v>
      </c>
      <c r="AW190" s="120">
        <v>-1839.7851544027703</v>
      </c>
      <c r="AX190" s="120"/>
      <c r="AY190" s="120"/>
      <c r="AZ190" s="120"/>
      <c r="BA190" s="122">
        <f t="shared" si="81"/>
        <v>60</v>
      </c>
      <c r="BB190" s="122">
        <f t="shared" si="82"/>
        <v>70</v>
      </c>
      <c r="BC190" s="122">
        <f t="shared" si="83"/>
        <v>80</v>
      </c>
      <c r="BD190" s="122">
        <f t="shared" si="84"/>
        <v>160</v>
      </c>
      <c r="BE190" s="122">
        <f>VLOOKUP(AO190,Data!$V$4:$Z$15,3,FALSE)</f>
        <v>572.55526111673976</v>
      </c>
      <c r="BF190" s="122">
        <f>VLOOKUP(AO190,Data!$V$4:$Z$15,4,FALSE)</f>
        <v>459</v>
      </c>
      <c r="BG190" s="163">
        <f t="shared" si="85"/>
        <v>180</v>
      </c>
      <c r="BH190" s="122">
        <f t="shared" si="86"/>
        <v>153.97156081951366</v>
      </c>
      <c r="BI190" s="122">
        <f t="shared" si="87"/>
        <v>273.375</v>
      </c>
      <c r="BJ190" s="163">
        <f t="shared" si="88"/>
        <v>185.06880000000001</v>
      </c>
      <c r="BK190" s="131">
        <f t="shared" si="89"/>
        <v>39.481343381118926</v>
      </c>
      <c r="BL190" s="134">
        <f t="shared" si="90"/>
        <v>0.85037037037037044</v>
      </c>
      <c r="BM190" s="135">
        <f t="shared" si="91"/>
        <v>0.30153886069092289</v>
      </c>
      <c r="BN190" s="92" t="str">
        <f t="shared" si="92"/>
        <v>OK</v>
      </c>
      <c r="BO190" s="135">
        <f>_xll.DCEBoltDisRS(AN190, AE190, BA190, BB190, BC190, BD190, "h1")</f>
        <v>1240</v>
      </c>
      <c r="BP190" s="136">
        <f>_xll.DCEBoltDisRS(AN190, AE190, BA190, BB190, BC190, BD190, "Tong")</f>
        <v>4523000</v>
      </c>
      <c r="BQ190" s="137">
        <f t="shared" si="93"/>
        <v>252.19252613966782</v>
      </c>
      <c r="BR190" s="135">
        <f t="shared" si="94"/>
        <v>1.362696068379261</v>
      </c>
      <c r="BS190" s="64" t="str">
        <f t="shared" si="95"/>
        <v>O/S</v>
      </c>
      <c r="BT190" s="131">
        <f t="shared" si="96"/>
        <v>1.3866115691894982</v>
      </c>
      <c r="BU190" s="92" t="str">
        <f t="shared" si="97"/>
        <v>O/S</v>
      </c>
      <c r="BV190" s="139">
        <f t="shared" si="98"/>
        <v>1700.3559652520983</v>
      </c>
      <c r="BW190" s="131">
        <f t="shared" si="99"/>
        <v>38.258009218172212</v>
      </c>
      <c r="BX190" s="139">
        <f t="shared" si="100"/>
        <v>850.17798262604913</v>
      </c>
      <c r="BY190" s="123">
        <f t="shared" si="101"/>
        <v>270.0565356576862</v>
      </c>
      <c r="BZ190" s="141">
        <f t="shared" si="102"/>
        <v>1.3127748261137524</v>
      </c>
      <c r="CA190" s="131">
        <f t="shared" si="103"/>
        <v>25.005234783119089</v>
      </c>
      <c r="CB190" s="143">
        <f t="shared" si="104"/>
        <v>0.20957452524165907</v>
      </c>
      <c r="CC190" s="123">
        <f t="shared" si="105"/>
        <v>273.50743637259274</v>
      </c>
      <c r="CD190" s="131">
        <f t="shared" si="106"/>
        <v>1.1561304677585444</v>
      </c>
      <c r="CE190" s="135">
        <f t="shared" si="107"/>
        <v>1.3127748261137524</v>
      </c>
      <c r="CF190" s="92" t="str">
        <f t="shared" si="108"/>
        <v>O/S</v>
      </c>
      <c r="CG190" s="50"/>
      <c r="DA190" s="111"/>
      <c r="DB190" s="111"/>
      <c r="DC190" s="111"/>
      <c r="DD190" s="116"/>
      <c r="DE190" s="120"/>
      <c r="DF190" s="121"/>
      <c r="DG190" s="121"/>
      <c r="DH190" s="121"/>
      <c r="DI190" s="121"/>
      <c r="DJ190" s="121"/>
      <c r="DK190" s="122"/>
      <c r="DL190" s="123"/>
      <c r="DM190" s="123"/>
      <c r="DN190" s="123"/>
      <c r="DO190" s="123"/>
      <c r="DP190" s="123"/>
      <c r="DQ190" s="111"/>
      <c r="DR190" s="120"/>
      <c r="DS190" s="120"/>
      <c r="DT190" s="120"/>
      <c r="DU190" s="120"/>
      <c r="DV190" s="120"/>
      <c r="DW190" s="120"/>
      <c r="DX190" s="120"/>
      <c r="DY190" s="120"/>
      <c r="DZ190" s="120"/>
      <c r="EA190" s="122"/>
      <c r="EB190" s="122"/>
      <c r="EC190" s="122"/>
      <c r="ED190" s="122"/>
      <c r="EE190" s="122"/>
      <c r="EF190" s="122"/>
      <c r="EG190" s="122"/>
      <c r="EH190" s="122"/>
      <c r="EI190" s="122"/>
      <c r="EJ190" s="122"/>
      <c r="EK190" s="131"/>
      <c r="EL190" s="122"/>
      <c r="EM190" s="276"/>
      <c r="EN190" s="276"/>
      <c r="EO190" s="135"/>
      <c r="EP190" s="136"/>
      <c r="EQ190" s="137"/>
      <c r="ER190" s="276"/>
      <c r="ES190" s="276"/>
      <c r="ET190" s="276"/>
      <c r="EU190" s="276"/>
      <c r="EV190" s="139"/>
      <c r="EW190" s="131"/>
      <c r="EX190" s="139"/>
      <c r="EY190" s="123"/>
      <c r="EZ190" s="141"/>
      <c r="FA190" s="131"/>
      <c r="FB190" s="143"/>
      <c r="FC190" s="123"/>
      <c r="FD190" s="131"/>
      <c r="FE190" s="276"/>
      <c r="FF190" s="276"/>
      <c r="FG190" s="50"/>
    </row>
    <row r="191" spans="27:163">
      <c r="AA191" s="111" t="s">
        <v>245</v>
      </c>
      <c r="AB191" s="111" t="s">
        <v>341</v>
      </c>
      <c r="AC191" s="111">
        <v>104</v>
      </c>
      <c r="AD191" s="116">
        <v>0</v>
      </c>
      <c r="AE191" s="120">
        <v>750</v>
      </c>
      <c r="AF191" s="121">
        <v>350</v>
      </c>
      <c r="AG191" s="121">
        <v>14</v>
      </c>
      <c r="AH191" s="121">
        <v>18.000000000000004</v>
      </c>
      <c r="AI191" s="121">
        <v>714</v>
      </c>
      <c r="AJ191" s="64" t="str" cm="1">
        <f t="array" ref="AJ191">_xll.Dce_Name_SectI(AE191, AE191, AF191, AG191, AH191, "x", "-", "H Tổng")</f>
        <v>750x350x14x18</v>
      </c>
      <c r="AK191" s="122">
        <f t="shared" si="75"/>
        <v>1010</v>
      </c>
      <c r="AL191" s="123">
        <f t="shared" si="76"/>
        <v>350</v>
      </c>
      <c r="AM191" s="123">
        <f t="shared" si="77"/>
        <v>25</v>
      </c>
      <c r="AN191" s="123">
        <f t="shared" si="78"/>
        <v>12</v>
      </c>
      <c r="AO191" s="123">
        <f t="shared" si="79"/>
        <v>24</v>
      </c>
      <c r="AP191" s="165" t="str">
        <f t="shared" si="80"/>
        <v>1010x350x25 + 12M24</v>
      </c>
      <c r="AQ191" s="111" t="s">
        <v>316</v>
      </c>
      <c r="AR191" s="120">
        <v>0</v>
      </c>
      <c r="AS191" s="120">
        <v>186.19479971973993</v>
      </c>
      <c r="AT191" s="120">
        <v>-2.6557245291769495E-14</v>
      </c>
      <c r="AU191" s="120">
        <v>6.9581497070435869E-4</v>
      </c>
      <c r="AV191" s="120">
        <v>7.7858567237853978E-14</v>
      </c>
      <c r="AW191" s="120">
        <v>-124.20859815350565</v>
      </c>
      <c r="AX191" s="120"/>
      <c r="AY191" s="120"/>
      <c r="AZ191" s="120"/>
      <c r="BA191" s="122">
        <f t="shared" si="81"/>
        <v>60</v>
      </c>
      <c r="BB191" s="122">
        <f t="shared" si="82"/>
        <v>70</v>
      </c>
      <c r="BC191" s="122">
        <f t="shared" si="83"/>
        <v>80</v>
      </c>
      <c r="BD191" s="122">
        <f t="shared" si="84"/>
        <v>150</v>
      </c>
      <c r="BE191" s="122">
        <f>VLOOKUP(AO191,Data!$V$4:$Z$15,3,FALSE)</f>
        <v>452.38934211693021</v>
      </c>
      <c r="BF191" s="122">
        <f>VLOOKUP(AO191,Data!$V$4:$Z$15,4,FALSE)</f>
        <v>353</v>
      </c>
      <c r="BG191" s="163">
        <f t="shared" si="85"/>
        <v>180</v>
      </c>
      <c r="BH191" s="122">
        <f t="shared" si="86"/>
        <v>121.65654188208487</v>
      </c>
      <c r="BI191" s="122">
        <f t="shared" si="87"/>
        <v>243</v>
      </c>
      <c r="BJ191" s="163">
        <f t="shared" si="88"/>
        <v>142.3296</v>
      </c>
      <c r="BK191" s="131">
        <f t="shared" si="89"/>
        <v>15.516233309978327</v>
      </c>
      <c r="BL191" s="134">
        <f t="shared" si="90"/>
        <v>0.89458333333333329</v>
      </c>
      <c r="BM191" s="135">
        <f t="shared" si="91"/>
        <v>0.1425706176757362</v>
      </c>
      <c r="BN191" s="92" t="str">
        <f t="shared" si="92"/>
        <v>OK</v>
      </c>
      <c r="BO191" s="135">
        <f>_xll.DCEBoltDisRS(AN191, AE191, BA191, BB191, BC191, BD191, "h1")</f>
        <v>890</v>
      </c>
      <c r="BP191" s="136">
        <f>_xll.DCEBoltDisRS(AN191, AE191, BA191, BB191, BC191, BD191, "Tong")</f>
        <v>1800300</v>
      </c>
      <c r="BQ191" s="137">
        <f t="shared" si="93"/>
        <v>30.702008653174477</v>
      </c>
      <c r="BR191" s="135">
        <f t="shared" si="94"/>
        <v>0.21571063681184011</v>
      </c>
      <c r="BS191" s="64" t="str">
        <f t="shared" si="95"/>
        <v>OK</v>
      </c>
      <c r="BT191" s="131">
        <f t="shared" si="96"/>
        <v>0.25059501517437238</v>
      </c>
      <c r="BU191" s="92" t="str">
        <f t="shared" si="97"/>
        <v>OK</v>
      </c>
      <c r="BV191" s="139">
        <f t="shared" si="98"/>
        <v>169.68387725888749</v>
      </c>
      <c r="BW191" s="131">
        <f t="shared" si="99"/>
        <v>3.8178872383249685</v>
      </c>
      <c r="BX191" s="139">
        <f t="shared" si="100"/>
        <v>84.841938629443746</v>
      </c>
      <c r="BY191" s="123">
        <f t="shared" si="101"/>
        <v>36.288829195960098</v>
      </c>
      <c r="BZ191" s="141">
        <f t="shared" si="102"/>
        <v>0.17640403081369493</v>
      </c>
      <c r="CA191" s="131">
        <f t="shared" si="103"/>
        <v>3.3600767774037128</v>
      </c>
      <c r="CB191" s="143">
        <f t="shared" si="104"/>
        <v>2.8161563029006215E-2</v>
      </c>
      <c r="CC191" s="123">
        <f t="shared" si="105"/>
        <v>36.752543752286172</v>
      </c>
      <c r="CD191" s="131">
        <f t="shared" si="106"/>
        <v>0.15535495547463965</v>
      </c>
      <c r="CE191" s="135">
        <f t="shared" si="107"/>
        <v>0.17640403081369493</v>
      </c>
      <c r="CF191" s="92" t="str">
        <f t="shared" si="108"/>
        <v>OK</v>
      </c>
      <c r="CG191" s="50"/>
      <c r="DA191" s="111"/>
      <c r="DB191" s="111"/>
      <c r="DC191" s="111"/>
      <c r="DD191" s="116"/>
      <c r="DE191" s="120"/>
      <c r="DF191" s="121"/>
      <c r="DG191" s="121"/>
      <c r="DH191" s="121"/>
      <c r="DI191" s="121"/>
      <c r="DJ191" s="121"/>
      <c r="DK191" s="122"/>
      <c r="DL191" s="123"/>
      <c r="DM191" s="123"/>
      <c r="DN191" s="123"/>
      <c r="DO191" s="123"/>
      <c r="DP191" s="123"/>
      <c r="DQ191" s="111"/>
      <c r="DR191" s="120"/>
      <c r="DS191" s="120"/>
      <c r="DT191" s="120"/>
      <c r="DU191" s="120"/>
      <c r="DV191" s="120"/>
      <c r="DW191" s="120"/>
      <c r="DX191" s="120"/>
      <c r="DY191" s="120"/>
      <c r="DZ191" s="120"/>
      <c r="EA191" s="122"/>
      <c r="EB191" s="122"/>
      <c r="EC191" s="122"/>
      <c r="ED191" s="122"/>
      <c r="EE191" s="122"/>
      <c r="EF191" s="122"/>
      <c r="EG191" s="122"/>
      <c r="EH191" s="122"/>
      <c r="EI191" s="122"/>
      <c r="EJ191" s="122"/>
      <c r="EK191" s="131"/>
      <c r="EL191" s="122"/>
      <c r="EM191" s="276"/>
      <c r="EN191" s="276"/>
      <c r="EO191" s="135"/>
      <c r="EP191" s="136"/>
      <c r="EQ191" s="137"/>
      <c r="ER191" s="276"/>
      <c r="ES191" s="276"/>
      <c r="ET191" s="276"/>
      <c r="EU191" s="276"/>
      <c r="EV191" s="139"/>
      <c r="EW191" s="131"/>
      <c r="EX191" s="139"/>
      <c r="EY191" s="123"/>
      <c r="EZ191" s="141"/>
      <c r="FA191" s="131"/>
      <c r="FB191" s="143"/>
      <c r="FC191" s="123"/>
      <c r="FD191" s="131"/>
      <c r="FE191" s="276"/>
      <c r="FF191" s="276"/>
      <c r="FG191" s="50"/>
    </row>
    <row r="192" spans="27:163">
      <c r="AA192" s="111" t="s">
        <v>245</v>
      </c>
      <c r="AB192" s="111" t="s">
        <v>341</v>
      </c>
      <c r="AC192" s="111">
        <v>104</v>
      </c>
      <c r="AD192" s="116">
        <v>2.6850000000000001</v>
      </c>
      <c r="AE192" s="120">
        <v>1100</v>
      </c>
      <c r="AF192" s="121">
        <v>350</v>
      </c>
      <c r="AG192" s="121">
        <v>14</v>
      </c>
      <c r="AH192" s="121">
        <v>18.000000000000004</v>
      </c>
      <c r="AI192" s="121">
        <v>1064</v>
      </c>
      <c r="AJ192" s="64" t="str" cm="1">
        <f t="array" ref="AJ192">_xll.Dce_Name_SectI(AE192, AE192, AF192, AG192, AH192, "x", "-", "H Tổng")</f>
        <v>1100x350x14x18</v>
      </c>
      <c r="AK192" s="122">
        <f t="shared" si="75"/>
        <v>1360</v>
      </c>
      <c r="AL192" s="123">
        <f t="shared" si="76"/>
        <v>350</v>
      </c>
      <c r="AM192" s="123">
        <f t="shared" si="77"/>
        <v>25</v>
      </c>
      <c r="AN192" s="123">
        <f t="shared" si="78"/>
        <v>16</v>
      </c>
      <c r="AO192" s="123">
        <f t="shared" si="79"/>
        <v>27</v>
      </c>
      <c r="AP192" s="165" t="str">
        <f t="shared" si="80"/>
        <v>1360x350x25 + 16M27</v>
      </c>
      <c r="AQ192" s="111" t="s">
        <v>316</v>
      </c>
      <c r="AR192" s="120">
        <v>0</v>
      </c>
      <c r="AS192" s="120">
        <v>262.99981762275888</v>
      </c>
      <c r="AT192" s="120">
        <v>-5.8207660913467402E-15</v>
      </c>
      <c r="AU192" s="120">
        <v>6.9571250983087004E-4</v>
      </c>
      <c r="AV192" s="120">
        <v>3.1577656045556063E-14</v>
      </c>
      <c r="AW192" s="120">
        <v>-738.4522866667279</v>
      </c>
      <c r="AX192" s="120"/>
      <c r="AY192" s="120"/>
      <c r="AZ192" s="120"/>
      <c r="BA192" s="122">
        <f t="shared" si="81"/>
        <v>60</v>
      </c>
      <c r="BB192" s="122">
        <f t="shared" si="82"/>
        <v>70</v>
      </c>
      <c r="BC192" s="122">
        <f t="shared" si="83"/>
        <v>80</v>
      </c>
      <c r="BD192" s="122">
        <f t="shared" si="84"/>
        <v>160</v>
      </c>
      <c r="BE192" s="122">
        <f>VLOOKUP(AO192,Data!$V$4:$Z$15,3,FALSE)</f>
        <v>572.55526111673976</v>
      </c>
      <c r="BF192" s="122">
        <f>VLOOKUP(AO192,Data!$V$4:$Z$15,4,FALSE)</f>
        <v>459</v>
      </c>
      <c r="BG192" s="163">
        <f t="shared" si="85"/>
        <v>180</v>
      </c>
      <c r="BH192" s="122">
        <f t="shared" si="86"/>
        <v>153.97156081951366</v>
      </c>
      <c r="BI192" s="122">
        <f t="shared" si="87"/>
        <v>273.375</v>
      </c>
      <c r="BJ192" s="163">
        <f t="shared" si="88"/>
        <v>185.06880000000001</v>
      </c>
      <c r="BK192" s="131">
        <f t="shared" si="89"/>
        <v>16.43748860142243</v>
      </c>
      <c r="BL192" s="134">
        <f t="shared" si="90"/>
        <v>0.85037037037037044</v>
      </c>
      <c r="BM192" s="135">
        <f t="shared" si="91"/>
        <v>0.1255413610840635</v>
      </c>
      <c r="BN192" s="92" t="str">
        <f t="shared" si="92"/>
        <v>OK</v>
      </c>
      <c r="BO192" s="135">
        <f>_xll.DCEBoltDisRS(AN192, AE192, BA192, BB192, BC192, BD192, "h1")</f>
        <v>1240</v>
      </c>
      <c r="BP192" s="136">
        <f>_xll.DCEBoltDisRS(AN192, AE192, BA192, BB192, BC192, BD192, "Tong")</f>
        <v>4523000</v>
      </c>
      <c r="BQ192" s="137">
        <f t="shared" si="93"/>
        <v>101.22494312035623</v>
      </c>
      <c r="BR192" s="135">
        <f t="shared" si="94"/>
        <v>0.5469584452936217</v>
      </c>
      <c r="BS192" s="64" t="str">
        <f t="shared" si="95"/>
        <v>OK</v>
      </c>
      <c r="BT192" s="131">
        <f t="shared" si="96"/>
        <v>0.55727957435375641</v>
      </c>
      <c r="BU192" s="92" t="str">
        <f t="shared" si="97"/>
        <v>OK</v>
      </c>
      <c r="BV192" s="139">
        <f t="shared" si="98"/>
        <v>682.48825015409227</v>
      </c>
      <c r="BW192" s="131">
        <f t="shared" si="99"/>
        <v>15.355985628467076</v>
      </c>
      <c r="BX192" s="139">
        <f t="shared" si="100"/>
        <v>341.24412507704614</v>
      </c>
      <c r="BY192" s="123">
        <f t="shared" si="101"/>
        <v>108.3951926715323</v>
      </c>
      <c r="BZ192" s="141">
        <f t="shared" si="102"/>
        <v>0.52692107548661538</v>
      </c>
      <c r="CA192" s="131">
        <f t="shared" si="103"/>
        <v>10.036591914030769</v>
      </c>
      <c r="CB192" s="143">
        <f t="shared" si="104"/>
        <v>8.41189456396257E-2</v>
      </c>
      <c r="CC192" s="123">
        <f t="shared" si="105"/>
        <v>109.7803139276117</v>
      </c>
      <c r="CD192" s="131">
        <f t="shared" si="106"/>
        <v>0.46404722070850363</v>
      </c>
      <c r="CE192" s="135">
        <f t="shared" si="107"/>
        <v>0.52692107548661538</v>
      </c>
      <c r="CF192" s="92" t="str">
        <f t="shared" si="108"/>
        <v>OK</v>
      </c>
      <c r="CG192" s="50"/>
      <c r="DA192" s="111"/>
      <c r="DB192" s="111"/>
      <c r="DC192" s="111"/>
      <c r="DD192" s="116"/>
      <c r="DE192" s="120"/>
      <c r="DF192" s="121"/>
      <c r="DG192" s="121"/>
      <c r="DH192" s="121"/>
      <c r="DI192" s="121"/>
      <c r="DJ192" s="121"/>
      <c r="DK192" s="122"/>
      <c r="DL192" s="123"/>
      <c r="DM192" s="123"/>
      <c r="DN192" s="123"/>
      <c r="DO192" s="123"/>
      <c r="DP192" s="123"/>
      <c r="DQ192" s="111"/>
      <c r="DR192" s="120"/>
      <c r="DS192" s="120"/>
      <c r="DT192" s="120"/>
      <c r="DU192" s="120"/>
      <c r="DV192" s="120"/>
      <c r="DW192" s="120"/>
      <c r="DX192" s="120"/>
      <c r="DY192" s="120"/>
      <c r="DZ192" s="120"/>
      <c r="EA192" s="122"/>
      <c r="EB192" s="122"/>
      <c r="EC192" s="122"/>
      <c r="ED192" s="122"/>
      <c r="EE192" s="122"/>
      <c r="EF192" s="122"/>
      <c r="EG192" s="122"/>
      <c r="EH192" s="122"/>
      <c r="EI192" s="122"/>
      <c r="EJ192" s="122"/>
      <c r="EK192" s="131"/>
      <c r="EL192" s="122"/>
      <c r="EM192" s="276"/>
      <c r="EN192" s="276"/>
      <c r="EO192" s="135"/>
      <c r="EP192" s="136"/>
      <c r="EQ192" s="137"/>
      <c r="ER192" s="276"/>
      <c r="ES192" s="276"/>
      <c r="ET192" s="276"/>
      <c r="EU192" s="276"/>
      <c r="EV192" s="139"/>
      <c r="EW192" s="131"/>
      <c r="EX192" s="139"/>
      <c r="EY192" s="123"/>
      <c r="EZ192" s="141"/>
      <c r="FA192" s="131"/>
      <c r="FB192" s="143"/>
      <c r="FC192" s="123"/>
      <c r="FD192" s="131"/>
      <c r="FE192" s="276"/>
      <c r="FF192" s="276"/>
      <c r="FG192" s="50"/>
    </row>
    <row r="193" spans="27:163">
      <c r="AA193" s="111" t="s">
        <v>245</v>
      </c>
      <c r="AB193" s="111" t="s">
        <v>341</v>
      </c>
      <c r="AC193" s="111">
        <v>104</v>
      </c>
      <c r="AD193" s="116">
        <v>0</v>
      </c>
      <c r="AE193" s="120">
        <v>750</v>
      </c>
      <c r="AF193" s="121">
        <v>350</v>
      </c>
      <c r="AG193" s="121">
        <v>14</v>
      </c>
      <c r="AH193" s="121">
        <v>18.000000000000004</v>
      </c>
      <c r="AI193" s="121">
        <v>714</v>
      </c>
      <c r="AJ193" s="64" t="str" cm="1">
        <f t="array" ref="AJ193">_xll.Dce_Name_SectI(AE193, AE193, AF193, AG193, AH193, "x", "-", "H Tổng")</f>
        <v>750x350x14x18</v>
      </c>
      <c r="AK193" s="122">
        <f t="shared" si="75"/>
        <v>1010</v>
      </c>
      <c r="AL193" s="123">
        <f t="shared" si="76"/>
        <v>350</v>
      </c>
      <c r="AM193" s="123">
        <f t="shared" si="77"/>
        <v>25</v>
      </c>
      <c r="AN193" s="123">
        <f t="shared" si="78"/>
        <v>12</v>
      </c>
      <c r="AO193" s="123">
        <f t="shared" si="79"/>
        <v>24</v>
      </c>
      <c r="AP193" s="165" t="str">
        <f t="shared" si="80"/>
        <v>1010x350x25 + 12M24</v>
      </c>
      <c r="AQ193" s="111" t="s">
        <v>317</v>
      </c>
      <c r="AR193" s="120">
        <v>0</v>
      </c>
      <c r="AS193" s="120">
        <v>187.64042241035662</v>
      </c>
      <c r="AT193" s="120">
        <v>-2.5938788894563909E-13</v>
      </c>
      <c r="AU193" s="120">
        <v>9.1303119249060377E-4</v>
      </c>
      <c r="AV193" s="120">
        <v>-1.0095536708831785E-13</v>
      </c>
      <c r="AW193" s="120">
        <v>-125.84739304011217</v>
      </c>
      <c r="AX193" s="120"/>
      <c r="AY193" s="120"/>
      <c r="AZ193" s="120"/>
      <c r="BA193" s="122">
        <f t="shared" si="81"/>
        <v>60</v>
      </c>
      <c r="BB193" s="122">
        <f t="shared" si="82"/>
        <v>70</v>
      </c>
      <c r="BC193" s="122">
        <f t="shared" si="83"/>
        <v>80</v>
      </c>
      <c r="BD193" s="122">
        <f t="shared" si="84"/>
        <v>150</v>
      </c>
      <c r="BE193" s="122">
        <f>VLOOKUP(AO193,Data!$V$4:$Z$15,3,FALSE)</f>
        <v>452.38934211693021</v>
      </c>
      <c r="BF193" s="122">
        <f>VLOOKUP(AO193,Data!$V$4:$Z$15,4,FALSE)</f>
        <v>353</v>
      </c>
      <c r="BG193" s="163">
        <f t="shared" si="85"/>
        <v>180</v>
      </c>
      <c r="BH193" s="122">
        <f t="shared" si="86"/>
        <v>121.65654188208487</v>
      </c>
      <c r="BI193" s="122">
        <f t="shared" si="87"/>
        <v>243</v>
      </c>
      <c r="BJ193" s="163">
        <f t="shared" si="88"/>
        <v>142.3296</v>
      </c>
      <c r="BK193" s="131">
        <f t="shared" si="89"/>
        <v>15.636701867529718</v>
      </c>
      <c r="BL193" s="134">
        <f t="shared" si="90"/>
        <v>0.89458333333333329</v>
      </c>
      <c r="BM193" s="135">
        <f t="shared" si="91"/>
        <v>0.14367754074897726</v>
      </c>
      <c r="BN193" s="92" t="str">
        <f t="shared" si="92"/>
        <v>OK</v>
      </c>
      <c r="BO193" s="135">
        <f>_xll.DCEBoltDisRS(AN193, AE193, BA193, BB193, BC193, BD193, "h1")</f>
        <v>890</v>
      </c>
      <c r="BP193" s="136">
        <f>_xll.DCEBoltDisRS(AN193, AE193, BA193, BB193, BC193, BD193, "Tong")</f>
        <v>1800300</v>
      </c>
      <c r="BQ193" s="137">
        <f t="shared" si="93"/>
        <v>31.10708765364101</v>
      </c>
      <c r="BR193" s="135">
        <f t="shared" si="94"/>
        <v>0.21855669975634731</v>
      </c>
      <c r="BS193" s="64" t="str">
        <f t="shared" si="95"/>
        <v>OK</v>
      </c>
      <c r="BT193" s="131">
        <f t="shared" si="96"/>
        <v>0.25354957319649429</v>
      </c>
      <c r="BU193" s="92" t="str">
        <f t="shared" si="97"/>
        <v>OK</v>
      </c>
      <c r="BV193" s="139">
        <f t="shared" si="98"/>
        <v>171.92266808758492</v>
      </c>
      <c r="BW193" s="131">
        <f t="shared" si="99"/>
        <v>3.8682600319706606</v>
      </c>
      <c r="BX193" s="139">
        <f t="shared" si="100"/>
        <v>85.961334043792462</v>
      </c>
      <c r="BY193" s="123">
        <f t="shared" si="101"/>
        <v>36.767620105859741</v>
      </c>
      <c r="BZ193" s="141">
        <f t="shared" si="102"/>
        <v>0.17873148662570709</v>
      </c>
      <c r="CA193" s="131">
        <f t="shared" si="103"/>
        <v>3.4044092690610879</v>
      </c>
      <c r="CB193" s="143">
        <f t="shared" si="104"/>
        <v>2.8533123663107781E-2</v>
      </c>
      <c r="CC193" s="123">
        <f t="shared" si="105"/>
        <v>37.237452862173974</v>
      </c>
      <c r="CD193" s="131">
        <f t="shared" si="106"/>
        <v>0.15740469205025234</v>
      </c>
      <c r="CE193" s="135">
        <f t="shared" si="107"/>
        <v>0.17873148662570709</v>
      </c>
      <c r="CF193" s="92" t="str">
        <f t="shared" si="108"/>
        <v>OK</v>
      </c>
      <c r="CG193" s="50"/>
      <c r="DA193" s="111"/>
      <c r="DB193" s="111"/>
      <c r="DC193" s="111"/>
      <c r="DD193" s="116"/>
      <c r="DE193" s="120"/>
      <c r="DF193" s="121"/>
      <c r="DG193" s="121"/>
      <c r="DH193" s="121"/>
      <c r="DI193" s="121"/>
      <c r="DJ193" s="121"/>
      <c r="DK193" s="122"/>
      <c r="DL193" s="123"/>
      <c r="DM193" s="123"/>
      <c r="DN193" s="123"/>
      <c r="DO193" s="123"/>
      <c r="DP193" s="123"/>
      <c r="DQ193" s="111"/>
      <c r="DR193" s="120"/>
      <c r="DS193" s="120"/>
      <c r="DT193" s="120"/>
      <c r="DU193" s="120"/>
      <c r="DV193" s="120"/>
      <c r="DW193" s="120"/>
      <c r="DX193" s="120"/>
      <c r="DY193" s="120"/>
      <c r="DZ193" s="120"/>
      <c r="EA193" s="122"/>
      <c r="EB193" s="122"/>
      <c r="EC193" s="122"/>
      <c r="ED193" s="122"/>
      <c r="EE193" s="122"/>
      <c r="EF193" s="122"/>
      <c r="EG193" s="122"/>
      <c r="EH193" s="122"/>
      <c r="EI193" s="122"/>
      <c r="EJ193" s="122"/>
      <c r="EK193" s="131"/>
      <c r="EL193" s="122"/>
      <c r="EM193" s="276"/>
      <c r="EN193" s="276"/>
      <c r="EO193" s="135"/>
      <c r="EP193" s="136"/>
      <c r="EQ193" s="137"/>
      <c r="ER193" s="276"/>
      <c r="ES193" s="276"/>
      <c r="ET193" s="276"/>
      <c r="EU193" s="276"/>
      <c r="EV193" s="139"/>
      <c r="EW193" s="131"/>
      <c r="EX193" s="139"/>
      <c r="EY193" s="123"/>
      <c r="EZ193" s="141"/>
      <c r="FA193" s="131"/>
      <c r="FB193" s="143"/>
      <c r="FC193" s="123"/>
      <c r="FD193" s="131"/>
      <c r="FE193" s="276"/>
      <c r="FF193" s="276"/>
      <c r="FG193" s="50"/>
    </row>
    <row r="194" spans="27:163">
      <c r="AA194" s="111" t="s">
        <v>245</v>
      </c>
      <c r="AB194" s="111" t="s">
        <v>341</v>
      </c>
      <c r="AC194" s="111">
        <v>104</v>
      </c>
      <c r="AD194" s="116">
        <v>2.6850000000000001</v>
      </c>
      <c r="AE194" s="120">
        <v>1100</v>
      </c>
      <c r="AF194" s="121">
        <v>350</v>
      </c>
      <c r="AG194" s="121">
        <v>14</v>
      </c>
      <c r="AH194" s="121">
        <v>18.000000000000004</v>
      </c>
      <c r="AI194" s="121">
        <v>1064</v>
      </c>
      <c r="AJ194" s="64" t="str" cm="1">
        <f t="array" ref="AJ194">_xll.Dce_Name_SectI(AE194, AE194, AF194, AG194, AH194, "x", "-", "H Tổng")</f>
        <v>1100x350x14x18</v>
      </c>
      <c r="AK194" s="122">
        <f t="shared" si="75"/>
        <v>1360</v>
      </c>
      <c r="AL194" s="123">
        <f t="shared" si="76"/>
        <v>350</v>
      </c>
      <c r="AM194" s="123">
        <f t="shared" si="77"/>
        <v>25</v>
      </c>
      <c r="AN194" s="123">
        <f t="shared" si="78"/>
        <v>16</v>
      </c>
      <c r="AO194" s="123">
        <f t="shared" si="79"/>
        <v>27</v>
      </c>
      <c r="AP194" s="165" t="str">
        <f t="shared" si="80"/>
        <v>1360x350x25 + 16M27</v>
      </c>
      <c r="AQ194" s="111" t="s">
        <v>317</v>
      </c>
      <c r="AR194" s="120">
        <v>0</v>
      </c>
      <c r="AS194" s="120">
        <v>264.44544065934377</v>
      </c>
      <c r="AT194" s="120">
        <v>-5.8207660913467402E-15</v>
      </c>
      <c r="AU194" s="120">
        <v>9.1289686899374757E-4</v>
      </c>
      <c r="AV194" s="120">
        <v>6.1379978433251361E-14</v>
      </c>
      <c r="AW194" s="120">
        <v>-743.97256429108131</v>
      </c>
      <c r="AX194" s="120"/>
      <c r="AY194" s="120"/>
      <c r="AZ194" s="120"/>
      <c r="BA194" s="122">
        <f t="shared" si="81"/>
        <v>60</v>
      </c>
      <c r="BB194" s="122">
        <f t="shared" si="82"/>
        <v>70</v>
      </c>
      <c r="BC194" s="122">
        <f t="shared" si="83"/>
        <v>80</v>
      </c>
      <c r="BD194" s="122">
        <f t="shared" si="84"/>
        <v>160</v>
      </c>
      <c r="BE194" s="122">
        <f>VLOOKUP(AO194,Data!$V$4:$Z$15,3,FALSE)</f>
        <v>572.55526111673976</v>
      </c>
      <c r="BF194" s="122">
        <f>VLOOKUP(AO194,Data!$V$4:$Z$15,4,FALSE)</f>
        <v>459</v>
      </c>
      <c r="BG194" s="163">
        <f t="shared" si="85"/>
        <v>180</v>
      </c>
      <c r="BH194" s="122">
        <f t="shared" si="86"/>
        <v>153.97156081951366</v>
      </c>
      <c r="BI194" s="122">
        <f t="shared" si="87"/>
        <v>273.375</v>
      </c>
      <c r="BJ194" s="163">
        <f t="shared" si="88"/>
        <v>185.06880000000001</v>
      </c>
      <c r="BK194" s="131">
        <f t="shared" si="89"/>
        <v>16.527840041208986</v>
      </c>
      <c r="BL194" s="134">
        <f t="shared" si="90"/>
        <v>0.85037037037037044</v>
      </c>
      <c r="BM194" s="135">
        <f t="shared" si="91"/>
        <v>0.12623142043569263</v>
      </c>
      <c r="BN194" s="92" t="str">
        <f t="shared" si="92"/>
        <v>OK</v>
      </c>
      <c r="BO194" s="135">
        <f>_xll.DCEBoltDisRS(AN194, AE194, BA194, BB194, BC194, BD194, "h1")</f>
        <v>1240</v>
      </c>
      <c r="BP194" s="136">
        <f>_xll.DCEBoltDisRS(AN194, AE194, BA194, BB194, BC194, BD194, "Tong")</f>
        <v>4523000</v>
      </c>
      <c r="BQ194" s="137">
        <f t="shared" si="93"/>
        <v>101.98164710600717</v>
      </c>
      <c r="BR194" s="135">
        <f t="shared" si="94"/>
        <v>0.55104721652708166</v>
      </c>
      <c r="BS194" s="64" t="str">
        <f t="shared" si="95"/>
        <v>OK</v>
      </c>
      <c r="BT194" s="131">
        <f t="shared" si="96"/>
        <v>0.56140507050878563</v>
      </c>
      <c r="BU194" s="92" t="str">
        <f t="shared" si="97"/>
        <v>OK</v>
      </c>
      <c r="BV194" s="139">
        <f t="shared" si="98"/>
        <v>687.59017032447434</v>
      </c>
      <c r="BW194" s="131">
        <f t="shared" si="99"/>
        <v>15.470778832300672</v>
      </c>
      <c r="BX194" s="139">
        <f t="shared" si="100"/>
        <v>343.79508516223717</v>
      </c>
      <c r="BY194" s="123">
        <f t="shared" si="101"/>
        <v>109.20549763976943</v>
      </c>
      <c r="BZ194" s="141">
        <f t="shared" si="102"/>
        <v>0.53086005797110147</v>
      </c>
      <c r="CA194" s="131">
        <f t="shared" si="103"/>
        <v>10.111620151830506</v>
      </c>
      <c r="CB194" s="143">
        <f t="shared" si="104"/>
        <v>8.4747774261031542E-2</v>
      </c>
      <c r="CC194" s="123">
        <f t="shared" si="105"/>
        <v>110.60097332769907</v>
      </c>
      <c r="CD194" s="131">
        <f t="shared" si="106"/>
        <v>0.46751619160259278</v>
      </c>
      <c r="CE194" s="135">
        <f t="shared" si="107"/>
        <v>0.53086005797110147</v>
      </c>
      <c r="CF194" s="92" t="str">
        <f t="shared" si="108"/>
        <v>OK</v>
      </c>
      <c r="CG194" s="50"/>
      <c r="DA194" s="111"/>
      <c r="DB194" s="111"/>
      <c r="DC194" s="111"/>
      <c r="DD194" s="116"/>
      <c r="DE194" s="120"/>
      <c r="DF194" s="121"/>
      <c r="DG194" s="121"/>
      <c r="DH194" s="121"/>
      <c r="DI194" s="121"/>
      <c r="DJ194" s="121"/>
      <c r="DK194" s="122"/>
      <c r="DL194" s="123"/>
      <c r="DM194" s="123"/>
      <c r="DN194" s="123"/>
      <c r="DO194" s="123"/>
      <c r="DP194" s="123"/>
      <c r="DQ194" s="111"/>
      <c r="DR194" s="120"/>
      <c r="DS194" s="120"/>
      <c r="DT194" s="120"/>
      <c r="DU194" s="120"/>
      <c r="DV194" s="120"/>
      <c r="DW194" s="120"/>
      <c r="DX194" s="120"/>
      <c r="DY194" s="120"/>
      <c r="DZ194" s="120"/>
      <c r="EA194" s="122"/>
      <c r="EB194" s="122"/>
      <c r="EC194" s="122"/>
      <c r="ED194" s="122"/>
      <c r="EE194" s="122"/>
      <c r="EF194" s="122"/>
      <c r="EG194" s="122"/>
      <c r="EH194" s="122"/>
      <c r="EI194" s="122"/>
      <c r="EJ194" s="122"/>
      <c r="EK194" s="131"/>
      <c r="EL194" s="122"/>
      <c r="EM194" s="276"/>
      <c r="EN194" s="276"/>
      <c r="EO194" s="135"/>
      <c r="EP194" s="136"/>
      <c r="EQ194" s="137"/>
      <c r="ER194" s="276"/>
      <c r="ES194" s="276"/>
      <c r="ET194" s="276"/>
      <c r="EU194" s="276"/>
      <c r="EV194" s="139"/>
      <c r="EW194" s="131"/>
      <c r="EX194" s="139"/>
      <c r="EY194" s="123"/>
      <c r="EZ194" s="141"/>
      <c r="FA194" s="131"/>
      <c r="FB194" s="143"/>
      <c r="FC194" s="123"/>
      <c r="FD194" s="131"/>
      <c r="FE194" s="276"/>
      <c r="FF194" s="276"/>
      <c r="FG194" s="50"/>
    </row>
    <row r="195" spans="27:163">
      <c r="AA195" s="111" t="s">
        <v>245</v>
      </c>
      <c r="AB195" s="111" t="s">
        <v>341</v>
      </c>
      <c r="AC195" s="111">
        <v>104</v>
      </c>
      <c r="AD195" s="116">
        <v>0</v>
      </c>
      <c r="AE195" s="120">
        <v>750</v>
      </c>
      <c r="AF195" s="121">
        <v>350</v>
      </c>
      <c r="AG195" s="121">
        <v>14</v>
      </c>
      <c r="AH195" s="121">
        <v>18.000000000000004</v>
      </c>
      <c r="AI195" s="121">
        <v>714</v>
      </c>
      <c r="AJ195" s="64" t="str" cm="1">
        <f t="array" ref="AJ195">_xll.Dce_Name_SectI(AE195, AE195, AF195, AG195, AH195, "x", "-", "H Tổng")</f>
        <v>750x350x14x18</v>
      </c>
      <c r="AK195" s="122">
        <f t="shared" si="75"/>
        <v>1010</v>
      </c>
      <c r="AL195" s="123">
        <f t="shared" si="76"/>
        <v>350</v>
      </c>
      <c r="AM195" s="123">
        <f t="shared" si="77"/>
        <v>25</v>
      </c>
      <c r="AN195" s="123">
        <f t="shared" si="78"/>
        <v>12</v>
      </c>
      <c r="AO195" s="123">
        <f t="shared" si="79"/>
        <v>24</v>
      </c>
      <c r="AP195" s="165" t="str">
        <f t="shared" si="80"/>
        <v>1010x350x25 + 12M24</v>
      </c>
      <c r="AQ195" s="111" t="s">
        <v>318</v>
      </c>
      <c r="AR195" s="120">
        <v>0</v>
      </c>
      <c r="AS195" s="120">
        <v>189.72368614927393</v>
      </c>
      <c r="AT195" s="120">
        <v>-2.5938788894563909E-13</v>
      </c>
      <c r="AU195" s="120">
        <v>2.3592967203739346E-4</v>
      </c>
      <c r="AV195" s="120">
        <v>-4.1350722312927241E-14</v>
      </c>
      <c r="AW195" s="120">
        <v>-138.34729070263563</v>
      </c>
      <c r="AX195" s="120"/>
      <c r="AY195" s="120"/>
      <c r="AZ195" s="120"/>
      <c r="BA195" s="122">
        <f t="shared" si="81"/>
        <v>60</v>
      </c>
      <c r="BB195" s="122">
        <f t="shared" si="82"/>
        <v>70</v>
      </c>
      <c r="BC195" s="122">
        <f t="shared" si="83"/>
        <v>80</v>
      </c>
      <c r="BD195" s="122">
        <f t="shared" si="84"/>
        <v>150</v>
      </c>
      <c r="BE195" s="122">
        <f>VLOOKUP(AO195,Data!$V$4:$Z$15,3,FALSE)</f>
        <v>452.38934211693021</v>
      </c>
      <c r="BF195" s="122">
        <f>VLOOKUP(AO195,Data!$V$4:$Z$15,4,FALSE)</f>
        <v>353</v>
      </c>
      <c r="BG195" s="163">
        <f t="shared" si="85"/>
        <v>180</v>
      </c>
      <c r="BH195" s="122">
        <f t="shared" si="86"/>
        <v>121.65654188208487</v>
      </c>
      <c r="BI195" s="122">
        <f t="shared" si="87"/>
        <v>243</v>
      </c>
      <c r="BJ195" s="163">
        <f t="shared" si="88"/>
        <v>142.3296</v>
      </c>
      <c r="BK195" s="131">
        <f t="shared" si="89"/>
        <v>15.810307179106161</v>
      </c>
      <c r="BL195" s="134">
        <f t="shared" si="90"/>
        <v>0.89458333333333329</v>
      </c>
      <c r="BM195" s="135">
        <f t="shared" si="91"/>
        <v>0.14527270988627847</v>
      </c>
      <c r="BN195" s="92" t="str">
        <f t="shared" si="92"/>
        <v>OK</v>
      </c>
      <c r="BO195" s="135">
        <f>_xll.DCEBoltDisRS(AN195, AE195, BA195, BB195, BC195, BD195, "h1")</f>
        <v>890</v>
      </c>
      <c r="BP195" s="136">
        <f>_xll.DCEBoltDisRS(AN195, AE195, BA195, BB195, BC195, BD195, "Tong")</f>
        <v>1800300</v>
      </c>
      <c r="BQ195" s="137">
        <f t="shared" si="93"/>
        <v>34.196825175066849</v>
      </c>
      <c r="BR195" s="135">
        <f t="shared" si="94"/>
        <v>0.24026502691686655</v>
      </c>
      <c r="BS195" s="64" t="str">
        <f t="shared" si="95"/>
        <v>OK</v>
      </c>
      <c r="BT195" s="131">
        <f t="shared" si="96"/>
        <v>0.27316022146628144</v>
      </c>
      <c r="BU195" s="92" t="str">
        <f t="shared" si="97"/>
        <v>OK</v>
      </c>
      <c r="BV195" s="139">
        <f t="shared" si="98"/>
        <v>188.99903101452955</v>
      </c>
      <c r="BW195" s="131">
        <f t="shared" si="99"/>
        <v>4.2524781978269148</v>
      </c>
      <c r="BX195" s="139">
        <f t="shared" si="100"/>
        <v>94.499515507264775</v>
      </c>
      <c r="BY195" s="123">
        <f t="shared" si="101"/>
        <v>40.419594751622164</v>
      </c>
      <c r="BZ195" s="141">
        <f t="shared" si="102"/>
        <v>0.19648414115371887</v>
      </c>
      <c r="CA195" s="131">
        <f t="shared" si="103"/>
        <v>3.7425550695946446</v>
      </c>
      <c r="CB195" s="143">
        <f t="shared" si="104"/>
        <v>3.1367200056468529E-2</v>
      </c>
      <c r="CC195" s="123">
        <f t="shared" si="105"/>
        <v>40.936094039761628</v>
      </c>
      <c r="CD195" s="131">
        <f t="shared" si="106"/>
        <v>0.17303904485406488</v>
      </c>
      <c r="CE195" s="135">
        <f t="shared" si="107"/>
        <v>0.19648414115371887</v>
      </c>
      <c r="CF195" s="92" t="str">
        <f t="shared" si="108"/>
        <v>OK</v>
      </c>
      <c r="CG195" s="50"/>
      <c r="DA195" s="111"/>
      <c r="DB195" s="111"/>
      <c r="DC195" s="111"/>
      <c r="DD195" s="116"/>
      <c r="DE195" s="120"/>
      <c r="DF195" s="121"/>
      <c r="DG195" s="121"/>
      <c r="DH195" s="121"/>
      <c r="DI195" s="121"/>
      <c r="DJ195" s="121"/>
      <c r="DK195" s="122"/>
      <c r="DL195" s="123"/>
      <c r="DM195" s="123"/>
      <c r="DN195" s="123"/>
      <c r="DO195" s="123"/>
      <c r="DP195" s="123"/>
      <c r="DQ195" s="111"/>
      <c r="DR195" s="120"/>
      <c r="DS195" s="120"/>
      <c r="DT195" s="120"/>
      <c r="DU195" s="120"/>
      <c r="DV195" s="120"/>
      <c r="DW195" s="120"/>
      <c r="DX195" s="120"/>
      <c r="DY195" s="120"/>
      <c r="DZ195" s="120"/>
      <c r="EA195" s="122"/>
      <c r="EB195" s="122"/>
      <c r="EC195" s="122"/>
      <c r="ED195" s="122"/>
      <c r="EE195" s="122"/>
      <c r="EF195" s="122"/>
      <c r="EG195" s="122"/>
      <c r="EH195" s="122"/>
      <c r="EI195" s="122"/>
      <c r="EJ195" s="122"/>
      <c r="EK195" s="131"/>
      <c r="EL195" s="122"/>
      <c r="EM195" s="276"/>
      <c r="EN195" s="276"/>
      <c r="EO195" s="135"/>
      <c r="EP195" s="136"/>
      <c r="EQ195" s="137"/>
      <c r="ER195" s="276"/>
      <c r="ES195" s="276"/>
      <c r="ET195" s="276"/>
      <c r="EU195" s="276"/>
      <c r="EV195" s="139"/>
      <c r="EW195" s="131"/>
      <c r="EX195" s="139"/>
      <c r="EY195" s="123"/>
      <c r="EZ195" s="141"/>
      <c r="FA195" s="131"/>
      <c r="FB195" s="143"/>
      <c r="FC195" s="123"/>
      <c r="FD195" s="131"/>
      <c r="FE195" s="276"/>
      <c r="FF195" s="276"/>
      <c r="FG195" s="50"/>
    </row>
    <row r="196" spans="27:163">
      <c r="AA196" s="111" t="s">
        <v>245</v>
      </c>
      <c r="AB196" s="111" t="s">
        <v>341</v>
      </c>
      <c r="AC196" s="111">
        <v>104</v>
      </c>
      <c r="AD196" s="116">
        <v>2.6850000000000001</v>
      </c>
      <c r="AE196" s="120">
        <v>1100</v>
      </c>
      <c r="AF196" s="121">
        <v>350</v>
      </c>
      <c r="AG196" s="121">
        <v>14</v>
      </c>
      <c r="AH196" s="121">
        <v>18.000000000000004</v>
      </c>
      <c r="AI196" s="121">
        <v>1064</v>
      </c>
      <c r="AJ196" s="64" t="str" cm="1">
        <f t="array" ref="AJ196">_xll.Dce_Name_SectI(AE196, AE196, AF196, AG196, AH196, "x", "-", "H Tổng")</f>
        <v>1100x350x14x18</v>
      </c>
      <c r="AK196" s="122">
        <f t="shared" si="75"/>
        <v>1360</v>
      </c>
      <c r="AL196" s="123">
        <f t="shared" si="76"/>
        <v>350</v>
      </c>
      <c r="AM196" s="123">
        <f t="shared" si="77"/>
        <v>25</v>
      </c>
      <c r="AN196" s="123">
        <f t="shared" si="78"/>
        <v>16</v>
      </c>
      <c r="AO196" s="123">
        <f t="shared" si="79"/>
        <v>27</v>
      </c>
      <c r="AP196" s="165" t="str">
        <f t="shared" si="80"/>
        <v>1360x350x25 + 16M27</v>
      </c>
      <c r="AQ196" s="111" t="s">
        <v>318</v>
      </c>
      <c r="AR196" s="120">
        <v>0</v>
      </c>
      <c r="AS196" s="120">
        <v>266.52870506166033</v>
      </c>
      <c r="AT196" s="120">
        <v>2.3283064365386961E-14</v>
      </c>
      <c r="AU196" s="120">
        <v>2.3589457246073602E-4</v>
      </c>
      <c r="AV196" s="120">
        <v>-4.2025931179523455E-14</v>
      </c>
      <c r="AW196" s="120">
        <v>-762.06601540856991</v>
      </c>
      <c r="AX196" s="120"/>
      <c r="AY196" s="120"/>
      <c r="AZ196" s="120"/>
      <c r="BA196" s="122">
        <f t="shared" si="81"/>
        <v>60</v>
      </c>
      <c r="BB196" s="122">
        <f t="shared" si="82"/>
        <v>70</v>
      </c>
      <c r="BC196" s="122">
        <f t="shared" si="83"/>
        <v>80</v>
      </c>
      <c r="BD196" s="122">
        <f t="shared" si="84"/>
        <v>160</v>
      </c>
      <c r="BE196" s="122">
        <f>VLOOKUP(AO196,Data!$V$4:$Z$15,3,FALSE)</f>
        <v>572.55526111673976</v>
      </c>
      <c r="BF196" s="122">
        <f>VLOOKUP(AO196,Data!$V$4:$Z$15,4,FALSE)</f>
        <v>459</v>
      </c>
      <c r="BG196" s="163">
        <f t="shared" si="85"/>
        <v>180</v>
      </c>
      <c r="BH196" s="122">
        <f t="shared" si="86"/>
        <v>153.97156081951366</v>
      </c>
      <c r="BI196" s="122">
        <f t="shared" si="87"/>
        <v>273.375</v>
      </c>
      <c r="BJ196" s="163">
        <f t="shared" si="88"/>
        <v>185.06880000000001</v>
      </c>
      <c r="BK196" s="131">
        <f t="shared" si="89"/>
        <v>16.658044066353771</v>
      </c>
      <c r="BL196" s="134">
        <f t="shared" si="90"/>
        <v>0.85037037037037044</v>
      </c>
      <c r="BM196" s="135">
        <f t="shared" si="91"/>
        <v>0.12722585400955899</v>
      </c>
      <c r="BN196" s="92" t="str">
        <f t="shared" si="92"/>
        <v>OK</v>
      </c>
      <c r="BO196" s="135">
        <f>_xll.DCEBoltDisRS(AN196, AE196, BA196, BB196, BC196, BD196, "h1")</f>
        <v>1240</v>
      </c>
      <c r="BP196" s="136">
        <f>_xll.DCEBoltDisRS(AN196, AE196, BA196, BB196, BC196, BD196, "Tong")</f>
        <v>4523000</v>
      </c>
      <c r="BQ196" s="137">
        <f t="shared" si="93"/>
        <v>104.46184602107304</v>
      </c>
      <c r="BR196" s="135">
        <f t="shared" si="94"/>
        <v>0.56444871324109214</v>
      </c>
      <c r="BS196" s="64" t="str">
        <f t="shared" si="95"/>
        <v>OK</v>
      </c>
      <c r="BT196" s="131">
        <f t="shared" si="96"/>
        <v>0.57472361227073543</v>
      </c>
      <c r="BU196" s="92" t="str">
        <f t="shared" si="97"/>
        <v>OK</v>
      </c>
      <c r="BV196" s="139">
        <f t="shared" si="98"/>
        <v>704.31239871402022</v>
      </c>
      <c r="BW196" s="131">
        <f t="shared" si="99"/>
        <v>15.847028971065454</v>
      </c>
      <c r="BX196" s="139">
        <f t="shared" si="100"/>
        <v>352.15619935701011</v>
      </c>
      <c r="BY196" s="123">
        <f t="shared" si="101"/>
        <v>111.86138097222674</v>
      </c>
      <c r="BZ196" s="141">
        <f t="shared" si="102"/>
        <v>0.54377060194832449</v>
      </c>
      <c r="CA196" s="131">
        <f t="shared" si="103"/>
        <v>10.35753527520618</v>
      </c>
      <c r="CB196" s="143">
        <f t="shared" si="104"/>
        <v>8.6808844500051802E-2</v>
      </c>
      <c r="CC196" s="123">
        <f t="shared" si="105"/>
        <v>113.29079470082762</v>
      </c>
      <c r="CD196" s="131">
        <f t="shared" si="106"/>
        <v>0.47888620948417482</v>
      </c>
      <c r="CE196" s="135">
        <f t="shared" si="107"/>
        <v>0.54377060194832449</v>
      </c>
      <c r="CF196" s="92" t="str">
        <f t="shared" si="108"/>
        <v>OK</v>
      </c>
      <c r="CG196" s="50"/>
      <c r="DA196" s="111"/>
      <c r="DB196" s="111"/>
      <c r="DC196" s="111"/>
      <c r="DD196" s="116"/>
      <c r="DE196" s="120"/>
      <c r="DF196" s="121"/>
      <c r="DG196" s="121"/>
      <c r="DH196" s="121"/>
      <c r="DI196" s="121"/>
      <c r="DJ196" s="121"/>
      <c r="DK196" s="122"/>
      <c r="DL196" s="123"/>
      <c r="DM196" s="123"/>
      <c r="DN196" s="123"/>
      <c r="DO196" s="123"/>
      <c r="DP196" s="123"/>
      <c r="DQ196" s="111"/>
      <c r="DR196" s="120"/>
      <c r="DS196" s="120"/>
      <c r="DT196" s="120"/>
      <c r="DU196" s="120"/>
      <c r="DV196" s="120"/>
      <c r="DW196" s="120"/>
      <c r="DX196" s="120"/>
      <c r="DY196" s="120"/>
      <c r="DZ196" s="120"/>
      <c r="EA196" s="122"/>
      <c r="EB196" s="122"/>
      <c r="EC196" s="122"/>
      <c r="ED196" s="122"/>
      <c r="EE196" s="122"/>
      <c r="EF196" s="122"/>
      <c r="EG196" s="122"/>
      <c r="EH196" s="122"/>
      <c r="EI196" s="122"/>
      <c r="EJ196" s="122"/>
      <c r="EK196" s="131"/>
      <c r="EL196" s="122"/>
      <c r="EM196" s="276"/>
      <c r="EN196" s="276"/>
      <c r="EO196" s="135"/>
      <c r="EP196" s="136"/>
      <c r="EQ196" s="137"/>
      <c r="ER196" s="276"/>
      <c r="ES196" s="276"/>
      <c r="ET196" s="276"/>
      <c r="EU196" s="276"/>
      <c r="EV196" s="139"/>
      <c r="EW196" s="131"/>
      <c r="EX196" s="139"/>
      <c r="EY196" s="123"/>
      <c r="EZ196" s="141"/>
      <c r="FA196" s="131"/>
      <c r="FB196" s="143"/>
      <c r="FC196" s="123"/>
      <c r="FD196" s="131"/>
      <c r="FE196" s="276"/>
      <c r="FF196" s="276"/>
      <c r="FG196" s="50"/>
    </row>
    <row r="197" spans="27:163">
      <c r="AA197" s="111" t="s">
        <v>245</v>
      </c>
      <c r="AB197" s="111" t="s">
        <v>341</v>
      </c>
      <c r="AC197" s="111">
        <v>104</v>
      </c>
      <c r="AD197" s="116">
        <v>0</v>
      </c>
      <c r="AE197" s="120">
        <v>750</v>
      </c>
      <c r="AF197" s="121">
        <v>350</v>
      </c>
      <c r="AG197" s="121">
        <v>14</v>
      </c>
      <c r="AH197" s="121">
        <v>18.000000000000004</v>
      </c>
      <c r="AI197" s="121">
        <v>714</v>
      </c>
      <c r="AJ197" s="64" t="str" cm="1">
        <f t="array" ref="AJ197">_xll.Dce_Name_SectI(AE197, AE197, AF197, AG197, AH197, "x", "-", "H Tổng")</f>
        <v>750x350x14x18</v>
      </c>
      <c r="AK197" s="122">
        <f t="shared" si="75"/>
        <v>1010</v>
      </c>
      <c r="AL197" s="123">
        <f t="shared" si="76"/>
        <v>350</v>
      </c>
      <c r="AM197" s="123">
        <f t="shared" si="77"/>
        <v>25</v>
      </c>
      <c r="AN197" s="123">
        <f t="shared" si="78"/>
        <v>12</v>
      </c>
      <c r="AO197" s="123">
        <f t="shared" si="79"/>
        <v>24</v>
      </c>
      <c r="AP197" s="165" t="str">
        <f t="shared" si="80"/>
        <v>1010x350x25 + 12M24</v>
      </c>
      <c r="AQ197" s="111" t="s">
        <v>319</v>
      </c>
      <c r="AR197" s="120">
        <v>0</v>
      </c>
      <c r="AS197" s="120">
        <v>191.13916783624197</v>
      </c>
      <c r="AT197" s="120">
        <v>-2.6557245291769495E-14</v>
      </c>
      <c r="AU197" s="120">
        <v>4.5139126776708806E-4</v>
      </c>
      <c r="AV197" s="120">
        <v>-1.1548399925231932E-14</v>
      </c>
      <c r="AW197" s="120">
        <v>-139.87629936092355</v>
      </c>
      <c r="AX197" s="120"/>
      <c r="AY197" s="120"/>
      <c r="AZ197" s="120"/>
      <c r="BA197" s="122">
        <f t="shared" si="81"/>
        <v>60</v>
      </c>
      <c r="BB197" s="122">
        <f t="shared" si="82"/>
        <v>70</v>
      </c>
      <c r="BC197" s="122">
        <f t="shared" si="83"/>
        <v>80</v>
      </c>
      <c r="BD197" s="122">
        <f t="shared" si="84"/>
        <v>150</v>
      </c>
      <c r="BE197" s="122">
        <f>VLOOKUP(AO197,Data!$V$4:$Z$15,3,FALSE)</f>
        <v>452.38934211693021</v>
      </c>
      <c r="BF197" s="122">
        <f>VLOOKUP(AO197,Data!$V$4:$Z$15,4,FALSE)</f>
        <v>353</v>
      </c>
      <c r="BG197" s="163">
        <f t="shared" si="85"/>
        <v>180</v>
      </c>
      <c r="BH197" s="122">
        <f t="shared" si="86"/>
        <v>121.65654188208487</v>
      </c>
      <c r="BI197" s="122">
        <f t="shared" si="87"/>
        <v>243</v>
      </c>
      <c r="BJ197" s="163">
        <f t="shared" si="88"/>
        <v>142.3296</v>
      </c>
      <c r="BK197" s="131">
        <f t="shared" si="89"/>
        <v>15.928263986353498</v>
      </c>
      <c r="BL197" s="134">
        <f t="shared" si="90"/>
        <v>0.89458333333333329</v>
      </c>
      <c r="BM197" s="135">
        <f t="shared" si="91"/>
        <v>0.14635655378913442</v>
      </c>
      <c r="BN197" s="92" t="str">
        <f t="shared" si="92"/>
        <v>OK</v>
      </c>
      <c r="BO197" s="135">
        <f>_xll.DCEBoltDisRS(AN197, AE197, BA197, BB197, BC197, BD197, "h1")</f>
        <v>890</v>
      </c>
      <c r="BP197" s="136">
        <f>_xll.DCEBoltDisRS(AN197, AE197, BA197, BB197, BC197, BD197, "Tong")</f>
        <v>1800300</v>
      </c>
      <c r="BQ197" s="137">
        <f t="shared" si="93"/>
        <v>34.574767103044479</v>
      </c>
      <c r="BR197" s="135">
        <f t="shared" si="94"/>
        <v>0.24292042627144655</v>
      </c>
      <c r="BS197" s="64" t="str">
        <f t="shared" si="95"/>
        <v>OK</v>
      </c>
      <c r="BT197" s="131">
        <f t="shared" si="96"/>
        <v>0.27595744183759968</v>
      </c>
      <c r="BU197" s="92" t="str">
        <f t="shared" si="97"/>
        <v>OK</v>
      </c>
      <c r="BV197" s="139">
        <f t="shared" si="98"/>
        <v>191.08784065699939</v>
      </c>
      <c r="BW197" s="131">
        <f t="shared" si="99"/>
        <v>4.299476414782486</v>
      </c>
      <c r="BX197" s="139">
        <f t="shared" si="100"/>
        <v>95.543920328499695</v>
      </c>
      <c r="BY197" s="123">
        <f t="shared" si="101"/>
        <v>40.866310477140466</v>
      </c>
      <c r="BZ197" s="141">
        <f t="shared" si="102"/>
        <v>0.19865567593054395</v>
      </c>
      <c r="CA197" s="131">
        <f t="shared" si="103"/>
        <v>3.7839176367722649</v>
      </c>
      <c r="CB197" s="143">
        <f t="shared" si="104"/>
        <v>3.1713869082143027E-2</v>
      </c>
      <c r="CC197" s="123">
        <f t="shared" si="105"/>
        <v>41.388518094511056</v>
      </c>
      <c r="CD197" s="131">
        <f t="shared" si="106"/>
        <v>0.1749514653753487</v>
      </c>
      <c r="CE197" s="135">
        <f t="shared" si="107"/>
        <v>0.19865567593054395</v>
      </c>
      <c r="CF197" s="92" t="str">
        <f t="shared" si="108"/>
        <v>OK</v>
      </c>
      <c r="CG197" s="50"/>
      <c r="DA197" s="111"/>
      <c r="DB197" s="111"/>
      <c r="DC197" s="111"/>
      <c r="DD197" s="116"/>
      <c r="DE197" s="120"/>
      <c r="DF197" s="121"/>
      <c r="DG197" s="121"/>
      <c r="DH197" s="121"/>
      <c r="DI197" s="121"/>
      <c r="DJ197" s="121"/>
      <c r="DK197" s="122"/>
      <c r="DL197" s="123"/>
      <c r="DM197" s="123"/>
      <c r="DN197" s="123"/>
      <c r="DO197" s="123"/>
      <c r="DP197" s="123"/>
      <c r="DQ197" s="111"/>
      <c r="DR197" s="120"/>
      <c r="DS197" s="120"/>
      <c r="DT197" s="120"/>
      <c r="DU197" s="120"/>
      <c r="DV197" s="120"/>
      <c r="DW197" s="120"/>
      <c r="DX197" s="120"/>
      <c r="DY197" s="120"/>
      <c r="DZ197" s="120"/>
      <c r="EA197" s="122"/>
      <c r="EB197" s="122"/>
      <c r="EC197" s="122"/>
      <c r="ED197" s="122"/>
      <c r="EE197" s="122"/>
      <c r="EF197" s="122"/>
      <c r="EG197" s="122"/>
      <c r="EH197" s="122"/>
      <c r="EI197" s="122"/>
      <c r="EJ197" s="122"/>
      <c r="EK197" s="131"/>
      <c r="EL197" s="122"/>
      <c r="EM197" s="276"/>
      <c r="EN197" s="276"/>
      <c r="EO197" s="135"/>
      <c r="EP197" s="136"/>
      <c r="EQ197" s="137"/>
      <c r="ER197" s="276"/>
      <c r="ES197" s="276"/>
      <c r="ET197" s="276"/>
      <c r="EU197" s="276"/>
      <c r="EV197" s="139"/>
      <c r="EW197" s="131"/>
      <c r="EX197" s="139"/>
      <c r="EY197" s="123"/>
      <c r="EZ197" s="141"/>
      <c r="FA197" s="131"/>
      <c r="FB197" s="143"/>
      <c r="FC197" s="123"/>
      <c r="FD197" s="131"/>
      <c r="FE197" s="276"/>
      <c r="FF197" s="276"/>
      <c r="FG197" s="50"/>
    </row>
    <row r="198" spans="27:163">
      <c r="AA198" s="111" t="s">
        <v>245</v>
      </c>
      <c r="AB198" s="111" t="s">
        <v>341</v>
      </c>
      <c r="AC198" s="111">
        <v>104</v>
      </c>
      <c r="AD198" s="116">
        <v>2.6850000000000001</v>
      </c>
      <c r="AE198" s="120">
        <v>1100</v>
      </c>
      <c r="AF198" s="121">
        <v>350</v>
      </c>
      <c r="AG198" s="121">
        <v>14</v>
      </c>
      <c r="AH198" s="121">
        <v>18.000000000000004</v>
      </c>
      <c r="AI198" s="121">
        <v>1064</v>
      </c>
      <c r="AJ198" s="64" t="str" cm="1">
        <f t="array" ref="AJ198">_xll.Dce_Name_SectI(AE198, AE198, AF198, AG198, AH198, "x", "-", "H Tổng")</f>
        <v>1100x350x14x18</v>
      </c>
      <c r="AK198" s="122">
        <f t="shared" si="75"/>
        <v>1360</v>
      </c>
      <c r="AL198" s="123">
        <f t="shared" si="76"/>
        <v>350</v>
      </c>
      <c r="AM198" s="123">
        <f t="shared" si="77"/>
        <v>25</v>
      </c>
      <c r="AN198" s="123">
        <f t="shared" si="78"/>
        <v>16</v>
      </c>
      <c r="AO198" s="123">
        <f t="shared" si="79"/>
        <v>27</v>
      </c>
      <c r="AP198" s="165" t="str">
        <f t="shared" si="80"/>
        <v>1360x350x25 + 16M27</v>
      </c>
      <c r="AQ198" s="111" t="s">
        <v>319</v>
      </c>
      <c r="AR198" s="120">
        <v>0</v>
      </c>
      <c r="AS198" s="120">
        <v>267.94418708615387</v>
      </c>
      <c r="AT198" s="120">
        <v>-5.8207660913467402E-15</v>
      </c>
      <c r="AU198" s="120">
        <v>4.5132456797194244E-4</v>
      </c>
      <c r="AV198" s="120">
        <v>1.7753336578607555E-15</v>
      </c>
      <c r="AW198" s="120">
        <v>-767.39557845939305</v>
      </c>
      <c r="AX198" s="120"/>
      <c r="AY198" s="120"/>
      <c r="AZ198" s="120"/>
      <c r="BA198" s="122">
        <f t="shared" si="81"/>
        <v>60</v>
      </c>
      <c r="BB198" s="122">
        <f t="shared" si="82"/>
        <v>70</v>
      </c>
      <c r="BC198" s="122">
        <f t="shared" si="83"/>
        <v>80</v>
      </c>
      <c r="BD198" s="122">
        <f t="shared" si="84"/>
        <v>160</v>
      </c>
      <c r="BE198" s="122">
        <f>VLOOKUP(AO198,Data!$V$4:$Z$15,3,FALSE)</f>
        <v>572.55526111673976</v>
      </c>
      <c r="BF198" s="122">
        <f>VLOOKUP(AO198,Data!$V$4:$Z$15,4,FALSE)</f>
        <v>459</v>
      </c>
      <c r="BG198" s="163">
        <f t="shared" si="85"/>
        <v>180</v>
      </c>
      <c r="BH198" s="122">
        <f t="shared" si="86"/>
        <v>153.97156081951366</v>
      </c>
      <c r="BI198" s="122">
        <f t="shared" si="87"/>
        <v>273.375</v>
      </c>
      <c r="BJ198" s="163">
        <f t="shared" si="88"/>
        <v>185.06880000000001</v>
      </c>
      <c r="BK198" s="131">
        <f t="shared" si="89"/>
        <v>16.746511692884617</v>
      </c>
      <c r="BL198" s="134">
        <f t="shared" si="90"/>
        <v>0.85037037037037044</v>
      </c>
      <c r="BM198" s="135">
        <f t="shared" si="91"/>
        <v>0.12790152573264676</v>
      </c>
      <c r="BN198" s="92" t="str">
        <f t="shared" si="92"/>
        <v>OK</v>
      </c>
      <c r="BO198" s="135">
        <f>_xll.DCEBoltDisRS(AN198, AE198, BA198, BB198, BC198, BD198, "h1")</f>
        <v>1240</v>
      </c>
      <c r="BP198" s="136">
        <f>_xll.DCEBoltDisRS(AN198, AE198, BA198, BB198, BC198, BD198, "Tong")</f>
        <v>4523000</v>
      </c>
      <c r="BQ198" s="137">
        <f t="shared" si="93"/>
        <v>105.19240739438949</v>
      </c>
      <c r="BR198" s="135">
        <f t="shared" si="94"/>
        <v>0.56839622558956171</v>
      </c>
      <c r="BS198" s="64" t="str">
        <f t="shared" si="95"/>
        <v>OK</v>
      </c>
      <c r="BT198" s="131">
        <f t="shared" si="96"/>
        <v>0.57870873909035947</v>
      </c>
      <c r="BU198" s="92" t="str">
        <f t="shared" si="97"/>
        <v>OK</v>
      </c>
      <c r="BV198" s="139">
        <f t="shared" si="98"/>
        <v>709.2380577258715</v>
      </c>
      <c r="BW198" s="131">
        <f t="shared" si="99"/>
        <v>15.957856298832109</v>
      </c>
      <c r="BX198" s="139">
        <f t="shared" si="100"/>
        <v>354.61902886293575</v>
      </c>
      <c r="BY198" s="123">
        <f t="shared" si="101"/>
        <v>112.64369152116782</v>
      </c>
      <c r="BZ198" s="141">
        <f t="shared" si="102"/>
        <v>0.54757350045012143</v>
      </c>
      <c r="CA198" s="131">
        <f t="shared" si="103"/>
        <v>10.429971437145168</v>
      </c>
      <c r="CB198" s="143">
        <f t="shared" si="104"/>
        <v>8.7415948347720526E-2</v>
      </c>
      <c r="CC198" s="123">
        <f t="shared" si="105"/>
        <v>114.08310195666581</v>
      </c>
      <c r="CD198" s="131">
        <f t="shared" si="106"/>
        <v>0.48223533435788701</v>
      </c>
      <c r="CE198" s="135">
        <f t="shared" si="107"/>
        <v>0.54757350045012143</v>
      </c>
      <c r="CF198" s="92" t="str">
        <f t="shared" si="108"/>
        <v>OK</v>
      </c>
      <c r="CG198" s="50"/>
      <c r="DA198" s="111"/>
      <c r="DB198" s="111"/>
      <c r="DC198" s="111"/>
      <c r="DD198" s="116"/>
      <c r="DE198" s="120"/>
      <c r="DF198" s="121"/>
      <c r="DG198" s="121"/>
      <c r="DH198" s="121"/>
      <c r="DI198" s="121"/>
      <c r="DJ198" s="121"/>
      <c r="DK198" s="122"/>
      <c r="DL198" s="123"/>
      <c r="DM198" s="123"/>
      <c r="DN198" s="123"/>
      <c r="DO198" s="123"/>
      <c r="DP198" s="123"/>
      <c r="DQ198" s="111"/>
      <c r="DR198" s="120"/>
      <c r="DS198" s="120"/>
      <c r="DT198" s="120"/>
      <c r="DU198" s="120"/>
      <c r="DV198" s="120"/>
      <c r="DW198" s="120"/>
      <c r="DX198" s="120"/>
      <c r="DY198" s="120"/>
      <c r="DZ198" s="120"/>
      <c r="EA198" s="122"/>
      <c r="EB198" s="122"/>
      <c r="EC198" s="122"/>
      <c r="ED198" s="122"/>
      <c r="EE198" s="122"/>
      <c r="EF198" s="122"/>
      <c r="EG198" s="122"/>
      <c r="EH198" s="122"/>
      <c r="EI198" s="122"/>
      <c r="EJ198" s="122"/>
      <c r="EK198" s="131"/>
      <c r="EL198" s="122"/>
      <c r="EM198" s="276"/>
      <c r="EN198" s="276"/>
      <c r="EO198" s="135"/>
      <c r="EP198" s="136"/>
      <c r="EQ198" s="137"/>
      <c r="ER198" s="276"/>
      <c r="ES198" s="276"/>
      <c r="ET198" s="276"/>
      <c r="EU198" s="276"/>
      <c r="EV198" s="139"/>
      <c r="EW198" s="131"/>
      <c r="EX198" s="139"/>
      <c r="EY198" s="123"/>
      <c r="EZ198" s="141"/>
      <c r="FA198" s="131"/>
      <c r="FB198" s="143"/>
      <c r="FC198" s="123"/>
      <c r="FD198" s="131"/>
      <c r="FE198" s="276"/>
      <c r="FF198" s="276"/>
      <c r="FG198" s="50"/>
    </row>
    <row r="199" spans="27:163">
      <c r="AA199" s="111" t="s">
        <v>245</v>
      </c>
      <c r="AB199" s="111" t="s">
        <v>341</v>
      </c>
      <c r="AC199" s="111">
        <v>104</v>
      </c>
      <c r="AD199" s="116">
        <v>0</v>
      </c>
      <c r="AE199" s="120">
        <v>750</v>
      </c>
      <c r="AF199" s="121">
        <v>350</v>
      </c>
      <c r="AG199" s="121">
        <v>14</v>
      </c>
      <c r="AH199" s="121">
        <v>18.000000000000004</v>
      </c>
      <c r="AI199" s="121">
        <v>714</v>
      </c>
      <c r="AJ199" s="64" t="str" cm="1">
        <f t="array" ref="AJ199">_xll.Dce_Name_SectI(AE199, AE199, AF199, AG199, AH199, "x", "-", "H Tổng")</f>
        <v>750x350x14x18</v>
      </c>
      <c r="AK199" s="122">
        <f t="shared" si="75"/>
        <v>1010</v>
      </c>
      <c r="AL199" s="123">
        <f t="shared" si="76"/>
        <v>350</v>
      </c>
      <c r="AM199" s="123">
        <f t="shared" si="77"/>
        <v>25</v>
      </c>
      <c r="AN199" s="123">
        <f t="shared" si="78"/>
        <v>12</v>
      </c>
      <c r="AO199" s="123">
        <f t="shared" si="79"/>
        <v>24</v>
      </c>
      <c r="AP199" s="165" t="str">
        <f t="shared" si="80"/>
        <v>1010x350x25 + 12M24</v>
      </c>
      <c r="AQ199" s="111" t="s">
        <v>320</v>
      </c>
      <c r="AR199" s="120">
        <v>0</v>
      </c>
      <c r="AS199" s="120">
        <v>191.61017215595282</v>
      </c>
      <c r="AT199" s="120">
        <v>-2.6557245291769495E-14</v>
      </c>
      <c r="AU199" s="120">
        <v>5.4617187864394918E-4</v>
      </c>
      <c r="AV199" s="120">
        <v>2.011656761169433E-14</v>
      </c>
      <c r="AW199" s="120">
        <v>-149.59668306874082</v>
      </c>
      <c r="AX199" s="120"/>
      <c r="AY199" s="120"/>
      <c r="AZ199" s="120"/>
      <c r="BA199" s="122">
        <f t="shared" si="81"/>
        <v>60</v>
      </c>
      <c r="BB199" s="122">
        <f t="shared" si="82"/>
        <v>70</v>
      </c>
      <c r="BC199" s="122">
        <f t="shared" si="83"/>
        <v>80</v>
      </c>
      <c r="BD199" s="122">
        <f t="shared" si="84"/>
        <v>150</v>
      </c>
      <c r="BE199" s="122">
        <f>VLOOKUP(AO199,Data!$V$4:$Z$15,3,FALSE)</f>
        <v>452.38934211693021</v>
      </c>
      <c r="BF199" s="122">
        <f>VLOOKUP(AO199,Data!$V$4:$Z$15,4,FALSE)</f>
        <v>353</v>
      </c>
      <c r="BG199" s="163">
        <f t="shared" si="85"/>
        <v>180</v>
      </c>
      <c r="BH199" s="122">
        <f t="shared" si="86"/>
        <v>121.65654188208487</v>
      </c>
      <c r="BI199" s="122">
        <f t="shared" si="87"/>
        <v>243</v>
      </c>
      <c r="BJ199" s="163">
        <f t="shared" si="88"/>
        <v>142.3296</v>
      </c>
      <c r="BK199" s="131">
        <f t="shared" si="89"/>
        <v>15.967514346329402</v>
      </c>
      <c r="BL199" s="134">
        <f t="shared" si="90"/>
        <v>0.89458333333333329</v>
      </c>
      <c r="BM199" s="135">
        <f t="shared" si="91"/>
        <v>0.14671720498288524</v>
      </c>
      <c r="BN199" s="92" t="str">
        <f t="shared" si="92"/>
        <v>OK</v>
      </c>
      <c r="BO199" s="135">
        <f>_xll.DCEBoltDisRS(AN199, AE199, BA199, BB199, BC199, BD199, "h1")</f>
        <v>890</v>
      </c>
      <c r="BP199" s="136">
        <f>_xll.DCEBoltDisRS(AN199, AE199, BA199, BB199, BC199, BD199, "Tong")</f>
        <v>1800300</v>
      </c>
      <c r="BQ199" s="137">
        <f t="shared" si="93"/>
        <v>36.977461515075078</v>
      </c>
      <c r="BR199" s="135">
        <f t="shared" si="94"/>
        <v>0.25980162605020374</v>
      </c>
      <c r="BS199" s="64" t="str">
        <f t="shared" si="95"/>
        <v>OK</v>
      </c>
      <c r="BT199" s="131">
        <f t="shared" si="96"/>
        <v>0.29107327007179601</v>
      </c>
      <c r="BU199" s="92" t="str">
        <f t="shared" si="97"/>
        <v>OK</v>
      </c>
      <c r="BV199" s="139">
        <f t="shared" si="98"/>
        <v>204.36705337259676</v>
      </c>
      <c r="BW199" s="131">
        <f t="shared" si="99"/>
        <v>4.5982587008834273</v>
      </c>
      <c r="BX199" s="139">
        <f t="shared" si="100"/>
        <v>102.18352668629838</v>
      </c>
      <c r="BY199" s="123">
        <f t="shared" si="101"/>
        <v>43.706221315327625</v>
      </c>
      <c r="BZ199" s="141">
        <f t="shared" si="102"/>
        <v>0.21246079806062043</v>
      </c>
      <c r="CA199" s="131">
        <f t="shared" si="103"/>
        <v>4.0468723440118168</v>
      </c>
      <c r="CB199" s="143">
        <f t="shared" si="104"/>
        <v>3.3917751925386402E-2</v>
      </c>
      <c r="CC199" s="123">
        <f t="shared" si="105"/>
        <v>44.264718557453655</v>
      </c>
      <c r="CD199" s="131">
        <f t="shared" si="106"/>
        <v>0.18710931757377755</v>
      </c>
      <c r="CE199" s="135">
        <f t="shared" si="107"/>
        <v>0.21246079806062043</v>
      </c>
      <c r="CF199" s="92" t="str">
        <f t="shared" si="108"/>
        <v>OK</v>
      </c>
      <c r="CG199" s="50"/>
      <c r="DA199" s="111"/>
      <c r="DB199" s="111"/>
      <c r="DC199" s="111"/>
      <c r="DD199" s="116"/>
      <c r="DE199" s="120"/>
      <c r="DF199" s="121"/>
      <c r="DG199" s="121"/>
      <c r="DH199" s="121"/>
      <c r="DI199" s="121"/>
      <c r="DJ199" s="121"/>
      <c r="DK199" s="122"/>
      <c r="DL199" s="123"/>
      <c r="DM199" s="123"/>
      <c r="DN199" s="123"/>
      <c r="DO199" s="123"/>
      <c r="DP199" s="123"/>
      <c r="DQ199" s="111"/>
      <c r="DR199" s="120"/>
      <c r="DS199" s="120"/>
      <c r="DT199" s="120"/>
      <c r="DU199" s="120"/>
      <c r="DV199" s="120"/>
      <c r="DW199" s="120"/>
      <c r="DX199" s="120"/>
      <c r="DY199" s="120"/>
      <c r="DZ199" s="120"/>
      <c r="EA199" s="122"/>
      <c r="EB199" s="122"/>
      <c r="EC199" s="122"/>
      <c r="ED199" s="122"/>
      <c r="EE199" s="122"/>
      <c r="EF199" s="122"/>
      <c r="EG199" s="122"/>
      <c r="EH199" s="122"/>
      <c r="EI199" s="122"/>
      <c r="EJ199" s="122"/>
      <c r="EK199" s="131"/>
      <c r="EL199" s="122"/>
      <c r="EM199" s="276"/>
      <c r="EN199" s="276"/>
      <c r="EO199" s="135"/>
      <c r="EP199" s="136"/>
      <c r="EQ199" s="137"/>
      <c r="ER199" s="276"/>
      <c r="ES199" s="276"/>
      <c r="ET199" s="276"/>
      <c r="EU199" s="276"/>
      <c r="EV199" s="139"/>
      <c r="EW199" s="131"/>
      <c r="EX199" s="139"/>
      <c r="EY199" s="123"/>
      <c r="EZ199" s="141"/>
      <c r="FA199" s="131"/>
      <c r="FB199" s="143"/>
      <c r="FC199" s="123"/>
      <c r="FD199" s="131"/>
      <c r="FE199" s="276"/>
      <c r="FF199" s="276"/>
      <c r="FG199" s="50"/>
    </row>
    <row r="200" spans="27:163">
      <c r="AA200" s="111" t="s">
        <v>245</v>
      </c>
      <c r="AB200" s="111" t="s">
        <v>341</v>
      </c>
      <c r="AC200" s="111">
        <v>104</v>
      </c>
      <c r="AD200" s="116">
        <v>2.6850000000000001</v>
      </c>
      <c r="AE200" s="120">
        <v>1100</v>
      </c>
      <c r="AF200" s="121">
        <v>350</v>
      </c>
      <c r="AG200" s="121">
        <v>14</v>
      </c>
      <c r="AH200" s="121">
        <v>18.000000000000004</v>
      </c>
      <c r="AI200" s="121">
        <v>1064</v>
      </c>
      <c r="AJ200" s="64" t="str" cm="1">
        <f t="array" ref="AJ200">_xll.Dce_Name_SectI(AE200, AE200, AF200, AG200, AH200, "x", "-", "H Tổng")</f>
        <v>1100x350x14x18</v>
      </c>
      <c r="AK200" s="122">
        <f t="shared" si="75"/>
        <v>1360</v>
      </c>
      <c r="AL200" s="123">
        <f t="shared" si="76"/>
        <v>350</v>
      </c>
      <c r="AM200" s="123">
        <f t="shared" si="77"/>
        <v>25</v>
      </c>
      <c r="AN200" s="123">
        <f t="shared" si="78"/>
        <v>16</v>
      </c>
      <c r="AO200" s="123">
        <f t="shared" si="79"/>
        <v>27</v>
      </c>
      <c r="AP200" s="165" t="str">
        <f t="shared" si="80"/>
        <v>1360x350x25 + 16M27</v>
      </c>
      <c r="AQ200" s="111" t="s">
        <v>320</v>
      </c>
      <c r="AR200" s="120">
        <v>0</v>
      </c>
      <c r="AS200" s="120">
        <v>268.41519166792364</v>
      </c>
      <c r="AT200" s="120">
        <v>-5.3660187404602757E-15</v>
      </c>
      <c r="AU200" s="120">
        <v>5.4609130056087693E-4</v>
      </c>
      <c r="AV200" s="120">
        <v>1.0909388947766271E-15</v>
      </c>
      <c r="AW200" s="120">
        <v>-778.38061350247494</v>
      </c>
      <c r="AX200" s="120"/>
      <c r="AY200" s="120"/>
      <c r="AZ200" s="120"/>
      <c r="BA200" s="122">
        <f t="shared" si="81"/>
        <v>60</v>
      </c>
      <c r="BB200" s="122">
        <f t="shared" si="82"/>
        <v>70</v>
      </c>
      <c r="BC200" s="122">
        <f t="shared" si="83"/>
        <v>80</v>
      </c>
      <c r="BD200" s="122">
        <f t="shared" si="84"/>
        <v>160</v>
      </c>
      <c r="BE200" s="122">
        <f>VLOOKUP(AO200,Data!$V$4:$Z$15,3,FALSE)</f>
        <v>572.55526111673976</v>
      </c>
      <c r="BF200" s="122">
        <f>VLOOKUP(AO200,Data!$V$4:$Z$15,4,FALSE)</f>
        <v>459</v>
      </c>
      <c r="BG200" s="163">
        <f t="shared" si="85"/>
        <v>180</v>
      </c>
      <c r="BH200" s="122">
        <f t="shared" si="86"/>
        <v>153.97156081951366</v>
      </c>
      <c r="BI200" s="122">
        <f t="shared" si="87"/>
        <v>273.375</v>
      </c>
      <c r="BJ200" s="163">
        <f t="shared" si="88"/>
        <v>185.06880000000001</v>
      </c>
      <c r="BK200" s="131">
        <f t="shared" si="89"/>
        <v>16.775949479245227</v>
      </c>
      <c r="BL200" s="134">
        <f t="shared" si="90"/>
        <v>0.85037037037037044</v>
      </c>
      <c r="BM200" s="135">
        <f t="shared" si="91"/>
        <v>0.12812635690099769</v>
      </c>
      <c r="BN200" s="92" t="str">
        <f t="shared" si="92"/>
        <v>OK</v>
      </c>
      <c r="BO200" s="135">
        <f>_xll.DCEBoltDisRS(AN200, AE200, BA200, BB200, BC200, BD200, "h1")</f>
        <v>1240</v>
      </c>
      <c r="BP200" s="136">
        <f>_xll.DCEBoltDisRS(AN200, AE200, BA200, BB200, BC200, BD200, "Tong")</f>
        <v>4523000</v>
      </c>
      <c r="BQ200" s="137">
        <f t="shared" si="93"/>
        <v>106.69820481351636</v>
      </c>
      <c r="BR200" s="135">
        <f t="shared" si="94"/>
        <v>0.57653264522986236</v>
      </c>
      <c r="BS200" s="64" t="str">
        <f t="shared" si="95"/>
        <v>OK</v>
      </c>
      <c r="BT200" s="131">
        <f t="shared" si="96"/>
        <v>0.58673763472637464</v>
      </c>
      <c r="BU200" s="92" t="str">
        <f t="shared" si="97"/>
        <v>OK</v>
      </c>
      <c r="BV200" s="139">
        <f t="shared" si="98"/>
        <v>719.39058549212098</v>
      </c>
      <c r="BW200" s="131">
        <f t="shared" si="99"/>
        <v>16.18628817357272</v>
      </c>
      <c r="BX200" s="139">
        <f t="shared" si="100"/>
        <v>359.69529274606049</v>
      </c>
      <c r="BY200" s="123">
        <f t="shared" si="101"/>
        <v>114.25615181345449</v>
      </c>
      <c r="BZ200" s="141">
        <f t="shared" si="102"/>
        <v>0.55541184909318164</v>
      </c>
      <c r="CA200" s="131">
        <f t="shared" si="103"/>
        <v>10.579273316060602</v>
      </c>
      <c r="CB200" s="143">
        <f t="shared" si="104"/>
        <v>8.8667281145143939E-2</v>
      </c>
      <c r="CC200" s="123">
        <f t="shared" si="105"/>
        <v>115.71616697292949</v>
      </c>
      <c r="CD200" s="131">
        <f t="shared" si="106"/>
        <v>0.48913838696286627</v>
      </c>
      <c r="CE200" s="135">
        <f t="shared" si="107"/>
        <v>0.55541184909318164</v>
      </c>
      <c r="CF200" s="92" t="str">
        <f t="shared" si="108"/>
        <v>OK</v>
      </c>
      <c r="CG200" s="50"/>
      <c r="DA200" s="111"/>
      <c r="DB200" s="111"/>
      <c r="DC200" s="111"/>
      <c r="DD200" s="116"/>
      <c r="DE200" s="120"/>
      <c r="DF200" s="121"/>
      <c r="DG200" s="121"/>
      <c r="DH200" s="121"/>
      <c r="DI200" s="121"/>
      <c r="DJ200" s="121"/>
      <c r="DK200" s="122"/>
      <c r="DL200" s="123"/>
      <c r="DM200" s="123"/>
      <c r="DN200" s="123"/>
      <c r="DO200" s="123"/>
      <c r="DP200" s="123"/>
      <c r="DQ200" s="111"/>
      <c r="DR200" s="120"/>
      <c r="DS200" s="120"/>
      <c r="DT200" s="120"/>
      <c r="DU200" s="120"/>
      <c r="DV200" s="120"/>
      <c r="DW200" s="120"/>
      <c r="DX200" s="120"/>
      <c r="DY200" s="120"/>
      <c r="DZ200" s="120"/>
      <c r="EA200" s="122"/>
      <c r="EB200" s="122"/>
      <c r="EC200" s="122"/>
      <c r="ED200" s="122"/>
      <c r="EE200" s="122"/>
      <c r="EF200" s="122"/>
      <c r="EG200" s="122"/>
      <c r="EH200" s="122"/>
      <c r="EI200" s="122"/>
      <c r="EJ200" s="122"/>
      <c r="EK200" s="131"/>
      <c r="EL200" s="122"/>
      <c r="EM200" s="276"/>
      <c r="EN200" s="276"/>
      <c r="EO200" s="135"/>
      <c r="EP200" s="136"/>
      <c r="EQ200" s="137"/>
      <c r="ER200" s="276"/>
      <c r="ES200" s="276"/>
      <c r="ET200" s="276"/>
      <c r="EU200" s="276"/>
      <c r="EV200" s="139"/>
      <c r="EW200" s="131"/>
      <c r="EX200" s="139"/>
      <c r="EY200" s="123"/>
      <c r="EZ200" s="141"/>
      <c r="FA200" s="131"/>
      <c r="FB200" s="143"/>
      <c r="FC200" s="123"/>
      <c r="FD200" s="131"/>
      <c r="FE200" s="276"/>
      <c r="FF200" s="276"/>
      <c r="FG200" s="50"/>
    </row>
    <row r="201" spans="27:163">
      <c r="AA201" s="111" t="s">
        <v>245</v>
      </c>
      <c r="AB201" s="111" t="s">
        <v>341</v>
      </c>
      <c r="AC201" s="111">
        <v>104</v>
      </c>
      <c r="AD201" s="116">
        <v>0</v>
      </c>
      <c r="AE201" s="120">
        <v>750</v>
      </c>
      <c r="AF201" s="121">
        <v>350</v>
      </c>
      <c r="AG201" s="121">
        <v>14</v>
      </c>
      <c r="AH201" s="121">
        <v>18.000000000000004</v>
      </c>
      <c r="AI201" s="121">
        <v>714</v>
      </c>
      <c r="AJ201" s="64" t="str" cm="1">
        <f t="array" ref="AJ201">_xll.Dce_Name_SectI(AE201, AE201, AF201, AG201, AH201, "x", "-", "H Tổng")</f>
        <v>750x350x14x18</v>
      </c>
      <c r="AK201" s="122">
        <f t="shared" si="75"/>
        <v>1010</v>
      </c>
      <c r="AL201" s="123">
        <f t="shared" si="76"/>
        <v>350</v>
      </c>
      <c r="AM201" s="123">
        <f t="shared" si="77"/>
        <v>25</v>
      </c>
      <c r="AN201" s="123">
        <f t="shared" si="78"/>
        <v>12</v>
      </c>
      <c r="AO201" s="123">
        <f t="shared" si="79"/>
        <v>24</v>
      </c>
      <c r="AP201" s="165" t="str">
        <f t="shared" si="80"/>
        <v>1010x350x25 + 12M24</v>
      </c>
      <c r="AQ201" s="111" t="s">
        <v>321</v>
      </c>
      <c r="AR201" s="120">
        <v>0</v>
      </c>
      <c r="AS201" s="120">
        <v>193.17957068628496</v>
      </c>
      <c r="AT201" s="120">
        <v>-2.837623469531535E-14</v>
      </c>
      <c r="AU201" s="120">
        <v>5.7056133848438649E-4</v>
      </c>
      <c r="AV201" s="120">
        <v>2.011656761169433E-14</v>
      </c>
      <c r="AW201" s="120">
        <v>-151.7811135041712</v>
      </c>
      <c r="AX201" s="120"/>
      <c r="AY201" s="120"/>
      <c r="AZ201" s="120"/>
      <c r="BA201" s="122">
        <f t="shared" si="81"/>
        <v>60</v>
      </c>
      <c r="BB201" s="122">
        <f t="shared" si="82"/>
        <v>70</v>
      </c>
      <c r="BC201" s="122">
        <f t="shared" si="83"/>
        <v>80</v>
      </c>
      <c r="BD201" s="122">
        <f t="shared" si="84"/>
        <v>150</v>
      </c>
      <c r="BE201" s="122">
        <f>VLOOKUP(AO201,Data!$V$4:$Z$15,3,FALSE)</f>
        <v>452.38934211693021</v>
      </c>
      <c r="BF201" s="122">
        <f>VLOOKUP(AO201,Data!$V$4:$Z$15,4,FALSE)</f>
        <v>353</v>
      </c>
      <c r="BG201" s="163">
        <f t="shared" si="85"/>
        <v>180</v>
      </c>
      <c r="BH201" s="122">
        <f t="shared" si="86"/>
        <v>121.65654188208487</v>
      </c>
      <c r="BI201" s="122">
        <f t="shared" si="87"/>
        <v>243</v>
      </c>
      <c r="BJ201" s="163">
        <f t="shared" si="88"/>
        <v>142.3296</v>
      </c>
      <c r="BK201" s="131">
        <f t="shared" si="89"/>
        <v>16.098297557190413</v>
      </c>
      <c r="BL201" s="134">
        <f t="shared" si="90"/>
        <v>0.89458333333333329</v>
      </c>
      <c r="BM201" s="135">
        <f t="shared" si="91"/>
        <v>0.14791890405388847</v>
      </c>
      <c r="BN201" s="92" t="str">
        <f t="shared" si="92"/>
        <v>OK</v>
      </c>
      <c r="BO201" s="135">
        <f>_xll.DCEBoltDisRS(AN201, AE201, BA201, BB201, BC201, BD201, "h1")</f>
        <v>890</v>
      </c>
      <c r="BP201" s="136">
        <f>_xll.DCEBoltDisRS(AN201, AE201, BA201, BB201, BC201, BD201, "Tong")</f>
        <v>1800300</v>
      </c>
      <c r="BQ201" s="137">
        <f t="shared" si="93"/>
        <v>37.517411269986219</v>
      </c>
      <c r="BR201" s="135">
        <f t="shared" si="94"/>
        <v>0.2635952835530081</v>
      </c>
      <c r="BS201" s="64" t="str">
        <f t="shared" si="95"/>
        <v>OK</v>
      </c>
      <c r="BT201" s="131">
        <f t="shared" si="96"/>
        <v>0.29494505796585113</v>
      </c>
      <c r="BU201" s="92" t="str">
        <f t="shared" si="97"/>
        <v>OK</v>
      </c>
      <c r="BV201" s="139">
        <f t="shared" si="98"/>
        <v>207.35124795651805</v>
      </c>
      <c r="BW201" s="131">
        <f t="shared" si="99"/>
        <v>4.6654030790216563</v>
      </c>
      <c r="BX201" s="139">
        <f t="shared" si="100"/>
        <v>103.67562397825903</v>
      </c>
      <c r="BY201" s="123">
        <f t="shared" si="101"/>
        <v>44.344425305552377</v>
      </c>
      <c r="BZ201" s="141">
        <f t="shared" si="102"/>
        <v>0.21556317856865742</v>
      </c>
      <c r="CA201" s="131">
        <f t="shared" si="103"/>
        <v>4.1059653060696641</v>
      </c>
      <c r="CB201" s="143">
        <f t="shared" si="104"/>
        <v>3.4413023398572377E-2</v>
      </c>
      <c r="CC201" s="123">
        <f t="shared" si="105"/>
        <v>44.911077797840228</v>
      </c>
      <c r="CD201" s="131">
        <f t="shared" si="106"/>
        <v>0.18984151243048408</v>
      </c>
      <c r="CE201" s="135">
        <f t="shared" si="107"/>
        <v>0.21556317856865742</v>
      </c>
      <c r="CF201" s="92" t="str">
        <f t="shared" si="108"/>
        <v>OK</v>
      </c>
      <c r="CG201" s="50"/>
      <c r="DA201" s="111"/>
      <c r="DB201" s="111"/>
      <c r="DC201" s="111"/>
      <c r="DD201" s="116"/>
      <c r="DE201" s="120"/>
      <c r="DF201" s="121"/>
      <c r="DG201" s="121"/>
      <c r="DH201" s="121"/>
      <c r="DI201" s="121"/>
      <c r="DJ201" s="121"/>
      <c r="DK201" s="122"/>
      <c r="DL201" s="123"/>
      <c r="DM201" s="123"/>
      <c r="DN201" s="123"/>
      <c r="DO201" s="123"/>
      <c r="DP201" s="123"/>
      <c r="DQ201" s="111"/>
      <c r="DR201" s="120"/>
      <c r="DS201" s="120"/>
      <c r="DT201" s="120"/>
      <c r="DU201" s="120"/>
      <c r="DV201" s="120"/>
      <c r="DW201" s="120"/>
      <c r="DX201" s="120"/>
      <c r="DY201" s="120"/>
      <c r="DZ201" s="120"/>
      <c r="EA201" s="122"/>
      <c r="EB201" s="122"/>
      <c r="EC201" s="122"/>
      <c r="ED201" s="122"/>
      <c r="EE201" s="122"/>
      <c r="EF201" s="122"/>
      <c r="EG201" s="122"/>
      <c r="EH201" s="122"/>
      <c r="EI201" s="122"/>
      <c r="EJ201" s="122"/>
      <c r="EK201" s="131"/>
      <c r="EL201" s="122"/>
      <c r="EM201" s="276"/>
      <c r="EN201" s="276"/>
      <c r="EO201" s="135"/>
      <c r="EP201" s="136"/>
      <c r="EQ201" s="137"/>
      <c r="ER201" s="276"/>
      <c r="ES201" s="276"/>
      <c r="ET201" s="276"/>
      <c r="EU201" s="276"/>
      <c r="EV201" s="139"/>
      <c r="EW201" s="131"/>
      <c r="EX201" s="139"/>
      <c r="EY201" s="123"/>
      <c r="EZ201" s="141"/>
      <c r="FA201" s="131"/>
      <c r="FB201" s="143"/>
      <c r="FC201" s="123"/>
      <c r="FD201" s="131"/>
      <c r="FE201" s="276"/>
      <c r="FF201" s="276"/>
      <c r="FG201" s="50"/>
    </row>
    <row r="202" spans="27:163">
      <c r="AA202" s="111" t="s">
        <v>245</v>
      </c>
      <c r="AB202" s="111" t="s">
        <v>341</v>
      </c>
      <c r="AC202" s="111">
        <v>104</v>
      </c>
      <c r="AD202" s="116">
        <v>2.6850000000000001</v>
      </c>
      <c r="AE202" s="120">
        <v>1100</v>
      </c>
      <c r="AF202" s="121">
        <v>350</v>
      </c>
      <c r="AG202" s="121">
        <v>14</v>
      </c>
      <c r="AH202" s="121">
        <v>18.000000000000004</v>
      </c>
      <c r="AI202" s="121">
        <v>1064</v>
      </c>
      <c r="AJ202" s="64" t="str" cm="1">
        <f t="array" ref="AJ202">_xll.Dce_Name_SectI(AE202, AE202, AF202, AG202, AH202, "x", "-", "H Tổng")</f>
        <v>1100x350x14x18</v>
      </c>
      <c r="AK202" s="122">
        <f t="shared" si="75"/>
        <v>1360</v>
      </c>
      <c r="AL202" s="123">
        <f t="shared" si="76"/>
        <v>350</v>
      </c>
      <c r="AM202" s="123">
        <f t="shared" si="77"/>
        <v>25</v>
      </c>
      <c r="AN202" s="123">
        <f t="shared" si="78"/>
        <v>16</v>
      </c>
      <c r="AO202" s="123">
        <f t="shared" si="79"/>
        <v>27</v>
      </c>
      <c r="AP202" s="165" t="str">
        <f t="shared" si="80"/>
        <v>1360x350x25 + 16M27</v>
      </c>
      <c r="AQ202" s="111" t="s">
        <v>321</v>
      </c>
      <c r="AR202" s="120">
        <v>0</v>
      </c>
      <c r="AS202" s="120">
        <v>269.98459058043773</v>
      </c>
      <c r="AT202" s="120">
        <v>-5.8207660913467402E-15</v>
      </c>
      <c r="AU202" s="120">
        <v>5.7047713255112124E-4</v>
      </c>
      <c r="AV202" s="120">
        <v>1.7753336578607555E-15</v>
      </c>
      <c r="AW202" s="120">
        <v>-784.77886400834757</v>
      </c>
      <c r="AX202" s="120"/>
      <c r="AY202" s="120"/>
      <c r="AZ202" s="120"/>
      <c r="BA202" s="122">
        <f t="shared" si="81"/>
        <v>60</v>
      </c>
      <c r="BB202" s="122">
        <f t="shared" si="82"/>
        <v>70</v>
      </c>
      <c r="BC202" s="122">
        <f t="shared" si="83"/>
        <v>80</v>
      </c>
      <c r="BD202" s="122">
        <f t="shared" si="84"/>
        <v>160</v>
      </c>
      <c r="BE202" s="122">
        <f>VLOOKUP(AO202,Data!$V$4:$Z$15,3,FALSE)</f>
        <v>572.55526111673976</v>
      </c>
      <c r="BF202" s="122">
        <f>VLOOKUP(AO202,Data!$V$4:$Z$15,4,FALSE)</f>
        <v>459</v>
      </c>
      <c r="BG202" s="163">
        <f t="shared" si="85"/>
        <v>180</v>
      </c>
      <c r="BH202" s="122">
        <f t="shared" si="86"/>
        <v>153.97156081951366</v>
      </c>
      <c r="BI202" s="122">
        <f t="shared" si="87"/>
        <v>273.375</v>
      </c>
      <c r="BJ202" s="163">
        <f t="shared" si="88"/>
        <v>185.06880000000001</v>
      </c>
      <c r="BK202" s="131">
        <f t="shared" si="89"/>
        <v>16.874036911277358</v>
      </c>
      <c r="BL202" s="134">
        <f t="shared" si="90"/>
        <v>0.85037037037037044</v>
      </c>
      <c r="BM202" s="135">
        <f t="shared" si="91"/>
        <v>0.12887549991311747</v>
      </c>
      <c r="BN202" s="92" t="str">
        <f t="shared" si="92"/>
        <v>OK</v>
      </c>
      <c r="BO202" s="135">
        <f>_xll.DCEBoltDisRS(AN202, AE202, BA202, BB202, BC202, BD202, "h1")</f>
        <v>1240</v>
      </c>
      <c r="BP202" s="136">
        <f>_xll.DCEBoltDisRS(AN202, AE202, BA202, BB202, BC202, BD202, "Tong")</f>
        <v>4523000</v>
      </c>
      <c r="BQ202" s="137">
        <f t="shared" si="93"/>
        <v>107.57525882935563</v>
      </c>
      <c r="BR202" s="135">
        <f t="shared" si="94"/>
        <v>0.58127171532616861</v>
      </c>
      <c r="BS202" s="64" t="str">
        <f t="shared" si="95"/>
        <v>OK</v>
      </c>
      <c r="BT202" s="131">
        <f t="shared" si="96"/>
        <v>0.59151263133501042</v>
      </c>
      <c r="BU202" s="92" t="str">
        <f t="shared" si="97"/>
        <v>OK</v>
      </c>
      <c r="BV202" s="139">
        <f t="shared" si="98"/>
        <v>725.30394085799219</v>
      </c>
      <c r="BW202" s="131">
        <f t="shared" si="99"/>
        <v>16.319338669304823</v>
      </c>
      <c r="BX202" s="139">
        <f t="shared" si="100"/>
        <v>362.65197042899609</v>
      </c>
      <c r="BY202" s="123">
        <f t="shared" si="101"/>
        <v>115.19533178332816</v>
      </c>
      <c r="BZ202" s="141">
        <f t="shared" si="102"/>
        <v>0.55997730728006745</v>
      </c>
      <c r="CA202" s="131">
        <f t="shared" si="103"/>
        <v>10.666234424382237</v>
      </c>
      <c r="CB202" s="143">
        <f t="shared" si="104"/>
        <v>8.9396121851862631E-2</v>
      </c>
      <c r="CC202" s="123">
        <f t="shared" si="105"/>
        <v>116.66734819587991</v>
      </c>
      <c r="CD202" s="131">
        <f t="shared" si="106"/>
        <v>0.49315908053813978</v>
      </c>
      <c r="CE202" s="135">
        <f t="shared" si="107"/>
        <v>0.55997730728006745</v>
      </c>
      <c r="CF202" s="92" t="str">
        <f t="shared" si="108"/>
        <v>OK</v>
      </c>
      <c r="CG202" s="50"/>
      <c r="DA202" s="111"/>
      <c r="DB202" s="111"/>
      <c r="DC202" s="111"/>
      <c r="DD202" s="116"/>
      <c r="DE202" s="120"/>
      <c r="DF202" s="121"/>
      <c r="DG202" s="121"/>
      <c r="DH202" s="121"/>
      <c r="DI202" s="121"/>
      <c r="DJ202" s="121"/>
      <c r="DK202" s="122"/>
      <c r="DL202" s="123"/>
      <c r="DM202" s="123"/>
      <c r="DN202" s="123"/>
      <c r="DO202" s="123"/>
      <c r="DP202" s="123"/>
      <c r="DQ202" s="111"/>
      <c r="DR202" s="120"/>
      <c r="DS202" s="120"/>
      <c r="DT202" s="120"/>
      <c r="DU202" s="120"/>
      <c r="DV202" s="120"/>
      <c r="DW202" s="120"/>
      <c r="DX202" s="120"/>
      <c r="DY202" s="120"/>
      <c r="DZ202" s="120"/>
      <c r="EA202" s="122"/>
      <c r="EB202" s="122"/>
      <c r="EC202" s="122"/>
      <c r="ED202" s="122"/>
      <c r="EE202" s="122"/>
      <c r="EF202" s="122"/>
      <c r="EG202" s="122"/>
      <c r="EH202" s="122"/>
      <c r="EI202" s="122"/>
      <c r="EJ202" s="122"/>
      <c r="EK202" s="131"/>
      <c r="EL202" s="122"/>
      <c r="EM202" s="276"/>
      <c r="EN202" s="276"/>
      <c r="EO202" s="135"/>
      <c r="EP202" s="136"/>
      <c r="EQ202" s="137"/>
      <c r="ER202" s="276"/>
      <c r="ES202" s="276"/>
      <c r="ET202" s="276"/>
      <c r="EU202" s="276"/>
      <c r="EV202" s="139"/>
      <c r="EW202" s="131"/>
      <c r="EX202" s="139"/>
      <c r="EY202" s="123"/>
      <c r="EZ202" s="141"/>
      <c r="FA202" s="131"/>
      <c r="FB202" s="143"/>
      <c r="FC202" s="123"/>
      <c r="FD202" s="131"/>
      <c r="FE202" s="276"/>
      <c r="FF202" s="276"/>
      <c r="FG202" s="50"/>
    </row>
    <row r="203" spans="27:163">
      <c r="AA203" s="111" t="s">
        <v>245</v>
      </c>
      <c r="AB203" s="111" t="s">
        <v>341</v>
      </c>
      <c r="AC203" s="111">
        <v>104</v>
      </c>
      <c r="AD203" s="116">
        <v>0</v>
      </c>
      <c r="AE203" s="120">
        <v>750</v>
      </c>
      <c r="AF203" s="121">
        <v>350</v>
      </c>
      <c r="AG203" s="121">
        <v>14</v>
      </c>
      <c r="AH203" s="121">
        <v>18.000000000000004</v>
      </c>
      <c r="AI203" s="121">
        <v>714</v>
      </c>
      <c r="AJ203" s="64" t="str" cm="1">
        <f t="array" ref="AJ203">_xll.Dce_Name_SectI(AE203, AE203, AF203, AG203, AH203, "x", "-", "H Tổng")</f>
        <v>750x350x14x18</v>
      </c>
      <c r="AK203" s="122">
        <f t="shared" si="75"/>
        <v>1010</v>
      </c>
      <c r="AL203" s="123">
        <f t="shared" si="76"/>
        <v>350</v>
      </c>
      <c r="AM203" s="123">
        <f t="shared" si="77"/>
        <v>25</v>
      </c>
      <c r="AN203" s="123">
        <f t="shared" si="78"/>
        <v>12</v>
      </c>
      <c r="AO203" s="123">
        <f t="shared" si="79"/>
        <v>24</v>
      </c>
      <c r="AP203" s="165" t="str">
        <f t="shared" si="80"/>
        <v>1010x350x25 + 12M24</v>
      </c>
      <c r="AQ203" s="111" t="s">
        <v>322</v>
      </c>
      <c r="AR203" s="120">
        <v>0</v>
      </c>
      <c r="AS203" s="120">
        <v>184.16677144294664</v>
      </c>
      <c r="AT203" s="120">
        <v>-2.4510882212780408E-14</v>
      </c>
      <c r="AU203" s="120">
        <v>5.1538407151169644E-4</v>
      </c>
      <c r="AV203" s="120">
        <v>1.6391277313232416E-14</v>
      </c>
      <c r="AW203" s="120">
        <v>-112.4598289526901</v>
      </c>
      <c r="AX203" s="120"/>
      <c r="AY203" s="120"/>
      <c r="AZ203" s="120"/>
      <c r="BA203" s="122">
        <f t="shared" si="81"/>
        <v>60</v>
      </c>
      <c r="BB203" s="122">
        <f t="shared" si="82"/>
        <v>70</v>
      </c>
      <c r="BC203" s="122">
        <f t="shared" si="83"/>
        <v>80</v>
      </c>
      <c r="BD203" s="122">
        <f t="shared" si="84"/>
        <v>150</v>
      </c>
      <c r="BE203" s="122">
        <f>VLOOKUP(AO203,Data!$V$4:$Z$15,3,FALSE)</f>
        <v>452.38934211693021</v>
      </c>
      <c r="BF203" s="122">
        <f>VLOOKUP(AO203,Data!$V$4:$Z$15,4,FALSE)</f>
        <v>353</v>
      </c>
      <c r="BG203" s="163">
        <f t="shared" si="85"/>
        <v>180</v>
      </c>
      <c r="BH203" s="122">
        <f t="shared" si="86"/>
        <v>121.65654188208487</v>
      </c>
      <c r="BI203" s="122">
        <f t="shared" si="87"/>
        <v>243</v>
      </c>
      <c r="BJ203" s="163">
        <f t="shared" si="88"/>
        <v>142.3296</v>
      </c>
      <c r="BK203" s="131">
        <f t="shared" si="89"/>
        <v>15.347230953578887</v>
      </c>
      <c r="BL203" s="134">
        <f t="shared" si="90"/>
        <v>0.89458333333333329</v>
      </c>
      <c r="BM203" s="135">
        <f t="shared" si="91"/>
        <v>0.1410177427054283</v>
      </c>
      <c r="BN203" s="92" t="str">
        <f t="shared" si="92"/>
        <v>OK</v>
      </c>
      <c r="BO203" s="135">
        <f>_xll.DCEBoltDisRS(AN203, AE203, BA203, BB203, BC203, BD203, "h1")</f>
        <v>890</v>
      </c>
      <c r="BP203" s="136">
        <f>_xll.DCEBoltDisRS(AN203, AE203, BA203, BB203, BC203, BD203, "Tong")</f>
        <v>1800300</v>
      </c>
      <c r="BQ203" s="137">
        <f t="shared" si="93"/>
        <v>27.797935835109204</v>
      </c>
      <c r="BR203" s="135">
        <f t="shared" si="94"/>
        <v>0.19530677972192154</v>
      </c>
      <c r="BS203" s="64" t="str">
        <f t="shared" si="95"/>
        <v>OK</v>
      </c>
      <c r="BT203" s="131">
        <f t="shared" si="96"/>
        <v>0.23250612072233337</v>
      </c>
      <c r="BU203" s="92" t="str">
        <f t="shared" si="97"/>
        <v>OK</v>
      </c>
      <c r="BV203" s="139">
        <f t="shared" si="98"/>
        <v>153.63364611023238</v>
      </c>
      <c r="BW203" s="131">
        <f t="shared" si="99"/>
        <v>3.4567570374802283</v>
      </c>
      <c r="BX203" s="139">
        <f t="shared" si="100"/>
        <v>76.816823055116188</v>
      </c>
      <c r="BY203" s="123">
        <f t="shared" si="101"/>
        <v>32.856304514663556</v>
      </c>
      <c r="BZ203" s="141">
        <f t="shared" si="102"/>
        <v>0.1597181469462812</v>
      </c>
      <c r="CA203" s="131">
        <f t="shared" si="103"/>
        <v>3.0422504180244032</v>
      </c>
      <c r="CB203" s="143">
        <f t="shared" si="104"/>
        <v>2.5497788465242845E-2</v>
      </c>
      <c r="CC203" s="123">
        <f t="shared" si="105"/>
        <v>33.27615676694365</v>
      </c>
      <c r="CD203" s="131">
        <f t="shared" si="106"/>
        <v>0.14066008295205651</v>
      </c>
      <c r="CE203" s="135">
        <f t="shared" si="107"/>
        <v>0.1597181469462812</v>
      </c>
      <c r="CF203" s="92" t="str">
        <f t="shared" si="108"/>
        <v>OK</v>
      </c>
      <c r="CG203" s="50"/>
      <c r="DA203" s="111"/>
      <c r="DB203" s="111"/>
      <c r="DC203" s="111"/>
      <c r="DD203" s="116"/>
      <c r="DE203" s="120"/>
      <c r="DF203" s="121"/>
      <c r="DG203" s="121"/>
      <c r="DH203" s="121"/>
      <c r="DI203" s="121"/>
      <c r="DJ203" s="121"/>
      <c r="DK203" s="122"/>
      <c r="DL203" s="123"/>
      <c r="DM203" s="123"/>
      <c r="DN203" s="123"/>
      <c r="DO203" s="123"/>
      <c r="DP203" s="123"/>
      <c r="DQ203" s="111"/>
      <c r="DR203" s="120"/>
      <c r="DS203" s="120"/>
      <c r="DT203" s="120"/>
      <c r="DU203" s="120"/>
      <c r="DV203" s="120"/>
      <c r="DW203" s="120"/>
      <c r="DX203" s="120"/>
      <c r="DY203" s="120"/>
      <c r="DZ203" s="120"/>
      <c r="EA203" s="122"/>
      <c r="EB203" s="122"/>
      <c r="EC203" s="122"/>
      <c r="ED203" s="122"/>
      <c r="EE203" s="122"/>
      <c r="EF203" s="122"/>
      <c r="EG203" s="122"/>
      <c r="EH203" s="122"/>
      <c r="EI203" s="122"/>
      <c r="EJ203" s="122"/>
      <c r="EK203" s="131"/>
      <c r="EL203" s="131"/>
      <c r="EM203" s="276"/>
      <c r="EN203" s="276"/>
      <c r="EO203" s="135"/>
      <c r="EP203" s="136"/>
      <c r="EQ203" s="137"/>
      <c r="ER203" s="276"/>
      <c r="ES203" s="276"/>
      <c r="ET203" s="276"/>
      <c r="EU203" s="276"/>
      <c r="EV203" s="139"/>
      <c r="EW203" s="131"/>
      <c r="EX203" s="139"/>
      <c r="EY203" s="123"/>
      <c r="EZ203" s="141"/>
      <c r="FA203" s="131"/>
      <c r="FB203" s="143"/>
      <c r="FC203" s="123"/>
      <c r="FD203" s="131"/>
      <c r="FE203" s="276"/>
      <c r="FF203" s="276"/>
      <c r="FG203" s="50"/>
    </row>
    <row r="204" spans="27:163">
      <c r="AA204" s="111" t="s">
        <v>245</v>
      </c>
      <c r="AB204" s="111" t="s">
        <v>341</v>
      </c>
      <c r="AC204" s="111">
        <v>104</v>
      </c>
      <c r="AD204" s="116">
        <v>2.6850000000000001</v>
      </c>
      <c r="AE204" s="120">
        <v>1100</v>
      </c>
      <c r="AF204" s="121">
        <v>350</v>
      </c>
      <c r="AG204" s="121">
        <v>14</v>
      </c>
      <c r="AH204" s="121">
        <v>18.000000000000004</v>
      </c>
      <c r="AI204" s="121">
        <v>1064</v>
      </c>
      <c r="AJ204" s="64" t="str" cm="1">
        <f t="array" ref="AJ204">_xll.Dce_Name_SectI(AE204, AE204, AF204, AG204, AH204, "x", "-", "H Tổng")</f>
        <v>1100x350x14x18</v>
      </c>
      <c r="AK204" s="122">
        <f t="shared" si="75"/>
        <v>1360</v>
      </c>
      <c r="AL204" s="123">
        <f t="shared" si="76"/>
        <v>350</v>
      </c>
      <c r="AM204" s="123">
        <f t="shared" si="77"/>
        <v>25</v>
      </c>
      <c r="AN204" s="123">
        <f t="shared" si="78"/>
        <v>16</v>
      </c>
      <c r="AO204" s="123">
        <f t="shared" si="79"/>
        <v>27</v>
      </c>
      <c r="AP204" s="165" t="str">
        <f t="shared" si="80"/>
        <v>1360x350x25 + 16M27</v>
      </c>
      <c r="AQ204" s="111" t="s">
        <v>322</v>
      </c>
      <c r="AR204" s="120">
        <v>0</v>
      </c>
      <c r="AS204" s="120">
        <v>260.97178870699571</v>
      </c>
      <c r="AT204" s="120">
        <v>-6.0481397667899717E-15</v>
      </c>
      <c r="AU204" s="120">
        <v>5.1530809425750959E-4</v>
      </c>
      <c r="AV204" s="120">
        <v>1.88470039574895E-15</v>
      </c>
      <c r="AW204" s="120">
        <v>-721.25827177745691</v>
      </c>
      <c r="AX204" s="120"/>
      <c r="AY204" s="120"/>
      <c r="AZ204" s="120"/>
      <c r="BA204" s="122">
        <f t="shared" si="81"/>
        <v>60</v>
      </c>
      <c r="BB204" s="122">
        <f t="shared" si="82"/>
        <v>70</v>
      </c>
      <c r="BC204" s="122">
        <f t="shared" si="83"/>
        <v>80</v>
      </c>
      <c r="BD204" s="122">
        <f t="shared" si="84"/>
        <v>160</v>
      </c>
      <c r="BE204" s="122">
        <f>VLOOKUP(AO204,Data!$V$4:$Z$15,3,FALSE)</f>
        <v>572.55526111673976</v>
      </c>
      <c r="BF204" s="122">
        <f>VLOOKUP(AO204,Data!$V$4:$Z$15,4,FALSE)</f>
        <v>459</v>
      </c>
      <c r="BG204" s="163">
        <f t="shared" si="85"/>
        <v>180</v>
      </c>
      <c r="BH204" s="122">
        <f t="shared" si="86"/>
        <v>153.97156081951366</v>
      </c>
      <c r="BI204" s="122">
        <f t="shared" si="87"/>
        <v>273.375</v>
      </c>
      <c r="BJ204" s="163">
        <f t="shared" si="88"/>
        <v>185.06880000000001</v>
      </c>
      <c r="BK204" s="131">
        <f t="shared" si="89"/>
        <v>16.310736794187232</v>
      </c>
      <c r="BL204" s="134">
        <f t="shared" si="90"/>
        <v>0.85037037037037044</v>
      </c>
      <c r="BM204" s="135">
        <f t="shared" si="91"/>
        <v>0.12457329383327953</v>
      </c>
      <c r="BN204" s="92" t="str">
        <f t="shared" si="92"/>
        <v>OK</v>
      </c>
      <c r="BO204" s="135">
        <f>_xll.DCEBoltDisRS(AN204, AE204, BA204, BB204, BC204, BD204, "h1")</f>
        <v>1240</v>
      </c>
      <c r="BP204" s="136">
        <f>_xll.DCEBoltDisRS(AN204, AE204, BA204, BB204, BC204, BD204, "Tong")</f>
        <v>4523000</v>
      </c>
      <c r="BQ204" s="137">
        <f t="shared" si="93"/>
        <v>98.868036370113487</v>
      </c>
      <c r="BR204" s="135">
        <f t="shared" si="94"/>
        <v>0.53422314496075773</v>
      </c>
      <c r="BS204" s="64" t="str">
        <f t="shared" si="95"/>
        <v>OK</v>
      </c>
      <c r="BT204" s="131">
        <f t="shared" si="96"/>
        <v>0.54462488182371571</v>
      </c>
      <c r="BU204" s="92" t="str">
        <f t="shared" si="97"/>
        <v>OK</v>
      </c>
      <c r="BV204" s="139">
        <f t="shared" si="98"/>
        <v>666.59729369450724</v>
      </c>
      <c r="BW204" s="131">
        <f t="shared" si="99"/>
        <v>14.998439108126412</v>
      </c>
      <c r="BX204" s="139">
        <f t="shared" si="100"/>
        <v>333.29864684725362</v>
      </c>
      <c r="BY204" s="123">
        <f t="shared" si="101"/>
        <v>105.87133488089232</v>
      </c>
      <c r="BZ204" s="141">
        <f t="shared" si="102"/>
        <v>0.514652322337671</v>
      </c>
      <c r="CA204" s="131">
        <f t="shared" si="103"/>
        <v>9.8029013778604011</v>
      </c>
      <c r="CB204" s="143">
        <f t="shared" si="104"/>
        <v>8.2160332429385557E-2</v>
      </c>
      <c r="CC204" s="123">
        <f t="shared" si="105"/>
        <v>107.22420517650956</v>
      </c>
      <c r="CD204" s="131">
        <f t="shared" si="106"/>
        <v>0.45324241318572889</v>
      </c>
      <c r="CE204" s="135">
        <f t="shared" si="107"/>
        <v>0.514652322337671</v>
      </c>
      <c r="CF204" s="92" t="str">
        <f t="shared" si="108"/>
        <v>OK</v>
      </c>
      <c r="CG204" s="50"/>
      <c r="DA204" s="111"/>
      <c r="DB204" s="111"/>
      <c r="DC204" s="111"/>
      <c r="DD204" s="116"/>
      <c r="DE204" s="120"/>
      <c r="DF204" s="121"/>
      <c r="DG204" s="121"/>
      <c r="DH204" s="121"/>
      <c r="DI204" s="121"/>
      <c r="DJ204" s="121"/>
      <c r="DK204" s="122"/>
      <c r="DL204" s="123"/>
      <c r="DM204" s="123"/>
      <c r="DN204" s="123"/>
      <c r="DO204" s="123"/>
      <c r="DP204" s="123"/>
      <c r="DQ204" s="111"/>
      <c r="DR204" s="120"/>
      <c r="DS204" s="120"/>
      <c r="DT204" s="120"/>
      <c r="DU204" s="120"/>
      <c r="DV204" s="120"/>
      <c r="DW204" s="120"/>
      <c r="DX204" s="120"/>
      <c r="DY204" s="120"/>
      <c r="DZ204" s="120"/>
      <c r="EA204" s="122"/>
      <c r="EB204" s="122"/>
      <c r="EC204" s="122"/>
      <c r="ED204" s="122"/>
      <c r="EE204" s="122"/>
      <c r="EF204" s="122"/>
      <c r="EG204" s="122"/>
      <c r="EH204" s="122"/>
      <c r="EI204" s="122"/>
      <c r="EJ204" s="122"/>
      <c r="EK204" s="131"/>
      <c r="EL204" s="248"/>
      <c r="EM204" s="276"/>
      <c r="EN204" s="276"/>
      <c r="EO204" s="135"/>
      <c r="EP204" s="136"/>
      <c r="EQ204" s="137"/>
      <c r="ER204" s="276"/>
      <c r="ES204" s="276"/>
      <c r="ET204" s="276"/>
      <c r="EU204" s="276"/>
      <c r="EV204" s="139"/>
      <c r="EW204" s="131"/>
      <c r="EX204" s="139"/>
      <c r="EY204" s="123"/>
      <c r="EZ204" s="141"/>
      <c r="FA204" s="131"/>
      <c r="FB204" s="143"/>
      <c r="FC204" s="123"/>
      <c r="FD204" s="131"/>
      <c r="FE204" s="276"/>
      <c r="FF204" s="276"/>
      <c r="FG204" s="50"/>
    </row>
    <row r="205" spans="27:163">
      <c r="AA205" s="111" t="s">
        <v>245</v>
      </c>
      <c r="AB205" s="111" t="s">
        <v>341</v>
      </c>
      <c r="AC205" s="111">
        <v>104</v>
      </c>
      <c r="AD205" s="116">
        <v>0</v>
      </c>
      <c r="AE205" s="120">
        <v>750</v>
      </c>
      <c r="AF205" s="121">
        <v>350</v>
      </c>
      <c r="AG205" s="121">
        <v>14</v>
      </c>
      <c r="AH205" s="121">
        <v>18.000000000000004</v>
      </c>
      <c r="AI205" s="121">
        <v>714</v>
      </c>
      <c r="AJ205" s="64" t="str" cm="1">
        <f t="array" ref="AJ205">_xll.Dce_Name_SectI(AE205, AE205, AF205, AG205, AH205, "x", "-", "H Tổng")</f>
        <v>750x350x14x18</v>
      </c>
      <c r="AK205" s="122">
        <f t="shared" si="75"/>
        <v>1010</v>
      </c>
      <c r="AL205" s="123">
        <f t="shared" si="76"/>
        <v>350</v>
      </c>
      <c r="AM205" s="123">
        <f t="shared" si="77"/>
        <v>25</v>
      </c>
      <c r="AN205" s="123">
        <f t="shared" si="78"/>
        <v>12</v>
      </c>
      <c r="AO205" s="123">
        <f t="shared" si="79"/>
        <v>24</v>
      </c>
      <c r="AP205" s="165" t="str">
        <f t="shared" si="80"/>
        <v>1010x350x25 + 12M24</v>
      </c>
      <c r="AQ205" s="111" t="s">
        <v>323</v>
      </c>
      <c r="AR205" s="120">
        <v>0</v>
      </c>
      <c r="AS205" s="120">
        <v>185.74578629025015</v>
      </c>
      <c r="AT205" s="120">
        <v>-2.5420376914553334E-14</v>
      </c>
      <c r="AU205" s="120">
        <v>5.3941587129809315E-4</v>
      </c>
      <c r="AV205" s="120">
        <v>1.6274861991405482E-14</v>
      </c>
      <c r="AW205" s="120">
        <v>-114.71800866454755</v>
      </c>
      <c r="AX205" s="120"/>
      <c r="AY205" s="120"/>
      <c r="AZ205" s="120"/>
      <c r="BA205" s="122">
        <f t="shared" si="81"/>
        <v>60</v>
      </c>
      <c r="BB205" s="122">
        <f t="shared" si="82"/>
        <v>70</v>
      </c>
      <c r="BC205" s="122">
        <f t="shared" si="83"/>
        <v>80</v>
      </c>
      <c r="BD205" s="122">
        <f t="shared" si="84"/>
        <v>150</v>
      </c>
      <c r="BE205" s="122">
        <f>VLOOKUP(AO205,Data!$V$4:$Z$15,3,FALSE)</f>
        <v>452.38934211693021</v>
      </c>
      <c r="BF205" s="122">
        <f>VLOOKUP(AO205,Data!$V$4:$Z$15,4,FALSE)</f>
        <v>353</v>
      </c>
      <c r="BG205" s="163">
        <f t="shared" si="85"/>
        <v>180</v>
      </c>
      <c r="BH205" s="122">
        <f t="shared" si="86"/>
        <v>121.65654188208487</v>
      </c>
      <c r="BI205" s="122">
        <f t="shared" si="87"/>
        <v>243</v>
      </c>
      <c r="BJ205" s="163">
        <f t="shared" si="88"/>
        <v>142.3296</v>
      </c>
      <c r="BK205" s="131">
        <f t="shared" si="89"/>
        <v>15.478815524187512</v>
      </c>
      <c r="BL205" s="134">
        <f t="shared" si="90"/>
        <v>0.89458333333333329</v>
      </c>
      <c r="BM205" s="135">
        <f t="shared" si="91"/>
        <v>0.1422268050553869</v>
      </c>
      <c r="BN205" s="92" t="str">
        <f t="shared" si="92"/>
        <v>OK</v>
      </c>
      <c r="BO205" s="135">
        <f>_xll.DCEBoltDisRS(AN205, AE205, BA205, BB205, BC205, BD205, "h1")</f>
        <v>890</v>
      </c>
      <c r="BP205" s="136">
        <f>_xll.DCEBoltDisRS(AN205, AE205, BA205, BB205, BC205, BD205, "Tong")</f>
        <v>1800300</v>
      </c>
      <c r="BQ205" s="137">
        <f t="shared" si="93"/>
        <v>28.356115011788958</v>
      </c>
      <c r="BR205" s="135">
        <f t="shared" si="94"/>
        <v>0.19922851614695017</v>
      </c>
      <c r="BS205" s="64" t="str">
        <f t="shared" si="95"/>
        <v>OK</v>
      </c>
      <c r="BT205" s="131">
        <f t="shared" si="96"/>
        <v>0.23639040490658686</v>
      </c>
      <c r="BU205" s="92" t="str">
        <f t="shared" si="97"/>
        <v>OK</v>
      </c>
      <c r="BV205" s="139">
        <f t="shared" si="98"/>
        <v>156.71859107178628</v>
      </c>
      <c r="BW205" s="131">
        <f t="shared" si="99"/>
        <v>3.526168299115191</v>
      </c>
      <c r="BX205" s="139">
        <f t="shared" si="100"/>
        <v>78.359295535893139</v>
      </c>
      <c r="BY205" s="123">
        <f t="shared" si="101"/>
        <v>33.516055120302802</v>
      </c>
      <c r="BZ205" s="141">
        <f t="shared" si="102"/>
        <v>0.16292526794591641</v>
      </c>
      <c r="CA205" s="131">
        <f t="shared" si="103"/>
        <v>3.1033384370650747</v>
      </c>
      <c r="CB205" s="143">
        <f t="shared" si="104"/>
        <v>2.6009780961991767E-2</v>
      </c>
      <c r="CC205" s="123">
        <f t="shared" si="105"/>
        <v>33.944337954835298</v>
      </c>
      <c r="CD205" s="131">
        <f t="shared" si="106"/>
        <v>0.14348452034048739</v>
      </c>
      <c r="CE205" s="135">
        <f t="shared" si="107"/>
        <v>0.16292526794591641</v>
      </c>
      <c r="CF205" s="92" t="str">
        <f t="shared" si="108"/>
        <v>OK</v>
      </c>
      <c r="CG205" s="50"/>
      <c r="DA205" s="111"/>
      <c r="DB205" s="111"/>
      <c r="DC205" s="111"/>
      <c r="DD205" s="116"/>
      <c r="DE205" s="120"/>
      <c r="DF205" s="121"/>
      <c r="DG205" s="121"/>
      <c r="DH205" s="121"/>
      <c r="DI205" s="121"/>
      <c r="DJ205" s="121"/>
      <c r="DK205" s="122"/>
      <c r="DL205" s="123"/>
      <c r="DM205" s="123"/>
      <c r="DN205" s="123"/>
      <c r="DO205" s="123"/>
      <c r="DP205" s="123"/>
      <c r="DQ205" s="111"/>
      <c r="DR205" s="120"/>
      <c r="DS205" s="120"/>
      <c r="DT205" s="120"/>
      <c r="DU205" s="120"/>
      <c r="DV205" s="120"/>
      <c r="DW205" s="120"/>
      <c r="DX205" s="120"/>
      <c r="DY205" s="120"/>
      <c r="DZ205" s="120"/>
      <c r="EA205" s="122"/>
      <c r="EB205" s="122"/>
      <c r="EC205" s="122"/>
      <c r="ED205" s="122"/>
      <c r="EE205" s="122"/>
      <c r="EF205" s="122"/>
      <c r="EG205" s="122"/>
      <c r="EH205" s="122"/>
      <c r="EI205" s="122"/>
      <c r="EJ205" s="122"/>
      <c r="EK205" s="131"/>
      <c r="EL205" s="248"/>
      <c r="EM205" s="276"/>
      <c r="EN205" s="276"/>
      <c r="EO205" s="135"/>
      <c r="EP205" s="136"/>
      <c r="EQ205" s="137"/>
      <c r="ER205" s="276"/>
      <c r="ES205" s="276"/>
      <c r="ET205" s="276"/>
      <c r="EU205" s="276"/>
      <c r="EV205" s="139"/>
      <c r="EW205" s="131"/>
      <c r="EX205" s="139"/>
      <c r="EY205" s="123"/>
      <c r="EZ205" s="141"/>
      <c r="FA205" s="131"/>
      <c r="FB205" s="143"/>
      <c r="FC205" s="123"/>
      <c r="FD205" s="131"/>
      <c r="FE205" s="276"/>
      <c r="FF205" s="276"/>
      <c r="FG205" s="50"/>
    </row>
    <row r="206" spans="27:163">
      <c r="AA206" s="111" t="s">
        <v>245</v>
      </c>
      <c r="AB206" s="111" t="s">
        <v>341</v>
      </c>
      <c r="AC206" s="111">
        <v>104</v>
      </c>
      <c r="AD206" s="116">
        <v>2.6850000000000001</v>
      </c>
      <c r="AE206" s="120">
        <v>1100</v>
      </c>
      <c r="AF206" s="121">
        <v>350</v>
      </c>
      <c r="AG206" s="121">
        <v>14</v>
      </c>
      <c r="AH206" s="121">
        <v>18.000000000000004</v>
      </c>
      <c r="AI206" s="121">
        <v>1064</v>
      </c>
      <c r="AJ206" s="64" t="str" cm="1">
        <f t="array" ref="AJ206">_xll.Dce_Name_SectI(AE206, AE206, AF206, AG206, AH206, "x", "-", "H Tổng")</f>
        <v>1100x350x14x18</v>
      </c>
      <c r="AK206" s="122">
        <f t="shared" si="75"/>
        <v>1360</v>
      </c>
      <c r="AL206" s="123">
        <f t="shared" si="76"/>
        <v>350</v>
      </c>
      <c r="AM206" s="123">
        <f t="shared" si="77"/>
        <v>25</v>
      </c>
      <c r="AN206" s="123">
        <f t="shared" si="78"/>
        <v>16</v>
      </c>
      <c r="AO206" s="123">
        <f t="shared" si="79"/>
        <v>27</v>
      </c>
      <c r="AP206" s="165" t="str">
        <f t="shared" si="80"/>
        <v>1360x350x25 + 16M27</v>
      </c>
      <c r="AQ206" s="111" t="s">
        <v>323</v>
      </c>
      <c r="AR206" s="120">
        <v>0</v>
      </c>
      <c r="AS206" s="120">
        <v>262.55080393980415</v>
      </c>
      <c r="AT206" s="120">
        <v>-5.8207660913467402E-15</v>
      </c>
      <c r="AU206" s="120">
        <v>5.3933631862507843E-4</v>
      </c>
      <c r="AV206" s="120">
        <v>1.717125996947288E-15</v>
      </c>
      <c r="AW206" s="120">
        <v>-727.7560913543407</v>
      </c>
      <c r="AX206" s="120"/>
      <c r="AY206" s="120"/>
      <c r="AZ206" s="120"/>
      <c r="BA206" s="122">
        <f t="shared" si="81"/>
        <v>60</v>
      </c>
      <c r="BB206" s="122">
        <f t="shared" si="82"/>
        <v>70</v>
      </c>
      <c r="BC206" s="122">
        <f t="shared" si="83"/>
        <v>80</v>
      </c>
      <c r="BD206" s="122">
        <f t="shared" si="84"/>
        <v>160</v>
      </c>
      <c r="BE206" s="122">
        <f>VLOOKUP(AO206,Data!$V$4:$Z$15,3,FALSE)</f>
        <v>572.55526111673976</v>
      </c>
      <c r="BF206" s="122">
        <f>VLOOKUP(AO206,Data!$V$4:$Z$15,4,FALSE)</f>
        <v>459</v>
      </c>
      <c r="BG206" s="163">
        <f t="shared" si="85"/>
        <v>180</v>
      </c>
      <c r="BH206" s="122">
        <f t="shared" si="86"/>
        <v>153.97156081951366</v>
      </c>
      <c r="BI206" s="122">
        <f t="shared" si="87"/>
        <v>273.375</v>
      </c>
      <c r="BJ206" s="163">
        <f t="shared" si="88"/>
        <v>185.06880000000001</v>
      </c>
      <c r="BK206" s="131">
        <f t="shared" si="89"/>
        <v>16.40942524623776</v>
      </c>
      <c r="BL206" s="134">
        <f t="shared" si="90"/>
        <v>0.85037037037037044</v>
      </c>
      <c r="BM206" s="135">
        <f t="shared" si="91"/>
        <v>0.12532702713732152</v>
      </c>
      <c r="BN206" s="92" t="str">
        <f t="shared" si="92"/>
        <v>OK</v>
      </c>
      <c r="BO206" s="135">
        <f>_xll.DCEBoltDisRS(AN206, AE206, BA206, BB206, BC206, BD206, "h1")</f>
        <v>1240</v>
      </c>
      <c r="BP206" s="136">
        <f>_xll.DCEBoltDisRS(AN206, AE206, BA206, BB206, BC206, BD206, "Tong")</f>
        <v>4523000</v>
      </c>
      <c r="BQ206" s="137">
        <f t="shared" si="93"/>
        <v>99.758739031547918</v>
      </c>
      <c r="BR206" s="135">
        <f t="shared" si="94"/>
        <v>0.53903596409307197</v>
      </c>
      <c r="BS206" s="64" t="str">
        <f t="shared" si="95"/>
        <v>OK</v>
      </c>
      <c r="BT206" s="131">
        <f t="shared" si="96"/>
        <v>0.54947053723818751</v>
      </c>
      <c r="BU206" s="92" t="str">
        <f t="shared" si="97"/>
        <v>OK</v>
      </c>
      <c r="BV206" s="139">
        <f t="shared" si="98"/>
        <v>672.60267223136839</v>
      </c>
      <c r="BW206" s="131">
        <f t="shared" si="99"/>
        <v>15.133560125205788</v>
      </c>
      <c r="BX206" s="139">
        <f t="shared" si="100"/>
        <v>336.30133611568419</v>
      </c>
      <c r="BY206" s="123">
        <f t="shared" si="101"/>
        <v>106.82513029557026</v>
      </c>
      <c r="BZ206" s="141">
        <f t="shared" si="102"/>
        <v>0.51928882782568886</v>
      </c>
      <c r="CA206" s="131">
        <f t="shared" si="103"/>
        <v>9.8912157681083581</v>
      </c>
      <c r="CB206" s="143">
        <f t="shared" si="104"/>
        <v>8.290051529784305E-2</v>
      </c>
      <c r="CC206" s="123">
        <f t="shared" si="105"/>
        <v>108.19018860682048</v>
      </c>
      <c r="CD206" s="131">
        <f t="shared" si="106"/>
        <v>0.45732567647810601</v>
      </c>
      <c r="CE206" s="135">
        <f t="shared" si="107"/>
        <v>0.51928882782568886</v>
      </c>
      <c r="CF206" s="92" t="str">
        <f t="shared" si="108"/>
        <v>OK</v>
      </c>
      <c r="CG206" s="50"/>
      <c r="DA206" s="111"/>
      <c r="DB206" s="111"/>
      <c r="DC206" s="111"/>
      <c r="DD206" s="116"/>
      <c r="DE206" s="120"/>
      <c r="DF206" s="121"/>
      <c r="DG206" s="121"/>
      <c r="DH206" s="121"/>
      <c r="DI206" s="121"/>
      <c r="DJ206" s="121"/>
      <c r="DK206" s="122"/>
      <c r="DL206" s="123"/>
      <c r="DM206" s="123"/>
      <c r="DN206" s="123"/>
      <c r="DO206" s="123"/>
      <c r="DP206" s="123"/>
      <c r="DQ206" s="111"/>
      <c r="DR206" s="120"/>
      <c r="DS206" s="120"/>
      <c r="DT206" s="120"/>
      <c r="DU206" s="120"/>
      <c r="DV206" s="120"/>
      <c r="DW206" s="120"/>
      <c r="DX206" s="120"/>
      <c r="DY206" s="120"/>
      <c r="DZ206" s="120"/>
      <c r="EA206" s="122"/>
      <c r="EB206" s="122"/>
      <c r="EC206" s="122"/>
      <c r="ED206" s="122"/>
      <c r="EE206" s="122"/>
      <c r="EF206" s="122"/>
      <c r="EG206" s="122"/>
      <c r="EH206" s="122"/>
      <c r="EI206" s="122"/>
      <c r="EJ206" s="122"/>
      <c r="EK206" s="131"/>
      <c r="EL206" s="248"/>
      <c r="EM206" s="276"/>
      <c r="EN206" s="276"/>
      <c r="EO206" s="135"/>
      <c r="EP206" s="136"/>
      <c r="EQ206" s="137"/>
      <c r="ER206" s="276"/>
      <c r="ES206" s="276"/>
      <c r="ET206" s="276"/>
      <c r="EU206" s="276"/>
      <c r="EV206" s="139"/>
      <c r="EW206" s="131"/>
      <c r="EX206" s="139"/>
      <c r="EY206" s="123"/>
      <c r="EZ206" s="141"/>
      <c r="FA206" s="131"/>
      <c r="FB206" s="143"/>
      <c r="FC206" s="123"/>
      <c r="FD206" s="131"/>
      <c r="FE206" s="276"/>
      <c r="FF206" s="276"/>
      <c r="FG206" s="50"/>
    </row>
    <row r="207" spans="27:163">
      <c r="AA207" s="111" t="s">
        <v>245</v>
      </c>
      <c r="AB207" s="111" t="s">
        <v>341</v>
      </c>
      <c r="AC207" s="111">
        <v>104</v>
      </c>
      <c r="AD207" s="116">
        <v>0</v>
      </c>
      <c r="AE207" s="120">
        <v>750</v>
      </c>
      <c r="AF207" s="121">
        <v>350</v>
      </c>
      <c r="AG207" s="121">
        <v>14</v>
      </c>
      <c r="AH207" s="121">
        <v>18.000000000000004</v>
      </c>
      <c r="AI207" s="121">
        <v>714</v>
      </c>
      <c r="AJ207" s="64" t="str" cm="1">
        <f t="array" ref="AJ207">_xll.Dce_Name_SectI(AE207, AE207, AF207, AG207, AH207, "x", "-", "H Tổng")</f>
        <v>750x350x14x18</v>
      </c>
      <c r="AK207" s="122">
        <f t="shared" si="75"/>
        <v>1010</v>
      </c>
      <c r="AL207" s="123">
        <f t="shared" si="76"/>
        <v>350</v>
      </c>
      <c r="AM207" s="123">
        <f t="shared" si="77"/>
        <v>25</v>
      </c>
      <c r="AN207" s="123">
        <f t="shared" si="78"/>
        <v>12</v>
      </c>
      <c r="AO207" s="123">
        <f t="shared" si="79"/>
        <v>24</v>
      </c>
      <c r="AP207" s="165" t="str">
        <f t="shared" si="80"/>
        <v>1010x350x25 + 12M24</v>
      </c>
      <c r="AQ207" s="111" t="s">
        <v>324</v>
      </c>
      <c r="AR207" s="120">
        <v>0</v>
      </c>
      <c r="AS207" s="120">
        <v>442.420426850853</v>
      </c>
      <c r="AT207" s="120">
        <v>-4.0859049477148788E-14</v>
      </c>
      <c r="AU207" s="120">
        <v>1.302590218235573E-3</v>
      </c>
      <c r="AV207" s="120">
        <v>1.5955884009599681E-13</v>
      </c>
      <c r="AW207" s="120">
        <v>-330.93069489536362</v>
      </c>
      <c r="AX207" s="120"/>
      <c r="AY207" s="120"/>
      <c r="AZ207" s="120"/>
      <c r="BA207" s="122">
        <f t="shared" si="81"/>
        <v>60</v>
      </c>
      <c r="BB207" s="122">
        <f t="shared" si="82"/>
        <v>70</v>
      </c>
      <c r="BC207" s="122">
        <f t="shared" si="83"/>
        <v>80</v>
      </c>
      <c r="BD207" s="122">
        <f t="shared" si="84"/>
        <v>150</v>
      </c>
      <c r="BE207" s="122">
        <f>VLOOKUP(AO207,Data!$V$4:$Z$15,3,FALSE)</f>
        <v>452.38934211693021</v>
      </c>
      <c r="BF207" s="122">
        <f>VLOOKUP(AO207,Data!$V$4:$Z$15,4,FALSE)</f>
        <v>353</v>
      </c>
      <c r="BG207" s="163">
        <f t="shared" si="85"/>
        <v>180</v>
      </c>
      <c r="BH207" s="122">
        <f t="shared" si="86"/>
        <v>121.65654188208487</v>
      </c>
      <c r="BI207" s="122">
        <f t="shared" si="87"/>
        <v>243</v>
      </c>
      <c r="BJ207" s="163">
        <f t="shared" si="88"/>
        <v>142.3296</v>
      </c>
      <c r="BK207" s="131">
        <f t="shared" si="89"/>
        <v>36.868368904237748</v>
      </c>
      <c r="BL207" s="134">
        <f t="shared" si="90"/>
        <v>0.89458333333333329</v>
      </c>
      <c r="BM207" s="135">
        <f t="shared" si="91"/>
        <v>0.3387643136297635</v>
      </c>
      <c r="BN207" s="92" t="str">
        <f t="shared" si="92"/>
        <v>OK</v>
      </c>
      <c r="BO207" s="135">
        <f>_xll.DCEBoltDisRS(AN207, AE207, BA207, BB207, BC207, BD207, "h1")</f>
        <v>890</v>
      </c>
      <c r="BP207" s="136">
        <f>_xll.DCEBoltDisRS(AN207, AE207, BA207, BB207, BC207, BD207, "Tong")</f>
        <v>1800300</v>
      </c>
      <c r="BQ207" s="137">
        <f t="shared" si="93"/>
        <v>81.799788495493416</v>
      </c>
      <c r="BR207" s="135">
        <f t="shared" si="94"/>
        <v>0.57472084861823136</v>
      </c>
      <c r="BS207" s="64" t="str">
        <f t="shared" si="95"/>
        <v>OK</v>
      </c>
      <c r="BT207" s="131">
        <f t="shared" si="96"/>
        <v>0.64972695759833998</v>
      </c>
      <c r="BU207" s="92" t="str">
        <f t="shared" si="97"/>
        <v>OK</v>
      </c>
      <c r="BV207" s="139">
        <f t="shared" si="98"/>
        <v>452.09111324503226</v>
      </c>
      <c r="BW207" s="131">
        <f t="shared" si="99"/>
        <v>10.172050048013226</v>
      </c>
      <c r="BX207" s="139">
        <f t="shared" si="100"/>
        <v>226.04555662251613</v>
      </c>
      <c r="BY207" s="123">
        <f t="shared" si="101"/>
        <v>96.68483213953165</v>
      </c>
      <c r="BZ207" s="141">
        <f t="shared" si="102"/>
        <v>0.46999571178939004</v>
      </c>
      <c r="CA207" s="131">
        <f t="shared" si="103"/>
        <v>8.9522992721788572</v>
      </c>
      <c r="CB207" s="143">
        <f t="shared" si="104"/>
        <v>7.5031243899966488E-2</v>
      </c>
      <c r="CC207" s="123">
        <f t="shared" si="105"/>
        <v>97.920313278835948</v>
      </c>
      <c r="CD207" s="131">
        <f t="shared" si="106"/>
        <v>0.41391436772454815</v>
      </c>
      <c r="CE207" s="135">
        <f t="shared" si="107"/>
        <v>0.46999571178939004</v>
      </c>
      <c r="CF207" s="92" t="str">
        <f t="shared" si="108"/>
        <v>OK</v>
      </c>
      <c r="CG207" s="50"/>
      <c r="DA207" s="111"/>
      <c r="DB207" s="111"/>
      <c r="DC207" s="111"/>
      <c r="DD207" s="116"/>
      <c r="DE207" s="120"/>
      <c r="DF207" s="121"/>
      <c r="DG207" s="121"/>
      <c r="DH207" s="121"/>
      <c r="DI207" s="121"/>
      <c r="DJ207" s="121"/>
      <c r="DK207" s="122"/>
      <c r="DL207" s="123"/>
      <c r="DM207" s="123"/>
      <c r="DN207" s="123"/>
      <c r="DO207" s="123"/>
      <c r="DP207" s="123"/>
      <c r="DQ207" s="111"/>
      <c r="DR207" s="120"/>
      <c r="DS207" s="120"/>
      <c r="DT207" s="120"/>
      <c r="DU207" s="120"/>
      <c r="DV207" s="120"/>
      <c r="DW207" s="120"/>
      <c r="DX207" s="120"/>
      <c r="DY207" s="120"/>
      <c r="DZ207" s="120"/>
      <c r="EA207" s="122"/>
      <c r="EB207" s="122"/>
      <c r="EC207" s="122"/>
      <c r="ED207" s="122"/>
      <c r="EE207" s="122"/>
      <c r="EF207" s="122"/>
      <c r="EG207" s="122"/>
      <c r="EH207" s="122"/>
      <c r="EI207" s="122"/>
      <c r="EJ207" s="122"/>
      <c r="EK207" s="131"/>
      <c r="EL207" s="248"/>
      <c r="EM207" s="276"/>
      <c r="EN207" s="276"/>
      <c r="EO207" s="135"/>
      <c r="EP207" s="136"/>
      <c r="EQ207" s="137"/>
      <c r="ER207" s="276"/>
      <c r="ES207" s="276"/>
      <c r="ET207" s="276"/>
      <c r="EU207" s="276"/>
      <c r="EV207" s="139"/>
      <c r="EW207" s="131"/>
      <c r="EX207" s="139"/>
      <c r="EY207" s="123"/>
      <c r="EZ207" s="141"/>
      <c r="FA207" s="131"/>
      <c r="FB207" s="143"/>
      <c r="FC207" s="123"/>
      <c r="FD207" s="131"/>
      <c r="FE207" s="276"/>
      <c r="FF207" s="276"/>
      <c r="FG207" s="50"/>
    </row>
    <row r="208" spans="27:163">
      <c r="AA208" s="111" t="s">
        <v>245</v>
      </c>
      <c r="AB208" s="111" t="s">
        <v>341</v>
      </c>
      <c r="AC208" s="111">
        <v>104</v>
      </c>
      <c r="AD208" s="116">
        <v>2.6850000000000001</v>
      </c>
      <c r="AE208" s="120">
        <v>1100</v>
      </c>
      <c r="AF208" s="121">
        <v>350</v>
      </c>
      <c r="AG208" s="121">
        <v>14</v>
      </c>
      <c r="AH208" s="121">
        <v>18.000000000000004</v>
      </c>
      <c r="AI208" s="121">
        <v>1064</v>
      </c>
      <c r="AJ208" s="64" t="str" cm="1">
        <f t="array" ref="AJ208">_xll.Dce_Name_SectI(AE208, AE208, AF208, AG208, AH208, "x", "-", "H Tổng")</f>
        <v>1100x350x14x18</v>
      </c>
      <c r="AK208" s="122">
        <f t="shared" si="75"/>
        <v>1360</v>
      </c>
      <c r="AL208" s="123">
        <f t="shared" si="76"/>
        <v>350</v>
      </c>
      <c r="AM208" s="123">
        <f t="shared" si="77"/>
        <v>25</v>
      </c>
      <c r="AN208" s="123">
        <f t="shared" si="78"/>
        <v>16</v>
      </c>
      <c r="AO208" s="123">
        <f t="shared" si="79"/>
        <v>27</v>
      </c>
      <c r="AP208" s="165" t="str">
        <f t="shared" si="80"/>
        <v>1360x350x25 + 16M27</v>
      </c>
      <c r="AQ208" s="111" t="s">
        <v>324</v>
      </c>
      <c r="AR208" s="120">
        <v>0</v>
      </c>
      <c r="AS208" s="120">
        <v>620.7188047033186</v>
      </c>
      <c r="AT208" s="120">
        <v>-1.2846612662542609E-14</v>
      </c>
      <c r="AU208" s="120">
        <v>1.3023987048268384E-3</v>
      </c>
      <c r="AV208" s="120">
        <v>6.8420672505453669E-14</v>
      </c>
      <c r="AW208" s="120">
        <v>-1785.888913676192</v>
      </c>
      <c r="AX208" s="120"/>
      <c r="AY208" s="120"/>
      <c r="AZ208" s="120"/>
      <c r="BA208" s="122">
        <f t="shared" si="81"/>
        <v>60</v>
      </c>
      <c r="BB208" s="122">
        <f t="shared" si="82"/>
        <v>70</v>
      </c>
      <c r="BC208" s="122">
        <f t="shared" si="83"/>
        <v>80</v>
      </c>
      <c r="BD208" s="122">
        <f t="shared" si="84"/>
        <v>160</v>
      </c>
      <c r="BE208" s="122">
        <f>VLOOKUP(AO208,Data!$V$4:$Z$15,3,FALSE)</f>
        <v>572.55526111673976</v>
      </c>
      <c r="BF208" s="122">
        <f>VLOOKUP(AO208,Data!$V$4:$Z$15,4,FALSE)</f>
        <v>459</v>
      </c>
      <c r="BG208" s="163">
        <f t="shared" si="85"/>
        <v>180</v>
      </c>
      <c r="BH208" s="122">
        <f t="shared" si="86"/>
        <v>153.97156081951366</v>
      </c>
      <c r="BI208" s="122">
        <f t="shared" si="87"/>
        <v>273.375</v>
      </c>
      <c r="BJ208" s="163">
        <f t="shared" si="88"/>
        <v>185.06880000000001</v>
      </c>
      <c r="BK208" s="131">
        <f t="shared" si="89"/>
        <v>38.794925293957412</v>
      </c>
      <c r="BL208" s="134">
        <f t="shared" si="90"/>
        <v>0.85037037037037044</v>
      </c>
      <c r="BM208" s="135">
        <f t="shared" si="91"/>
        <v>0.29629634080090034</v>
      </c>
      <c r="BN208" s="92" t="str">
        <f t="shared" si="92"/>
        <v>OK</v>
      </c>
      <c r="BO208" s="135">
        <f>_xll.DCEBoltDisRS(AN208, AE208, BA208, BB208, BC208, BD208, "h1")</f>
        <v>1240</v>
      </c>
      <c r="BP208" s="136">
        <f>_xll.DCEBoltDisRS(AN208, AE208, BA208, BB208, BC208, BD208, "Tong")</f>
        <v>4523000</v>
      </c>
      <c r="BQ208" s="137">
        <f t="shared" si="93"/>
        <v>244.80458246279881</v>
      </c>
      <c r="BR208" s="135">
        <f t="shared" si="94"/>
        <v>1.3227760836121421</v>
      </c>
      <c r="BS208" s="64" t="str">
        <f t="shared" si="95"/>
        <v>O/S</v>
      </c>
      <c r="BT208" s="131">
        <f t="shared" si="96"/>
        <v>1.346559033202033</v>
      </c>
      <c r="BU208" s="92" t="str">
        <f t="shared" si="97"/>
        <v>O/S</v>
      </c>
      <c r="BV208" s="139">
        <f t="shared" si="98"/>
        <v>1650.5442825103437</v>
      </c>
      <c r="BW208" s="131">
        <f t="shared" si="99"/>
        <v>37.137246356482734</v>
      </c>
      <c r="BX208" s="139">
        <f t="shared" si="100"/>
        <v>825.27214125517185</v>
      </c>
      <c r="BY208" s="123">
        <f t="shared" si="101"/>
        <v>262.14526839870166</v>
      </c>
      <c r="BZ208" s="141">
        <f t="shared" si="102"/>
        <v>1.2743172769381332</v>
      </c>
      <c r="CA208" s="131">
        <f t="shared" si="103"/>
        <v>24.27271003691682</v>
      </c>
      <c r="CB208" s="143">
        <f t="shared" si="104"/>
        <v>0.20343506975385267</v>
      </c>
      <c r="CC208" s="123">
        <f t="shared" si="105"/>
        <v>265.49507547492487</v>
      </c>
      <c r="CD208" s="131">
        <f t="shared" si="106"/>
        <v>1.1222617924664702</v>
      </c>
      <c r="CE208" s="135">
        <f t="shared" si="107"/>
        <v>1.2743172769381332</v>
      </c>
      <c r="CF208" s="92" t="str">
        <f t="shared" si="108"/>
        <v>O/S</v>
      </c>
      <c r="CG208" s="50"/>
      <c r="DA208" s="111"/>
      <c r="DB208" s="111"/>
      <c r="DC208" s="111"/>
      <c r="DD208" s="116"/>
      <c r="DE208" s="120"/>
      <c r="DF208" s="121"/>
      <c r="DG208" s="121"/>
      <c r="DH208" s="121"/>
      <c r="DI208" s="121"/>
      <c r="DJ208" s="121"/>
      <c r="DK208" s="122"/>
      <c r="DL208" s="123"/>
      <c r="DM208" s="123"/>
      <c r="DN208" s="123"/>
      <c r="DO208" s="123"/>
      <c r="DP208" s="123"/>
      <c r="DQ208" s="111"/>
      <c r="DR208" s="120"/>
      <c r="DS208" s="120"/>
      <c r="DT208" s="120"/>
      <c r="DU208" s="120"/>
      <c r="DV208" s="120"/>
      <c r="DW208" s="120"/>
      <c r="DX208" s="120"/>
      <c r="DY208" s="120"/>
      <c r="DZ208" s="120"/>
      <c r="EA208" s="122"/>
      <c r="EB208" s="122"/>
      <c r="EC208" s="122"/>
      <c r="ED208" s="122"/>
      <c r="EE208" s="122"/>
      <c r="EF208" s="122"/>
      <c r="EG208" s="122"/>
      <c r="EH208" s="122"/>
      <c r="EI208" s="122"/>
      <c r="EJ208" s="122"/>
      <c r="EK208" s="131"/>
      <c r="EL208" s="248"/>
      <c r="EM208" s="276"/>
      <c r="EN208" s="276"/>
      <c r="EO208" s="135"/>
      <c r="EP208" s="136"/>
      <c r="EQ208" s="137"/>
      <c r="ER208" s="276"/>
      <c r="ES208" s="276"/>
      <c r="ET208" s="276"/>
      <c r="EU208" s="276"/>
      <c r="EV208" s="139"/>
      <c r="EW208" s="131"/>
      <c r="EX208" s="139"/>
      <c r="EY208" s="123"/>
      <c r="EZ208" s="141"/>
      <c r="FA208" s="131"/>
      <c r="FB208" s="143"/>
      <c r="FC208" s="123"/>
      <c r="FD208" s="131"/>
      <c r="FE208" s="276"/>
      <c r="FF208" s="276"/>
      <c r="FG208" s="50"/>
    </row>
    <row r="209" spans="27:163">
      <c r="AA209" s="111" t="s">
        <v>245</v>
      </c>
      <c r="AB209" s="111" t="s">
        <v>341</v>
      </c>
      <c r="AC209" s="111">
        <v>104</v>
      </c>
      <c r="AD209" s="116">
        <v>0</v>
      </c>
      <c r="AE209" s="120">
        <v>750</v>
      </c>
      <c r="AF209" s="121">
        <v>350</v>
      </c>
      <c r="AG209" s="121">
        <v>14</v>
      </c>
      <c r="AH209" s="121">
        <v>18.000000000000004</v>
      </c>
      <c r="AI209" s="121">
        <v>714</v>
      </c>
      <c r="AJ209" s="64" t="str" cm="1">
        <f t="array" ref="AJ209">_xll.Dce_Name_SectI(AE209, AE209, AF209, AG209, AH209, "x", "-", "H Tổng")</f>
        <v>750x350x14x18</v>
      </c>
      <c r="AK209" s="122">
        <f t="shared" si="75"/>
        <v>1010</v>
      </c>
      <c r="AL209" s="123">
        <f t="shared" si="76"/>
        <v>350</v>
      </c>
      <c r="AM209" s="123">
        <f t="shared" si="77"/>
        <v>25</v>
      </c>
      <c r="AN209" s="123">
        <f t="shared" si="78"/>
        <v>12</v>
      </c>
      <c r="AO209" s="123">
        <f t="shared" si="79"/>
        <v>24</v>
      </c>
      <c r="AP209" s="165" t="str">
        <f t="shared" si="80"/>
        <v>1010x350x25 + 12M24</v>
      </c>
      <c r="AQ209" s="111" t="s">
        <v>325</v>
      </c>
      <c r="AR209" s="120">
        <v>0</v>
      </c>
      <c r="AS209" s="120">
        <v>445.31167223208638</v>
      </c>
      <c r="AT209" s="120">
        <v>-5.0652033678488796E-13</v>
      </c>
      <c r="AU209" s="120">
        <v>1.737022661808063E-3</v>
      </c>
      <c r="AV209" s="120">
        <v>-1.9806902855634685E-13</v>
      </c>
      <c r="AW209" s="120">
        <v>-334.20828466857665</v>
      </c>
      <c r="AX209" s="120"/>
      <c r="AY209" s="120"/>
      <c r="AZ209" s="120"/>
      <c r="BA209" s="122">
        <f t="shared" si="81"/>
        <v>60</v>
      </c>
      <c r="BB209" s="122">
        <f t="shared" si="82"/>
        <v>70</v>
      </c>
      <c r="BC209" s="122">
        <f t="shared" si="83"/>
        <v>80</v>
      </c>
      <c r="BD209" s="122">
        <f t="shared" si="84"/>
        <v>150</v>
      </c>
      <c r="BE209" s="122">
        <f>VLOOKUP(AO209,Data!$V$4:$Z$15,3,FALSE)</f>
        <v>452.38934211693021</v>
      </c>
      <c r="BF209" s="122">
        <f>VLOOKUP(AO209,Data!$V$4:$Z$15,4,FALSE)</f>
        <v>353</v>
      </c>
      <c r="BG209" s="163">
        <f t="shared" si="85"/>
        <v>180</v>
      </c>
      <c r="BH209" s="122">
        <f t="shared" si="86"/>
        <v>121.65654188208487</v>
      </c>
      <c r="BI209" s="122">
        <f t="shared" si="87"/>
        <v>243</v>
      </c>
      <c r="BJ209" s="163">
        <f t="shared" si="88"/>
        <v>142.3296</v>
      </c>
      <c r="BK209" s="131">
        <f t="shared" si="89"/>
        <v>37.109306019340529</v>
      </c>
      <c r="BL209" s="134">
        <f t="shared" si="90"/>
        <v>0.89458333333333329</v>
      </c>
      <c r="BM209" s="135">
        <f t="shared" si="91"/>
        <v>0.34097815977624563</v>
      </c>
      <c r="BN209" s="92" t="str">
        <f t="shared" si="92"/>
        <v>OK</v>
      </c>
      <c r="BO209" s="135">
        <f>_xll.DCEBoltDisRS(AN209, AE209, BA209, BB209, BC209, BD209, "h1")</f>
        <v>890</v>
      </c>
      <c r="BP209" s="136">
        <f>_xll.DCEBoltDisRS(AN209, AE209, BA209, BB209, BC209, BD209, "Tong")</f>
        <v>1800300</v>
      </c>
      <c r="BQ209" s="137">
        <f t="shared" si="93"/>
        <v>82.609946496426488</v>
      </c>
      <c r="BR209" s="135">
        <f t="shared" si="94"/>
        <v>0.58041297450724583</v>
      </c>
      <c r="BS209" s="64" t="str">
        <f t="shared" si="95"/>
        <v>OK</v>
      </c>
      <c r="BT209" s="131">
        <f t="shared" si="96"/>
        <v>0.65568634509043711</v>
      </c>
      <c r="BU209" s="92" t="str">
        <f t="shared" si="97"/>
        <v>OK</v>
      </c>
      <c r="BV209" s="139">
        <f t="shared" si="98"/>
        <v>456.56869490242713</v>
      </c>
      <c r="BW209" s="131">
        <f t="shared" si="99"/>
        <v>10.272795635304609</v>
      </c>
      <c r="BX209" s="139">
        <f t="shared" si="100"/>
        <v>228.28434745121356</v>
      </c>
      <c r="BY209" s="123">
        <f t="shared" si="101"/>
        <v>97.642413959330938</v>
      </c>
      <c r="BZ209" s="141">
        <f t="shared" si="102"/>
        <v>0.47465062341341435</v>
      </c>
      <c r="CA209" s="131">
        <f t="shared" si="103"/>
        <v>9.0409642554936074</v>
      </c>
      <c r="CB209" s="143">
        <f t="shared" si="104"/>
        <v>7.5774365168169613E-2</v>
      </c>
      <c r="CC209" s="123">
        <f t="shared" si="105"/>
        <v>98.890131498611552</v>
      </c>
      <c r="CD209" s="131">
        <f t="shared" si="106"/>
        <v>0.41801384087577353</v>
      </c>
      <c r="CE209" s="135">
        <f t="shared" si="107"/>
        <v>0.47465062341341435</v>
      </c>
      <c r="CF209" s="92" t="str">
        <f t="shared" si="108"/>
        <v>OK</v>
      </c>
      <c r="CG209" s="50"/>
      <c r="DA209" s="111"/>
      <c r="DB209" s="111"/>
      <c r="DC209" s="111"/>
      <c r="DD209" s="116"/>
      <c r="DE209" s="120"/>
      <c r="DF209" s="121"/>
      <c r="DG209" s="121"/>
      <c r="DH209" s="121"/>
      <c r="DI209" s="121"/>
      <c r="DJ209" s="121"/>
      <c r="DK209" s="122"/>
      <c r="DL209" s="123"/>
      <c r="DM209" s="123"/>
      <c r="DN209" s="123"/>
      <c r="DO209" s="123"/>
      <c r="DP209" s="123"/>
      <c r="DQ209" s="111"/>
      <c r="DR209" s="120"/>
      <c r="DS209" s="120"/>
      <c r="DT209" s="120"/>
      <c r="DU209" s="120"/>
      <c r="DV209" s="120"/>
      <c r="DW209" s="120"/>
      <c r="DX209" s="120"/>
      <c r="DY209" s="120"/>
      <c r="DZ209" s="120"/>
      <c r="EA209" s="122"/>
      <c r="EB209" s="122"/>
      <c r="EC209" s="122"/>
      <c r="ED209" s="122"/>
      <c r="EE209" s="122"/>
      <c r="EF209" s="122"/>
      <c r="EG209" s="122"/>
      <c r="EH209" s="122"/>
      <c r="EI209" s="122"/>
      <c r="EJ209" s="122"/>
      <c r="EK209" s="131"/>
      <c r="EL209" s="248"/>
      <c r="EM209" s="276"/>
      <c r="EN209" s="276"/>
      <c r="EO209" s="135"/>
      <c r="EP209" s="136"/>
      <c r="EQ209" s="137"/>
      <c r="ER209" s="276"/>
      <c r="ES209" s="276"/>
      <c r="ET209" s="276"/>
      <c r="EU209" s="276"/>
      <c r="EV209" s="139"/>
      <c r="EW209" s="131"/>
      <c r="EX209" s="139"/>
      <c r="EY209" s="123"/>
      <c r="EZ209" s="141"/>
      <c r="FA209" s="131"/>
      <c r="FB209" s="143"/>
      <c r="FC209" s="123"/>
      <c r="FD209" s="131"/>
      <c r="FE209" s="276"/>
      <c r="FF209" s="276"/>
      <c r="FG209" s="50"/>
    </row>
    <row r="210" spans="27:163">
      <c r="AA210" s="111" t="s">
        <v>245</v>
      </c>
      <c r="AB210" s="111" t="s">
        <v>341</v>
      </c>
      <c r="AC210" s="111">
        <v>104</v>
      </c>
      <c r="AD210" s="116">
        <v>2.6850000000000001</v>
      </c>
      <c r="AE210" s="120">
        <v>1100</v>
      </c>
      <c r="AF210" s="121">
        <v>350</v>
      </c>
      <c r="AG210" s="121">
        <v>14</v>
      </c>
      <c r="AH210" s="121">
        <v>18.000000000000004</v>
      </c>
      <c r="AI210" s="121">
        <v>1064</v>
      </c>
      <c r="AJ210" s="64" t="str" cm="1">
        <f t="array" ref="AJ210">_xll.Dce_Name_SectI(AE210, AE210, AF210, AG210, AH210, "x", "-", "H Tổng")</f>
        <v>1100x350x14x18</v>
      </c>
      <c r="AK210" s="122">
        <f t="shared" si="75"/>
        <v>1360</v>
      </c>
      <c r="AL210" s="123">
        <f t="shared" si="76"/>
        <v>350</v>
      </c>
      <c r="AM210" s="123">
        <f t="shared" si="77"/>
        <v>25</v>
      </c>
      <c r="AN210" s="123">
        <f t="shared" si="78"/>
        <v>16</v>
      </c>
      <c r="AO210" s="123">
        <f t="shared" si="79"/>
        <v>27</v>
      </c>
      <c r="AP210" s="165" t="str">
        <f t="shared" si="80"/>
        <v>1360x350x25 + 16M27</v>
      </c>
      <c r="AQ210" s="111" t="s">
        <v>325</v>
      </c>
      <c r="AR210" s="120">
        <v>0</v>
      </c>
      <c r="AS210" s="120">
        <v>623.61005077648849</v>
      </c>
      <c r="AT210" s="120">
        <v>-1.2846612662542609E-14</v>
      </c>
      <c r="AU210" s="120">
        <v>1.7367674231525934E-3</v>
      </c>
      <c r="AV210" s="120">
        <v>1.2802531728084429E-13</v>
      </c>
      <c r="AW210" s="120">
        <v>-1796.9294689248989</v>
      </c>
      <c r="AX210" s="120"/>
      <c r="AY210" s="120"/>
      <c r="AZ210" s="120"/>
      <c r="BA210" s="122">
        <f t="shared" si="81"/>
        <v>60</v>
      </c>
      <c r="BB210" s="122">
        <f t="shared" si="82"/>
        <v>70</v>
      </c>
      <c r="BC210" s="122">
        <f t="shared" si="83"/>
        <v>80</v>
      </c>
      <c r="BD210" s="122">
        <f t="shared" si="84"/>
        <v>160</v>
      </c>
      <c r="BE210" s="122">
        <f>VLOOKUP(AO210,Data!$V$4:$Z$15,3,FALSE)</f>
        <v>572.55526111673976</v>
      </c>
      <c r="BF210" s="122">
        <f>VLOOKUP(AO210,Data!$V$4:$Z$15,4,FALSE)</f>
        <v>459</v>
      </c>
      <c r="BG210" s="163">
        <f t="shared" si="85"/>
        <v>180</v>
      </c>
      <c r="BH210" s="122">
        <f t="shared" si="86"/>
        <v>153.97156081951366</v>
      </c>
      <c r="BI210" s="122">
        <f t="shared" si="87"/>
        <v>273.375</v>
      </c>
      <c r="BJ210" s="163">
        <f t="shared" si="88"/>
        <v>185.06880000000001</v>
      </c>
      <c r="BK210" s="131">
        <f t="shared" si="89"/>
        <v>38.975628173530531</v>
      </c>
      <c r="BL210" s="134">
        <f t="shared" si="90"/>
        <v>0.85037037037037044</v>
      </c>
      <c r="BM210" s="135">
        <f t="shared" si="91"/>
        <v>0.29767645950415866</v>
      </c>
      <c r="BN210" s="92" t="str">
        <f t="shared" si="92"/>
        <v>OK</v>
      </c>
      <c r="BO210" s="135">
        <f>_xll.DCEBoltDisRS(AN210, AE210, BA210, BB210, BC210, BD210, "h1")</f>
        <v>1240</v>
      </c>
      <c r="BP210" s="136">
        <f>_xll.DCEBoltDisRS(AN210, AE210, BA210, BB210, BC210, BD210, "Tong")</f>
        <v>4523000</v>
      </c>
      <c r="BQ210" s="137">
        <f t="shared" si="93"/>
        <v>246.31799043410066</v>
      </c>
      <c r="BR210" s="135">
        <f t="shared" si="94"/>
        <v>1.3309536260790618</v>
      </c>
      <c r="BS210" s="64" t="str">
        <f t="shared" si="95"/>
        <v>O/S</v>
      </c>
      <c r="BT210" s="131">
        <f t="shared" si="96"/>
        <v>1.354811796918459</v>
      </c>
      <c r="BU210" s="92" t="str">
        <f t="shared" si="97"/>
        <v>O/S</v>
      </c>
      <c r="BV210" s="139">
        <f t="shared" si="98"/>
        <v>1660.7481228511078</v>
      </c>
      <c r="BW210" s="131">
        <f t="shared" si="99"/>
        <v>37.366832764149926</v>
      </c>
      <c r="BX210" s="139">
        <f t="shared" si="100"/>
        <v>830.37406142555392</v>
      </c>
      <c r="BY210" s="123">
        <f t="shared" si="101"/>
        <v>263.76587833517596</v>
      </c>
      <c r="BZ210" s="141">
        <f t="shared" si="102"/>
        <v>1.2821952419071054</v>
      </c>
      <c r="CA210" s="131">
        <f t="shared" si="103"/>
        <v>24.42276651251629</v>
      </c>
      <c r="CB210" s="143">
        <f t="shared" si="104"/>
        <v>0.20469272699666433</v>
      </c>
      <c r="CC210" s="123">
        <f t="shared" si="105"/>
        <v>267.13639427509969</v>
      </c>
      <c r="CD210" s="131">
        <f t="shared" si="106"/>
        <v>1.1291997342546487</v>
      </c>
      <c r="CE210" s="135">
        <f t="shared" si="107"/>
        <v>1.2821952419071054</v>
      </c>
      <c r="CF210" s="92" t="str">
        <f t="shared" si="108"/>
        <v>O/S</v>
      </c>
      <c r="CG210" s="50"/>
      <c r="DA210" s="111"/>
      <c r="DB210" s="111"/>
      <c r="DC210" s="111"/>
      <c r="DD210" s="116"/>
      <c r="DE210" s="120"/>
      <c r="DF210" s="121"/>
      <c r="DG210" s="121"/>
      <c r="DH210" s="121"/>
      <c r="DI210" s="121"/>
      <c r="DJ210" s="121"/>
      <c r="DK210" s="122"/>
      <c r="DL210" s="123"/>
      <c r="DM210" s="123"/>
      <c r="DN210" s="123"/>
      <c r="DO210" s="123"/>
      <c r="DP210" s="123"/>
      <c r="DQ210" s="111"/>
      <c r="DR210" s="120"/>
      <c r="DS210" s="120"/>
      <c r="DT210" s="120"/>
      <c r="DU210" s="120"/>
      <c r="DV210" s="120"/>
      <c r="DW210" s="120"/>
      <c r="DX210" s="120"/>
      <c r="DY210" s="120"/>
      <c r="DZ210" s="120"/>
      <c r="EA210" s="122"/>
      <c r="EB210" s="122"/>
      <c r="EC210" s="122"/>
      <c r="ED210" s="122"/>
      <c r="EE210" s="122"/>
      <c r="EF210" s="122"/>
      <c r="EG210" s="122"/>
      <c r="EH210" s="122"/>
      <c r="EI210" s="122"/>
      <c r="EJ210" s="122"/>
      <c r="EK210" s="131"/>
      <c r="EL210" s="248"/>
      <c r="EM210" s="276"/>
      <c r="EN210" s="276"/>
      <c r="EO210" s="135"/>
      <c r="EP210" s="136"/>
      <c r="EQ210" s="137"/>
      <c r="ER210" s="276"/>
      <c r="ES210" s="276"/>
      <c r="ET210" s="276"/>
      <c r="EU210" s="276"/>
      <c r="EV210" s="139"/>
      <c r="EW210" s="131"/>
      <c r="EX210" s="139"/>
      <c r="EY210" s="123"/>
      <c r="EZ210" s="141"/>
      <c r="FA210" s="131"/>
      <c r="FB210" s="143"/>
      <c r="FC210" s="123"/>
      <c r="FD210" s="131"/>
      <c r="FE210" s="276"/>
      <c r="FF210" s="276"/>
      <c r="FG210" s="50"/>
    </row>
    <row r="211" spans="27:163">
      <c r="AA211" s="111" t="s">
        <v>245</v>
      </c>
      <c r="AB211" s="111" t="s">
        <v>341</v>
      </c>
      <c r="AC211" s="111">
        <v>104</v>
      </c>
      <c r="AD211" s="116">
        <v>0</v>
      </c>
      <c r="AE211" s="120">
        <v>750</v>
      </c>
      <c r="AF211" s="121">
        <v>350</v>
      </c>
      <c r="AG211" s="121">
        <v>14</v>
      </c>
      <c r="AH211" s="121">
        <v>18.000000000000004</v>
      </c>
      <c r="AI211" s="121">
        <v>714</v>
      </c>
      <c r="AJ211" s="64" t="str" cm="1">
        <f t="array" ref="AJ211">_xll.Dce_Name_SectI(AE211, AE211, AF211, AG211, AH211, "x", "-", "H Tổng")</f>
        <v>750x350x14x18</v>
      </c>
      <c r="AK211" s="122">
        <f t="shared" si="75"/>
        <v>1010</v>
      </c>
      <c r="AL211" s="123">
        <f t="shared" si="76"/>
        <v>350</v>
      </c>
      <c r="AM211" s="123">
        <f t="shared" si="77"/>
        <v>25</v>
      </c>
      <c r="AN211" s="123">
        <f t="shared" si="78"/>
        <v>12</v>
      </c>
      <c r="AO211" s="123">
        <f t="shared" si="79"/>
        <v>24</v>
      </c>
      <c r="AP211" s="165" t="str">
        <f t="shared" si="80"/>
        <v>1010x350x25 + 12M24</v>
      </c>
      <c r="AQ211" s="111" t="s">
        <v>326</v>
      </c>
      <c r="AR211" s="120">
        <v>0</v>
      </c>
      <c r="AS211" s="120">
        <v>449.478199709921</v>
      </c>
      <c r="AT211" s="120">
        <v>-5.0652033678488796E-13</v>
      </c>
      <c r="AU211" s="120">
        <v>3.8281962090164256E-4</v>
      </c>
      <c r="AV211" s="120">
        <v>-7.8859739005565616E-14</v>
      </c>
      <c r="AW211" s="120">
        <v>-359.20807999362358</v>
      </c>
      <c r="AX211" s="120"/>
      <c r="AY211" s="120"/>
      <c r="AZ211" s="120"/>
      <c r="BA211" s="122">
        <f t="shared" si="81"/>
        <v>60</v>
      </c>
      <c r="BB211" s="122">
        <f t="shared" si="82"/>
        <v>70</v>
      </c>
      <c r="BC211" s="122">
        <f t="shared" si="83"/>
        <v>80</v>
      </c>
      <c r="BD211" s="122">
        <f t="shared" si="84"/>
        <v>150</v>
      </c>
      <c r="BE211" s="122">
        <f>VLOOKUP(AO211,Data!$V$4:$Z$15,3,FALSE)</f>
        <v>452.38934211693021</v>
      </c>
      <c r="BF211" s="122">
        <f>VLOOKUP(AO211,Data!$V$4:$Z$15,4,FALSE)</f>
        <v>353</v>
      </c>
      <c r="BG211" s="163">
        <f t="shared" si="85"/>
        <v>180</v>
      </c>
      <c r="BH211" s="122">
        <f t="shared" si="86"/>
        <v>121.65654188208487</v>
      </c>
      <c r="BI211" s="122">
        <f t="shared" si="87"/>
        <v>243</v>
      </c>
      <c r="BJ211" s="163">
        <f t="shared" si="88"/>
        <v>142.3296</v>
      </c>
      <c r="BK211" s="131">
        <f t="shared" si="89"/>
        <v>37.456516642493419</v>
      </c>
      <c r="BL211" s="134">
        <f t="shared" si="90"/>
        <v>0.89458333333333329</v>
      </c>
      <c r="BM211" s="135">
        <f t="shared" si="91"/>
        <v>0.34416849805084804</v>
      </c>
      <c r="BN211" s="92" t="str">
        <f t="shared" si="92"/>
        <v>OK</v>
      </c>
      <c r="BO211" s="135">
        <f>_xll.DCEBoltDisRS(AN211, AE211, BA211, BB211, BC211, BD211, "h1")</f>
        <v>890</v>
      </c>
      <c r="BP211" s="136">
        <f>_xll.DCEBoltDisRS(AN211, AE211, BA211, BB211, BC211, BD211, "Tong")</f>
        <v>1800300</v>
      </c>
      <c r="BQ211" s="137">
        <f t="shared" si="93"/>
        <v>88.78942153927818</v>
      </c>
      <c r="BR211" s="135">
        <f t="shared" si="94"/>
        <v>0.6238296288282843</v>
      </c>
      <c r="BS211" s="64" t="str">
        <f t="shared" si="95"/>
        <v>OK</v>
      </c>
      <c r="BT211" s="131">
        <f t="shared" si="96"/>
        <v>0.69567094106806227</v>
      </c>
      <c r="BU211" s="92" t="str">
        <f t="shared" si="97"/>
        <v>OK</v>
      </c>
      <c r="BV211" s="139">
        <f t="shared" si="98"/>
        <v>490.72142075631638</v>
      </c>
      <c r="BW211" s="131">
        <f t="shared" si="99"/>
        <v>11.041231967017119</v>
      </c>
      <c r="BX211" s="139">
        <f t="shared" si="100"/>
        <v>245.36071037815819</v>
      </c>
      <c r="BY211" s="123">
        <f t="shared" si="101"/>
        <v>104.94636325085578</v>
      </c>
      <c r="BZ211" s="141">
        <f t="shared" si="102"/>
        <v>0.51015593246943791</v>
      </c>
      <c r="CA211" s="131">
        <f t="shared" si="103"/>
        <v>9.7172558565607208</v>
      </c>
      <c r="CB211" s="143">
        <f t="shared" si="104"/>
        <v>8.1442517954891103E-2</v>
      </c>
      <c r="CC211" s="123">
        <f t="shared" si="105"/>
        <v>106.28741385378686</v>
      </c>
      <c r="CD211" s="131">
        <f t="shared" si="106"/>
        <v>0.44928254648339866</v>
      </c>
      <c r="CE211" s="135">
        <f t="shared" si="107"/>
        <v>0.51015593246943791</v>
      </c>
      <c r="CF211" s="92" t="str">
        <f t="shared" si="108"/>
        <v>OK</v>
      </c>
      <c r="CG211" s="50"/>
      <c r="DA211" s="111"/>
      <c r="DB211" s="111"/>
      <c r="DC211" s="111"/>
      <c r="DD211" s="116"/>
      <c r="DE211" s="120"/>
      <c r="DF211" s="121"/>
      <c r="DG211" s="121"/>
      <c r="DH211" s="121"/>
      <c r="DI211" s="121"/>
      <c r="DJ211" s="121"/>
      <c r="DK211" s="122"/>
      <c r="DL211" s="123"/>
      <c r="DM211" s="123"/>
      <c r="DN211" s="123"/>
      <c r="DO211" s="123"/>
      <c r="DP211" s="123"/>
      <c r="DQ211" s="111"/>
      <c r="DR211" s="120"/>
      <c r="DS211" s="120"/>
      <c r="DT211" s="120"/>
      <c r="DU211" s="120"/>
      <c r="DV211" s="120"/>
      <c r="DW211" s="120"/>
      <c r="DX211" s="120"/>
      <c r="DY211" s="120"/>
      <c r="DZ211" s="120"/>
      <c r="EA211" s="122"/>
      <c r="EB211" s="122"/>
      <c r="EC211" s="122"/>
      <c r="ED211" s="122"/>
      <c r="EE211" s="122"/>
      <c r="EF211" s="122"/>
      <c r="EG211" s="122"/>
      <c r="EH211" s="122"/>
      <c r="EI211" s="122"/>
      <c r="EJ211" s="122"/>
      <c r="EK211" s="131"/>
      <c r="EL211" s="248"/>
      <c r="EM211" s="276"/>
      <c r="EN211" s="276"/>
      <c r="EO211" s="135"/>
      <c r="EP211" s="136"/>
      <c r="EQ211" s="137"/>
      <c r="ER211" s="276"/>
      <c r="ES211" s="276"/>
      <c r="ET211" s="276"/>
      <c r="EU211" s="276"/>
      <c r="EV211" s="139"/>
      <c r="EW211" s="131"/>
      <c r="EX211" s="139"/>
      <c r="EY211" s="123"/>
      <c r="EZ211" s="141"/>
      <c r="FA211" s="131"/>
      <c r="FB211" s="143"/>
      <c r="FC211" s="123"/>
      <c r="FD211" s="131"/>
      <c r="FE211" s="276"/>
      <c r="FF211" s="276"/>
      <c r="FG211" s="50"/>
    </row>
    <row r="212" spans="27:163">
      <c r="AA212" s="111" t="s">
        <v>245</v>
      </c>
      <c r="AB212" s="111" t="s">
        <v>341</v>
      </c>
      <c r="AC212" s="111">
        <v>104</v>
      </c>
      <c r="AD212" s="116">
        <v>2.6850000000000001</v>
      </c>
      <c r="AE212" s="120">
        <v>1100</v>
      </c>
      <c r="AF212" s="121">
        <v>350</v>
      </c>
      <c r="AG212" s="121">
        <v>14</v>
      </c>
      <c r="AH212" s="121">
        <v>18.000000000000004</v>
      </c>
      <c r="AI212" s="121">
        <v>1064</v>
      </c>
      <c r="AJ212" s="64" t="str" cm="1">
        <f t="array" ref="AJ212">_xll.Dce_Name_SectI(AE212, AE212, AF212, AG212, AH212, "x", "-", "H Tổng")</f>
        <v>1100x350x14x18</v>
      </c>
      <c r="AK212" s="122">
        <f t="shared" si="75"/>
        <v>1360</v>
      </c>
      <c r="AL212" s="123">
        <f t="shared" si="76"/>
        <v>350</v>
      </c>
      <c r="AM212" s="123">
        <f t="shared" si="77"/>
        <v>25</v>
      </c>
      <c r="AN212" s="123">
        <f t="shared" si="78"/>
        <v>16</v>
      </c>
      <c r="AO212" s="123">
        <f t="shared" si="79"/>
        <v>27</v>
      </c>
      <c r="AP212" s="165" t="str">
        <f t="shared" si="80"/>
        <v>1360x350x25 + 16M27</v>
      </c>
      <c r="AQ212" s="111" t="s">
        <v>326</v>
      </c>
      <c r="AR212" s="120">
        <v>0</v>
      </c>
      <c r="AS212" s="120">
        <v>627.77657958112172</v>
      </c>
      <c r="AT212" s="120">
        <v>4.5361048250924786E-14</v>
      </c>
      <c r="AU212" s="120">
        <v>3.8276283008657021E-4</v>
      </c>
      <c r="AV212" s="120">
        <v>-7.8786501944705366E-14</v>
      </c>
      <c r="AW212" s="120">
        <v>-1833.1163711598756</v>
      </c>
      <c r="AX212" s="120"/>
      <c r="AY212" s="120"/>
      <c r="AZ212" s="120"/>
      <c r="BA212" s="122">
        <f t="shared" si="81"/>
        <v>60</v>
      </c>
      <c r="BB212" s="122">
        <f t="shared" si="82"/>
        <v>70</v>
      </c>
      <c r="BC212" s="122">
        <f t="shared" si="83"/>
        <v>80</v>
      </c>
      <c r="BD212" s="122">
        <f t="shared" si="84"/>
        <v>160</v>
      </c>
      <c r="BE212" s="122">
        <f>VLOOKUP(AO212,Data!$V$4:$Z$15,3,FALSE)</f>
        <v>572.55526111673976</v>
      </c>
      <c r="BF212" s="122">
        <f>VLOOKUP(AO212,Data!$V$4:$Z$15,4,FALSE)</f>
        <v>459</v>
      </c>
      <c r="BG212" s="163">
        <f t="shared" si="85"/>
        <v>180</v>
      </c>
      <c r="BH212" s="122">
        <f t="shared" si="86"/>
        <v>153.97156081951366</v>
      </c>
      <c r="BI212" s="122">
        <f t="shared" si="87"/>
        <v>273.375</v>
      </c>
      <c r="BJ212" s="163">
        <f t="shared" si="88"/>
        <v>185.06880000000001</v>
      </c>
      <c r="BK212" s="131">
        <f t="shared" si="89"/>
        <v>39.236036223820108</v>
      </c>
      <c r="BL212" s="134">
        <f t="shared" si="90"/>
        <v>0.85037037037037044</v>
      </c>
      <c r="BM212" s="135">
        <f t="shared" si="91"/>
        <v>0.29966532665189144</v>
      </c>
      <c r="BN212" s="92" t="str">
        <f t="shared" si="92"/>
        <v>OK</v>
      </c>
      <c r="BO212" s="135">
        <f>_xll.DCEBoltDisRS(AN212, AE212, BA212, BB212, BC212, BD212, "h1")</f>
        <v>1240</v>
      </c>
      <c r="BP212" s="136">
        <f>_xll.DCEBoltDisRS(AN212, AE212, BA212, BB212, BC212, BD212, "Tong")</f>
        <v>4523000</v>
      </c>
      <c r="BQ212" s="137">
        <f t="shared" si="93"/>
        <v>251.27838826423232</v>
      </c>
      <c r="BR212" s="135">
        <f t="shared" si="94"/>
        <v>1.3577566195070823</v>
      </c>
      <c r="BS212" s="64" t="str">
        <f t="shared" si="95"/>
        <v>O/S</v>
      </c>
      <c r="BT212" s="131">
        <f t="shared" si="96"/>
        <v>1.3814628444032053</v>
      </c>
      <c r="BU212" s="92" t="str">
        <f t="shared" si="97"/>
        <v>O/S</v>
      </c>
      <c r="BV212" s="139">
        <f t="shared" si="98"/>
        <v>1694.1925796301991</v>
      </c>
      <c r="BW212" s="131">
        <f t="shared" si="99"/>
        <v>38.119333041679482</v>
      </c>
      <c r="BX212" s="139">
        <f t="shared" si="100"/>
        <v>847.09628981509957</v>
      </c>
      <c r="BY212" s="123">
        <f t="shared" si="101"/>
        <v>269.07764500009046</v>
      </c>
      <c r="BZ212" s="141">
        <f t="shared" si="102"/>
        <v>1.308016329861551</v>
      </c>
      <c r="CA212" s="131">
        <f t="shared" si="103"/>
        <v>24.914596759267635</v>
      </c>
      <c r="CB212" s="143">
        <f t="shared" si="104"/>
        <v>0.20881486747470482</v>
      </c>
      <c r="CC212" s="123">
        <f t="shared" si="105"/>
        <v>272.51603702135662</v>
      </c>
      <c r="CD212" s="131">
        <f t="shared" si="106"/>
        <v>1.151939770017812</v>
      </c>
      <c r="CE212" s="135">
        <f t="shared" si="107"/>
        <v>1.308016329861551</v>
      </c>
      <c r="CF212" s="92" t="str">
        <f t="shared" si="108"/>
        <v>O/S</v>
      </c>
      <c r="CG212" s="50"/>
      <c r="DA212" s="111"/>
      <c r="DB212" s="111"/>
      <c r="DC212" s="111"/>
      <c r="DD212" s="116"/>
      <c r="DE212" s="120"/>
      <c r="DF212" s="121"/>
      <c r="DG212" s="121"/>
      <c r="DH212" s="121"/>
      <c r="DI212" s="121"/>
      <c r="DJ212" s="121"/>
      <c r="DK212" s="122"/>
      <c r="DL212" s="123"/>
      <c r="DM212" s="123"/>
      <c r="DN212" s="123"/>
      <c r="DO212" s="123"/>
      <c r="DP212" s="123"/>
      <c r="DQ212" s="111"/>
      <c r="DR212" s="120"/>
      <c r="DS212" s="120"/>
      <c r="DT212" s="120"/>
      <c r="DU212" s="120"/>
      <c r="DV212" s="120"/>
      <c r="DW212" s="120"/>
      <c r="DX212" s="120"/>
      <c r="DY212" s="120"/>
      <c r="DZ212" s="120"/>
      <c r="EA212" s="122"/>
      <c r="EB212" s="122"/>
      <c r="EC212" s="122"/>
      <c r="ED212" s="122"/>
      <c r="EE212" s="122"/>
      <c r="EF212" s="122"/>
      <c r="EG212" s="122"/>
      <c r="EH212" s="122"/>
      <c r="EI212" s="122"/>
      <c r="EJ212" s="122"/>
      <c r="EK212" s="131"/>
      <c r="EL212" s="248"/>
      <c r="EM212" s="276"/>
      <c r="EN212" s="276"/>
      <c r="EO212" s="135"/>
      <c r="EP212" s="136"/>
      <c r="EQ212" s="137"/>
      <c r="ER212" s="276"/>
      <c r="ES212" s="276"/>
      <c r="ET212" s="276"/>
      <c r="EU212" s="276"/>
      <c r="EV212" s="139"/>
      <c r="EW212" s="131"/>
      <c r="EX212" s="139"/>
      <c r="EY212" s="123"/>
      <c r="EZ212" s="141"/>
      <c r="FA212" s="131"/>
      <c r="FB212" s="143"/>
      <c r="FC212" s="123"/>
      <c r="FD212" s="131"/>
      <c r="FE212" s="276"/>
      <c r="FF212" s="276"/>
      <c r="FG212" s="50"/>
    </row>
    <row r="213" spans="27:163">
      <c r="AA213" s="111" t="s">
        <v>245</v>
      </c>
      <c r="AB213" s="111" t="s">
        <v>341</v>
      </c>
      <c r="AC213" s="111">
        <v>104</v>
      </c>
      <c r="AD213" s="116">
        <v>0</v>
      </c>
      <c r="AE213" s="120">
        <v>750</v>
      </c>
      <c r="AF213" s="121">
        <v>350</v>
      </c>
      <c r="AG213" s="121">
        <v>14</v>
      </c>
      <c r="AH213" s="121">
        <v>18.000000000000004</v>
      </c>
      <c r="AI213" s="121">
        <v>714</v>
      </c>
      <c r="AJ213" s="64" t="str" cm="1">
        <f t="array" ref="AJ213">_xll.Dce_Name_SectI(AE213, AE213, AF213, AG213, AH213, "x", "-", "H Tổng")</f>
        <v>750x350x14x18</v>
      </c>
      <c r="AK213" s="122">
        <f t="shared" si="75"/>
        <v>1010</v>
      </c>
      <c r="AL213" s="123">
        <f t="shared" si="76"/>
        <v>350</v>
      </c>
      <c r="AM213" s="123">
        <f t="shared" si="77"/>
        <v>25</v>
      </c>
      <c r="AN213" s="123">
        <f t="shared" si="78"/>
        <v>12</v>
      </c>
      <c r="AO213" s="123">
        <f t="shared" si="79"/>
        <v>24</v>
      </c>
      <c r="AP213" s="165" t="str">
        <f t="shared" si="80"/>
        <v>1010x350x25 + 12M24</v>
      </c>
      <c r="AQ213" s="111" t="s">
        <v>327</v>
      </c>
      <c r="AR213" s="120">
        <v>0</v>
      </c>
      <c r="AS213" s="120">
        <v>452.30916308385707</v>
      </c>
      <c r="AT213" s="120">
        <v>-4.0859049477148788E-14</v>
      </c>
      <c r="AU213" s="120">
        <v>8.1374281236103174E-4</v>
      </c>
      <c r="AV213" s="120">
        <v>-1.925509423017501E-14</v>
      </c>
      <c r="AW213" s="120">
        <v>-362.26609731019937</v>
      </c>
      <c r="AX213" s="120"/>
      <c r="AY213" s="120"/>
      <c r="AZ213" s="120"/>
      <c r="BA213" s="122">
        <f t="shared" si="81"/>
        <v>60</v>
      </c>
      <c r="BB213" s="122">
        <f t="shared" si="82"/>
        <v>70</v>
      </c>
      <c r="BC213" s="122">
        <f t="shared" si="83"/>
        <v>80</v>
      </c>
      <c r="BD213" s="122">
        <f t="shared" si="84"/>
        <v>150</v>
      </c>
      <c r="BE213" s="122">
        <f>VLOOKUP(AO213,Data!$V$4:$Z$15,3,FALSE)</f>
        <v>452.38934211693021</v>
      </c>
      <c r="BF213" s="122">
        <f>VLOOKUP(AO213,Data!$V$4:$Z$15,4,FALSE)</f>
        <v>353</v>
      </c>
      <c r="BG213" s="163">
        <f t="shared" si="85"/>
        <v>180</v>
      </c>
      <c r="BH213" s="122">
        <f t="shared" si="86"/>
        <v>121.65654188208487</v>
      </c>
      <c r="BI213" s="122">
        <f t="shared" si="87"/>
        <v>243</v>
      </c>
      <c r="BJ213" s="163">
        <f t="shared" si="88"/>
        <v>142.3296</v>
      </c>
      <c r="BK213" s="131">
        <f t="shared" si="89"/>
        <v>37.692430256988089</v>
      </c>
      <c r="BL213" s="134">
        <f t="shared" si="90"/>
        <v>0.89458333333333329</v>
      </c>
      <c r="BM213" s="135">
        <f t="shared" si="91"/>
        <v>0.34633618585655995</v>
      </c>
      <c r="BN213" s="92" t="str">
        <f t="shared" si="92"/>
        <v>OK</v>
      </c>
      <c r="BO213" s="135">
        <f>_xll.DCEBoltDisRS(AN213, AE213, BA213, BB213, BC213, BD213, "h1")</f>
        <v>890</v>
      </c>
      <c r="BP213" s="136">
        <f>_xll.DCEBoltDisRS(AN213, AE213, BA213, BB213, BC213, BD213, "Tong")</f>
        <v>1800300</v>
      </c>
      <c r="BQ213" s="137">
        <f t="shared" si="93"/>
        <v>89.545305395233413</v>
      </c>
      <c r="BR213" s="135">
        <f t="shared" si="94"/>
        <v>0.62914042753744415</v>
      </c>
      <c r="BS213" s="64" t="str">
        <f t="shared" si="95"/>
        <v>OK</v>
      </c>
      <c r="BT213" s="131">
        <f t="shared" si="96"/>
        <v>0.70129179874506786</v>
      </c>
      <c r="BU213" s="92" t="str">
        <f t="shared" si="97"/>
        <v>OK</v>
      </c>
      <c r="BV213" s="139">
        <f t="shared" si="98"/>
        <v>494.899040041256</v>
      </c>
      <c r="BW213" s="131">
        <f t="shared" si="99"/>
        <v>11.135228400928259</v>
      </c>
      <c r="BX213" s="139">
        <f t="shared" si="100"/>
        <v>247.449520020628</v>
      </c>
      <c r="BY213" s="123">
        <f t="shared" si="101"/>
        <v>105.83979470189237</v>
      </c>
      <c r="BZ213" s="141">
        <f t="shared" si="102"/>
        <v>0.51449900202308796</v>
      </c>
      <c r="CA213" s="131">
        <f t="shared" si="103"/>
        <v>9.7999809909159605</v>
      </c>
      <c r="CB213" s="143">
        <f t="shared" si="104"/>
        <v>8.2135856006240099E-2</v>
      </c>
      <c r="CC213" s="123">
        <f t="shared" si="105"/>
        <v>107.1922619632857</v>
      </c>
      <c r="CD213" s="131">
        <f t="shared" si="106"/>
        <v>0.45310738752596624</v>
      </c>
      <c r="CE213" s="135">
        <f t="shared" si="107"/>
        <v>0.51449900202308796</v>
      </c>
      <c r="CF213" s="92" t="str">
        <f t="shared" si="108"/>
        <v>OK</v>
      </c>
      <c r="CG213" s="50"/>
      <c r="DA213" s="111"/>
      <c r="DB213" s="111"/>
      <c r="DC213" s="111"/>
      <c r="DD213" s="116"/>
      <c r="DE213" s="120"/>
      <c r="DF213" s="121"/>
      <c r="DG213" s="121"/>
      <c r="DH213" s="121"/>
      <c r="DI213" s="121"/>
      <c r="DJ213" s="121"/>
      <c r="DK213" s="122"/>
      <c r="DL213" s="123"/>
      <c r="DM213" s="123"/>
      <c r="DN213" s="123"/>
      <c r="DO213" s="123"/>
      <c r="DP213" s="123"/>
      <c r="DQ213" s="111"/>
      <c r="DR213" s="120"/>
      <c r="DS213" s="120"/>
      <c r="DT213" s="120"/>
      <c r="DU213" s="120"/>
      <c r="DV213" s="120"/>
      <c r="DW213" s="120"/>
      <c r="DX213" s="120"/>
      <c r="DY213" s="120"/>
      <c r="DZ213" s="120"/>
      <c r="EA213" s="122"/>
      <c r="EB213" s="122"/>
      <c r="EC213" s="122"/>
      <c r="ED213" s="122"/>
      <c r="EE213" s="122"/>
      <c r="EF213" s="122"/>
      <c r="EG213" s="122"/>
      <c r="EH213" s="122"/>
      <c r="EI213" s="122"/>
      <c r="EJ213" s="122"/>
      <c r="EK213" s="131"/>
      <c r="EL213" s="248"/>
      <c r="EM213" s="276"/>
      <c r="EN213" s="276"/>
      <c r="EO213" s="135"/>
      <c r="EP213" s="136"/>
      <c r="EQ213" s="137"/>
      <c r="ER213" s="276"/>
      <c r="ES213" s="276"/>
      <c r="ET213" s="276"/>
      <c r="EU213" s="276"/>
      <c r="EV213" s="139"/>
      <c r="EW213" s="131"/>
      <c r="EX213" s="139"/>
      <c r="EY213" s="123"/>
      <c r="EZ213" s="141"/>
      <c r="FA213" s="131"/>
      <c r="FB213" s="143"/>
      <c r="FC213" s="123"/>
      <c r="FD213" s="131"/>
      <c r="FE213" s="276"/>
      <c r="FF213" s="276"/>
      <c r="FG213" s="50"/>
    </row>
    <row r="214" spans="27:163">
      <c r="AA214" s="111" t="s">
        <v>245</v>
      </c>
      <c r="AB214" s="111" t="s">
        <v>341</v>
      </c>
      <c r="AC214" s="111">
        <v>104</v>
      </c>
      <c r="AD214" s="116">
        <v>2.6850000000000001</v>
      </c>
      <c r="AE214" s="120">
        <v>1100</v>
      </c>
      <c r="AF214" s="121">
        <v>350</v>
      </c>
      <c r="AG214" s="121">
        <v>14</v>
      </c>
      <c r="AH214" s="121">
        <v>18.000000000000004</v>
      </c>
      <c r="AI214" s="121">
        <v>1064</v>
      </c>
      <c r="AJ214" s="64" t="str" cm="1">
        <f t="array" ref="AJ214">_xll.Dce_Name_SectI(AE214, AE214, AF214, AG214, AH214, "x", "-", "H Tổng")</f>
        <v>1100x350x14x18</v>
      </c>
      <c r="AK214" s="122">
        <f t="shared" si="75"/>
        <v>1360</v>
      </c>
      <c r="AL214" s="123">
        <f t="shared" si="76"/>
        <v>350</v>
      </c>
      <c r="AM214" s="123">
        <f t="shared" si="77"/>
        <v>25</v>
      </c>
      <c r="AN214" s="123">
        <f t="shared" si="78"/>
        <v>16</v>
      </c>
      <c r="AO214" s="123">
        <f t="shared" si="79"/>
        <v>27</v>
      </c>
      <c r="AP214" s="165" t="str">
        <f t="shared" si="80"/>
        <v>1360x350x25 + 16M27</v>
      </c>
      <c r="AQ214" s="111" t="s">
        <v>327</v>
      </c>
      <c r="AR214" s="120">
        <v>0</v>
      </c>
      <c r="AS214" s="120">
        <v>630.60754363010869</v>
      </c>
      <c r="AT214" s="120">
        <v>-1.2846612662542609E-14</v>
      </c>
      <c r="AU214" s="120">
        <v>8.1362282110898306E-4</v>
      </c>
      <c r="AV214" s="120">
        <v>8.8160277300630673E-15</v>
      </c>
      <c r="AW214" s="120">
        <v>-1843.7754972615221</v>
      </c>
      <c r="AX214" s="120"/>
      <c r="AY214" s="120"/>
      <c r="AZ214" s="120"/>
      <c r="BA214" s="122">
        <f t="shared" si="81"/>
        <v>60</v>
      </c>
      <c r="BB214" s="122">
        <f t="shared" si="82"/>
        <v>70</v>
      </c>
      <c r="BC214" s="122">
        <f t="shared" si="83"/>
        <v>80</v>
      </c>
      <c r="BD214" s="122">
        <f t="shared" si="84"/>
        <v>160</v>
      </c>
      <c r="BE214" s="122">
        <f>VLOOKUP(AO214,Data!$V$4:$Z$15,3,FALSE)</f>
        <v>572.55526111673976</v>
      </c>
      <c r="BF214" s="122">
        <f>VLOOKUP(AO214,Data!$V$4:$Z$15,4,FALSE)</f>
        <v>459</v>
      </c>
      <c r="BG214" s="163">
        <f t="shared" si="85"/>
        <v>180</v>
      </c>
      <c r="BH214" s="122">
        <f t="shared" si="86"/>
        <v>153.97156081951366</v>
      </c>
      <c r="BI214" s="122">
        <f t="shared" si="87"/>
        <v>273.375</v>
      </c>
      <c r="BJ214" s="163">
        <f t="shared" si="88"/>
        <v>185.06880000000001</v>
      </c>
      <c r="BK214" s="131">
        <f t="shared" si="89"/>
        <v>39.412971476881793</v>
      </c>
      <c r="BL214" s="134">
        <f t="shared" si="90"/>
        <v>0.85037037037037044</v>
      </c>
      <c r="BM214" s="135">
        <f t="shared" si="91"/>
        <v>0.30101667009806699</v>
      </c>
      <c r="BN214" s="92" t="str">
        <f t="shared" si="92"/>
        <v>OK</v>
      </c>
      <c r="BO214" s="135">
        <f>_xll.DCEBoltDisRS(AN214, AE214, BA214, BB214, BC214, BD214, "h1")</f>
        <v>1240</v>
      </c>
      <c r="BP214" s="136">
        <f>_xll.DCEBoltDisRS(AN214, AE214, BA214, BB214, BC214, BD214, "Tong")</f>
        <v>4523000</v>
      </c>
      <c r="BQ214" s="137">
        <f t="shared" si="93"/>
        <v>252.7395110108653</v>
      </c>
      <c r="BR214" s="135">
        <f t="shared" si="94"/>
        <v>1.3656516442040219</v>
      </c>
      <c r="BS214" s="64" t="str">
        <f t="shared" si="95"/>
        <v>O/S</v>
      </c>
      <c r="BT214" s="131">
        <f t="shared" si="96"/>
        <v>1.3894343994647822</v>
      </c>
      <c r="BU214" s="92" t="str">
        <f t="shared" si="97"/>
        <v>O/S</v>
      </c>
      <c r="BV214" s="139">
        <f t="shared" si="98"/>
        <v>1704.0438976539019</v>
      </c>
      <c r="BW214" s="131">
        <f t="shared" si="99"/>
        <v>38.340987697212789</v>
      </c>
      <c r="BX214" s="139">
        <f t="shared" si="100"/>
        <v>852.02194882695096</v>
      </c>
      <c r="BY214" s="123">
        <f t="shared" si="101"/>
        <v>270.64226609797259</v>
      </c>
      <c r="BZ214" s="141">
        <f t="shared" si="102"/>
        <v>1.3156221268651447</v>
      </c>
      <c r="CA214" s="131">
        <f t="shared" si="103"/>
        <v>25.059469083145618</v>
      </c>
      <c r="CB214" s="143">
        <f t="shared" si="104"/>
        <v>0.21002907517004232</v>
      </c>
      <c r="CC214" s="123">
        <f t="shared" si="105"/>
        <v>274.10065153303304</v>
      </c>
      <c r="CD214" s="131">
        <f t="shared" si="106"/>
        <v>1.1586380197652366</v>
      </c>
      <c r="CE214" s="135">
        <f t="shared" si="107"/>
        <v>1.3156221268651447</v>
      </c>
      <c r="CF214" s="92" t="str">
        <f t="shared" si="108"/>
        <v>O/S</v>
      </c>
      <c r="CG214" s="50"/>
      <c r="DA214" s="111"/>
      <c r="DB214" s="111"/>
      <c r="DC214" s="111"/>
      <c r="DD214" s="116"/>
      <c r="DE214" s="120"/>
      <c r="DF214" s="121"/>
      <c r="DG214" s="121"/>
      <c r="DH214" s="121"/>
      <c r="DI214" s="121"/>
      <c r="DJ214" s="121"/>
      <c r="DK214" s="122"/>
      <c r="DL214" s="123"/>
      <c r="DM214" s="123"/>
      <c r="DN214" s="123"/>
      <c r="DO214" s="123"/>
      <c r="DP214" s="123"/>
      <c r="DQ214" s="111"/>
      <c r="DR214" s="120"/>
      <c r="DS214" s="120"/>
      <c r="DT214" s="120"/>
      <c r="DU214" s="120"/>
      <c r="DV214" s="120"/>
      <c r="DW214" s="120"/>
      <c r="DX214" s="120"/>
      <c r="DY214" s="120"/>
      <c r="DZ214" s="120"/>
      <c r="EA214" s="122"/>
      <c r="EB214" s="122"/>
      <c r="EC214" s="122"/>
      <c r="ED214" s="122"/>
      <c r="EE214" s="122"/>
      <c r="EF214" s="122"/>
      <c r="EG214" s="122"/>
      <c r="EH214" s="122"/>
      <c r="EI214" s="122"/>
      <c r="EJ214" s="122"/>
      <c r="EK214" s="131"/>
      <c r="EL214" s="248"/>
      <c r="EM214" s="276"/>
      <c r="EN214" s="276"/>
      <c r="EO214" s="135"/>
      <c r="EP214" s="136"/>
      <c r="EQ214" s="137"/>
      <c r="ER214" s="276"/>
      <c r="ES214" s="276"/>
      <c r="ET214" s="276"/>
      <c r="EU214" s="276"/>
      <c r="EV214" s="139"/>
      <c r="EW214" s="131"/>
      <c r="EX214" s="139"/>
      <c r="EY214" s="123"/>
      <c r="EZ214" s="141"/>
      <c r="FA214" s="131"/>
      <c r="FB214" s="143"/>
      <c r="FC214" s="123"/>
      <c r="FD214" s="131"/>
      <c r="FE214" s="276"/>
      <c r="FF214" s="276"/>
      <c r="FG214" s="50"/>
    </row>
    <row r="215" spans="27:163">
      <c r="AA215" s="111" t="s">
        <v>245</v>
      </c>
      <c r="AB215" s="111" t="s">
        <v>341</v>
      </c>
      <c r="AC215" s="111">
        <v>104</v>
      </c>
      <c r="AD215" s="116">
        <v>0</v>
      </c>
      <c r="AE215" s="120">
        <v>750</v>
      </c>
      <c r="AF215" s="121">
        <v>350</v>
      </c>
      <c r="AG215" s="121">
        <v>14</v>
      </c>
      <c r="AH215" s="121">
        <v>18.000000000000004</v>
      </c>
      <c r="AI215" s="121">
        <v>714</v>
      </c>
      <c r="AJ215" s="64" t="str" cm="1">
        <f t="array" ref="AJ215">_xll.Dce_Name_SectI(AE215, AE215, AF215, AG215, AH215, "x", "-", "H Tổng")</f>
        <v>750x350x14x18</v>
      </c>
      <c r="AK215" s="122">
        <f t="shared" si="75"/>
        <v>1010</v>
      </c>
      <c r="AL215" s="123">
        <f t="shared" si="76"/>
        <v>350</v>
      </c>
      <c r="AM215" s="123">
        <f t="shared" si="77"/>
        <v>25</v>
      </c>
      <c r="AN215" s="123">
        <f t="shared" si="78"/>
        <v>12</v>
      </c>
      <c r="AO215" s="123">
        <f t="shared" si="79"/>
        <v>24</v>
      </c>
      <c r="AP215" s="165" t="str">
        <f t="shared" si="80"/>
        <v>1010x350x25 + 12M24</v>
      </c>
      <c r="AQ215" s="111" t="s">
        <v>328</v>
      </c>
      <c r="AR215" s="120">
        <v>0</v>
      </c>
      <c r="AS215" s="120">
        <v>453.25117172327879</v>
      </c>
      <c r="AT215" s="120">
        <v>-4.0859049477148788E-14</v>
      </c>
      <c r="AU215" s="120">
        <v>1.003304034114754E-3</v>
      </c>
      <c r="AV215" s="120">
        <v>4.4074840843677513E-14</v>
      </c>
      <c r="AW215" s="120">
        <v>-381.7068647258339</v>
      </c>
      <c r="AX215" s="120"/>
      <c r="AY215" s="120"/>
      <c r="AZ215" s="120"/>
      <c r="BA215" s="122">
        <f t="shared" si="81"/>
        <v>60</v>
      </c>
      <c r="BB215" s="122">
        <f t="shared" si="82"/>
        <v>70</v>
      </c>
      <c r="BC215" s="122">
        <f t="shared" si="83"/>
        <v>80</v>
      </c>
      <c r="BD215" s="122">
        <f t="shared" si="84"/>
        <v>150</v>
      </c>
      <c r="BE215" s="122">
        <f>VLOOKUP(AO215,Data!$V$4:$Z$15,3,FALSE)</f>
        <v>452.38934211693021</v>
      </c>
      <c r="BF215" s="122">
        <f>VLOOKUP(AO215,Data!$V$4:$Z$15,4,FALSE)</f>
        <v>353</v>
      </c>
      <c r="BG215" s="163">
        <f t="shared" si="85"/>
        <v>180</v>
      </c>
      <c r="BH215" s="122">
        <f t="shared" si="86"/>
        <v>121.65654188208487</v>
      </c>
      <c r="BI215" s="122">
        <f t="shared" si="87"/>
        <v>243</v>
      </c>
      <c r="BJ215" s="163">
        <f t="shared" si="88"/>
        <v>142.3296</v>
      </c>
      <c r="BK215" s="131">
        <f t="shared" si="89"/>
        <v>37.770930976939901</v>
      </c>
      <c r="BL215" s="134">
        <f t="shared" si="90"/>
        <v>0.89458333333333329</v>
      </c>
      <c r="BM215" s="135">
        <f t="shared" si="91"/>
        <v>0.34705748824406157</v>
      </c>
      <c r="BN215" s="92" t="str">
        <f t="shared" si="92"/>
        <v>OK</v>
      </c>
      <c r="BO215" s="135">
        <f>_xll.DCEBoltDisRS(AN215, AE215, BA215, BB215, BC215, BD215, "h1")</f>
        <v>890</v>
      </c>
      <c r="BP215" s="136">
        <f>_xll.DCEBoltDisRS(AN215, AE215, BA215, BB215, BC215, BD215, "Tong")</f>
        <v>1800300</v>
      </c>
      <c r="BQ215" s="137">
        <f t="shared" si="93"/>
        <v>94.350694219294596</v>
      </c>
      <c r="BR215" s="135">
        <f t="shared" si="94"/>
        <v>0.6629028270949584</v>
      </c>
      <c r="BS215" s="64" t="str">
        <f t="shared" si="95"/>
        <v>OK</v>
      </c>
      <c r="BT215" s="131">
        <f t="shared" si="96"/>
        <v>0.7320060959559932</v>
      </c>
      <c r="BU215" s="92" t="str">
        <f t="shared" si="97"/>
        <v>OK</v>
      </c>
      <c r="BV215" s="139">
        <f t="shared" si="98"/>
        <v>521.45746547245074</v>
      </c>
      <c r="BW215" s="131">
        <f t="shared" si="99"/>
        <v>11.732792973130142</v>
      </c>
      <c r="BX215" s="139">
        <f t="shared" si="100"/>
        <v>260.72873273622537</v>
      </c>
      <c r="BY215" s="123">
        <f t="shared" si="101"/>
        <v>111.51961637826669</v>
      </c>
      <c r="BZ215" s="141">
        <f t="shared" si="102"/>
        <v>0.54210924628324086</v>
      </c>
      <c r="CA215" s="131">
        <f t="shared" si="103"/>
        <v>10.325890405395064</v>
      </c>
      <c r="CB215" s="143">
        <f t="shared" si="104"/>
        <v>8.6543621692726835E-2</v>
      </c>
      <c r="CC215" s="123">
        <f t="shared" si="105"/>
        <v>112.9446628891709</v>
      </c>
      <c r="CD215" s="131">
        <f t="shared" si="106"/>
        <v>0.47742309192282395</v>
      </c>
      <c r="CE215" s="135">
        <f t="shared" si="107"/>
        <v>0.54210924628324086</v>
      </c>
      <c r="CF215" s="92" t="str">
        <f t="shared" si="108"/>
        <v>OK</v>
      </c>
      <c r="CG215" s="50"/>
      <c r="DA215" s="111"/>
      <c r="DB215" s="111"/>
      <c r="DC215" s="111"/>
      <c r="DD215" s="116"/>
      <c r="DE215" s="120"/>
      <c r="DF215" s="121"/>
      <c r="DG215" s="121"/>
      <c r="DH215" s="121"/>
      <c r="DI215" s="121"/>
      <c r="DJ215" s="121"/>
      <c r="DK215" s="122"/>
      <c r="DL215" s="123"/>
      <c r="DM215" s="123"/>
      <c r="DN215" s="123"/>
      <c r="DO215" s="123"/>
      <c r="DP215" s="123"/>
      <c r="DQ215" s="111"/>
      <c r="DR215" s="120"/>
      <c r="DS215" s="120"/>
      <c r="DT215" s="120"/>
      <c r="DU215" s="120"/>
      <c r="DV215" s="120"/>
      <c r="DW215" s="120"/>
      <c r="DX215" s="120"/>
      <c r="DY215" s="120"/>
      <c r="DZ215" s="120"/>
      <c r="EA215" s="122"/>
      <c r="EB215" s="122"/>
      <c r="EC215" s="122"/>
      <c r="ED215" s="122"/>
      <c r="EE215" s="122"/>
      <c r="EF215" s="122"/>
      <c r="EG215" s="122"/>
      <c r="EH215" s="122"/>
      <c r="EI215" s="122"/>
      <c r="EJ215" s="122"/>
      <c r="EK215" s="131"/>
      <c r="EL215" s="248"/>
      <c r="EM215" s="276"/>
      <c r="EN215" s="276"/>
      <c r="EO215" s="135"/>
      <c r="EP215" s="136"/>
      <c r="EQ215" s="137"/>
      <c r="ER215" s="276"/>
      <c r="ES215" s="276"/>
      <c r="ET215" s="276"/>
      <c r="EU215" s="276"/>
      <c r="EV215" s="139"/>
      <c r="EW215" s="131"/>
      <c r="EX215" s="139"/>
      <c r="EY215" s="123"/>
      <c r="EZ215" s="141"/>
      <c r="FA215" s="131"/>
      <c r="FB215" s="143"/>
      <c r="FC215" s="123"/>
      <c r="FD215" s="131"/>
      <c r="FE215" s="276"/>
      <c r="FF215" s="276"/>
      <c r="FG215" s="50"/>
    </row>
    <row r="216" spans="27:163">
      <c r="AA216" s="111" t="s">
        <v>245</v>
      </c>
      <c r="AB216" s="111" t="s">
        <v>341</v>
      </c>
      <c r="AC216" s="111">
        <v>104</v>
      </c>
      <c r="AD216" s="116">
        <v>2.6850000000000001</v>
      </c>
      <c r="AE216" s="120">
        <v>1100</v>
      </c>
      <c r="AF216" s="121">
        <v>350</v>
      </c>
      <c r="AG216" s="121">
        <v>14</v>
      </c>
      <c r="AH216" s="121">
        <v>18.000000000000004</v>
      </c>
      <c r="AI216" s="121">
        <v>1064</v>
      </c>
      <c r="AJ216" s="64" t="str" cm="1">
        <f t="array" ref="AJ216">_xll.Dce_Name_SectI(AE216, AE216, AF216, AG216, AH216, "x", "-", "H Tổng")</f>
        <v>1100x350x14x18</v>
      </c>
      <c r="AK216" s="122">
        <f t="shared" ref="AK216:AK238" si="109">AE216+2*(VLOOKUP(AO216,$B$13:$F$21,2,FALSE)+VLOOKUP(AO216,$B$13:$F$21,3,FALSE))</f>
        <v>1360</v>
      </c>
      <c r="AL216" s="123">
        <f t="shared" ref="AL216:AL238" si="110">IFERROR(INDEX($B$24:$B$31,IFERROR(MATCH(AF216,$B$24:$B$31,0),MATCH(AF216,$B$24:$B$31,1)+1)),$B$24)</f>
        <v>350</v>
      </c>
      <c r="AM216" s="123">
        <f t="shared" ref="AM216:AM238" si="111">IFERROR(VLOOKUP(AE216,$B$42:$F$59,4,FALSE),INDEX($E$42:$E$58,MATCH(AE216,$B$42:$B$58,1)+1))</f>
        <v>25</v>
      </c>
      <c r="AN216" s="123">
        <f t="shared" ref="AN216:AN238" si="112">IFERROR(VLOOKUP(AE216,$B$42:$F$59,2,FALSE),INDEX($C$42:$C$58,MATCH(AE216,$B$42:$B$58,1)+1))</f>
        <v>16</v>
      </c>
      <c r="AO216" s="123">
        <f t="shared" ref="AO216:AO238" si="113">IFERROR(VLOOKUP(AE216,$B$42:$F$59,3,FALSE),INDEX($D$42:$D$58,MATCH(AE216,$B$42:$B$58,1)+1))</f>
        <v>27</v>
      </c>
      <c r="AP216" s="165" t="str">
        <f t="shared" ref="AP216:AP238" si="114">AK216&amp;"x"&amp;AL216&amp;"x"&amp;AM216&amp;" + "&amp;AN216&amp;"M"&amp;AO216</f>
        <v>1360x350x25 + 16M27</v>
      </c>
      <c r="AQ216" s="111" t="s">
        <v>328</v>
      </c>
      <c r="AR216" s="120">
        <v>0</v>
      </c>
      <c r="AS216" s="120">
        <v>631.54955279364833</v>
      </c>
      <c r="AT216" s="120">
        <v>-1.1937117960769681E-14</v>
      </c>
      <c r="AU216" s="120">
        <v>1.0031562862868519E-3</v>
      </c>
      <c r="AV216" s="120">
        <v>7.4472382038948108E-15</v>
      </c>
      <c r="AW216" s="120">
        <v>-1865.7455673476859</v>
      </c>
      <c r="AX216" s="120"/>
      <c r="AY216" s="120"/>
      <c r="AZ216" s="120"/>
      <c r="BA216" s="122">
        <f t="shared" ref="BA216:BA238" si="115">VLOOKUP(AO216,$B$13:$F$21,2,FALSE)</f>
        <v>60</v>
      </c>
      <c r="BB216" s="122">
        <f t="shared" ref="BB216:BB238" si="116">VLOOKUP(AO216,$B$13:$F$21,3,FALSE)</f>
        <v>70</v>
      </c>
      <c r="BC216" s="122">
        <f t="shared" ref="BC216:BC238" si="117">VLOOKUP(AO216,$B$13:$F$21,4,FALSE)</f>
        <v>80</v>
      </c>
      <c r="BD216" s="122">
        <f t="shared" ref="BD216:BD238" si="118">VLOOKUP(AO216,$B$13:$F$21,5,FALSE)</f>
        <v>160</v>
      </c>
      <c r="BE216" s="122">
        <f>VLOOKUP(AO216,Data!$V$4:$Z$15,3,FALSE)</f>
        <v>572.55526111673976</v>
      </c>
      <c r="BF216" s="122">
        <f>VLOOKUP(AO216,Data!$V$4:$Z$15,4,FALSE)</f>
        <v>459</v>
      </c>
      <c r="BG216" s="163">
        <f t="shared" ref="BG216:BG238" si="119">VLOOKUP(AL216,$B$24:$C$39,2,FALSE)</f>
        <v>180</v>
      </c>
      <c r="BH216" s="122">
        <f t="shared" ref="BH216:BH238" si="120">$R$17*BE216*$R$23*$R$24*$R$25/1000</f>
        <v>153.97156081951366</v>
      </c>
      <c r="BI216" s="122">
        <f t="shared" ref="BI216:BI238" si="121">$R$19*AO216*AM216*$R$24*$R$25/1000</f>
        <v>273.375</v>
      </c>
      <c r="BJ216" s="163">
        <f t="shared" ref="BJ216:BJ238" si="122">$R$18*BF216*$R$24/1000</f>
        <v>185.06880000000001</v>
      </c>
      <c r="BK216" s="131">
        <f t="shared" ref="BK216:BK238" si="123">ABS(AS216)/AN216</f>
        <v>39.471847049603021</v>
      </c>
      <c r="BL216" s="134">
        <f t="shared" ref="BL216:BL238" si="124">MIN(1,MAX(0.75,1-0.005*(BO216/AO216-16)))</f>
        <v>0.85037037037037044</v>
      </c>
      <c r="BM216" s="135">
        <f t="shared" ref="BM216:BM238" si="125">BK216/(BL216*MIN(BH216,BI216))</f>
        <v>0.30146633243476889</v>
      </c>
      <c r="BN216" s="92" t="str">
        <f t="shared" ref="BN216:BN238" si="126">IF(BM216&lt;=1,"OK","O/S")</f>
        <v>OK</v>
      </c>
      <c r="BO216" s="135">
        <f>_xll.DCEBoltDisRS(AN216, AE216, BA216, BB216, BC216, BD216, "h1")</f>
        <v>1240</v>
      </c>
      <c r="BP216" s="136">
        <f>_xll.DCEBoltDisRS(AN216, AE216, BA216, BB216, BC216, BD216, "Tong")</f>
        <v>4523000</v>
      </c>
      <c r="BQ216" s="137">
        <f t="shared" ref="BQ216:BQ238" si="127">ABS(AW216)*1000*BO216/(2*BP216)+AR216/AN216</f>
        <v>255.75110584911897</v>
      </c>
      <c r="BR216" s="135">
        <f t="shared" ref="BR216:BR238" si="128">BQ216/BJ216</f>
        <v>1.3819244834846227</v>
      </c>
      <c r="BS216" s="64" t="str">
        <f t="shared" ref="BS216:BS238" si="129">IF(BR216&lt;=1,"OK","O/S")</f>
        <v>O/S</v>
      </c>
      <c r="BT216" s="131">
        <f t="shared" ref="BT216:BT238" si="130">SQRT((BK216/BH216)^2+(BQ216/BJ216)^2)</f>
        <v>1.4055015905608732</v>
      </c>
      <c r="BU216" s="92" t="str">
        <f t="shared" ref="BU216:BU238" si="131">IF(BT216&lt;=1,"OK","O/S")</f>
        <v>O/S</v>
      </c>
      <c r="BV216" s="139">
        <f t="shared" ref="BV216:BV238" si="132">ABS(ABS(AW216)/((AE216-AH216)/1000)+AR216)</f>
        <v>1724.3489531864009</v>
      </c>
      <c r="BW216" s="131">
        <f t="shared" ref="BW216:BW238" si="133">BV216*(BG216/1000)/8</f>
        <v>38.797851446694018</v>
      </c>
      <c r="BX216" s="139">
        <f t="shared" ref="BX216:BX238" si="134">BV216/2</f>
        <v>862.17447659320044</v>
      </c>
      <c r="BY216" s="123">
        <f t="shared" ref="BY216:BY238" si="135">6*BW216*1000000/(AK216*AM216^2)</f>
        <v>273.86718668254605</v>
      </c>
      <c r="BZ216" s="141">
        <f t="shared" ref="BZ216:BZ238" si="136">BY216/($R$32*$R$30)</f>
        <v>1.3312988241512655</v>
      </c>
      <c r="CA216" s="131">
        <f t="shared" ref="CA216:CA238" si="137">BX216*1000/(AK216*AM216)</f>
        <v>25.358072840976483</v>
      </c>
      <c r="CB216" s="143">
        <f t="shared" ref="CB216:CB238" si="138">CA216/($R$32*$R$31)</f>
        <v>0.21253174076488912</v>
      </c>
      <c r="CC216" s="123">
        <f t="shared" ref="CC216:CC238" si="139">SQRT(BY216^2+3*CA216^2)</f>
        <v>277.36678156556047</v>
      </c>
      <c r="CD216" s="131">
        <f t="shared" ref="CD216:CD238" si="140">CC216/(1.15*$R$32*$R$30)</f>
        <v>1.1724441249751953</v>
      </c>
      <c r="CE216" s="135">
        <f t="shared" ref="CE216:CE238" si="141">MAX(BZ216,CB216,CD216)</f>
        <v>1.3312988241512655</v>
      </c>
      <c r="CF216" s="92" t="str">
        <f t="shared" ref="CF216:CF238" si="142">IF(CE216&lt;=1,"OK","O/S")</f>
        <v>O/S</v>
      </c>
      <c r="CG216" s="50"/>
      <c r="DA216" s="111"/>
      <c r="DB216" s="111"/>
      <c r="DC216" s="111"/>
      <c r="DD216" s="116"/>
      <c r="DE216" s="120"/>
      <c r="DF216" s="121"/>
      <c r="DG216" s="121"/>
      <c r="DH216" s="121"/>
      <c r="DI216" s="121"/>
      <c r="DJ216" s="121"/>
      <c r="DK216" s="122"/>
      <c r="DL216" s="123"/>
      <c r="DM216" s="123"/>
      <c r="DN216" s="123"/>
      <c r="DO216" s="123"/>
      <c r="DP216" s="123"/>
      <c r="DQ216" s="111"/>
      <c r="DR216" s="120"/>
      <c r="DS216" s="120"/>
      <c r="DT216" s="120"/>
      <c r="DU216" s="120"/>
      <c r="DV216" s="120"/>
      <c r="DW216" s="120"/>
      <c r="DX216" s="120"/>
      <c r="DY216" s="120"/>
      <c r="DZ216" s="120"/>
      <c r="EA216" s="122"/>
      <c r="EB216" s="122"/>
      <c r="EC216" s="122"/>
      <c r="ED216" s="122"/>
      <c r="EE216" s="122"/>
      <c r="EF216" s="122"/>
      <c r="EG216" s="122"/>
      <c r="EH216" s="122"/>
      <c r="EI216" s="122"/>
      <c r="EJ216" s="122"/>
      <c r="EK216" s="131"/>
      <c r="EL216" s="248"/>
      <c r="EM216" s="276"/>
      <c r="EN216" s="276"/>
      <c r="EO216" s="135"/>
      <c r="EP216" s="136"/>
      <c r="EQ216" s="137"/>
      <c r="ER216" s="276"/>
      <c r="ES216" s="276"/>
      <c r="ET216" s="276"/>
      <c r="EU216" s="276"/>
      <c r="EV216" s="139"/>
      <c r="EW216" s="131"/>
      <c r="EX216" s="139"/>
      <c r="EY216" s="123"/>
      <c r="EZ216" s="141"/>
      <c r="FA216" s="131"/>
      <c r="FB216" s="143"/>
      <c r="FC216" s="123"/>
      <c r="FD216" s="131"/>
      <c r="FE216" s="276"/>
      <c r="FF216" s="276"/>
      <c r="FG216" s="50"/>
    </row>
    <row r="217" spans="27:163">
      <c r="AA217" s="111" t="s">
        <v>245</v>
      </c>
      <c r="AB217" s="111" t="s">
        <v>341</v>
      </c>
      <c r="AC217" s="111">
        <v>104</v>
      </c>
      <c r="AD217" s="116">
        <v>0</v>
      </c>
      <c r="AE217" s="120">
        <v>750</v>
      </c>
      <c r="AF217" s="121">
        <v>350</v>
      </c>
      <c r="AG217" s="121">
        <v>14</v>
      </c>
      <c r="AH217" s="121">
        <v>18.000000000000004</v>
      </c>
      <c r="AI217" s="121">
        <v>714</v>
      </c>
      <c r="AJ217" s="64" t="str" cm="1">
        <f t="array" ref="AJ217">_xll.Dce_Name_SectI(AE217, AE217, AF217, AG217, AH217, "x", "-", "H Tổng")</f>
        <v>750x350x14x18</v>
      </c>
      <c r="AK217" s="122">
        <f t="shared" si="109"/>
        <v>1010</v>
      </c>
      <c r="AL217" s="123">
        <f t="shared" si="110"/>
        <v>350</v>
      </c>
      <c r="AM217" s="123">
        <f t="shared" si="111"/>
        <v>25</v>
      </c>
      <c r="AN217" s="123">
        <f t="shared" si="112"/>
        <v>12</v>
      </c>
      <c r="AO217" s="123">
        <f t="shared" si="113"/>
        <v>24</v>
      </c>
      <c r="AP217" s="165" t="str">
        <f t="shared" si="114"/>
        <v>1010x350x25 + 12M24</v>
      </c>
      <c r="AQ217" s="111" t="s">
        <v>329</v>
      </c>
      <c r="AR217" s="120">
        <v>0</v>
      </c>
      <c r="AS217" s="120">
        <v>456.38996878394306</v>
      </c>
      <c r="AT217" s="120">
        <v>-4.4497028284240504E-14</v>
      </c>
      <c r="AU217" s="120">
        <v>1.0520829537956286E-3</v>
      </c>
      <c r="AV217" s="120">
        <v>4.4074840843677513E-14</v>
      </c>
      <c r="AW217" s="120">
        <v>-386.07572559669472</v>
      </c>
      <c r="AX217" s="120"/>
      <c r="AY217" s="120"/>
      <c r="AZ217" s="120"/>
      <c r="BA217" s="122">
        <f t="shared" si="115"/>
        <v>60</v>
      </c>
      <c r="BB217" s="122">
        <f t="shared" si="116"/>
        <v>70</v>
      </c>
      <c r="BC217" s="122">
        <f t="shared" si="117"/>
        <v>80</v>
      </c>
      <c r="BD217" s="122">
        <f t="shared" si="118"/>
        <v>150</v>
      </c>
      <c r="BE217" s="122">
        <f>VLOOKUP(AO217,Data!$V$4:$Z$15,3,FALSE)</f>
        <v>452.38934211693021</v>
      </c>
      <c r="BF217" s="122">
        <f>VLOOKUP(AO217,Data!$V$4:$Z$15,4,FALSE)</f>
        <v>353</v>
      </c>
      <c r="BG217" s="163">
        <f t="shared" si="119"/>
        <v>180</v>
      </c>
      <c r="BH217" s="122">
        <f t="shared" si="120"/>
        <v>121.65654188208487</v>
      </c>
      <c r="BI217" s="122">
        <f t="shared" si="121"/>
        <v>243</v>
      </c>
      <c r="BJ217" s="163">
        <f t="shared" si="122"/>
        <v>142.3296</v>
      </c>
      <c r="BK217" s="131">
        <f t="shared" si="123"/>
        <v>38.032497398661924</v>
      </c>
      <c r="BL217" s="134">
        <f t="shared" si="124"/>
        <v>0.89458333333333329</v>
      </c>
      <c r="BM217" s="135">
        <f t="shared" si="125"/>
        <v>0.34946088638606804</v>
      </c>
      <c r="BN217" s="92" t="str">
        <f t="shared" si="126"/>
        <v>OK</v>
      </c>
      <c r="BO217" s="135">
        <f>_xll.DCEBoltDisRS(AN217, AE217, BA217, BB217, BC217, BD217, "h1")</f>
        <v>890</v>
      </c>
      <c r="BP217" s="136">
        <f>_xll.DCEBoltDisRS(AN217, AE217, BA217, BB217, BC217, BD217, "Tong")</f>
        <v>1800300</v>
      </c>
      <c r="BQ217" s="137">
        <f t="shared" si="127"/>
        <v>95.430593729116907</v>
      </c>
      <c r="BR217" s="135">
        <f t="shared" si="128"/>
        <v>0.67049014210056734</v>
      </c>
      <c r="BS217" s="64" t="str">
        <f t="shared" si="129"/>
        <v>OK</v>
      </c>
      <c r="BT217" s="131">
        <f t="shared" si="130"/>
        <v>0.73979015497162548</v>
      </c>
      <c r="BU217" s="92" t="str">
        <f t="shared" si="131"/>
        <v>OK</v>
      </c>
      <c r="BV217" s="139">
        <f t="shared" si="132"/>
        <v>527.42585464029332</v>
      </c>
      <c r="BW217" s="131">
        <f t="shared" si="133"/>
        <v>11.8670817294066</v>
      </c>
      <c r="BX217" s="139">
        <f t="shared" si="134"/>
        <v>263.71292732014666</v>
      </c>
      <c r="BY217" s="123">
        <f t="shared" si="135"/>
        <v>112.7960243587162</v>
      </c>
      <c r="BZ217" s="141">
        <f t="shared" si="136"/>
        <v>0.5483140072993149</v>
      </c>
      <c r="CA217" s="131">
        <f t="shared" si="137"/>
        <v>10.444076329510757</v>
      </c>
      <c r="CB217" s="143">
        <f t="shared" si="138"/>
        <v>8.7534164639098785E-2</v>
      </c>
      <c r="CC217" s="123">
        <f t="shared" si="139"/>
        <v>114.23738136994405</v>
      </c>
      <c r="CD217" s="131">
        <f t="shared" si="140"/>
        <v>0.48288748163623701</v>
      </c>
      <c r="CE217" s="135">
        <f t="shared" si="141"/>
        <v>0.5483140072993149</v>
      </c>
      <c r="CF217" s="92" t="str">
        <f t="shared" si="142"/>
        <v>OK</v>
      </c>
      <c r="CG217" s="50"/>
      <c r="DA217" s="111"/>
      <c r="DB217" s="111"/>
      <c r="DC217" s="111"/>
      <c r="DD217" s="116"/>
      <c r="DE217" s="120"/>
      <c r="DF217" s="121"/>
      <c r="DG217" s="121"/>
      <c r="DH217" s="121"/>
      <c r="DI217" s="121"/>
      <c r="DJ217" s="121"/>
      <c r="DK217" s="122"/>
      <c r="DL217" s="123"/>
      <c r="DM217" s="123"/>
      <c r="DN217" s="123"/>
      <c r="DO217" s="123"/>
      <c r="DP217" s="123"/>
      <c r="DQ217" s="111"/>
      <c r="DR217" s="120"/>
      <c r="DS217" s="120"/>
      <c r="DT217" s="120"/>
      <c r="DU217" s="120"/>
      <c r="DV217" s="120"/>
      <c r="DW217" s="120"/>
      <c r="DX217" s="120"/>
      <c r="DY217" s="120"/>
      <c r="DZ217" s="120"/>
      <c r="EA217" s="122"/>
      <c r="EB217" s="122"/>
      <c r="EC217" s="122"/>
      <c r="ED217" s="122"/>
      <c r="EE217" s="122"/>
      <c r="EF217" s="122"/>
      <c r="EG217" s="122"/>
      <c r="EH217" s="122"/>
      <c r="EI217" s="122"/>
      <c r="EJ217" s="122"/>
      <c r="EK217" s="131"/>
      <c r="EL217" s="248"/>
      <c r="EM217" s="276"/>
      <c r="EN217" s="276"/>
      <c r="EO217" s="135"/>
      <c r="EP217" s="136"/>
      <c r="EQ217" s="137"/>
      <c r="ER217" s="276"/>
      <c r="ES217" s="276"/>
      <c r="ET217" s="276"/>
      <c r="EU217" s="276"/>
      <c r="EV217" s="139"/>
      <c r="EW217" s="131"/>
      <c r="EX217" s="139"/>
      <c r="EY217" s="123"/>
      <c r="EZ217" s="141"/>
      <c r="FA217" s="131"/>
      <c r="FB217" s="143"/>
      <c r="FC217" s="123"/>
      <c r="FD217" s="131"/>
      <c r="FE217" s="276"/>
      <c r="FF217" s="276"/>
      <c r="FG217" s="50"/>
    </row>
    <row r="218" spans="27:163">
      <c r="AA218" s="111" t="s">
        <v>245</v>
      </c>
      <c r="AB218" s="111" t="s">
        <v>341</v>
      </c>
      <c r="AC218" s="111">
        <v>104</v>
      </c>
      <c r="AD218" s="116">
        <v>2.6850000000000001</v>
      </c>
      <c r="AE218" s="120">
        <v>1100</v>
      </c>
      <c r="AF218" s="121">
        <v>350</v>
      </c>
      <c r="AG218" s="121">
        <v>14</v>
      </c>
      <c r="AH218" s="121">
        <v>18.000000000000004</v>
      </c>
      <c r="AI218" s="121">
        <v>1064</v>
      </c>
      <c r="AJ218" s="64" t="str" cm="1">
        <f t="array" ref="AJ218">_xll.Dce_Name_SectI(AE218, AE218, AF218, AG218, AH218, "x", "-", "H Tổng")</f>
        <v>1100x350x14x18</v>
      </c>
      <c r="AK218" s="122">
        <f t="shared" si="109"/>
        <v>1360</v>
      </c>
      <c r="AL218" s="123">
        <f t="shared" si="110"/>
        <v>350</v>
      </c>
      <c r="AM218" s="123">
        <f t="shared" si="111"/>
        <v>25</v>
      </c>
      <c r="AN218" s="123">
        <f t="shared" si="112"/>
        <v>16</v>
      </c>
      <c r="AO218" s="123">
        <f t="shared" si="113"/>
        <v>27</v>
      </c>
      <c r="AP218" s="165" t="str">
        <f t="shared" si="114"/>
        <v>1360x350x25 + 16M27</v>
      </c>
      <c r="AQ218" s="111" t="s">
        <v>329</v>
      </c>
      <c r="AR218" s="120">
        <v>0</v>
      </c>
      <c r="AS218" s="120">
        <v>634.6883506186764</v>
      </c>
      <c r="AT218" s="120">
        <v>-1.2846612662542609E-14</v>
      </c>
      <c r="AU218" s="120">
        <v>1.0519279502673408E-3</v>
      </c>
      <c r="AV218" s="120">
        <v>8.8160277300630673E-15</v>
      </c>
      <c r="AW218" s="120">
        <v>-1878.5420683594309</v>
      </c>
      <c r="AX218" s="120"/>
      <c r="AY218" s="120"/>
      <c r="AZ218" s="120"/>
      <c r="BA218" s="122">
        <f t="shared" si="115"/>
        <v>60</v>
      </c>
      <c r="BB218" s="122">
        <f t="shared" si="116"/>
        <v>70</v>
      </c>
      <c r="BC218" s="122">
        <f t="shared" si="117"/>
        <v>80</v>
      </c>
      <c r="BD218" s="122">
        <f t="shared" si="118"/>
        <v>160</v>
      </c>
      <c r="BE218" s="122">
        <f>VLOOKUP(AO218,Data!$V$4:$Z$15,3,FALSE)</f>
        <v>572.55526111673976</v>
      </c>
      <c r="BF218" s="122">
        <f>VLOOKUP(AO218,Data!$V$4:$Z$15,4,FALSE)</f>
        <v>459</v>
      </c>
      <c r="BG218" s="163">
        <f t="shared" si="119"/>
        <v>180</v>
      </c>
      <c r="BH218" s="122">
        <f t="shared" si="120"/>
        <v>153.97156081951366</v>
      </c>
      <c r="BI218" s="122">
        <f t="shared" si="121"/>
        <v>273.375</v>
      </c>
      <c r="BJ218" s="163">
        <f t="shared" si="122"/>
        <v>185.06880000000001</v>
      </c>
      <c r="BK218" s="131">
        <f t="shared" si="123"/>
        <v>39.668021913667275</v>
      </c>
      <c r="BL218" s="134">
        <f t="shared" si="124"/>
        <v>0.85037037037037044</v>
      </c>
      <c r="BM218" s="135">
        <f t="shared" si="125"/>
        <v>0.30296461845900841</v>
      </c>
      <c r="BN218" s="92" t="str">
        <f t="shared" si="126"/>
        <v>OK</v>
      </c>
      <c r="BO218" s="135">
        <f>_xll.DCEBoltDisRS(AN218, AE218, BA218, BB218, BC218, BD218, "h1")</f>
        <v>1240</v>
      </c>
      <c r="BP218" s="136">
        <f>_xll.DCEBoltDisRS(AN218, AE218, BA218, BB218, BC218, BD218, "Tong")</f>
        <v>4523000</v>
      </c>
      <c r="BQ218" s="137">
        <f t="shared" si="127"/>
        <v>257.5052138807975</v>
      </c>
      <c r="BR218" s="135">
        <f t="shared" si="128"/>
        <v>1.391402623677235</v>
      </c>
      <c r="BS218" s="64" t="str">
        <f t="shared" si="129"/>
        <v>O/S</v>
      </c>
      <c r="BT218" s="131">
        <f t="shared" si="130"/>
        <v>1.4150532067953046</v>
      </c>
      <c r="BU218" s="92" t="str">
        <f t="shared" si="131"/>
        <v>O/S</v>
      </c>
      <c r="BV218" s="139">
        <f t="shared" si="132"/>
        <v>1736.1756639181431</v>
      </c>
      <c r="BW218" s="131">
        <f t="shared" si="133"/>
        <v>39.063952438158218</v>
      </c>
      <c r="BX218" s="139">
        <f t="shared" si="134"/>
        <v>868.08783195907154</v>
      </c>
      <c r="BY218" s="123">
        <f t="shared" si="135"/>
        <v>275.74554662229326</v>
      </c>
      <c r="BZ218" s="141">
        <f t="shared" si="136"/>
        <v>1.3404297405250367</v>
      </c>
      <c r="CA218" s="131">
        <f t="shared" si="137"/>
        <v>25.531995057619753</v>
      </c>
      <c r="CB218" s="143">
        <f t="shared" si="138"/>
        <v>0.2139894221783265</v>
      </c>
      <c r="CC218" s="123">
        <f t="shared" si="139"/>
        <v>279.26914401146121</v>
      </c>
      <c r="CD218" s="131">
        <f t="shared" si="140"/>
        <v>1.180485512125742</v>
      </c>
      <c r="CE218" s="135">
        <f t="shared" si="141"/>
        <v>1.3404297405250367</v>
      </c>
      <c r="CF218" s="92" t="str">
        <f t="shared" si="142"/>
        <v>O/S</v>
      </c>
      <c r="CG218" s="50"/>
      <c r="DA218" s="111"/>
      <c r="DB218" s="111"/>
      <c r="DC218" s="111"/>
      <c r="DD218" s="116"/>
      <c r="DE218" s="120"/>
      <c r="DF218" s="121"/>
      <c r="DG218" s="121"/>
      <c r="DH218" s="121"/>
      <c r="DI218" s="121"/>
      <c r="DJ218" s="121"/>
      <c r="DK218" s="122"/>
      <c r="DL218" s="123"/>
      <c r="DM218" s="123"/>
      <c r="DN218" s="123"/>
      <c r="DO218" s="123"/>
      <c r="DP218" s="123"/>
      <c r="DQ218" s="111"/>
      <c r="DR218" s="120"/>
      <c r="DS218" s="120"/>
      <c r="DT218" s="120"/>
      <c r="DU218" s="120"/>
      <c r="DV218" s="120"/>
      <c r="DW218" s="120"/>
      <c r="DX218" s="120"/>
      <c r="DY218" s="120"/>
      <c r="DZ218" s="120"/>
      <c r="EA218" s="122"/>
      <c r="EB218" s="122"/>
      <c r="EC218" s="122"/>
      <c r="ED218" s="122"/>
      <c r="EE218" s="122"/>
      <c r="EF218" s="122"/>
      <c r="EG218" s="122"/>
      <c r="EH218" s="122"/>
      <c r="EI218" s="122"/>
      <c r="EJ218" s="122"/>
      <c r="EK218" s="131"/>
      <c r="EL218" s="248"/>
      <c r="EM218" s="276"/>
      <c r="EN218" s="276"/>
      <c r="EO218" s="135"/>
      <c r="EP218" s="136"/>
      <c r="EQ218" s="137"/>
      <c r="ER218" s="276"/>
      <c r="ES218" s="276"/>
      <c r="ET218" s="276"/>
      <c r="EU218" s="276"/>
      <c r="EV218" s="139"/>
      <c r="EW218" s="131"/>
      <c r="EX218" s="139"/>
      <c r="EY218" s="123"/>
      <c r="EZ218" s="141"/>
      <c r="FA218" s="131"/>
      <c r="FB218" s="143"/>
      <c r="FC218" s="123"/>
      <c r="FD218" s="131"/>
      <c r="FE218" s="276"/>
      <c r="FF218" s="276"/>
      <c r="FG218" s="50"/>
    </row>
    <row r="219" spans="27:163">
      <c r="AA219" s="111" t="s">
        <v>245</v>
      </c>
      <c r="AB219" s="111" t="s">
        <v>341</v>
      </c>
      <c r="AC219" s="111">
        <v>104</v>
      </c>
      <c r="AD219" s="116">
        <v>0</v>
      </c>
      <c r="AE219" s="120">
        <v>750</v>
      </c>
      <c r="AF219" s="121">
        <v>350</v>
      </c>
      <c r="AG219" s="121">
        <v>14</v>
      </c>
      <c r="AH219" s="121">
        <v>18.000000000000004</v>
      </c>
      <c r="AI219" s="121">
        <v>714</v>
      </c>
      <c r="AJ219" s="64" t="str" cm="1">
        <f t="array" ref="AJ219">_xll.Dce_Name_SectI(AE219, AE219, AF219, AG219, AH219, "x", "-", "H Tổng")</f>
        <v>750x350x14x18</v>
      </c>
      <c r="AK219" s="122">
        <f t="shared" si="109"/>
        <v>1010</v>
      </c>
      <c r="AL219" s="123">
        <f t="shared" si="110"/>
        <v>350</v>
      </c>
      <c r="AM219" s="123">
        <f t="shared" si="111"/>
        <v>25</v>
      </c>
      <c r="AN219" s="123">
        <f t="shared" si="112"/>
        <v>12</v>
      </c>
      <c r="AO219" s="123">
        <f t="shared" si="113"/>
        <v>24</v>
      </c>
      <c r="AP219" s="165" t="str">
        <f t="shared" si="114"/>
        <v>1010x350x25 + 12M24</v>
      </c>
      <c r="AQ219" s="111" t="s">
        <v>330</v>
      </c>
      <c r="AR219" s="120">
        <v>0</v>
      </c>
      <c r="AS219" s="120">
        <v>438.36437029726642</v>
      </c>
      <c r="AT219" s="120">
        <v>-3.6766323319170614E-14</v>
      </c>
      <c r="AU219" s="120">
        <v>9.417284198502485E-4</v>
      </c>
      <c r="AV219" s="120">
        <v>3.6624260246753687E-14</v>
      </c>
      <c r="AW219" s="120">
        <v>-307.4331564937325</v>
      </c>
      <c r="AX219" s="120"/>
      <c r="AY219" s="120"/>
      <c r="AZ219" s="120"/>
      <c r="BA219" s="122">
        <f t="shared" si="115"/>
        <v>60</v>
      </c>
      <c r="BB219" s="122">
        <f t="shared" si="116"/>
        <v>70</v>
      </c>
      <c r="BC219" s="122">
        <f t="shared" si="117"/>
        <v>80</v>
      </c>
      <c r="BD219" s="122">
        <f t="shared" si="118"/>
        <v>150</v>
      </c>
      <c r="BE219" s="122">
        <f>VLOOKUP(AO219,Data!$V$4:$Z$15,3,FALSE)</f>
        <v>452.38934211693021</v>
      </c>
      <c r="BF219" s="122">
        <f>VLOOKUP(AO219,Data!$V$4:$Z$15,4,FALSE)</f>
        <v>353</v>
      </c>
      <c r="BG219" s="163">
        <f t="shared" si="119"/>
        <v>180</v>
      </c>
      <c r="BH219" s="122">
        <f t="shared" si="120"/>
        <v>121.65654188208487</v>
      </c>
      <c r="BI219" s="122">
        <f t="shared" si="121"/>
        <v>243</v>
      </c>
      <c r="BJ219" s="163">
        <f t="shared" si="122"/>
        <v>142.3296</v>
      </c>
      <c r="BK219" s="131">
        <f t="shared" si="123"/>
        <v>36.530364191438871</v>
      </c>
      <c r="BL219" s="134">
        <f t="shared" si="124"/>
        <v>0.89458333333333329</v>
      </c>
      <c r="BM219" s="135">
        <f t="shared" si="125"/>
        <v>0.3356585636891477</v>
      </c>
      <c r="BN219" s="92" t="str">
        <f t="shared" si="126"/>
        <v>OK</v>
      </c>
      <c r="BO219" s="135">
        <f>_xll.DCEBoltDisRS(AN219, AE219, BA219, BB219, BC219, BD219, "h1")</f>
        <v>890</v>
      </c>
      <c r="BP219" s="136">
        <f>_xll.DCEBoltDisRS(AN219, AE219, BA219, BB219, BC219, BD219, "Tong")</f>
        <v>1800300</v>
      </c>
      <c r="BQ219" s="137">
        <f t="shared" si="127"/>
        <v>75.991642859362869</v>
      </c>
      <c r="BR219" s="135">
        <f t="shared" si="128"/>
        <v>0.53391313443839417</v>
      </c>
      <c r="BS219" s="64" t="str">
        <f t="shared" si="129"/>
        <v>OK</v>
      </c>
      <c r="BT219" s="131">
        <f t="shared" si="130"/>
        <v>0.61255860500641002</v>
      </c>
      <c r="BU219" s="92" t="str">
        <f t="shared" si="131"/>
        <v>OK</v>
      </c>
      <c r="BV219" s="139">
        <f t="shared" si="132"/>
        <v>419.99065094772197</v>
      </c>
      <c r="BW219" s="131">
        <f t="shared" si="133"/>
        <v>9.4497896463237439</v>
      </c>
      <c r="BX219" s="139">
        <f t="shared" si="134"/>
        <v>209.99532547386099</v>
      </c>
      <c r="BY219" s="123">
        <f t="shared" si="135"/>
        <v>89.819782776938553</v>
      </c>
      <c r="BZ219" s="141">
        <f t="shared" si="136"/>
        <v>0.43662394405456245</v>
      </c>
      <c r="CA219" s="131">
        <f t="shared" si="137"/>
        <v>8.3166465534202363</v>
      </c>
      <c r="CB219" s="143">
        <f t="shared" si="138"/>
        <v>6.970369477243972E-2</v>
      </c>
      <c r="CC219" s="123">
        <f t="shared" si="139"/>
        <v>90.96753930815089</v>
      </c>
      <c r="CD219" s="131">
        <f t="shared" si="140"/>
        <v>0.38452462267938187</v>
      </c>
      <c r="CE219" s="135">
        <f t="shared" si="141"/>
        <v>0.43662394405456245</v>
      </c>
      <c r="CF219" s="92" t="str">
        <f t="shared" si="142"/>
        <v>OK</v>
      </c>
      <c r="CG219" s="50"/>
      <c r="DA219" s="111"/>
      <c r="DB219" s="111"/>
      <c r="DC219" s="111"/>
      <c r="DD219" s="116"/>
      <c r="DE219" s="120"/>
      <c r="DF219" s="121"/>
      <c r="DG219" s="121"/>
      <c r="DH219" s="121"/>
      <c r="DI219" s="121"/>
      <c r="DJ219" s="121"/>
      <c r="DK219" s="122"/>
      <c r="DL219" s="123"/>
      <c r="DM219" s="123"/>
      <c r="DN219" s="123"/>
      <c r="DO219" s="123"/>
      <c r="DP219" s="123"/>
      <c r="DQ219" s="111"/>
      <c r="DR219" s="120"/>
      <c r="DS219" s="120"/>
      <c r="DT219" s="120"/>
      <c r="DU219" s="120"/>
      <c r="DV219" s="120"/>
      <c r="DW219" s="120"/>
      <c r="DX219" s="120"/>
      <c r="DY219" s="120"/>
      <c r="DZ219" s="120"/>
      <c r="EA219" s="122"/>
      <c r="EB219" s="122"/>
      <c r="EC219" s="122"/>
      <c r="ED219" s="122"/>
      <c r="EE219" s="122"/>
      <c r="EF219" s="122"/>
      <c r="EG219" s="122"/>
      <c r="EH219" s="122"/>
      <c r="EI219" s="122"/>
      <c r="EJ219" s="122"/>
      <c r="EK219" s="131"/>
      <c r="EL219" s="248"/>
      <c r="EM219" s="276"/>
      <c r="EN219" s="276"/>
      <c r="EO219" s="135"/>
      <c r="EP219" s="136"/>
      <c r="EQ219" s="137"/>
      <c r="ER219" s="276"/>
      <c r="ES219" s="276"/>
      <c r="ET219" s="276"/>
      <c r="EU219" s="276"/>
      <c r="EV219" s="139"/>
      <c r="EW219" s="131"/>
      <c r="EX219" s="139"/>
      <c r="EY219" s="123"/>
      <c r="EZ219" s="141"/>
      <c r="FA219" s="131"/>
      <c r="FB219" s="143"/>
      <c r="FC219" s="123"/>
      <c r="FD219" s="131"/>
      <c r="FE219" s="276"/>
      <c r="FF219" s="276"/>
      <c r="FG219" s="50"/>
    </row>
    <row r="220" spans="27:163">
      <c r="AA220" s="111" t="s">
        <v>245</v>
      </c>
      <c r="AB220" s="111" t="s">
        <v>341</v>
      </c>
      <c r="AC220" s="111">
        <v>104</v>
      </c>
      <c r="AD220" s="116">
        <v>2.6850000000000001</v>
      </c>
      <c r="AE220" s="120">
        <v>1100</v>
      </c>
      <c r="AF220" s="121">
        <v>350</v>
      </c>
      <c r="AG220" s="121">
        <v>14</v>
      </c>
      <c r="AH220" s="121">
        <v>18.000000000000004</v>
      </c>
      <c r="AI220" s="121">
        <v>1064</v>
      </c>
      <c r="AJ220" s="64" t="str" cm="1">
        <f t="array" ref="AJ220">_xll.Dce_Name_SectI(AE220, AE220, AF220, AG220, AH220, "x", "-", "H Tổng")</f>
        <v>1100x350x14x18</v>
      </c>
      <c r="AK220" s="122">
        <f t="shared" si="109"/>
        <v>1360</v>
      </c>
      <c r="AL220" s="123">
        <f t="shared" si="110"/>
        <v>350</v>
      </c>
      <c r="AM220" s="123">
        <f t="shared" si="111"/>
        <v>25</v>
      </c>
      <c r="AN220" s="123">
        <f t="shared" si="112"/>
        <v>16</v>
      </c>
      <c r="AO220" s="123">
        <f t="shared" si="113"/>
        <v>27</v>
      </c>
      <c r="AP220" s="165" t="str">
        <f t="shared" si="114"/>
        <v>1360x350x25 + 16M27</v>
      </c>
      <c r="AQ220" s="111" t="s">
        <v>330</v>
      </c>
      <c r="AR220" s="120">
        <v>0</v>
      </c>
      <c r="AS220" s="120">
        <v>616.66274687179248</v>
      </c>
      <c r="AT220" s="120">
        <v>-1.3301360013429073E-14</v>
      </c>
      <c r="AU220" s="120">
        <v>9.4158987368011756E-4</v>
      </c>
      <c r="AV220" s="120">
        <v>9.0347612058394575E-15</v>
      </c>
      <c r="AW220" s="120">
        <v>-1751.5008838976501</v>
      </c>
      <c r="AX220" s="120"/>
      <c r="AY220" s="120"/>
      <c r="AZ220" s="120"/>
      <c r="BA220" s="122">
        <f t="shared" si="115"/>
        <v>60</v>
      </c>
      <c r="BB220" s="122">
        <f t="shared" si="116"/>
        <v>70</v>
      </c>
      <c r="BC220" s="122">
        <f t="shared" si="117"/>
        <v>80</v>
      </c>
      <c r="BD220" s="122">
        <f t="shared" si="118"/>
        <v>160</v>
      </c>
      <c r="BE220" s="122">
        <f>VLOOKUP(AO220,Data!$V$4:$Z$15,3,FALSE)</f>
        <v>572.55526111673976</v>
      </c>
      <c r="BF220" s="122">
        <f>VLOOKUP(AO220,Data!$V$4:$Z$15,4,FALSE)</f>
        <v>459</v>
      </c>
      <c r="BG220" s="163">
        <f t="shared" si="119"/>
        <v>180</v>
      </c>
      <c r="BH220" s="122">
        <f t="shared" si="120"/>
        <v>153.97156081951366</v>
      </c>
      <c r="BI220" s="122">
        <f t="shared" si="121"/>
        <v>273.375</v>
      </c>
      <c r="BJ220" s="163">
        <f t="shared" si="122"/>
        <v>185.06880000000001</v>
      </c>
      <c r="BK220" s="131">
        <f t="shared" si="123"/>
        <v>38.54142167948703</v>
      </c>
      <c r="BL220" s="134">
        <f t="shared" si="124"/>
        <v>0.85037037037037044</v>
      </c>
      <c r="BM220" s="135">
        <f t="shared" si="125"/>
        <v>0.29436020629933252</v>
      </c>
      <c r="BN220" s="92" t="str">
        <f t="shared" si="126"/>
        <v>OK</v>
      </c>
      <c r="BO220" s="135">
        <f>_xll.DCEBoltDisRS(AN220, AE220, BA220, BB220, BC220, BD220, "h1")</f>
        <v>1240</v>
      </c>
      <c r="BP220" s="136">
        <f>_xll.DCEBoltDisRS(AN220, AE220, BA220, BB220, BC220, BD220, "Tong")</f>
        <v>4523000</v>
      </c>
      <c r="BQ220" s="137">
        <f t="shared" si="127"/>
        <v>240.09076896231332</v>
      </c>
      <c r="BR220" s="135">
        <f t="shared" si="128"/>
        <v>1.2973054829464141</v>
      </c>
      <c r="BS220" s="64" t="str">
        <f t="shared" si="129"/>
        <v>O/S</v>
      </c>
      <c r="BT220" s="131">
        <f t="shared" si="130"/>
        <v>1.3212339740783692</v>
      </c>
      <c r="BU220" s="92" t="str">
        <f t="shared" si="131"/>
        <v>O/S</v>
      </c>
      <c r="BV220" s="139">
        <f t="shared" si="132"/>
        <v>1618.7623695911736</v>
      </c>
      <c r="BW220" s="131">
        <f t="shared" si="133"/>
        <v>36.422153315801403</v>
      </c>
      <c r="BX220" s="139">
        <f t="shared" si="134"/>
        <v>809.38118479558682</v>
      </c>
      <c r="BY220" s="123">
        <f t="shared" si="135"/>
        <v>257.09755281742167</v>
      </c>
      <c r="BZ220" s="141">
        <f t="shared" si="136"/>
        <v>1.2497797706402443</v>
      </c>
      <c r="CA220" s="131">
        <f t="shared" si="137"/>
        <v>23.805328964576084</v>
      </c>
      <c r="CB220" s="143">
        <f t="shared" si="138"/>
        <v>0.19951784333337239</v>
      </c>
      <c r="CC220" s="123">
        <f t="shared" si="139"/>
        <v>260.38285797272061</v>
      </c>
      <c r="CD220" s="131">
        <f t="shared" si="140"/>
        <v>1.1006521774209206</v>
      </c>
      <c r="CE220" s="135">
        <f t="shared" si="141"/>
        <v>1.2497797706402443</v>
      </c>
      <c r="CF220" s="92" t="str">
        <f t="shared" si="142"/>
        <v>O/S</v>
      </c>
      <c r="CG220" s="50"/>
      <c r="DA220" s="111"/>
      <c r="DB220" s="111"/>
      <c r="DC220" s="111"/>
      <c r="DD220" s="116"/>
      <c r="DE220" s="120"/>
      <c r="DF220" s="121"/>
      <c r="DG220" s="121"/>
      <c r="DH220" s="121"/>
      <c r="DI220" s="121"/>
      <c r="DJ220" s="121"/>
      <c r="DK220" s="122"/>
      <c r="DL220" s="123"/>
      <c r="DM220" s="123"/>
      <c r="DN220" s="123"/>
      <c r="DO220" s="123"/>
      <c r="DP220" s="123"/>
      <c r="DQ220" s="111"/>
      <c r="DR220" s="120"/>
      <c r="DS220" s="120"/>
      <c r="DT220" s="120"/>
      <c r="DU220" s="120"/>
      <c r="DV220" s="120"/>
      <c r="DW220" s="120"/>
      <c r="DX220" s="120"/>
      <c r="DY220" s="120"/>
      <c r="DZ220" s="120"/>
      <c r="EA220" s="122"/>
      <c r="EB220" s="122"/>
      <c r="EC220" s="122"/>
      <c r="ED220" s="122"/>
      <c r="EE220" s="122"/>
      <c r="EF220" s="122"/>
      <c r="EG220" s="122"/>
      <c r="EH220" s="122"/>
      <c r="EI220" s="122"/>
      <c r="EJ220" s="122"/>
      <c r="EK220" s="131"/>
      <c r="EL220" s="248"/>
      <c r="EM220" s="276"/>
      <c r="EN220" s="276"/>
      <c r="EO220" s="135"/>
      <c r="EP220" s="136"/>
      <c r="EQ220" s="137"/>
      <c r="ER220" s="276"/>
      <c r="ES220" s="276"/>
      <c r="ET220" s="276"/>
      <c r="EU220" s="276"/>
      <c r="EV220" s="139"/>
      <c r="EW220" s="131"/>
      <c r="EX220" s="139"/>
      <c r="EY220" s="123"/>
      <c r="EZ220" s="141"/>
      <c r="FA220" s="131"/>
      <c r="FB220" s="143"/>
      <c r="FC220" s="123"/>
      <c r="FD220" s="131"/>
      <c r="FE220" s="276"/>
      <c r="FF220" s="276"/>
      <c r="FG220" s="50"/>
    </row>
    <row r="221" spans="27:163">
      <c r="AA221" s="111" t="s">
        <v>245</v>
      </c>
      <c r="AB221" s="111" t="s">
        <v>341</v>
      </c>
      <c r="AC221" s="111">
        <v>104</v>
      </c>
      <c r="AD221" s="116">
        <v>0</v>
      </c>
      <c r="AE221" s="120">
        <v>750</v>
      </c>
      <c r="AF221" s="121">
        <v>350</v>
      </c>
      <c r="AG221" s="121">
        <v>14</v>
      </c>
      <c r="AH221" s="121">
        <v>18.000000000000004</v>
      </c>
      <c r="AI221" s="121">
        <v>714</v>
      </c>
      <c r="AJ221" s="64" t="str" cm="1">
        <f t="array" ref="AJ221">_xll.Dce_Name_SectI(AE221, AE221, AF221, AG221, AH221, "x", "-", "H Tổng")</f>
        <v>750x350x14x18</v>
      </c>
      <c r="AK221" s="122">
        <f t="shared" si="109"/>
        <v>1010</v>
      </c>
      <c r="AL221" s="123">
        <f t="shared" si="110"/>
        <v>350</v>
      </c>
      <c r="AM221" s="123">
        <f t="shared" si="111"/>
        <v>25</v>
      </c>
      <c r="AN221" s="123">
        <f t="shared" si="112"/>
        <v>12</v>
      </c>
      <c r="AO221" s="123">
        <f t="shared" si="113"/>
        <v>24</v>
      </c>
      <c r="AP221" s="165" t="str">
        <f t="shared" si="114"/>
        <v>1010x350x25 + 12M24</v>
      </c>
      <c r="AQ221" s="111" t="s">
        <v>331</v>
      </c>
      <c r="AR221" s="120">
        <v>0</v>
      </c>
      <c r="AS221" s="120">
        <v>441.52239999187344</v>
      </c>
      <c r="AT221" s="120">
        <v>-3.8585312722716472E-14</v>
      </c>
      <c r="AU221" s="120">
        <v>9.8979201942304192E-4</v>
      </c>
      <c r="AV221" s="120">
        <v>3.6391429603099818E-14</v>
      </c>
      <c r="AW221" s="120">
        <v>-311.94951591744734</v>
      </c>
      <c r="AX221" s="120"/>
      <c r="AY221" s="120"/>
      <c r="AZ221" s="120"/>
      <c r="BA221" s="122">
        <f t="shared" si="115"/>
        <v>60</v>
      </c>
      <c r="BB221" s="122">
        <f t="shared" si="116"/>
        <v>70</v>
      </c>
      <c r="BC221" s="122">
        <f t="shared" si="117"/>
        <v>80</v>
      </c>
      <c r="BD221" s="122">
        <f t="shared" si="118"/>
        <v>150</v>
      </c>
      <c r="BE221" s="122">
        <f>VLOOKUP(AO221,Data!$V$4:$Z$15,3,FALSE)</f>
        <v>452.38934211693021</v>
      </c>
      <c r="BF221" s="122">
        <f>VLOOKUP(AO221,Data!$V$4:$Z$15,4,FALSE)</f>
        <v>353</v>
      </c>
      <c r="BG221" s="163">
        <f t="shared" si="119"/>
        <v>180</v>
      </c>
      <c r="BH221" s="122">
        <f t="shared" si="120"/>
        <v>121.65654188208487</v>
      </c>
      <c r="BI221" s="122">
        <f t="shared" si="121"/>
        <v>243</v>
      </c>
      <c r="BJ221" s="163">
        <f t="shared" si="122"/>
        <v>142.3296</v>
      </c>
      <c r="BK221" s="131">
        <f t="shared" si="123"/>
        <v>36.793533332656118</v>
      </c>
      <c r="BL221" s="134">
        <f t="shared" si="124"/>
        <v>0.89458333333333329</v>
      </c>
      <c r="BM221" s="135">
        <f t="shared" si="125"/>
        <v>0.33807668838906485</v>
      </c>
      <c r="BN221" s="92" t="str">
        <f t="shared" si="126"/>
        <v>OK</v>
      </c>
      <c r="BO221" s="135">
        <f>_xll.DCEBoltDisRS(AN221, AE221, BA221, BB221, BC221, BD221, "h1")</f>
        <v>890</v>
      </c>
      <c r="BP221" s="136">
        <f>_xll.DCEBoltDisRS(AN221, AE221, BA221, BB221, BC221, BD221, "Tong")</f>
        <v>1800300</v>
      </c>
      <c r="BQ221" s="137">
        <f t="shared" si="127"/>
        <v>77.108001212722357</v>
      </c>
      <c r="BR221" s="135">
        <f t="shared" si="128"/>
        <v>0.54175660728845132</v>
      </c>
      <c r="BS221" s="64" t="str">
        <f t="shared" si="129"/>
        <v>OK</v>
      </c>
      <c r="BT221" s="131">
        <f t="shared" si="130"/>
        <v>0.62045856167845848</v>
      </c>
      <c r="BU221" s="92" t="str">
        <f t="shared" si="131"/>
        <v>OK</v>
      </c>
      <c r="BV221" s="139">
        <f t="shared" si="132"/>
        <v>426.16054087082972</v>
      </c>
      <c r="BW221" s="131">
        <f t="shared" si="133"/>
        <v>9.5886121695936684</v>
      </c>
      <c r="BX221" s="139">
        <f t="shared" si="134"/>
        <v>213.08027043541486</v>
      </c>
      <c r="BY221" s="123">
        <f t="shared" si="135"/>
        <v>91.139283988217059</v>
      </c>
      <c r="BZ221" s="141">
        <f t="shared" si="136"/>
        <v>0.44303818605383299</v>
      </c>
      <c r="CA221" s="131">
        <f t="shared" si="137"/>
        <v>8.4388225915015784</v>
      </c>
      <c r="CB221" s="143">
        <f t="shared" si="138"/>
        <v>7.0727679765937565E-2</v>
      </c>
      <c r="CC221" s="123">
        <f t="shared" si="139"/>
        <v>92.3039016839342</v>
      </c>
      <c r="CD221" s="131">
        <f t="shared" si="140"/>
        <v>0.39017349745624369</v>
      </c>
      <c r="CE221" s="135">
        <f t="shared" si="141"/>
        <v>0.44303818605383299</v>
      </c>
      <c r="CF221" s="92" t="str">
        <f t="shared" si="142"/>
        <v>OK</v>
      </c>
      <c r="CG221" s="50"/>
      <c r="DA221" s="111"/>
      <c r="DB221" s="111"/>
      <c r="DC221" s="111"/>
      <c r="DD221" s="116"/>
      <c r="DE221" s="120"/>
      <c r="DF221" s="121"/>
      <c r="DG221" s="121"/>
      <c r="DH221" s="121"/>
      <c r="DI221" s="121"/>
      <c r="DJ221" s="121"/>
      <c r="DK221" s="122"/>
      <c r="DL221" s="123"/>
      <c r="DM221" s="123"/>
      <c r="DN221" s="123"/>
      <c r="DO221" s="123"/>
      <c r="DP221" s="123"/>
      <c r="DQ221" s="111"/>
      <c r="DR221" s="120"/>
      <c r="DS221" s="120"/>
      <c r="DT221" s="120"/>
      <c r="DU221" s="120"/>
      <c r="DV221" s="120"/>
      <c r="DW221" s="120"/>
      <c r="DX221" s="120"/>
      <c r="DY221" s="120"/>
      <c r="DZ221" s="120"/>
      <c r="EA221" s="122"/>
      <c r="EB221" s="122"/>
      <c r="EC221" s="122"/>
      <c r="ED221" s="122"/>
      <c r="EE221" s="122"/>
      <c r="EF221" s="122"/>
      <c r="EG221" s="122"/>
      <c r="EH221" s="122"/>
      <c r="EI221" s="122"/>
      <c r="EJ221" s="122"/>
      <c r="EK221" s="131"/>
      <c r="EL221" s="248"/>
      <c r="EM221" s="276"/>
      <c r="EN221" s="276"/>
      <c r="EO221" s="135"/>
      <c r="EP221" s="136"/>
      <c r="EQ221" s="137"/>
      <c r="ER221" s="276"/>
      <c r="ES221" s="276"/>
      <c r="ET221" s="276"/>
      <c r="EU221" s="276"/>
      <c r="EV221" s="139"/>
      <c r="EW221" s="131"/>
      <c r="EX221" s="139"/>
      <c r="EY221" s="123"/>
      <c r="EZ221" s="141"/>
      <c r="FA221" s="131"/>
      <c r="FB221" s="143"/>
      <c r="FC221" s="123"/>
      <c r="FD221" s="131"/>
      <c r="FE221" s="276"/>
      <c r="FF221" s="276"/>
      <c r="FG221" s="50"/>
    </row>
    <row r="222" spans="27:163">
      <c r="AA222" s="111" t="s">
        <v>245</v>
      </c>
      <c r="AB222" s="111" t="s">
        <v>341</v>
      </c>
      <c r="AC222" s="111">
        <v>104</v>
      </c>
      <c r="AD222" s="116">
        <v>2.6850000000000001</v>
      </c>
      <c r="AE222" s="120">
        <v>1100</v>
      </c>
      <c r="AF222" s="121">
        <v>350</v>
      </c>
      <c r="AG222" s="121">
        <v>14</v>
      </c>
      <c r="AH222" s="121">
        <v>18.000000000000004</v>
      </c>
      <c r="AI222" s="121">
        <v>1064</v>
      </c>
      <c r="AJ222" s="64" t="str" cm="1">
        <f t="array" ref="AJ222">_xll.Dce_Name_SectI(AE222, AE222, AF222, AG222, AH222, "x", "-", "H Tổng")</f>
        <v>1100x350x14x18</v>
      </c>
      <c r="AK222" s="122">
        <f t="shared" si="109"/>
        <v>1360</v>
      </c>
      <c r="AL222" s="123">
        <f t="shared" si="110"/>
        <v>350</v>
      </c>
      <c r="AM222" s="123">
        <f t="shared" si="111"/>
        <v>25</v>
      </c>
      <c r="AN222" s="123">
        <f t="shared" si="112"/>
        <v>16</v>
      </c>
      <c r="AO222" s="123">
        <f t="shared" si="113"/>
        <v>27</v>
      </c>
      <c r="AP222" s="165" t="str">
        <f t="shared" si="114"/>
        <v>1360x350x25 + 16M27</v>
      </c>
      <c r="AQ222" s="111" t="s">
        <v>331</v>
      </c>
      <c r="AR222" s="120">
        <v>0</v>
      </c>
      <c r="AS222" s="120">
        <v>619.82077733740937</v>
      </c>
      <c r="AT222" s="120">
        <v>-1.2846612662542609E-14</v>
      </c>
      <c r="AU222" s="120">
        <v>9.8964632241525514E-4</v>
      </c>
      <c r="AV222" s="120">
        <v>8.6996124082361328E-15</v>
      </c>
      <c r="AW222" s="120">
        <v>-1764.4965230514174</v>
      </c>
      <c r="AX222" s="120"/>
      <c r="AY222" s="120"/>
      <c r="AZ222" s="120"/>
      <c r="BA222" s="122">
        <f t="shared" si="115"/>
        <v>60</v>
      </c>
      <c r="BB222" s="122">
        <f t="shared" si="116"/>
        <v>70</v>
      </c>
      <c r="BC222" s="122">
        <f t="shared" si="117"/>
        <v>80</v>
      </c>
      <c r="BD222" s="122">
        <f t="shared" si="118"/>
        <v>160</v>
      </c>
      <c r="BE222" s="122">
        <f>VLOOKUP(AO222,Data!$V$4:$Z$15,3,FALSE)</f>
        <v>572.55526111673976</v>
      </c>
      <c r="BF222" s="122">
        <f>VLOOKUP(AO222,Data!$V$4:$Z$15,4,FALSE)</f>
        <v>459</v>
      </c>
      <c r="BG222" s="163">
        <f t="shared" si="119"/>
        <v>180</v>
      </c>
      <c r="BH222" s="122">
        <f t="shared" si="120"/>
        <v>153.97156081951366</v>
      </c>
      <c r="BI222" s="122">
        <f t="shared" si="121"/>
        <v>273.375</v>
      </c>
      <c r="BJ222" s="163">
        <f t="shared" si="122"/>
        <v>185.06880000000001</v>
      </c>
      <c r="BK222" s="131">
        <f t="shared" si="123"/>
        <v>38.738798583588085</v>
      </c>
      <c r="BL222" s="134">
        <f t="shared" si="124"/>
        <v>0.85037037037037044</v>
      </c>
      <c r="BM222" s="135">
        <f t="shared" si="125"/>
        <v>0.2958676729074165</v>
      </c>
      <c r="BN222" s="92" t="str">
        <f t="shared" si="126"/>
        <v>OK</v>
      </c>
      <c r="BO222" s="135">
        <f>_xll.DCEBoltDisRS(AN222, AE222, BA222, BB222, BC222, BD222, "h1")</f>
        <v>1240</v>
      </c>
      <c r="BP222" s="136">
        <f>_xll.DCEBoltDisRS(AN222, AE222, BA222, BB222, BC222, BD222, "Tong")</f>
        <v>4523000</v>
      </c>
      <c r="BQ222" s="137">
        <f t="shared" si="127"/>
        <v>241.87217428518213</v>
      </c>
      <c r="BR222" s="135">
        <f t="shared" si="128"/>
        <v>1.3069311212110422</v>
      </c>
      <c r="BS222" s="64" t="str">
        <f t="shared" si="129"/>
        <v>O/S</v>
      </c>
      <c r="BT222" s="131">
        <f t="shared" si="130"/>
        <v>1.3309282691498019</v>
      </c>
      <c r="BU222" s="92" t="str">
        <f t="shared" si="131"/>
        <v>O/S</v>
      </c>
      <c r="BV222" s="139">
        <f t="shared" si="132"/>
        <v>1630.7731266648959</v>
      </c>
      <c r="BW222" s="131">
        <f t="shared" si="133"/>
        <v>36.692395349960158</v>
      </c>
      <c r="BX222" s="139">
        <f t="shared" si="134"/>
        <v>815.38656333244796</v>
      </c>
      <c r="BY222" s="123">
        <f t="shared" si="135"/>
        <v>259.00514364677758</v>
      </c>
      <c r="BZ222" s="141">
        <f t="shared" si="136"/>
        <v>1.25905278161628</v>
      </c>
      <c r="CA222" s="131">
        <f t="shared" si="137"/>
        <v>23.981957745072002</v>
      </c>
      <c r="CB222" s="143">
        <f t="shared" si="138"/>
        <v>0.2009982090702874</v>
      </c>
      <c r="CC222" s="123">
        <f t="shared" si="139"/>
        <v>262.31482483334247</v>
      </c>
      <c r="CD222" s="131">
        <f t="shared" si="140"/>
        <v>1.1088187040056749</v>
      </c>
      <c r="CE222" s="135">
        <f t="shared" si="141"/>
        <v>1.25905278161628</v>
      </c>
      <c r="CF222" s="92" t="str">
        <f t="shared" si="142"/>
        <v>O/S</v>
      </c>
      <c r="CG222" s="50"/>
      <c r="DA222" s="111"/>
      <c r="DB222" s="111"/>
      <c r="DC222" s="111"/>
      <c r="DD222" s="116"/>
      <c r="DE222" s="120"/>
      <c r="DF222" s="121"/>
      <c r="DG222" s="121"/>
      <c r="DH222" s="121"/>
      <c r="DI222" s="121"/>
      <c r="DJ222" s="121"/>
      <c r="DK222" s="122"/>
      <c r="DL222" s="123"/>
      <c r="DM222" s="123"/>
      <c r="DN222" s="123"/>
      <c r="DO222" s="123"/>
      <c r="DP222" s="123"/>
      <c r="DQ222" s="111"/>
      <c r="DR222" s="120"/>
      <c r="DS222" s="120"/>
      <c r="DT222" s="120"/>
      <c r="DU222" s="120"/>
      <c r="DV222" s="120"/>
      <c r="DW222" s="120"/>
      <c r="DX222" s="120"/>
      <c r="DY222" s="120"/>
      <c r="DZ222" s="120"/>
      <c r="EA222" s="122"/>
      <c r="EB222" s="122"/>
      <c r="EC222" s="122"/>
      <c r="ED222" s="122"/>
      <c r="EE222" s="122"/>
      <c r="EF222" s="122"/>
      <c r="EG222" s="122"/>
      <c r="EH222" s="122"/>
      <c r="EI222" s="122"/>
      <c r="EJ222" s="122"/>
      <c r="EK222" s="131"/>
      <c r="EL222" s="248"/>
      <c r="EM222" s="276"/>
      <c r="EN222" s="276"/>
      <c r="EO222" s="135"/>
      <c r="EP222" s="136"/>
      <c r="EQ222" s="137"/>
      <c r="ER222" s="276"/>
      <c r="ES222" s="276"/>
      <c r="ET222" s="276"/>
      <c r="EU222" s="276"/>
      <c r="EV222" s="139"/>
      <c r="EW222" s="131"/>
      <c r="EX222" s="139"/>
      <c r="EY222" s="123"/>
      <c r="EZ222" s="141"/>
      <c r="FA222" s="131"/>
      <c r="FB222" s="143"/>
      <c r="FC222" s="123"/>
      <c r="FD222" s="131"/>
      <c r="FE222" s="276"/>
      <c r="FF222" s="276"/>
      <c r="FG222" s="50"/>
    </row>
    <row r="223" spans="27:163">
      <c r="AA223" s="111" t="s">
        <v>245</v>
      </c>
      <c r="AB223" s="111" t="s">
        <v>341</v>
      </c>
      <c r="AC223" s="111">
        <v>104</v>
      </c>
      <c r="AD223" s="116">
        <v>0</v>
      </c>
      <c r="AE223" s="120">
        <v>750</v>
      </c>
      <c r="AF223" s="121">
        <v>350</v>
      </c>
      <c r="AG223" s="121">
        <v>14</v>
      </c>
      <c r="AH223" s="121">
        <v>18.000000000000004</v>
      </c>
      <c r="AI223" s="121">
        <v>714</v>
      </c>
      <c r="AJ223" s="64" t="str" cm="1">
        <f t="array" ref="AJ223">_xll.Dce_Name_SectI(AE223, AE223, AF223, AG223, AH223, "x", "-", "H Tổng")</f>
        <v>750x350x14x18</v>
      </c>
      <c r="AK223" s="122">
        <f t="shared" si="109"/>
        <v>1010</v>
      </c>
      <c r="AL223" s="123">
        <f t="shared" si="110"/>
        <v>350</v>
      </c>
      <c r="AM223" s="123">
        <f t="shared" si="111"/>
        <v>25</v>
      </c>
      <c r="AN223" s="123">
        <f t="shared" si="112"/>
        <v>12</v>
      </c>
      <c r="AO223" s="123">
        <f t="shared" si="113"/>
        <v>24</v>
      </c>
      <c r="AP223" s="165" t="str">
        <f t="shared" si="114"/>
        <v>1010x350x25 + 12M24</v>
      </c>
      <c r="AQ223" s="111" t="s">
        <v>332</v>
      </c>
      <c r="AR223" s="120">
        <v>0</v>
      </c>
      <c r="AS223" s="120">
        <v>132.15423685254513</v>
      </c>
      <c r="AT223" s="120">
        <v>-1.9645085558295248E-14</v>
      </c>
      <c r="AU223" s="120">
        <v>6.2230015603063459E-4</v>
      </c>
      <c r="AV223" s="120">
        <v>1.3262033462524411E-13</v>
      </c>
      <c r="AW223" s="120">
        <v>-76.988526593218438</v>
      </c>
      <c r="AX223" s="120"/>
      <c r="AY223" s="120"/>
      <c r="AZ223" s="120"/>
      <c r="BA223" s="122">
        <f t="shared" si="115"/>
        <v>60</v>
      </c>
      <c r="BB223" s="122">
        <f t="shared" si="116"/>
        <v>70</v>
      </c>
      <c r="BC223" s="122">
        <f t="shared" si="117"/>
        <v>80</v>
      </c>
      <c r="BD223" s="122">
        <f t="shared" si="118"/>
        <v>150</v>
      </c>
      <c r="BE223" s="122">
        <f>VLOOKUP(AO223,Data!$V$4:$Z$15,3,FALSE)</f>
        <v>452.38934211693021</v>
      </c>
      <c r="BF223" s="122">
        <f>VLOOKUP(AO223,Data!$V$4:$Z$15,4,FALSE)</f>
        <v>353</v>
      </c>
      <c r="BG223" s="163">
        <f t="shared" si="119"/>
        <v>180</v>
      </c>
      <c r="BH223" s="122">
        <f t="shared" si="120"/>
        <v>121.65654188208487</v>
      </c>
      <c r="BI223" s="122">
        <f t="shared" si="121"/>
        <v>243</v>
      </c>
      <c r="BJ223" s="163">
        <f t="shared" si="122"/>
        <v>142.3296</v>
      </c>
      <c r="BK223" s="131">
        <f t="shared" si="123"/>
        <v>11.012853071045427</v>
      </c>
      <c r="BL223" s="134">
        <f t="shared" si="124"/>
        <v>0.89458333333333329</v>
      </c>
      <c r="BM223" s="135">
        <f t="shared" si="125"/>
        <v>0.10119139312640743</v>
      </c>
      <c r="BN223" s="92" t="str">
        <f t="shared" si="126"/>
        <v>OK</v>
      </c>
      <c r="BO223" s="135">
        <f>_xll.DCEBoltDisRS(AN223, AE223, BA223, BB223, BC223, BD223, "h1")</f>
        <v>890</v>
      </c>
      <c r="BP223" s="136">
        <f>_xll.DCEBoltDisRS(AN223, AE223, BA223, BB223, BC223, BD223, "Tong")</f>
        <v>1800300</v>
      </c>
      <c r="BQ223" s="137">
        <f t="shared" si="127"/>
        <v>19.030102946165755</v>
      </c>
      <c r="BR223" s="135">
        <f t="shared" si="128"/>
        <v>0.13370446446955345</v>
      </c>
      <c r="BS223" s="64" t="str">
        <f t="shared" si="129"/>
        <v>OK</v>
      </c>
      <c r="BT223" s="131">
        <f t="shared" si="130"/>
        <v>0.16146672292914177</v>
      </c>
      <c r="BU223" s="92" t="str">
        <f t="shared" si="131"/>
        <v>OK</v>
      </c>
      <c r="BV223" s="139">
        <f t="shared" si="132"/>
        <v>105.17558277762082</v>
      </c>
      <c r="BW223" s="131">
        <f t="shared" si="133"/>
        <v>2.3664506124964682</v>
      </c>
      <c r="BX223" s="139">
        <f t="shared" si="134"/>
        <v>52.587791388810409</v>
      </c>
      <c r="BY223" s="123">
        <f t="shared" si="135"/>
        <v>22.49299592075851</v>
      </c>
      <c r="BZ223" s="141">
        <f t="shared" si="136"/>
        <v>0.1093409523925761</v>
      </c>
      <c r="CA223" s="131">
        <f t="shared" si="137"/>
        <v>2.0826848074776398</v>
      </c>
      <c r="CB223" s="143">
        <f t="shared" si="138"/>
        <v>1.7455452169951487E-2</v>
      </c>
      <c r="CC223" s="123">
        <f t="shared" si="139"/>
        <v>22.780421276024583</v>
      </c>
      <c r="CD223" s="131">
        <f t="shared" si="140"/>
        <v>9.629405128754355E-2</v>
      </c>
      <c r="CE223" s="135">
        <f t="shared" si="141"/>
        <v>0.1093409523925761</v>
      </c>
      <c r="CF223" s="92" t="str">
        <f t="shared" si="142"/>
        <v>OK</v>
      </c>
      <c r="CG223" s="50"/>
      <c r="DA223" s="111"/>
      <c r="DB223" s="111"/>
      <c r="DC223" s="111"/>
      <c r="DD223" s="116"/>
      <c r="DE223" s="120"/>
      <c r="DF223" s="121"/>
      <c r="DG223" s="121"/>
      <c r="DH223" s="121"/>
      <c r="DI223" s="121"/>
      <c r="DJ223" s="121"/>
      <c r="DK223" s="122"/>
      <c r="DL223" s="123"/>
      <c r="DM223" s="123"/>
      <c r="DN223" s="123"/>
      <c r="DO223" s="123"/>
      <c r="DP223" s="123"/>
      <c r="DQ223" s="111"/>
      <c r="DR223" s="120"/>
      <c r="DS223" s="120"/>
      <c r="DT223" s="120"/>
      <c r="DU223" s="120"/>
      <c r="DV223" s="120"/>
      <c r="DW223" s="120"/>
      <c r="DX223" s="120"/>
      <c r="DY223" s="120"/>
      <c r="DZ223" s="120"/>
      <c r="EA223" s="122"/>
      <c r="EB223" s="122"/>
      <c r="EC223" s="122"/>
      <c r="ED223" s="122"/>
      <c r="EE223" s="122"/>
      <c r="EF223" s="122"/>
      <c r="EG223" s="122"/>
      <c r="EH223" s="122"/>
      <c r="EI223" s="122"/>
      <c r="EJ223" s="122"/>
      <c r="EK223" s="131"/>
      <c r="EL223" s="248"/>
      <c r="EM223" s="276"/>
      <c r="EN223" s="276"/>
      <c r="EO223" s="135"/>
      <c r="EP223" s="136"/>
      <c r="EQ223" s="137"/>
      <c r="ER223" s="276"/>
      <c r="ES223" s="276"/>
      <c r="ET223" s="276"/>
      <c r="EU223" s="276"/>
      <c r="EV223" s="139"/>
      <c r="EW223" s="131"/>
      <c r="EX223" s="139"/>
      <c r="EY223" s="123"/>
      <c r="EZ223" s="141"/>
      <c r="FA223" s="131"/>
      <c r="FB223" s="143"/>
      <c r="FC223" s="123"/>
      <c r="FD223" s="131"/>
      <c r="FE223" s="276"/>
      <c r="FF223" s="276"/>
      <c r="FG223" s="50"/>
    </row>
    <row r="224" spans="27:163">
      <c r="AA224" s="111" t="s">
        <v>245</v>
      </c>
      <c r="AB224" s="111" t="s">
        <v>341</v>
      </c>
      <c r="AC224" s="111">
        <v>104</v>
      </c>
      <c r="AD224" s="116">
        <v>2.6850000000000001</v>
      </c>
      <c r="AE224" s="120">
        <v>1100</v>
      </c>
      <c r="AF224" s="121">
        <v>350</v>
      </c>
      <c r="AG224" s="121">
        <v>14</v>
      </c>
      <c r="AH224" s="121">
        <v>18.000000000000004</v>
      </c>
      <c r="AI224" s="121">
        <v>1064</v>
      </c>
      <c r="AJ224" s="64" t="str" cm="1">
        <f t="array" ref="AJ224">_xll.Dce_Name_SectI(AE224, AE224, AF224, AG224, AH224, "x", "-", "H Tổng")</f>
        <v>1100x350x14x18</v>
      </c>
      <c r="AK224" s="122">
        <f t="shared" si="109"/>
        <v>1360</v>
      </c>
      <c r="AL224" s="123">
        <f t="shared" si="110"/>
        <v>350</v>
      </c>
      <c r="AM224" s="123">
        <f t="shared" si="111"/>
        <v>25</v>
      </c>
      <c r="AN224" s="123">
        <f t="shared" si="112"/>
        <v>16</v>
      </c>
      <c r="AO224" s="123">
        <f t="shared" si="113"/>
        <v>27</v>
      </c>
      <c r="AP224" s="165" t="str">
        <f t="shared" si="114"/>
        <v>1360x350x25 + 16M27</v>
      </c>
      <c r="AQ224" s="111" t="s">
        <v>332</v>
      </c>
      <c r="AR224" s="120">
        <v>0</v>
      </c>
      <c r="AS224" s="120">
        <v>189.75799836206374</v>
      </c>
      <c r="AT224" s="120">
        <v>-4.092726157978176E-15</v>
      </c>
      <c r="AU224" s="120">
        <v>6.2220881611796907E-4</v>
      </c>
      <c r="AV224" s="120">
        <v>6.0735055740224174E-14</v>
      </c>
      <c r="AW224" s="120">
        <v>-517.55570629975546</v>
      </c>
      <c r="AX224" s="120"/>
      <c r="AY224" s="120"/>
      <c r="AZ224" s="120"/>
      <c r="BA224" s="122">
        <f t="shared" si="115"/>
        <v>60</v>
      </c>
      <c r="BB224" s="122">
        <f t="shared" si="116"/>
        <v>70</v>
      </c>
      <c r="BC224" s="122">
        <f t="shared" si="117"/>
        <v>80</v>
      </c>
      <c r="BD224" s="122">
        <f t="shared" si="118"/>
        <v>160</v>
      </c>
      <c r="BE224" s="122">
        <f>VLOOKUP(AO224,Data!$V$4:$Z$15,3,FALSE)</f>
        <v>572.55526111673976</v>
      </c>
      <c r="BF224" s="122">
        <f>VLOOKUP(AO224,Data!$V$4:$Z$15,4,FALSE)</f>
        <v>459</v>
      </c>
      <c r="BG224" s="163">
        <f t="shared" si="119"/>
        <v>180</v>
      </c>
      <c r="BH224" s="122">
        <f t="shared" si="120"/>
        <v>153.97156081951366</v>
      </c>
      <c r="BI224" s="122">
        <f t="shared" si="121"/>
        <v>273.375</v>
      </c>
      <c r="BJ224" s="163">
        <f t="shared" si="122"/>
        <v>185.06880000000001</v>
      </c>
      <c r="BK224" s="131">
        <f t="shared" si="123"/>
        <v>11.859874897628984</v>
      </c>
      <c r="BL224" s="134">
        <f t="shared" si="124"/>
        <v>0.85037037037037044</v>
      </c>
      <c r="BM224" s="135">
        <f t="shared" si="125"/>
        <v>9.0579824755359362E-2</v>
      </c>
      <c r="BN224" s="92" t="str">
        <f t="shared" si="126"/>
        <v>OK</v>
      </c>
      <c r="BO224" s="135">
        <f>_xll.DCEBoltDisRS(AN224, AE224, BA224, BB224, BC224, BD224, "h1")</f>
        <v>1240</v>
      </c>
      <c r="BP224" s="136">
        <f>_xll.DCEBoltDisRS(AN224, AE224, BA224, BB224, BC224, BD224, "Tong")</f>
        <v>4523000</v>
      </c>
      <c r="BQ224" s="137">
        <f t="shared" si="127"/>
        <v>70.945066970119029</v>
      </c>
      <c r="BR224" s="135">
        <f t="shared" si="128"/>
        <v>0.38334428585541713</v>
      </c>
      <c r="BS224" s="64" t="str">
        <f t="shared" si="129"/>
        <v>OK</v>
      </c>
      <c r="BT224" s="131">
        <f t="shared" si="130"/>
        <v>0.39100627572995483</v>
      </c>
      <c r="BU224" s="92" t="str">
        <f t="shared" si="131"/>
        <v>OK</v>
      </c>
      <c r="BV224" s="139">
        <f t="shared" si="132"/>
        <v>478.33244574838761</v>
      </c>
      <c r="BW224" s="131">
        <f t="shared" si="133"/>
        <v>10.762480029338722</v>
      </c>
      <c r="BX224" s="139">
        <f t="shared" si="134"/>
        <v>239.16622287419381</v>
      </c>
      <c r="BY224" s="123">
        <f t="shared" si="135"/>
        <v>75.970447265920399</v>
      </c>
      <c r="BZ224" s="141">
        <f t="shared" si="136"/>
        <v>0.36930078532044641</v>
      </c>
      <c r="CA224" s="131">
        <f t="shared" si="137"/>
        <v>7.0343006727704056</v>
      </c>
      <c r="CB224" s="143">
        <f t="shared" si="138"/>
        <v>5.8956064067759634E-2</v>
      </c>
      <c r="CC224" s="123">
        <f t="shared" si="139"/>
        <v>76.941230921066023</v>
      </c>
      <c r="CD224" s="131">
        <f t="shared" si="140"/>
        <v>0.32523467176779119</v>
      </c>
      <c r="CE224" s="135">
        <f t="shared" si="141"/>
        <v>0.36930078532044641</v>
      </c>
      <c r="CF224" s="92" t="str">
        <f t="shared" si="142"/>
        <v>OK</v>
      </c>
      <c r="CG224" s="50"/>
      <c r="DA224" s="111"/>
      <c r="DB224" s="111"/>
      <c r="DC224" s="111"/>
      <c r="DD224" s="116"/>
      <c r="DE224" s="120"/>
      <c r="DF224" s="121"/>
      <c r="DG224" s="121"/>
      <c r="DH224" s="121"/>
      <c r="DI224" s="121"/>
      <c r="DJ224" s="121"/>
      <c r="DK224" s="122"/>
      <c r="DL224" s="123"/>
      <c r="DM224" s="123"/>
      <c r="DN224" s="123"/>
      <c r="DO224" s="123"/>
      <c r="DP224" s="123"/>
      <c r="DQ224" s="111"/>
      <c r="DR224" s="120"/>
      <c r="DS224" s="120"/>
      <c r="DT224" s="120"/>
      <c r="DU224" s="120"/>
      <c r="DV224" s="120"/>
      <c r="DW224" s="120"/>
      <c r="DX224" s="120"/>
      <c r="DY224" s="120"/>
      <c r="DZ224" s="120"/>
      <c r="EA224" s="122"/>
      <c r="EB224" s="122"/>
      <c r="EC224" s="122"/>
      <c r="ED224" s="122"/>
      <c r="EE224" s="122"/>
      <c r="EF224" s="122"/>
      <c r="EG224" s="122"/>
      <c r="EH224" s="122"/>
      <c r="EI224" s="122"/>
      <c r="EJ224" s="122"/>
      <c r="EK224" s="131"/>
      <c r="EL224" s="248"/>
      <c r="EM224" s="276"/>
      <c r="EN224" s="276"/>
      <c r="EO224" s="135"/>
      <c r="EP224" s="136"/>
      <c r="EQ224" s="137"/>
      <c r="ER224" s="276"/>
      <c r="ES224" s="276"/>
      <c r="ET224" s="276"/>
      <c r="EU224" s="276"/>
      <c r="EV224" s="139"/>
      <c r="EW224" s="131"/>
      <c r="EX224" s="139"/>
      <c r="EY224" s="123"/>
      <c r="EZ224" s="141"/>
      <c r="FA224" s="131"/>
      <c r="FB224" s="143"/>
      <c r="FC224" s="123"/>
      <c r="FD224" s="131"/>
      <c r="FE224" s="276"/>
      <c r="FF224" s="276"/>
      <c r="FG224" s="50"/>
    </row>
    <row r="225" spans="27:163">
      <c r="AA225" s="111" t="s">
        <v>245</v>
      </c>
      <c r="AB225" s="111" t="s">
        <v>341</v>
      </c>
      <c r="AC225" s="111">
        <v>104</v>
      </c>
      <c r="AD225" s="116">
        <v>0</v>
      </c>
      <c r="AE225" s="120">
        <v>750</v>
      </c>
      <c r="AF225" s="121">
        <v>350</v>
      </c>
      <c r="AG225" s="121">
        <v>14</v>
      </c>
      <c r="AH225" s="121">
        <v>18.000000000000004</v>
      </c>
      <c r="AI225" s="121">
        <v>714</v>
      </c>
      <c r="AJ225" s="64" t="str" cm="1">
        <f t="array" ref="AJ225">_xll.Dce_Name_SectI(AE225, AE225, AF225, AG225, AH225, "x", "-", "H Tổng")</f>
        <v>750x350x14x18</v>
      </c>
      <c r="AK225" s="122">
        <f t="shared" si="109"/>
        <v>1010</v>
      </c>
      <c r="AL225" s="123">
        <f t="shared" si="110"/>
        <v>350</v>
      </c>
      <c r="AM225" s="123">
        <f t="shared" si="111"/>
        <v>25</v>
      </c>
      <c r="AN225" s="123">
        <f t="shared" si="112"/>
        <v>12</v>
      </c>
      <c r="AO225" s="123">
        <f t="shared" si="113"/>
        <v>24</v>
      </c>
      <c r="AP225" s="165" t="str">
        <f t="shared" si="114"/>
        <v>1010x350x25 + 12M24</v>
      </c>
      <c r="AQ225" s="111" t="s">
        <v>333</v>
      </c>
      <c r="AR225" s="120">
        <v>0</v>
      </c>
      <c r="AS225" s="120">
        <v>135.0454822337785</v>
      </c>
      <c r="AT225" s="120">
        <v>-4.8530637286603447E-13</v>
      </c>
      <c r="AU225" s="120">
        <v>1.0567325996031246E-3</v>
      </c>
      <c r="AV225" s="120">
        <v>-2.2500753402709955E-13</v>
      </c>
      <c r="AW225" s="120">
        <v>-80.266116366431476</v>
      </c>
      <c r="AX225" s="120"/>
      <c r="AY225" s="120"/>
      <c r="AZ225" s="120"/>
      <c r="BA225" s="122">
        <f t="shared" si="115"/>
        <v>60</v>
      </c>
      <c r="BB225" s="122">
        <f t="shared" si="116"/>
        <v>70</v>
      </c>
      <c r="BC225" s="122">
        <f t="shared" si="117"/>
        <v>80</v>
      </c>
      <c r="BD225" s="122">
        <f t="shared" si="118"/>
        <v>150</v>
      </c>
      <c r="BE225" s="122">
        <f>VLOOKUP(AO225,Data!$V$4:$Z$15,3,FALSE)</f>
        <v>452.38934211693021</v>
      </c>
      <c r="BF225" s="122">
        <f>VLOOKUP(AO225,Data!$V$4:$Z$15,4,FALSE)</f>
        <v>353</v>
      </c>
      <c r="BG225" s="163">
        <f t="shared" si="119"/>
        <v>180</v>
      </c>
      <c r="BH225" s="122">
        <f t="shared" si="120"/>
        <v>121.65654188208487</v>
      </c>
      <c r="BI225" s="122">
        <f t="shared" si="121"/>
        <v>243</v>
      </c>
      <c r="BJ225" s="163">
        <f t="shared" si="122"/>
        <v>142.3296</v>
      </c>
      <c r="BK225" s="131">
        <f t="shared" si="123"/>
        <v>11.253790186148208</v>
      </c>
      <c r="BL225" s="134">
        <f t="shared" si="124"/>
        <v>0.89458333333333329</v>
      </c>
      <c r="BM225" s="135">
        <f t="shared" si="125"/>
        <v>0.10340523927288957</v>
      </c>
      <c r="BN225" s="92" t="str">
        <f t="shared" si="126"/>
        <v>OK</v>
      </c>
      <c r="BO225" s="135">
        <f>_xll.DCEBoltDisRS(AN225, AE225, BA225, BB225, BC225, BD225, "h1")</f>
        <v>890</v>
      </c>
      <c r="BP225" s="136">
        <f>_xll.DCEBoltDisRS(AN225, AE225, BA225, BB225, BC225, BD225, "Tong")</f>
        <v>1800300</v>
      </c>
      <c r="BQ225" s="137">
        <f t="shared" si="127"/>
        <v>19.840260947098823</v>
      </c>
      <c r="BR225" s="135">
        <f t="shared" si="128"/>
        <v>0.13939659035856788</v>
      </c>
      <c r="BS225" s="64" t="str">
        <f t="shared" si="129"/>
        <v>OK</v>
      </c>
      <c r="BT225" s="131">
        <f t="shared" si="130"/>
        <v>0.16729767212029348</v>
      </c>
      <c r="BU225" s="92" t="str">
        <f t="shared" si="131"/>
        <v>OK</v>
      </c>
      <c r="BV225" s="139">
        <f t="shared" si="132"/>
        <v>109.65316443501568</v>
      </c>
      <c r="BW225" s="131">
        <f t="shared" si="133"/>
        <v>2.4671961997878529</v>
      </c>
      <c r="BX225" s="139">
        <f t="shared" si="134"/>
        <v>54.826582217507841</v>
      </c>
      <c r="BY225" s="123">
        <f t="shared" si="135"/>
        <v>23.450577740557808</v>
      </c>
      <c r="BZ225" s="141">
        <f t="shared" si="136"/>
        <v>0.11399586401660047</v>
      </c>
      <c r="CA225" s="131">
        <f t="shared" si="137"/>
        <v>2.17134979079239</v>
      </c>
      <c r="CB225" s="143">
        <f t="shared" si="138"/>
        <v>1.8198573438154612E-2</v>
      </c>
      <c r="CC225" s="123">
        <f t="shared" si="139"/>
        <v>23.750239495800201</v>
      </c>
      <c r="CD225" s="131">
        <f t="shared" si="140"/>
        <v>0.10039352443876899</v>
      </c>
      <c r="CE225" s="135">
        <f t="shared" si="141"/>
        <v>0.11399586401660047</v>
      </c>
      <c r="CF225" s="92" t="str">
        <f t="shared" si="142"/>
        <v>OK</v>
      </c>
      <c r="CG225" s="50"/>
      <c r="DA225" s="111"/>
      <c r="DB225" s="111"/>
      <c r="DC225" s="111"/>
      <c r="DD225" s="116"/>
      <c r="DE225" s="120"/>
      <c r="DF225" s="121"/>
      <c r="DG225" s="121"/>
      <c r="DH225" s="121"/>
      <c r="DI225" s="121"/>
      <c r="DJ225" s="121"/>
      <c r="DK225" s="122"/>
      <c r="DL225" s="123"/>
      <c r="DM225" s="123"/>
      <c r="DN225" s="123"/>
      <c r="DO225" s="123"/>
      <c r="DP225" s="123"/>
      <c r="DQ225" s="111"/>
      <c r="DR225" s="120"/>
      <c r="DS225" s="120"/>
      <c r="DT225" s="120"/>
      <c r="DU225" s="120"/>
      <c r="DV225" s="120"/>
      <c r="DW225" s="120"/>
      <c r="DX225" s="120"/>
      <c r="DY225" s="120"/>
      <c r="DZ225" s="120"/>
      <c r="EA225" s="122"/>
      <c r="EB225" s="122"/>
      <c r="EC225" s="122"/>
      <c r="ED225" s="122"/>
      <c r="EE225" s="122"/>
      <c r="EF225" s="122"/>
      <c r="EG225" s="122"/>
      <c r="EH225" s="122"/>
      <c r="EI225" s="122"/>
      <c r="EJ225" s="122"/>
      <c r="EK225" s="131"/>
      <c r="EL225" s="248"/>
      <c r="EM225" s="276"/>
      <c r="EN225" s="276"/>
      <c r="EO225" s="135"/>
      <c r="EP225" s="136"/>
      <c r="EQ225" s="137"/>
      <c r="ER225" s="276"/>
      <c r="ES225" s="276"/>
      <c r="ET225" s="276"/>
      <c r="EU225" s="276"/>
      <c r="EV225" s="139"/>
      <c r="EW225" s="131"/>
      <c r="EX225" s="139"/>
      <c r="EY225" s="123"/>
      <c r="EZ225" s="141"/>
      <c r="FA225" s="131"/>
      <c r="FB225" s="143"/>
      <c r="FC225" s="123"/>
      <c r="FD225" s="131"/>
      <c r="FE225" s="276"/>
      <c r="FF225" s="276"/>
      <c r="FG225" s="50"/>
    </row>
    <row r="226" spans="27:163">
      <c r="AA226" s="111" t="s">
        <v>245</v>
      </c>
      <c r="AB226" s="111" t="s">
        <v>341</v>
      </c>
      <c r="AC226" s="111">
        <v>104</v>
      </c>
      <c r="AD226" s="116">
        <v>2.6850000000000001</v>
      </c>
      <c r="AE226" s="120">
        <v>1100</v>
      </c>
      <c r="AF226" s="121">
        <v>350</v>
      </c>
      <c r="AG226" s="121">
        <v>14</v>
      </c>
      <c r="AH226" s="121">
        <v>18.000000000000004</v>
      </c>
      <c r="AI226" s="121">
        <v>1064</v>
      </c>
      <c r="AJ226" s="64" t="str" cm="1">
        <f t="array" ref="AJ226">_xll.Dce_Name_SectI(AE226, AE226, AF226, AG226, AH226, "x", "-", "H Tổng")</f>
        <v>1100x350x14x18</v>
      </c>
      <c r="AK226" s="122">
        <f t="shared" si="109"/>
        <v>1360</v>
      </c>
      <c r="AL226" s="123">
        <f t="shared" si="110"/>
        <v>350</v>
      </c>
      <c r="AM226" s="123">
        <f t="shared" si="111"/>
        <v>25</v>
      </c>
      <c r="AN226" s="123">
        <f t="shared" si="112"/>
        <v>16</v>
      </c>
      <c r="AO226" s="123">
        <f t="shared" si="113"/>
        <v>27</v>
      </c>
      <c r="AP226" s="165" t="str">
        <f t="shared" si="114"/>
        <v>1360x350x25 + 16M27</v>
      </c>
      <c r="AQ226" s="111" t="s">
        <v>333</v>
      </c>
      <c r="AR226" s="120">
        <v>0</v>
      </c>
      <c r="AS226" s="120">
        <v>192.64924443523358</v>
      </c>
      <c r="AT226" s="120">
        <v>-4.092726157978176E-15</v>
      </c>
      <c r="AU226" s="120">
        <v>1.0565775344437243E-3</v>
      </c>
      <c r="AV226" s="120">
        <v>1.2033970051561478E-13</v>
      </c>
      <c r="AW226" s="120">
        <v>-528.59626154846228</v>
      </c>
      <c r="AX226" s="120"/>
      <c r="AY226" s="120"/>
      <c r="AZ226" s="120"/>
      <c r="BA226" s="122">
        <f t="shared" si="115"/>
        <v>60</v>
      </c>
      <c r="BB226" s="122">
        <f t="shared" si="116"/>
        <v>70</v>
      </c>
      <c r="BC226" s="122">
        <f t="shared" si="117"/>
        <v>80</v>
      </c>
      <c r="BD226" s="122">
        <f t="shared" si="118"/>
        <v>160</v>
      </c>
      <c r="BE226" s="122">
        <f>VLOOKUP(AO226,Data!$V$4:$Z$15,3,FALSE)</f>
        <v>572.55526111673976</v>
      </c>
      <c r="BF226" s="122">
        <f>VLOOKUP(AO226,Data!$V$4:$Z$15,4,FALSE)</f>
        <v>459</v>
      </c>
      <c r="BG226" s="163">
        <f t="shared" si="119"/>
        <v>180</v>
      </c>
      <c r="BH226" s="122">
        <f t="shared" si="120"/>
        <v>153.97156081951366</v>
      </c>
      <c r="BI226" s="122">
        <f t="shared" si="121"/>
        <v>273.375</v>
      </c>
      <c r="BJ226" s="163">
        <f t="shared" si="122"/>
        <v>185.06880000000001</v>
      </c>
      <c r="BK226" s="131">
        <f t="shared" si="123"/>
        <v>12.040577777202099</v>
      </c>
      <c r="BL226" s="134">
        <f t="shared" si="124"/>
        <v>0.85037037037037044</v>
      </c>
      <c r="BM226" s="135">
        <f t="shared" si="125"/>
        <v>9.1959943458617674E-2</v>
      </c>
      <c r="BN226" s="92" t="str">
        <f t="shared" si="126"/>
        <v>OK</v>
      </c>
      <c r="BO226" s="135">
        <f>_xll.DCEBoltDisRS(AN226, AE226, BA226, BB226, BC226, BD226, "h1")</f>
        <v>1240</v>
      </c>
      <c r="BP226" s="136">
        <f>_xll.DCEBoltDisRS(AN226, AE226, BA226, BB226, BC226, BD226, "Tong")</f>
        <v>4523000</v>
      </c>
      <c r="BQ226" s="137">
        <f t="shared" si="127"/>
        <v>72.458474941420874</v>
      </c>
      <c r="BR226" s="135">
        <f t="shared" si="128"/>
        <v>0.39152182832233673</v>
      </c>
      <c r="BS226" s="64" t="str">
        <f t="shared" si="129"/>
        <v>OK</v>
      </c>
      <c r="BT226" s="131">
        <f t="shared" si="130"/>
        <v>0.39925503603727658</v>
      </c>
      <c r="BU226" s="92" t="str">
        <f t="shared" si="131"/>
        <v>OK</v>
      </c>
      <c r="BV226" s="139">
        <f t="shared" si="132"/>
        <v>488.53628608915182</v>
      </c>
      <c r="BW226" s="131">
        <f t="shared" si="133"/>
        <v>10.992066437005915</v>
      </c>
      <c r="BX226" s="139">
        <f t="shared" si="134"/>
        <v>244.26814304457591</v>
      </c>
      <c r="BY226" s="123">
        <f t="shared" si="135"/>
        <v>77.591057202394694</v>
      </c>
      <c r="BZ226" s="141">
        <f t="shared" si="136"/>
        <v>0.37717875028941866</v>
      </c>
      <c r="CA226" s="131">
        <f t="shared" si="137"/>
        <v>7.1843571483698794</v>
      </c>
      <c r="CB226" s="143">
        <f t="shared" si="138"/>
        <v>6.021372131057131E-2</v>
      </c>
      <c r="CC226" s="123">
        <f t="shared" si="139"/>
        <v>78.582549721240824</v>
      </c>
      <c r="CD226" s="131">
        <f t="shared" si="140"/>
        <v>0.33217261355596972</v>
      </c>
      <c r="CE226" s="135">
        <f t="shared" si="141"/>
        <v>0.37717875028941866</v>
      </c>
      <c r="CF226" s="92" t="str">
        <f t="shared" si="142"/>
        <v>OK</v>
      </c>
      <c r="CG226" s="50"/>
      <c r="DA226" s="111"/>
      <c r="DB226" s="111"/>
      <c r="DC226" s="111"/>
      <c r="DD226" s="116"/>
      <c r="DE226" s="120"/>
      <c r="DF226" s="121"/>
      <c r="DG226" s="121"/>
      <c r="DH226" s="121"/>
      <c r="DI226" s="121"/>
      <c r="DJ226" s="121"/>
      <c r="DK226" s="122"/>
      <c r="DL226" s="123"/>
      <c r="DM226" s="123"/>
      <c r="DN226" s="123"/>
      <c r="DO226" s="123"/>
      <c r="DP226" s="123"/>
      <c r="DQ226" s="111"/>
      <c r="DR226" s="120"/>
      <c r="DS226" s="120"/>
      <c r="DT226" s="120"/>
      <c r="DU226" s="120"/>
      <c r="DV226" s="120"/>
      <c r="DW226" s="120"/>
      <c r="DX226" s="120"/>
      <c r="DY226" s="120"/>
      <c r="DZ226" s="120"/>
      <c r="EA226" s="122"/>
      <c r="EB226" s="122"/>
      <c r="EC226" s="122"/>
      <c r="ED226" s="122"/>
      <c r="EE226" s="122"/>
      <c r="EF226" s="122"/>
      <c r="EG226" s="122"/>
      <c r="EH226" s="122"/>
      <c r="EI226" s="122"/>
      <c r="EJ226" s="122"/>
      <c r="EK226" s="131"/>
      <c r="EL226" s="248"/>
      <c r="EM226" s="276"/>
      <c r="EN226" s="276"/>
      <c r="EO226" s="135"/>
      <c r="EP226" s="136"/>
      <c r="EQ226" s="137"/>
      <c r="ER226" s="276"/>
      <c r="ES226" s="276"/>
      <c r="ET226" s="276"/>
      <c r="EU226" s="276"/>
      <c r="EV226" s="139"/>
      <c r="EW226" s="131"/>
      <c r="EX226" s="139"/>
      <c r="EY226" s="123"/>
      <c r="EZ226" s="141"/>
      <c r="FA226" s="131"/>
      <c r="FB226" s="143"/>
      <c r="FC226" s="123"/>
      <c r="FD226" s="131"/>
      <c r="FE226" s="276"/>
      <c r="FF226" s="276"/>
      <c r="FG226" s="50"/>
    </row>
    <row r="227" spans="27:163">
      <c r="AA227" s="111" t="s">
        <v>245</v>
      </c>
      <c r="AB227" s="111" t="s">
        <v>341</v>
      </c>
      <c r="AC227" s="111">
        <v>104</v>
      </c>
      <c r="AD227" s="116">
        <v>0</v>
      </c>
      <c r="AE227" s="120">
        <v>750</v>
      </c>
      <c r="AF227" s="121">
        <v>350</v>
      </c>
      <c r="AG227" s="121">
        <v>14</v>
      </c>
      <c r="AH227" s="121">
        <v>18.000000000000004</v>
      </c>
      <c r="AI227" s="121">
        <v>714</v>
      </c>
      <c r="AJ227" s="64" t="str" cm="1">
        <f t="array" ref="AJ227">_xll.Dce_Name_SectI(AE227, AE227, AF227, AG227, AH227, "x", "-", "H Tổng")</f>
        <v>750x350x14x18</v>
      </c>
      <c r="AK227" s="122">
        <f t="shared" si="109"/>
        <v>1010</v>
      </c>
      <c r="AL227" s="123">
        <f t="shared" si="110"/>
        <v>350</v>
      </c>
      <c r="AM227" s="123">
        <f t="shared" si="111"/>
        <v>25</v>
      </c>
      <c r="AN227" s="123">
        <f t="shared" si="112"/>
        <v>12</v>
      </c>
      <c r="AO227" s="123">
        <f t="shared" si="113"/>
        <v>24</v>
      </c>
      <c r="AP227" s="165" t="str">
        <f t="shared" si="114"/>
        <v>1010x350x25 + 12M24</v>
      </c>
      <c r="AQ227" s="111" t="s">
        <v>334</v>
      </c>
      <c r="AR227" s="120">
        <v>0</v>
      </c>
      <c r="AS227" s="120">
        <v>139.21200971161312</v>
      </c>
      <c r="AT227" s="120">
        <v>-4.8530637286603447E-13</v>
      </c>
      <c r="AU227" s="120">
        <v>-2.9747044130329586E-4</v>
      </c>
      <c r="AV227" s="120">
        <v>-1.0579824447631833E-13</v>
      </c>
      <c r="AW227" s="120">
        <v>-105.26591169147842</v>
      </c>
      <c r="AX227" s="120"/>
      <c r="AY227" s="120"/>
      <c r="AZ227" s="120"/>
      <c r="BA227" s="122">
        <f t="shared" si="115"/>
        <v>60</v>
      </c>
      <c r="BB227" s="122">
        <f t="shared" si="116"/>
        <v>70</v>
      </c>
      <c r="BC227" s="122">
        <f t="shared" si="117"/>
        <v>80</v>
      </c>
      <c r="BD227" s="122">
        <f t="shared" si="118"/>
        <v>150</v>
      </c>
      <c r="BE227" s="122">
        <f>VLOOKUP(AO227,Data!$V$4:$Z$15,3,FALSE)</f>
        <v>452.38934211693021</v>
      </c>
      <c r="BF227" s="122">
        <f>VLOOKUP(AO227,Data!$V$4:$Z$15,4,FALSE)</f>
        <v>353</v>
      </c>
      <c r="BG227" s="163">
        <f t="shared" si="119"/>
        <v>180</v>
      </c>
      <c r="BH227" s="122">
        <f t="shared" si="120"/>
        <v>121.65654188208487</v>
      </c>
      <c r="BI227" s="122">
        <f t="shared" si="121"/>
        <v>243</v>
      </c>
      <c r="BJ227" s="163">
        <f t="shared" si="122"/>
        <v>142.3296</v>
      </c>
      <c r="BK227" s="131">
        <f t="shared" si="123"/>
        <v>11.601000809301093</v>
      </c>
      <c r="BL227" s="134">
        <f t="shared" si="124"/>
        <v>0.89458333333333329</v>
      </c>
      <c r="BM227" s="135">
        <f t="shared" si="125"/>
        <v>0.10659557754749194</v>
      </c>
      <c r="BN227" s="92" t="str">
        <f t="shared" si="126"/>
        <v>OK</v>
      </c>
      <c r="BO227" s="135">
        <f>_xll.DCEBoltDisRS(AN227, AE227, BA227, BB227, BC227, BD227, "h1")</f>
        <v>890</v>
      </c>
      <c r="BP227" s="136">
        <f>_xll.DCEBoltDisRS(AN227, AE227, BA227, BB227, BC227, BD227, "Tong")</f>
        <v>1800300</v>
      </c>
      <c r="BQ227" s="137">
        <f t="shared" si="127"/>
        <v>26.019735989950508</v>
      </c>
      <c r="BR227" s="135">
        <f t="shared" si="128"/>
        <v>0.18281324467960641</v>
      </c>
      <c r="BS227" s="64" t="str">
        <f t="shared" si="129"/>
        <v>OK</v>
      </c>
      <c r="BT227" s="131">
        <f t="shared" si="130"/>
        <v>0.20618911268314835</v>
      </c>
      <c r="BU227" s="92" t="str">
        <f t="shared" si="131"/>
        <v>OK</v>
      </c>
      <c r="BV227" s="139">
        <f t="shared" si="132"/>
        <v>143.80589028890495</v>
      </c>
      <c r="BW227" s="131">
        <f t="shared" si="133"/>
        <v>3.2356325315003613</v>
      </c>
      <c r="BX227" s="139">
        <f t="shared" si="134"/>
        <v>71.902945144452474</v>
      </c>
      <c r="BY227" s="123">
        <f t="shared" si="135"/>
        <v>30.754527032082642</v>
      </c>
      <c r="BZ227" s="141">
        <f t="shared" si="136"/>
        <v>0.14950117307262398</v>
      </c>
      <c r="CA227" s="131">
        <f t="shared" si="137"/>
        <v>2.8476413918595038</v>
      </c>
      <c r="CB227" s="143">
        <f t="shared" si="138"/>
        <v>2.3866726224876112E-2</v>
      </c>
      <c r="CC227" s="123">
        <f t="shared" si="139"/>
        <v>31.147521850975505</v>
      </c>
      <c r="CD227" s="131">
        <f t="shared" si="140"/>
        <v>0.13166223004639407</v>
      </c>
      <c r="CE227" s="135">
        <f t="shared" si="141"/>
        <v>0.14950117307262398</v>
      </c>
      <c r="CF227" s="92" t="str">
        <f t="shared" si="142"/>
        <v>OK</v>
      </c>
      <c r="CG227" s="50"/>
      <c r="DA227" s="111"/>
      <c r="DB227" s="111"/>
      <c r="DC227" s="111"/>
      <c r="DD227" s="116"/>
      <c r="DE227" s="120"/>
      <c r="DF227" s="121"/>
      <c r="DG227" s="121"/>
      <c r="DH227" s="121"/>
      <c r="DI227" s="121"/>
      <c r="DJ227" s="121"/>
      <c r="DK227" s="122"/>
      <c r="DL227" s="123"/>
      <c r="DM227" s="123"/>
      <c r="DN227" s="123"/>
      <c r="DO227" s="123"/>
      <c r="DP227" s="123"/>
      <c r="DQ227" s="111"/>
      <c r="DR227" s="120"/>
      <c r="DS227" s="120"/>
      <c r="DT227" s="120"/>
      <c r="DU227" s="120"/>
      <c r="DV227" s="120"/>
      <c r="DW227" s="120"/>
      <c r="DX227" s="120"/>
      <c r="DY227" s="120"/>
      <c r="DZ227" s="120"/>
      <c r="EA227" s="122"/>
      <c r="EB227" s="122"/>
      <c r="EC227" s="122"/>
      <c r="ED227" s="122"/>
      <c r="EE227" s="122"/>
      <c r="EF227" s="122"/>
      <c r="EG227" s="122"/>
      <c r="EH227" s="122"/>
      <c r="EI227" s="122"/>
      <c r="EJ227" s="122"/>
      <c r="EK227" s="131"/>
      <c r="EL227" s="248"/>
      <c r="EM227" s="276"/>
      <c r="EN227" s="276"/>
      <c r="EO227" s="135"/>
      <c r="EP227" s="136"/>
      <c r="EQ227" s="137"/>
      <c r="ER227" s="276"/>
      <c r="ES227" s="276"/>
      <c r="ET227" s="276"/>
      <c r="EU227" s="276"/>
      <c r="EV227" s="139"/>
      <c r="EW227" s="131"/>
      <c r="EX227" s="139"/>
      <c r="EY227" s="123"/>
      <c r="EZ227" s="141"/>
      <c r="FA227" s="131"/>
      <c r="FB227" s="143"/>
      <c r="FC227" s="123"/>
      <c r="FD227" s="131"/>
      <c r="FE227" s="276"/>
      <c r="FF227" s="276"/>
      <c r="FG227" s="50"/>
    </row>
    <row r="228" spans="27:163">
      <c r="AA228" s="111" t="s">
        <v>245</v>
      </c>
      <c r="AB228" s="111" t="s">
        <v>341</v>
      </c>
      <c r="AC228" s="111">
        <v>104</v>
      </c>
      <c r="AD228" s="116">
        <v>2.6850000000000001</v>
      </c>
      <c r="AE228" s="120">
        <v>1100</v>
      </c>
      <c r="AF228" s="121">
        <v>350</v>
      </c>
      <c r="AG228" s="121">
        <v>14</v>
      </c>
      <c r="AH228" s="121">
        <v>18.000000000000004</v>
      </c>
      <c r="AI228" s="121">
        <v>1064</v>
      </c>
      <c r="AJ228" s="64" t="str" cm="1">
        <f t="array" ref="AJ228">_xll.Dce_Name_SectI(AE228, AE228, AF228, AG228, AH228, "x", "-", "H Tổng")</f>
        <v>1100x350x14x18</v>
      </c>
      <c r="AK228" s="122">
        <f t="shared" si="109"/>
        <v>1360</v>
      </c>
      <c r="AL228" s="123">
        <f t="shared" si="110"/>
        <v>350</v>
      </c>
      <c r="AM228" s="123">
        <f t="shared" si="111"/>
        <v>25</v>
      </c>
      <c r="AN228" s="123">
        <f t="shared" si="112"/>
        <v>16</v>
      </c>
      <c r="AO228" s="123">
        <f t="shared" si="113"/>
        <v>27</v>
      </c>
      <c r="AP228" s="165" t="str">
        <f t="shared" si="114"/>
        <v>1360x350x25 + 16M27</v>
      </c>
      <c r="AQ228" s="111" t="s">
        <v>334</v>
      </c>
      <c r="AR228" s="120">
        <v>0</v>
      </c>
      <c r="AS228" s="120">
        <v>196.8157732398667</v>
      </c>
      <c r="AT228" s="120">
        <v>5.4114934755489221E-14</v>
      </c>
      <c r="AU228" s="120">
        <v>-2.9742705862229887E-4</v>
      </c>
      <c r="AV228" s="120">
        <v>-8.6472118709934861E-14</v>
      </c>
      <c r="AW228" s="120">
        <v>-564.78316378343925</v>
      </c>
      <c r="AX228" s="120"/>
      <c r="AY228" s="120"/>
      <c r="AZ228" s="120"/>
      <c r="BA228" s="122">
        <f t="shared" si="115"/>
        <v>60</v>
      </c>
      <c r="BB228" s="122">
        <f t="shared" si="116"/>
        <v>70</v>
      </c>
      <c r="BC228" s="122">
        <f t="shared" si="117"/>
        <v>80</v>
      </c>
      <c r="BD228" s="122">
        <f t="shared" si="118"/>
        <v>160</v>
      </c>
      <c r="BE228" s="122">
        <f>VLOOKUP(AO228,Data!$V$4:$Z$15,3,FALSE)</f>
        <v>572.55526111673976</v>
      </c>
      <c r="BF228" s="122">
        <f>VLOOKUP(AO228,Data!$V$4:$Z$15,4,FALSE)</f>
        <v>459</v>
      </c>
      <c r="BG228" s="163">
        <f t="shared" si="119"/>
        <v>180</v>
      </c>
      <c r="BH228" s="122">
        <f t="shared" si="120"/>
        <v>153.97156081951366</v>
      </c>
      <c r="BI228" s="122">
        <f t="shared" si="121"/>
        <v>273.375</v>
      </c>
      <c r="BJ228" s="163">
        <f t="shared" si="122"/>
        <v>185.06880000000001</v>
      </c>
      <c r="BK228" s="131">
        <f t="shared" si="123"/>
        <v>12.300985827491669</v>
      </c>
      <c r="BL228" s="134">
        <f t="shared" si="124"/>
        <v>0.85037037037037044</v>
      </c>
      <c r="BM228" s="135">
        <f t="shared" si="125"/>
        <v>9.394881060635038E-2</v>
      </c>
      <c r="BN228" s="92" t="str">
        <f t="shared" si="126"/>
        <v>OK</v>
      </c>
      <c r="BO228" s="135">
        <f>_xll.DCEBoltDisRS(AN228, AE228, BA228, BB228, BC228, BD228, "h1")</f>
        <v>1240</v>
      </c>
      <c r="BP228" s="136">
        <f>_xll.DCEBoltDisRS(AN228, AE228, BA228, BB228, BC228, BD228, "Tong")</f>
        <v>4523000</v>
      </c>
      <c r="BQ228" s="137">
        <f t="shared" si="127"/>
        <v>77.418872771552586</v>
      </c>
      <c r="BR228" s="135">
        <f t="shared" si="128"/>
        <v>0.41832482175035762</v>
      </c>
      <c r="BS228" s="64" t="str">
        <f t="shared" si="129"/>
        <v>OK</v>
      </c>
      <c r="BT228" s="131">
        <f t="shared" si="130"/>
        <v>0.42588528254781965</v>
      </c>
      <c r="BU228" s="92" t="str">
        <f t="shared" si="131"/>
        <v>OK</v>
      </c>
      <c r="BV228" s="139">
        <f t="shared" si="132"/>
        <v>521.98074286824328</v>
      </c>
      <c r="BW228" s="131">
        <f t="shared" si="133"/>
        <v>11.744566714535473</v>
      </c>
      <c r="BX228" s="139">
        <f t="shared" si="134"/>
        <v>260.99037143412164</v>
      </c>
      <c r="BY228" s="123">
        <f t="shared" si="135"/>
        <v>82.902823867309223</v>
      </c>
      <c r="BZ228" s="141">
        <f t="shared" si="136"/>
        <v>0.40299983824386432</v>
      </c>
      <c r="CA228" s="131">
        <f t="shared" si="137"/>
        <v>7.6761873951212252</v>
      </c>
      <c r="CB228" s="143">
        <f t="shared" si="138"/>
        <v>6.4335861788611809E-2</v>
      </c>
      <c r="CC228" s="123">
        <f t="shared" si="139"/>
        <v>83.962192467497829</v>
      </c>
      <c r="CD228" s="131">
        <f t="shared" si="140"/>
        <v>0.35491264931913341</v>
      </c>
      <c r="CE228" s="135">
        <f t="shared" si="141"/>
        <v>0.40299983824386432</v>
      </c>
      <c r="CF228" s="92" t="str">
        <f t="shared" si="142"/>
        <v>OK</v>
      </c>
      <c r="CG228" s="50"/>
      <c r="DA228" s="111"/>
      <c r="DB228" s="111"/>
      <c r="DC228" s="111"/>
      <c r="DD228" s="116"/>
      <c r="DE228" s="120"/>
      <c r="DF228" s="121"/>
      <c r="DG228" s="121"/>
      <c r="DH228" s="121"/>
      <c r="DI228" s="121"/>
      <c r="DJ228" s="121"/>
      <c r="DK228" s="122"/>
      <c r="DL228" s="123"/>
      <c r="DM228" s="123"/>
      <c r="DN228" s="123"/>
      <c r="DO228" s="123"/>
      <c r="DP228" s="123"/>
      <c r="DQ228" s="111"/>
      <c r="DR228" s="120"/>
      <c r="DS228" s="120"/>
      <c r="DT228" s="120"/>
      <c r="DU228" s="120"/>
      <c r="DV228" s="120"/>
      <c r="DW228" s="120"/>
      <c r="DX228" s="120"/>
      <c r="DY228" s="120"/>
      <c r="DZ228" s="120"/>
      <c r="EA228" s="122"/>
      <c r="EB228" s="122"/>
      <c r="EC228" s="122"/>
      <c r="ED228" s="122"/>
      <c r="EE228" s="122"/>
      <c r="EF228" s="122"/>
      <c r="EG228" s="122"/>
      <c r="EH228" s="122"/>
      <c r="EI228" s="122"/>
      <c r="EJ228" s="122"/>
      <c r="EK228" s="131"/>
      <c r="EL228" s="248"/>
      <c r="EM228" s="276"/>
      <c r="EN228" s="276"/>
      <c r="EO228" s="135"/>
      <c r="EP228" s="136"/>
      <c r="EQ228" s="137"/>
      <c r="ER228" s="276"/>
      <c r="ES228" s="276"/>
      <c r="ET228" s="276"/>
      <c r="EU228" s="276"/>
      <c r="EV228" s="139"/>
      <c r="EW228" s="131"/>
      <c r="EX228" s="139"/>
      <c r="EY228" s="123"/>
      <c r="EZ228" s="141"/>
      <c r="FA228" s="131"/>
      <c r="FB228" s="143"/>
      <c r="FC228" s="123"/>
      <c r="FD228" s="131"/>
      <c r="FE228" s="276"/>
      <c r="FF228" s="276"/>
      <c r="FG228" s="50"/>
    </row>
    <row r="229" spans="27:163">
      <c r="AA229" s="111" t="s">
        <v>245</v>
      </c>
      <c r="AB229" s="111" t="s">
        <v>341</v>
      </c>
      <c r="AC229" s="111">
        <v>104</v>
      </c>
      <c r="AD229" s="116">
        <v>0</v>
      </c>
      <c r="AE229" s="120">
        <v>750</v>
      </c>
      <c r="AF229" s="121">
        <v>350</v>
      </c>
      <c r="AG229" s="121">
        <v>14</v>
      </c>
      <c r="AH229" s="121">
        <v>18.000000000000004</v>
      </c>
      <c r="AI229" s="121">
        <v>714</v>
      </c>
      <c r="AJ229" s="64" t="str" cm="1">
        <f t="array" ref="AJ229">_xll.Dce_Name_SectI(AE229, AE229, AF229, AG229, AH229, "x", "-", "H Tổng")</f>
        <v>750x350x14x18</v>
      </c>
      <c r="AK229" s="122">
        <f t="shared" si="109"/>
        <v>1010</v>
      </c>
      <c r="AL229" s="123">
        <f t="shared" si="110"/>
        <v>350</v>
      </c>
      <c r="AM229" s="123">
        <f t="shared" si="111"/>
        <v>25</v>
      </c>
      <c r="AN229" s="123">
        <f t="shared" si="112"/>
        <v>12</v>
      </c>
      <c r="AO229" s="123">
        <f t="shared" si="113"/>
        <v>24</v>
      </c>
      <c r="AP229" s="165" t="str">
        <f t="shared" si="114"/>
        <v>1010x350x25 + 12M24</v>
      </c>
      <c r="AQ229" s="111" t="s">
        <v>335</v>
      </c>
      <c r="AR229" s="120">
        <v>0</v>
      </c>
      <c r="AS229" s="120">
        <v>142.04297308554919</v>
      </c>
      <c r="AT229" s="120">
        <v>-1.9645085558295248E-14</v>
      </c>
      <c r="AU229" s="120">
        <v>1.3345275015609327E-4</v>
      </c>
      <c r="AV229" s="120">
        <v>-4.6193599700927721E-14</v>
      </c>
      <c r="AW229" s="120">
        <v>-108.32392900805421</v>
      </c>
      <c r="AX229" s="120"/>
      <c r="AY229" s="120"/>
      <c r="AZ229" s="120"/>
      <c r="BA229" s="122">
        <f t="shared" si="115"/>
        <v>60</v>
      </c>
      <c r="BB229" s="122">
        <f t="shared" si="116"/>
        <v>70</v>
      </c>
      <c r="BC229" s="122">
        <f t="shared" si="117"/>
        <v>80</v>
      </c>
      <c r="BD229" s="122">
        <f t="shared" si="118"/>
        <v>150</v>
      </c>
      <c r="BE229" s="122">
        <f>VLOOKUP(AO229,Data!$V$4:$Z$15,3,FALSE)</f>
        <v>452.38934211693021</v>
      </c>
      <c r="BF229" s="122">
        <f>VLOOKUP(AO229,Data!$V$4:$Z$15,4,FALSE)</f>
        <v>353</v>
      </c>
      <c r="BG229" s="163">
        <f t="shared" si="119"/>
        <v>180</v>
      </c>
      <c r="BH229" s="122">
        <f t="shared" si="120"/>
        <v>121.65654188208487</v>
      </c>
      <c r="BI229" s="122">
        <f t="shared" si="121"/>
        <v>243</v>
      </c>
      <c r="BJ229" s="163">
        <f t="shared" si="122"/>
        <v>142.3296</v>
      </c>
      <c r="BK229" s="131">
        <f t="shared" si="123"/>
        <v>11.836914423795767</v>
      </c>
      <c r="BL229" s="134">
        <f t="shared" si="124"/>
        <v>0.89458333333333329</v>
      </c>
      <c r="BM229" s="135">
        <f t="shared" si="125"/>
        <v>0.10876326535320387</v>
      </c>
      <c r="BN229" s="92" t="str">
        <f t="shared" si="126"/>
        <v>OK</v>
      </c>
      <c r="BO229" s="135">
        <f>_xll.DCEBoltDisRS(AN229, AE229, BA229, BB229, BC229, BD229, "h1")</f>
        <v>890</v>
      </c>
      <c r="BP229" s="136">
        <f>_xll.DCEBoltDisRS(AN229, AE229, BA229, BB229, BC229, BD229, "Tong")</f>
        <v>1800300</v>
      </c>
      <c r="BQ229" s="137">
        <f t="shared" si="127"/>
        <v>26.775619845905752</v>
      </c>
      <c r="BR229" s="135">
        <f t="shared" si="128"/>
        <v>0.18812404338876629</v>
      </c>
      <c r="BS229" s="64" t="str">
        <f t="shared" si="129"/>
        <v>OK</v>
      </c>
      <c r="BT229" s="131">
        <f t="shared" si="130"/>
        <v>0.2117959358779842</v>
      </c>
      <c r="BU229" s="92" t="str">
        <f t="shared" si="131"/>
        <v>OK</v>
      </c>
      <c r="BV229" s="139">
        <f t="shared" si="132"/>
        <v>147.98350957384454</v>
      </c>
      <c r="BW229" s="131">
        <f t="shared" si="133"/>
        <v>3.3296289654115019</v>
      </c>
      <c r="BX229" s="139">
        <f t="shared" si="134"/>
        <v>73.991754786922272</v>
      </c>
      <c r="BY229" s="123">
        <f t="shared" si="135"/>
        <v>31.647958483119229</v>
      </c>
      <c r="BZ229" s="141">
        <f t="shared" si="136"/>
        <v>0.15384424262627405</v>
      </c>
      <c r="CA229" s="131">
        <f t="shared" si="137"/>
        <v>2.9303665262147436</v>
      </c>
      <c r="CB229" s="143">
        <f t="shared" si="138"/>
        <v>2.4560064276225105E-2</v>
      </c>
      <c r="CC229" s="123">
        <f t="shared" si="139"/>
        <v>32.052369960474344</v>
      </c>
      <c r="CD229" s="131">
        <f t="shared" si="140"/>
        <v>0.13548707108896163</v>
      </c>
      <c r="CE229" s="135">
        <f t="shared" si="141"/>
        <v>0.15384424262627405</v>
      </c>
      <c r="CF229" s="92" t="str">
        <f t="shared" si="142"/>
        <v>OK</v>
      </c>
      <c r="CG229" s="50"/>
      <c r="DA229" s="111"/>
      <c r="DB229" s="111"/>
      <c r="DC229" s="111"/>
      <c r="DD229" s="116"/>
      <c r="DE229" s="120"/>
      <c r="DF229" s="121"/>
      <c r="DG229" s="121"/>
      <c r="DH229" s="121"/>
      <c r="DI229" s="121"/>
      <c r="DJ229" s="121"/>
      <c r="DK229" s="122"/>
      <c r="DL229" s="123"/>
      <c r="DM229" s="123"/>
      <c r="DN229" s="123"/>
      <c r="DO229" s="123"/>
      <c r="DP229" s="123"/>
      <c r="DQ229" s="111"/>
      <c r="DR229" s="120"/>
      <c r="DS229" s="120"/>
      <c r="DT229" s="120"/>
      <c r="DU229" s="120"/>
      <c r="DV229" s="120"/>
      <c r="DW229" s="120"/>
      <c r="DX229" s="120"/>
      <c r="DY229" s="120"/>
      <c r="DZ229" s="120"/>
      <c r="EA229" s="122"/>
      <c r="EB229" s="122"/>
      <c r="EC229" s="122"/>
      <c r="ED229" s="122"/>
      <c r="EE229" s="122"/>
      <c r="EF229" s="122"/>
      <c r="EG229" s="122"/>
      <c r="EH229" s="122"/>
      <c r="EI229" s="122"/>
      <c r="EJ229" s="122"/>
      <c r="EK229" s="131"/>
      <c r="EL229" s="248"/>
      <c r="EM229" s="276"/>
      <c r="EN229" s="276"/>
      <c r="EO229" s="135"/>
      <c r="EP229" s="136"/>
      <c r="EQ229" s="137"/>
      <c r="ER229" s="276"/>
      <c r="ES229" s="276"/>
      <c r="ET229" s="276"/>
      <c r="EU229" s="276"/>
      <c r="EV229" s="139"/>
      <c r="EW229" s="131"/>
      <c r="EX229" s="139"/>
      <c r="EY229" s="123"/>
      <c r="EZ229" s="141"/>
      <c r="FA229" s="131"/>
      <c r="FB229" s="143"/>
      <c r="FC229" s="123"/>
      <c r="FD229" s="131"/>
      <c r="FE229" s="276"/>
      <c r="FF229" s="276"/>
      <c r="FG229" s="50"/>
    </row>
    <row r="230" spans="27:163">
      <c r="AA230" s="111" t="s">
        <v>245</v>
      </c>
      <c r="AB230" s="111" t="s">
        <v>341</v>
      </c>
      <c r="AC230" s="111">
        <v>104</v>
      </c>
      <c r="AD230" s="116">
        <v>2.6850000000000001</v>
      </c>
      <c r="AE230" s="120">
        <v>1100</v>
      </c>
      <c r="AF230" s="121">
        <v>350</v>
      </c>
      <c r="AG230" s="121">
        <v>14</v>
      </c>
      <c r="AH230" s="121">
        <v>18.000000000000004</v>
      </c>
      <c r="AI230" s="121">
        <v>1064</v>
      </c>
      <c r="AJ230" s="64" t="str" cm="1">
        <f t="array" ref="AJ230">_xll.Dce_Name_SectI(AE230, AE230, AF230, AG230, AH230, "x", "-", "H Tổng")</f>
        <v>1100x350x14x18</v>
      </c>
      <c r="AK230" s="122">
        <f t="shared" si="109"/>
        <v>1360</v>
      </c>
      <c r="AL230" s="123">
        <f t="shared" si="110"/>
        <v>350</v>
      </c>
      <c r="AM230" s="123">
        <f t="shared" si="111"/>
        <v>25</v>
      </c>
      <c r="AN230" s="123">
        <f t="shared" si="112"/>
        <v>16</v>
      </c>
      <c r="AO230" s="123">
        <f t="shared" si="113"/>
        <v>27</v>
      </c>
      <c r="AP230" s="165" t="str">
        <f t="shared" si="114"/>
        <v>1360x350x25 + 16M27</v>
      </c>
      <c r="AQ230" s="111" t="s">
        <v>335</v>
      </c>
      <c r="AR230" s="120">
        <v>0</v>
      </c>
      <c r="AS230" s="120">
        <v>199.64673728885381</v>
      </c>
      <c r="AT230" s="120">
        <v>-4.092726157978176E-15</v>
      </c>
      <c r="AU230" s="120">
        <v>1.3343293240011396E-4</v>
      </c>
      <c r="AV230" s="120">
        <v>1.1304109648335722E-15</v>
      </c>
      <c r="AW230" s="120">
        <v>-575.44228988508576</v>
      </c>
      <c r="AX230" s="120"/>
      <c r="AY230" s="120"/>
      <c r="AZ230" s="120"/>
      <c r="BA230" s="122">
        <f t="shared" si="115"/>
        <v>60</v>
      </c>
      <c r="BB230" s="122">
        <f t="shared" si="116"/>
        <v>70</v>
      </c>
      <c r="BC230" s="122">
        <f t="shared" si="117"/>
        <v>80</v>
      </c>
      <c r="BD230" s="122">
        <f t="shared" si="118"/>
        <v>160</v>
      </c>
      <c r="BE230" s="122">
        <f>VLOOKUP(AO230,Data!$V$4:$Z$15,3,FALSE)</f>
        <v>572.55526111673976</v>
      </c>
      <c r="BF230" s="122">
        <f>VLOOKUP(AO230,Data!$V$4:$Z$15,4,FALSE)</f>
        <v>459</v>
      </c>
      <c r="BG230" s="163">
        <f t="shared" si="119"/>
        <v>180</v>
      </c>
      <c r="BH230" s="122">
        <f t="shared" si="120"/>
        <v>153.97156081951366</v>
      </c>
      <c r="BI230" s="122">
        <f t="shared" si="121"/>
        <v>273.375</v>
      </c>
      <c r="BJ230" s="163">
        <f t="shared" si="122"/>
        <v>185.06880000000001</v>
      </c>
      <c r="BK230" s="131">
        <f t="shared" si="123"/>
        <v>12.477921080553363</v>
      </c>
      <c r="BL230" s="134">
        <f t="shared" si="124"/>
        <v>0.85037037037037044</v>
      </c>
      <c r="BM230" s="135">
        <f t="shared" si="125"/>
        <v>9.5300154052525982E-2</v>
      </c>
      <c r="BN230" s="92" t="str">
        <f t="shared" si="126"/>
        <v>OK</v>
      </c>
      <c r="BO230" s="135">
        <f>_xll.DCEBoltDisRS(AN230, AE230, BA230, BB230, BC230, BD230, "h1")</f>
        <v>1240</v>
      </c>
      <c r="BP230" s="136">
        <f>_xll.DCEBoltDisRS(AN230, AE230, BA230, BB230, BC230, BD230, "Tong")</f>
        <v>4523000</v>
      </c>
      <c r="BQ230" s="137">
        <f t="shared" si="127"/>
        <v>78.879995518185538</v>
      </c>
      <c r="BR230" s="135">
        <f t="shared" si="128"/>
        <v>0.4262198464472971</v>
      </c>
      <c r="BS230" s="64" t="str">
        <f t="shared" si="129"/>
        <v>OK</v>
      </c>
      <c r="BT230" s="131">
        <f t="shared" si="130"/>
        <v>0.43385586127445591</v>
      </c>
      <c r="BU230" s="92" t="str">
        <f t="shared" si="131"/>
        <v>OK</v>
      </c>
      <c r="BV230" s="139">
        <f t="shared" si="132"/>
        <v>531.83206089194618</v>
      </c>
      <c r="BW230" s="131">
        <f t="shared" si="133"/>
        <v>11.966221370068789</v>
      </c>
      <c r="BX230" s="139">
        <f t="shared" si="134"/>
        <v>265.91603044597309</v>
      </c>
      <c r="BY230" s="123">
        <f t="shared" si="135"/>
        <v>84.467444965191447</v>
      </c>
      <c r="BZ230" s="141">
        <f t="shared" si="136"/>
        <v>0.41060563524745847</v>
      </c>
      <c r="CA230" s="131">
        <f t="shared" si="137"/>
        <v>7.8210597189992086</v>
      </c>
      <c r="CB230" s="143">
        <f t="shared" si="138"/>
        <v>6.5550069483949314E-2</v>
      </c>
      <c r="CC230" s="123">
        <f t="shared" si="139"/>
        <v>85.546806979174278</v>
      </c>
      <c r="CD230" s="131">
        <f t="shared" si="140"/>
        <v>0.36161089906655802</v>
      </c>
      <c r="CE230" s="135">
        <f t="shared" si="141"/>
        <v>0.41060563524745847</v>
      </c>
      <c r="CF230" s="92" t="str">
        <f t="shared" si="142"/>
        <v>OK</v>
      </c>
      <c r="CG230" s="50"/>
      <c r="DA230" s="111"/>
      <c r="DB230" s="111"/>
      <c r="DC230" s="111"/>
      <c r="DD230" s="116"/>
      <c r="DE230" s="120"/>
      <c r="DF230" s="121"/>
      <c r="DG230" s="121"/>
      <c r="DH230" s="121"/>
      <c r="DI230" s="121"/>
      <c r="DJ230" s="121"/>
      <c r="DK230" s="122"/>
      <c r="DL230" s="123"/>
      <c r="DM230" s="123"/>
      <c r="DN230" s="123"/>
      <c r="DO230" s="123"/>
      <c r="DP230" s="123"/>
      <c r="DQ230" s="111"/>
      <c r="DR230" s="120"/>
      <c r="DS230" s="120"/>
      <c r="DT230" s="120"/>
      <c r="DU230" s="120"/>
      <c r="DV230" s="120"/>
      <c r="DW230" s="120"/>
      <c r="DX230" s="120"/>
      <c r="DY230" s="120"/>
      <c r="DZ230" s="120"/>
      <c r="EA230" s="122"/>
      <c r="EB230" s="122"/>
      <c r="EC230" s="122"/>
      <c r="ED230" s="122"/>
      <c r="EE230" s="122"/>
      <c r="EF230" s="122"/>
      <c r="EG230" s="122"/>
      <c r="EH230" s="122"/>
      <c r="EI230" s="122"/>
      <c r="EJ230" s="122"/>
      <c r="EK230" s="131"/>
      <c r="EL230" s="248"/>
      <c r="EM230" s="276"/>
      <c r="EN230" s="276"/>
      <c r="EO230" s="135"/>
      <c r="EP230" s="136"/>
      <c r="EQ230" s="137"/>
      <c r="ER230" s="276"/>
      <c r="ES230" s="276"/>
      <c r="ET230" s="276"/>
      <c r="EU230" s="276"/>
      <c r="EV230" s="139"/>
      <c r="EW230" s="131"/>
      <c r="EX230" s="139"/>
      <c r="EY230" s="123"/>
      <c r="EZ230" s="141"/>
      <c r="FA230" s="131"/>
      <c r="FB230" s="143"/>
      <c r="FC230" s="123"/>
      <c r="FD230" s="131"/>
      <c r="FE230" s="276"/>
      <c r="FF230" s="276"/>
      <c r="FG230" s="50"/>
    </row>
    <row r="231" spans="27:163">
      <c r="AA231" s="111" t="s">
        <v>245</v>
      </c>
      <c r="AB231" s="111" t="s">
        <v>341</v>
      </c>
      <c r="AC231" s="111">
        <v>104</v>
      </c>
      <c r="AD231" s="116">
        <v>0</v>
      </c>
      <c r="AE231" s="120">
        <v>750</v>
      </c>
      <c r="AF231" s="121">
        <v>350</v>
      </c>
      <c r="AG231" s="121">
        <v>14</v>
      </c>
      <c r="AH231" s="121">
        <v>18.000000000000004</v>
      </c>
      <c r="AI231" s="121">
        <v>714</v>
      </c>
      <c r="AJ231" s="64" t="str" cm="1">
        <f t="array" ref="AJ231">_xll.Dce_Name_SectI(AE231, AE231, AF231, AG231, AH231, "x", "-", "H Tổng")</f>
        <v>750x350x14x18</v>
      </c>
      <c r="AK231" s="122">
        <f t="shared" si="109"/>
        <v>1010</v>
      </c>
      <c r="AL231" s="123">
        <f t="shared" si="110"/>
        <v>350</v>
      </c>
      <c r="AM231" s="123">
        <f t="shared" si="111"/>
        <v>25</v>
      </c>
      <c r="AN231" s="123">
        <f t="shared" si="112"/>
        <v>12</v>
      </c>
      <c r="AO231" s="123">
        <f t="shared" si="113"/>
        <v>24</v>
      </c>
      <c r="AP231" s="165" t="str">
        <f t="shared" si="114"/>
        <v>1010x350x25 + 12M24</v>
      </c>
      <c r="AQ231" s="111" t="s">
        <v>336</v>
      </c>
      <c r="AR231" s="120">
        <v>0</v>
      </c>
      <c r="AS231" s="120">
        <v>142.98498172497091</v>
      </c>
      <c r="AT231" s="120">
        <v>-1.9645085558295248E-14</v>
      </c>
      <c r="AU231" s="120">
        <v>3.2301397190981552E-4</v>
      </c>
      <c r="AV231" s="120">
        <v>1.7136335372924798E-14</v>
      </c>
      <c r="AW231" s="120">
        <v>-127.76469642368875</v>
      </c>
      <c r="AX231" s="120"/>
      <c r="AY231" s="120"/>
      <c r="AZ231" s="120"/>
      <c r="BA231" s="122">
        <f t="shared" si="115"/>
        <v>60</v>
      </c>
      <c r="BB231" s="122">
        <f t="shared" si="116"/>
        <v>70</v>
      </c>
      <c r="BC231" s="122">
        <f t="shared" si="117"/>
        <v>80</v>
      </c>
      <c r="BD231" s="122">
        <f t="shared" si="118"/>
        <v>150</v>
      </c>
      <c r="BE231" s="122">
        <f>VLOOKUP(AO231,Data!$V$4:$Z$15,3,FALSE)</f>
        <v>452.38934211693021</v>
      </c>
      <c r="BF231" s="122">
        <f>VLOOKUP(AO231,Data!$V$4:$Z$15,4,FALSE)</f>
        <v>353</v>
      </c>
      <c r="BG231" s="163">
        <f t="shared" si="119"/>
        <v>180</v>
      </c>
      <c r="BH231" s="122">
        <f t="shared" si="120"/>
        <v>121.65654188208487</v>
      </c>
      <c r="BI231" s="122">
        <f t="shared" si="121"/>
        <v>243</v>
      </c>
      <c r="BJ231" s="163">
        <f t="shared" si="122"/>
        <v>142.3296</v>
      </c>
      <c r="BK231" s="131">
        <f t="shared" si="123"/>
        <v>11.915415143747575</v>
      </c>
      <c r="BL231" s="134">
        <f t="shared" si="124"/>
        <v>0.89458333333333329</v>
      </c>
      <c r="BM231" s="135">
        <f t="shared" si="125"/>
        <v>0.10948456774070547</v>
      </c>
      <c r="BN231" s="92" t="str">
        <f t="shared" si="126"/>
        <v>OK</v>
      </c>
      <c r="BO231" s="135">
        <f>_xll.DCEBoltDisRS(AN231, AE231, BA231, BB231, BC231, BD231, "h1")</f>
        <v>890</v>
      </c>
      <c r="BP231" s="136">
        <f>_xll.DCEBoltDisRS(AN231, AE231, BA231, BB231, BC231, BD231, "Tong")</f>
        <v>1800300</v>
      </c>
      <c r="BQ231" s="137">
        <f t="shared" si="127"/>
        <v>31.581008669966945</v>
      </c>
      <c r="BR231" s="135">
        <f t="shared" si="128"/>
        <v>0.22188644294628063</v>
      </c>
      <c r="BS231" s="64" t="str">
        <f t="shared" si="129"/>
        <v>OK</v>
      </c>
      <c r="BT231" s="131">
        <f t="shared" si="130"/>
        <v>0.2425416220730042</v>
      </c>
      <c r="BU231" s="92" t="str">
        <f t="shared" si="131"/>
        <v>OK</v>
      </c>
      <c r="BV231" s="139">
        <f t="shared" si="132"/>
        <v>174.54193500503928</v>
      </c>
      <c r="BW231" s="131">
        <f t="shared" si="133"/>
        <v>3.9271935376133835</v>
      </c>
      <c r="BX231" s="139">
        <f t="shared" si="134"/>
        <v>87.270967502519639</v>
      </c>
      <c r="BY231" s="123">
        <f t="shared" si="135"/>
        <v>37.327780159493543</v>
      </c>
      <c r="BZ231" s="141">
        <f t="shared" si="136"/>
        <v>0.18145448688642696</v>
      </c>
      <c r="CA231" s="131">
        <f t="shared" si="137"/>
        <v>3.456275940693847</v>
      </c>
      <c r="CB231" s="143">
        <f t="shared" si="138"/>
        <v>2.8967829962711845E-2</v>
      </c>
      <c r="CC231" s="123">
        <f t="shared" si="139"/>
        <v>37.804770886359528</v>
      </c>
      <c r="CD231" s="131">
        <f t="shared" si="140"/>
        <v>0.15980277548581928</v>
      </c>
      <c r="CE231" s="135">
        <f t="shared" si="141"/>
        <v>0.18145448688642696</v>
      </c>
      <c r="CF231" s="92" t="str">
        <f t="shared" si="142"/>
        <v>OK</v>
      </c>
      <c r="CG231" s="50"/>
      <c r="DA231" s="111"/>
      <c r="DB231" s="111"/>
      <c r="DC231" s="111"/>
      <c r="DD231" s="116"/>
      <c r="DE231" s="120"/>
      <c r="DF231" s="121"/>
      <c r="DG231" s="121"/>
      <c r="DH231" s="121"/>
      <c r="DI231" s="121"/>
      <c r="DJ231" s="121"/>
      <c r="DK231" s="122"/>
      <c r="DL231" s="123"/>
      <c r="DM231" s="123"/>
      <c r="DN231" s="123"/>
      <c r="DO231" s="123"/>
      <c r="DP231" s="123"/>
      <c r="DQ231" s="111"/>
      <c r="DR231" s="120"/>
      <c r="DS231" s="120"/>
      <c r="DT231" s="120"/>
      <c r="DU231" s="120"/>
      <c r="DV231" s="120"/>
      <c r="DW231" s="120"/>
      <c r="DX231" s="120"/>
      <c r="DY231" s="120"/>
      <c r="DZ231" s="120"/>
      <c r="EA231" s="122"/>
      <c r="EB231" s="122"/>
      <c r="EC231" s="122"/>
      <c r="ED231" s="122"/>
      <c r="EE231" s="122"/>
      <c r="EF231" s="122"/>
      <c r="EG231" s="122"/>
      <c r="EH231" s="122"/>
      <c r="EI231" s="122"/>
      <c r="EJ231" s="122"/>
      <c r="EK231" s="131"/>
      <c r="EL231" s="248"/>
      <c r="EM231" s="276"/>
      <c r="EN231" s="276"/>
      <c r="EO231" s="135"/>
      <c r="EP231" s="136"/>
      <c r="EQ231" s="137"/>
      <c r="ER231" s="276"/>
      <c r="ES231" s="276"/>
      <c r="ET231" s="276"/>
      <c r="EU231" s="276"/>
      <c r="EV231" s="139"/>
      <c r="EW231" s="131"/>
      <c r="EX231" s="139"/>
      <c r="EY231" s="123"/>
      <c r="EZ231" s="141"/>
      <c r="FA231" s="131"/>
      <c r="FB231" s="143"/>
      <c r="FC231" s="123"/>
      <c r="FD231" s="131"/>
      <c r="FE231" s="276"/>
      <c r="FF231" s="276"/>
      <c r="FG231" s="50"/>
    </row>
    <row r="232" spans="27:163">
      <c r="AA232" s="111" t="s">
        <v>245</v>
      </c>
      <c r="AB232" s="111" t="s">
        <v>341</v>
      </c>
      <c r="AC232" s="111">
        <v>104</v>
      </c>
      <c r="AD232" s="116">
        <v>2.6850000000000001</v>
      </c>
      <c r="AE232" s="120">
        <v>1100</v>
      </c>
      <c r="AF232" s="121">
        <v>350</v>
      </c>
      <c r="AG232" s="121">
        <v>14</v>
      </c>
      <c r="AH232" s="121">
        <v>18.000000000000004</v>
      </c>
      <c r="AI232" s="121">
        <v>1064</v>
      </c>
      <c r="AJ232" s="64" t="str" cm="1">
        <f t="array" ref="AJ232">_xll.Dce_Name_SectI(AE232, AE232, AF232, AG232, AH232, "x", "-", "H Tổng")</f>
        <v>1100x350x14x18</v>
      </c>
      <c r="AK232" s="122">
        <f t="shared" si="109"/>
        <v>1360</v>
      </c>
      <c r="AL232" s="123">
        <f t="shared" si="110"/>
        <v>350</v>
      </c>
      <c r="AM232" s="123">
        <f t="shared" si="111"/>
        <v>25</v>
      </c>
      <c r="AN232" s="123">
        <f t="shared" si="112"/>
        <v>16</v>
      </c>
      <c r="AO232" s="123">
        <f t="shared" si="113"/>
        <v>27</v>
      </c>
      <c r="AP232" s="165" t="str">
        <f t="shared" si="114"/>
        <v>1360x350x25 + 16M27</v>
      </c>
      <c r="AQ232" s="111" t="s">
        <v>336</v>
      </c>
      <c r="AR232" s="120">
        <v>0</v>
      </c>
      <c r="AS232" s="120">
        <v>200.58874645239339</v>
      </c>
      <c r="AT232" s="120">
        <v>-3.1832314562052481E-15</v>
      </c>
      <c r="AU232" s="120">
        <v>3.2296639757798285E-4</v>
      </c>
      <c r="AV232" s="120">
        <v>-2.3837856133468437E-16</v>
      </c>
      <c r="AW232" s="120">
        <v>-597.41235997124943</v>
      </c>
      <c r="AX232" s="120"/>
      <c r="AY232" s="120"/>
      <c r="AZ232" s="120"/>
      <c r="BA232" s="122">
        <f t="shared" si="115"/>
        <v>60</v>
      </c>
      <c r="BB232" s="122">
        <f t="shared" si="116"/>
        <v>70</v>
      </c>
      <c r="BC232" s="122">
        <f t="shared" si="117"/>
        <v>80</v>
      </c>
      <c r="BD232" s="122">
        <f t="shared" si="118"/>
        <v>160</v>
      </c>
      <c r="BE232" s="122">
        <f>VLOOKUP(AO232,Data!$V$4:$Z$15,3,FALSE)</f>
        <v>572.55526111673976</v>
      </c>
      <c r="BF232" s="122">
        <f>VLOOKUP(AO232,Data!$V$4:$Z$15,4,FALSE)</f>
        <v>459</v>
      </c>
      <c r="BG232" s="163">
        <f t="shared" si="119"/>
        <v>180</v>
      </c>
      <c r="BH232" s="122">
        <f t="shared" si="120"/>
        <v>153.97156081951366</v>
      </c>
      <c r="BI232" s="122">
        <f t="shared" si="121"/>
        <v>273.375</v>
      </c>
      <c r="BJ232" s="163">
        <f t="shared" si="122"/>
        <v>185.06880000000001</v>
      </c>
      <c r="BK232" s="131">
        <f t="shared" si="123"/>
        <v>12.536796653274587</v>
      </c>
      <c r="BL232" s="134">
        <f t="shared" si="124"/>
        <v>0.85037037037037044</v>
      </c>
      <c r="BM232" s="135">
        <f t="shared" si="125"/>
        <v>9.574981638922786E-2</v>
      </c>
      <c r="BN232" s="92" t="str">
        <f t="shared" si="126"/>
        <v>OK</v>
      </c>
      <c r="BO232" s="135">
        <f>_xll.DCEBoltDisRS(AN232, AE232, BA232, BB232, BC232, BD232, "h1")</f>
        <v>1240</v>
      </c>
      <c r="BP232" s="136">
        <f>_xll.DCEBoltDisRS(AN232, AE232, BA232, BB232, BC232, BD232, "Tong")</f>
        <v>4523000</v>
      </c>
      <c r="BQ232" s="137">
        <f t="shared" si="127"/>
        <v>81.891590356439238</v>
      </c>
      <c r="BR232" s="135">
        <f t="shared" si="128"/>
        <v>0.44249268572789813</v>
      </c>
      <c r="BS232" s="64" t="str">
        <f t="shared" si="129"/>
        <v>OK</v>
      </c>
      <c r="BT232" s="131">
        <f t="shared" si="130"/>
        <v>0.44992160472028947</v>
      </c>
      <c r="BU232" s="92" t="str">
        <f t="shared" si="131"/>
        <v>OK</v>
      </c>
      <c r="BV232" s="139">
        <f t="shared" si="132"/>
        <v>552.13711642444491</v>
      </c>
      <c r="BW232" s="131">
        <f t="shared" si="133"/>
        <v>12.423085119550009</v>
      </c>
      <c r="BX232" s="139">
        <f t="shared" si="134"/>
        <v>276.06855821222246</v>
      </c>
      <c r="BY232" s="123">
        <f t="shared" si="135"/>
        <v>87.692365549764773</v>
      </c>
      <c r="BZ232" s="141">
        <f t="shared" si="136"/>
        <v>0.42628233253357878</v>
      </c>
      <c r="CA232" s="131">
        <f t="shared" si="137"/>
        <v>8.1196634768300733</v>
      </c>
      <c r="CB232" s="143">
        <f t="shared" si="138"/>
        <v>6.8052735078796125E-2</v>
      </c>
      <c r="CC232" s="123">
        <f t="shared" si="139"/>
        <v>88.812937011701607</v>
      </c>
      <c r="CD232" s="131">
        <f t="shared" si="140"/>
        <v>0.37541700427651653</v>
      </c>
      <c r="CE232" s="135">
        <f t="shared" si="141"/>
        <v>0.42628233253357878</v>
      </c>
      <c r="CF232" s="92" t="str">
        <f t="shared" si="142"/>
        <v>OK</v>
      </c>
      <c r="CG232" s="50"/>
      <c r="DA232" s="111"/>
      <c r="DB232" s="111"/>
      <c r="DC232" s="111"/>
      <c r="DD232" s="116"/>
      <c r="DE232" s="120"/>
      <c r="DF232" s="121"/>
      <c r="DG232" s="121"/>
      <c r="DH232" s="121"/>
      <c r="DI232" s="121"/>
      <c r="DJ232" s="121"/>
      <c r="DK232" s="122"/>
      <c r="DL232" s="123"/>
      <c r="DM232" s="123"/>
      <c r="DN232" s="123"/>
      <c r="DO232" s="123"/>
      <c r="DP232" s="123"/>
      <c r="DQ232" s="111"/>
      <c r="DR232" s="120"/>
      <c r="DS232" s="120"/>
      <c r="DT232" s="120"/>
      <c r="DU232" s="120"/>
      <c r="DV232" s="120"/>
      <c r="DW232" s="120"/>
      <c r="DX232" s="120"/>
      <c r="DY232" s="120"/>
      <c r="DZ232" s="120"/>
      <c r="EA232" s="122"/>
      <c r="EB232" s="122"/>
      <c r="EC232" s="122"/>
      <c r="ED232" s="122"/>
      <c r="EE232" s="122"/>
      <c r="EF232" s="122"/>
      <c r="EG232" s="122"/>
      <c r="EH232" s="122"/>
      <c r="EI232" s="122"/>
      <c r="EJ232" s="122"/>
      <c r="EK232" s="131"/>
      <c r="EL232" s="248"/>
      <c r="EM232" s="276"/>
      <c r="EN232" s="276"/>
      <c r="EO232" s="135"/>
      <c r="EP232" s="136"/>
      <c r="EQ232" s="137"/>
      <c r="ER232" s="276"/>
      <c r="ES232" s="276"/>
      <c r="ET232" s="276"/>
      <c r="EU232" s="276"/>
      <c r="EV232" s="139"/>
      <c r="EW232" s="131"/>
      <c r="EX232" s="139"/>
      <c r="EY232" s="123"/>
      <c r="EZ232" s="141"/>
      <c r="FA232" s="131"/>
      <c r="FB232" s="143"/>
      <c r="FC232" s="123"/>
      <c r="FD232" s="131"/>
      <c r="FE232" s="276"/>
      <c r="FF232" s="276"/>
      <c r="FG232" s="50"/>
    </row>
    <row r="233" spans="27:163">
      <c r="AA233" s="111" t="s">
        <v>245</v>
      </c>
      <c r="AB233" s="111" t="s">
        <v>341</v>
      </c>
      <c r="AC233" s="111">
        <v>104</v>
      </c>
      <c r="AD233" s="116">
        <v>0</v>
      </c>
      <c r="AE233" s="120">
        <v>750</v>
      </c>
      <c r="AF233" s="121">
        <v>350</v>
      </c>
      <c r="AG233" s="121">
        <v>14</v>
      </c>
      <c r="AH233" s="121">
        <v>18.000000000000004</v>
      </c>
      <c r="AI233" s="121">
        <v>714</v>
      </c>
      <c r="AJ233" s="64" t="str" cm="1">
        <f t="array" ref="AJ233">_xll.Dce_Name_SectI(AE233, AE233, AF233, AG233, AH233, "x", "-", "H Tổng")</f>
        <v>750x350x14x18</v>
      </c>
      <c r="AK233" s="122">
        <f t="shared" si="109"/>
        <v>1010</v>
      </c>
      <c r="AL233" s="123">
        <f t="shared" si="110"/>
        <v>350</v>
      </c>
      <c r="AM233" s="123">
        <f t="shared" si="111"/>
        <v>25</v>
      </c>
      <c r="AN233" s="123">
        <f t="shared" si="112"/>
        <v>12</v>
      </c>
      <c r="AO233" s="123">
        <f t="shared" si="113"/>
        <v>24</v>
      </c>
      <c r="AP233" s="165" t="str">
        <f t="shared" si="114"/>
        <v>1010x350x25 + 12M24</v>
      </c>
      <c r="AQ233" s="111" t="s">
        <v>337</v>
      </c>
      <c r="AR233" s="120">
        <v>0</v>
      </c>
      <c r="AS233" s="120">
        <v>146.12377878563518</v>
      </c>
      <c r="AT233" s="120">
        <v>-2.3283064365386961E-14</v>
      </c>
      <c r="AU233" s="120">
        <v>3.7179289159069002E-4</v>
      </c>
      <c r="AV233" s="120">
        <v>1.7136335372924798E-14</v>
      </c>
      <c r="AW233" s="120">
        <v>-132.13355729454958</v>
      </c>
      <c r="AX233" s="120"/>
      <c r="AY233" s="120"/>
      <c r="AZ233" s="120"/>
      <c r="BA233" s="122">
        <f t="shared" si="115"/>
        <v>60</v>
      </c>
      <c r="BB233" s="122">
        <f t="shared" si="116"/>
        <v>70</v>
      </c>
      <c r="BC233" s="122">
        <f t="shared" si="117"/>
        <v>80</v>
      </c>
      <c r="BD233" s="122">
        <f t="shared" si="118"/>
        <v>150</v>
      </c>
      <c r="BE233" s="122">
        <f>VLOOKUP(AO233,Data!$V$4:$Z$15,3,FALSE)</f>
        <v>452.38934211693021</v>
      </c>
      <c r="BF233" s="122">
        <f>VLOOKUP(AO233,Data!$V$4:$Z$15,4,FALSE)</f>
        <v>353</v>
      </c>
      <c r="BG233" s="163">
        <f t="shared" si="119"/>
        <v>180</v>
      </c>
      <c r="BH233" s="122">
        <f t="shared" si="120"/>
        <v>121.65654188208487</v>
      </c>
      <c r="BI233" s="122">
        <f t="shared" si="121"/>
        <v>243</v>
      </c>
      <c r="BJ233" s="163">
        <f t="shared" si="122"/>
        <v>142.3296</v>
      </c>
      <c r="BK233" s="131">
        <f t="shared" si="123"/>
        <v>12.176981565469598</v>
      </c>
      <c r="BL233" s="134">
        <f t="shared" si="124"/>
        <v>0.89458333333333329</v>
      </c>
      <c r="BM233" s="135">
        <f t="shared" si="125"/>
        <v>0.11188796588271194</v>
      </c>
      <c r="BN233" s="92" t="str">
        <f t="shared" si="126"/>
        <v>OK</v>
      </c>
      <c r="BO233" s="135">
        <f>_xll.DCEBoltDisRS(AN233, AE233, BA233, BB233, BC233, BD233, "h1")</f>
        <v>890</v>
      </c>
      <c r="BP233" s="136">
        <f>_xll.DCEBoltDisRS(AN233, AE233, BA233, BB233, BC233, BD233, "Tong")</f>
        <v>1800300</v>
      </c>
      <c r="BQ233" s="137">
        <f t="shared" si="127"/>
        <v>32.660908179789232</v>
      </c>
      <c r="BR233" s="135">
        <f t="shared" si="128"/>
        <v>0.22947375795188935</v>
      </c>
      <c r="BS233" s="64" t="str">
        <f t="shared" si="129"/>
        <v>OK</v>
      </c>
      <c r="BT233" s="131">
        <f t="shared" si="130"/>
        <v>0.2503534224926553</v>
      </c>
      <c r="BU233" s="92" t="str">
        <f t="shared" si="131"/>
        <v>OK</v>
      </c>
      <c r="BV233" s="139">
        <f t="shared" si="132"/>
        <v>180.51032417288195</v>
      </c>
      <c r="BW233" s="131">
        <f t="shared" si="133"/>
        <v>4.0614822938898438</v>
      </c>
      <c r="BX233" s="139">
        <f t="shared" si="134"/>
        <v>90.255162086440976</v>
      </c>
      <c r="BY233" s="123">
        <f t="shared" si="135"/>
        <v>38.604188139943069</v>
      </c>
      <c r="BZ233" s="141">
        <f t="shared" si="136"/>
        <v>0.18765924790250105</v>
      </c>
      <c r="CA233" s="131">
        <f t="shared" si="137"/>
        <v>3.5744618648095439</v>
      </c>
      <c r="CB233" s="143">
        <f t="shared" si="138"/>
        <v>2.9958372909083823E-2</v>
      </c>
      <c r="CC233" s="123">
        <f t="shared" si="139"/>
        <v>39.097489367132695</v>
      </c>
      <c r="CD233" s="131">
        <f t="shared" si="140"/>
        <v>0.16526716519923243</v>
      </c>
      <c r="CE233" s="135">
        <f t="shared" si="141"/>
        <v>0.18765924790250105</v>
      </c>
      <c r="CF233" s="92" t="str">
        <f t="shared" si="142"/>
        <v>OK</v>
      </c>
      <c r="CG233" s="50"/>
      <c r="DA233" s="111"/>
      <c r="DB233" s="111"/>
      <c r="DC233" s="111"/>
      <c r="DD233" s="116"/>
      <c r="DE233" s="120"/>
      <c r="DF233" s="121"/>
      <c r="DG233" s="121"/>
      <c r="DH233" s="121"/>
      <c r="DI233" s="121"/>
      <c r="DJ233" s="121"/>
      <c r="DK233" s="122"/>
      <c r="DL233" s="123"/>
      <c r="DM233" s="123"/>
      <c r="DN233" s="123"/>
      <c r="DO233" s="123"/>
      <c r="DP233" s="123"/>
      <c r="DQ233" s="111"/>
      <c r="DR233" s="120"/>
      <c r="DS233" s="120"/>
      <c r="DT233" s="120"/>
      <c r="DU233" s="120"/>
      <c r="DV233" s="120"/>
      <c r="DW233" s="120"/>
      <c r="DX233" s="120"/>
      <c r="DY233" s="120"/>
      <c r="DZ233" s="120"/>
      <c r="EA233" s="122"/>
      <c r="EB233" s="122"/>
      <c r="EC233" s="122"/>
      <c r="ED233" s="122"/>
      <c r="EE233" s="122"/>
      <c r="EF233" s="122"/>
      <c r="EG233" s="122"/>
      <c r="EH233" s="122"/>
      <c r="EI233" s="122"/>
      <c r="EJ233" s="122"/>
      <c r="EK233" s="131"/>
      <c r="EL233" s="248"/>
      <c r="EM233" s="276"/>
      <c r="EN233" s="276"/>
      <c r="EO233" s="135"/>
      <c r="EP233" s="136"/>
      <c r="EQ233" s="137"/>
      <c r="ER233" s="276"/>
      <c r="ES233" s="276"/>
      <c r="ET233" s="276"/>
      <c r="EU233" s="276"/>
      <c r="EV233" s="139"/>
      <c r="EW233" s="131"/>
      <c r="EX233" s="139"/>
      <c r="EY233" s="123"/>
      <c r="EZ233" s="141"/>
      <c r="FA233" s="131"/>
      <c r="FB233" s="143"/>
      <c r="FC233" s="123"/>
      <c r="FD233" s="131"/>
      <c r="FE233" s="276"/>
      <c r="FF233" s="276"/>
      <c r="FG233" s="50"/>
    </row>
    <row r="234" spans="27:163">
      <c r="AA234" s="111" t="s">
        <v>245</v>
      </c>
      <c r="AB234" s="111" t="s">
        <v>341</v>
      </c>
      <c r="AC234" s="111">
        <v>104</v>
      </c>
      <c r="AD234" s="116">
        <v>2.6850000000000001</v>
      </c>
      <c r="AE234" s="120">
        <v>1100</v>
      </c>
      <c r="AF234" s="121">
        <v>350</v>
      </c>
      <c r="AG234" s="121">
        <v>14</v>
      </c>
      <c r="AH234" s="121">
        <v>18.000000000000004</v>
      </c>
      <c r="AI234" s="121">
        <v>1064</v>
      </c>
      <c r="AJ234" s="64" t="str" cm="1">
        <f t="array" ref="AJ234">_xll.Dce_Name_SectI(AE234, AE234, AF234, AG234, AH234, "x", "-", "H Tổng")</f>
        <v>1100x350x14x18</v>
      </c>
      <c r="AK234" s="122">
        <f t="shared" si="109"/>
        <v>1360</v>
      </c>
      <c r="AL234" s="123">
        <f t="shared" si="110"/>
        <v>350</v>
      </c>
      <c r="AM234" s="123">
        <f t="shared" si="111"/>
        <v>25</v>
      </c>
      <c r="AN234" s="123">
        <f t="shared" si="112"/>
        <v>16</v>
      </c>
      <c r="AO234" s="123">
        <f t="shared" si="113"/>
        <v>27</v>
      </c>
      <c r="AP234" s="165" t="str">
        <f t="shared" si="114"/>
        <v>1360x350x25 + 16M27</v>
      </c>
      <c r="AQ234" s="111" t="s">
        <v>337</v>
      </c>
      <c r="AR234" s="120">
        <v>0</v>
      </c>
      <c r="AS234" s="120">
        <v>203.72754427742149</v>
      </c>
      <c r="AT234" s="120">
        <v>-4.092726157978176E-15</v>
      </c>
      <c r="AU234" s="120">
        <v>3.7173806155847152E-4</v>
      </c>
      <c r="AV234" s="120">
        <v>1.1304109648335722E-15</v>
      </c>
      <c r="AW234" s="120">
        <v>-610.20886098299468</v>
      </c>
      <c r="AX234" s="120"/>
      <c r="AY234" s="120"/>
      <c r="AZ234" s="120"/>
      <c r="BA234" s="122">
        <f t="shared" si="115"/>
        <v>60</v>
      </c>
      <c r="BB234" s="122">
        <f t="shared" si="116"/>
        <v>70</v>
      </c>
      <c r="BC234" s="122">
        <f t="shared" si="117"/>
        <v>80</v>
      </c>
      <c r="BD234" s="122">
        <f t="shared" si="118"/>
        <v>160</v>
      </c>
      <c r="BE234" s="122">
        <f>VLOOKUP(AO234,Data!$V$4:$Z$15,3,FALSE)</f>
        <v>572.55526111673976</v>
      </c>
      <c r="BF234" s="122">
        <f>VLOOKUP(AO234,Data!$V$4:$Z$15,4,FALSE)</f>
        <v>459</v>
      </c>
      <c r="BG234" s="163">
        <f t="shared" si="119"/>
        <v>180</v>
      </c>
      <c r="BH234" s="122">
        <f t="shared" si="120"/>
        <v>153.97156081951366</v>
      </c>
      <c r="BI234" s="122">
        <f t="shared" si="121"/>
        <v>273.375</v>
      </c>
      <c r="BJ234" s="163">
        <f t="shared" si="122"/>
        <v>185.06880000000001</v>
      </c>
      <c r="BK234" s="131">
        <f t="shared" si="123"/>
        <v>12.732971517338843</v>
      </c>
      <c r="BL234" s="134">
        <f t="shared" si="124"/>
        <v>0.85037037037037044</v>
      </c>
      <c r="BM234" s="135">
        <f t="shared" si="125"/>
        <v>9.7248102413467388E-2</v>
      </c>
      <c r="BN234" s="92" t="str">
        <f t="shared" si="126"/>
        <v>OK</v>
      </c>
      <c r="BO234" s="135">
        <f>_xll.DCEBoltDisRS(AN234, AE234, BA234, BB234, BC234, BD234, "h1")</f>
        <v>1240</v>
      </c>
      <c r="BP234" s="136">
        <f>_xll.DCEBoltDisRS(AN234, AE234, BA234, BB234, BC234, BD234, "Tong")</f>
        <v>4523000</v>
      </c>
      <c r="BQ234" s="137">
        <f t="shared" si="127"/>
        <v>83.645698388117779</v>
      </c>
      <c r="BR234" s="135">
        <f t="shared" si="128"/>
        <v>0.45197082592051052</v>
      </c>
      <c r="BS234" s="64" t="str">
        <f t="shared" si="129"/>
        <v>OK</v>
      </c>
      <c r="BT234" s="131">
        <f t="shared" si="130"/>
        <v>0.45947405319329604</v>
      </c>
      <c r="BU234" s="92" t="str">
        <f t="shared" si="131"/>
        <v>OK</v>
      </c>
      <c r="BV234" s="139">
        <f t="shared" si="132"/>
        <v>563.96382715618734</v>
      </c>
      <c r="BW234" s="131">
        <f t="shared" si="133"/>
        <v>12.689186111014214</v>
      </c>
      <c r="BX234" s="139">
        <f t="shared" si="134"/>
        <v>281.98191357809367</v>
      </c>
      <c r="BY234" s="123">
        <f t="shared" si="135"/>
        <v>89.5707254895121</v>
      </c>
      <c r="BZ234" s="141">
        <f t="shared" si="136"/>
        <v>0.4354132489073505</v>
      </c>
      <c r="CA234" s="131">
        <f t="shared" si="137"/>
        <v>8.2935856934733447</v>
      </c>
      <c r="CB234" s="143">
        <f t="shared" si="138"/>
        <v>6.9510416492233496E-2</v>
      </c>
      <c r="CC234" s="123">
        <f t="shared" si="139"/>
        <v>90.71529945760247</v>
      </c>
      <c r="CD234" s="131">
        <f t="shared" si="140"/>
        <v>0.38345839142706367</v>
      </c>
      <c r="CE234" s="135">
        <f t="shared" si="141"/>
        <v>0.4354132489073505</v>
      </c>
      <c r="CF234" s="92" t="str">
        <f t="shared" si="142"/>
        <v>OK</v>
      </c>
      <c r="CG234" s="50"/>
      <c r="DA234" s="111"/>
      <c r="DB234" s="111"/>
      <c r="DC234" s="111"/>
      <c r="DD234" s="116"/>
      <c r="DE234" s="120"/>
      <c r="DF234" s="121"/>
      <c r="DG234" s="121"/>
      <c r="DH234" s="121"/>
      <c r="DI234" s="121"/>
      <c r="DJ234" s="121"/>
      <c r="DK234" s="122"/>
      <c r="DL234" s="123"/>
      <c r="DM234" s="123"/>
      <c r="DN234" s="123"/>
      <c r="DO234" s="123"/>
      <c r="DP234" s="123"/>
      <c r="DQ234" s="111"/>
      <c r="DR234" s="120"/>
      <c r="DS234" s="120"/>
      <c r="DT234" s="120"/>
      <c r="DU234" s="120"/>
      <c r="DV234" s="120"/>
      <c r="DW234" s="120"/>
      <c r="DX234" s="120"/>
      <c r="DY234" s="120"/>
      <c r="DZ234" s="120"/>
      <c r="EA234" s="122"/>
      <c r="EB234" s="122"/>
      <c r="EC234" s="122"/>
      <c r="ED234" s="122"/>
      <c r="EE234" s="122"/>
      <c r="EF234" s="122"/>
      <c r="EG234" s="122"/>
      <c r="EH234" s="122"/>
      <c r="EI234" s="122"/>
      <c r="EJ234" s="122"/>
      <c r="EK234" s="131"/>
      <c r="EL234" s="248"/>
      <c r="EM234" s="276"/>
      <c r="EN234" s="276"/>
      <c r="EO234" s="135"/>
      <c r="EP234" s="136"/>
      <c r="EQ234" s="137"/>
      <c r="ER234" s="276"/>
      <c r="ES234" s="276"/>
      <c r="ET234" s="276"/>
      <c r="EU234" s="276"/>
      <c r="EV234" s="139"/>
      <c r="EW234" s="131"/>
      <c r="EX234" s="139"/>
      <c r="EY234" s="123"/>
      <c r="EZ234" s="141"/>
      <c r="FA234" s="131"/>
      <c r="FB234" s="143"/>
      <c r="FC234" s="123"/>
      <c r="FD234" s="131"/>
      <c r="FE234" s="276"/>
      <c r="FF234" s="276"/>
      <c r="FG234" s="50"/>
    </row>
    <row r="235" spans="27:163">
      <c r="AA235" s="111" t="s">
        <v>245</v>
      </c>
      <c r="AB235" s="111" t="s">
        <v>341</v>
      </c>
      <c r="AC235" s="111">
        <v>104</v>
      </c>
      <c r="AD235" s="116">
        <v>0</v>
      </c>
      <c r="AE235" s="120">
        <v>750</v>
      </c>
      <c r="AF235" s="121">
        <v>350</v>
      </c>
      <c r="AG235" s="121">
        <v>14</v>
      </c>
      <c r="AH235" s="121">
        <v>18.000000000000004</v>
      </c>
      <c r="AI235" s="121">
        <v>714</v>
      </c>
      <c r="AJ235" s="64" t="str" cm="1">
        <f t="array" ref="AJ235">_xll.Dce_Name_SectI(AE235, AE235, AF235, AG235, AH235, "x", "-", "H Tổng")</f>
        <v>750x350x14x18</v>
      </c>
      <c r="AK235" s="122">
        <f t="shared" si="109"/>
        <v>1010</v>
      </c>
      <c r="AL235" s="123">
        <f t="shared" si="110"/>
        <v>350</v>
      </c>
      <c r="AM235" s="123">
        <f t="shared" si="111"/>
        <v>25</v>
      </c>
      <c r="AN235" s="123">
        <f t="shared" si="112"/>
        <v>12</v>
      </c>
      <c r="AO235" s="123">
        <f t="shared" si="113"/>
        <v>24</v>
      </c>
      <c r="AP235" s="165" t="str">
        <f t="shared" si="114"/>
        <v>1010x350x25 + 12M24</v>
      </c>
      <c r="AQ235" s="111" t="s">
        <v>338</v>
      </c>
      <c r="AR235" s="120">
        <v>0</v>
      </c>
      <c r="AS235" s="120">
        <v>128.09818029895854</v>
      </c>
      <c r="AT235" s="120">
        <v>-1.555235940031707E-14</v>
      </c>
      <c r="AU235" s="120">
        <v>2.6143835764531008E-4</v>
      </c>
      <c r="AV235" s="120">
        <v>9.6857547760009738E-15</v>
      </c>
      <c r="AW235" s="120">
        <v>-53.490988191587348</v>
      </c>
      <c r="AX235" s="120"/>
      <c r="AY235" s="120"/>
      <c r="AZ235" s="120"/>
      <c r="BA235" s="122">
        <f t="shared" si="115"/>
        <v>60</v>
      </c>
      <c r="BB235" s="122">
        <f t="shared" si="116"/>
        <v>70</v>
      </c>
      <c r="BC235" s="122">
        <f t="shared" si="117"/>
        <v>80</v>
      </c>
      <c r="BD235" s="122">
        <f t="shared" si="118"/>
        <v>150</v>
      </c>
      <c r="BE235" s="122">
        <f>VLOOKUP(AO235,Data!$V$4:$Z$15,3,FALSE)</f>
        <v>452.38934211693021</v>
      </c>
      <c r="BF235" s="122">
        <f>VLOOKUP(AO235,Data!$V$4:$Z$15,4,FALSE)</f>
        <v>353</v>
      </c>
      <c r="BG235" s="163">
        <f t="shared" si="119"/>
        <v>180</v>
      </c>
      <c r="BH235" s="122">
        <f t="shared" si="120"/>
        <v>121.65654188208487</v>
      </c>
      <c r="BI235" s="122">
        <f t="shared" si="121"/>
        <v>243</v>
      </c>
      <c r="BJ235" s="163">
        <f t="shared" si="122"/>
        <v>142.3296</v>
      </c>
      <c r="BK235" s="131">
        <f t="shared" si="123"/>
        <v>10.674848358246544</v>
      </c>
      <c r="BL235" s="134">
        <f t="shared" si="124"/>
        <v>0.89458333333333329</v>
      </c>
      <c r="BM235" s="135">
        <f t="shared" si="125"/>
        <v>9.8085643185791591E-2</v>
      </c>
      <c r="BN235" s="92" t="str">
        <f t="shared" si="126"/>
        <v>OK</v>
      </c>
      <c r="BO235" s="135">
        <f>_xll.DCEBoltDisRS(AN235, AE235, BA235, BB235, BC235, BD235, "h1")</f>
        <v>890</v>
      </c>
      <c r="BP235" s="136">
        <f>_xll.DCEBoltDisRS(AN235, AE235, BA235, BB235, BC235, BD235, "Tong")</f>
        <v>1800300</v>
      </c>
      <c r="BQ235" s="137">
        <f t="shared" si="127"/>
        <v>13.221957310035201</v>
      </c>
      <c r="BR235" s="135">
        <f t="shared" si="128"/>
        <v>9.2896750289716265E-2</v>
      </c>
      <c r="BS235" s="64" t="str">
        <f t="shared" si="129"/>
        <v>OK</v>
      </c>
      <c r="BT235" s="131">
        <f t="shared" si="130"/>
        <v>0.12778547808271021</v>
      </c>
      <c r="BU235" s="92" t="str">
        <f t="shared" si="131"/>
        <v>OK</v>
      </c>
      <c r="BV235" s="139">
        <f t="shared" si="132"/>
        <v>73.075120480310588</v>
      </c>
      <c r="BW235" s="131">
        <f t="shared" si="133"/>
        <v>1.6441902108069881</v>
      </c>
      <c r="BX235" s="139">
        <f t="shared" si="134"/>
        <v>36.537560240155294</v>
      </c>
      <c r="BY235" s="123">
        <f t="shared" si="135"/>
        <v>15.627946558165432</v>
      </c>
      <c r="BZ235" s="141">
        <f t="shared" si="136"/>
        <v>7.5969184657748628E-2</v>
      </c>
      <c r="CA235" s="131">
        <f t="shared" si="137"/>
        <v>1.4470320887190216</v>
      </c>
      <c r="CB235" s="143">
        <f t="shared" si="138"/>
        <v>1.212790304242475E-2</v>
      </c>
      <c r="CC235" s="123">
        <f t="shared" si="139"/>
        <v>15.827647305339552</v>
      </c>
      <c r="CD235" s="131">
        <f t="shared" si="140"/>
        <v>6.6904306242377351E-2</v>
      </c>
      <c r="CE235" s="135">
        <f t="shared" si="141"/>
        <v>7.5969184657748628E-2</v>
      </c>
      <c r="CF235" s="92" t="str">
        <f t="shared" si="142"/>
        <v>OK</v>
      </c>
      <c r="CG235" s="50"/>
      <c r="DA235" s="111"/>
      <c r="DB235" s="111"/>
      <c r="DC235" s="111"/>
      <c r="DD235" s="116"/>
      <c r="DE235" s="120"/>
      <c r="DF235" s="121"/>
      <c r="DG235" s="121"/>
      <c r="DH235" s="121"/>
      <c r="DI235" s="121"/>
      <c r="DJ235" s="121"/>
      <c r="DK235" s="122"/>
      <c r="DL235" s="123"/>
      <c r="DM235" s="123"/>
      <c r="DN235" s="123"/>
      <c r="DO235" s="123"/>
      <c r="DP235" s="123"/>
      <c r="DQ235" s="111"/>
      <c r="DR235" s="120"/>
      <c r="DS235" s="120"/>
      <c r="DT235" s="120"/>
      <c r="DU235" s="120"/>
      <c r="DV235" s="120"/>
      <c r="DW235" s="120"/>
      <c r="DX235" s="120"/>
      <c r="DY235" s="120"/>
      <c r="DZ235" s="120"/>
      <c r="EA235" s="122"/>
      <c r="EB235" s="122"/>
      <c r="EC235" s="122"/>
      <c r="ED235" s="122"/>
      <c r="EE235" s="122"/>
      <c r="EF235" s="122"/>
      <c r="EG235" s="122"/>
      <c r="EH235" s="122"/>
      <c r="EI235" s="122"/>
      <c r="EJ235" s="122"/>
      <c r="EK235" s="131"/>
      <c r="EL235" s="248"/>
      <c r="EM235" s="276"/>
      <c r="EN235" s="276"/>
      <c r="EO235" s="135"/>
      <c r="EP235" s="136"/>
      <c r="EQ235" s="137"/>
      <c r="ER235" s="276"/>
      <c r="ES235" s="276"/>
      <c r="ET235" s="276"/>
      <c r="EU235" s="276"/>
      <c r="EV235" s="139"/>
      <c r="EW235" s="131"/>
      <c r="EX235" s="139"/>
      <c r="EY235" s="123"/>
      <c r="EZ235" s="141"/>
      <c r="FA235" s="131"/>
      <c r="FB235" s="143"/>
      <c r="FC235" s="123"/>
      <c r="FD235" s="131"/>
      <c r="FE235" s="276"/>
      <c r="FF235" s="276"/>
      <c r="FG235" s="50"/>
    </row>
    <row r="236" spans="27:163">
      <c r="AA236" s="111" t="s">
        <v>245</v>
      </c>
      <c r="AB236" s="111" t="s">
        <v>341</v>
      </c>
      <c r="AC236" s="111">
        <v>104</v>
      </c>
      <c r="AD236" s="116">
        <v>2.6850000000000001</v>
      </c>
      <c r="AE236" s="120">
        <v>1100</v>
      </c>
      <c r="AF236" s="121">
        <v>350</v>
      </c>
      <c r="AG236" s="121">
        <v>14</v>
      </c>
      <c r="AH236" s="121">
        <v>18.000000000000004</v>
      </c>
      <c r="AI236" s="121">
        <v>1064</v>
      </c>
      <c r="AJ236" s="64" t="str" cm="1">
        <f t="array" ref="AJ236">_xll.Dce_Name_SectI(AE236, AE236, AF236, AG236, AH236, "x", "-", "H Tổng")</f>
        <v>1100x350x14x18</v>
      </c>
      <c r="AK236" s="122">
        <f t="shared" si="109"/>
        <v>1360</v>
      </c>
      <c r="AL236" s="123">
        <f t="shared" si="110"/>
        <v>350</v>
      </c>
      <c r="AM236" s="123">
        <f t="shared" si="111"/>
        <v>25</v>
      </c>
      <c r="AN236" s="123">
        <f t="shared" si="112"/>
        <v>16</v>
      </c>
      <c r="AO236" s="123">
        <f t="shared" si="113"/>
        <v>27</v>
      </c>
      <c r="AP236" s="165" t="str">
        <f t="shared" si="114"/>
        <v>1360x350x25 + 16M27</v>
      </c>
      <c r="AQ236" s="111" t="s">
        <v>338</v>
      </c>
      <c r="AR236" s="120">
        <v>0</v>
      </c>
      <c r="AS236" s="120">
        <v>185.70194053053754</v>
      </c>
      <c r="AT236" s="120">
        <v>-4.5474735088646405E-15</v>
      </c>
      <c r="AU236" s="120">
        <v>2.6139998497124838E-4</v>
      </c>
      <c r="AV236" s="120">
        <v>1.3491444406099615E-15</v>
      </c>
      <c r="AW236" s="120">
        <v>-483.16767652121359</v>
      </c>
      <c r="AX236" s="120"/>
      <c r="AY236" s="120"/>
      <c r="AZ236" s="120"/>
      <c r="BA236" s="122">
        <f t="shared" si="115"/>
        <v>60</v>
      </c>
      <c r="BB236" s="122">
        <f t="shared" si="116"/>
        <v>70</v>
      </c>
      <c r="BC236" s="122">
        <f t="shared" si="117"/>
        <v>80</v>
      </c>
      <c r="BD236" s="122">
        <f t="shared" si="118"/>
        <v>160</v>
      </c>
      <c r="BE236" s="122">
        <f>VLOOKUP(AO236,Data!$V$4:$Z$15,3,FALSE)</f>
        <v>572.55526111673976</v>
      </c>
      <c r="BF236" s="122">
        <f>VLOOKUP(AO236,Data!$V$4:$Z$15,4,FALSE)</f>
        <v>459</v>
      </c>
      <c r="BG236" s="163">
        <f t="shared" si="119"/>
        <v>180</v>
      </c>
      <c r="BH236" s="122">
        <f t="shared" si="120"/>
        <v>153.97156081951366</v>
      </c>
      <c r="BI236" s="122">
        <f t="shared" si="121"/>
        <v>273.375</v>
      </c>
      <c r="BJ236" s="163">
        <f t="shared" si="122"/>
        <v>185.06880000000001</v>
      </c>
      <c r="BK236" s="131">
        <f t="shared" si="123"/>
        <v>11.606371283158596</v>
      </c>
      <c r="BL236" s="134">
        <f t="shared" si="124"/>
        <v>0.85037037037037044</v>
      </c>
      <c r="BM236" s="135">
        <f t="shared" si="125"/>
        <v>8.8643690253791513E-2</v>
      </c>
      <c r="BN236" s="92" t="str">
        <f t="shared" si="126"/>
        <v>OK</v>
      </c>
      <c r="BO236" s="135">
        <f>_xll.DCEBoltDisRS(AN236, AE236, BA236, BB236, BC236, BD236, "h1")</f>
        <v>1240</v>
      </c>
      <c r="BP236" s="136">
        <f>_xll.DCEBoltDisRS(AN236, AE236, BA236, BB236, BC236, BD236, "Tong")</f>
        <v>4523000</v>
      </c>
      <c r="BQ236" s="137">
        <f t="shared" si="127"/>
        <v>66.231253469633529</v>
      </c>
      <c r="BR236" s="135">
        <f t="shared" si="128"/>
        <v>0.35787368518968904</v>
      </c>
      <c r="BS236" s="64" t="str">
        <f t="shared" si="129"/>
        <v>OK</v>
      </c>
      <c r="BT236" s="131">
        <f t="shared" si="130"/>
        <v>0.3657262830089299</v>
      </c>
      <c r="BU236" s="92" t="str">
        <f t="shared" si="131"/>
        <v>OK</v>
      </c>
      <c r="BV236" s="139">
        <f t="shared" si="132"/>
        <v>446.55053282921773</v>
      </c>
      <c r="BW236" s="131">
        <f t="shared" si="133"/>
        <v>10.047386988657399</v>
      </c>
      <c r="BX236" s="139">
        <f t="shared" si="134"/>
        <v>223.27526641460886</v>
      </c>
      <c r="BY236" s="123">
        <f t="shared" si="135"/>
        <v>70.922731684640468</v>
      </c>
      <c r="BZ236" s="141">
        <f t="shared" si="136"/>
        <v>0.34476327902255788</v>
      </c>
      <c r="CA236" s="131">
        <f t="shared" si="137"/>
        <v>6.5669196004296726</v>
      </c>
      <c r="CB236" s="143">
        <f t="shared" si="138"/>
        <v>5.5038837647279348E-2</v>
      </c>
      <c r="CC236" s="123">
        <f t="shared" si="139"/>
        <v>71.829013418861791</v>
      </c>
      <c r="CD236" s="131">
        <f t="shared" si="140"/>
        <v>0.30362505672224194</v>
      </c>
      <c r="CE236" s="135">
        <f t="shared" si="141"/>
        <v>0.34476327902255788</v>
      </c>
      <c r="CF236" s="92" t="str">
        <f t="shared" si="142"/>
        <v>OK</v>
      </c>
      <c r="CG236" s="50"/>
      <c r="DA236" s="111"/>
      <c r="DB236" s="111"/>
      <c r="DC236" s="111"/>
      <c r="DD236" s="116"/>
      <c r="DE236" s="120"/>
      <c r="DF236" s="121"/>
      <c r="DG236" s="121"/>
      <c r="DH236" s="121"/>
      <c r="DI236" s="121"/>
      <c r="DJ236" s="121"/>
      <c r="DK236" s="122"/>
      <c r="DL236" s="123"/>
      <c r="DM236" s="123"/>
      <c r="DN236" s="123"/>
      <c r="DO236" s="123"/>
      <c r="DP236" s="123"/>
      <c r="DQ236" s="111"/>
      <c r="DR236" s="120"/>
      <c r="DS236" s="120"/>
      <c r="DT236" s="120"/>
      <c r="DU236" s="120"/>
      <c r="DV236" s="120"/>
      <c r="DW236" s="120"/>
      <c r="DX236" s="120"/>
      <c r="DY236" s="120"/>
      <c r="DZ236" s="120"/>
      <c r="EA236" s="122"/>
      <c r="EB236" s="122"/>
      <c r="EC236" s="122"/>
      <c r="ED236" s="122"/>
      <c r="EE236" s="122"/>
      <c r="EF236" s="122"/>
      <c r="EG236" s="122"/>
      <c r="EH236" s="122"/>
      <c r="EI236" s="122"/>
      <c r="EJ236" s="122"/>
      <c r="EK236" s="131"/>
      <c r="EL236" s="248"/>
      <c r="EM236" s="276"/>
      <c r="EN236" s="276"/>
      <c r="EO236" s="135"/>
      <c r="EP236" s="136"/>
      <c r="EQ236" s="137"/>
      <c r="ER236" s="276"/>
      <c r="ES236" s="276"/>
      <c r="ET236" s="276"/>
      <c r="EU236" s="276"/>
      <c r="EV236" s="139"/>
      <c r="EW236" s="131"/>
      <c r="EX236" s="139"/>
      <c r="EY236" s="123"/>
      <c r="EZ236" s="141"/>
      <c r="FA236" s="131"/>
      <c r="FB236" s="143"/>
      <c r="FC236" s="123"/>
      <c r="FD236" s="131"/>
      <c r="FE236" s="276"/>
      <c r="FF236" s="276"/>
      <c r="FG236" s="50"/>
    </row>
    <row r="237" spans="27:163">
      <c r="AA237" s="111" t="s">
        <v>245</v>
      </c>
      <c r="AB237" s="111" t="s">
        <v>341</v>
      </c>
      <c r="AC237" s="111">
        <v>104</v>
      </c>
      <c r="AD237" s="116">
        <v>0</v>
      </c>
      <c r="AE237" s="120">
        <v>750</v>
      </c>
      <c r="AF237" s="121">
        <v>350</v>
      </c>
      <c r="AG237" s="121">
        <v>14</v>
      </c>
      <c r="AH237" s="121">
        <v>18.000000000000004</v>
      </c>
      <c r="AI237" s="121">
        <v>714</v>
      </c>
      <c r="AJ237" s="64" t="str" cm="1">
        <f t="array" ref="AJ237">_xll.Dce_Name_SectI(AE237, AE237, AF237, AG237, AH237, "x", "-", "H Tổng")</f>
        <v>750x350x14x18</v>
      </c>
      <c r="AK237" s="122">
        <f t="shared" si="109"/>
        <v>1010</v>
      </c>
      <c r="AL237" s="123">
        <f t="shared" si="110"/>
        <v>350</v>
      </c>
      <c r="AM237" s="123">
        <f t="shared" si="111"/>
        <v>25</v>
      </c>
      <c r="AN237" s="123">
        <f t="shared" si="112"/>
        <v>12</v>
      </c>
      <c r="AO237" s="123">
        <f t="shared" si="113"/>
        <v>24</v>
      </c>
      <c r="AP237" s="165" t="str">
        <f t="shared" si="114"/>
        <v>1010x350x25 + 12M24</v>
      </c>
      <c r="AQ237" s="111" t="s">
        <v>339</v>
      </c>
      <c r="AR237" s="120">
        <v>0</v>
      </c>
      <c r="AS237" s="120">
        <v>131.25620999356553</v>
      </c>
      <c r="AT237" s="120">
        <v>-1.7371348803862928E-14</v>
      </c>
      <c r="AU237" s="120">
        <v>3.095019572181035E-4</v>
      </c>
      <c r="AV237" s="120">
        <v>9.4529241323471048E-15</v>
      </c>
      <c r="AW237" s="120">
        <v>-58.007347615302237</v>
      </c>
      <c r="AX237" s="120"/>
      <c r="AY237" s="120"/>
      <c r="AZ237" s="120"/>
      <c r="BA237" s="122">
        <f t="shared" si="115"/>
        <v>60</v>
      </c>
      <c r="BB237" s="122">
        <f t="shared" si="116"/>
        <v>70</v>
      </c>
      <c r="BC237" s="122">
        <f t="shared" si="117"/>
        <v>80</v>
      </c>
      <c r="BD237" s="122">
        <f t="shared" si="118"/>
        <v>150</v>
      </c>
      <c r="BE237" s="122">
        <f>VLOOKUP(AO237,Data!$V$4:$Z$15,3,FALSE)</f>
        <v>452.38934211693021</v>
      </c>
      <c r="BF237" s="122">
        <f>VLOOKUP(AO237,Data!$V$4:$Z$15,4,FALSE)</f>
        <v>353</v>
      </c>
      <c r="BG237" s="163">
        <f t="shared" si="119"/>
        <v>180</v>
      </c>
      <c r="BH237" s="122">
        <f t="shared" si="120"/>
        <v>121.65654188208487</v>
      </c>
      <c r="BI237" s="122">
        <f t="shared" si="121"/>
        <v>243</v>
      </c>
      <c r="BJ237" s="163">
        <f t="shared" si="122"/>
        <v>142.3296</v>
      </c>
      <c r="BK237" s="131">
        <f t="shared" si="123"/>
        <v>10.938017499463795</v>
      </c>
      <c r="BL237" s="134">
        <f t="shared" si="124"/>
        <v>0.89458333333333329</v>
      </c>
      <c r="BM237" s="135">
        <f t="shared" si="125"/>
        <v>0.10050376788570879</v>
      </c>
      <c r="BN237" s="92" t="str">
        <f t="shared" si="126"/>
        <v>OK</v>
      </c>
      <c r="BO237" s="135">
        <f>_xll.DCEBoltDisRS(AN237, AE237, BA237, BB237, BC237, BD237, "h1")</f>
        <v>890</v>
      </c>
      <c r="BP237" s="136">
        <f>_xll.DCEBoltDisRS(AN237, AE237, BA237, BB237, BC237, BD237, "Tong")</f>
        <v>1800300</v>
      </c>
      <c r="BQ237" s="137">
        <f t="shared" si="127"/>
        <v>14.33831566339471</v>
      </c>
      <c r="BR237" s="135">
        <f t="shared" si="128"/>
        <v>0.10074022313977353</v>
      </c>
      <c r="BS237" s="64" t="str">
        <f t="shared" si="129"/>
        <v>OK</v>
      </c>
      <c r="BT237" s="131">
        <f t="shared" si="130"/>
        <v>0.13502673832923784</v>
      </c>
      <c r="BU237" s="92" t="str">
        <f t="shared" si="131"/>
        <v>OK</v>
      </c>
      <c r="BV237" s="139">
        <f t="shared" si="132"/>
        <v>79.245010403418362</v>
      </c>
      <c r="BW237" s="131">
        <f t="shared" si="133"/>
        <v>1.7830127340769131</v>
      </c>
      <c r="BX237" s="139">
        <f t="shared" si="134"/>
        <v>39.622505201709181</v>
      </c>
      <c r="BY237" s="123">
        <f t="shared" si="135"/>
        <v>16.947447769443926</v>
      </c>
      <c r="BZ237" s="141">
        <f t="shared" si="136"/>
        <v>8.2383426657019088E-2</v>
      </c>
      <c r="CA237" s="131">
        <f t="shared" si="137"/>
        <v>1.5692081268003635</v>
      </c>
      <c r="CB237" s="143">
        <f t="shared" si="138"/>
        <v>1.3151888035922588E-2</v>
      </c>
      <c r="CC237" s="123">
        <f t="shared" si="139"/>
        <v>17.164009681122849</v>
      </c>
      <c r="CD237" s="131">
        <f t="shared" si="140"/>
        <v>7.2553181019239105E-2</v>
      </c>
      <c r="CE237" s="135">
        <f t="shared" si="141"/>
        <v>8.2383426657019088E-2</v>
      </c>
      <c r="CF237" s="92" t="str">
        <f t="shared" si="142"/>
        <v>OK</v>
      </c>
      <c r="CG237" s="50"/>
      <c r="DA237" s="111"/>
      <c r="DB237" s="111"/>
      <c r="DC237" s="111"/>
      <c r="DD237" s="116"/>
      <c r="DE237" s="120"/>
      <c r="DF237" s="121"/>
      <c r="DG237" s="121"/>
      <c r="DH237" s="121"/>
      <c r="DI237" s="121"/>
      <c r="DJ237" s="121"/>
      <c r="DK237" s="122"/>
      <c r="DL237" s="123"/>
      <c r="DM237" s="123"/>
      <c r="DN237" s="123"/>
      <c r="DO237" s="123"/>
      <c r="DP237" s="123"/>
      <c r="DQ237" s="111"/>
      <c r="DR237" s="120"/>
      <c r="DS237" s="120"/>
      <c r="DT237" s="120"/>
      <c r="DU237" s="120"/>
      <c r="DV237" s="120"/>
      <c r="DW237" s="120"/>
      <c r="DX237" s="120"/>
      <c r="DY237" s="120"/>
      <c r="DZ237" s="120"/>
      <c r="EA237" s="122"/>
      <c r="EB237" s="122"/>
      <c r="EC237" s="122"/>
      <c r="ED237" s="122"/>
      <c r="EE237" s="122"/>
      <c r="EF237" s="122"/>
      <c r="EG237" s="122"/>
      <c r="EH237" s="122"/>
      <c r="EI237" s="122"/>
      <c r="EJ237" s="122"/>
      <c r="EK237" s="131"/>
      <c r="EL237" s="248"/>
      <c r="EM237" s="276"/>
      <c r="EN237" s="276"/>
      <c r="EO237" s="135"/>
      <c r="EP237" s="136"/>
      <c r="EQ237" s="137"/>
      <c r="ER237" s="276"/>
      <c r="ES237" s="276"/>
      <c r="ET237" s="276"/>
      <c r="EU237" s="276"/>
      <c r="EV237" s="139"/>
      <c r="EW237" s="131"/>
      <c r="EX237" s="139"/>
      <c r="EY237" s="123"/>
      <c r="EZ237" s="141"/>
      <c r="FA237" s="131"/>
      <c r="FB237" s="143"/>
      <c r="FC237" s="123"/>
      <c r="FD237" s="131"/>
      <c r="FE237" s="276"/>
      <c r="FF237" s="276"/>
      <c r="FG237" s="50"/>
    </row>
    <row r="238" spans="27:163">
      <c r="AA238" s="111" t="s">
        <v>245</v>
      </c>
      <c r="AB238" s="111" t="s">
        <v>341</v>
      </c>
      <c r="AC238" s="111">
        <v>104</v>
      </c>
      <c r="AD238" s="116">
        <v>2.6850000000000001</v>
      </c>
      <c r="AE238" s="120">
        <v>1100</v>
      </c>
      <c r="AF238" s="121">
        <v>350</v>
      </c>
      <c r="AG238" s="121">
        <v>14</v>
      </c>
      <c r="AH238" s="121">
        <v>18.000000000000004</v>
      </c>
      <c r="AI238" s="121">
        <v>1064</v>
      </c>
      <c r="AJ238" s="64" t="str" cm="1">
        <f t="array" ref="AJ238">_xll.Dce_Name_SectI(AE238, AE238, AF238, AG238, AH238, "x", "-", "H Tổng")</f>
        <v>1100x350x14x18</v>
      </c>
      <c r="AK238" s="122">
        <f t="shared" si="109"/>
        <v>1360</v>
      </c>
      <c r="AL238" s="123">
        <f t="shared" si="110"/>
        <v>350</v>
      </c>
      <c r="AM238" s="123">
        <f t="shared" si="111"/>
        <v>25</v>
      </c>
      <c r="AN238" s="123">
        <f t="shared" si="112"/>
        <v>16</v>
      </c>
      <c r="AO238" s="123">
        <f t="shared" si="113"/>
        <v>27</v>
      </c>
      <c r="AP238" s="165" t="str">
        <f t="shared" si="114"/>
        <v>1360x350x25 + 16M27</v>
      </c>
      <c r="AQ238" s="111" t="s">
        <v>339</v>
      </c>
      <c r="AR238" s="120">
        <v>0</v>
      </c>
      <c r="AS238" s="120">
        <v>188.85997099615437</v>
      </c>
      <c r="AT238" s="120">
        <v>-4.092726157978176E-15</v>
      </c>
      <c r="AU238" s="120">
        <v>3.0945643370638591E-4</v>
      </c>
      <c r="AV238" s="120">
        <v>1.0139956430066375E-15</v>
      </c>
      <c r="AW238" s="120">
        <v>-496.16331567498105</v>
      </c>
      <c r="AX238" s="120"/>
      <c r="AY238" s="120"/>
      <c r="AZ238" s="120"/>
      <c r="BA238" s="122">
        <f t="shared" si="115"/>
        <v>60</v>
      </c>
      <c r="BB238" s="122">
        <f t="shared" si="116"/>
        <v>70</v>
      </c>
      <c r="BC238" s="122">
        <f t="shared" si="117"/>
        <v>80</v>
      </c>
      <c r="BD238" s="122">
        <f t="shared" si="118"/>
        <v>160</v>
      </c>
      <c r="BE238" s="122">
        <f>VLOOKUP(AO238,Data!$V$4:$Z$15,3,FALSE)</f>
        <v>572.55526111673976</v>
      </c>
      <c r="BF238" s="122">
        <f>VLOOKUP(AO238,Data!$V$4:$Z$15,4,FALSE)</f>
        <v>459</v>
      </c>
      <c r="BG238" s="163">
        <f t="shared" si="119"/>
        <v>180</v>
      </c>
      <c r="BH238" s="122">
        <f t="shared" si="120"/>
        <v>153.97156081951366</v>
      </c>
      <c r="BI238" s="122">
        <f t="shared" si="121"/>
        <v>273.375</v>
      </c>
      <c r="BJ238" s="163">
        <f t="shared" si="122"/>
        <v>185.06880000000001</v>
      </c>
      <c r="BK238" s="131">
        <f t="shared" si="123"/>
        <v>11.803748187259648</v>
      </c>
      <c r="BL238" s="134">
        <f t="shared" si="124"/>
        <v>0.85037037037037044</v>
      </c>
      <c r="BM238" s="135">
        <f t="shared" si="125"/>
        <v>9.0151156861875456E-2</v>
      </c>
      <c r="BN238" s="92" t="str">
        <f t="shared" si="126"/>
        <v>OK</v>
      </c>
      <c r="BO238" s="135">
        <f>_xll.DCEBoltDisRS(AN238, AE238, BA238, BB238, BC238, BD238, "h1")</f>
        <v>1240</v>
      </c>
      <c r="BP238" s="136">
        <f>_xll.DCEBoltDisRS(AN238, AE238, BA238, BB238, BC238, BD238, "Tong")</f>
        <v>4523000</v>
      </c>
      <c r="BQ238" s="137">
        <f t="shared" si="127"/>
        <v>68.012658792502378</v>
      </c>
      <c r="BR238" s="135">
        <f t="shared" si="128"/>
        <v>0.36749932345431741</v>
      </c>
      <c r="BS238" s="64" t="str">
        <f t="shared" si="129"/>
        <v>OK</v>
      </c>
      <c r="BT238" s="131">
        <f t="shared" si="130"/>
        <v>0.37541016962460971</v>
      </c>
      <c r="BU238" s="92" t="str">
        <f t="shared" si="131"/>
        <v>OK</v>
      </c>
      <c r="BV238" s="139">
        <f t="shared" si="132"/>
        <v>458.56128990293996</v>
      </c>
      <c r="BW238" s="131">
        <f t="shared" si="133"/>
        <v>10.317629022816149</v>
      </c>
      <c r="BX238" s="139">
        <f t="shared" si="134"/>
        <v>229.28064495146998</v>
      </c>
      <c r="BY238" s="123">
        <f t="shared" si="135"/>
        <v>72.83032251399635</v>
      </c>
      <c r="BZ238" s="141">
        <f t="shared" si="136"/>
        <v>0.35403628999859338</v>
      </c>
      <c r="CA238" s="131">
        <f t="shared" si="137"/>
        <v>6.7435483809255876</v>
      </c>
      <c r="CB238" s="143">
        <f t="shared" si="138"/>
        <v>5.6519203384194347E-2</v>
      </c>
      <c r="CC238" s="123">
        <f t="shared" si="139"/>
        <v>73.760980279483647</v>
      </c>
      <c r="CD238" s="131">
        <f t="shared" si="140"/>
        <v>0.31179158330699613</v>
      </c>
      <c r="CE238" s="135">
        <f t="shared" si="141"/>
        <v>0.35403628999859338</v>
      </c>
      <c r="CF238" s="92" t="str">
        <f t="shared" si="142"/>
        <v>OK</v>
      </c>
      <c r="CG238" s="50"/>
      <c r="DA238" s="111"/>
      <c r="DB238" s="111"/>
      <c r="DC238" s="111"/>
      <c r="DD238" s="116"/>
      <c r="DE238" s="120"/>
      <c r="DF238" s="121"/>
      <c r="DG238" s="121"/>
      <c r="DH238" s="121"/>
      <c r="DI238" s="121"/>
      <c r="DJ238" s="121"/>
      <c r="DK238" s="122"/>
      <c r="DL238" s="123"/>
      <c r="DM238" s="123"/>
      <c r="DN238" s="123"/>
      <c r="DO238" s="123"/>
      <c r="DP238" s="123"/>
      <c r="DQ238" s="111"/>
      <c r="DR238" s="120"/>
      <c r="DS238" s="120"/>
      <c r="DT238" s="120"/>
      <c r="DU238" s="120"/>
      <c r="DV238" s="120"/>
      <c r="DW238" s="120"/>
      <c r="DX238" s="120"/>
      <c r="DY238" s="120"/>
      <c r="DZ238" s="120"/>
      <c r="EA238" s="122"/>
      <c r="EB238" s="122"/>
      <c r="EC238" s="122"/>
      <c r="ED238" s="122"/>
      <c r="EE238" s="122"/>
      <c r="EF238" s="122"/>
      <c r="EG238" s="122"/>
      <c r="EH238" s="122"/>
      <c r="EI238" s="122"/>
      <c r="EJ238" s="122"/>
      <c r="EK238" s="131"/>
      <c r="EL238" s="248"/>
      <c r="EM238" s="276"/>
      <c r="EN238" s="276"/>
      <c r="EO238" s="135"/>
      <c r="EP238" s="136"/>
      <c r="EQ238" s="137"/>
      <c r="ER238" s="276"/>
      <c r="ES238" s="276"/>
      <c r="ET238" s="276"/>
      <c r="EU238" s="276"/>
      <c r="EV238" s="139"/>
      <c r="EW238" s="131"/>
      <c r="EX238" s="139"/>
      <c r="EY238" s="123"/>
      <c r="EZ238" s="141"/>
      <c r="FA238" s="131"/>
      <c r="FB238" s="143"/>
      <c r="FC238" s="123"/>
      <c r="FD238" s="131"/>
      <c r="FE238" s="276"/>
      <c r="FF238" s="276"/>
      <c r="FG238" s="50"/>
    </row>
    <row r="239" spans="27:163">
      <c r="AA239" s="111"/>
      <c r="AB239" s="111"/>
      <c r="AC239" s="111"/>
      <c r="AD239" s="116"/>
      <c r="AE239" s="120"/>
      <c r="AF239" s="121"/>
      <c r="AG239" s="121"/>
      <c r="AH239" s="121"/>
      <c r="AI239" s="121"/>
      <c r="AJ239" s="121"/>
      <c r="AK239" s="122"/>
      <c r="AL239" s="123"/>
      <c r="AM239" s="123"/>
      <c r="AN239" s="123"/>
      <c r="AO239" s="123"/>
      <c r="AP239" s="123"/>
      <c r="AQ239" s="111"/>
      <c r="AR239" s="120"/>
      <c r="AS239" s="120"/>
      <c r="AT239" s="120"/>
      <c r="AU239" s="120"/>
      <c r="AV239" s="120"/>
      <c r="AW239" s="120"/>
      <c r="AX239" s="120"/>
      <c r="AY239" s="120"/>
      <c r="AZ239" s="120"/>
      <c r="BA239" s="122"/>
      <c r="BB239" s="122"/>
      <c r="BC239" s="122"/>
      <c r="BD239" s="122"/>
      <c r="BE239" s="122"/>
      <c r="BF239" s="122"/>
      <c r="BG239" s="122"/>
      <c r="BH239" s="122"/>
      <c r="BI239" s="122"/>
      <c r="BJ239" s="122"/>
      <c r="BK239" s="131"/>
      <c r="BL239" s="131"/>
      <c r="BM239" s="276"/>
      <c r="BN239" s="276"/>
      <c r="BO239" s="135"/>
      <c r="BP239" s="136"/>
      <c r="BQ239" s="137"/>
      <c r="BR239" s="276"/>
      <c r="BS239" s="276"/>
      <c r="BT239" s="276"/>
      <c r="BU239" s="276"/>
      <c r="BV239" s="139"/>
      <c r="BW239" s="131"/>
      <c r="BX239" s="139"/>
      <c r="BY239" s="123"/>
      <c r="BZ239" s="141"/>
      <c r="CA239" s="131"/>
      <c r="CB239" s="143"/>
      <c r="CC239" s="123"/>
      <c r="CD239" s="131"/>
      <c r="CE239" s="276"/>
      <c r="CF239" s="276"/>
      <c r="CG239" s="50"/>
      <c r="DA239" s="111"/>
      <c r="DB239" s="111"/>
      <c r="DC239" s="111"/>
      <c r="DD239" s="116"/>
      <c r="DE239" s="120"/>
      <c r="DF239" s="121"/>
      <c r="DG239" s="121"/>
      <c r="DH239" s="121"/>
      <c r="DI239" s="121"/>
      <c r="DJ239" s="121"/>
      <c r="DK239" s="122"/>
      <c r="DL239" s="123"/>
      <c r="DM239" s="123"/>
      <c r="DN239" s="123"/>
      <c r="DO239" s="123"/>
      <c r="DP239" s="123"/>
      <c r="DQ239" s="111"/>
      <c r="DR239" s="120"/>
      <c r="DS239" s="120"/>
      <c r="DT239" s="120"/>
      <c r="DU239" s="120"/>
      <c r="DV239" s="120"/>
      <c r="DW239" s="120"/>
      <c r="DX239" s="120"/>
      <c r="DY239" s="120"/>
      <c r="DZ239" s="120"/>
      <c r="EA239" s="122"/>
      <c r="EB239" s="122"/>
      <c r="EC239" s="122"/>
      <c r="ED239" s="122"/>
      <c r="EE239" s="122"/>
      <c r="EF239" s="122"/>
      <c r="EG239" s="122"/>
      <c r="EH239" s="122"/>
      <c r="EI239" s="122"/>
      <c r="EJ239" s="122"/>
      <c r="EK239" s="131"/>
      <c r="EL239" s="248"/>
      <c r="EM239" s="276"/>
      <c r="EN239" s="276"/>
      <c r="EO239" s="135"/>
      <c r="EP239" s="136"/>
      <c r="EQ239" s="137"/>
      <c r="ER239" s="276"/>
      <c r="ES239" s="276"/>
      <c r="ET239" s="276"/>
      <c r="EU239" s="276"/>
      <c r="EV239" s="139"/>
      <c r="EW239" s="131"/>
      <c r="EX239" s="139"/>
      <c r="EY239" s="123"/>
      <c r="EZ239" s="141"/>
      <c r="FA239" s="131"/>
      <c r="FB239" s="143"/>
      <c r="FC239" s="123"/>
      <c r="FD239" s="131"/>
      <c r="FE239" s="276"/>
      <c r="FF239" s="276"/>
      <c r="FG239" s="50"/>
    </row>
    <row r="240" spans="27:163">
      <c r="AA240" s="111"/>
      <c r="AB240" s="111"/>
      <c r="AC240" s="111"/>
      <c r="AD240" s="116"/>
      <c r="AE240" s="120"/>
      <c r="AF240" s="121"/>
      <c r="AG240" s="121"/>
      <c r="AH240" s="121"/>
      <c r="AI240" s="121"/>
      <c r="AJ240" s="121"/>
      <c r="AK240" s="122"/>
      <c r="AL240" s="123"/>
      <c r="AM240" s="123"/>
      <c r="AN240" s="123"/>
      <c r="AO240" s="123"/>
      <c r="AP240" s="123"/>
      <c r="AQ240" s="111"/>
      <c r="AR240" s="120"/>
      <c r="AS240" s="120"/>
      <c r="AT240" s="120"/>
      <c r="AU240" s="120"/>
      <c r="AV240" s="120"/>
      <c r="AW240" s="120"/>
      <c r="AX240" s="120"/>
      <c r="AY240" s="120"/>
      <c r="AZ240" s="120"/>
      <c r="BA240" s="122"/>
      <c r="BB240" s="122"/>
      <c r="BC240" s="122"/>
      <c r="BD240" s="122"/>
      <c r="BE240" s="122"/>
      <c r="BF240" s="122"/>
      <c r="BG240" s="122"/>
      <c r="BH240" s="122"/>
      <c r="BI240" s="122"/>
      <c r="BJ240" s="122"/>
      <c r="BK240" s="131"/>
      <c r="BL240" s="248"/>
      <c r="BM240" s="276"/>
      <c r="BN240" s="276"/>
      <c r="BO240" s="135"/>
      <c r="BP240" s="136"/>
      <c r="BQ240" s="137"/>
      <c r="BR240" s="276"/>
      <c r="BS240" s="276"/>
      <c r="BT240" s="276"/>
      <c r="BU240" s="276"/>
      <c r="BV240" s="139"/>
      <c r="BW240" s="131"/>
      <c r="BX240" s="139"/>
      <c r="BY240" s="123"/>
      <c r="BZ240" s="141"/>
      <c r="CA240" s="131"/>
      <c r="CB240" s="143"/>
      <c r="CC240" s="123"/>
      <c r="CD240" s="131"/>
      <c r="CE240" s="276"/>
      <c r="CF240" s="276"/>
      <c r="CG240" s="50"/>
      <c r="DA240" s="111"/>
      <c r="DB240" s="111"/>
      <c r="DC240" s="111"/>
      <c r="DD240" s="116"/>
      <c r="DE240" s="120"/>
      <c r="DF240" s="121"/>
      <c r="DG240" s="121"/>
      <c r="DH240" s="121"/>
      <c r="DI240" s="121"/>
      <c r="DJ240" s="121"/>
      <c r="DK240" s="122"/>
      <c r="DL240" s="123"/>
      <c r="DM240" s="123"/>
      <c r="DN240" s="123"/>
      <c r="DO240" s="123"/>
      <c r="DP240" s="123"/>
      <c r="DQ240" s="111"/>
      <c r="DR240" s="120"/>
      <c r="DS240" s="120"/>
      <c r="DT240" s="120"/>
      <c r="DU240" s="120"/>
      <c r="DV240" s="120"/>
      <c r="DW240" s="120"/>
      <c r="DX240" s="120"/>
      <c r="DY240" s="120"/>
      <c r="DZ240" s="120"/>
      <c r="EA240" s="122"/>
      <c r="EB240" s="122"/>
      <c r="EC240" s="122"/>
      <c r="ED240" s="122"/>
      <c r="EE240" s="122"/>
      <c r="EF240" s="122"/>
      <c r="EG240" s="122"/>
      <c r="EH240" s="122"/>
      <c r="EI240" s="122"/>
      <c r="EJ240" s="122"/>
      <c r="EK240" s="131"/>
      <c r="EL240" s="248"/>
      <c r="EM240" s="276"/>
      <c r="EN240" s="276"/>
      <c r="EO240" s="135"/>
      <c r="EP240" s="136"/>
      <c r="EQ240" s="137"/>
      <c r="ER240" s="276"/>
      <c r="ES240" s="276"/>
      <c r="ET240" s="276"/>
      <c r="EU240" s="276"/>
      <c r="EV240" s="139"/>
      <c r="EW240" s="131"/>
      <c r="EX240" s="139"/>
      <c r="EY240" s="123"/>
      <c r="EZ240" s="141"/>
      <c r="FA240" s="131"/>
      <c r="FB240" s="143"/>
      <c r="FC240" s="123"/>
      <c r="FD240" s="131"/>
      <c r="FE240" s="276"/>
      <c r="FF240" s="276"/>
      <c r="FG240" s="50"/>
    </row>
    <row r="241" spans="27:163">
      <c r="AA241" s="111"/>
      <c r="AB241" s="111"/>
      <c r="AC241" s="111"/>
      <c r="AD241" s="116"/>
      <c r="AE241" s="120"/>
      <c r="AF241" s="121"/>
      <c r="AG241" s="121"/>
      <c r="AH241" s="121"/>
      <c r="AI241" s="121"/>
      <c r="AJ241" s="121"/>
      <c r="AK241" s="122"/>
      <c r="AL241" s="123"/>
      <c r="AM241" s="123"/>
      <c r="AN241" s="123"/>
      <c r="AO241" s="123"/>
      <c r="AP241" s="123"/>
      <c r="AQ241" s="111"/>
      <c r="AR241" s="120"/>
      <c r="AS241" s="120"/>
      <c r="AT241" s="120"/>
      <c r="AU241" s="120"/>
      <c r="AV241" s="120"/>
      <c r="AW241" s="120"/>
      <c r="AX241" s="120"/>
      <c r="AY241" s="120"/>
      <c r="AZ241" s="120"/>
      <c r="BA241" s="122"/>
      <c r="BB241" s="122"/>
      <c r="BC241" s="122"/>
      <c r="BD241" s="122"/>
      <c r="BE241" s="122"/>
      <c r="BF241" s="122"/>
      <c r="BG241" s="122"/>
      <c r="BH241" s="122"/>
      <c r="BI241" s="122"/>
      <c r="BJ241" s="122"/>
      <c r="BK241" s="131"/>
      <c r="BL241" s="248"/>
      <c r="BM241" s="276"/>
      <c r="BN241" s="276"/>
      <c r="BO241" s="135"/>
      <c r="BP241" s="136"/>
      <c r="BQ241" s="137"/>
      <c r="BR241" s="276"/>
      <c r="BS241" s="276"/>
      <c r="BT241" s="276"/>
      <c r="BU241" s="276"/>
      <c r="BV241" s="139"/>
      <c r="BW241" s="131"/>
      <c r="BX241" s="139"/>
      <c r="BY241" s="123"/>
      <c r="BZ241" s="141"/>
      <c r="CA241" s="131"/>
      <c r="CB241" s="143"/>
      <c r="CC241" s="123"/>
      <c r="CD241" s="131"/>
      <c r="CE241" s="276"/>
      <c r="CF241" s="276"/>
      <c r="CG241" s="50"/>
      <c r="DA241" s="111"/>
      <c r="DB241" s="111"/>
      <c r="DC241" s="111"/>
      <c r="DD241" s="116"/>
      <c r="DE241" s="120"/>
      <c r="DF241" s="121"/>
      <c r="DG241" s="121"/>
      <c r="DH241" s="121"/>
      <c r="DI241" s="121"/>
      <c r="DJ241" s="121"/>
      <c r="DK241" s="122"/>
      <c r="DL241" s="123"/>
      <c r="DM241" s="123"/>
      <c r="DN241" s="123"/>
      <c r="DO241" s="123"/>
      <c r="DP241" s="123"/>
      <c r="DQ241" s="111"/>
      <c r="DR241" s="120"/>
      <c r="DS241" s="120"/>
      <c r="DT241" s="120"/>
      <c r="DU241" s="120"/>
      <c r="DV241" s="120"/>
      <c r="DW241" s="120"/>
      <c r="DX241" s="120"/>
      <c r="DY241" s="120"/>
      <c r="DZ241" s="120"/>
      <c r="EA241" s="122"/>
      <c r="EB241" s="122"/>
      <c r="EC241" s="122"/>
      <c r="ED241" s="122"/>
      <c r="EE241" s="122"/>
      <c r="EF241" s="122"/>
      <c r="EG241" s="122"/>
      <c r="EH241" s="122"/>
      <c r="EI241" s="122"/>
      <c r="EJ241" s="122"/>
      <c r="EK241" s="131"/>
      <c r="EL241" s="248"/>
      <c r="EM241" s="276"/>
      <c r="EN241" s="276"/>
      <c r="EO241" s="135"/>
      <c r="EP241" s="136"/>
      <c r="EQ241" s="137"/>
      <c r="ER241" s="276"/>
      <c r="ES241" s="276"/>
      <c r="ET241" s="276"/>
      <c r="EU241" s="276"/>
      <c r="EV241" s="139"/>
      <c r="EW241" s="131"/>
      <c r="EX241" s="139"/>
      <c r="EY241" s="123"/>
      <c r="EZ241" s="141"/>
      <c r="FA241" s="131"/>
      <c r="FB241" s="143"/>
      <c r="FC241" s="123"/>
      <c r="FD241" s="131"/>
      <c r="FE241" s="276"/>
      <c r="FF241" s="276"/>
      <c r="FG241" s="50"/>
    </row>
    <row r="242" spans="27:163">
      <c r="AA242" s="111"/>
      <c r="AB242" s="111"/>
      <c r="AC242" s="111"/>
      <c r="AD242" s="116"/>
      <c r="AE242" s="120"/>
      <c r="AF242" s="121"/>
      <c r="AG242" s="121"/>
      <c r="AH242" s="121"/>
      <c r="AI242" s="121"/>
      <c r="AJ242" s="121"/>
      <c r="AK242" s="122"/>
      <c r="AL242" s="123"/>
      <c r="AM242" s="123"/>
      <c r="AN242" s="123"/>
      <c r="AO242" s="123"/>
      <c r="AP242" s="123"/>
      <c r="AQ242" s="111"/>
      <c r="AR242" s="120"/>
      <c r="AS242" s="120"/>
      <c r="AT242" s="120"/>
      <c r="AU242" s="120"/>
      <c r="AV242" s="120"/>
      <c r="AW242" s="120"/>
      <c r="AX242" s="120"/>
      <c r="AY242" s="120"/>
      <c r="AZ242" s="120"/>
      <c r="BA242" s="122"/>
      <c r="BB242" s="122"/>
      <c r="BC242" s="122"/>
      <c r="BD242" s="122"/>
      <c r="BE242" s="122"/>
      <c r="BF242" s="122"/>
      <c r="BG242" s="122"/>
      <c r="BH242" s="122"/>
      <c r="BI242" s="122"/>
      <c r="BJ242" s="122"/>
      <c r="BK242" s="131"/>
      <c r="BL242" s="248"/>
      <c r="BM242" s="276"/>
      <c r="BN242" s="276"/>
      <c r="BO242" s="135"/>
      <c r="BP242" s="136"/>
      <c r="BQ242" s="137"/>
      <c r="BR242" s="276"/>
      <c r="BS242" s="276"/>
      <c r="BT242" s="276"/>
      <c r="BU242" s="276"/>
      <c r="BV242" s="139"/>
      <c r="BW242" s="131"/>
      <c r="BX242" s="139"/>
      <c r="BY242" s="123"/>
      <c r="BZ242" s="141"/>
      <c r="CA242" s="131"/>
      <c r="CB242" s="143"/>
      <c r="CC242" s="123"/>
      <c r="CD242" s="131"/>
      <c r="CE242" s="276"/>
      <c r="CF242" s="276"/>
      <c r="CG242" s="50"/>
      <c r="DA242" s="111"/>
      <c r="DB242" s="111"/>
      <c r="DC242" s="111"/>
      <c r="DD242" s="116"/>
      <c r="DE242" s="120"/>
      <c r="DF242" s="121"/>
      <c r="DG242" s="121"/>
      <c r="DH242" s="121"/>
      <c r="DI242" s="121"/>
      <c r="DJ242" s="121"/>
      <c r="DK242" s="122"/>
      <c r="DL242" s="123"/>
      <c r="DM242" s="123"/>
      <c r="DN242" s="123"/>
      <c r="DO242" s="123"/>
      <c r="DP242" s="123"/>
      <c r="DQ242" s="111"/>
      <c r="DR242" s="120"/>
      <c r="DS242" s="120"/>
      <c r="DT242" s="120"/>
      <c r="DU242" s="120"/>
      <c r="DV242" s="120"/>
      <c r="DW242" s="120"/>
      <c r="DX242" s="120"/>
      <c r="DY242" s="120"/>
      <c r="DZ242" s="120"/>
      <c r="EA242" s="122"/>
      <c r="EB242" s="122"/>
      <c r="EC242" s="122"/>
      <c r="ED242" s="122"/>
      <c r="EE242" s="122"/>
      <c r="EF242" s="122"/>
      <c r="EG242" s="122"/>
      <c r="EH242" s="122"/>
      <c r="EI242" s="122"/>
      <c r="EJ242" s="122"/>
      <c r="EK242" s="131"/>
      <c r="EL242" s="248"/>
      <c r="EM242" s="276"/>
      <c r="EN242" s="276"/>
      <c r="EO242" s="135"/>
      <c r="EP242" s="136"/>
      <c r="EQ242" s="137"/>
      <c r="ER242" s="276"/>
      <c r="ES242" s="276"/>
      <c r="ET242" s="276"/>
      <c r="EU242" s="276"/>
      <c r="EV242" s="139"/>
      <c r="EW242" s="131"/>
      <c r="EX242" s="139"/>
      <c r="EY242" s="123"/>
      <c r="EZ242" s="141"/>
      <c r="FA242" s="131"/>
      <c r="FB242" s="143"/>
      <c r="FC242" s="123"/>
      <c r="FD242" s="131"/>
      <c r="FE242" s="276"/>
      <c r="FF242" s="276"/>
      <c r="FG242" s="50"/>
    </row>
    <row r="243" spans="27:163">
      <c r="AA243" s="111"/>
      <c r="AB243" s="111"/>
      <c r="AC243" s="111"/>
      <c r="AD243" s="116"/>
      <c r="AE243" s="120"/>
      <c r="AF243" s="121"/>
      <c r="AG243" s="121"/>
      <c r="AH243" s="121"/>
      <c r="AI243" s="121"/>
      <c r="AJ243" s="121"/>
      <c r="AK243" s="122"/>
      <c r="AL243" s="123"/>
      <c r="AM243" s="123"/>
      <c r="AN243" s="123"/>
      <c r="AO243" s="123"/>
      <c r="AP243" s="123"/>
      <c r="AQ243" s="111"/>
      <c r="AR243" s="120"/>
      <c r="AS243" s="120"/>
      <c r="AT243" s="120"/>
      <c r="AU243" s="120"/>
      <c r="AV243" s="120"/>
      <c r="AW243" s="120"/>
      <c r="AX243" s="120"/>
      <c r="AY243" s="120"/>
      <c r="AZ243" s="120"/>
      <c r="BA243" s="122"/>
      <c r="BB243" s="122"/>
      <c r="BC243" s="122"/>
      <c r="BD243" s="122"/>
      <c r="BE243" s="122"/>
      <c r="BF243" s="122"/>
      <c r="BG243" s="122"/>
      <c r="BH243" s="122"/>
      <c r="BI243" s="122"/>
      <c r="BJ243" s="122"/>
      <c r="BK243" s="131"/>
      <c r="BL243" s="248"/>
      <c r="BM243" s="276"/>
      <c r="BN243" s="276"/>
      <c r="BO243" s="135"/>
      <c r="BP243" s="136"/>
      <c r="BQ243" s="137"/>
      <c r="BR243" s="276"/>
      <c r="BS243" s="276"/>
      <c r="BT243" s="276"/>
      <c r="BU243" s="276"/>
      <c r="BV243" s="139"/>
      <c r="BW243" s="131"/>
      <c r="BX243" s="139"/>
      <c r="BY243" s="123"/>
      <c r="BZ243" s="141"/>
      <c r="CA243" s="131"/>
      <c r="CB243" s="143"/>
      <c r="CC243" s="123"/>
      <c r="CD243" s="131"/>
      <c r="CE243" s="276"/>
      <c r="CF243" s="276"/>
      <c r="CG243" s="50"/>
      <c r="DA243" s="111"/>
      <c r="DB243" s="111"/>
      <c r="DC243" s="111"/>
      <c r="DD243" s="116"/>
      <c r="DE243" s="120"/>
      <c r="DF243" s="121"/>
      <c r="DG243" s="121"/>
      <c r="DH243" s="121"/>
      <c r="DI243" s="121"/>
      <c r="DJ243" s="121"/>
      <c r="DK243" s="122"/>
      <c r="DL243" s="123"/>
      <c r="DM243" s="123"/>
      <c r="DN243" s="123"/>
      <c r="DO243" s="123"/>
      <c r="DP243" s="123"/>
      <c r="DQ243" s="111"/>
      <c r="DR243" s="120"/>
      <c r="DS243" s="120"/>
      <c r="DT243" s="120"/>
      <c r="DU243" s="120"/>
      <c r="DV243" s="120"/>
      <c r="DW243" s="120"/>
      <c r="DX243" s="120"/>
      <c r="DY243" s="120"/>
      <c r="DZ243" s="120"/>
      <c r="EA243" s="122"/>
      <c r="EB243" s="122"/>
      <c r="EC243" s="122"/>
      <c r="ED243" s="122"/>
      <c r="EE243" s="122"/>
      <c r="EF243" s="122"/>
      <c r="EG243" s="122"/>
      <c r="EH243" s="122"/>
      <c r="EI243" s="122"/>
      <c r="EJ243" s="122"/>
      <c r="EK243" s="131"/>
      <c r="EL243" s="248"/>
      <c r="EM243" s="276"/>
      <c r="EN243" s="276"/>
      <c r="EO243" s="135"/>
      <c r="EP243" s="136"/>
      <c r="EQ243" s="137"/>
      <c r="ER243" s="276"/>
      <c r="ES243" s="276"/>
      <c r="ET243" s="276"/>
      <c r="EU243" s="276"/>
      <c r="EV243" s="139"/>
      <c r="EW243" s="131"/>
      <c r="EX243" s="139"/>
      <c r="EY243" s="123"/>
      <c r="EZ243" s="141"/>
      <c r="FA243" s="131"/>
      <c r="FB243" s="143"/>
      <c r="FC243" s="123"/>
      <c r="FD243" s="131"/>
      <c r="FE243" s="276"/>
      <c r="FF243" s="276"/>
      <c r="FG243" s="50"/>
    </row>
    <row r="244" spans="27:163">
      <c r="AA244" s="111"/>
      <c r="AB244" s="111"/>
      <c r="AC244" s="111"/>
      <c r="AD244" s="116"/>
      <c r="AE244" s="120"/>
      <c r="AF244" s="121"/>
      <c r="AG244" s="121"/>
      <c r="AH244" s="121"/>
      <c r="AI244" s="121"/>
      <c r="AJ244" s="121"/>
      <c r="AK244" s="122"/>
      <c r="AL244" s="123"/>
      <c r="AM244" s="123"/>
      <c r="AN244" s="123"/>
      <c r="AO244" s="123"/>
      <c r="AP244" s="123"/>
      <c r="AQ244" s="111"/>
      <c r="AR244" s="120"/>
      <c r="AS244" s="120"/>
      <c r="AT244" s="120"/>
      <c r="AU244" s="120"/>
      <c r="AV244" s="120"/>
      <c r="AW244" s="120"/>
      <c r="AX244" s="120"/>
      <c r="AY244" s="120"/>
      <c r="AZ244" s="120"/>
      <c r="BA244" s="122"/>
      <c r="BB244" s="122"/>
      <c r="BC244" s="122"/>
      <c r="BD244" s="122"/>
      <c r="BE244" s="122"/>
      <c r="BF244" s="122"/>
      <c r="BG244" s="122"/>
      <c r="BH244" s="122"/>
      <c r="BI244" s="122"/>
      <c r="BJ244" s="122"/>
      <c r="BK244" s="131"/>
      <c r="BL244" s="248"/>
      <c r="BM244" s="276"/>
      <c r="BN244" s="276"/>
      <c r="BO244" s="135"/>
      <c r="BP244" s="136"/>
      <c r="BQ244" s="137"/>
      <c r="BR244" s="276"/>
      <c r="BS244" s="276"/>
      <c r="BT244" s="276"/>
      <c r="BU244" s="276"/>
      <c r="BV244" s="139"/>
      <c r="BW244" s="131"/>
      <c r="BX244" s="139"/>
      <c r="BY244" s="123"/>
      <c r="BZ244" s="141"/>
      <c r="CA244" s="131"/>
      <c r="CB244" s="143"/>
      <c r="CC244" s="123"/>
      <c r="CD244" s="131"/>
      <c r="CE244" s="276"/>
      <c r="CF244" s="276"/>
      <c r="CG244" s="50"/>
      <c r="DA244" s="111"/>
      <c r="DB244" s="111"/>
      <c r="DC244" s="111"/>
      <c r="DD244" s="116"/>
      <c r="DE244" s="120"/>
      <c r="DF244" s="121"/>
      <c r="DG244" s="121"/>
      <c r="DH244" s="121"/>
      <c r="DI244" s="121"/>
      <c r="DJ244" s="121"/>
      <c r="DK244" s="122"/>
      <c r="DL244" s="123"/>
      <c r="DM244" s="123"/>
      <c r="DN244" s="123"/>
      <c r="DO244" s="123"/>
      <c r="DP244" s="123"/>
      <c r="DQ244" s="111"/>
      <c r="DR244" s="120"/>
      <c r="DS244" s="120"/>
      <c r="DT244" s="120"/>
      <c r="DU244" s="120"/>
      <c r="DV244" s="120"/>
      <c r="DW244" s="120"/>
      <c r="DX244" s="120"/>
      <c r="DY244" s="120"/>
      <c r="DZ244" s="120"/>
      <c r="EA244" s="122"/>
      <c r="EB244" s="122"/>
      <c r="EC244" s="122"/>
      <c r="ED244" s="122"/>
      <c r="EE244" s="122"/>
      <c r="EF244" s="122"/>
      <c r="EG244" s="122"/>
      <c r="EH244" s="122"/>
      <c r="EI244" s="122"/>
      <c r="EJ244" s="122"/>
      <c r="EK244" s="131"/>
      <c r="EL244" s="248"/>
      <c r="EM244" s="276"/>
      <c r="EN244" s="276"/>
      <c r="EO244" s="135"/>
      <c r="EP244" s="136"/>
      <c r="EQ244" s="137"/>
      <c r="ER244" s="276"/>
      <c r="ES244" s="276"/>
      <c r="ET244" s="276"/>
      <c r="EU244" s="276"/>
      <c r="EV244" s="139"/>
      <c r="EW244" s="131"/>
      <c r="EX244" s="139"/>
      <c r="EY244" s="123"/>
      <c r="EZ244" s="141"/>
      <c r="FA244" s="131"/>
      <c r="FB244" s="143"/>
      <c r="FC244" s="123"/>
      <c r="FD244" s="131"/>
      <c r="FE244" s="276"/>
      <c r="FF244" s="276"/>
      <c r="FG244" s="50"/>
    </row>
    <row r="245" spans="27:163">
      <c r="AA245" s="269"/>
      <c r="AB245" s="269"/>
      <c r="AC245" s="269"/>
      <c r="AD245" s="270"/>
      <c r="AE245" s="271"/>
      <c r="AF245" s="272"/>
      <c r="AG245" s="272"/>
      <c r="AH245" s="272"/>
      <c r="AI245" s="272"/>
      <c r="AJ245" s="272"/>
      <c r="AK245" s="273"/>
      <c r="AL245" s="274"/>
      <c r="AM245" s="274"/>
      <c r="AN245" s="274"/>
      <c r="AO245" s="274"/>
      <c r="AP245" s="274"/>
      <c r="AQ245" s="269"/>
      <c r="AR245" s="271"/>
      <c r="AS245" s="271"/>
      <c r="AT245" s="271"/>
      <c r="AU245" s="271"/>
      <c r="AV245" s="271"/>
      <c r="AW245" s="271"/>
      <c r="AX245" s="271"/>
      <c r="AY245" s="271"/>
      <c r="AZ245" s="271"/>
      <c r="BA245" s="273"/>
      <c r="BB245" s="273"/>
      <c r="BC245" s="273"/>
      <c r="BD245" s="273"/>
      <c r="BE245" s="273"/>
      <c r="BF245" s="273"/>
      <c r="BG245" s="273"/>
      <c r="BH245" s="273"/>
      <c r="BI245" s="273"/>
      <c r="BJ245" s="273"/>
      <c r="BK245" s="275"/>
      <c r="BL245" s="248"/>
      <c r="BM245" s="277"/>
      <c r="BN245" s="277"/>
      <c r="BO245" s="278"/>
      <c r="BP245" s="279"/>
      <c r="BQ245" s="280"/>
      <c r="BR245" s="277"/>
      <c r="BS245" s="277"/>
      <c r="BT245" s="277"/>
      <c r="BU245" s="277"/>
      <c r="BV245" s="281"/>
      <c r="BW245" s="275"/>
      <c r="BX245" s="281"/>
      <c r="BY245" s="274"/>
      <c r="BZ245" s="282"/>
      <c r="CA245" s="275"/>
      <c r="CB245" s="283"/>
      <c r="CC245" s="274"/>
      <c r="CD245" s="275"/>
      <c r="CE245" s="277"/>
      <c r="CF245" s="277"/>
      <c r="CG245" s="50"/>
      <c r="DA245" s="269"/>
      <c r="DB245" s="269"/>
      <c r="DC245" s="269"/>
      <c r="DD245" s="270"/>
      <c r="DE245" s="271"/>
      <c r="DF245" s="272"/>
      <c r="DG245" s="272"/>
      <c r="DH245" s="272"/>
      <c r="DI245" s="272"/>
      <c r="DJ245" s="272"/>
      <c r="DK245" s="273"/>
      <c r="DL245" s="274"/>
      <c r="DM245" s="274"/>
      <c r="DN245" s="274"/>
      <c r="DO245" s="274"/>
      <c r="DP245" s="274"/>
      <c r="DQ245" s="269"/>
      <c r="DR245" s="271"/>
      <c r="DS245" s="271"/>
      <c r="DT245" s="271"/>
      <c r="DU245" s="271"/>
      <c r="DV245" s="271"/>
      <c r="DW245" s="271"/>
      <c r="DX245" s="271"/>
      <c r="DY245" s="271"/>
      <c r="DZ245" s="271"/>
      <c r="EA245" s="273"/>
      <c r="EB245" s="273"/>
      <c r="EC245" s="273"/>
      <c r="ED245" s="273"/>
      <c r="EE245" s="273"/>
      <c r="EF245" s="273"/>
      <c r="EG245" s="273"/>
      <c r="EH245" s="273"/>
      <c r="EI245" s="273"/>
      <c r="EJ245" s="273"/>
      <c r="EK245" s="275"/>
      <c r="EL245" s="248"/>
      <c r="EM245" s="277"/>
      <c r="EN245" s="277"/>
      <c r="EO245" s="278"/>
      <c r="EP245" s="279"/>
      <c r="EQ245" s="280"/>
      <c r="ER245" s="277"/>
      <c r="ES245" s="277"/>
      <c r="ET245" s="277"/>
      <c r="EU245" s="277"/>
      <c r="EV245" s="281"/>
      <c r="EW245" s="275"/>
      <c r="EX245" s="281"/>
      <c r="EY245" s="274"/>
      <c r="EZ245" s="282"/>
      <c r="FA245" s="275"/>
      <c r="FB245" s="283"/>
      <c r="FC245" s="274"/>
      <c r="FD245" s="275"/>
      <c r="FE245" s="277"/>
      <c r="FF245" s="277"/>
      <c r="FG245" s="50"/>
    </row>
    <row r="246" spans="27:163">
      <c r="AA246" s="70"/>
      <c r="AB246" s="70"/>
      <c r="AC246" s="70"/>
      <c r="AD246" s="71"/>
      <c r="AE246" s="72"/>
      <c r="AF246" s="73"/>
      <c r="AG246" s="73"/>
      <c r="AH246" s="73"/>
      <c r="AI246" s="73"/>
      <c r="AJ246" s="73"/>
      <c r="AK246" s="74"/>
      <c r="AL246" s="75"/>
      <c r="AM246" s="75"/>
      <c r="AN246" s="75"/>
      <c r="AO246" s="75"/>
      <c r="AP246" s="75"/>
      <c r="AQ246" s="70"/>
      <c r="AR246" s="72"/>
      <c r="AS246" s="72"/>
      <c r="AT246" s="72"/>
      <c r="AU246" s="72"/>
      <c r="AV246" s="72"/>
      <c r="AW246" s="72"/>
      <c r="AX246" s="72"/>
      <c r="AY246" s="72"/>
      <c r="AZ246" s="72"/>
      <c r="BA246" s="74"/>
      <c r="BB246" s="74"/>
      <c r="BC246" s="74"/>
      <c r="BD246" s="74"/>
      <c r="BE246" s="74"/>
      <c r="BF246" s="74"/>
      <c r="BG246" s="74"/>
      <c r="BH246" s="74"/>
      <c r="BI246" s="74"/>
      <c r="BJ246" s="74"/>
      <c r="BK246" s="79"/>
      <c r="BL246" s="19"/>
      <c r="BM246" s="252"/>
      <c r="BN246" s="252"/>
      <c r="BO246" s="76"/>
      <c r="BP246" s="77"/>
      <c r="BQ246" s="78"/>
      <c r="BR246" s="252"/>
      <c r="BS246" s="252"/>
      <c r="BT246" s="252"/>
      <c r="BU246" s="252"/>
      <c r="BV246" s="80"/>
      <c r="BW246" s="79"/>
      <c r="BX246" s="80"/>
      <c r="BY246" s="75"/>
      <c r="BZ246" s="81"/>
      <c r="CA246" s="79"/>
      <c r="CB246" s="82"/>
      <c r="CC246" s="75"/>
      <c r="CD246" s="79"/>
      <c r="CE246" s="253"/>
      <c r="CF246" s="253"/>
      <c r="DA246" s="70"/>
      <c r="DB246" s="70"/>
      <c r="DC246" s="70"/>
      <c r="DD246" s="71"/>
      <c r="DE246" s="72"/>
      <c r="DF246" s="73"/>
      <c r="DG246" s="73"/>
      <c r="DH246" s="73"/>
      <c r="DI246" s="73"/>
      <c r="DJ246" s="73"/>
      <c r="DK246" s="74"/>
      <c r="DL246" s="75"/>
      <c r="DM246" s="75"/>
      <c r="DN246" s="75"/>
      <c r="DO246" s="75"/>
      <c r="DP246" s="75"/>
      <c r="DQ246" s="70"/>
      <c r="DR246" s="72"/>
      <c r="DS246" s="72"/>
      <c r="DT246" s="72"/>
      <c r="DU246" s="72"/>
      <c r="DV246" s="72"/>
      <c r="DW246" s="72"/>
      <c r="DX246" s="72"/>
      <c r="DY246" s="72"/>
      <c r="DZ246" s="72"/>
      <c r="EA246" s="74"/>
      <c r="EB246" s="74"/>
      <c r="EC246" s="74"/>
      <c r="ED246" s="74"/>
      <c r="EE246" s="74"/>
      <c r="EF246" s="74"/>
      <c r="EG246" s="74"/>
      <c r="EH246" s="74"/>
      <c r="EI246" s="74"/>
      <c r="EJ246" s="74"/>
      <c r="EK246" s="79"/>
      <c r="EL246" s="19"/>
      <c r="EM246" s="252"/>
      <c r="EN246" s="252"/>
      <c r="EO246" s="76"/>
      <c r="EP246" s="77"/>
      <c r="EQ246" s="78"/>
      <c r="ER246" s="252"/>
      <c r="ES246" s="252"/>
      <c r="ET246" s="252"/>
      <c r="EU246" s="252"/>
      <c r="EV246" s="80"/>
      <c r="EW246" s="79"/>
      <c r="EX246" s="80"/>
      <c r="EY246" s="75"/>
      <c r="EZ246" s="81"/>
      <c r="FA246" s="79"/>
      <c r="FB246" s="82"/>
      <c r="FC246" s="75"/>
      <c r="FD246" s="79"/>
      <c r="FE246" s="253"/>
      <c r="FF246" s="253"/>
    </row>
    <row r="247" spans="27:163">
      <c r="AE247" s="36"/>
      <c r="AK247" s="31"/>
      <c r="AL247" s="11"/>
      <c r="AM247" s="11"/>
      <c r="AN247" s="11"/>
      <c r="AO247" s="11"/>
      <c r="AP247" s="11"/>
      <c r="AX247" s="36"/>
      <c r="AY247" s="36"/>
      <c r="AZ247" s="36"/>
      <c r="BA247" s="31"/>
      <c r="BB247" s="31"/>
      <c r="BC247" s="31"/>
      <c r="BD247" s="31"/>
      <c r="BE247" s="31"/>
      <c r="BF247" s="31"/>
      <c r="BG247" s="31"/>
      <c r="BH247" s="31"/>
      <c r="BI247" s="31"/>
      <c r="BJ247" s="31"/>
      <c r="BK247" s="37"/>
      <c r="BL247" s="19"/>
      <c r="BM247" s="42"/>
      <c r="BN247" s="42"/>
      <c r="BO247" s="33"/>
      <c r="BP247" s="38"/>
      <c r="BQ247" s="15"/>
      <c r="BR247" s="42"/>
      <c r="BS247" s="42"/>
      <c r="BT247" s="42"/>
      <c r="BU247" s="42"/>
      <c r="BV247" s="34"/>
      <c r="BW247" s="37"/>
      <c r="BX247" s="34"/>
      <c r="BY247" s="11"/>
      <c r="BZ247" s="35"/>
      <c r="CA247" s="37"/>
      <c r="CB247" s="32"/>
      <c r="CC247" s="11"/>
      <c r="CD247" s="37"/>
      <c r="CE247" s="43"/>
      <c r="CF247" s="43"/>
      <c r="DE247" s="36"/>
      <c r="DK247" s="31"/>
      <c r="DL247" s="11"/>
      <c r="DM247" s="11"/>
      <c r="DN247" s="11"/>
      <c r="DO247" s="11"/>
      <c r="DP247" s="11"/>
      <c r="DX247" s="36"/>
      <c r="DY247" s="36"/>
      <c r="DZ247" s="36"/>
      <c r="EA247" s="31"/>
      <c r="EB247" s="31"/>
      <c r="EC247" s="31"/>
      <c r="ED247" s="31"/>
      <c r="EE247" s="31"/>
      <c r="EF247" s="31"/>
      <c r="EG247" s="31"/>
      <c r="EH247" s="31"/>
      <c r="EI247" s="31"/>
      <c r="EJ247" s="31"/>
      <c r="EK247" s="37"/>
      <c r="EL247" s="19"/>
      <c r="EM247" s="42"/>
      <c r="EN247" s="42"/>
      <c r="EO247" s="33"/>
      <c r="EP247" s="38"/>
      <c r="EQ247" s="15"/>
      <c r="ER247" s="42"/>
      <c r="ES247" s="42"/>
      <c r="ET247" s="42"/>
      <c r="EU247" s="42"/>
      <c r="EV247" s="34"/>
      <c r="EW247" s="37"/>
      <c r="EX247" s="34"/>
      <c r="EY247" s="11"/>
      <c r="EZ247" s="35"/>
      <c r="FA247" s="37"/>
      <c r="FB247" s="32"/>
      <c r="FC247" s="11"/>
      <c r="FD247" s="37"/>
      <c r="FE247" s="43"/>
      <c r="FF247" s="43"/>
    </row>
    <row r="248" spans="27:163">
      <c r="AE248" s="36"/>
      <c r="AK248" s="31"/>
      <c r="AL248" s="11"/>
      <c r="AM248" s="11"/>
      <c r="AN248" s="11"/>
      <c r="AO248" s="11"/>
      <c r="AP248" s="11"/>
      <c r="AX248" s="36"/>
      <c r="AY248" s="36"/>
      <c r="AZ248" s="36"/>
      <c r="BA248" s="31"/>
      <c r="BB248" s="31"/>
      <c r="BC248" s="31"/>
      <c r="BD248" s="31"/>
      <c r="BE248" s="31"/>
      <c r="BF248" s="31"/>
      <c r="BG248" s="31"/>
      <c r="BH248" s="31"/>
      <c r="BI248" s="31"/>
      <c r="BJ248" s="31"/>
      <c r="BK248" s="37"/>
      <c r="BL248" s="19"/>
      <c r="BM248" s="42"/>
      <c r="BN248" s="42"/>
      <c r="BO248" s="33"/>
      <c r="BP248" s="38"/>
      <c r="BQ248" s="15"/>
      <c r="BR248" s="42"/>
      <c r="BS248" s="42"/>
      <c r="BT248" s="42"/>
      <c r="BU248" s="42"/>
      <c r="BV248" s="34"/>
      <c r="BW248" s="37"/>
      <c r="BX248" s="34"/>
      <c r="BY248" s="11"/>
      <c r="BZ248" s="35"/>
      <c r="CA248" s="37"/>
      <c r="CB248" s="32"/>
      <c r="CC248" s="11"/>
      <c r="CD248" s="37"/>
      <c r="CE248" s="43"/>
      <c r="CF248" s="43"/>
      <c r="DE248" s="36"/>
      <c r="DK248" s="31"/>
      <c r="DL248" s="11"/>
      <c r="DM248" s="11"/>
      <c r="DN248" s="11"/>
      <c r="DO248" s="11"/>
      <c r="DP248" s="11"/>
      <c r="DX248" s="36"/>
      <c r="DY248" s="36"/>
      <c r="DZ248" s="36"/>
      <c r="EA248" s="31"/>
      <c r="EB248" s="31"/>
      <c r="EC248" s="31"/>
      <c r="ED248" s="31"/>
      <c r="EE248" s="31"/>
      <c r="EF248" s="31"/>
      <c r="EG248" s="31"/>
      <c r="EH248" s="31"/>
      <c r="EI248" s="31"/>
      <c r="EJ248" s="31"/>
      <c r="EK248" s="37"/>
      <c r="EL248" s="19"/>
      <c r="EM248" s="42"/>
      <c r="EN248" s="42"/>
      <c r="EO248" s="33"/>
      <c r="EP248" s="38"/>
      <c r="EQ248" s="15"/>
      <c r="ER248" s="42"/>
      <c r="ES248" s="42"/>
      <c r="ET248" s="42"/>
      <c r="EU248" s="42"/>
      <c r="EV248" s="34"/>
      <c r="EW248" s="37"/>
      <c r="EX248" s="34"/>
      <c r="EY248" s="11"/>
      <c r="EZ248" s="35"/>
      <c r="FA248" s="37"/>
      <c r="FB248" s="32"/>
      <c r="FC248" s="11"/>
      <c r="FD248" s="37"/>
      <c r="FE248" s="43"/>
      <c r="FF248" s="43"/>
    </row>
    <row r="249" spans="27:163">
      <c r="AE249" s="36"/>
      <c r="AK249" s="31"/>
      <c r="AL249" s="11"/>
      <c r="AM249" s="11"/>
      <c r="AN249" s="11"/>
      <c r="AO249" s="11"/>
      <c r="AP249" s="11"/>
      <c r="AX249" s="36"/>
      <c r="AY249" s="36"/>
      <c r="AZ249" s="36"/>
      <c r="BA249" s="31"/>
      <c r="BB249" s="31"/>
      <c r="BC249" s="31"/>
      <c r="BD249" s="31"/>
      <c r="BE249" s="31"/>
      <c r="BF249" s="31"/>
      <c r="BG249" s="31"/>
      <c r="BH249" s="31"/>
      <c r="BI249" s="31"/>
      <c r="BJ249" s="31"/>
      <c r="BK249" s="37"/>
      <c r="BL249" s="19"/>
      <c r="BM249" s="42"/>
      <c r="BN249" s="42"/>
      <c r="BO249" s="33"/>
      <c r="BP249" s="38"/>
      <c r="BQ249" s="15"/>
      <c r="BR249" s="42"/>
      <c r="BS249" s="42"/>
      <c r="BT249" s="42"/>
      <c r="BU249" s="42"/>
      <c r="BV249" s="34"/>
      <c r="BW249" s="37"/>
      <c r="BX249" s="34"/>
      <c r="BY249" s="11"/>
      <c r="BZ249" s="35"/>
      <c r="CA249" s="37"/>
      <c r="CB249" s="32"/>
      <c r="CC249" s="11"/>
      <c r="CD249" s="37"/>
      <c r="CE249" s="43"/>
      <c r="CF249" s="43"/>
      <c r="DE249" s="36"/>
      <c r="DK249" s="31"/>
      <c r="DL249" s="11"/>
      <c r="DM249" s="11"/>
      <c r="DN249" s="11"/>
      <c r="DO249" s="11"/>
      <c r="DP249" s="11"/>
      <c r="DX249" s="36"/>
      <c r="DY249" s="36"/>
      <c r="DZ249" s="36"/>
      <c r="EA249" s="31"/>
      <c r="EB249" s="31"/>
      <c r="EC249" s="31"/>
      <c r="ED249" s="31"/>
      <c r="EE249" s="31"/>
      <c r="EF249" s="31"/>
      <c r="EG249" s="31"/>
      <c r="EH249" s="31"/>
      <c r="EI249" s="31"/>
      <c r="EJ249" s="31"/>
      <c r="EK249" s="37"/>
      <c r="EL249" s="19"/>
      <c r="EM249" s="42"/>
      <c r="EN249" s="42"/>
      <c r="EO249" s="33"/>
      <c r="EP249" s="38"/>
      <c r="EQ249" s="15"/>
      <c r="ER249" s="42"/>
      <c r="ES249" s="42"/>
      <c r="ET249" s="42"/>
      <c r="EU249" s="42"/>
      <c r="EV249" s="34"/>
      <c r="EW249" s="37"/>
      <c r="EX249" s="34"/>
      <c r="EY249" s="11"/>
      <c r="EZ249" s="35"/>
      <c r="FA249" s="37"/>
      <c r="FB249" s="32"/>
      <c r="FC249" s="11"/>
      <c r="FD249" s="37"/>
      <c r="FE249" s="43"/>
      <c r="FF249" s="43"/>
    </row>
    <row r="250" spans="27:163">
      <c r="AE250" s="36"/>
      <c r="AK250" s="31"/>
      <c r="AL250" s="11"/>
      <c r="AM250" s="11"/>
      <c r="AN250" s="11"/>
      <c r="AO250" s="11"/>
      <c r="AP250" s="11"/>
      <c r="AX250" s="36"/>
      <c r="AY250" s="36"/>
      <c r="AZ250" s="36"/>
      <c r="BA250" s="31"/>
      <c r="BB250" s="31"/>
      <c r="BC250" s="31"/>
      <c r="BD250" s="31"/>
      <c r="BE250" s="31"/>
      <c r="BF250" s="31"/>
      <c r="BG250" s="31"/>
      <c r="BH250" s="31"/>
      <c r="BI250" s="31"/>
      <c r="BJ250" s="31"/>
      <c r="BK250" s="37"/>
      <c r="BL250" s="19"/>
      <c r="BM250" s="42"/>
      <c r="BN250" s="42"/>
      <c r="BO250" s="33"/>
      <c r="BP250" s="38"/>
      <c r="BQ250" s="15"/>
      <c r="BR250" s="42"/>
      <c r="BS250" s="42"/>
      <c r="BT250" s="42"/>
      <c r="BU250" s="42"/>
      <c r="BV250" s="34"/>
      <c r="BW250" s="37"/>
      <c r="BX250" s="34"/>
      <c r="BY250" s="11"/>
      <c r="BZ250" s="35"/>
      <c r="CA250" s="37"/>
      <c r="CB250" s="32"/>
      <c r="CC250" s="11"/>
      <c r="CD250" s="37"/>
      <c r="CE250" s="43"/>
      <c r="CF250" s="43"/>
      <c r="DE250" s="36"/>
      <c r="DK250" s="31"/>
      <c r="DL250" s="11"/>
      <c r="DM250" s="11"/>
      <c r="DN250" s="11"/>
      <c r="DO250" s="11"/>
      <c r="DP250" s="11"/>
      <c r="DX250" s="36"/>
      <c r="DY250" s="36"/>
      <c r="DZ250" s="36"/>
      <c r="EA250" s="31"/>
      <c r="EB250" s="31"/>
      <c r="EC250" s="31"/>
      <c r="ED250" s="31"/>
      <c r="EE250" s="31"/>
      <c r="EF250" s="31"/>
      <c r="EG250" s="31"/>
      <c r="EH250" s="31"/>
      <c r="EI250" s="31"/>
      <c r="EJ250" s="31"/>
      <c r="EK250" s="37"/>
      <c r="EL250" s="19"/>
      <c r="EM250" s="42"/>
      <c r="EN250" s="42"/>
      <c r="EO250" s="33"/>
      <c r="EP250" s="38"/>
      <c r="EQ250" s="15"/>
      <c r="ER250" s="42"/>
      <c r="ES250" s="42"/>
      <c r="ET250" s="42"/>
      <c r="EU250" s="42"/>
      <c r="EV250" s="34"/>
      <c r="EW250" s="37"/>
      <c r="EX250" s="34"/>
      <c r="EY250" s="11"/>
      <c r="EZ250" s="35"/>
      <c r="FA250" s="37"/>
      <c r="FB250" s="32"/>
      <c r="FC250" s="11"/>
      <c r="FD250" s="37"/>
      <c r="FE250" s="43"/>
      <c r="FF250" s="43"/>
    </row>
    <row r="251" spans="27:163">
      <c r="AE251" s="36"/>
      <c r="AK251" s="31"/>
      <c r="AL251" s="11"/>
      <c r="AM251" s="11"/>
      <c r="AN251" s="11"/>
      <c r="AO251" s="11"/>
      <c r="AP251" s="11"/>
      <c r="AX251" s="36"/>
      <c r="AY251" s="36"/>
      <c r="AZ251" s="36"/>
      <c r="BA251" s="31"/>
      <c r="BB251" s="31"/>
      <c r="BC251" s="31"/>
      <c r="BD251" s="31"/>
      <c r="BE251" s="31"/>
      <c r="BF251" s="31"/>
      <c r="BG251" s="31"/>
      <c r="BH251" s="31"/>
      <c r="BI251" s="31"/>
      <c r="BJ251" s="31"/>
      <c r="BK251" s="37"/>
      <c r="BL251" s="19"/>
      <c r="BM251" s="42"/>
      <c r="BN251" s="42"/>
      <c r="BO251" s="33"/>
      <c r="BP251" s="38"/>
      <c r="BQ251" s="15"/>
      <c r="BR251" s="42"/>
      <c r="BS251" s="42"/>
      <c r="BT251" s="42"/>
      <c r="BU251" s="42"/>
      <c r="BV251" s="34"/>
      <c r="BW251" s="37"/>
      <c r="BX251" s="34"/>
      <c r="BY251" s="11"/>
      <c r="BZ251" s="35"/>
      <c r="CA251" s="37"/>
      <c r="CB251" s="32"/>
      <c r="CC251" s="11"/>
      <c r="CD251" s="37"/>
      <c r="CE251" s="43"/>
      <c r="CF251" s="43"/>
      <c r="DE251" s="36"/>
      <c r="DK251" s="31"/>
      <c r="DL251" s="11"/>
      <c r="DM251" s="11"/>
      <c r="DN251" s="11"/>
      <c r="DO251" s="11"/>
      <c r="DP251" s="11"/>
      <c r="DX251" s="36"/>
      <c r="DY251" s="36"/>
      <c r="DZ251" s="36"/>
      <c r="EA251" s="31"/>
      <c r="EB251" s="31"/>
      <c r="EC251" s="31"/>
      <c r="ED251" s="31"/>
      <c r="EE251" s="31"/>
      <c r="EF251" s="31"/>
      <c r="EG251" s="31"/>
      <c r="EH251" s="31"/>
      <c r="EI251" s="31"/>
      <c r="EJ251" s="31"/>
      <c r="EK251" s="37"/>
      <c r="EL251" s="19"/>
      <c r="EM251" s="42"/>
      <c r="EN251" s="42"/>
      <c r="EO251" s="33"/>
      <c r="EP251" s="38"/>
      <c r="EQ251" s="15"/>
      <c r="ER251" s="42"/>
      <c r="ES251" s="42"/>
      <c r="ET251" s="42"/>
      <c r="EU251" s="42"/>
      <c r="EV251" s="34"/>
      <c r="EW251" s="37"/>
      <c r="EX251" s="34"/>
      <c r="EY251" s="11"/>
      <c r="EZ251" s="35"/>
      <c r="FA251" s="37"/>
      <c r="FB251" s="32"/>
      <c r="FC251" s="11"/>
      <c r="FD251" s="37"/>
      <c r="FE251" s="43"/>
      <c r="FF251" s="43"/>
    </row>
    <row r="252" spans="27:163">
      <c r="AE252" s="36"/>
      <c r="AK252" s="31"/>
      <c r="AL252" s="11"/>
      <c r="AM252" s="11"/>
      <c r="AN252" s="11"/>
      <c r="AO252" s="11"/>
      <c r="AP252" s="11"/>
      <c r="AX252" s="36"/>
      <c r="AY252" s="36"/>
      <c r="AZ252" s="36"/>
      <c r="BA252" s="31"/>
      <c r="BB252" s="31"/>
      <c r="BC252" s="31"/>
      <c r="BD252" s="31"/>
      <c r="BE252" s="31"/>
      <c r="BF252" s="31"/>
      <c r="BG252" s="31"/>
      <c r="BH252" s="31"/>
      <c r="BI252" s="31"/>
      <c r="BJ252" s="31"/>
      <c r="BK252" s="37"/>
      <c r="BL252" s="19"/>
      <c r="BM252" s="42"/>
      <c r="BN252" s="42"/>
      <c r="BO252" s="33"/>
      <c r="BP252" s="38"/>
      <c r="BQ252" s="15"/>
      <c r="BR252" s="42"/>
      <c r="BS252" s="42"/>
      <c r="BT252" s="42"/>
      <c r="BU252" s="42"/>
      <c r="BV252" s="34"/>
      <c r="BW252" s="37"/>
      <c r="BX252" s="34"/>
      <c r="BY252" s="11"/>
      <c r="BZ252" s="35"/>
      <c r="CA252" s="37"/>
      <c r="CB252" s="32"/>
      <c r="CC252" s="11"/>
      <c r="CD252" s="37"/>
      <c r="CE252" s="43"/>
      <c r="CF252" s="43"/>
      <c r="DE252" s="36"/>
      <c r="DK252" s="31"/>
      <c r="DL252" s="11"/>
      <c r="DM252" s="11"/>
      <c r="DN252" s="11"/>
      <c r="DO252" s="11"/>
      <c r="DP252" s="11"/>
      <c r="DX252" s="36"/>
      <c r="DY252" s="36"/>
      <c r="DZ252" s="36"/>
      <c r="EA252" s="31"/>
      <c r="EB252" s="31"/>
      <c r="EC252" s="31"/>
      <c r="ED252" s="31"/>
      <c r="EE252" s="31"/>
      <c r="EF252" s="31"/>
      <c r="EG252" s="31"/>
      <c r="EH252" s="31"/>
      <c r="EI252" s="31"/>
      <c r="EJ252" s="31"/>
      <c r="EK252" s="37"/>
      <c r="EL252" s="19"/>
      <c r="EM252" s="42"/>
      <c r="EN252" s="42"/>
      <c r="EO252" s="33"/>
      <c r="EP252" s="38"/>
      <c r="EQ252" s="15"/>
      <c r="ER252" s="42"/>
      <c r="ES252" s="42"/>
      <c r="ET252" s="42"/>
      <c r="EU252" s="42"/>
      <c r="EV252" s="34"/>
      <c r="EW252" s="37"/>
      <c r="EX252" s="34"/>
      <c r="EY252" s="11"/>
      <c r="EZ252" s="35"/>
      <c r="FA252" s="37"/>
      <c r="FB252" s="32"/>
      <c r="FC252" s="11"/>
      <c r="FD252" s="37"/>
      <c r="FE252" s="43"/>
      <c r="FF252" s="43"/>
    </row>
    <row r="253" spans="27:163">
      <c r="AE253" s="36"/>
      <c r="AK253" s="31"/>
      <c r="AL253" s="11"/>
      <c r="AM253" s="11"/>
      <c r="AN253" s="11"/>
      <c r="AO253" s="11"/>
      <c r="AP253" s="11"/>
      <c r="AX253" s="36"/>
      <c r="AY253" s="36"/>
      <c r="AZ253" s="36"/>
      <c r="BA253" s="31"/>
      <c r="BB253" s="31"/>
      <c r="BC253" s="31"/>
      <c r="BD253" s="31"/>
      <c r="BE253" s="31"/>
      <c r="BF253" s="31"/>
      <c r="BG253" s="31"/>
      <c r="BH253" s="31"/>
      <c r="BI253" s="31"/>
      <c r="BJ253" s="31"/>
      <c r="BK253" s="37"/>
      <c r="BL253" s="19"/>
      <c r="BM253" s="42"/>
      <c r="BN253" s="42"/>
      <c r="BO253" s="33"/>
      <c r="BP253" s="38"/>
      <c r="BQ253" s="15"/>
      <c r="BR253" s="42"/>
      <c r="BS253" s="42"/>
      <c r="BT253" s="42"/>
      <c r="BU253" s="42"/>
      <c r="BV253" s="34"/>
      <c r="BW253" s="37"/>
      <c r="BX253" s="34"/>
      <c r="BY253" s="11"/>
      <c r="BZ253" s="35"/>
      <c r="CA253" s="37"/>
      <c r="CB253" s="32"/>
      <c r="CC253" s="11"/>
      <c r="CD253" s="37"/>
      <c r="CE253" s="43"/>
      <c r="CF253" s="43"/>
      <c r="DE253" s="36"/>
      <c r="DK253" s="31"/>
      <c r="DL253" s="11"/>
      <c r="DM253" s="11"/>
      <c r="DN253" s="11"/>
      <c r="DO253" s="11"/>
      <c r="DP253" s="11"/>
      <c r="DX253" s="36"/>
      <c r="DY253" s="36"/>
      <c r="DZ253" s="36"/>
      <c r="EA253" s="31"/>
      <c r="EB253" s="31"/>
      <c r="EC253" s="31"/>
      <c r="ED253" s="31"/>
      <c r="EE253" s="31"/>
      <c r="EF253" s="31"/>
      <c r="EG253" s="31"/>
      <c r="EH253" s="31"/>
      <c r="EI253" s="31"/>
      <c r="EJ253" s="31"/>
      <c r="EK253" s="37"/>
      <c r="EL253" s="19"/>
      <c r="EM253" s="42"/>
      <c r="EN253" s="42"/>
      <c r="EO253" s="33"/>
      <c r="EP253" s="38"/>
      <c r="EQ253" s="15"/>
      <c r="ER253" s="42"/>
      <c r="ES253" s="42"/>
      <c r="ET253" s="42"/>
      <c r="EU253" s="42"/>
      <c r="EV253" s="34"/>
      <c r="EW253" s="37"/>
      <c r="EX253" s="34"/>
      <c r="EY253" s="11"/>
      <c r="EZ253" s="35"/>
      <c r="FA253" s="37"/>
      <c r="FB253" s="32"/>
      <c r="FC253" s="11"/>
      <c r="FD253" s="37"/>
      <c r="FE253" s="43"/>
      <c r="FF253" s="43"/>
    </row>
    <row r="254" spans="27:163">
      <c r="AE254" s="36"/>
      <c r="AK254" s="31"/>
      <c r="AL254" s="11"/>
      <c r="AM254" s="11"/>
      <c r="AN254" s="11"/>
      <c r="AO254" s="11"/>
      <c r="AP254" s="11"/>
      <c r="AX254" s="36"/>
      <c r="AY254" s="36"/>
      <c r="AZ254" s="36"/>
      <c r="BA254" s="31"/>
      <c r="BB254" s="31"/>
      <c r="BC254" s="31"/>
      <c r="BD254" s="31"/>
      <c r="BE254" s="31"/>
      <c r="BF254" s="31"/>
      <c r="BG254" s="31"/>
      <c r="BH254" s="31"/>
      <c r="BI254" s="31"/>
      <c r="BJ254" s="31"/>
      <c r="BK254" s="37"/>
      <c r="BL254" s="19"/>
      <c r="BM254" s="42"/>
      <c r="BN254" s="42"/>
      <c r="BO254" s="33"/>
      <c r="BP254" s="38"/>
      <c r="BQ254" s="15"/>
      <c r="BR254" s="42"/>
      <c r="BS254" s="42"/>
      <c r="BT254" s="42"/>
      <c r="BU254" s="42"/>
      <c r="BV254" s="34"/>
      <c r="BW254" s="37"/>
      <c r="BX254" s="34"/>
      <c r="BY254" s="11"/>
      <c r="BZ254" s="35"/>
      <c r="CA254" s="37"/>
      <c r="CB254" s="32"/>
      <c r="CC254" s="11"/>
      <c r="CD254" s="37"/>
      <c r="CE254" s="43"/>
      <c r="CF254" s="43"/>
      <c r="DE254" s="36"/>
      <c r="DK254" s="31"/>
      <c r="DL254" s="11"/>
      <c r="DM254" s="11"/>
      <c r="DN254" s="11"/>
      <c r="DO254" s="11"/>
      <c r="DP254" s="11"/>
      <c r="DX254" s="36"/>
      <c r="DY254" s="36"/>
      <c r="DZ254" s="36"/>
      <c r="EA254" s="31"/>
      <c r="EB254" s="31"/>
      <c r="EC254" s="31"/>
      <c r="ED254" s="31"/>
      <c r="EE254" s="31"/>
      <c r="EF254" s="31"/>
      <c r="EG254" s="31"/>
      <c r="EH254" s="31"/>
      <c r="EI254" s="31"/>
      <c r="EJ254" s="31"/>
      <c r="EK254" s="37"/>
      <c r="EL254" s="19"/>
      <c r="EM254" s="42"/>
      <c r="EN254" s="42"/>
      <c r="EO254" s="33"/>
      <c r="EP254" s="38"/>
      <c r="EQ254" s="15"/>
      <c r="ER254" s="42"/>
      <c r="ES254" s="42"/>
      <c r="ET254" s="42"/>
      <c r="EU254" s="42"/>
      <c r="EV254" s="34"/>
      <c r="EW254" s="37"/>
      <c r="EX254" s="34"/>
      <c r="EY254" s="11"/>
      <c r="EZ254" s="35"/>
      <c r="FA254" s="37"/>
      <c r="FB254" s="32"/>
      <c r="FC254" s="11"/>
      <c r="FD254" s="37"/>
      <c r="FE254" s="43"/>
      <c r="FF254" s="43"/>
    </row>
    <row r="255" spans="27:163">
      <c r="AE255" s="36"/>
      <c r="AK255" s="31"/>
      <c r="AL255" s="11"/>
      <c r="AM255" s="11"/>
      <c r="AN255" s="11"/>
      <c r="AO255" s="11"/>
      <c r="AP255" s="11"/>
      <c r="AX255" s="36"/>
      <c r="AY255" s="36"/>
      <c r="AZ255" s="36"/>
      <c r="BA255" s="31"/>
      <c r="BB255" s="31"/>
      <c r="BC255" s="31"/>
      <c r="BD255" s="31"/>
      <c r="BE255" s="31"/>
      <c r="BF255" s="31"/>
      <c r="BG255" s="31"/>
      <c r="BH255" s="31"/>
      <c r="BI255" s="31"/>
      <c r="BJ255" s="31"/>
      <c r="BK255" s="37"/>
      <c r="BL255" s="19"/>
      <c r="BM255" s="42"/>
      <c r="BN255" s="42"/>
      <c r="BO255" s="33"/>
      <c r="BP255" s="38"/>
      <c r="BQ255" s="15"/>
      <c r="BR255" s="42"/>
      <c r="BS255" s="42"/>
      <c r="BT255" s="42"/>
      <c r="BU255" s="42"/>
      <c r="BV255" s="34"/>
      <c r="BW255" s="37"/>
      <c r="BX255" s="34"/>
      <c r="BY255" s="11"/>
      <c r="BZ255" s="35"/>
      <c r="CA255" s="37"/>
      <c r="CB255" s="32"/>
      <c r="CC255" s="11"/>
      <c r="CD255" s="37"/>
      <c r="CE255" s="43"/>
      <c r="CF255" s="43"/>
      <c r="DE255" s="36"/>
      <c r="DK255" s="31"/>
      <c r="DL255" s="11"/>
      <c r="DM255" s="11"/>
      <c r="DN255" s="11"/>
      <c r="DO255" s="11"/>
      <c r="DP255" s="11"/>
      <c r="DX255" s="36"/>
      <c r="DY255" s="36"/>
      <c r="DZ255" s="36"/>
      <c r="EA255" s="31"/>
      <c r="EB255" s="31"/>
      <c r="EC255" s="31"/>
      <c r="ED255" s="31"/>
      <c r="EE255" s="31"/>
      <c r="EF255" s="31"/>
      <c r="EG255" s="31"/>
      <c r="EH255" s="31"/>
      <c r="EI255" s="31"/>
      <c r="EJ255" s="31"/>
      <c r="EK255" s="37"/>
      <c r="EL255" s="19"/>
      <c r="EM255" s="42"/>
      <c r="EN255" s="42"/>
      <c r="EO255" s="33"/>
      <c r="EP255" s="38"/>
      <c r="EQ255" s="15"/>
      <c r="ER255" s="42"/>
      <c r="ES255" s="42"/>
      <c r="ET255" s="42"/>
      <c r="EU255" s="42"/>
      <c r="EV255" s="34"/>
      <c r="EW255" s="37"/>
      <c r="EX255" s="34"/>
      <c r="EY255" s="11"/>
      <c r="EZ255" s="35"/>
      <c r="FA255" s="37"/>
      <c r="FB255" s="32"/>
      <c r="FC255" s="11"/>
      <c r="FD255" s="37"/>
      <c r="FE255" s="43"/>
      <c r="FF255" s="43"/>
    </row>
    <row r="256" spans="27:163">
      <c r="AE256" s="36"/>
      <c r="AK256" s="31"/>
      <c r="AL256" s="11"/>
      <c r="AM256" s="11"/>
      <c r="AN256" s="11"/>
      <c r="AO256" s="11"/>
      <c r="AP256" s="11"/>
      <c r="AX256" s="36"/>
      <c r="AY256" s="36"/>
      <c r="AZ256" s="36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7"/>
      <c r="BL256" s="19"/>
      <c r="BM256" s="42"/>
      <c r="BN256" s="42"/>
      <c r="BO256" s="33"/>
      <c r="BP256" s="38"/>
      <c r="BQ256" s="15"/>
      <c r="BR256" s="42"/>
      <c r="BS256" s="42"/>
      <c r="BT256" s="42"/>
      <c r="BU256" s="42"/>
      <c r="BV256" s="34"/>
      <c r="BW256" s="37"/>
      <c r="BX256" s="34"/>
      <c r="BY256" s="11"/>
      <c r="BZ256" s="35"/>
      <c r="CA256" s="37"/>
      <c r="CB256" s="32"/>
      <c r="CC256" s="11"/>
      <c r="CD256" s="37"/>
      <c r="CE256" s="43"/>
      <c r="CF256" s="43"/>
      <c r="DE256" s="36"/>
      <c r="DK256" s="31"/>
      <c r="DL256" s="11"/>
      <c r="DM256" s="11"/>
      <c r="DN256" s="11"/>
      <c r="DO256" s="11"/>
      <c r="DP256" s="11"/>
      <c r="DX256" s="36"/>
      <c r="DY256" s="36"/>
      <c r="DZ256" s="36"/>
      <c r="EA256" s="31"/>
      <c r="EB256" s="31"/>
      <c r="EC256" s="31"/>
      <c r="ED256" s="31"/>
      <c r="EE256" s="31"/>
      <c r="EF256" s="31"/>
      <c r="EG256" s="31"/>
      <c r="EH256" s="31"/>
      <c r="EI256" s="31"/>
      <c r="EJ256" s="31"/>
      <c r="EK256" s="37"/>
      <c r="EL256" s="19"/>
      <c r="EM256" s="42"/>
      <c r="EN256" s="42"/>
      <c r="EO256" s="33"/>
      <c r="EP256" s="38"/>
      <c r="EQ256" s="15"/>
      <c r="ER256" s="42"/>
      <c r="ES256" s="42"/>
      <c r="ET256" s="42"/>
      <c r="EU256" s="42"/>
      <c r="EV256" s="34"/>
      <c r="EW256" s="37"/>
      <c r="EX256" s="34"/>
      <c r="EY256" s="11"/>
      <c r="EZ256" s="35"/>
      <c r="FA256" s="37"/>
      <c r="FB256" s="32"/>
      <c r="FC256" s="11"/>
      <c r="FD256" s="37"/>
      <c r="FE256" s="43"/>
      <c r="FF256" s="43"/>
    </row>
    <row r="257" spans="31:162">
      <c r="AE257" s="36"/>
      <c r="AK257" s="31"/>
      <c r="AL257" s="11"/>
      <c r="AM257" s="11"/>
      <c r="AN257" s="11"/>
      <c r="AO257" s="11"/>
      <c r="AP257" s="11"/>
      <c r="AX257" s="36"/>
      <c r="AY257" s="36"/>
      <c r="AZ257" s="36"/>
      <c r="BA257" s="31"/>
      <c r="BB257" s="31"/>
      <c r="BC257" s="31"/>
      <c r="BD257" s="31"/>
      <c r="BE257" s="31"/>
      <c r="BF257" s="31"/>
      <c r="BG257" s="31"/>
      <c r="BH257" s="31"/>
      <c r="BI257" s="31"/>
      <c r="BJ257" s="31"/>
      <c r="BK257" s="37"/>
      <c r="BL257" s="19"/>
      <c r="BM257" s="42"/>
      <c r="BN257" s="42"/>
      <c r="BO257" s="33"/>
      <c r="BP257" s="38"/>
      <c r="BQ257" s="15"/>
      <c r="BR257" s="42"/>
      <c r="BS257" s="42"/>
      <c r="BT257" s="42"/>
      <c r="BU257" s="42"/>
      <c r="BV257" s="34"/>
      <c r="BW257" s="37"/>
      <c r="BX257" s="34"/>
      <c r="BY257" s="11"/>
      <c r="BZ257" s="35"/>
      <c r="CA257" s="37"/>
      <c r="CB257" s="32"/>
      <c r="CC257" s="11"/>
      <c r="CD257" s="37"/>
      <c r="CE257" s="43"/>
      <c r="CF257" s="43"/>
      <c r="DE257" s="36"/>
      <c r="DK257" s="31"/>
      <c r="DL257" s="11"/>
      <c r="DM257" s="11"/>
      <c r="DN257" s="11"/>
      <c r="DO257" s="11"/>
      <c r="DP257" s="11"/>
      <c r="DX257" s="36"/>
      <c r="DY257" s="36"/>
      <c r="DZ257" s="36"/>
      <c r="EA257" s="31"/>
      <c r="EB257" s="31"/>
      <c r="EC257" s="31"/>
      <c r="ED257" s="31"/>
      <c r="EE257" s="31"/>
      <c r="EF257" s="31"/>
      <c r="EG257" s="31"/>
      <c r="EH257" s="31"/>
      <c r="EI257" s="31"/>
      <c r="EJ257" s="31"/>
      <c r="EK257" s="37"/>
      <c r="EL257" s="19"/>
      <c r="EM257" s="42"/>
      <c r="EN257" s="42"/>
      <c r="EO257" s="33"/>
      <c r="EP257" s="38"/>
      <c r="EQ257" s="15"/>
      <c r="ER257" s="42"/>
      <c r="ES257" s="42"/>
      <c r="ET257" s="42"/>
      <c r="EU257" s="42"/>
      <c r="EV257" s="34"/>
      <c r="EW257" s="37"/>
      <c r="EX257" s="34"/>
      <c r="EY257" s="11"/>
      <c r="EZ257" s="35"/>
      <c r="FA257" s="37"/>
      <c r="FB257" s="32"/>
      <c r="FC257" s="11"/>
      <c r="FD257" s="37"/>
      <c r="FE257" s="43"/>
      <c r="FF257" s="43"/>
    </row>
    <row r="258" spans="31:162">
      <c r="AE258" s="36"/>
      <c r="AK258" s="31"/>
      <c r="AL258" s="11"/>
      <c r="AM258" s="11"/>
      <c r="AN258" s="11"/>
      <c r="AO258" s="11"/>
      <c r="AP258" s="11"/>
      <c r="AX258" s="36"/>
      <c r="AY258" s="36"/>
      <c r="AZ258" s="36"/>
      <c r="BA258" s="31"/>
      <c r="BB258" s="31"/>
      <c r="BC258" s="31"/>
      <c r="BD258" s="31"/>
      <c r="BE258" s="31"/>
      <c r="BF258" s="31"/>
      <c r="BG258" s="31"/>
      <c r="BH258" s="31"/>
      <c r="BI258" s="31"/>
      <c r="BJ258" s="31"/>
      <c r="BK258" s="37"/>
      <c r="BL258" s="19"/>
      <c r="BM258" s="42"/>
      <c r="BN258" s="42"/>
      <c r="BO258" s="33"/>
      <c r="BP258" s="38"/>
      <c r="BQ258" s="15"/>
      <c r="BR258" s="42"/>
      <c r="BS258" s="42"/>
      <c r="BT258" s="42"/>
      <c r="BU258" s="42"/>
      <c r="BV258" s="34"/>
      <c r="BW258" s="37"/>
      <c r="BX258" s="34"/>
      <c r="BY258" s="11"/>
      <c r="BZ258" s="35"/>
      <c r="CA258" s="37"/>
      <c r="CB258" s="32"/>
      <c r="CC258" s="11"/>
      <c r="CD258" s="37"/>
      <c r="CE258" s="43"/>
      <c r="CF258" s="43"/>
      <c r="DE258" s="36"/>
      <c r="DK258" s="31"/>
      <c r="DL258" s="11"/>
      <c r="DM258" s="11"/>
      <c r="DN258" s="11"/>
      <c r="DO258" s="11"/>
      <c r="DP258" s="11"/>
      <c r="DX258" s="36"/>
      <c r="DY258" s="36"/>
      <c r="DZ258" s="36"/>
      <c r="EA258" s="31"/>
      <c r="EB258" s="31"/>
      <c r="EC258" s="31"/>
      <c r="ED258" s="31"/>
      <c r="EE258" s="31"/>
      <c r="EF258" s="31"/>
      <c r="EG258" s="31"/>
      <c r="EH258" s="31"/>
      <c r="EI258" s="31"/>
      <c r="EJ258" s="31"/>
      <c r="EK258" s="37"/>
      <c r="EL258" s="19"/>
      <c r="EM258" s="42"/>
      <c r="EN258" s="42"/>
      <c r="EO258" s="33"/>
      <c r="EP258" s="38"/>
      <c r="EQ258" s="15"/>
      <c r="ER258" s="42"/>
      <c r="ES258" s="42"/>
      <c r="ET258" s="42"/>
      <c r="EU258" s="42"/>
      <c r="EV258" s="34"/>
      <c r="EW258" s="37"/>
      <c r="EX258" s="34"/>
      <c r="EY258" s="11"/>
      <c r="EZ258" s="35"/>
      <c r="FA258" s="37"/>
      <c r="FB258" s="32"/>
      <c r="FC258" s="11"/>
      <c r="FD258" s="37"/>
      <c r="FE258" s="43"/>
      <c r="FF258" s="43"/>
    </row>
    <row r="259" spans="31:162">
      <c r="AE259" s="36"/>
      <c r="AK259" s="31"/>
      <c r="AL259" s="11"/>
      <c r="AM259" s="11"/>
      <c r="AN259" s="11"/>
      <c r="AO259" s="11"/>
      <c r="AP259" s="11"/>
      <c r="AX259" s="36"/>
      <c r="AY259" s="36"/>
      <c r="AZ259" s="36"/>
      <c r="BA259" s="31"/>
      <c r="BB259" s="31"/>
      <c r="BC259" s="31"/>
      <c r="BD259" s="31"/>
      <c r="BE259" s="31"/>
      <c r="BF259" s="31"/>
      <c r="BG259" s="31"/>
      <c r="BH259" s="31"/>
      <c r="BI259" s="31"/>
      <c r="BJ259" s="31"/>
      <c r="BK259" s="37"/>
      <c r="BL259" s="19"/>
      <c r="BM259" s="42"/>
      <c r="BN259" s="42"/>
      <c r="BO259" s="33"/>
      <c r="BP259" s="38"/>
      <c r="BQ259" s="15"/>
      <c r="BR259" s="42"/>
      <c r="BS259" s="42"/>
      <c r="BT259" s="42"/>
      <c r="BU259" s="42"/>
      <c r="BV259" s="34"/>
      <c r="BW259" s="37"/>
      <c r="BX259" s="34"/>
      <c r="BY259" s="11"/>
      <c r="BZ259" s="35"/>
      <c r="CA259" s="37"/>
      <c r="CB259" s="32"/>
      <c r="CC259" s="11"/>
      <c r="CD259" s="37"/>
      <c r="CE259" s="43"/>
      <c r="CF259" s="43"/>
      <c r="DE259" s="36"/>
      <c r="DK259" s="31"/>
      <c r="DL259" s="11"/>
      <c r="DM259" s="11"/>
      <c r="DN259" s="11"/>
      <c r="DO259" s="11"/>
      <c r="DP259" s="11"/>
      <c r="DX259" s="36"/>
      <c r="DY259" s="36"/>
      <c r="DZ259" s="36"/>
      <c r="EA259" s="31"/>
      <c r="EB259" s="31"/>
      <c r="EC259" s="31"/>
      <c r="ED259" s="31"/>
      <c r="EE259" s="31"/>
      <c r="EF259" s="31"/>
      <c r="EG259" s="31"/>
      <c r="EH259" s="31"/>
      <c r="EI259" s="31"/>
      <c r="EJ259" s="31"/>
      <c r="EK259" s="37"/>
      <c r="EL259" s="19"/>
      <c r="EM259" s="42"/>
      <c r="EN259" s="42"/>
      <c r="EO259" s="33"/>
      <c r="EP259" s="38"/>
      <c r="EQ259" s="15"/>
      <c r="ER259" s="42"/>
      <c r="ES259" s="42"/>
      <c r="ET259" s="42"/>
      <c r="EU259" s="42"/>
      <c r="EV259" s="34"/>
      <c r="EW259" s="37"/>
      <c r="EX259" s="34"/>
      <c r="EY259" s="11"/>
      <c r="EZ259" s="35"/>
      <c r="FA259" s="37"/>
      <c r="FB259" s="32"/>
      <c r="FC259" s="11"/>
      <c r="FD259" s="37"/>
      <c r="FE259" s="43"/>
      <c r="FF259" s="43"/>
    </row>
    <row r="260" spans="31:162">
      <c r="AE260" s="36"/>
      <c r="AK260" s="31"/>
      <c r="AL260" s="11"/>
      <c r="AM260" s="11"/>
      <c r="AN260" s="11"/>
      <c r="AO260" s="11"/>
      <c r="AP260" s="11"/>
      <c r="AX260" s="36"/>
      <c r="AY260" s="36"/>
      <c r="AZ260" s="36"/>
      <c r="BA260" s="31"/>
      <c r="BB260" s="31"/>
      <c r="BC260" s="31"/>
      <c r="BD260" s="31"/>
      <c r="BE260" s="31"/>
      <c r="BF260" s="31"/>
      <c r="BG260" s="31"/>
      <c r="BH260" s="31"/>
      <c r="BI260" s="31"/>
      <c r="BJ260" s="31"/>
      <c r="BK260" s="37"/>
      <c r="BL260" s="19"/>
      <c r="BM260" s="42"/>
      <c r="BN260" s="42"/>
      <c r="BO260" s="33"/>
      <c r="BP260" s="38"/>
      <c r="BQ260" s="15"/>
      <c r="BR260" s="42"/>
      <c r="BS260" s="42"/>
      <c r="BT260" s="42"/>
      <c r="BU260" s="42"/>
      <c r="BV260" s="34"/>
      <c r="BW260" s="37"/>
      <c r="BX260" s="34"/>
      <c r="BY260" s="11"/>
      <c r="BZ260" s="35"/>
      <c r="CA260" s="37"/>
      <c r="CB260" s="32"/>
      <c r="CC260" s="11"/>
      <c r="CD260" s="37"/>
      <c r="CE260" s="43"/>
      <c r="CF260" s="43"/>
      <c r="DE260" s="36"/>
      <c r="DK260" s="31"/>
      <c r="DL260" s="11"/>
      <c r="DM260" s="11"/>
      <c r="DN260" s="11"/>
      <c r="DO260" s="11"/>
      <c r="DP260" s="11"/>
      <c r="DX260" s="36"/>
      <c r="DY260" s="36"/>
      <c r="DZ260" s="36"/>
      <c r="EA260" s="31"/>
      <c r="EB260" s="31"/>
      <c r="EC260" s="31"/>
      <c r="ED260" s="31"/>
      <c r="EE260" s="31"/>
      <c r="EF260" s="31"/>
      <c r="EG260" s="31"/>
      <c r="EH260" s="31"/>
      <c r="EI260" s="31"/>
      <c r="EJ260" s="31"/>
      <c r="EK260" s="37"/>
      <c r="EL260" s="19"/>
      <c r="EM260" s="42"/>
      <c r="EN260" s="42"/>
      <c r="EO260" s="33"/>
      <c r="EP260" s="38"/>
      <c r="EQ260" s="15"/>
      <c r="ER260" s="42"/>
      <c r="ES260" s="42"/>
      <c r="ET260" s="42"/>
      <c r="EU260" s="42"/>
      <c r="EV260" s="34"/>
      <c r="EW260" s="37"/>
      <c r="EX260" s="34"/>
      <c r="EY260" s="11"/>
      <c r="EZ260" s="35"/>
      <c r="FA260" s="37"/>
      <c r="FB260" s="32"/>
      <c r="FC260" s="11"/>
      <c r="FD260" s="37"/>
      <c r="FE260" s="43"/>
      <c r="FF260" s="43"/>
    </row>
    <row r="261" spans="31:162">
      <c r="AE261" s="36"/>
      <c r="AK261" s="31"/>
      <c r="AL261" s="11"/>
      <c r="AM261" s="11"/>
      <c r="AN261" s="11"/>
      <c r="AO261" s="11"/>
      <c r="AP261" s="11"/>
      <c r="AX261" s="36"/>
      <c r="AY261" s="36"/>
      <c r="AZ261" s="36"/>
      <c r="BA261" s="31"/>
      <c r="BB261" s="31"/>
      <c r="BC261" s="31"/>
      <c r="BD261" s="31"/>
      <c r="BE261" s="31"/>
      <c r="BF261" s="31"/>
      <c r="BG261" s="31"/>
      <c r="BH261" s="31"/>
      <c r="BI261" s="31"/>
      <c r="BJ261" s="31"/>
      <c r="BK261" s="37"/>
      <c r="BL261" s="19"/>
      <c r="BM261" s="42"/>
      <c r="BN261" s="42"/>
      <c r="BO261" s="33"/>
      <c r="BP261" s="38"/>
      <c r="BQ261" s="15"/>
      <c r="BR261" s="42"/>
      <c r="BS261" s="42"/>
      <c r="BT261" s="42"/>
      <c r="BU261" s="42"/>
      <c r="BV261" s="34"/>
      <c r="BW261" s="37"/>
      <c r="BX261" s="34"/>
      <c r="BY261" s="11"/>
      <c r="BZ261" s="35"/>
      <c r="CA261" s="37"/>
      <c r="CB261" s="32"/>
      <c r="CC261" s="11"/>
      <c r="CD261" s="37"/>
      <c r="CE261" s="43"/>
      <c r="CF261" s="43"/>
      <c r="DE261" s="36"/>
      <c r="DK261" s="31"/>
      <c r="DL261" s="11"/>
      <c r="DM261" s="11"/>
      <c r="DN261" s="11"/>
      <c r="DO261" s="11"/>
      <c r="DP261" s="11"/>
      <c r="DX261" s="36"/>
      <c r="DY261" s="36"/>
      <c r="DZ261" s="36"/>
      <c r="EA261" s="31"/>
      <c r="EB261" s="31"/>
      <c r="EC261" s="31"/>
      <c r="ED261" s="31"/>
      <c r="EE261" s="31"/>
      <c r="EF261" s="31"/>
      <c r="EG261" s="31"/>
      <c r="EH261" s="31"/>
      <c r="EI261" s="31"/>
      <c r="EJ261" s="31"/>
      <c r="EK261" s="37"/>
      <c r="EL261" s="19"/>
      <c r="EM261" s="42"/>
      <c r="EN261" s="42"/>
      <c r="EO261" s="33"/>
      <c r="EP261" s="38"/>
      <c r="EQ261" s="15"/>
      <c r="ER261" s="42"/>
      <c r="ES261" s="42"/>
      <c r="ET261" s="42"/>
      <c r="EU261" s="42"/>
      <c r="EV261" s="34"/>
      <c r="EW261" s="37"/>
      <c r="EX261" s="34"/>
      <c r="EY261" s="11"/>
      <c r="EZ261" s="35"/>
      <c r="FA261" s="37"/>
      <c r="FB261" s="32"/>
      <c r="FC261" s="11"/>
      <c r="FD261" s="37"/>
      <c r="FE261" s="43"/>
      <c r="FF261" s="43"/>
    </row>
    <row r="262" spans="31:162">
      <c r="AE262" s="36"/>
      <c r="AK262" s="31"/>
      <c r="AL262" s="11"/>
      <c r="AM262" s="11"/>
      <c r="AN262" s="11"/>
      <c r="AO262" s="11"/>
      <c r="AP262" s="11"/>
      <c r="AX262" s="36"/>
      <c r="AY262" s="36"/>
      <c r="AZ262" s="36"/>
      <c r="BA262" s="31"/>
      <c r="BB262" s="31"/>
      <c r="BC262" s="31"/>
      <c r="BD262" s="31"/>
      <c r="BE262" s="31"/>
      <c r="BF262" s="31"/>
      <c r="BG262" s="31"/>
      <c r="BH262" s="31"/>
      <c r="BI262" s="31"/>
      <c r="BJ262" s="31"/>
      <c r="BK262" s="37"/>
      <c r="BL262" s="19"/>
      <c r="BM262" s="42"/>
      <c r="BN262" s="42"/>
      <c r="BO262" s="33"/>
      <c r="BP262" s="38"/>
      <c r="BQ262" s="15"/>
      <c r="BR262" s="42"/>
      <c r="BS262" s="42"/>
      <c r="BT262" s="42"/>
      <c r="BU262" s="42"/>
      <c r="BV262" s="34"/>
      <c r="BW262" s="37"/>
      <c r="BX262" s="34"/>
      <c r="BY262" s="11"/>
      <c r="BZ262" s="35"/>
      <c r="CA262" s="37"/>
      <c r="CB262" s="32"/>
      <c r="CC262" s="11"/>
      <c r="CD262" s="37"/>
      <c r="CE262" s="43"/>
      <c r="CF262" s="43"/>
      <c r="DE262" s="36"/>
      <c r="DK262" s="31"/>
      <c r="DL262" s="11"/>
      <c r="DM262" s="11"/>
      <c r="DN262" s="11"/>
      <c r="DO262" s="11"/>
      <c r="DP262" s="11"/>
      <c r="DX262" s="36"/>
      <c r="DY262" s="36"/>
      <c r="DZ262" s="36"/>
      <c r="EA262" s="31"/>
      <c r="EB262" s="31"/>
      <c r="EC262" s="31"/>
      <c r="ED262" s="31"/>
      <c r="EE262" s="31"/>
      <c r="EF262" s="31"/>
      <c r="EG262" s="31"/>
      <c r="EH262" s="31"/>
      <c r="EI262" s="31"/>
      <c r="EJ262" s="31"/>
      <c r="EK262" s="37"/>
      <c r="EL262" s="19"/>
      <c r="EM262" s="42"/>
      <c r="EN262" s="42"/>
      <c r="EO262" s="33"/>
      <c r="EP262" s="38"/>
      <c r="EQ262" s="15"/>
      <c r="ER262" s="42"/>
      <c r="ES262" s="42"/>
      <c r="ET262" s="42"/>
      <c r="EU262" s="42"/>
      <c r="EV262" s="34"/>
      <c r="EW262" s="37"/>
      <c r="EX262" s="34"/>
      <c r="EY262" s="11"/>
      <c r="EZ262" s="35"/>
      <c r="FA262" s="37"/>
      <c r="FB262" s="32"/>
      <c r="FC262" s="11"/>
      <c r="FD262" s="37"/>
      <c r="FE262" s="43"/>
      <c r="FF262" s="43"/>
    </row>
    <row r="263" spans="31:162">
      <c r="AE263" s="36"/>
      <c r="AK263" s="31"/>
      <c r="AL263" s="11"/>
      <c r="AM263" s="11"/>
      <c r="AN263" s="11"/>
      <c r="AO263" s="11"/>
      <c r="AP263" s="11"/>
      <c r="AX263" s="36"/>
      <c r="AY263" s="36"/>
      <c r="AZ263" s="36"/>
      <c r="BA263" s="31"/>
      <c r="BB263" s="31"/>
      <c r="BC263" s="31"/>
      <c r="BD263" s="31"/>
      <c r="BE263" s="31"/>
      <c r="BF263" s="31"/>
      <c r="BG263" s="31"/>
      <c r="BH263" s="31"/>
      <c r="BI263" s="31"/>
      <c r="BJ263" s="31"/>
      <c r="BK263" s="37"/>
      <c r="BL263" s="19"/>
      <c r="BM263" s="42"/>
      <c r="BN263" s="42"/>
      <c r="BO263" s="33"/>
      <c r="BP263" s="38"/>
      <c r="BQ263" s="15"/>
      <c r="BR263" s="42"/>
      <c r="BS263" s="42"/>
      <c r="BT263" s="42"/>
      <c r="BU263" s="42"/>
      <c r="BV263" s="34"/>
      <c r="BW263" s="37"/>
      <c r="BX263" s="34"/>
      <c r="BY263" s="11"/>
      <c r="BZ263" s="35"/>
      <c r="CA263" s="37"/>
      <c r="CB263" s="32"/>
      <c r="CC263" s="11"/>
      <c r="CD263" s="37"/>
      <c r="CE263" s="43"/>
      <c r="CF263" s="43"/>
      <c r="DE263" s="36"/>
      <c r="DK263" s="31"/>
      <c r="DL263" s="11"/>
      <c r="DM263" s="11"/>
      <c r="DN263" s="11"/>
      <c r="DO263" s="11"/>
      <c r="DP263" s="11"/>
      <c r="DX263" s="36"/>
      <c r="DY263" s="36"/>
      <c r="DZ263" s="36"/>
      <c r="EA263" s="31"/>
      <c r="EB263" s="31"/>
      <c r="EC263" s="31"/>
      <c r="ED263" s="31"/>
      <c r="EE263" s="31"/>
      <c r="EF263" s="31"/>
      <c r="EG263" s="31"/>
      <c r="EH263" s="31"/>
      <c r="EI263" s="31"/>
      <c r="EJ263" s="31"/>
      <c r="EK263" s="37"/>
      <c r="EL263" s="19"/>
      <c r="EM263" s="42"/>
      <c r="EN263" s="42"/>
      <c r="EO263" s="33"/>
      <c r="EP263" s="38"/>
      <c r="EQ263" s="15"/>
      <c r="ER263" s="42"/>
      <c r="ES263" s="42"/>
      <c r="ET263" s="42"/>
      <c r="EU263" s="42"/>
      <c r="EV263" s="34"/>
      <c r="EW263" s="37"/>
      <c r="EX263" s="34"/>
      <c r="EY263" s="11"/>
      <c r="EZ263" s="35"/>
      <c r="FA263" s="37"/>
      <c r="FB263" s="32"/>
      <c r="FC263" s="11"/>
      <c r="FD263" s="37"/>
      <c r="FE263" s="43"/>
      <c r="FF263" s="43"/>
    </row>
    <row r="264" spans="31:162">
      <c r="AE264" s="36"/>
      <c r="AK264" s="31"/>
      <c r="AL264" s="11"/>
      <c r="AM264" s="11"/>
      <c r="AN264" s="11"/>
      <c r="AO264" s="11"/>
      <c r="AP264" s="11"/>
      <c r="AX264" s="36"/>
      <c r="AY264" s="36"/>
      <c r="AZ264" s="36"/>
      <c r="BA264" s="31"/>
      <c r="BB264" s="31"/>
      <c r="BC264" s="31"/>
      <c r="BD264" s="31"/>
      <c r="BE264" s="31"/>
      <c r="BF264" s="31"/>
      <c r="BG264" s="31"/>
      <c r="BH264" s="31"/>
      <c r="BI264" s="31"/>
      <c r="BJ264" s="31"/>
      <c r="BK264" s="37"/>
      <c r="BL264" s="19"/>
      <c r="BM264" s="42"/>
      <c r="BN264" s="42"/>
      <c r="BO264" s="33"/>
      <c r="BP264" s="38"/>
      <c r="BQ264" s="15"/>
      <c r="BR264" s="42"/>
      <c r="BS264" s="42"/>
      <c r="BT264" s="42"/>
      <c r="BU264" s="42"/>
      <c r="BV264" s="34"/>
      <c r="BW264" s="37"/>
      <c r="BX264" s="34"/>
      <c r="BY264" s="11"/>
      <c r="BZ264" s="35"/>
      <c r="CA264" s="37"/>
      <c r="CB264" s="32"/>
      <c r="CC264" s="11"/>
      <c r="CD264" s="37"/>
      <c r="CE264" s="43"/>
      <c r="CF264" s="43"/>
      <c r="DE264" s="36"/>
      <c r="DK264" s="31"/>
      <c r="DL264" s="11"/>
      <c r="DM264" s="11"/>
      <c r="DN264" s="11"/>
      <c r="DO264" s="11"/>
      <c r="DP264" s="11"/>
      <c r="DX264" s="36"/>
      <c r="DY264" s="36"/>
      <c r="DZ264" s="36"/>
      <c r="EA264" s="31"/>
      <c r="EB264" s="31"/>
      <c r="EC264" s="31"/>
      <c r="ED264" s="31"/>
      <c r="EE264" s="31"/>
      <c r="EF264" s="31"/>
      <c r="EG264" s="31"/>
      <c r="EH264" s="31"/>
      <c r="EI264" s="31"/>
      <c r="EJ264" s="31"/>
      <c r="EK264" s="37"/>
      <c r="EL264" s="19"/>
      <c r="EM264" s="42"/>
      <c r="EN264" s="42"/>
      <c r="EO264" s="33"/>
      <c r="EP264" s="38"/>
      <c r="EQ264" s="15"/>
      <c r="ER264" s="42"/>
      <c r="ES264" s="42"/>
      <c r="ET264" s="42"/>
      <c r="EU264" s="42"/>
      <c r="EV264" s="34"/>
      <c r="EW264" s="37"/>
      <c r="EX264" s="34"/>
      <c r="EY264" s="11"/>
      <c r="EZ264" s="35"/>
      <c r="FA264" s="37"/>
      <c r="FB264" s="32"/>
      <c r="FC264" s="11"/>
      <c r="FD264" s="37"/>
      <c r="FE264" s="43"/>
      <c r="FF264" s="43"/>
    </row>
    <row r="265" spans="31:162">
      <c r="AE265" s="36"/>
      <c r="AK265" s="31"/>
      <c r="AL265" s="11"/>
      <c r="AM265" s="11"/>
      <c r="AN265" s="11"/>
      <c r="AO265" s="11"/>
      <c r="AP265" s="11"/>
      <c r="AX265" s="36"/>
      <c r="AY265" s="36"/>
      <c r="AZ265" s="36"/>
      <c r="BA265" s="31"/>
      <c r="BB265" s="31"/>
      <c r="BC265" s="31"/>
      <c r="BD265" s="31"/>
      <c r="BE265" s="31"/>
      <c r="BF265" s="31"/>
      <c r="BG265" s="31"/>
      <c r="BH265" s="31"/>
      <c r="BI265" s="31"/>
      <c r="BJ265" s="31"/>
      <c r="BK265" s="37"/>
      <c r="BL265" s="19"/>
      <c r="BM265" s="42"/>
      <c r="BN265" s="42"/>
      <c r="BO265" s="33"/>
      <c r="BP265" s="38"/>
      <c r="BQ265" s="15"/>
      <c r="BR265" s="42"/>
      <c r="BS265" s="42"/>
      <c r="BT265" s="42"/>
      <c r="BU265" s="42"/>
      <c r="BV265" s="34"/>
      <c r="BW265" s="37"/>
      <c r="BX265" s="34"/>
      <c r="BY265" s="11"/>
      <c r="BZ265" s="35"/>
      <c r="CA265" s="37"/>
      <c r="CB265" s="32"/>
      <c r="CC265" s="11"/>
      <c r="CD265" s="37"/>
      <c r="CE265" s="43"/>
      <c r="CF265" s="43"/>
      <c r="DE265" s="36"/>
      <c r="DK265" s="31"/>
      <c r="DL265" s="11"/>
      <c r="DM265" s="11"/>
      <c r="DN265" s="11"/>
      <c r="DO265" s="11"/>
      <c r="DP265" s="11"/>
      <c r="DX265" s="36"/>
      <c r="DY265" s="36"/>
      <c r="DZ265" s="36"/>
      <c r="EA265" s="31"/>
      <c r="EB265" s="31"/>
      <c r="EC265" s="31"/>
      <c r="ED265" s="31"/>
      <c r="EE265" s="31"/>
      <c r="EF265" s="31"/>
      <c r="EG265" s="31"/>
      <c r="EH265" s="31"/>
      <c r="EI265" s="31"/>
      <c r="EJ265" s="31"/>
      <c r="EK265" s="37"/>
      <c r="EL265" s="19"/>
      <c r="EM265" s="42"/>
      <c r="EN265" s="42"/>
      <c r="EO265" s="33"/>
      <c r="EP265" s="38"/>
      <c r="EQ265" s="15"/>
      <c r="ER265" s="42"/>
      <c r="ES265" s="42"/>
      <c r="ET265" s="42"/>
      <c r="EU265" s="42"/>
      <c r="EV265" s="34"/>
      <c r="EW265" s="37"/>
      <c r="EX265" s="34"/>
      <c r="EY265" s="11"/>
      <c r="EZ265" s="35"/>
      <c r="FA265" s="37"/>
      <c r="FB265" s="32"/>
      <c r="FC265" s="11"/>
      <c r="FD265" s="37"/>
      <c r="FE265" s="43"/>
      <c r="FF265" s="43"/>
    </row>
    <row r="266" spans="31:162">
      <c r="AE266" s="36"/>
      <c r="AK266" s="31"/>
      <c r="AL266" s="11"/>
      <c r="AM266" s="11"/>
      <c r="AN266" s="11"/>
      <c r="AO266" s="11"/>
      <c r="AP266" s="11"/>
      <c r="AX266" s="36"/>
      <c r="AY266" s="36"/>
      <c r="AZ266" s="36"/>
      <c r="BA266" s="31"/>
      <c r="BB266" s="31"/>
      <c r="BC266" s="31"/>
      <c r="BD266" s="31"/>
      <c r="BE266" s="31"/>
      <c r="BF266" s="31"/>
      <c r="BG266" s="31"/>
      <c r="BH266" s="31"/>
      <c r="BI266" s="31"/>
      <c r="BJ266" s="31"/>
      <c r="BK266" s="37"/>
      <c r="BL266" s="19"/>
      <c r="BM266" s="42"/>
      <c r="BN266" s="42"/>
      <c r="BO266" s="33"/>
      <c r="BP266" s="38"/>
      <c r="BQ266" s="15"/>
      <c r="BR266" s="42"/>
      <c r="BS266" s="42"/>
      <c r="BT266" s="42"/>
      <c r="BU266" s="42"/>
      <c r="BV266" s="34"/>
      <c r="BW266" s="37"/>
      <c r="BX266" s="34"/>
      <c r="BY266" s="11"/>
      <c r="BZ266" s="35"/>
      <c r="CA266" s="37"/>
      <c r="CB266" s="32"/>
      <c r="CC266" s="11"/>
      <c r="CD266" s="37"/>
      <c r="CE266" s="43"/>
      <c r="CF266" s="43"/>
      <c r="DE266" s="36"/>
      <c r="DK266" s="31"/>
      <c r="DL266" s="11"/>
      <c r="DM266" s="11"/>
      <c r="DN266" s="11"/>
      <c r="DO266" s="11"/>
      <c r="DP266" s="11"/>
      <c r="DX266" s="36"/>
      <c r="DY266" s="36"/>
      <c r="DZ266" s="36"/>
      <c r="EA266" s="31"/>
      <c r="EB266" s="31"/>
      <c r="EC266" s="31"/>
      <c r="ED266" s="31"/>
      <c r="EE266" s="31"/>
      <c r="EF266" s="31"/>
      <c r="EG266" s="31"/>
      <c r="EH266" s="31"/>
      <c r="EI266" s="31"/>
      <c r="EJ266" s="31"/>
      <c r="EK266" s="37"/>
      <c r="EL266" s="19"/>
      <c r="EM266" s="42"/>
      <c r="EN266" s="42"/>
      <c r="EO266" s="33"/>
      <c r="EP266" s="38"/>
      <c r="EQ266" s="15"/>
      <c r="ER266" s="42"/>
      <c r="ES266" s="42"/>
      <c r="ET266" s="42"/>
      <c r="EU266" s="42"/>
      <c r="EV266" s="34"/>
      <c r="EW266" s="37"/>
      <c r="EX266" s="34"/>
      <c r="EY266" s="11"/>
      <c r="EZ266" s="35"/>
      <c r="FA266" s="37"/>
      <c r="FB266" s="32"/>
      <c r="FC266" s="11"/>
      <c r="FD266" s="37"/>
      <c r="FE266" s="43"/>
      <c r="FF266" s="43"/>
    </row>
    <row r="267" spans="31:162">
      <c r="AK267" s="11"/>
      <c r="AL267" s="11"/>
      <c r="AM267" s="11"/>
      <c r="AN267" s="11"/>
      <c r="AO267" s="11"/>
      <c r="AP267" s="11"/>
      <c r="CE267" s="7"/>
      <c r="CF267" s="7"/>
      <c r="DK267" s="11"/>
      <c r="DL267" s="11"/>
      <c r="DM267" s="11"/>
      <c r="DN267" s="11"/>
      <c r="DO267" s="11"/>
      <c r="DP267" s="11"/>
      <c r="FE267" s="7"/>
      <c r="FF267" s="7"/>
    </row>
    <row r="268" spans="31:162">
      <c r="AK268" s="11"/>
      <c r="AL268" s="11"/>
      <c r="AM268" s="11"/>
      <c r="AN268" s="11"/>
      <c r="AO268" s="11"/>
      <c r="AP268" s="11"/>
      <c r="CE268" s="7"/>
      <c r="CF268" s="7"/>
      <c r="DK268" s="11"/>
      <c r="DL268" s="11"/>
      <c r="DM268" s="11"/>
      <c r="DN268" s="11"/>
      <c r="DO268" s="11"/>
      <c r="DP268" s="11"/>
      <c r="FE268" s="7"/>
      <c r="FF268" s="7"/>
    </row>
    <row r="269" spans="31:162">
      <c r="AK269" s="11"/>
      <c r="AL269" s="11"/>
      <c r="AM269" s="11"/>
      <c r="AN269" s="11"/>
      <c r="AO269" s="11"/>
      <c r="AP269" s="11"/>
      <c r="CE269" s="7"/>
      <c r="CF269" s="7"/>
      <c r="DK269" s="11"/>
      <c r="DL269" s="11"/>
      <c r="DM269" s="11"/>
      <c r="DN269" s="11"/>
      <c r="DO269" s="11"/>
      <c r="DP269" s="11"/>
      <c r="FE269" s="7"/>
      <c r="FF269" s="7"/>
    </row>
    <row r="270" spans="31:162">
      <c r="AK270" s="11"/>
      <c r="AL270" s="11"/>
      <c r="AM270" s="11"/>
      <c r="AN270" s="11"/>
      <c r="AO270" s="11"/>
      <c r="AP270" s="11"/>
      <c r="CE270" s="7"/>
      <c r="CF270" s="7"/>
      <c r="DK270" s="11"/>
      <c r="DL270" s="11"/>
      <c r="DM270" s="11"/>
      <c r="DN270" s="11"/>
      <c r="DO270" s="11"/>
      <c r="DP270" s="11"/>
      <c r="FE270" s="7"/>
      <c r="FF270" s="7"/>
    </row>
    <row r="271" spans="31:162">
      <c r="AK271" s="11"/>
      <c r="AL271" s="11"/>
      <c r="AM271" s="11"/>
      <c r="AN271" s="11"/>
      <c r="AO271" s="11"/>
      <c r="AP271" s="11"/>
      <c r="CE271" s="7"/>
      <c r="CF271" s="7"/>
      <c r="DK271" s="11"/>
      <c r="DL271" s="11"/>
      <c r="DM271" s="11"/>
      <c r="DN271" s="11"/>
      <c r="DO271" s="11"/>
      <c r="DP271" s="11"/>
      <c r="FE271" s="7"/>
      <c r="FF271" s="7"/>
    </row>
    <row r="272" spans="31:162">
      <c r="AK272" s="11"/>
      <c r="AL272" s="11"/>
      <c r="AM272" s="11"/>
      <c r="AN272" s="11"/>
      <c r="AO272" s="11"/>
      <c r="AP272" s="11"/>
      <c r="CE272" s="7"/>
      <c r="CF272" s="7"/>
      <c r="DK272" s="11"/>
      <c r="DL272" s="11"/>
      <c r="DM272" s="11"/>
      <c r="DN272" s="11"/>
      <c r="DO272" s="11"/>
      <c r="DP272" s="11"/>
      <c r="FE272" s="7"/>
      <c r="FF272" s="7"/>
    </row>
    <row r="273" spans="37:162">
      <c r="AK273" s="11"/>
      <c r="AL273" s="11"/>
      <c r="AM273" s="11"/>
      <c r="AN273" s="11"/>
      <c r="AO273" s="11"/>
      <c r="AP273" s="11"/>
      <c r="CE273" s="7"/>
      <c r="CF273" s="7"/>
      <c r="DK273" s="11"/>
      <c r="DL273" s="11"/>
      <c r="DM273" s="11"/>
      <c r="DN273" s="11"/>
      <c r="DO273" s="11"/>
      <c r="DP273" s="11"/>
      <c r="FE273" s="7"/>
      <c r="FF273" s="7"/>
    </row>
    <row r="274" spans="37:162">
      <c r="AK274" s="11"/>
      <c r="AL274" s="11"/>
      <c r="AM274" s="11"/>
      <c r="AN274" s="11"/>
      <c r="AO274" s="11"/>
      <c r="AP274" s="11"/>
      <c r="CE274" s="7"/>
      <c r="CF274" s="7"/>
      <c r="DK274" s="11"/>
      <c r="DL274" s="11"/>
      <c r="DM274" s="11"/>
      <c r="DN274" s="11"/>
      <c r="DO274" s="11"/>
      <c r="DP274" s="11"/>
      <c r="FE274" s="7"/>
      <c r="FF274" s="7"/>
    </row>
    <row r="275" spans="37:162">
      <c r="AK275" s="11"/>
      <c r="AL275" s="11"/>
      <c r="AM275" s="11"/>
      <c r="AN275" s="11"/>
      <c r="AO275" s="11"/>
      <c r="AP275" s="11"/>
      <c r="CE275" s="7"/>
      <c r="CF275" s="7"/>
      <c r="DK275" s="11"/>
      <c r="DL275" s="11"/>
      <c r="DM275" s="11"/>
      <c r="DN275" s="11"/>
      <c r="DO275" s="11"/>
      <c r="DP275" s="11"/>
      <c r="FE275" s="7"/>
      <c r="FF275" s="7"/>
    </row>
    <row r="276" spans="37:162">
      <c r="AK276" s="11"/>
      <c r="AL276" s="11"/>
      <c r="AM276" s="11"/>
      <c r="AN276" s="11"/>
      <c r="AO276" s="11"/>
      <c r="AP276" s="11"/>
      <c r="CE276" s="7"/>
      <c r="CF276" s="7"/>
      <c r="DK276" s="11"/>
      <c r="DL276" s="11"/>
      <c r="DM276" s="11"/>
      <c r="DN276" s="11"/>
      <c r="DO276" s="11"/>
      <c r="DP276" s="11"/>
      <c r="FE276" s="7"/>
      <c r="FF276" s="7"/>
    </row>
    <row r="277" spans="37:162">
      <c r="AK277" s="11"/>
      <c r="AL277" s="11"/>
      <c r="AM277" s="11"/>
      <c r="AN277" s="11"/>
      <c r="AO277" s="11"/>
      <c r="AP277" s="11"/>
      <c r="CE277" s="7"/>
      <c r="CF277" s="7"/>
      <c r="DK277" s="11"/>
      <c r="DL277" s="11"/>
      <c r="DM277" s="11"/>
      <c r="DN277" s="11"/>
      <c r="DO277" s="11"/>
      <c r="DP277" s="11"/>
      <c r="FE277" s="7"/>
      <c r="FF277" s="7"/>
    </row>
    <row r="278" spans="37:162">
      <c r="AK278" s="11"/>
      <c r="AL278" s="11"/>
      <c r="AM278" s="11"/>
      <c r="AN278" s="11"/>
      <c r="AO278" s="11"/>
      <c r="AP278" s="11"/>
      <c r="CE278" s="7"/>
      <c r="CF278" s="7"/>
      <c r="DK278" s="11"/>
      <c r="DL278" s="11"/>
      <c r="DM278" s="11"/>
      <c r="DN278" s="11"/>
      <c r="DO278" s="11"/>
      <c r="DP278" s="11"/>
      <c r="FE278" s="7"/>
      <c r="FF278" s="7"/>
    </row>
    <row r="279" spans="37:162">
      <c r="AK279" s="11"/>
      <c r="AL279" s="11"/>
      <c r="AM279" s="11"/>
      <c r="AN279" s="11"/>
      <c r="AO279" s="11"/>
      <c r="AP279" s="11"/>
      <c r="CE279" s="7"/>
      <c r="CF279" s="7"/>
      <c r="DK279" s="11"/>
      <c r="DL279" s="11"/>
      <c r="DM279" s="11"/>
      <c r="DN279" s="11"/>
      <c r="DO279" s="11"/>
      <c r="DP279" s="11"/>
      <c r="FE279" s="7"/>
      <c r="FF279" s="7"/>
    </row>
    <row r="280" spans="37:162">
      <c r="AK280" s="11"/>
      <c r="AL280" s="11"/>
      <c r="AM280" s="11"/>
      <c r="AN280" s="11"/>
      <c r="AO280" s="11"/>
      <c r="AP280" s="11"/>
      <c r="CE280" s="7"/>
      <c r="CF280" s="7"/>
      <c r="DK280" s="11"/>
      <c r="DL280" s="11"/>
      <c r="DM280" s="11"/>
      <c r="DN280" s="11"/>
      <c r="DO280" s="11"/>
      <c r="DP280" s="11"/>
      <c r="FE280" s="7"/>
      <c r="FF280" s="7"/>
    </row>
    <row r="281" spans="37:162">
      <c r="AK281" s="11"/>
      <c r="AL281" s="11"/>
      <c r="AM281" s="11"/>
      <c r="AN281" s="11"/>
      <c r="AO281" s="11"/>
      <c r="AP281" s="11"/>
      <c r="CE281" s="7"/>
      <c r="CF281" s="7"/>
      <c r="DK281" s="11"/>
      <c r="DL281" s="11"/>
      <c r="DM281" s="11"/>
      <c r="DN281" s="11"/>
      <c r="DO281" s="11"/>
      <c r="DP281" s="11"/>
      <c r="FE281" s="7"/>
      <c r="FF281" s="7"/>
    </row>
    <row r="282" spans="37:162">
      <c r="AK282" s="11"/>
      <c r="AL282" s="11"/>
      <c r="AM282" s="11"/>
      <c r="AN282" s="11"/>
      <c r="AO282" s="11"/>
      <c r="AP282" s="11"/>
      <c r="CE282" s="7"/>
      <c r="CF282" s="7"/>
      <c r="DK282" s="11"/>
      <c r="DL282" s="11"/>
      <c r="DM282" s="11"/>
      <c r="DN282" s="11"/>
      <c r="DO282" s="11"/>
      <c r="DP282" s="11"/>
      <c r="FE282" s="7"/>
      <c r="FF282" s="7"/>
    </row>
    <row r="283" spans="37:162">
      <c r="AK283" s="11"/>
      <c r="AL283" s="11"/>
      <c r="AM283" s="11"/>
      <c r="AN283" s="11"/>
      <c r="AO283" s="11"/>
      <c r="AP283" s="11"/>
      <c r="CE283" s="7"/>
      <c r="CF283" s="7"/>
      <c r="DK283" s="11"/>
      <c r="DL283" s="11"/>
      <c r="DM283" s="11"/>
      <c r="DN283" s="11"/>
      <c r="DO283" s="11"/>
      <c r="DP283" s="11"/>
      <c r="FE283" s="7"/>
      <c r="FF283" s="7"/>
    </row>
    <row r="284" spans="37:162">
      <c r="AK284" s="11"/>
      <c r="AL284" s="11"/>
      <c r="AM284" s="11"/>
      <c r="AN284" s="11"/>
      <c r="AO284" s="11"/>
      <c r="AP284" s="11"/>
      <c r="CE284" s="7"/>
      <c r="CF284" s="7"/>
      <c r="DK284" s="11"/>
      <c r="DL284" s="11"/>
      <c r="DM284" s="11"/>
      <c r="DN284" s="11"/>
      <c r="DO284" s="11"/>
      <c r="DP284" s="11"/>
      <c r="FE284" s="7"/>
      <c r="FF284" s="7"/>
    </row>
    <row r="285" spans="37:162">
      <c r="AK285" s="11"/>
      <c r="AL285" s="11"/>
      <c r="AM285" s="11"/>
      <c r="AN285" s="11"/>
      <c r="AO285" s="11"/>
      <c r="AP285" s="11"/>
      <c r="CE285" s="7"/>
      <c r="CF285" s="7"/>
      <c r="DK285" s="11"/>
      <c r="DL285" s="11"/>
      <c r="DM285" s="11"/>
      <c r="DN285" s="11"/>
      <c r="DO285" s="11"/>
      <c r="DP285" s="11"/>
      <c r="FE285" s="7"/>
      <c r="FF285" s="7"/>
    </row>
    <row r="286" spans="37:162">
      <c r="AK286" s="11"/>
      <c r="AL286" s="11"/>
      <c r="AM286" s="11"/>
      <c r="AN286" s="11"/>
      <c r="AO286" s="11"/>
      <c r="AP286" s="11"/>
      <c r="CE286" s="7"/>
      <c r="CF286" s="7"/>
      <c r="DK286" s="11"/>
      <c r="DL286" s="11"/>
      <c r="DM286" s="11"/>
      <c r="DN286" s="11"/>
      <c r="DO286" s="11"/>
      <c r="DP286" s="11"/>
      <c r="FE286" s="7"/>
      <c r="FF286" s="7"/>
    </row>
    <row r="287" spans="37:162">
      <c r="AK287" s="11"/>
      <c r="AL287" s="11"/>
      <c r="AM287" s="11"/>
      <c r="AN287" s="11"/>
      <c r="AO287" s="11"/>
      <c r="AP287" s="11"/>
      <c r="CE287" s="7"/>
      <c r="CF287" s="7"/>
      <c r="DK287" s="11"/>
      <c r="DL287" s="11"/>
      <c r="DM287" s="11"/>
      <c r="DN287" s="11"/>
      <c r="DO287" s="11"/>
      <c r="DP287" s="11"/>
      <c r="FE287" s="7"/>
      <c r="FF287" s="7"/>
    </row>
    <row r="288" spans="37:162">
      <c r="AK288" s="11"/>
      <c r="AL288" s="11"/>
      <c r="AM288" s="11"/>
      <c r="AN288" s="11"/>
      <c r="AO288" s="11"/>
      <c r="AP288" s="11"/>
      <c r="CE288" s="7"/>
      <c r="CF288" s="7"/>
      <c r="DK288" s="11"/>
      <c r="DL288" s="11"/>
      <c r="DM288" s="11"/>
      <c r="DN288" s="11"/>
      <c r="DO288" s="11"/>
      <c r="DP288" s="11"/>
      <c r="FE288" s="7"/>
      <c r="FF288" s="7"/>
    </row>
    <row r="289" spans="37:162">
      <c r="AK289" s="11"/>
      <c r="AL289" s="11"/>
      <c r="AM289" s="11"/>
      <c r="AN289" s="11"/>
      <c r="AO289" s="11"/>
      <c r="AP289" s="11"/>
      <c r="CE289" s="7"/>
      <c r="CF289" s="7"/>
      <c r="DK289" s="11"/>
      <c r="DL289" s="11"/>
      <c r="DM289" s="11"/>
      <c r="DN289" s="11"/>
      <c r="DO289" s="11"/>
      <c r="DP289" s="11"/>
      <c r="FE289" s="7"/>
      <c r="FF289" s="7"/>
    </row>
    <row r="290" spans="37:162">
      <c r="AK290" s="11"/>
      <c r="AL290" s="11"/>
      <c r="AM290" s="11"/>
      <c r="AN290" s="11"/>
      <c r="AO290" s="11"/>
      <c r="AP290" s="11"/>
      <c r="CE290" s="7"/>
      <c r="CF290" s="7"/>
      <c r="DK290" s="11"/>
      <c r="DL290" s="11"/>
      <c r="DM290" s="11"/>
      <c r="DN290" s="11"/>
      <c r="DO290" s="11"/>
      <c r="DP290" s="11"/>
      <c r="FE290" s="7"/>
      <c r="FF290" s="7"/>
    </row>
    <row r="291" spans="37:162">
      <c r="AK291" s="11"/>
      <c r="AL291" s="11"/>
      <c r="AM291" s="11"/>
      <c r="AN291" s="11"/>
      <c r="AO291" s="11"/>
      <c r="AP291" s="11"/>
      <c r="CE291" s="7"/>
      <c r="CF291" s="7"/>
      <c r="DK291" s="11"/>
      <c r="DL291" s="11"/>
      <c r="DM291" s="11"/>
      <c r="DN291" s="11"/>
      <c r="DO291" s="11"/>
      <c r="DP291" s="11"/>
      <c r="FE291" s="7"/>
      <c r="FF291" s="7"/>
    </row>
    <row r="292" spans="37:162">
      <c r="AK292" s="11"/>
      <c r="AL292" s="11"/>
      <c r="AM292" s="11"/>
      <c r="AN292" s="11"/>
      <c r="AO292" s="11"/>
      <c r="AP292" s="11"/>
      <c r="CE292" s="7"/>
      <c r="CF292" s="7"/>
      <c r="DK292" s="11"/>
      <c r="DL292" s="11"/>
      <c r="DM292" s="11"/>
      <c r="DN292" s="11"/>
      <c r="DO292" s="11"/>
      <c r="DP292" s="11"/>
      <c r="FE292" s="7"/>
      <c r="FF292" s="7"/>
    </row>
    <row r="293" spans="37:162">
      <c r="AK293" s="11"/>
      <c r="AL293" s="11"/>
      <c r="AM293" s="11"/>
      <c r="AN293" s="11"/>
      <c r="AO293" s="11"/>
      <c r="AP293" s="11"/>
      <c r="CE293" s="7"/>
      <c r="CF293" s="7"/>
      <c r="DK293" s="11"/>
      <c r="DL293" s="11"/>
      <c r="DM293" s="11"/>
      <c r="DN293" s="11"/>
      <c r="DO293" s="11"/>
      <c r="DP293" s="11"/>
      <c r="FE293" s="7"/>
      <c r="FF293" s="7"/>
    </row>
    <row r="294" spans="37:162">
      <c r="AK294" s="11"/>
      <c r="AL294" s="11"/>
      <c r="AM294" s="11"/>
      <c r="AN294" s="11"/>
      <c r="AO294" s="11"/>
      <c r="AP294" s="11"/>
      <c r="CE294" s="7"/>
      <c r="CF294" s="7"/>
      <c r="DK294" s="11"/>
      <c r="DL294" s="11"/>
      <c r="DM294" s="11"/>
      <c r="DN294" s="11"/>
      <c r="DO294" s="11"/>
      <c r="DP294" s="11"/>
      <c r="FE294" s="7"/>
      <c r="FF294" s="7"/>
    </row>
    <row r="295" spans="37:162">
      <c r="AK295" s="11"/>
      <c r="AL295" s="11"/>
      <c r="AM295" s="11"/>
      <c r="AN295" s="11"/>
      <c r="AO295" s="11"/>
      <c r="AP295" s="11"/>
      <c r="CE295" s="7"/>
      <c r="CF295" s="7"/>
      <c r="DK295" s="11"/>
      <c r="DL295" s="11"/>
      <c r="DM295" s="11"/>
      <c r="DN295" s="11"/>
      <c r="DO295" s="11"/>
      <c r="DP295" s="11"/>
      <c r="FE295" s="7"/>
      <c r="FF295" s="7"/>
    </row>
    <row r="296" spans="37:162">
      <c r="AK296" s="11"/>
      <c r="AL296" s="11"/>
      <c r="AM296" s="11"/>
      <c r="AN296" s="11"/>
      <c r="AO296" s="11"/>
      <c r="AP296" s="11"/>
      <c r="CE296" s="7"/>
      <c r="CF296" s="7"/>
      <c r="DK296" s="11"/>
      <c r="DL296" s="11"/>
      <c r="DM296" s="11"/>
      <c r="DN296" s="11"/>
      <c r="DO296" s="11"/>
      <c r="DP296" s="11"/>
      <c r="FE296" s="7"/>
      <c r="FF296" s="7"/>
    </row>
    <row r="297" spans="37:162">
      <c r="AK297" s="11"/>
      <c r="AL297" s="11"/>
      <c r="AM297" s="11"/>
      <c r="AN297" s="11"/>
      <c r="AO297" s="11"/>
      <c r="AP297" s="11"/>
      <c r="CE297" s="7"/>
      <c r="CF297" s="7"/>
      <c r="DK297" s="11"/>
      <c r="DL297" s="11"/>
      <c r="DM297" s="11"/>
      <c r="DN297" s="11"/>
      <c r="DO297" s="11"/>
      <c r="DP297" s="11"/>
      <c r="FE297" s="7"/>
      <c r="FF297" s="7"/>
    </row>
    <row r="298" spans="37:162">
      <c r="AK298" s="11"/>
      <c r="AL298" s="11"/>
      <c r="AM298" s="11"/>
      <c r="AN298" s="11"/>
      <c r="AO298" s="11"/>
      <c r="AP298" s="11"/>
      <c r="CE298" s="7"/>
      <c r="CF298" s="7"/>
      <c r="DK298" s="11"/>
      <c r="DL298" s="11"/>
      <c r="DM298" s="11"/>
      <c r="DN298" s="11"/>
      <c r="DO298" s="11"/>
      <c r="DP298" s="11"/>
      <c r="FE298" s="7"/>
      <c r="FF298" s="7"/>
    </row>
    <row r="299" spans="37:162">
      <c r="AK299" s="11"/>
      <c r="AL299" s="11"/>
      <c r="AM299" s="11"/>
      <c r="AN299" s="11"/>
      <c r="AO299" s="11"/>
      <c r="AP299" s="11"/>
      <c r="CE299" s="7"/>
      <c r="CF299" s="7"/>
      <c r="DK299" s="11"/>
      <c r="DL299" s="11"/>
      <c r="DM299" s="11"/>
      <c r="DN299" s="11"/>
      <c r="DO299" s="11"/>
      <c r="DP299" s="11"/>
      <c r="FE299" s="7"/>
      <c r="FF299" s="7"/>
    </row>
    <row r="300" spans="37:162">
      <c r="AK300" s="11"/>
      <c r="AL300" s="11"/>
      <c r="AM300" s="11"/>
      <c r="AN300" s="11"/>
      <c r="AO300" s="11"/>
      <c r="AP300" s="11"/>
      <c r="CE300" s="7"/>
      <c r="CF300" s="7"/>
      <c r="DK300" s="11"/>
      <c r="DL300" s="11"/>
      <c r="DM300" s="11"/>
      <c r="DN300" s="11"/>
      <c r="DO300" s="11"/>
      <c r="DP300" s="11"/>
      <c r="FE300" s="7"/>
      <c r="FF300" s="7"/>
    </row>
    <row r="301" spans="37:162">
      <c r="AK301" s="11"/>
      <c r="AL301" s="11"/>
      <c r="AM301" s="11"/>
      <c r="AN301" s="11"/>
      <c r="AO301" s="11"/>
      <c r="AP301" s="11"/>
      <c r="CE301" s="7"/>
      <c r="CF301" s="7"/>
      <c r="DK301" s="11"/>
      <c r="DL301" s="11"/>
      <c r="DM301" s="11"/>
      <c r="DN301" s="11"/>
      <c r="DO301" s="11"/>
      <c r="DP301" s="11"/>
      <c r="FE301" s="7"/>
      <c r="FF301" s="7"/>
    </row>
    <row r="302" spans="37:162">
      <c r="AK302" s="11"/>
      <c r="AL302" s="11"/>
      <c r="AM302" s="11"/>
      <c r="AN302" s="11"/>
      <c r="AO302" s="11"/>
      <c r="AP302" s="11"/>
      <c r="CE302" s="7"/>
      <c r="CF302" s="7"/>
      <c r="DK302" s="11"/>
      <c r="DL302" s="11"/>
      <c r="DM302" s="11"/>
      <c r="DN302" s="11"/>
      <c r="DO302" s="11"/>
      <c r="DP302" s="11"/>
      <c r="FE302" s="7"/>
      <c r="FF302" s="7"/>
    </row>
    <row r="303" spans="37:162">
      <c r="AK303" s="11"/>
      <c r="AL303" s="11"/>
      <c r="AM303" s="11"/>
      <c r="AN303" s="11"/>
      <c r="AO303" s="11"/>
      <c r="AP303" s="11"/>
      <c r="CE303" s="7"/>
      <c r="CF303" s="7"/>
      <c r="DK303" s="11"/>
      <c r="DL303" s="11"/>
      <c r="DM303" s="11"/>
      <c r="DN303" s="11"/>
      <c r="DO303" s="11"/>
      <c r="DP303" s="11"/>
      <c r="FE303" s="7"/>
      <c r="FF303" s="7"/>
    </row>
    <row r="304" spans="37:162">
      <c r="AK304" s="11"/>
      <c r="AL304" s="11"/>
      <c r="AM304" s="11"/>
      <c r="AN304" s="11"/>
      <c r="AO304" s="11"/>
      <c r="AP304" s="11"/>
      <c r="CE304" s="7"/>
      <c r="CF304" s="7"/>
      <c r="DK304" s="11"/>
      <c r="DL304" s="11"/>
      <c r="DM304" s="11"/>
      <c r="DN304" s="11"/>
      <c r="DO304" s="11"/>
      <c r="DP304" s="11"/>
      <c r="FE304" s="7"/>
      <c r="FF304" s="7"/>
    </row>
    <row r="305" spans="37:162">
      <c r="AK305" s="11"/>
      <c r="AL305" s="11"/>
      <c r="AM305" s="11"/>
      <c r="AN305" s="11"/>
      <c r="AO305" s="11"/>
      <c r="AP305" s="11"/>
      <c r="CE305" s="7"/>
      <c r="CF305" s="7"/>
      <c r="DK305" s="11"/>
      <c r="DL305" s="11"/>
      <c r="DM305" s="11"/>
      <c r="DN305" s="11"/>
      <c r="DO305" s="11"/>
      <c r="DP305" s="11"/>
      <c r="FE305" s="7"/>
      <c r="FF305" s="7"/>
    </row>
    <row r="306" spans="37:162">
      <c r="AK306" s="11"/>
      <c r="AL306" s="11"/>
      <c r="AM306" s="11"/>
      <c r="AN306" s="11"/>
      <c r="AO306" s="11"/>
      <c r="AP306" s="11"/>
      <c r="CE306" s="7"/>
      <c r="CF306" s="7"/>
      <c r="DK306" s="11"/>
      <c r="DL306" s="11"/>
      <c r="DM306" s="11"/>
      <c r="DN306" s="11"/>
      <c r="DO306" s="11"/>
      <c r="DP306" s="11"/>
      <c r="FE306" s="7"/>
      <c r="FF306" s="7"/>
    </row>
    <row r="307" spans="37:162">
      <c r="AK307" s="11"/>
      <c r="AL307" s="11"/>
      <c r="AM307" s="11"/>
      <c r="AN307" s="11"/>
      <c r="AO307" s="11"/>
      <c r="AP307" s="11"/>
      <c r="CE307" s="7"/>
      <c r="CF307" s="7"/>
      <c r="DK307" s="11"/>
      <c r="DL307" s="11"/>
      <c r="DM307" s="11"/>
      <c r="DN307" s="11"/>
      <c r="DO307" s="11"/>
      <c r="DP307" s="11"/>
      <c r="FE307" s="7"/>
      <c r="FF307" s="7"/>
    </row>
    <row r="308" spans="37:162">
      <c r="AK308" s="11"/>
      <c r="AL308" s="11"/>
      <c r="AM308" s="11"/>
      <c r="AN308" s="11"/>
      <c r="AO308" s="11"/>
      <c r="AP308" s="11"/>
      <c r="CE308" s="7"/>
      <c r="CF308" s="7"/>
      <c r="DK308" s="11"/>
      <c r="DL308" s="11"/>
      <c r="DM308" s="11"/>
      <c r="DN308" s="11"/>
      <c r="DO308" s="11"/>
      <c r="DP308" s="11"/>
      <c r="FE308" s="7"/>
      <c r="FF308" s="7"/>
    </row>
    <row r="309" spans="37:162">
      <c r="AK309" s="11"/>
      <c r="AL309" s="11"/>
      <c r="AM309" s="11"/>
      <c r="AN309" s="11"/>
      <c r="AO309" s="11"/>
      <c r="AP309" s="11"/>
      <c r="CE309" s="7"/>
      <c r="CF309" s="7"/>
      <c r="DK309" s="11"/>
      <c r="DL309" s="11"/>
      <c r="DM309" s="11"/>
      <c r="DN309" s="11"/>
      <c r="DO309" s="11"/>
      <c r="DP309" s="11"/>
      <c r="FE309" s="7"/>
      <c r="FF309" s="7"/>
    </row>
    <row r="310" spans="37:162">
      <c r="AK310" s="11"/>
      <c r="AL310" s="11"/>
      <c r="AM310" s="11"/>
      <c r="AN310" s="11"/>
      <c r="AO310" s="11"/>
      <c r="AP310" s="11"/>
      <c r="CE310" s="7"/>
      <c r="CF310" s="7"/>
      <c r="DK310" s="11"/>
      <c r="DL310" s="11"/>
      <c r="DM310" s="11"/>
      <c r="DN310" s="11"/>
      <c r="DO310" s="11"/>
      <c r="DP310" s="11"/>
      <c r="FE310" s="7"/>
      <c r="FF310" s="7"/>
    </row>
    <row r="311" spans="37:162">
      <c r="AK311" s="11"/>
      <c r="AL311" s="11"/>
      <c r="AM311" s="11"/>
      <c r="AN311" s="11"/>
      <c r="AO311" s="11"/>
      <c r="AP311" s="11"/>
      <c r="CE311" s="7"/>
      <c r="CF311" s="7"/>
      <c r="DK311" s="11"/>
      <c r="DL311" s="11"/>
      <c r="DM311" s="11"/>
      <c r="DN311" s="11"/>
      <c r="DO311" s="11"/>
      <c r="DP311" s="11"/>
      <c r="FE311" s="7"/>
      <c r="FF311" s="7"/>
    </row>
    <row r="312" spans="37:162">
      <c r="AK312" s="11"/>
      <c r="AL312" s="11"/>
      <c r="AM312" s="11"/>
      <c r="AN312" s="11"/>
      <c r="AO312" s="11"/>
      <c r="AP312" s="11"/>
      <c r="CE312" s="7"/>
      <c r="CF312" s="7"/>
      <c r="DK312" s="11"/>
      <c r="DL312" s="11"/>
      <c r="DM312" s="11"/>
      <c r="DN312" s="11"/>
      <c r="DO312" s="11"/>
      <c r="DP312" s="11"/>
      <c r="FE312" s="7"/>
      <c r="FF312" s="7"/>
    </row>
    <row r="313" spans="37:162">
      <c r="AK313" s="11"/>
      <c r="AL313" s="11"/>
      <c r="AM313" s="11"/>
      <c r="AN313" s="11"/>
      <c r="AO313" s="11"/>
      <c r="AP313" s="11"/>
      <c r="CE313" s="7"/>
      <c r="CF313" s="7"/>
      <c r="DK313" s="11"/>
      <c r="DL313" s="11"/>
      <c r="DM313" s="11"/>
      <c r="DN313" s="11"/>
      <c r="DO313" s="11"/>
      <c r="DP313" s="11"/>
      <c r="FE313" s="7"/>
      <c r="FF313" s="7"/>
    </row>
    <row r="314" spans="37:162">
      <c r="AK314" s="11"/>
      <c r="AL314" s="11"/>
      <c r="AM314" s="11"/>
      <c r="AN314" s="11"/>
      <c r="AO314" s="11"/>
      <c r="AP314" s="11"/>
      <c r="CE314" s="7"/>
      <c r="CF314" s="7"/>
      <c r="DK314" s="11"/>
      <c r="DL314" s="11"/>
      <c r="DM314" s="11"/>
      <c r="DN314" s="11"/>
      <c r="DO314" s="11"/>
      <c r="DP314" s="11"/>
      <c r="FE314" s="7"/>
      <c r="FF314" s="7"/>
    </row>
    <row r="315" spans="37:162">
      <c r="AK315" s="11"/>
      <c r="AL315" s="11"/>
      <c r="AM315" s="11"/>
      <c r="AN315" s="11"/>
      <c r="AO315" s="11"/>
      <c r="AP315" s="11"/>
      <c r="CE315" s="7"/>
      <c r="CF315" s="7"/>
      <c r="DK315" s="11"/>
      <c r="DL315" s="11"/>
      <c r="DM315" s="11"/>
      <c r="DN315" s="11"/>
      <c r="DO315" s="11"/>
      <c r="DP315" s="11"/>
      <c r="FE315" s="7"/>
      <c r="FF315" s="7"/>
    </row>
    <row r="316" spans="37:162">
      <c r="AK316" s="11"/>
      <c r="AL316" s="11"/>
      <c r="AM316" s="11"/>
      <c r="AN316" s="11"/>
      <c r="AO316" s="11"/>
      <c r="AP316" s="11"/>
      <c r="CE316" s="7"/>
      <c r="CF316" s="7"/>
      <c r="DK316" s="11"/>
      <c r="DL316" s="11"/>
      <c r="DM316" s="11"/>
      <c r="DN316" s="11"/>
      <c r="DO316" s="11"/>
      <c r="DP316" s="11"/>
      <c r="FE316" s="7"/>
      <c r="FF316" s="7"/>
    </row>
    <row r="317" spans="37:162">
      <c r="AK317" s="11"/>
      <c r="AL317" s="11"/>
      <c r="AM317" s="11"/>
      <c r="AN317" s="11"/>
      <c r="AO317" s="11"/>
      <c r="AP317" s="11"/>
      <c r="CE317" s="7"/>
      <c r="CF317" s="7"/>
      <c r="DK317" s="11"/>
      <c r="DL317" s="11"/>
      <c r="DM317" s="11"/>
      <c r="DN317" s="11"/>
      <c r="DO317" s="11"/>
      <c r="DP317" s="11"/>
      <c r="FE317" s="7"/>
      <c r="FF317" s="7"/>
    </row>
    <row r="318" spans="37:162">
      <c r="AK318" s="11"/>
      <c r="AL318" s="11"/>
      <c r="AM318" s="11"/>
      <c r="AN318" s="11"/>
      <c r="AO318" s="11"/>
      <c r="AP318" s="11"/>
      <c r="CE318" s="7"/>
      <c r="CF318" s="7"/>
      <c r="DK318" s="11"/>
      <c r="DL318" s="11"/>
      <c r="DM318" s="11"/>
      <c r="DN318" s="11"/>
      <c r="DO318" s="11"/>
      <c r="DP318" s="11"/>
      <c r="FE318" s="7"/>
      <c r="FF318" s="7"/>
    </row>
    <row r="319" spans="37:162">
      <c r="AK319" s="11"/>
      <c r="AL319" s="11"/>
      <c r="AM319" s="11"/>
      <c r="AN319" s="11"/>
      <c r="AO319" s="11"/>
      <c r="AP319" s="11"/>
      <c r="CE319" s="7"/>
      <c r="CF319" s="7"/>
      <c r="DK319" s="11"/>
      <c r="DL319" s="11"/>
      <c r="DM319" s="11"/>
      <c r="DN319" s="11"/>
      <c r="DO319" s="11"/>
      <c r="DP319" s="11"/>
      <c r="FE319" s="7"/>
      <c r="FF319" s="7"/>
    </row>
    <row r="320" spans="37:162">
      <c r="AK320" s="11"/>
      <c r="AL320" s="11"/>
      <c r="AM320" s="11"/>
      <c r="AN320" s="11"/>
      <c r="AO320" s="11"/>
      <c r="AP320" s="11"/>
      <c r="CE320" s="7"/>
      <c r="CF320" s="7"/>
      <c r="DK320" s="11"/>
      <c r="DL320" s="11"/>
      <c r="DM320" s="11"/>
      <c r="DN320" s="11"/>
      <c r="DO320" s="11"/>
      <c r="DP320" s="11"/>
      <c r="FE320" s="7"/>
      <c r="FF320" s="7"/>
    </row>
    <row r="321" spans="37:162">
      <c r="AK321" s="11"/>
      <c r="AL321" s="11"/>
      <c r="AM321" s="11"/>
      <c r="AN321" s="11"/>
      <c r="AO321" s="11"/>
      <c r="AP321" s="11"/>
      <c r="CE321" s="7"/>
      <c r="CF321" s="7"/>
      <c r="DK321" s="11"/>
      <c r="DL321" s="11"/>
      <c r="DM321" s="11"/>
      <c r="DN321" s="11"/>
      <c r="DO321" s="11"/>
      <c r="DP321" s="11"/>
      <c r="FE321" s="7"/>
      <c r="FF321" s="7"/>
    </row>
    <row r="322" spans="37:162">
      <c r="AK322" s="11"/>
      <c r="AL322" s="11"/>
      <c r="AM322" s="11"/>
      <c r="AN322" s="11"/>
      <c r="AO322" s="11"/>
      <c r="AP322" s="11"/>
      <c r="CE322" s="7"/>
      <c r="CF322" s="7"/>
      <c r="DK322" s="11"/>
      <c r="DL322" s="11"/>
      <c r="DM322" s="11"/>
      <c r="DN322" s="11"/>
      <c r="DO322" s="11"/>
      <c r="DP322" s="11"/>
      <c r="FE322" s="7"/>
      <c r="FF322" s="7"/>
    </row>
    <row r="323" spans="37:162">
      <c r="AK323" s="11"/>
      <c r="AL323" s="11"/>
      <c r="AM323" s="11"/>
      <c r="AN323" s="11"/>
      <c r="AO323" s="11"/>
      <c r="AP323" s="11"/>
      <c r="CE323" s="7"/>
      <c r="CF323" s="7"/>
      <c r="DK323" s="11"/>
      <c r="DL323" s="11"/>
      <c r="DM323" s="11"/>
      <c r="DN323" s="11"/>
      <c r="DO323" s="11"/>
      <c r="DP323" s="11"/>
      <c r="FE323" s="7"/>
      <c r="FF323" s="7"/>
    </row>
    <row r="324" spans="37:162">
      <c r="AK324" s="11"/>
      <c r="AL324" s="11"/>
      <c r="AM324" s="11"/>
      <c r="AN324" s="11"/>
      <c r="AO324" s="11"/>
      <c r="AP324" s="11"/>
      <c r="CE324" s="7"/>
      <c r="CF324" s="7"/>
      <c r="DK324" s="11"/>
      <c r="DL324" s="11"/>
      <c r="DM324" s="11"/>
      <c r="DN324" s="11"/>
      <c r="DO324" s="11"/>
      <c r="DP324" s="11"/>
      <c r="FE324" s="7"/>
      <c r="FF324" s="7"/>
    </row>
    <row r="325" spans="37:162">
      <c r="AK325" s="11"/>
      <c r="AL325" s="11"/>
      <c r="AM325" s="11"/>
      <c r="AN325" s="11"/>
      <c r="AO325" s="11"/>
      <c r="AP325" s="11"/>
      <c r="CE325" s="7"/>
      <c r="CF325" s="7"/>
      <c r="DK325" s="11"/>
      <c r="DL325" s="11"/>
      <c r="DM325" s="11"/>
      <c r="DN325" s="11"/>
      <c r="DO325" s="11"/>
      <c r="DP325" s="11"/>
      <c r="FE325" s="7"/>
      <c r="FF325" s="7"/>
    </row>
    <row r="326" spans="37:162">
      <c r="AK326" s="11"/>
      <c r="AL326" s="11"/>
      <c r="AM326" s="11"/>
      <c r="AN326" s="11"/>
      <c r="AO326" s="11"/>
      <c r="AP326" s="11"/>
      <c r="CE326" s="7"/>
      <c r="CF326" s="7"/>
      <c r="DK326" s="11"/>
      <c r="DL326" s="11"/>
      <c r="DM326" s="11"/>
      <c r="DN326" s="11"/>
      <c r="DO326" s="11"/>
      <c r="DP326" s="11"/>
      <c r="FE326" s="7"/>
      <c r="FF326" s="7"/>
    </row>
    <row r="327" spans="37:162">
      <c r="AK327" s="11"/>
      <c r="AL327" s="11"/>
      <c r="AM327" s="11"/>
      <c r="AN327" s="11"/>
      <c r="AO327" s="11"/>
      <c r="AP327" s="11"/>
      <c r="CE327" s="7"/>
      <c r="CF327" s="7"/>
      <c r="DK327" s="11"/>
      <c r="DL327" s="11"/>
      <c r="DM327" s="11"/>
      <c r="DN327" s="11"/>
      <c r="DO327" s="11"/>
      <c r="DP327" s="11"/>
      <c r="FE327" s="7"/>
      <c r="FF327" s="7"/>
    </row>
    <row r="328" spans="37:162">
      <c r="AK328" s="11"/>
      <c r="AL328" s="11"/>
      <c r="AM328" s="11"/>
      <c r="AN328" s="11"/>
      <c r="AO328" s="11"/>
      <c r="AP328" s="11"/>
      <c r="CE328" s="7"/>
      <c r="CF328" s="7"/>
      <c r="DK328" s="11"/>
      <c r="DL328" s="11"/>
      <c r="DM328" s="11"/>
      <c r="DN328" s="11"/>
      <c r="DO328" s="11"/>
      <c r="DP328" s="11"/>
      <c r="FE328" s="7"/>
      <c r="FF328" s="7"/>
    </row>
    <row r="329" spans="37:162">
      <c r="AK329" s="11"/>
      <c r="AL329" s="11"/>
      <c r="AM329" s="11"/>
      <c r="AN329" s="11"/>
      <c r="AO329" s="11"/>
      <c r="AP329" s="11"/>
      <c r="CE329" s="7"/>
      <c r="CF329" s="7"/>
      <c r="DK329" s="11"/>
      <c r="DL329" s="11"/>
      <c r="DM329" s="11"/>
      <c r="DN329" s="11"/>
      <c r="DO329" s="11"/>
      <c r="DP329" s="11"/>
      <c r="FE329" s="7"/>
      <c r="FF329" s="7"/>
    </row>
    <row r="330" spans="37:162">
      <c r="AK330" s="11"/>
      <c r="AL330" s="11"/>
      <c r="AM330" s="11"/>
      <c r="AN330" s="11"/>
      <c r="AO330" s="11"/>
      <c r="AP330" s="11"/>
      <c r="CE330" s="7"/>
      <c r="CF330" s="7"/>
      <c r="DK330" s="11"/>
      <c r="DL330" s="11"/>
      <c r="DM330" s="11"/>
      <c r="DN330" s="11"/>
      <c r="DO330" s="11"/>
      <c r="DP330" s="11"/>
      <c r="FE330" s="7"/>
      <c r="FF330" s="7"/>
    </row>
    <row r="331" spans="37:162">
      <c r="AK331" s="11"/>
      <c r="AL331" s="11"/>
      <c r="AM331" s="11"/>
      <c r="AN331" s="11"/>
      <c r="AO331" s="11"/>
      <c r="AP331" s="11"/>
      <c r="CE331" s="7"/>
      <c r="CF331" s="7"/>
      <c r="DK331" s="11"/>
      <c r="DL331" s="11"/>
      <c r="DM331" s="11"/>
      <c r="DN331" s="11"/>
      <c r="DO331" s="11"/>
      <c r="DP331" s="11"/>
      <c r="FE331" s="7"/>
      <c r="FF331" s="7"/>
    </row>
    <row r="332" spans="37:162">
      <c r="AK332" s="11"/>
      <c r="AL332" s="11"/>
      <c r="AM332" s="11"/>
      <c r="AN332" s="11"/>
      <c r="AO332" s="11"/>
      <c r="AP332" s="11"/>
      <c r="CE332" s="7"/>
      <c r="CF332" s="7"/>
      <c r="DK332" s="11"/>
      <c r="DL332" s="11"/>
      <c r="DM332" s="11"/>
      <c r="DN332" s="11"/>
      <c r="DO332" s="11"/>
      <c r="DP332" s="11"/>
      <c r="FE332" s="7"/>
      <c r="FF332" s="7"/>
    </row>
    <row r="333" spans="37:162">
      <c r="AK333" s="11"/>
      <c r="AL333" s="11"/>
      <c r="AM333" s="11"/>
      <c r="AN333" s="11"/>
      <c r="AO333" s="11"/>
      <c r="AP333" s="11"/>
      <c r="CE333" s="7"/>
      <c r="CF333" s="7"/>
      <c r="DK333" s="11"/>
      <c r="DL333" s="11"/>
      <c r="DM333" s="11"/>
      <c r="DN333" s="11"/>
      <c r="DO333" s="11"/>
      <c r="DP333" s="11"/>
      <c r="FE333" s="7"/>
      <c r="FF333" s="7"/>
    </row>
    <row r="334" spans="37:162">
      <c r="AK334" s="11"/>
      <c r="AL334" s="11"/>
      <c r="AM334" s="11"/>
      <c r="AN334" s="11"/>
      <c r="AO334" s="11"/>
      <c r="AP334" s="11"/>
      <c r="CE334" s="7"/>
      <c r="CF334" s="7"/>
      <c r="DK334" s="11"/>
      <c r="DL334" s="11"/>
      <c r="DM334" s="11"/>
      <c r="DN334" s="11"/>
      <c r="DO334" s="11"/>
      <c r="DP334" s="11"/>
      <c r="FE334" s="7"/>
      <c r="FF334" s="7"/>
    </row>
    <row r="335" spans="37:162">
      <c r="AK335" s="11"/>
      <c r="AL335" s="11"/>
      <c r="AM335" s="11"/>
      <c r="AN335" s="11"/>
      <c r="AO335" s="11"/>
      <c r="AP335" s="11"/>
      <c r="CE335" s="7"/>
      <c r="CF335" s="7"/>
      <c r="DK335" s="11"/>
      <c r="DL335" s="11"/>
      <c r="DM335" s="11"/>
      <c r="DN335" s="11"/>
      <c r="DO335" s="11"/>
      <c r="DP335" s="11"/>
      <c r="FE335" s="7"/>
      <c r="FF335" s="7"/>
    </row>
    <row r="336" spans="37:162">
      <c r="AK336" s="11"/>
      <c r="AL336" s="11"/>
      <c r="AM336" s="11"/>
      <c r="AN336" s="11"/>
      <c r="AO336" s="11"/>
      <c r="AP336" s="11"/>
      <c r="CE336" s="7"/>
      <c r="CF336" s="7"/>
      <c r="DK336" s="11"/>
      <c r="DL336" s="11"/>
      <c r="DM336" s="11"/>
      <c r="DN336" s="11"/>
      <c r="DO336" s="11"/>
      <c r="DP336" s="11"/>
      <c r="FE336" s="7"/>
      <c r="FF336" s="7"/>
    </row>
    <row r="337" spans="37:162">
      <c r="AK337" s="11"/>
      <c r="AL337" s="11"/>
      <c r="AM337" s="11"/>
      <c r="AN337" s="11"/>
      <c r="AO337" s="11"/>
      <c r="AP337" s="11"/>
      <c r="CE337" s="7"/>
      <c r="CF337" s="7"/>
      <c r="DK337" s="11"/>
      <c r="DL337" s="11"/>
      <c r="DM337" s="11"/>
      <c r="DN337" s="11"/>
      <c r="DO337" s="11"/>
      <c r="DP337" s="11"/>
      <c r="FE337" s="7"/>
      <c r="FF337" s="7"/>
    </row>
    <row r="338" spans="37:162">
      <c r="AK338" s="11"/>
      <c r="AL338" s="11"/>
      <c r="AM338" s="11"/>
      <c r="AN338" s="11"/>
      <c r="AO338" s="11"/>
      <c r="AP338" s="11"/>
      <c r="CE338" s="7"/>
      <c r="CF338" s="7"/>
      <c r="DK338" s="11"/>
      <c r="DL338" s="11"/>
      <c r="DM338" s="11"/>
      <c r="DN338" s="11"/>
      <c r="DO338" s="11"/>
      <c r="DP338" s="11"/>
      <c r="FE338" s="7"/>
      <c r="FF338" s="7"/>
    </row>
    <row r="339" spans="37:162">
      <c r="AK339" s="11"/>
      <c r="AL339" s="11"/>
      <c r="AM339" s="11"/>
      <c r="AN339" s="11"/>
      <c r="AO339" s="11"/>
      <c r="AP339" s="11"/>
      <c r="CE339" s="7"/>
      <c r="CF339" s="7"/>
      <c r="DK339" s="11"/>
      <c r="DL339" s="11"/>
      <c r="DM339" s="11"/>
      <c r="DN339" s="11"/>
      <c r="DO339" s="11"/>
      <c r="DP339" s="11"/>
      <c r="FE339" s="7"/>
      <c r="FF339" s="7"/>
    </row>
    <row r="340" spans="37:162">
      <c r="AK340" s="11"/>
      <c r="AL340" s="11"/>
      <c r="AM340" s="11"/>
      <c r="AN340" s="11"/>
      <c r="AO340" s="11"/>
      <c r="AP340" s="11"/>
      <c r="CE340" s="7"/>
      <c r="CF340" s="7"/>
      <c r="DK340" s="11"/>
      <c r="DL340" s="11"/>
      <c r="DM340" s="11"/>
      <c r="DN340" s="11"/>
      <c r="DO340" s="11"/>
      <c r="DP340" s="11"/>
      <c r="FE340" s="7"/>
      <c r="FF340" s="7"/>
    </row>
    <row r="341" spans="37:162">
      <c r="AK341" s="11"/>
      <c r="AL341" s="11"/>
      <c r="AM341" s="11"/>
      <c r="AN341" s="11"/>
      <c r="AO341" s="11"/>
      <c r="AP341" s="11"/>
      <c r="CE341" s="7"/>
      <c r="CF341" s="7"/>
      <c r="DK341" s="11"/>
      <c r="DL341" s="11"/>
      <c r="DM341" s="11"/>
      <c r="DN341" s="11"/>
      <c r="DO341" s="11"/>
      <c r="DP341" s="11"/>
      <c r="FE341" s="7"/>
      <c r="FF341" s="7"/>
    </row>
    <row r="342" spans="37:162">
      <c r="AK342" s="11"/>
      <c r="AL342" s="11"/>
      <c r="AM342" s="11"/>
      <c r="AN342" s="11"/>
      <c r="AO342" s="11"/>
      <c r="AP342" s="11"/>
      <c r="CE342" s="7"/>
      <c r="CF342" s="7"/>
      <c r="DK342" s="11"/>
      <c r="DL342" s="11"/>
      <c r="DM342" s="11"/>
      <c r="DN342" s="11"/>
      <c r="DO342" s="11"/>
      <c r="DP342" s="11"/>
      <c r="FE342" s="7"/>
      <c r="FF342" s="7"/>
    </row>
    <row r="343" spans="37:162">
      <c r="AK343" s="11"/>
      <c r="AL343" s="11"/>
      <c r="AM343" s="11"/>
      <c r="AN343" s="11"/>
      <c r="AO343" s="11"/>
      <c r="AP343" s="11"/>
      <c r="CE343" s="7"/>
      <c r="CF343" s="7"/>
      <c r="DK343" s="11"/>
      <c r="DL343" s="11"/>
      <c r="DM343" s="11"/>
      <c r="DN343" s="11"/>
      <c r="DO343" s="11"/>
      <c r="DP343" s="11"/>
      <c r="FE343" s="7"/>
      <c r="FF343" s="7"/>
    </row>
    <row r="344" spans="37:162">
      <c r="AK344" s="11"/>
      <c r="AL344" s="11"/>
      <c r="AM344" s="11"/>
      <c r="AN344" s="11"/>
      <c r="AO344" s="11"/>
      <c r="AP344" s="11"/>
      <c r="CE344" s="7"/>
      <c r="CF344" s="7"/>
      <c r="DK344" s="11"/>
      <c r="DL344" s="11"/>
      <c r="DM344" s="11"/>
      <c r="DN344" s="11"/>
      <c r="DO344" s="11"/>
      <c r="DP344" s="11"/>
      <c r="FE344" s="7"/>
      <c r="FF344" s="7"/>
    </row>
    <row r="345" spans="37:162">
      <c r="AK345" s="11"/>
      <c r="AL345" s="11"/>
      <c r="AM345" s="11"/>
      <c r="AN345" s="11"/>
      <c r="AO345" s="11"/>
      <c r="AP345" s="11"/>
      <c r="CE345" s="7"/>
      <c r="CF345" s="7"/>
      <c r="DK345" s="11"/>
      <c r="DL345" s="11"/>
      <c r="DM345" s="11"/>
      <c r="DN345" s="11"/>
      <c r="DO345" s="11"/>
      <c r="DP345" s="11"/>
      <c r="FE345" s="7"/>
      <c r="FF345" s="7"/>
    </row>
    <row r="346" spans="37:162">
      <c r="AK346" s="11"/>
      <c r="AL346" s="11"/>
      <c r="AM346" s="11"/>
      <c r="AN346" s="11"/>
      <c r="AO346" s="11"/>
      <c r="AP346" s="11"/>
      <c r="CE346" s="7"/>
      <c r="CF346" s="7"/>
      <c r="DK346" s="11"/>
      <c r="DL346" s="11"/>
      <c r="DM346" s="11"/>
      <c r="DN346" s="11"/>
      <c r="DO346" s="11"/>
      <c r="DP346" s="11"/>
      <c r="FE346" s="7"/>
      <c r="FF346" s="7"/>
    </row>
    <row r="347" spans="37:162">
      <c r="AK347" s="11"/>
      <c r="AL347" s="11"/>
      <c r="AM347" s="11"/>
      <c r="AN347" s="11"/>
      <c r="AO347" s="11"/>
      <c r="AP347" s="11"/>
      <c r="CE347" s="7"/>
      <c r="CF347" s="7"/>
      <c r="DK347" s="11"/>
      <c r="DL347" s="11"/>
      <c r="DM347" s="11"/>
      <c r="DN347" s="11"/>
      <c r="DO347" s="11"/>
      <c r="DP347" s="11"/>
      <c r="FE347" s="7"/>
      <c r="FF347" s="7"/>
    </row>
    <row r="348" spans="37:162">
      <c r="AK348" s="11"/>
      <c r="AL348" s="11"/>
      <c r="AM348" s="11"/>
      <c r="AN348" s="11"/>
      <c r="AO348" s="11"/>
      <c r="AP348" s="11"/>
      <c r="CE348" s="7"/>
      <c r="CF348" s="7"/>
      <c r="DK348" s="11"/>
      <c r="DL348" s="11"/>
      <c r="DM348" s="11"/>
      <c r="DN348" s="11"/>
      <c r="DO348" s="11"/>
      <c r="DP348" s="11"/>
      <c r="FE348" s="7"/>
      <c r="FF348" s="7"/>
    </row>
    <row r="349" spans="37:162">
      <c r="AK349" s="11"/>
      <c r="AL349" s="11"/>
      <c r="AM349" s="11"/>
      <c r="AN349" s="11"/>
      <c r="AO349" s="11"/>
      <c r="AP349" s="11"/>
      <c r="CE349" s="7"/>
      <c r="CF349" s="7"/>
      <c r="DK349" s="11"/>
      <c r="DL349" s="11"/>
      <c r="DM349" s="11"/>
      <c r="DN349" s="11"/>
      <c r="DO349" s="11"/>
      <c r="DP349" s="11"/>
      <c r="FE349" s="7"/>
      <c r="FF349" s="7"/>
    </row>
    <row r="350" spans="37:162">
      <c r="AK350" s="11"/>
      <c r="AL350" s="11"/>
      <c r="AM350" s="11"/>
      <c r="AN350" s="11"/>
      <c r="AO350" s="11"/>
      <c r="AP350" s="11"/>
      <c r="CE350" s="7"/>
      <c r="CF350" s="7"/>
      <c r="DK350" s="11"/>
      <c r="DL350" s="11"/>
      <c r="DM350" s="11"/>
      <c r="DN350" s="11"/>
      <c r="DO350" s="11"/>
      <c r="DP350" s="11"/>
      <c r="FE350" s="7"/>
      <c r="FF350" s="7"/>
    </row>
    <row r="351" spans="37:162">
      <c r="AK351" s="11"/>
      <c r="AL351" s="11"/>
      <c r="AM351" s="11"/>
      <c r="AN351" s="11"/>
      <c r="AO351" s="11"/>
      <c r="AP351" s="11"/>
      <c r="CE351" s="7"/>
      <c r="CF351" s="7"/>
      <c r="DK351" s="11"/>
      <c r="DL351" s="11"/>
      <c r="DM351" s="11"/>
      <c r="DN351" s="11"/>
      <c r="DO351" s="11"/>
      <c r="DP351" s="11"/>
      <c r="FE351" s="7"/>
      <c r="FF351" s="7"/>
    </row>
    <row r="352" spans="37:162">
      <c r="AK352" s="11"/>
      <c r="AL352" s="11"/>
      <c r="AM352" s="11"/>
      <c r="AN352" s="11"/>
      <c r="AO352" s="11"/>
      <c r="AP352" s="11"/>
      <c r="CE352" s="7"/>
      <c r="CF352" s="7"/>
      <c r="DK352" s="11"/>
      <c r="DL352" s="11"/>
      <c r="DM352" s="11"/>
      <c r="DN352" s="11"/>
      <c r="DO352" s="11"/>
      <c r="DP352" s="11"/>
      <c r="FE352" s="7"/>
      <c r="FF352" s="7"/>
    </row>
    <row r="353" spans="37:162">
      <c r="AK353" s="11"/>
      <c r="AL353" s="11"/>
      <c r="AM353" s="11"/>
      <c r="AN353" s="11"/>
      <c r="AO353" s="11"/>
      <c r="AP353" s="11"/>
      <c r="CE353" s="7"/>
      <c r="CF353" s="7"/>
      <c r="DK353" s="11"/>
      <c r="DL353" s="11"/>
      <c r="DM353" s="11"/>
      <c r="DN353" s="11"/>
      <c r="DO353" s="11"/>
      <c r="DP353" s="11"/>
      <c r="FE353" s="7"/>
      <c r="FF353" s="7"/>
    </row>
    <row r="354" spans="37:162">
      <c r="AK354" s="11"/>
      <c r="AL354" s="11"/>
      <c r="AM354" s="11"/>
      <c r="AN354" s="11"/>
      <c r="AO354" s="11"/>
      <c r="AP354" s="11"/>
      <c r="CE354" s="7"/>
      <c r="CF354" s="7"/>
      <c r="DK354" s="11"/>
      <c r="DL354" s="11"/>
      <c r="DM354" s="11"/>
      <c r="DN354" s="11"/>
      <c r="DO354" s="11"/>
      <c r="DP354" s="11"/>
      <c r="FE354" s="7"/>
      <c r="FF354" s="7"/>
    </row>
    <row r="355" spans="37:162">
      <c r="AK355" s="11"/>
      <c r="AL355" s="11"/>
      <c r="AM355" s="11"/>
      <c r="AN355" s="11"/>
      <c r="AO355" s="11"/>
      <c r="AP355" s="11"/>
      <c r="CE355" s="7"/>
      <c r="CF355" s="7"/>
      <c r="DK355" s="11"/>
      <c r="DL355" s="11"/>
      <c r="DM355" s="11"/>
      <c r="DN355" s="11"/>
      <c r="DO355" s="11"/>
      <c r="DP355" s="11"/>
      <c r="FE355" s="7"/>
      <c r="FF355" s="7"/>
    </row>
    <row r="356" spans="37:162">
      <c r="AK356" s="11"/>
      <c r="AL356" s="11"/>
      <c r="AM356" s="11"/>
      <c r="AN356" s="11"/>
      <c r="AO356" s="11"/>
      <c r="AP356" s="11"/>
      <c r="CE356" s="7"/>
      <c r="CF356" s="7"/>
      <c r="DK356" s="11"/>
      <c r="DL356" s="11"/>
      <c r="DM356" s="11"/>
      <c r="DN356" s="11"/>
      <c r="DO356" s="11"/>
      <c r="DP356" s="11"/>
      <c r="FE356" s="7"/>
      <c r="FF356" s="7"/>
    </row>
    <row r="357" spans="37:162">
      <c r="AK357" s="11"/>
      <c r="AL357" s="11"/>
      <c r="AM357" s="11"/>
      <c r="AN357" s="11"/>
      <c r="AO357" s="11"/>
      <c r="AP357" s="11"/>
      <c r="CE357" s="7"/>
      <c r="CF357" s="7"/>
      <c r="DK357" s="11"/>
      <c r="DL357" s="11"/>
      <c r="DM357" s="11"/>
      <c r="DN357" s="11"/>
      <c r="DO357" s="11"/>
      <c r="DP357" s="11"/>
      <c r="FE357" s="7"/>
      <c r="FF357" s="7"/>
    </row>
    <row r="358" spans="37:162">
      <c r="AK358" s="11"/>
      <c r="AL358" s="11"/>
      <c r="AM358" s="11"/>
      <c r="AN358" s="11"/>
      <c r="AO358" s="11"/>
      <c r="AP358" s="11"/>
      <c r="CE358" s="7"/>
      <c r="CF358" s="7"/>
      <c r="DK358" s="11"/>
      <c r="DL358" s="11"/>
      <c r="DM358" s="11"/>
      <c r="DN358" s="11"/>
      <c r="DO358" s="11"/>
      <c r="DP358" s="11"/>
      <c r="FE358" s="7"/>
      <c r="FF358" s="7"/>
    </row>
    <row r="359" spans="37:162">
      <c r="AK359" s="11"/>
      <c r="AL359" s="11"/>
      <c r="AM359" s="11"/>
      <c r="AN359" s="11"/>
      <c r="AO359" s="11"/>
      <c r="AP359" s="11"/>
      <c r="CE359" s="7"/>
      <c r="CF359" s="7"/>
      <c r="DK359" s="11"/>
      <c r="DL359" s="11"/>
      <c r="DM359" s="11"/>
      <c r="DN359" s="11"/>
      <c r="DO359" s="11"/>
      <c r="DP359" s="11"/>
      <c r="FE359" s="7"/>
      <c r="FF359" s="7"/>
    </row>
    <row r="360" spans="37:162">
      <c r="AK360" s="11"/>
      <c r="AL360" s="11"/>
      <c r="AM360" s="11"/>
      <c r="AN360" s="11"/>
      <c r="AO360" s="11"/>
      <c r="AP360" s="11"/>
      <c r="CE360" s="7"/>
      <c r="CF360" s="7"/>
      <c r="DK360" s="11"/>
      <c r="DL360" s="11"/>
      <c r="DM360" s="11"/>
      <c r="DN360" s="11"/>
      <c r="DO360" s="11"/>
      <c r="DP360" s="11"/>
      <c r="FE360" s="7"/>
      <c r="FF360" s="7"/>
    </row>
    <row r="361" spans="37:162">
      <c r="AK361" s="11"/>
      <c r="AL361" s="11"/>
      <c r="AM361" s="11"/>
      <c r="AN361" s="11"/>
      <c r="AO361" s="11"/>
      <c r="AP361" s="11"/>
      <c r="CE361" s="7"/>
      <c r="CF361" s="7"/>
      <c r="DK361" s="11"/>
      <c r="DL361" s="11"/>
      <c r="DM361" s="11"/>
      <c r="DN361" s="11"/>
      <c r="DO361" s="11"/>
      <c r="DP361" s="11"/>
      <c r="FE361" s="7"/>
      <c r="FF361" s="7"/>
    </row>
    <row r="362" spans="37:162">
      <c r="AK362" s="11"/>
      <c r="AL362" s="11"/>
      <c r="AM362" s="11"/>
      <c r="AN362" s="11"/>
      <c r="AO362" s="11"/>
      <c r="AP362" s="11"/>
      <c r="CE362" s="7"/>
      <c r="CF362" s="7"/>
      <c r="DK362" s="11"/>
      <c r="DL362" s="11"/>
      <c r="DM362" s="11"/>
      <c r="DN362" s="11"/>
      <c r="DO362" s="11"/>
      <c r="DP362" s="11"/>
      <c r="FE362" s="7"/>
      <c r="FF362" s="7"/>
    </row>
    <row r="363" spans="37:162">
      <c r="AK363" s="11"/>
      <c r="AL363" s="11"/>
      <c r="AM363" s="11"/>
      <c r="AN363" s="11"/>
      <c r="AO363" s="11"/>
      <c r="AP363" s="11"/>
      <c r="CE363" s="7"/>
      <c r="CF363" s="7"/>
      <c r="DK363" s="11"/>
      <c r="DL363" s="11"/>
      <c r="DM363" s="11"/>
      <c r="DN363" s="11"/>
      <c r="DO363" s="11"/>
      <c r="DP363" s="11"/>
      <c r="FE363" s="7"/>
      <c r="FF363" s="7"/>
    </row>
    <row r="364" spans="37:162">
      <c r="AK364" s="11"/>
      <c r="AL364" s="11"/>
      <c r="AM364" s="11"/>
      <c r="AN364" s="11"/>
      <c r="AO364" s="11"/>
      <c r="AP364" s="11"/>
      <c r="CE364" s="7"/>
      <c r="CF364" s="7"/>
      <c r="DK364" s="11"/>
      <c r="DL364" s="11"/>
      <c r="DM364" s="11"/>
      <c r="DN364" s="11"/>
      <c r="DO364" s="11"/>
      <c r="DP364" s="11"/>
      <c r="FE364" s="7"/>
      <c r="FF364" s="7"/>
    </row>
    <row r="365" spans="37:162">
      <c r="AK365" s="11"/>
      <c r="AL365" s="11"/>
      <c r="AM365" s="11"/>
      <c r="AN365" s="11"/>
      <c r="AO365" s="11"/>
      <c r="AP365" s="11"/>
      <c r="CE365" s="7"/>
      <c r="CF365" s="7"/>
      <c r="DK365" s="11"/>
      <c r="DL365" s="11"/>
      <c r="DM365" s="11"/>
      <c r="DN365" s="11"/>
      <c r="DO365" s="11"/>
      <c r="DP365" s="11"/>
      <c r="FE365" s="7"/>
      <c r="FF365" s="7"/>
    </row>
    <row r="366" spans="37:162">
      <c r="AK366" s="11"/>
      <c r="AL366" s="11"/>
      <c r="AM366" s="11"/>
      <c r="AN366" s="11"/>
      <c r="AO366" s="11"/>
      <c r="AP366" s="11"/>
      <c r="CE366" s="7"/>
      <c r="CF366" s="7"/>
      <c r="DK366" s="11"/>
      <c r="DL366" s="11"/>
      <c r="DM366" s="11"/>
      <c r="DN366" s="11"/>
      <c r="DO366" s="11"/>
      <c r="DP366" s="11"/>
      <c r="FE366" s="7"/>
      <c r="FF366" s="7"/>
    </row>
    <row r="367" spans="37:162">
      <c r="AK367" s="11"/>
      <c r="AL367" s="11"/>
      <c r="AM367" s="11"/>
      <c r="AN367" s="11"/>
      <c r="AO367" s="11"/>
      <c r="AP367" s="11"/>
      <c r="CE367" s="7"/>
      <c r="CF367" s="7"/>
      <c r="DK367" s="11"/>
      <c r="DL367" s="11"/>
      <c r="DM367" s="11"/>
      <c r="DN367" s="11"/>
      <c r="DO367" s="11"/>
      <c r="DP367" s="11"/>
      <c r="FE367" s="7"/>
      <c r="FF367" s="7"/>
    </row>
    <row r="368" spans="37:162">
      <c r="AK368" s="11"/>
      <c r="AL368" s="11"/>
      <c r="AM368" s="11"/>
      <c r="AN368" s="11"/>
      <c r="AO368" s="11"/>
      <c r="AP368" s="11"/>
      <c r="CE368" s="7"/>
      <c r="CF368" s="7"/>
      <c r="DK368" s="11"/>
      <c r="DL368" s="11"/>
      <c r="DM368" s="11"/>
      <c r="DN368" s="11"/>
      <c r="DO368" s="11"/>
      <c r="DP368" s="11"/>
      <c r="FE368" s="7"/>
      <c r="FF368" s="7"/>
    </row>
    <row r="369" spans="37:162">
      <c r="AK369" s="11"/>
      <c r="AL369" s="11"/>
      <c r="AM369" s="11"/>
      <c r="AN369" s="11"/>
      <c r="AO369" s="11"/>
      <c r="AP369" s="11"/>
      <c r="CE369" s="7"/>
      <c r="CF369" s="7"/>
      <c r="DK369" s="11"/>
      <c r="DL369" s="11"/>
      <c r="DM369" s="11"/>
      <c r="DN369" s="11"/>
      <c r="DO369" s="11"/>
      <c r="DP369" s="11"/>
      <c r="FE369" s="7"/>
      <c r="FF369" s="7"/>
    </row>
    <row r="370" spans="37:162">
      <c r="AK370" s="11"/>
      <c r="AL370" s="11"/>
      <c r="AM370" s="11"/>
      <c r="AN370" s="11"/>
      <c r="AO370" s="11"/>
      <c r="AP370" s="11"/>
      <c r="CE370" s="7"/>
      <c r="CF370" s="7"/>
      <c r="DK370" s="11"/>
      <c r="DL370" s="11"/>
      <c r="DM370" s="11"/>
      <c r="DN370" s="11"/>
      <c r="DO370" s="11"/>
      <c r="DP370" s="11"/>
      <c r="FE370" s="7"/>
      <c r="FF370" s="7"/>
    </row>
    <row r="371" spans="37:162">
      <c r="AK371" s="11"/>
      <c r="AL371" s="11"/>
      <c r="AM371" s="11"/>
      <c r="AN371" s="11"/>
      <c r="AO371" s="11"/>
      <c r="AP371" s="11"/>
      <c r="CE371" s="7"/>
      <c r="CF371" s="7"/>
      <c r="DK371" s="11"/>
      <c r="DL371" s="11"/>
      <c r="DM371" s="11"/>
      <c r="DN371" s="11"/>
      <c r="DO371" s="11"/>
      <c r="DP371" s="11"/>
      <c r="FE371" s="7"/>
      <c r="FF371" s="7"/>
    </row>
    <row r="372" spans="37:162">
      <c r="AK372" s="11"/>
      <c r="AL372" s="11"/>
      <c r="AM372" s="11"/>
      <c r="AN372" s="11"/>
      <c r="AO372" s="11"/>
      <c r="AP372" s="11"/>
      <c r="CE372" s="7"/>
      <c r="CF372" s="7"/>
      <c r="DK372" s="11"/>
      <c r="DL372" s="11"/>
      <c r="DM372" s="11"/>
      <c r="DN372" s="11"/>
      <c r="DO372" s="11"/>
      <c r="DP372" s="11"/>
      <c r="FE372" s="7"/>
      <c r="FF372" s="7"/>
    </row>
    <row r="373" spans="37:162">
      <c r="AK373" s="11"/>
      <c r="AL373" s="11"/>
      <c r="AM373" s="11"/>
      <c r="AN373" s="11"/>
      <c r="AO373" s="11"/>
      <c r="AP373" s="11"/>
      <c r="CE373" s="7"/>
      <c r="CF373" s="7"/>
      <c r="DK373" s="11"/>
      <c r="DL373" s="11"/>
      <c r="DM373" s="11"/>
      <c r="DN373" s="11"/>
      <c r="DO373" s="11"/>
      <c r="DP373" s="11"/>
      <c r="FE373" s="7"/>
      <c r="FF373" s="7"/>
    </row>
    <row r="374" spans="37:162">
      <c r="AK374" s="11"/>
      <c r="AL374" s="11"/>
      <c r="AM374" s="11"/>
      <c r="AN374" s="11"/>
      <c r="AO374" s="11"/>
      <c r="AP374" s="11"/>
      <c r="CE374" s="7"/>
      <c r="CF374" s="7"/>
      <c r="DK374" s="11"/>
      <c r="DL374" s="11"/>
      <c r="DM374" s="11"/>
      <c r="DN374" s="11"/>
      <c r="DO374" s="11"/>
      <c r="DP374" s="11"/>
      <c r="FE374" s="7"/>
      <c r="FF374" s="7"/>
    </row>
    <row r="375" spans="37:162">
      <c r="AK375" s="11"/>
      <c r="AL375" s="11"/>
      <c r="AM375" s="11"/>
      <c r="AN375" s="11"/>
      <c r="AO375" s="11"/>
      <c r="AP375" s="11"/>
      <c r="CE375" s="7"/>
      <c r="CF375" s="7"/>
      <c r="DK375" s="11"/>
      <c r="DL375" s="11"/>
      <c r="DM375" s="11"/>
      <c r="DN375" s="11"/>
      <c r="DO375" s="11"/>
      <c r="DP375" s="11"/>
      <c r="FE375" s="7"/>
      <c r="FF375" s="7"/>
    </row>
    <row r="376" spans="37:162">
      <c r="AK376" s="11"/>
      <c r="AL376" s="11"/>
      <c r="AM376" s="11"/>
      <c r="AN376" s="11"/>
      <c r="AO376" s="11"/>
      <c r="AP376" s="11"/>
      <c r="CE376" s="7"/>
      <c r="CF376" s="7"/>
      <c r="DK376" s="11"/>
      <c r="DL376" s="11"/>
      <c r="DM376" s="11"/>
      <c r="DN376" s="11"/>
      <c r="DO376" s="11"/>
      <c r="DP376" s="11"/>
      <c r="FE376" s="7"/>
      <c r="FF376" s="7"/>
    </row>
    <row r="377" spans="37:162">
      <c r="AK377" s="11"/>
      <c r="AL377" s="11"/>
      <c r="AM377" s="11"/>
      <c r="AN377" s="11"/>
      <c r="AO377" s="11"/>
      <c r="AP377" s="11"/>
      <c r="CE377" s="7"/>
      <c r="CF377" s="7"/>
      <c r="DK377" s="11"/>
      <c r="DL377" s="11"/>
      <c r="DM377" s="11"/>
      <c r="DN377" s="11"/>
      <c r="DO377" s="11"/>
      <c r="DP377" s="11"/>
      <c r="FE377" s="7"/>
      <c r="FF377" s="7"/>
    </row>
    <row r="378" spans="37:162">
      <c r="AK378" s="11"/>
      <c r="AL378" s="11"/>
      <c r="AM378" s="11"/>
      <c r="AN378" s="11"/>
      <c r="AO378" s="11"/>
      <c r="AP378" s="11"/>
      <c r="CE378" s="7"/>
      <c r="CF378" s="7"/>
      <c r="DK378" s="11"/>
      <c r="DL378" s="11"/>
      <c r="DM378" s="11"/>
      <c r="DN378" s="11"/>
      <c r="DO378" s="11"/>
      <c r="DP378" s="11"/>
      <c r="FE378" s="7"/>
      <c r="FF378" s="7"/>
    </row>
    <row r="379" spans="37:162">
      <c r="AK379" s="11"/>
      <c r="AL379" s="11"/>
      <c r="AM379" s="11"/>
      <c r="AN379" s="11"/>
      <c r="AO379" s="11"/>
      <c r="AP379" s="11"/>
      <c r="CE379" s="7"/>
      <c r="CF379" s="7"/>
      <c r="DK379" s="11"/>
      <c r="DL379" s="11"/>
      <c r="DM379" s="11"/>
      <c r="DN379" s="11"/>
      <c r="DO379" s="11"/>
      <c r="DP379" s="11"/>
      <c r="FE379" s="7"/>
      <c r="FF379" s="7"/>
    </row>
    <row r="380" spans="37:162">
      <c r="AK380" s="11"/>
      <c r="AL380" s="11"/>
      <c r="AM380" s="11"/>
      <c r="AN380" s="11"/>
      <c r="AO380" s="11"/>
      <c r="AP380" s="11"/>
      <c r="CE380" s="7"/>
      <c r="CF380" s="7"/>
      <c r="DK380" s="11"/>
      <c r="DL380" s="11"/>
      <c r="DM380" s="11"/>
      <c r="DN380" s="11"/>
      <c r="DO380" s="11"/>
      <c r="DP380" s="11"/>
      <c r="FE380" s="7"/>
      <c r="FF380" s="7"/>
    </row>
    <row r="381" spans="37:162">
      <c r="AK381" s="11"/>
      <c r="AL381" s="11"/>
      <c r="AM381" s="11"/>
      <c r="AN381" s="11"/>
      <c r="AO381" s="11"/>
      <c r="AP381" s="11"/>
      <c r="CE381" s="7"/>
      <c r="CF381" s="7"/>
      <c r="DK381" s="11"/>
      <c r="DL381" s="11"/>
      <c r="DM381" s="11"/>
      <c r="DN381" s="11"/>
      <c r="DO381" s="11"/>
      <c r="DP381" s="11"/>
      <c r="FE381" s="7"/>
      <c r="FF381" s="7"/>
    </row>
    <row r="382" spans="37:162">
      <c r="AK382" s="11"/>
      <c r="AL382" s="11"/>
      <c r="AM382" s="11"/>
      <c r="AN382" s="11"/>
      <c r="AO382" s="11"/>
      <c r="AP382" s="11"/>
      <c r="CE382" s="7"/>
      <c r="CF382" s="7"/>
      <c r="DK382" s="11"/>
      <c r="DL382" s="11"/>
      <c r="DM382" s="11"/>
      <c r="DN382" s="11"/>
      <c r="DO382" s="11"/>
      <c r="DP382" s="11"/>
      <c r="FE382" s="7"/>
      <c r="FF382" s="7"/>
    </row>
    <row r="383" spans="37:162">
      <c r="AK383" s="11"/>
      <c r="AL383" s="11"/>
      <c r="AM383" s="11"/>
      <c r="AN383" s="11"/>
      <c r="AO383" s="11"/>
      <c r="AP383" s="11"/>
      <c r="CE383" s="7"/>
      <c r="CF383" s="7"/>
      <c r="DK383" s="11"/>
      <c r="DL383" s="11"/>
      <c r="DM383" s="11"/>
      <c r="DN383" s="11"/>
      <c r="DO383" s="11"/>
      <c r="DP383" s="11"/>
      <c r="FE383" s="7"/>
      <c r="FF383" s="7"/>
    </row>
    <row r="384" spans="37:162">
      <c r="AK384" s="11"/>
      <c r="AL384" s="11"/>
      <c r="AM384" s="11"/>
      <c r="AN384" s="11"/>
      <c r="AO384" s="11"/>
      <c r="AP384" s="11"/>
      <c r="CE384" s="7"/>
      <c r="CF384" s="7"/>
      <c r="DK384" s="11"/>
      <c r="DL384" s="11"/>
      <c r="DM384" s="11"/>
      <c r="DN384" s="11"/>
      <c r="DO384" s="11"/>
      <c r="DP384" s="11"/>
      <c r="FE384" s="7"/>
      <c r="FF384" s="7"/>
    </row>
    <row r="385" spans="37:162">
      <c r="AK385" s="11"/>
      <c r="AL385" s="11"/>
      <c r="AM385" s="11"/>
      <c r="AN385" s="11"/>
      <c r="AO385" s="11"/>
      <c r="AP385" s="11"/>
      <c r="CE385" s="7"/>
      <c r="CF385" s="7"/>
      <c r="DK385" s="11"/>
      <c r="DL385" s="11"/>
      <c r="DM385" s="11"/>
      <c r="DN385" s="11"/>
      <c r="DO385" s="11"/>
      <c r="DP385" s="11"/>
      <c r="FE385" s="7"/>
      <c r="FF385" s="7"/>
    </row>
    <row r="386" spans="37:162">
      <c r="AK386" s="11"/>
      <c r="AL386" s="11"/>
      <c r="AM386" s="11"/>
      <c r="AN386" s="11"/>
      <c r="AO386" s="11"/>
      <c r="AP386" s="11"/>
      <c r="CE386" s="7"/>
      <c r="CF386" s="7"/>
      <c r="DK386" s="11"/>
      <c r="DL386" s="11"/>
      <c r="DM386" s="11"/>
      <c r="DN386" s="11"/>
      <c r="DO386" s="11"/>
      <c r="DP386" s="11"/>
      <c r="FE386" s="7"/>
      <c r="FF386" s="7"/>
    </row>
    <row r="387" spans="37:162">
      <c r="AK387" s="11"/>
      <c r="AL387" s="11"/>
      <c r="AM387" s="11"/>
      <c r="AN387" s="11"/>
      <c r="AO387" s="11"/>
      <c r="AP387" s="11"/>
      <c r="CE387" s="7"/>
      <c r="CF387" s="7"/>
      <c r="DK387" s="11"/>
      <c r="DL387" s="11"/>
      <c r="DM387" s="11"/>
      <c r="DN387" s="11"/>
      <c r="DO387" s="11"/>
      <c r="DP387" s="11"/>
      <c r="FE387" s="7"/>
      <c r="FF387" s="7"/>
    </row>
    <row r="388" spans="37:162">
      <c r="AK388" s="11"/>
      <c r="AL388" s="11"/>
      <c r="AM388" s="11"/>
      <c r="AN388" s="11"/>
      <c r="AO388" s="11"/>
      <c r="AP388" s="11"/>
      <c r="CE388" s="7"/>
      <c r="CF388" s="7"/>
      <c r="DK388" s="11"/>
      <c r="DL388" s="11"/>
      <c r="DM388" s="11"/>
      <c r="DN388" s="11"/>
      <c r="DO388" s="11"/>
      <c r="DP388" s="11"/>
      <c r="FE388" s="7"/>
      <c r="FF388" s="7"/>
    </row>
    <row r="389" spans="37:162">
      <c r="AK389" s="11"/>
      <c r="AL389" s="11"/>
      <c r="AM389" s="11"/>
      <c r="AN389" s="11"/>
      <c r="AO389" s="11"/>
      <c r="AP389" s="11"/>
      <c r="CE389" s="7"/>
      <c r="CF389" s="7"/>
      <c r="DK389" s="11"/>
      <c r="DL389" s="11"/>
      <c r="DM389" s="11"/>
      <c r="DN389" s="11"/>
      <c r="DO389" s="11"/>
      <c r="DP389" s="11"/>
      <c r="FE389" s="7"/>
      <c r="FF389" s="7"/>
    </row>
    <row r="390" spans="37:162">
      <c r="AK390" s="11"/>
      <c r="AL390" s="11"/>
      <c r="AM390" s="11"/>
      <c r="AN390" s="11"/>
      <c r="AO390" s="11"/>
      <c r="AP390" s="11"/>
      <c r="CE390" s="7"/>
      <c r="CF390" s="7"/>
      <c r="DK390" s="11"/>
      <c r="DL390" s="11"/>
      <c r="DM390" s="11"/>
      <c r="DN390" s="11"/>
      <c r="DO390" s="11"/>
      <c r="DP390" s="11"/>
      <c r="FE390" s="7"/>
      <c r="FF390" s="7"/>
    </row>
    <row r="391" spans="37:162">
      <c r="AK391" s="11"/>
      <c r="AL391" s="11"/>
      <c r="AM391" s="11"/>
      <c r="AN391" s="11"/>
      <c r="AO391" s="11"/>
      <c r="AP391" s="11"/>
      <c r="CE391" s="7"/>
      <c r="CF391" s="7"/>
      <c r="DK391" s="11"/>
      <c r="DL391" s="11"/>
      <c r="DM391" s="11"/>
      <c r="DN391" s="11"/>
      <c r="DO391" s="11"/>
      <c r="DP391" s="11"/>
      <c r="FE391" s="7"/>
      <c r="FF391" s="7"/>
    </row>
    <row r="392" spans="37:162">
      <c r="AK392" s="11"/>
      <c r="AL392" s="11"/>
      <c r="AM392" s="11"/>
      <c r="AN392" s="11"/>
      <c r="AO392" s="11"/>
      <c r="AP392" s="11"/>
      <c r="CE392" s="7"/>
      <c r="CF392" s="7"/>
      <c r="DK392" s="11"/>
      <c r="DL392" s="11"/>
      <c r="DM392" s="11"/>
      <c r="DN392" s="11"/>
      <c r="DO392" s="11"/>
      <c r="DP392" s="11"/>
      <c r="FE392" s="7"/>
      <c r="FF392" s="7"/>
    </row>
    <row r="393" spans="37:162">
      <c r="AK393" s="11"/>
      <c r="AL393" s="11"/>
      <c r="AM393" s="11"/>
      <c r="AN393" s="11"/>
      <c r="AO393" s="11"/>
      <c r="AP393" s="11"/>
      <c r="CE393" s="7"/>
      <c r="CF393" s="7"/>
      <c r="DK393" s="11"/>
      <c r="DL393" s="11"/>
      <c r="DM393" s="11"/>
      <c r="DN393" s="11"/>
      <c r="DO393" s="11"/>
      <c r="DP393" s="11"/>
      <c r="FE393" s="7"/>
      <c r="FF393" s="7"/>
    </row>
    <row r="394" spans="37:162">
      <c r="AK394" s="11"/>
      <c r="AL394" s="11"/>
      <c r="AM394" s="11"/>
      <c r="AN394" s="11"/>
      <c r="AO394" s="11"/>
      <c r="AP394" s="11"/>
      <c r="CE394" s="7"/>
      <c r="CF394" s="7"/>
      <c r="DK394" s="11"/>
      <c r="DL394" s="11"/>
      <c r="DM394" s="11"/>
      <c r="DN394" s="11"/>
      <c r="DO394" s="11"/>
      <c r="DP394" s="11"/>
      <c r="FE394" s="7"/>
      <c r="FF394" s="7"/>
    </row>
    <row r="395" spans="37:162">
      <c r="AK395" s="11"/>
      <c r="AL395" s="11"/>
      <c r="AM395" s="11"/>
      <c r="AN395" s="11"/>
      <c r="AO395" s="11"/>
      <c r="AP395" s="11"/>
      <c r="CE395" s="7"/>
      <c r="CF395" s="7"/>
      <c r="DK395" s="11"/>
      <c r="DL395" s="11"/>
      <c r="DM395" s="11"/>
      <c r="DN395" s="11"/>
      <c r="DO395" s="11"/>
      <c r="DP395" s="11"/>
      <c r="FE395" s="7"/>
      <c r="FF395" s="7"/>
    </row>
    <row r="396" spans="37:162">
      <c r="AK396" s="11"/>
      <c r="AL396" s="11"/>
      <c r="AM396" s="11"/>
      <c r="AN396" s="11"/>
      <c r="AO396" s="11"/>
      <c r="AP396" s="11"/>
      <c r="CE396" s="7"/>
      <c r="CF396" s="7"/>
      <c r="DK396" s="11"/>
      <c r="DL396" s="11"/>
      <c r="DM396" s="11"/>
      <c r="DN396" s="11"/>
      <c r="DO396" s="11"/>
      <c r="DP396" s="11"/>
      <c r="FE396" s="7"/>
      <c r="FF396" s="7"/>
    </row>
    <row r="397" spans="37:162">
      <c r="AK397" s="11"/>
      <c r="AL397" s="11"/>
      <c r="AM397" s="11"/>
      <c r="AN397" s="11"/>
      <c r="AO397" s="11"/>
      <c r="AP397" s="11"/>
      <c r="CE397" s="7"/>
      <c r="CF397" s="7"/>
      <c r="DK397" s="11"/>
      <c r="DL397" s="11"/>
      <c r="DM397" s="11"/>
      <c r="DN397" s="11"/>
      <c r="DO397" s="11"/>
      <c r="DP397" s="11"/>
      <c r="FE397" s="7"/>
      <c r="FF397" s="7"/>
    </row>
    <row r="398" spans="37:162">
      <c r="AK398" s="11"/>
      <c r="AL398" s="11"/>
      <c r="AM398" s="11"/>
      <c r="AN398" s="11"/>
      <c r="AO398" s="11"/>
      <c r="AP398" s="11"/>
      <c r="CE398" s="7"/>
      <c r="CF398" s="7"/>
      <c r="DK398" s="11"/>
      <c r="DL398" s="11"/>
      <c r="DM398" s="11"/>
      <c r="DN398" s="11"/>
      <c r="DO398" s="11"/>
      <c r="DP398" s="11"/>
      <c r="FE398" s="7"/>
      <c r="FF398" s="7"/>
    </row>
    <row r="399" spans="37:162">
      <c r="AK399" s="11"/>
      <c r="AL399" s="11"/>
      <c r="AM399" s="11"/>
      <c r="AN399" s="11"/>
      <c r="AO399" s="11"/>
      <c r="AP399" s="11"/>
      <c r="CE399" s="7"/>
      <c r="CF399" s="7"/>
      <c r="DK399" s="11"/>
      <c r="DL399" s="11"/>
      <c r="DM399" s="11"/>
      <c r="DN399" s="11"/>
      <c r="DO399" s="11"/>
      <c r="DP399" s="11"/>
      <c r="FE399" s="7"/>
      <c r="FF399" s="7"/>
    </row>
    <row r="400" spans="37:162">
      <c r="AK400" s="11"/>
      <c r="AL400" s="11"/>
      <c r="AM400" s="11"/>
      <c r="AN400" s="11"/>
      <c r="AO400" s="11"/>
      <c r="AP400" s="11"/>
      <c r="CE400" s="7"/>
      <c r="CF400" s="7"/>
      <c r="DK400" s="11"/>
      <c r="DL400" s="11"/>
      <c r="DM400" s="11"/>
      <c r="DN400" s="11"/>
      <c r="DO400" s="11"/>
      <c r="DP400" s="11"/>
      <c r="FE400" s="7"/>
      <c r="FF400" s="7"/>
    </row>
    <row r="401" spans="37:162">
      <c r="AK401" s="11"/>
      <c r="AL401" s="11"/>
      <c r="AM401" s="11"/>
      <c r="AN401" s="11"/>
      <c r="AO401" s="11"/>
      <c r="AP401" s="11"/>
      <c r="CE401" s="7"/>
      <c r="CF401" s="7"/>
      <c r="DK401" s="11"/>
      <c r="DL401" s="11"/>
      <c r="DM401" s="11"/>
      <c r="DN401" s="11"/>
      <c r="DO401" s="11"/>
      <c r="DP401" s="11"/>
      <c r="FE401" s="7"/>
      <c r="FF401" s="7"/>
    </row>
    <row r="402" spans="37:162">
      <c r="AK402" s="11"/>
      <c r="AL402" s="11"/>
      <c r="AM402" s="11"/>
      <c r="AN402" s="11"/>
      <c r="AO402" s="11"/>
      <c r="AP402" s="11"/>
      <c r="CE402" s="7"/>
      <c r="CF402" s="7"/>
      <c r="DK402" s="11"/>
      <c r="DL402" s="11"/>
      <c r="DM402" s="11"/>
      <c r="DN402" s="11"/>
      <c r="DO402" s="11"/>
      <c r="DP402" s="11"/>
      <c r="FE402" s="7"/>
      <c r="FF402" s="7"/>
    </row>
    <row r="403" spans="37:162">
      <c r="AK403" s="11"/>
      <c r="AL403" s="11"/>
      <c r="AM403" s="11"/>
      <c r="AN403" s="11"/>
      <c r="AO403" s="11"/>
      <c r="AP403" s="11"/>
      <c r="CE403" s="7"/>
      <c r="CF403" s="7"/>
      <c r="DK403" s="11"/>
      <c r="DL403" s="11"/>
      <c r="DM403" s="11"/>
      <c r="DN403" s="11"/>
      <c r="DO403" s="11"/>
      <c r="DP403" s="11"/>
      <c r="FE403" s="7"/>
      <c r="FF403" s="7"/>
    </row>
    <row r="404" spans="37:162">
      <c r="AK404" s="11"/>
      <c r="AL404" s="11"/>
      <c r="AM404" s="11"/>
      <c r="AN404" s="11"/>
      <c r="AO404" s="11"/>
      <c r="AP404" s="11"/>
      <c r="CE404" s="7"/>
      <c r="CF404" s="7"/>
      <c r="DK404" s="11"/>
      <c r="DL404" s="11"/>
      <c r="DM404" s="11"/>
      <c r="DN404" s="11"/>
      <c r="DO404" s="11"/>
      <c r="DP404" s="11"/>
      <c r="FE404" s="7"/>
      <c r="FF404" s="7"/>
    </row>
    <row r="405" spans="37:162">
      <c r="AK405" s="11"/>
      <c r="AL405" s="11"/>
      <c r="AM405" s="11"/>
      <c r="AN405" s="11"/>
      <c r="AO405" s="11"/>
      <c r="AP405" s="11"/>
      <c r="CE405" s="7"/>
      <c r="CF405" s="7"/>
      <c r="DK405" s="11"/>
      <c r="DL405" s="11"/>
      <c r="DM405" s="11"/>
      <c r="DN405" s="11"/>
      <c r="DO405" s="11"/>
      <c r="DP405" s="11"/>
      <c r="FE405" s="7"/>
      <c r="FF405" s="7"/>
    </row>
    <row r="406" spans="37:162">
      <c r="AK406" s="11"/>
      <c r="AL406" s="11"/>
      <c r="AM406" s="11"/>
      <c r="AN406" s="11"/>
      <c r="AO406" s="11"/>
      <c r="AP406" s="11"/>
      <c r="CE406" s="7"/>
      <c r="CF406" s="7"/>
      <c r="DK406" s="11"/>
      <c r="DL406" s="11"/>
      <c r="DM406" s="11"/>
      <c r="DN406" s="11"/>
      <c r="DO406" s="11"/>
      <c r="DP406" s="11"/>
      <c r="FE406" s="7"/>
      <c r="FF406" s="7"/>
    </row>
    <row r="407" spans="37:162">
      <c r="AK407" s="11"/>
      <c r="AL407" s="11"/>
      <c r="AM407" s="11"/>
      <c r="AN407" s="11"/>
      <c r="AO407" s="11"/>
      <c r="AP407" s="11"/>
      <c r="CE407" s="7"/>
      <c r="CF407" s="7"/>
      <c r="DK407" s="11"/>
      <c r="DL407" s="11"/>
      <c r="DM407" s="11"/>
      <c r="DN407" s="11"/>
      <c r="DO407" s="11"/>
      <c r="DP407" s="11"/>
      <c r="FE407" s="7"/>
      <c r="FF407" s="7"/>
    </row>
    <row r="408" spans="37:162">
      <c r="AK408" s="11"/>
      <c r="AL408" s="11"/>
      <c r="AM408" s="11"/>
      <c r="AN408" s="11"/>
      <c r="AO408" s="11"/>
      <c r="AP408" s="11"/>
      <c r="CE408" s="7"/>
      <c r="CF408" s="7"/>
      <c r="DK408" s="11"/>
      <c r="DL408" s="11"/>
      <c r="DM408" s="11"/>
      <c r="DN408" s="11"/>
      <c r="DO408" s="11"/>
      <c r="DP408" s="11"/>
      <c r="FE408" s="7"/>
      <c r="FF408" s="7"/>
    </row>
    <row r="409" spans="37:162">
      <c r="AK409" s="11"/>
      <c r="AL409" s="11"/>
      <c r="AM409" s="11"/>
      <c r="AN409" s="11"/>
      <c r="AO409" s="11"/>
      <c r="AP409" s="11"/>
      <c r="CE409" s="7"/>
      <c r="CF409" s="7"/>
      <c r="DK409" s="11"/>
      <c r="DL409" s="11"/>
      <c r="DM409" s="11"/>
      <c r="DN409" s="11"/>
      <c r="DO409" s="11"/>
      <c r="DP409" s="11"/>
      <c r="FE409" s="7"/>
      <c r="FF409" s="7"/>
    </row>
    <row r="410" spans="37:162">
      <c r="AK410" s="11"/>
      <c r="AL410" s="11"/>
      <c r="AM410" s="11"/>
      <c r="AN410" s="11"/>
      <c r="AO410" s="11"/>
      <c r="AP410" s="11"/>
      <c r="CE410" s="7"/>
      <c r="CF410" s="7"/>
      <c r="DK410" s="11"/>
      <c r="DL410" s="11"/>
      <c r="DM410" s="11"/>
      <c r="DN410" s="11"/>
      <c r="DO410" s="11"/>
      <c r="DP410" s="11"/>
      <c r="FE410" s="7"/>
      <c r="FF410" s="7"/>
    </row>
    <row r="411" spans="37:162">
      <c r="AK411" s="11"/>
      <c r="AL411" s="11"/>
      <c r="AM411" s="11"/>
      <c r="AN411" s="11"/>
      <c r="AO411" s="11"/>
      <c r="AP411" s="11"/>
      <c r="CE411" s="7"/>
      <c r="CF411" s="7"/>
      <c r="DK411" s="11"/>
      <c r="DL411" s="11"/>
      <c r="DM411" s="11"/>
      <c r="DN411" s="11"/>
      <c r="DO411" s="11"/>
      <c r="DP411" s="11"/>
      <c r="FE411" s="7"/>
      <c r="FF411" s="7"/>
    </row>
    <row r="412" spans="37:162">
      <c r="AK412" s="11"/>
      <c r="AL412" s="11"/>
      <c r="AM412" s="11"/>
      <c r="AN412" s="11"/>
      <c r="AO412" s="11"/>
      <c r="AP412" s="11"/>
      <c r="CE412" s="7"/>
      <c r="CF412" s="7"/>
      <c r="DK412" s="11"/>
      <c r="DL412" s="11"/>
      <c r="DM412" s="11"/>
      <c r="DN412" s="11"/>
      <c r="DO412" s="11"/>
      <c r="DP412" s="11"/>
      <c r="FE412" s="7"/>
      <c r="FF412" s="7"/>
    </row>
    <row r="413" spans="37:162">
      <c r="AK413" s="11"/>
      <c r="AL413" s="11"/>
      <c r="AM413" s="11"/>
      <c r="AN413" s="11"/>
      <c r="AO413" s="11"/>
      <c r="AP413" s="11"/>
      <c r="CE413" s="7"/>
      <c r="CF413" s="7"/>
      <c r="DK413" s="11"/>
      <c r="DL413" s="11"/>
      <c r="DM413" s="11"/>
      <c r="DN413" s="11"/>
      <c r="DO413" s="11"/>
      <c r="DP413" s="11"/>
      <c r="FE413" s="7"/>
      <c r="FF413" s="7"/>
    </row>
    <row r="414" spans="37:162">
      <c r="AK414" s="11"/>
      <c r="AL414" s="11"/>
      <c r="AM414" s="11"/>
      <c r="AN414" s="11"/>
      <c r="AO414" s="11"/>
      <c r="AP414" s="11"/>
      <c r="CE414" s="7"/>
      <c r="CF414" s="7"/>
      <c r="DK414" s="11"/>
      <c r="DL414" s="11"/>
      <c r="DM414" s="11"/>
      <c r="DN414" s="11"/>
      <c r="DO414" s="11"/>
      <c r="DP414" s="11"/>
      <c r="FE414" s="7"/>
      <c r="FF414" s="7"/>
    </row>
    <row r="415" spans="37:162">
      <c r="AK415" s="11"/>
      <c r="AL415" s="11"/>
      <c r="AM415" s="11"/>
      <c r="AN415" s="11"/>
      <c r="AO415" s="11"/>
      <c r="AP415" s="11"/>
      <c r="CE415" s="7"/>
      <c r="CF415" s="7"/>
      <c r="DK415" s="11"/>
      <c r="DL415" s="11"/>
      <c r="DM415" s="11"/>
      <c r="DN415" s="11"/>
      <c r="DO415" s="11"/>
      <c r="DP415" s="11"/>
      <c r="FE415" s="7"/>
      <c r="FF415" s="7"/>
    </row>
    <row r="416" spans="37:162">
      <c r="AK416" s="11"/>
      <c r="AL416" s="11"/>
      <c r="AM416" s="11"/>
      <c r="AN416" s="11"/>
      <c r="AO416" s="11"/>
      <c r="AP416" s="11"/>
      <c r="CE416" s="7"/>
      <c r="CF416" s="7"/>
      <c r="DK416" s="11"/>
      <c r="DL416" s="11"/>
      <c r="DM416" s="11"/>
      <c r="DN416" s="11"/>
      <c r="DO416" s="11"/>
      <c r="DP416" s="11"/>
      <c r="FE416" s="7"/>
      <c r="FF416" s="7"/>
    </row>
    <row r="417" spans="37:162">
      <c r="AK417" s="11"/>
      <c r="AL417" s="11"/>
      <c r="AM417" s="11"/>
      <c r="AN417" s="11"/>
      <c r="AO417" s="11"/>
      <c r="AP417" s="11"/>
      <c r="CE417" s="7"/>
      <c r="CF417" s="7"/>
      <c r="DK417" s="11"/>
      <c r="DL417" s="11"/>
      <c r="DM417" s="11"/>
      <c r="DN417" s="11"/>
      <c r="DO417" s="11"/>
      <c r="DP417" s="11"/>
      <c r="FE417" s="7"/>
      <c r="FF417" s="7"/>
    </row>
    <row r="418" spans="37:162">
      <c r="AK418" s="11"/>
      <c r="AL418" s="11"/>
      <c r="AM418" s="11"/>
      <c r="AN418" s="11"/>
      <c r="AO418" s="11"/>
      <c r="AP418" s="11"/>
      <c r="CE418" s="7"/>
      <c r="CF418" s="7"/>
      <c r="DK418" s="11"/>
      <c r="DL418" s="11"/>
      <c r="DM418" s="11"/>
      <c r="DN418" s="11"/>
      <c r="DO418" s="11"/>
      <c r="DP418" s="11"/>
      <c r="FE418" s="7"/>
      <c r="FF418" s="7"/>
    </row>
    <row r="419" spans="37:162">
      <c r="AK419" s="11"/>
      <c r="AL419" s="11"/>
      <c r="AM419" s="11"/>
      <c r="AN419" s="11"/>
      <c r="AO419" s="11"/>
      <c r="AP419" s="11"/>
      <c r="CE419" s="7"/>
      <c r="CF419" s="7"/>
      <c r="DK419" s="11"/>
      <c r="DL419" s="11"/>
      <c r="DM419" s="11"/>
      <c r="DN419" s="11"/>
      <c r="DO419" s="11"/>
      <c r="DP419" s="11"/>
      <c r="FE419" s="7"/>
      <c r="FF419" s="7"/>
    </row>
    <row r="420" spans="37:162">
      <c r="AK420" s="11"/>
      <c r="AL420" s="11"/>
      <c r="AM420" s="11"/>
      <c r="AN420" s="11"/>
      <c r="AO420" s="11"/>
      <c r="AP420" s="11"/>
      <c r="CE420" s="7"/>
      <c r="CF420" s="7"/>
      <c r="DK420" s="11"/>
      <c r="DL420" s="11"/>
      <c r="DM420" s="11"/>
      <c r="DN420" s="11"/>
      <c r="DO420" s="11"/>
      <c r="DP420" s="11"/>
      <c r="FE420" s="7"/>
      <c r="FF420" s="7"/>
    </row>
    <row r="421" spans="37:162">
      <c r="AK421" s="11"/>
      <c r="AL421" s="11"/>
      <c r="AM421" s="11"/>
      <c r="AN421" s="11"/>
      <c r="AO421" s="11"/>
      <c r="AP421" s="11"/>
      <c r="CE421" s="7"/>
      <c r="CF421" s="7"/>
      <c r="DK421" s="11"/>
      <c r="DL421" s="11"/>
      <c r="DM421" s="11"/>
      <c r="DN421" s="11"/>
      <c r="DO421" s="11"/>
      <c r="DP421" s="11"/>
      <c r="FE421" s="7"/>
      <c r="FF421" s="7"/>
    </row>
    <row r="422" spans="37:162">
      <c r="AK422" s="11"/>
      <c r="AL422" s="11"/>
      <c r="AM422" s="11"/>
      <c r="AN422" s="11"/>
      <c r="AO422" s="11"/>
      <c r="AP422" s="11"/>
      <c r="CE422" s="7"/>
      <c r="CF422" s="7"/>
      <c r="DK422" s="11"/>
      <c r="DL422" s="11"/>
      <c r="DM422" s="11"/>
      <c r="DN422" s="11"/>
      <c r="DO422" s="11"/>
      <c r="DP422" s="11"/>
      <c r="FE422" s="7"/>
      <c r="FF422" s="7"/>
    </row>
    <row r="423" spans="37:162">
      <c r="AK423" s="11"/>
      <c r="AL423" s="11"/>
      <c r="AM423" s="11"/>
      <c r="AN423" s="11"/>
      <c r="AO423" s="11"/>
      <c r="AP423" s="11"/>
      <c r="CE423" s="7"/>
      <c r="CF423" s="7"/>
      <c r="DK423" s="11"/>
      <c r="DL423" s="11"/>
      <c r="DM423" s="11"/>
      <c r="DN423" s="11"/>
      <c r="DO423" s="11"/>
      <c r="DP423" s="11"/>
      <c r="FE423" s="7"/>
      <c r="FF423" s="7"/>
    </row>
    <row r="424" spans="37:162">
      <c r="AK424" s="11"/>
      <c r="AL424" s="11"/>
      <c r="AM424" s="11"/>
      <c r="AN424" s="11"/>
      <c r="AO424" s="11"/>
      <c r="AP424" s="11"/>
      <c r="CE424" s="7"/>
      <c r="CF424" s="7"/>
      <c r="DK424" s="11"/>
      <c r="DL424" s="11"/>
      <c r="DM424" s="11"/>
      <c r="DN424" s="11"/>
      <c r="DO424" s="11"/>
      <c r="DP424" s="11"/>
      <c r="FE424" s="7"/>
      <c r="FF424" s="7"/>
    </row>
    <row r="425" spans="37:162">
      <c r="AK425" s="11"/>
      <c r="AL425" s="11"/>
      <c r="AM425" s="11"/>
      <c r="AN425" s="11"/>
      <c r="AO425" s="11"/>
      <c r="AP425" s="11"/>
      <c r="CE425" s="7"/>
      <c r="CF425" s="7"/>
      <c r="DK425" s="11"/>
      <c r="DL425" s="11"/>
      <c r="DM425" s="11"/>
      <c r="DN425" s="11"/>
      <c r="DO425" s="11"/>
      <c r="DP425" s="11"/>
      <c r="FE425" s="7"/>
      <c r="FF425" s="7"/>
    </row>
    <row r="426" spans="37:162">
      <c r="AK426" s="11"/>
      <c r="AL426" s="11"/>
      <c r="AM426" s="11"/>
      <c r="AN426" s="11"/>
      <c r="AO426" s="11"/>
      <c r="AP426" s="11"/>
      <c r="CE426" s="7"/>
      <c r="CF426" s="7"/>
      <c r="DK426" s="11"/>
      <c r="DL426" s="11"/>
      <c r="DM426" s="11"/>
      <c r="DN426" s="11"/>
      <c r="DO426" s="11"/>
      <c r="DP426" s="11"/>
      <c r="FE426" s="7"/>
      <c r="FF426" s="7"/>
    </row>
    <row r="427" spans="37:162">
      <c r="AK427" s="11"/>
      <c r="AL427" s="11"/>
      <c r="AM427" s="11"/>
      <c r="AN427" s="11"/>
      <c r="AO427" s="11"/>
      <c r="AP427" s="11"/>
      <c r="CE427" s="7"/>
      <c r="CF427" s="7"/>
      <c r="DK427" s="11"/>
      <c r="DL427" s="11"/>
      <c r="DM427" s="11"/>
      <c r="DN427" s="11"/>
      <c r="DO427" s="11"/>
      <c r="DP427" s="11"/>
      <c r="FE427" s="7"/>
      <c r="FF427" s="7"/>
    </row>
    <row r="428" spans="37:162">
      <c r="AK428" s="11"/>
      <c r="AL428" s="11"/>
      <c r="AM428" s="11"/>
      <c r="AN428" s="11"/>
      <c r="AO428" s="11"/>
      <c r="AP428" s="11"/>
      <c r="CE428" s="7"/>
      <c r="CF428" s="7"/>
      <c r="DK428" s="11"/>
      <c r="DL428" s="11"/>
      <c r="DM428" s="11"/>
      <c r="DN428" s="11"/>
      <c r="DO428" s="11"/>
      <c r="DP428" s="11"/>
      <c r="FE428" s="7"/>
      <c r="FF428" s="7"/>
    </row>
    <row r="429" spans="37:162">
      <c r="AK429" s="11"/>
      <c r="AL429" s="11"/>
      <c r="AM429" s="11"/>
      <c r="AN429" s="11"/>
      <c r="AO429" s="11"/>
      <c r="AP429" s="11"/>
      <c r="CE429" s="7"/>
      <c r="CF429" s="7"/>
      <c r="DK429" s="11"/>
      <c r="DL429" s="11"/>
      <c r="DM429" s="11"/>
      <c r="DN429" s="11"/>
      <c r="DO429" s="11"/>
      <c r="DP429" s="11"/>
      <c r="FE429" s="7"/>
      <c r="FF429" s="7"/>
    </row>
    <row r="430" spans="37:162">
      <c r="AK430" s="11"/>
      <c r="AL430" s="11"/>
      <c r="AM430" s="11"/>
      <c r="AN430" s="11"/>
      <c r="AO430" s="11"/>
      <c r="AP430" s="11"/>
      <c r="CE430" s="7"/>
      <c r="CF430" s="7"/>
      <c r="DK430" s="11"/>
      <c r="DL430" s="11"/>
      <c r="DM430" s="11"/>
      <c r="DN430" s="11"/>
      <c r="DO430" s="11"/>
      <c r="DP430" s="11"/>
      <c r="FE430" s="7"/>
      <c r="FF430" s="7"/>
    </row>
    <row r="431" spans="37:162">
      <c r="AK431" s="11"/>
      <c r="AL431" s="11"/>
      <c r="AM431" s="11"/>
      <c r="AN431" s="11"/>
      <c r="AO431" s="11"/>
      <c r="AP431" s="11"/>
      <c r="CE431" s="7"/>
      <c r="CF431" s="7"/>
      <c r="DK431" s="11"/>
      <c r="DL431" s="11"/>
      <c r="DM431" s="11"/>
      <c r="DN431" s="11"/>
      <c r="DO431" s="11"/>
      <c r="DP431" s="11"/>
      <c r="FE431" s="7"/>
      <c r="FF431" s="7"/>
    </row>
    <row r="432" spans="37:162">
      <c r="AK432" s="11"/>
      <c r="AL432" s="11"/>
      <c r="AM432" s="11"/>
      <c r="AN432" s="11"/>
      <c r="AO432" s="11"/>
      <c r="AP432" s="11"/>
      <c r="CE432" s="7"/>
      <c r="CF432" s="7"/>
      <c r="DK432" s="11"/>
      <c r="DL432" s="11"/>
      <c r="DM432" s="11"/>
      <c r="DN432" s="11"/>
      <c r="DO432" s="11"/>
      <c r="DP432" s="11"/>
      <c r="FE432" s="7"/>
      <c r="FF432" s="7"/>
    </row>
    <row r="433" spans="37:162">
      <c r="AK433" s="11"/>
      <c r="AL433" s="11"/>
      <c r="AM433" s="11"/>
      <c r="AN433" s="11"/>
      <c r="AO433" s="11"/>
      <c r="AP433" s="11"/>
      <c r="CE433" s="7"/>
      <c r="CF433" s="7"/>
      <c r="DK433" s="11"/>
      <c r="DL433" s="11"/>
      <c r="DM433" s="11"/>
      <c r="DN433" s="11"/>
      <c r="DO433" s="11"/>
      <c r="DP433" s="11"/>
      <c r="FE433" s="7"/>
      <c r="FF433" s="7"/>
    </row>
    <row r="434" spans="37:162">
      <c r="AK434" s="11"/>
      <c r="AL434" s="11"/>
      <c r="AM434" s="11"/>
      <c r="AN434" s="11"/>
      <c r="AO434" s="11"/>
      <c r="AP434" s="11"/>
      <c r="CE434" s="7"/>
      <c r="CF434" s="7"/>
      <c r="DK434" s="11"/>
      <c r="DL434" s="11"/>
      <c r="DM434" s="11"/>
      <c r="DN434" s="11"/>
      <c r="DO434" s="11"/>
      <c r="DP434" s="11"/>
      <c r="FE434" s="7"/>
      <c r="FF434" s="7"/>
    </row>
    <row r="435" spans="37:162">
      <c r="AK435" s="11"/>
      <c r="AL435" s="11"/>
      <c r="AM435" s="11"/>
      <c r="AN435" s="11"/>
      <c r="AO435" s="11"/>
      <c r="AP435" s="11"/>
      <c r="CE435" s="7"/>
      <c r="CF435" s="7"/>
      <c r="DK435" s="11"/>
      <c r="DL435" s="11"/>
      <c r="DM435" s="11"/>
      <c r="DN435" s="11"/>
      <c r="DO435" s="11"/>
      <c r="DP435" s="11"/>
      <c r="FE435" s="7"/>
      <c r="FF435" s="7"/>
    </row>
    <row r="436" spans="37:162">
      <c r="AK436" s="11"/>
      <c r="AL436" s="11"/>
      <c r="AM436" s="11"/>
      <c r="AN436" s="11"/>
      <c r="AO436" s="11"/>
      <c r="AP436" s="11"/>
      <c r="CE436" s="7"/>
      <c r="CF436" s="7"/>
      <c r="DK436" s="11"/>
      <c r="DL436" s="11"/>
      <c r="DM436" s="11"/>
      <c r="DN436" s="11"/>
      <c r="DO436" s="11"/>
      <c r="DP436" s="11"/>
      <c r="FE436" s="7"/>
      <c r="FF436" s="7"/>
    </row>
    <row r="437" spans="37:162">
      <c r="AK437" s="11"/>
      <c r="AL437" s="11"/>
      <c r="AM437" s="11"/>
      <c r="AN437" s="11"/>
      <c r="AO437" s="11"/>
      <c r="AP437" s="11"/>
      <c r="CE437" s="7"/>
      <c r="CF437" s="7"/>
      <c r="DK437" s="11"/>
      <c r="DL437" s="11"/>
      <c r="DM437" s="11"/>
      <c r="DN437" s="11"/>
      <c r="DO437" s="11"/>
      <c r="DP437" s="11"/>
      <c r="FE437" s="7"/>
      <c r="FF437" s="7"/>
    </row>
    <row r="438" spans="37:162">
      <c r="AK438" s="11"/>
      <c r="AL438" s="11"/>
      <c r="AM438" s="11"/>
      <c r="AN438" s="11"/>
      <c r="AO438" s="11"/>
      <c r="AP438" s="11"/>
      <c r="CE438" s="7"/>
      <c r="CF438" s="7"/>
      <c r="DK438" s="11"/>
      <c r="DL438" s="11"/>
      <c r="DM438" s="11"/>
      <c r="DN438" s="11"/>
      <c r="DO438" s="11"/>
      <c r="DP438" s="11"/>
      <c r="FE438" s="7"/>
      <c r="FF438" s="7"/>
    </row>
    <row r="439" spans="37:162">
      <c r="AK439" s="11"/>
      <c r="AL439" s="11"/>
      <c r="AM439" s="11"/>
      <c r="AN439" s="11"/>
      <c r="AO439" s="11"/>
      <c r="AP439" s="11"/>
      <c r="CE439" s="7"/>
      <c r="CF439" s="7"/>
      <c r="DK439" s="11"/>
      <c r="DL439" s="11"/>
      <c r="DM439" s="11"/>
      <c r="DN439" s="11"/>
      <c r="DO439" s="11"/>
      <c r="DP439" s="11"/>
      <c r="FE439" s="7"/>
      <c r="FF439" s="7"/>
    </row>
    <row r="440" spans="37:162">
      <c r="AK440" s="11"/>
      <c r="AL440" s="11"/>
      <c r="AM440" s="11"/>
      <c r="AN440" s="11"/>
      <c r="AO440" s="11"/>
      <c r="AP440" s="11"/>
      <c r="CE440" s="7"/>
      <c r="CF440" s="7"/>
      <c r="DK440" s="11"/>
      <c r="DL440" s="11"/>
      <c r="DM440" s="11"/>
      <c r="DN440" s="11"/>
      <c r="DO440" s="11"/>
      <c r="DP440" s="11"/>
      <c r="FE440" s="7"/>
      <c r="FF440" s="7"/>
    </row>
    <row r="441" spans="37:162">
      <c r="AK441" s="11"/>
      <c r="AL441" s="11"/>
      <c r="AM441" s="11"/>
      <c r="AN441" s="11"/>
      <c r="AO441" s="11"/>
      <c r="AP441" s="11"/>
      <c r="CE441" s="7"/>
      <c r="CF441" s="7"/>
      <c r="DK441" s="11"/>
      <c r="DL441" s="11"/>
      <c r="DM441" s="11"/>
      <c r="DN441" s="11"/>
      <c r="DO441" s="11"/>
      <c r="DP441" s="11"/>
      <c r="FE441" s="7"/>
      <c r="FF441" s="7"/>
    </row>
    <row r="442" spans="37:162">
      <c r="AK442" s="11"/>
      <c r="AL442" s="11"/>
      <c r="AM442" s="11"/>
      <c r="AN442" s="11"/>
      <c r="AO442" s="11"/>
      <c r="AP442" s="11"/>
      <c r="CE442" s="7"/>
      <c r="CF442" s="7"/>
      <c r="DK442" s="11"/>
      <c r="DL442" s="11"/>
      <c r="DM442" s="11"/>
      <c r="DN442" s="11"/>
      <c r="DO442" s="11"/>
      <c r="DP442" s="11"/>
      <c r="FE442" s="7"/>
      <c r="FF442" s="7"/>
    </row>
    <row r="443" spans="37:162">
      <c r="AK443" s="11"/>
      <c r="AL443" s="11"/>
      <c r="AM443" s="11"/>
      <c r="AN443" s="11"/>
      <c r="AO443" s="11"/>
      <c r="AP443" s="11"/>
      <c r="CE443" s="7"/>
      <c r="CF443" s="7"/>
      <c r="DK443" s="11"/>
      <c r="DL443" s="11"/>
      <c r="DM443" s="11"/>
      <c r="DN443" s="11"/>
      <c r="DO443" s="11"/>
      <c r="DP443" s="11"/>
      <c r="FE443" s="7"/>
      <c r="FF443" s="7"/>
    </row>
    <row r="444" spans="37:162">
      <c r="AK444" s="11"/>
      <c r="AL444" s="11"/>
      <c r="AM444" s="11"/>
      <c r="AN444" s="11"/>
      <c r="AO444" s="11"/>
      <c r="AP444" s="11"/>
      <c r="CE444" s="7"/>
      <c r="CF444" s="7"/>
      <c r="DK444" s="11"/>
      <c r="DL444" s="11"/>
      <c r="DM444" s="11"/>
      <c r="DN444" s="11"/>
      <c r="DO444" s="11"/>
      <c r="DP444" s="11"/>
      <c r="FE444" s="7"/>
      <c r="FF444" s="7"/>
    </row>
    <row r="445" spans="37:162">
      <c r="AK445" s="11"/>
      <c r="AL445" s="11"/>
      <c r="AM445" s="11"/>
      <c r="AN445" s="11"/>
      <c r="AO445" s="11"/>
      <c r="AP445" s="11"/>
      <c r="CE445" s="7"/>
      <c r="CF445" s="7"/>
      <c r="DK445" s="11"/>
      <c r="DL445" s="11"/>
      <c r="DM445" s="11"/>
      <c r="DN445" s="11"/>
      <c r="DO445" s="11"/>
      <c r="DP445" s="11"/>
      <c r="FE445" s="7"/>
      <c r="FF445" s="7"/>
    </row>
    <row r="446" spans="37:162">
      <c r="AK446" s="11"/>
      <c r="AL446" s="11"/>
      <c r="AM446" s="11"/>
      <c r="AN446" s="11"/>
      <c r="AO446" s="11"/>
      <c r="AP446" s="11"/>
      <c r="CE446" s="7"/>
      <c r="CF446" s="7"/>
      <c r="DK446" s="11"/>
      <c r="DL446" s="11"/>
      <c r="DM446" s="11"/>
      <c r="DN446" s="11"/>
      <c r="DO446" s="11"/>
      <c r="DP446" s="11"/>
      <c r="FE446" s="7"/>
      <c r="FF446" s="7"/>
    </row>
    <row r="447" spans="37:162">
      <c r="AK447" s="11"/>
      <c r="AL447" s="11"/>
      <c r="AM447" s="11"/>
      <c r="AN447" s="11"/>
      <c r="AO447" s="11"/>
      <c r="AP447" s="11"/>
      <c r="CE447" s="7"/>
      <c r="CF447" s="7"/>
      <c r="DK447" s="11"/>
      <c r="DL447" s="11"/>
      <c r="DM447" s="11"/>
      <c r="DN447" s="11"/>
      <c r="DO447" s="11"/>
      <c r="DP447" s="11"/>
      <c r="FE447" s="7"/>
      <c r="FF447" s="7"/>
    </row>
    <row r="448" spans="37:162">
      <c r="AK448" s="11"/>
      <c r="AL448" s="11"/>
      <c r="AM448" s="11"/>
      <c r="AN448" s="11"/>
      <c r="AO448" s="11"/>
      <c r="AP448" s="11"/>
      <c r="CE448" s="7"/>
      <c r="CF448" s="7"/>
      <c r="DK448" s="11"/>
      <c r="DL448" s="11"/>
      <c r="DM448" s="11"/>
      <c r="DN448" s="11"/>
      <c r="DO448" s="11"/>
      <c r="DP448" s="11"/>
      <c r="FE448" s="7"/>
      <c r="FF448" s="7"/>
    </row>
    <row r="449" spans="37:162">
      <c r="AK449" s="11"/>
      <c r="AL449" s="11"/>
      <c r="AM449" s="11"/>
      <c r="AN449" s="11"/>
      <c r="AO449" s="11"/>
      <c r="AP449" s="11"/>
      <c r="CE449" s="7"/>
      <c r="CF449" s="7"/>
      <c r="DK449" s="11"/>
      <c r="DL449" s="11"/>
      <c r="DM449" s="11"/>
      <c r="DN449" s="11"/>
      <c r="DO449" s="11"/>
      <c r="DP449" s="11"/>
      <c r="FE449" s="7"/>
      <c r="FF449" s="7"/>
    </row>
    <row r="450" spans="37:162">
      <c r="AK450" s="11"/>
      <c r="AL450" s="11"/>
      <c r="AM450" s="11"/>
      <c r="AN450" s="11"/>
      <c r="AO450" s="11"/>
      <c r="AP450" s="11"/>
      <c r="CE450" s="7"/>
      <c r="CF450" s="7"/>
      <c r="DK450" s="11"/>
      <c r="DL450" s="11"/>
      <c r="DM450" s="11"/>
      <c r="DN450" s="11"/>
      <c r="DO450" s="11"/>
      <c r="DP450" s="11"/>
      <c r="FE450" s="7"/>
      <c r="FF450" s="7"/>
    </row>
    <row r="451" spans="37:162">
      <c r="AK451" s="11"/>
      <c r="AL451" s="11"/>
      <c r="AM451" s="11"/>
      <c r="AN451" s="11"/>
      <c r="AO451" s="11"/>
      <c r="AP451" s="11"/>
      <c r="CE451" s="7"/>
      <c r="CF451" s="7"/>
      <c r="DK451" s="11"/>
      <c r="DL451" s="11"/>
      <c r="DM451" s="11"/>
      <c r="DN451" s="11"/>
      <c r="DO451" s="11"/>
      <c r="DP451" s="11"/>
      <c r="FE451" s="7"/>
      <c r="FF451" s="7"/>
    </row>
    <row r="452" spans="37:162">
      <c r="AK452" s="11"/>
      <c r="AL452" s="11"/>
      <c r="AM452" s="11"/>
      <c r="AN452" s="11"/>
      <c r="AO452" s="11"/>
      <c r="AP452" s="11"/>
      <c r="CE452" s="7"/>
      <c r="CF452" s="7"/>
      <c r="DK452" s="11"/>
      <c r="DL452" s="11"/>
      <c r="DM452" s="11"/>
      <c r="DN452" s="11"/>
      <c r="DO452" s="11"/>
      <c r="DP452" s="11"/>
      <c r="FE452" s="7"/>
      <c r="FF452" s="7"/>
    </row>
    <row r="453" spans="37:162">
      <c r="AK453" s="11"/>
      <c r="AL453" s="11"/>
      <c r="AM453" s="11"/>
      <c r="AN453" s="11"/>
      <c r="AO453" s="11"/>
      <c r="AP453" s="11"/>
      <c r="CE453" s="7"/>
      <c r="CF453" s="7"/>
      <c r="DK453" s="11"/>
      <c r="DL453" s="11"/>
      <c r="DM453" s="11"/>
      <c r="DN453" s="11"/>
      <c r="DO453" s="11"/>
      <c r="DP453" s="11"/>
      <c r="FE453" s="7"/>
      <c r="FF453" s="7"/>
    </row>
    <row r="454" spans="37:162">
      <c r="AK454" s="11"/>
      <c r="AL454" s="11"/>
      <c r="AM454" s="11"/>
      <c r="AN454" s="11"/>
      <c r="AO454" s="11"/>
      <c r="AP454" s="11"/>
      <c r="CE454" s="7"/>
      <c r="CF454" s="7"/>
      <c r="DK454" s="11"/>
      <c r="DL454" s="11"/>
      <c r="DM454" s="11"/>
      <c r="DN454" s="11"/>
      <c r="DO454" s="11"/>
      <c r="DP454" s="11"/>
      <c r="FE454" s="7"/>
      <c r="FF454" s="7"/>
    </row>
    <row r="455" spans="37:162">
      <c r="AK455" s="11"/>
      <c r="AL455" s="11"/>
      <c r="AM455" s="11"/>
      <c r="AN455" s="11"/>
      <c r="AO455" s="11"/>
      <c r="AP455" s="11"/>
      <c r="CE455" s="7"/>
      <c r="CF455" s="7"/>
      <c r="DK455" s="11"/>
      <c r="DL455" s="11"/>
      <c r="DM455" s="11"/>
      <c r="DN455" s="11"/>
      <c r="DO455" s="11"/>
      <c r="DP455" s="11"/>
      <c r="FE455" s="7"/>
      <c r="FF455" s="7"/>
    </row>
    <row r="456" spans="37:162">
      <c r="AK456" s="11"/>
      <c r="AL456" s="11"/>
      <c r="AM456" s="11"/>
      <c r="AN456" s="11"/>
      <c r="AO456" s="11"/>
      <c r="AP456" s="11"/>
      <c r="CE456" s="7"/>
      <c r="CF456" s="7"/>
      <c r="DK456" s="11"/>
      <c r="DL456" s="11"/>
      <c r="DM456" s="11"/>
      <c r="DN456" s="11"/>
      <c r="DO456" s="11"/>
      <c r="DP456" s="11"/>
      <c r="FE456" s="7"/>
      <c r="FF456" s="7"/>
    </row>
    <row r="457" spans="37:162">
      <c r="AK457" s="11"/>
      <c r="AL457" s="11"/>
      <c r="AM457" s="11"/>
      <c r="AN457" s="11"/>
      <c r="AO457" s="11"/>
      <c r="AP457" s="11"/>
      <c r="CE457" s="7"/>
      <c r="CF457" s="7"/>
      <c r="DK457" s="11"/>
      <c r="DL457" s="11"/>
      <c r="DM457" s="11"/>
      <c r="DN457" s="11"/>
      <c r="DO457" s="11"/>
      <c r="DP457" s="11"/>
      <c r="FE457" s="7"/>
      <c r="FF457" s="7"/>
    </row>
    <row r="458" spans="37:162">
      <c r="AK458" s="11"/>
      <c r="AL458" s="11"/>
      <c r="AM458" s="11"/>
      <c r="AN458" s="11"/>
      <c r="AO458" s="11"/>
      <c r="AP458" s="11"/>
      <c r="CE458" s="7"/>
      <c r="CF458" s="7"/>
      <c r="DK458" s="11"/>
      <c r="DL458" s="11"/>
      <c r="DM458" s="11"/>
      <c r="DN458" s="11"/>
      <c r="DO458" s="11"/>
      <c r="DP458" s="11"/>
      <c r="FE458" s="7"/>
      <c r="FF458" s="7"/>
    </row>
    <row r="459" spans="37:162">
      <c r="AK459" s="11"/>
      <c r="AL459" s="11"/>
      <c r="AM459" s="11"/>
      <c r="AN459" s="11"/>
      <c r="AO459" s="11"/>
      <c r="AP459" s="11"/>
      <c r="CE459" s="7"/>
      <c r="CF459" s="7"/>
      <c r="DK459" s="11"/>
      <c r="DL459" s="11"/>
      <c r="DM459" s="11"/>
      <c r="DN459" s="11"/>
      <c r="DO459" s="11"/>
      <c r="DP459" s="11"/>
      <c r="FE459" s="7"/>
      <c r="FF459" s="7"/>
    </row>
    <row r="460" spans="37:162">
      <c r="AK460" s="11"/>
      <c r="AL460" s="11"/>
      <c r="AM460" s="11"/>
      <c r="AN460" s="11"/>
      <c r="AO460" s="11"/>
      <c r="AP460" s="11"/>
      <c r="CE460" s="7"/>
      <c r="CF460" s="7"/>
      <c r="DK460" s="11"/>
      <c r="DL460" s="11"/>
      <c r="DM460" s="11"/>
      <c r="DN460" s="11"/>
      <c r="DO460" s="11"/>
      <c r="DP460" s="11"/>
      <c r="FE460" s="7"/>
      <c r="FF460" s="7"/>
    </row>
    <row r="461" spans="37:162">
      <c r="AK461" s="11"/>
      <c r="AL461" s="11"/>
      <c r="AM461" s="11"/>
      <c r="AN461" s="11"/>
      <c r="AO461" s="11"/>
      <c r="AP461" s="11"/>
      <c r="CE461" s="7"/>
      <c r="CF461" s="7"/>
      <c r="DK461" s="11"/>
      <c r="DL461" s="11"/>
      <c r="DM461" s="11"/>
      <c r="DN461" s="11"/>
      <c r="DO461" s="11"/>
      <c r="DP461" s="11"/>
      <c r="FE461" s="7"/>
      <c r="FF461" s="7"/>
    </row>
    <row r="462" spans="37:162">
      <c r="AK462" s="11"/>
      <c r="AL462" s="11"/>
      <c r="AM462" s="11"/>
      <c r="AN462" s="11"/>
      <c r="AO462" s="11"/>
      <c r="AP462" s="11"/>
      <c r="CE462" s="7"/>
      <c r="CF462" s="7"/>
      <c r="DK462" s="11"/>
      <c r="DL462" s="11"/>
      <c r="DM462" s="11"/>
      <c r="DN462" s="11"/>
      <c r="DO462" s="11"/>
      <c r="DP462" s="11"/>
      <c r="FE462" s="7"/>
      <c r="FF462" s="7"/>
    </row>
    <row r="463" spans="37:162">
      <c r="AK463" s="11"/>
      <c r="AL463" s="11"/>
      <c r="AM463" s="11"/>
      <c r="AN463" s="11"/>
      <c r="AO463" s="11"/>
      <c r="AP463" s="11"/>
      <c r="CE463" s="7"/>
      <c r="CF463" s="7"/>
      <c r="DK463" s="11"/>
      <c r="DL463" s="11"/>
      <c r="DM463" s="11"/>
      <c r="DN463" s="11"/>
      <c r="DO463" s="11"/>
      <c r="DP463" s="11"/>
      <c r="FE463" s="7"/>
      <c r="FF463" s="7"/>
    </row>
    <row r="464" spans="37:162">
      <c r="AK464" s="11"/>
      <c r="AL464" s="11"/>
      <c r="AM464" s="11"/>
      <c r="AN464" s="11"/>
      <c r="AO464" s="11"/>
      <c r="AP464" s="11"/>
      <c r="CE464" s="7"/>
      <c r="CF464" s="7"/>
      <c r="DK464" s="11"/>
      <c r="DL464" s="11"/>
      <c r="DM464" s="11"/>
      <c r="DN464" s="11"/>
      <c r="DO464" s="11"/>
      <c r="DP464" s="11"/>
      <c r="FE464" s="7"/>
      <c r="FF464" s="7"/>
    </row>
    <row r="465" spans="37:162">
      <c r="AK465" s="11"/>
      <c r="AL465" s="11"/>
      <c r="AM465" s="11"/>
      <c r="AN465" s="11"/>
      <c r="AO465" s="11"/>
      <c r="AP465" s="11"/>
      <c r="CE465" s="7"/>
      <c r="CF465" s="7"/>
      <c r="DK465" s="11"/>
      <c r="DL465" s="11"/>
      <c r="DM465" s="11"/>
      <c r="DN465" s="11"/>
      <c r="DO465" s="11"/>
      <c r="DP465" s="11"/>
      <c r="FE465" s="7"/>
      <c r="FF465" s="7"/>
    </row>
    <row r="466" spans="37:162">
      <c r="AK466" s="11"/>
      <c r="AL466" s="11"/>
      <c r="AM466" s="11"/>
      <c r="AN466" s="11"/>
      <c r="AO466" s="11"/>
      <c r="AP466" s="11"/>
      <c r="CE466" s="7"/>
      <c r="CF466" s="7"/>
      <c r="DK466" s="11"/>
      <c r="DL466" s="11"/>
      <c r="DM466" s="11"/>
      <c r="DN466" s="11"/>
      <c r="DO466" s="11"/>
      <c r="DP466" s="11"/>
      <c r="FE466" s="7"/>
      <c r="FF466" s="7"/>
    </row>
    <row r="467" spans="37:162">
      <c r="AK467" s="11"/>
      <c r="AL467" s="11"/>
      <c r="AM467" s="11"/>
      <c r="AN467" s="11"/>
      <c r="AO467" s="11"/>
      <c r="AP467" s="11"/>
      <c r="CE467" s="7"/>
      <c r="CF467" s="7"/>
      <c r="DK467" s="11"/>
      <c r="DL467" s="11"/>
      <c r="DM467" s="11"/>
      <c r="DN467" s="11"/>
      <c r="DO467" s="11"/>
      <c r="DP467" s="11"/>
      <c r="FE467" s="7"/>
      <c r="FF467" s="7"/>
    </row>
    <row r="468" spans="37:162">
      <c r="AK468" s="11"/>
      <c r="AL468" s="11"/>
      <c r="AM468" s="11"/>
      <c r="AN468" s="11"/>
      <c r="AO468" s="11"/>
      <c r="AP468" s="11"/>
      <c r="CE468" s="7"/>
      <c r="CF468" s="7"/>
      <c r="DK468" s="11"/>
      <c r="DL468" s="11"/>
      <c r="DM468" s="11"/>
      <c r="DN468" s="11"/>
      <c r="DO468" s="11"/>
      <c r="DP468" s="11"/>
      <c r="FE468" s="7"/>
      <c r="FF468" s="7"/>
    </row>
    <row r="469" spans="37:162">
      <c r="AK469" s="11"/>
      <c r="AL469" s="11"/>
      <c r="AM469" s="11"/>
      <c r="AN469" s="11"/>
      <c r="AO469" s="11"/>
      <c r="AP469" s="11"/>
      <c r="CE469" s="7"/>
      <c r="CF469" s="7"/>
      <c r="DK469" s="11"/>
      <c r="DL469" s="11"/>
      <c r="DM469" s="11"/>
      <c r="DN469" s="11"/>
      <c r="DO469" s="11"/>
      <c r="DP469" s="11"/>
      <c r="FE469" s="7"/>
      <c r="FF469" s="7"/>
    </row>
    <row r="470" spans="37:162">
      <c r="AK470" s="11"/>
      <c r="AL470" s="11"/>
      <c r="AM470" s="11"/>
      <c r="AN470" s="11"/>
      <c r="AO470" s="11"/>
      <c r="AP470" s="11"/>
      <c r="CE470" s="7"/>
      <c r="CF470" s="7"/>
      <c r="DK470" s="11"/>
      <c r="DL470" s="11"/>
      <c r="DM470" s="11"/>
      <c r="DN470" s="11"/>
      <c r="DO470" s="11"/>
      <c r="DP470" s="11"/>
      <c r="FE470" s="7"/>
      <c r="FF470" s="7"/>
    </row>
    <row r="471" spans="37:162">
      <c r="AK471" s="11"/>
      <c r="AL471" s="11"/>
      <c r="AM471" s="11"/>
      <c r="AN471" s="11"/>
      <c r="AO471" s="11"/>
      <c r="AP471" s="11"/>
      <c r="CE471" s="7"/>
      <c r="CF471" s="7"/>
      <c r="DK471" s="11"/>
      <c r="DL471" s="11"/>
      <c r="DM471" s="11"/>
      <c r="DN471" s="11"/>
      <c r="DO471" s="11"/>
      <c r="DP471" s="11"/>
      <c r="FE471" s="7"/>
      <c r="FF471" s="7"/>
    </row>
    <row r="472" spans="37:162">
      <c r="AK472" s="11"/>
      <c r="AL472" s="11"/>
      <c r="AM472" s="11"/>
      <c r="AN472" s="11"/>
      <c r="AO472" s="11"/>
      <c r="AP472" s="11"/>
      <c r="CE472" s="7"/>
      <c r="CF472" s="7"/>
      <c r="DK472" s="11"/>
      <c r="DL472" s="11"/>
      <c r="DM472" s="11"/>
      <c r="DN472" s="11"/>
      <c r="DO472" s="11"/>
      <c r="DP472" s="11"/>
      <c r="FE472" s="7"/>
      <c r="FF472" s="7"/>
    </row>
    <row r="473" spans="37:162">
      <c r="AK473" s="11"/>
      <c r="AL473" s="11"/>
      <c r="AM473" s="11"/>
      <c r="AN473" s="11"/>
      <c r="AO473" s="11"/>
      <c r="AP473" s="11"/>
      <c r="CE473" s="7"/>
      <c r="CF473" s="7"/>
      <c r="DK473" s="11"/>
      <c r="DL473" s="11"/>
      <c r="DM473" s="11"/>
      <c r="DN473" s="11"/>
      <c r="DO473" s="11"/>
      <c r="DP473" s="11"/>
      <c r="FE473" s="7"/>
      <c r="FF473" s="7"/>
    </row>
    <row r="474" spans="37:162">
      <c r="AK474" s="11"/>
      <c r="AL474" s="11"/>
      <c r="AM474" s="11"/>
      <c r="AN474" s="11"/>
      <c r="AO474" s="11"/>
      <c r="AP474" s="11"/>
      <c r="CE474" s="7"/>
      <c r="CF474" s="7"/>
      <c r="DK474" s="11"/>
      <c r="DL474" s="11"/>
      <c r="DM474" s="11"/>
      <c r="DN474" s="11"/>
      <c r="DO474" s="11"/>
      <c r="DP474" s="11"/>
      <c r="FE474" s="7"/>
      <c r="FF474" s="7"/>
    </row>
    <row r="475" spans="37:162">
      <c r="AK475" s="11"/>
      <c r="AL475" s="11"/>
      <c r="AM475" s="11"/>
      <c r="AN475" s="11"/>
      <c r="AO475" s="11"/>
      <c r="AP475" s="11"/>
      <c r="CE475" s="7"/>
      <c r="CF475" s="7"/>
      <c r="DK475" s="11"/>
      <c r="DL475" s="11"/>
      <c r="DM475" s="11"/>
      <c r="DN475" s="11"/>
      <c r="DO475" s="11"/>
      <c r="DP475" s="11"/>
      <c r="FE475" s="7"/>
      <c r="FF475" s="7"/>
    </row>
    <row r="476" spans="37:162">
      <c r="AK476" s="11"/>
      <c r="AL476" s="11"/>
      <c r="AM476" s="11"/>
      <c r="AN476" s="11"/>
      <c r="AO476" s="11"/>
      <c r="AP476" s="11"/>
      <c r="CE476" s="7"/>
      <c r="CF476" s="7"/>
      <c r="DK476" s="11"/>
      <c r="DL476" s="11"/>
      <c r="DM476" s="11"/>
      <c r="DN476" s="11"/>
      <c r="DO476" s="11"/>
      <c r="DP476" s="11"/>
      <c r="FE476" s="7"/>
      <c r="FF476" s="7"/>
    </row>
    <row r="477" spans="37:162">
      <c r="CE477" s="7"/>
      <c r="CF477" s="7"/>
      <c r="FE477" s="7"/>
      <c r="FF477" s="7"/>
    </row>
    <row r="478" spans="37:162">
      <c r="CE478" s="7"/>
      <c r="CF478" s="7"/>
      <c r="FE478" s="7"/>
      <c r="FF478" s="7"/>
    </row>
    <row r="479" spans="37:162">
      <c r="CE479" s="7"/>
      <c r="CF479" s="7"/>
      <c r="FE479" s="7"/>
      <c r="FF479" s="7"/>
    </row>
    <row r="480" spans="37:162">
      <c r="CE480" s="7"/>
      <c r="CF480" s="7"/>
      <c r="FE480" s="7"/>
      <c r="FF480" s="7"/>
    </row>
    <row r="481" spans="83:162">
      <c r="CE481" s="7"/>
      <c r="CF481" s="7"/>
      <c r="FE481" s="7"/>
      <c r="FF481" s="7"/>
    </row>
    <row r="482" spans="83:162">
      <c r="CE482" s="7"/>
      <c r="CF482" s="7"/>
      <c r="FE482" s="7"/>
      <c r="FF482" s="7"/>
    </row>
    <row r="483" spans="83:162">
      <c r="CE483" s="7"/>
      <c r="CF483" s="7"/>
      <c r="FE483" s="7"/>
      <c r="FF483" s="7"/>
    </row>
    <row r="484" spans="83:162">
      <c r="CE484" s="7"/>
      <c r="CF484" s="7"/>
      <c r="FE484" s="7"/>
      <c r="FF484" s="7"/>
    </row>
    <row r="485" spans="83:162">
      <c r="CE485" s="7"/>
      <c r="CF485" s="7"/>
      <c r="FE485" s="7"/>
      <c r="FF485" s="7"/>
    </row>
    <row r="486" spans="83:162">
      <c r="CE486" s="7"/>
      <c r="CF486" s="7"/>
      <c r="FE486" s="7"/>
      <c r="FF486" s="7"/>
    </row>
    <row r="487" spans="83:162">
      <c r="CE487" s="7"/>
      <c r="CF487" s="7"/>
      <c r="FE487" s="7"/>
      <c r="FF487" s="7"/>
    </row>
    <row r="488" spans="83:162">
      <c r="CE488" s="7"/>
      <c r="CF488" s="7"/>
      <c r="FE488" s="7"/>
      <c r="FF488" s="7"/>
    </row>
    <row r="489" spans="83:162">
      <c r="CE489" s="7"/>
      <c r="CF489" s="7"/>
      <c r="FE489" s="7"/>
      <c r="FF489" s="7"/>
    </row>
    <row r="490" spans="83:162">
      <c r="CE490" s="7"/>
      <c r="CF490" s="7"/>
      <c r="FE490" s="7"/>
      <c r="FF490" s="7"/>
    </row>
    <row r="491" spans="83:162">
      <c r="CE491" s="7"/>
      <c r="CF491" s="7"/>
      <c r="FE491" s="7"/>
      <c r="FF491" s="7"/>
    </row>
    <row r="492" spans="83:162">
      <c r="CE492" s="7"/>
      <c r="CF492" s="7"/>
      <c r="FE492" s="7"/>
      <c r="FF492" s="7"/>
    </row>
    <row r="493" spans="83:162">
      <c r="CE493" s="7"/>
      <c r="CF493" s="7"/>
      <c r="FE493" s="7"/>
      <c r="FF493" s="7"/>
    </row>
    <row r="494" spans="83:162">
      <c r="CE494" s="7"/>
      <c r="CF494" s="7"/>
      <c r="FE494" s="7"/>
      <c r="FF494" s="7"/>
    </row>
    <row r="495" spans="83:162">
      <c r="CE495" s="7"/>
      <c r="CF495" s="7"/>
      <c r="FE495" s="7"/>
      <c r="FF495" s="7"/>
    </row>
    <row r="496" spans="83:162">
      <c r="CE496" s="7"/>
      <c r="CF496" s="7"/>
      <c r="FE496" s="7"/>
      <c r="FF496" s="7"/>
    </row>
    <row r="497" spans="83:162">
      <c r="CE497" s="7"/>
      <c r="CF497" s="7"/>
      <c r="FE497" s="7"/>
      <c r="FF497" s="7"/>
    </row>
    <row r="498" spans="83:162">
      <c r="CE498" s="7"/>
      <c r="CF498" s="7"/>
      <c r="FE498" s="7"/>
      <c r="FF498" s="7"/>
    </row>
    <row r="499" spans="83:162">
      <c r="CE499" s="7"/>
      <c r="CF499" s="7"/>
      <c r="FE499" s="7"/>
      <c r="FF499" s="7"/>
    </row>
    <row r="500" spans="83:162">
      <c r="CE500" s="7"/>
      <c r="CF500" s="7"/>
      <c r="FE500" s="7"/>
      <c r="FF500" s="7"/>
    </row>
    <row r="501" spans="83:162">
      <c r="CE501" s="7"/>
      <c r="CF501" s="7"/>
      <c r="FE501" s="7"/>
      <c r="FF501" s="7"/>
    </row>
    <row r="502" spans="83:162">
      <c r="CE502" s="7"/>
      <c r="CF502" s="7"/>
      <c r="FE502" s="7"/>
      <c r="FF502" s="7"/>
    </row>
    <row r="503" spans="83:162">
      <c r="CE503" s="7"/>
      <c r="CF503" s="7"/>
      <c r="FE503" s="7"/>
      <c r="FF503" s="7"/>
    </row>
    <row r="504" spans="83:162">
      <c r="CE504" s="7"/>
      <c r="CF504" s="7"/>
      <c r="FE504" s="7"/>
      <c r="FF504" s="7"/>
    </row>
    <row r="505" spans="83:162">
      <c r="CE505" s="7"/>
      <c r="CF505" s="7"/>
      <c r="FE505" s="7"/>
      <c r="FF505" s="7"/>
    </row>
    <row r="506" spans="83:162">
      <c r="CE506" s="7"/>
      <c r="CF506" s="7"/>
      <c r="FE506" s="7"/>
      <c r="FF506" s="7"/>
    </row>
    <row r="507" spans="83:162">
      <c r="CE507" s="7"/>
      <c r="CF507" s="7"/>
      <c r="FE507" s="7"/>
      <c r="FF507" s="7"/>
    </row>
    <row r="508" spans="83:162">
      <c r="CE508" s="7"/>
      <c r="CF508" s="7"/>
      <c r="FE508" s="7"/>
      <c r="FF508" s="7"/>
    </row>
    <row r="509" spans="83:162">
      <c r="CE509" s="7"/>
      <c r="CF509" s="7"/>
      <c r="FE509" s="7"/>
      <c r="FF509" s="7"/>
    </row>
    <row r="510" spans="83:162">
      <c r="CE510" s="7"/>
      <c r="CF510" s="7"/>
      <c r="FE510" s="7"/>
      <c r="FF510" s="7"/>
    </row>
    <row r="511" spans="83:162">
      <c r="CE511" s="7"/>
      <c r="CF511" s="7"/>
      <c r="FE511" s="7"/>
      <c r="FF511" s="7"/>
    </row>
    <row r="512" spans="83:162">
      <c r="CE512" s="7"/>
      <c r="CF512" s="7"/>
      <c r="FE512" s="7"/>
      <c r="FF512" s="7"/>
    </row>
    <row r="513" spans="83:162">
      <c r="CE513" s="7"/>
      <c r="CF513" s="7"/>
      <c r="FE513" s="7"/>
      <c r="FF513" s="7"/>
    </row>
    <row r="514" spans="83:162">
      <c r="CE514" s="7"/>
      <c r="CF514" s="7"/>
      <c r="FE514" s="7"/>
      <c r="FF514" s="7"/>
    </row>
    <row r="515" spans="83:162">
      <c r="CE515" s="7"/>
      <c r="CF515" s="7"/>
      <c r="FE515" s="7"/>
      <c r="FF515" s="7"/>
    </row>
    <row r="516" spans="83:162">
      <c r="CE516" s="7"/>
      <c r="CF516" s="7"/>
      <c r="FE516" s="7"/>
      <c r="FF516" s="7"/>
    </row>
    <row r="517" spans="83:162">
      <c r="CE517" s="7"/>
      <c r="CF517" s="7"/>
      <c r="FE517" s="7"/>
      <c r="FF517" s="7"/>
    </row>
    <row r="518" spans="83:162">
      <c r="CE518" s="7"/>
      <c r="CF518" s="7"/>
      <c r="FE518" s="7"/>
      <c r="FF518" s="7"/>
    </row>
    <row r="519" spans="83:162">
      <c r="CE519" s="7"/>
      <c r="CF519" s="7"/>
      <c r="FE519" s="7"/>
      <c r="FF519" s="7"/>
    </row>
    <row r="520" spans="83:162">
      <c r="CE520" s="7"/>
      <c r="CF520" s="7"/>
      <c r="FE520" s="7"/>
      <c r="FF520" s="7"/>
    </row>
    <row r="521" spans="83:162">
      <c r="CE521" s="7"/>
      <c r="CF521" s="7"/>
      <c r="FE521" s="7"/>
      <c r="FF521" s="7"/>
    </row>
    <row r="522" spans="83:162">
      <c r="CE522" s="7"/>
      <c r="CF522" s="7"/>
      <c r="FE522" s="7"/>
      <c r="FF522" s="7"/>
    </row>
    <row r="523" spans="83:162">
      <c r="CE523" s="7"/>
      <c r="CF523" s="7"/>
      <c r="FE523" s="7"/>
      <c r="FF523" s="7"/>
    </row>
    <row r="524" spans="83:162">
      <c r="CE524" s="7"/>
      <c r="CF524" s="7"/>
      <c r="FE524" s="7"/>
      <c r="FF524" s="7"/>
    </row>
    <row r="525" spans="83:162">
      <c r="CE525" s="7"/>
      <c r="CF525" s="7"/>
      <c r="FE525" s="7"/>
      <c r="FF525" s="7"/>
    </row>
    <row r="526" spans="83:162">
      <c r="CE526" s="7"/>
      <c r="CF526" s="7"/>
      <c r="FE526" s="7"/>
      <c r="FF526" s="7"/>
    </row>
    <row r="527" spans="83:162">
      <c r="CE527" s="7"/>
      <c r="CF527" s="7"/>
      <c r="FE527" s="7"/>
      <c r="FF527" s="7"/>
    </row>
    <row r="528" spans="83:162">
      <c r="CE528" s="7"/>
      <c r="CF528" s="7"/>
      <c r="FE528" s="7"/>
      <c r="FF528" s="7"/>
    </row>
    <row r="529" spans="83:162">
      <c r="CE529" s="7"/>
      <c r="CF529" s="7"/>
      <c r="FE529" s="7"/>
      <c r="FF529" s="7"/>
    </row>
    <row r="530" spans="83:162">
      <c r="CE530" s="7"/>
      <c r="CF530" s="7"/>
      <c r="FE530" s="7"/>
      <c r="FF530" s="7"/>
    </row>
    <row r="531" spans="83:162">
      <c r="CE531" s="7"/>
      <c r="CF531" s="7"/>
      <c r="FE531" s="7"/>
      <c r="FF531" s="7"/>
    </row>
    <row r="532" spans="83:162">
      <c r="CE532" s="7"/>
      <c r="CF532" s="7"/>
      <c r="FE532" s="7"/>
      <c r="FF532" s="7"/>
    </row>
    <row r="533" spans="83:162">
      <c r="CE533" s="7"/>
      <c r="CF533" s="7"/>
      <c r="FE533" s="7"/>
      <c r="FF533" s="7"/>
    </row>
    <row r="534" spans="83:162">
      <c r="CE534" s="7"/>
      <c r="CF534" s="7"/>
      <c r="FE534" s="7"/>
      <c r="FF534" s="7"/>
    </row>
    <row r="535" spans="83:162">
      <c r="CE535" s="7"/>
      <c r="CF535" s="7"/>
      <c r="FE535" s="7"/>
      <c r="FF535" s="7"/>
    </row>
    <row r="536" spans="83:162">
      <c r="CE536" s="7"/>
      <c r="CF536" s="7"/>
      <c r="FE536" s="7"/>
      <c r="FF536" s="7"/>
    </row>
    <row r="537" spans="83:162">
      <c r="CE537" s="7"/>
      <c r="CF537" s="7"/>
      <c r="FE537" s="7"/>
      <c r="FF537" s="7"/>
    </row>
    <row r="538" spans="83:162">
      <c r="CE538" s="7"/>
      <c r="CF538" s="7"/>
      <c r="FE538" s="7"/>
      <c r="FF538" s="7"/>
    </row>
    <row r="539" spans="83:162">
      <c r="CE539" s="7"/>
      <c r="CF539" s="7"/>
      <c r="FE539" s="7"/>
      <c r="FF539" s="7"/>
    </row>
    <row r="540" spans="83:162">
      <c r="CE540" s="7"/>
      <c r="CF540" s="7"/>
      <c r="FE540" s="7"/>
      <c r="FF540" s="7"/>
    </row>
    <row r="541" spans="83:162">
      <c r="CE541" s="7"/>
      <c r="CF541" s="7"/>
      <c r="FE541" s="7"/>
      <c r="FF541" s="7"/>
    </row>
    <row r="542" spans="83:162">
      <c r="CE542" s="7"/>
      <c r="CF542" s="7"/>
      <c r="FE542" s="7"/>
      <c r="FF542" s="7"/>
    </row>
    <row r="543" spans="83:162">
      <c r="CE543" s="7"/>
      <c r="CF543" s="7"/>
      <c r="FE543" s="7"/>
      <c r="FF543" s="7"/>
    </row>
    <row r="544" spans="83:162">
      <c r="CE544" s="7"/>
      <c r="CF544" s="7"/>
      <c r="FE544" s="7"/>
      <c r="FF544" s="7"/>
    </row>
    <row r="545" spans="83:162">
      <c r="CE545" s="7"/>
      <c r="CF545" s="7"/>
      <c r="FE545" s="7"/>
      <c r="FF545" s="7"/>
    </row>
    <row r="546" spans="83:162">
      <c r="CE546" s="7"/>
      <c r="CF546" s="7"/>
      <c r="FE546" s="7"/>
      <c r="FF546" s="7"/>
    </row>
    <row r="547" spans="83:162">
      <c r="CE547" s="7"/>
      <c r="CF547" s="7"/>
      <c r="FE547" s="7"/>
      <c r="FF547" s="7"/>
    </row>
    <row r="548" spans="83:162">
      <c r="CE548" s="7"/>
      <c r="CF548" s="7"/>
      <c r="FE548" s="7"/>
      <c r="FF548" s="7"/>
    </row>
    <row r="549" spans="83:162">
      <c r="CE549" s="7"/>
      <c r="CF549" s="7"/>
      <c r="FE549" s="7"/>
      <c r="FF549" s="7"/>
    </row>
    <row r="550" spans="83:162">
      <c r="CE550" s="7"/>
      <c r="CF550" s="7"/>
      <c r="FE550" s="7"/>
      <c r="FF550" s="7"/>
    </row>
    <row r="551" spans="83:162">
      <c r="CE551" s="7"/>
      <c r="CF551" s="7"/>
      <c r="FE551" s="7"/>
      <c r="FF551" s="7"/>
    </row>
    <row r="552" spans="83:162">
      <c r="CE552" s="7"/>
      <c r="CF552" s="7"/>
      <c r="FE552" s="7"/>
      <c r="FF552" s="7"/>
    </row>
    <row r="553" spans="83:162">
      <c r="CE553" s="7"/>
      <c r="CF553" s="7"/>
      <c r="FE553" s="7"/>
      <c r="FF553" s="7"/>
    </row>
    <row r="554" spans="83:162">
      <c r="CE554" s="7"/>
      <c r="CF554" s="7"/>
      <c r="FE554" s="7"/>
      <c r="FF554" s="7"/>
    </row>
    <row r="555" spans="83:162">
      <c r="CE555" s="7"/>
      <c r="CF555" s="7"/>
      <c r="FE555" s="7"/>
      <c r="FF555" s="7"/>
    </row>
    <row r="556" spans="83:162">
      <c r="CE556" s="7"/>
      <c r="CF556" s="7"/>
      <c r="FE556" s="7"/>
      <c r="FF556" s="7"/>
    </row>
    <row r="557" spans="83:162">
      <c r="CE557" s="7"/>
      <c r="CF557" s="7"/>
      <c r="FE557" s="7"/>
      <c r="FF557" s="7"/>
    </row>
    <row r="558" spans="83:162">
      <c r="CE558" s="7"/>
      <c r="CF558" s="7"/>
      <c r="FE558" s="7"/>
      <c r="FF558" s="7"/>
    </row>
    <row r="559" spans="83:162">
      <c r="CE559" s="7"/>
      <c r="CF559" s="7"/>
      <c r="FE559" s="7"/>
      <c r="FF559" s="7"/>
    </row>
    <row r="560" spans="83:162">
      <c r="CE560" s="7"/>
      <c r="CF560" s="7"/>
      <c r="FE560" s="7"/>
      <c r="FF560" s="7"/>
    </row>
    <row r="561" spans="83:162">
      <c r="CE561" s="7"/>
      <c r="CF561" s="7"/>
      <c r="FE561" s="7"/>
      <c r="FF561" s="7"/>
    </row>
    <row r="562" spans="83:162">
      <c r="CE562" s="7"/>
      <c r="CF562" s="7"/>
      <c r="FE562" s="7"/>
      <c r="FF562" s="7"/>
    </row>
    <row r="563" spans="83:162">
      <c r="CE563" s="7"/>
      <c r="CF563" s="7"/>
      <c r="FE563" s="7"/>
      <c r="FF563" s="7"/>
    </row>
    <row r="564" spans="83:162">
      <c r="CE564" s="7"/>
      <c r="CF564" s="7"/>
      <c r="FE564" s="7"/>
      <c r="FF564" s="7"/>
    </row>
    <row r="565" spans="83:162">
      <c r="CE565" s="7"/>
      <c r="CF565" s="7"/>
      <c r="FE565" s="7"/>
      <c r="FF565" s="7"/>
    </row>
    <row r="566" spans="83:162">
      <c r="CE566" s="7"/>
      <c r="CF566" s="7"/>
      <c r="FE566" s="7"/>
      <c r="FF566" s="7"/>
    </row>
    <row r="567" spans="83:162">
      <c r="CE567" s="7"/>
      <c r="CF567" s="7"/>
      <c r="FE567" s="7"/>
      <c r="FF567" s="7"/>
    </row>
    <row r="568" spans="83:162">
      <c r="CE568" s="7"/>
      <c r="CF568" s="7"/>
      <c r="FE568" s="7"/>
      <c r="FF568" s="7"/>
    </row>
    <row r="569" spans="83:162">
      <c r="CE569" s="7"/>
      <c r="CF569" s="7"/>
      <c r="FE569" s="7"/>
      <c r="FF569" s="7"/>
    </row>
    <row r="570" spans="83:162">
      <c r="CE570" s="7"/>
      <c r="CF570" s="7"/>
      <c r="FE570" s="7"/>
      <c r="FF570" s="7"/>
    </row>
    <row r="571" spans="83:162">
      <c r="CE571" s="7"/>
      <c r="CF571" s="7"/>
      <c r="FE571" s="7"/>
      <c r="FF571" s="7"/>
    </row>
    <row r="572" spans="83:162">
      <c r="CE572" s="7"/>
      <c r="CF572" s="7"/>
      <c r="FE572" s="7"/>
      <c r="FF572" s="7"/>
    </row>
    <row r="573" spans="83:162">
      <c r="CE573" s="7"/>
      <c r="CF573" s="7"/>
      <c r="FE573" s="7"/>
      <c r="FF573" s="7"/>
    </row>
    <row r="574" spans="83:162">
      <c r="CE574" s="7"/>
      <c r="CF574" s="7"/>
      <c r="FE574" s="7"/>
      <c r="FF574" s="7"/>
    </row>
    <row r="575" spans="83:162">
      <c r="CE575" s="7"/>
      <c r="CF575" s="7"/>
      <c r="FE575" s="7"/>
      <c r="FF575" s="7"/>
    </row>
    <row r="576" spans="83:162">
      <c r="CE576" s="7"/>
      <c r="CF576" s="7"/>
      <c r="FE576" s="7"/>
      <c r="FF576" s="7"/>
    </row>
    <row r="577" spans="83:162">
      <c r="CE577" s="7"/>
      <c r="CF577" s="7"/>
      <c r="FE577" s="7"/>
      <c r="FF577" s="7"/>
    </row>
    <row r="578" spans="83:162">
      <c r="CE578" s="7"/>
      <c r="CF578" s="7"/>
      <c r="FE578" s="7"/>
      <c r="FF578" s="7"/>
    </row>
    <row r="579" spans="83:162">
      <c r="CE579" s="7"/>
      <c r="CF579" s="7"/>
      <c r="FE579" s="7"/>
      <c r="FF579" s="7"/>
    </row>
    <row r="580" spans="83:162">
      <c r="CE580" s="7"/>
      <c r="CF580" s="7"/>
      <c r="FE580" s="7"/>
      <c r="FF580" s="7"/>
    </row>
    <row r="581" spans="83:162">
      <c r="CE581" s="7"/>
      <c r="CF581" s="7"/>
      <c r="FE581" s="7"/>
      <c r="FF581" s="7"/>
    </row>
    <row r="582" spans="83:162">
      <c r="CE582" s="7"/>
      <c r="CF582" s="7"/>
      <c r="FE582" s="7"/>
      <c r="FF582" s="7"/>
    </row>
    <row r="583" spans="83:162">
      <c r="CE583" s="7"/>
      <c r="CF583" s="7"/>
      <c r="FE583" s="7"/>
      <c r="FF583" s="7"/>
    </row>
    <row r="584" spans="83:162">
      <c r="CE584" s="7"/>
      <c r="CF584" s="7"/>
      <c r="FE584" s="7"/>
      <c r="FF584" s="7"/>
    </row>
    <row r="585" spans="83:162">
      <c r="CE585" s="7"/>
      <c r="CF585" s="7"/>
      <c r="FE585" s="7"/>
      <c r="FF585" s="7"/>
    </row>
    <row r="586" spans="83:162">
      <c r="CE586" s="7"/>
      <c r="CF586" s="7"/>
      <c r="FE586" s="7"/>
      <c r="FF586" s="7"/>
    </row>
    <row r="587" spans="83:162">
      <c r="CE587" s="7"/>
      <c r="CF587" s="7"/>
      <c r="FE587" s="7"/>
      <c r="FF587" s="7"/>
    </row>
    <row r="588" spans="83:162">
      <c r="CE588" s="7"/>
      <c r="CF588" s="7"/>
      <c r="FE588" s="7"/>
      <c r="FF588" s="7"/>
    </row>
    <row r="589" spans="83:162">
      <c r="CE589" s="7"/>
      <c r="CF589" s="7"/>
      <c r="FE589" s="7"/>
      <c r="FF589" s="7"/>
    </row>
    <row r="590" spans="83:162">
      <c r="CE590" s="7"/>
      <c r="CF590" s="7"/>
      <c r="FE590" s="7"/>
      <c r="FF590" s="7"/>
    </row>
    <row r="591" spans="83:162">
      <c r="CE591" s="7"/>
      <c r="CF591" s="7"/>
      <c r="FE591" s="7"/>
      <c r="FF591" s="7"/>
    </row>
    <row r="592" spans="83:162">
      <c r="CE592" s="7"/>
      <c r="CF592" s="7"/>
      <c r="FE592" s="7"/>
      <c r="FF592" s="7"/>
    </row>
    <row r="593" spans="83:162">
      <c r="CE593" s="7"/>
      <c r="CF593" s="7"/>
      <c r="FE593" s="7"/>
      <c r="FF593" s="7"/>
    </row>
    <row r="594" spans="83:162">
      <c r="CE594" s="7"/>
      <c r="CF594" s="7"/>
      <c r="FE594" s="7"/>
      <c r="FF594" s="7"/>
    </row>
    <row r="595" spans="83:162">
      <c r="CE595" s="7"/>
      <c r="CF595" s="7"/>
      <c r="FE595" s="7"/>
      <c r="FF595" s="7"/>
    </row>
    <row r="596" spans="83:162">
      <c r="CE596" s="7"/>
      <c r="CF596" s="7"/>
      <c r="FE596" s="7"/>
      <c r="FF596" s="7"/>
    </row>
    <row r="597" spans="83:162">
      <c r="CE597" s="7"/>
      <c r="CF597" s="7"/>
      <c r="FE597" s="7"/>
      <c r="FF597" s="7"/>
    </row>
    <row r="598" spans="83:162">
      <c r="CE598" s="7"/>
      <c r="CF598" s="7"/>
      <c r="FE598" s="7"/>
      <c r="FF598" s="7"/>
    </row>
    <row r="599" spans="83:162">
      <c r="CE599" s="7"/>
      <c r="CF599" s="7"/>
      <c r="FE599" s="7"/>
      <c r="FF599" s="7"/>
    </row>
    <row r="600" spans="83:162">
      <c r="CE600" s="7"/>
      <c r="CF600" s="7"/>
      <c r="FE600" s="7"/>
      <c r="FF600" s="7"/>
    </row>
    <row r="601" spans="83:162">
      <c r="CE601" s="7"/>
      <c r="CF601" s="7"/>
      <c r="FE601" s="7"/>
      <c r="FF601" s="7"/>
    </row>
    <row r="602" spans="83:162">
      <c r="CE602" s="7"/>
      <c r="CF602" s="7"/>
      <c r="FE602" s="7"/>
      <c r="FF602" s="7"/>
    </row>
    <row r="603" spans="83:162">
      <c r="CE603" s="7"/>
      <c r="CF603" s="7"/>
      <c r="FE603" s="7"/>
      <c r="FF603" s="7"/>
    </row>
    <row r="604" spans="83:162">
      <c r="CE604" s="7"/>
      <c r="CF604" s="7"/>
      <c r="FE604" s="7"/>
      <c r="FF604" s="7"/>
    </row>
    <row r="605" spans="83:162">
      <c r="CE605" s="7"/>
      <c r="CF605" s="7"/>
      <c r="FE605" s="7"/>
      <c r="FF605" s="7"/>
    </row>
    <row r="606" spans="83:162">
      <c r="CE606" s="7"/>
      <c r="CF606" s="7"/>
      <c r="FE606" s="7"/>
      <c r="FF606" s="7"/>
    </row>
    <row r="607" spans="83:162">
      <c r="CE607" s="7"/>
      <c r="CF607" s="7"/>
      <c r="FE607" s="7"/>
      <c r="FF607" s="7"/>
    </row>
    <row r="608" spans="83:162">
      <c r="CE608" s="7"/>
      <c r="CF608" s="7"/>
      <c r="FE608" s="7"/>
      <c r="FF608" s="7"/>
    </row>
    <row r="609" spans="83:162">
      <c r="CE609" s="7"/>
      <c r="CF609" s="7"/>
      <c r="FE609" s="7"/>
      <c r="FF609" s="7"/>
    </row>
    <row r="610" spans="83:162">
      <c r="CE610" s="7"/>
      <c r="CF610" s="7"/>
      <c r="FE610" s="7"/>
      <c r="FF610" s="7"/>
    </row>
    <row r="611" spans="83:162">
      <c r="CE611" s="7"/>
      <c r="CF611" s="7"/>
      <c r="FE611" s="7"/>
      <c r="FF611" s="7"/>
    </row>
    <row r="612" spans="83:162">
      <c r="CE612" s="7"/>
      <c r="CF612" s="7"/>
      <c r="FE612" s="7"/>
      <c r="FF612" s="7"/>
    </row>
    <row r="613" spans="83:162">
      <c r="CE613" s="7"/>
      <c r="CF613" s="7"/>
      <c r="FE613" s="7"/>
      <c r="FF613" s="7"/>
    </row>
    <row r="614" spans="83:162">
      <c r="CE614" s="7"/>
      <c r="CF614" s="7"/>
      <c r="FE614" s="7"/>
      <c r="FF614" s="7"/>
    </row>
    <row r="615" spans="83:162">
      <c r="CE615" s="7"/>
      <c r="CF615" s="7"/>
      <c r="FE615" s="7"/>
      <c r="FF615" s="7"/>
    </row>
    <row r="616" spans="83:162">
      <c r="CE616" s="7"/>
      <c r="CF616" s="7"/>
      <c r="FE616" s="7"/>
      <c r="FF616" s="7"/>
    </row>
    <row r="617" spans="83:162">
      <c r="CE617" s="7"/>
      <c r="CF617" s="7"/>
      <c r="FE617" s="7"/>
      <c r="FF617" s="7"/>
    </row>
    <row r="618" spans="83:162">
      <c r="CE618" s="7"/>
      <c r="CF618" s="7"/>
      <c r="FE618" s="7"/>
      <c r="FF618" s="7"/>
    </row>
    <row r="619" spans="83:162">
      <c r="CE619" s="7"/>
      <c r="CF619" s="7"/>
      <c r="FE619" s="7"/>
      <c r="FF619" s="7"/>
    </row>
    <row r="620" spans="83:162">
      <c r="CE620" s="7"/>
      <c r="CF620" s="7"/>
      <c r="FE620" s="7"/>
      <c r="FF620" s="7"/>
    </row>
    <row r="621" spans="83:162">
      <c r="CE621" s="7"/>
      <c r="CF621" s="7"/>
      <c r="FE621" s="7"/>
      <c r="FF621" s="7"/>
    </row>
    <row r="622" spans="83:162">
      <c r="CE622" s="7"/>
      <c r="CF622" s="7"/>
      <c r="FE622" s="7"/>
      <c r="FF622" s="7"/>
    </row>
    <row r="623" spans="83:162">
      <c r="CE623" s="7"/>
      <c r="CF623" s="7"/>
      <c r="FE623" s="7"/>
      <c r="FF623" s="7"/>
    </row>
    <row r="624" spans="83:162">
      <c r="CE624" s="7"/>
      <c r="CF624" s="7"/>
      <c r="FE624" s="7"/>
      <c r="FF624" s="7"/>
    </row>
    <row r="625" spans="83:162">
      <c r="CE625" s="7"/>
      <c r="CF625" s="7"/>
      <c r="FE625" s="7"/>
      <c r="FF625" s="7"/>
    </row>
    <row r="626" spans="83:162">
      <c r="CE626" s="7"/>
      <c r="CF626" s="7"/>
      <c r="FE626" s="7"/>
      <c r="FF626" s="7"/>
    </row>
    <row r="627" spans="83:162">
      <c r="CE627" s="7"/>
      <c r="CF627" s="7"/>
      <c r="FE627" s="7"/>
      <c r="FF627" s="7"/>
    </row>
    <row r="628" spans="83:162">
      <c r="CE628" s="7"/>
      <c r="CF628" s="7"/>
      <c r="FE628" s="7"/>
      <c r="FF628" s="7"/>
    </row>
    <row r="629" spans="83:162">
      <c r="CE629" s="7"/>
      <c r="CF629" s="7"/>
      <c r="FE629" s="7"/>
      <c r="FF629" s="7"/>
    </row>
    <row r="630" spans="83:162">
      <c r="CE630" s="7"/>
      <c r="CF630" s="7"/>
      <c r="FE630" s="7"/>
      <c r="FF630" s="7"/>
    </row>
    <row r="631" spans="83:162">
      <c r="CE631" s="7"/>
      <c r="CF631" s="7"/>
      <c r="FE631" s="7"/>
      <c r="FF631" s="7"/>
    </row>
    <row r="632" spans="83:162">
      <c r="CE632" s="7"/>
      <c r="CF632" s="7"/>
      <c r="FE632" s="7"/>
      <c r="FF632" s="7"/>
    </row>
    <row r="633" spans="83:162">
      <c r="CE633" s="7"/>
      <c r="CF633" s="7"/>
      <c r="FE633" s="7"/>
      <c r="FF633" s="7"/>
    </row>
    <row r="634" spans="83:162">
      <c r="CE634" s="7"/>
      <c r="CF634" s="7"/>
      <c r="FE634" s="7"/>
      <c r="FF634" s="7"/>
    </row>
    <row r="635" spans="83:162">
      <c r="CE635" s="7"/>
      <c r="CF635" s="7"/>
      <c r="FE635" s="7"/>
      <c r="FF635" s="7"/>
    </row>
    <row r="636" spans="83:162">
      <c r="CE636" s="7"/>
      <c r="CF636" s="7"/>
      <c r="FE636" s="7"/>
      <c r="FF636" s="7"/>
    </row>
    <row r="637" spans="83:162">
      <c r="CE637" s="7"/>
      <c r="CF637" s="7"/>
      <c r="FE637" s="7"/>
      <c r="FF637" s="7"/>
    </row>
    <row r="638" spans="83:162">
      <c r="CE638" s="7"/>
      <c r="CF638" s="7"/>
      <c r="FE638" s="7"/>
      <c r="FF638" s="7"/>
    </row>
    <row r="639" spans="83:162">
      <c r="CE639" s="7"/>
      <c r="CF639" s="7"/>
      <c r="FE639" s="7"/>
      <c r="FF639" s="7"/>
    </row>
    <row r="640" spans="83:162">
      <c r="CE640" s="7"/>
      <c r="CF640" s="7"/>
      <c r="FE640" s="7"/>
      <c r="FF640" s="7"/>
    </row>
    <row r="641" spans="83:162">
      <c r="CE641" s="7"/>
      <c r="CF641" s="7"/>
      <c r="FE641" s="7"/>
      <c r="FF641" s="7"/>
    </row>
    <row r="642" spans="83:162">
      <c r="CE642" s="7"/>
      <c r="CF642" s="7"/>
      <c r="FE642" s="7"/>
      <c r="FF642" s="7"/>
    </row>
    <row r="643" spans="83:162">
      <c r="CE643" s="7"/>
      <c r="CF643" s="7"/>
      <c r="FE643" s="7"/>
      <c r="FF643" s="7"/>
    </row>
    <row r="644" spans="83:162">
      <c r="CE644" s="7"/>
      <c r="CF644" s="7"/>
      <c r="FE644" s="7"/>
      <c r="FF644" s="7"/>
    </row>
    <row r="645" spans="83:162">
      <c r="CE645" s="7"/>
      <c r="CF645" s="7"/>
      <c r="FE645" s="7"/>
      <c r="FF645" s="7"/>
    </row>
    <row r="646" spans="83:162">
      <c r="CE646" s="7"/>
      <c r="CF646" s="7"/>
      <c r="FE646" s="7"/>
      <c r="FF646" s="7"/>
    </row>
    <row r="647" spans="83:162">
      <c r="CE647" s="7"/>
      <c r="CF647" s="7"/>
      <c r="FE647" s="7"/>
      <c r="FF647" s="7"/>
    </row>
    <row r="648" spans="83:162">
      <c r="CE648" s="7"/>
      <c r="CF648" s="7"/>
      <c r="FE648" s="7"/>
      <c r="FF648" s="7"/>
    </row>
    <row r="649" spans="83:162">
      <c r="CE649" s="7"/>
      <c r="CF649" s="7"/>
      <c r="FE649" s="7"/>
      <c r="FF649" s="7"/>
    </row>
    <row r="650" spans="83:162">
      <c r="CE650" s="7"/>
      <c r="CF650" s="7"/>
      <c r="FE650" s="7"/>
      <c r="FF650" s="7"/>
    </row>
    <row r="651" spans="83:162">
      <c r="CE651" s="7"/>
      <c r="CF651" s="7"/>
      <c r="FE651" s="7"/>
      <c r="FF651" s="7"/>
    </row>
    <row r="652" spans="83:162">
      <c r="CE652" s="7"/>
      <c r="CF652" s="7"/>
      <c r="FE652" s="7"/>
      <c r="FF652" s="7"/>
    </row>
    <row r="653" spans="83:162">
      <c r="CE653" s="7"/>
      <c r="CF653" s="7"/>
      <c r="FE653" s="7"/>
      <c r="FF653" s="7"/>
    </row>
    <row r="654" spans="83:162">
      <c r="CE654" s="7"/>
      <c r="CF654" s="7"/>
      <c r="FE654" s="7"/>
      <c r="FF654" s="7"/>
    </row>
    <row r="655" spans="83:162">
      <c r="CE655" s="7"/>
      <c r="CF655" s="7"/>
      <c r="FE655" s="7"/>
      <c r="FF655" s="7"/>
    </row>
    <row r="656" spans="83:162">
      <c r="CE656" s="7"/>
      <c r="CF656" s="7"/>
      <c r="FE656" s="7"/>
      <c r="FF656" s="7"/>
    </row>
    <row r="657" spans="83:162">
      <c r="CE657" s="7"/>
      <c r="CF657" s="7"/>
      <c r="FE657" s="7"/>
      <c r="FF657" s="7"/>
    </row>
    <row r="658" spans="83:162">
      <c r="CE658" s="7"/>
      <c r="CF658" s="7"/>
      <c r="FE658" s="7"/>
      <c r="FF658" s="7"/>
    </row>
    <row r="659" spans="83:162">
      <c r="CE659" s="7"/>
      <c r="CF659" s="7"/>
      <c r="FE659" s="7"/>
      <c r="FF659" s="7"/>
    </row>
    <row r="660" spans="83:162">
      <c r="CE660" s="7"/>
      <c r="CF660" s="7"/>
      <c r="FE660" s="7"/>
      <c r="FF660" s="7"/>
    </row>
    <row r="661" spans="83:162">
      <c r="CE661" s="7"/>
      <c r="CF661" s="7"/>
      <c r="FE661" s="7"/>
      <c r="FF661" s="7"/>
    </row>
    <row r="662" spans="83:162">
      <c r="CE662" s="7"/>
      <c r="CF662" s="7"/>
      <c r="FE662" s="7"/>
      <c r="FF662" s="7"/>
    </row>
    <row r="663" spans="83:162">
      <c r="CE663" s="7"/>
      <c r="CF663" s="7"/>
      <c r="FE663" s="7"/>
      <c r="FF663" s="7"/>
    </row>
    <row r="664" spans="83:162">
      <c r="CE664" s="7"/>
      <c r="CF664" s="7"/>
      <c r="FE664" s="7"/>
      <c r="FF664" s="7"/>
    </row>
    <row r="665" spans="83:162">
      <c r="CE665" s="7"/>
      <c r="CF665" s="7"/>
      <c r="FE665" s="7"/>
      <c r="FF665" s="7"/>
    </row>
    <row r="666" spans="83:162">
      <c r="CE666" s="7"/>
      <c r="CF666" s="7"/>
      <c r="FE666" s="7"/>
      <c r="FF666" s="7"/>
    </row>
    <row r="667" spans="83:162">
      <c r="CE667" s="7"/>
      <c r="CF667" s="7"/>
      <c r="FE667" s="7"/>
      <c r="FF667" s="7"/>
    </row>
    <row r="668" spans="83:162">
      <c r="CE668" s="7"/>
      <c r="CF668" s="7"/>
      <c r="FE668" s="7"/>
      <c r="FF668" s="7"/>
    </row>
    <row r="669" spans="83:162">
      <c r="CE669" s="7"/>
      <c r="CF669" s="7"/>
      <c r="FE669" s="7"/>
      <c r="FF669" s="7"/>
    </row>
    <row r="670" spans="83:162">
      <c r="CE670" s="7"/>
      <c r="CF670" s="7"/>
      <c r="FE670" s="7"/>
      <c r="FF670" s="7"/>
    </row>
    <row r="671" spans="83:162">
      <c r="CE671" s="7"/>
      <c r="CF671" s="7"/>
      <c r="FE671" s="7"/>
      <c r="FF671" s="7"/>
    </row>
    <row r="672" spans="83:162">
      <c r="CE672" s="7"/>
      <c r="CF672" s="7"/>
      <c r="FE672" s="7"/>
      <c r="FF672" s="7"/>
    </row>
    <row r="673" spans="83:162">
      <c r="CE673" s="7"/>
      <c r="CF673" s="7"/>
      <c r="FE673" s="7"/>
      <c r="FF673" s="7"/>
    </row>
    <row r="674" spans="83:162">
      <c r="CE674" s="7"/>
      <c r="CF674" s="7"/>
      <c r="FE674" s="7"/>
      <c r="FF674" s="7"/>
    </row>
    <row r="675" spans="83:162">
      <c r="CE675" s="7"/>
      <c r="CF675" s="7"/>
      <c r="FE675" s="7"/>
      <c r="FF675" s="7"/>
    </row>
    <row r="676" spans="83:162">
      <c r="CE676" s="7"/>
      <c r="CF676" s="7"/>
      <c r="FE676" s="7"/>
      <c r="FF676" s="7"/>
    </row>
    <row r="677" spans="83:162">
      <c r="CE677" s="7"/>
      <c r="CF677" s="7"/>
      <c r="FE677" s="7"/>
      <c r="FF677" s="7"/>
    </row>
    <row r="678" spans="83:162">
      <c r="CE678" s="7"/>
      <c r="CF678" s="7"/>
      <c r="FE678" s="7"/>
      <c r="FF678" s="7"/>
    </row>
    <row r="679" spans="83:162">
      <c r="CE679" s="7"/>
      <c r="CF679" s="7"/>
      <c r="FE679" s="7"/>
      <c r="FF679" s="7"/>
    </row>
    <row r="680" spans="83:162">
      <c r="CE680" s="7"/>
      <c r="CF680" s="7"/>
      <c r="FE680" s="7"/>
      <c r="FF680" s="7"/>
    </row>
    <row r="681" spans="83:162">
      <c r="CE681" s="7"/>
      <c r="CF681" s="7"/>
      <c r="FE681" s="7"/>
      <c r="FF681" s="7"/>
    </row>
    <row r="682" spans="83:162">
      <c r="CE682" s="7"/>
      <c r="CF682" s="7"/>
      <c r="FE682" s="7"/>
      <c r="FF682" s="7"/>
    </row>
    <row r="683" spans="83:162">
      <c r="CE683" s="7"/>
      <c r="CF683" s="7"/>
      <c r="FE683" s="7"/>
      <c r="FF683" s="7"/>
    </row>
    <row r="684" spans="83:162">
      <c r="CE684" s="7"/>
      <c r="CF684" s="7"/>
      <c r="FE684" s="7"/>
      <c r="FF684" s="7"/>
    </row>
    <row r="685" spans="83:162">
      <c r="CE685" s="7"/>
      <c r="CF685" s="7"/>
      <c r="FE685" s="7"/>
      <c r="FF685" s="7"/>
    </row>
    <row r="686" spans="83:162">
      <c r="CE686" s="7"/>
      <c r="CF686" s="7"/>
      <c r="FE686" s="7"/>
      <c r="FF686" s="7"/>
    </row>
    <row r="687" spans="83:162">
      <c r="CE687" s="7"/>
      <c r="CF687" s="7"/>
      <c r="FE687" s="7"/>
      <c r="FF687" s="7"/>
    </row>
    <row r="688" spans="83:162">
      <c r="CE688" s="7"/>
      <c r="CF688" s="7"/>
      <c r="FE688" s="7"/>
      <c r="FF688" s="7"/>
    </row>
    <row r="689" spans="2:162">
      <c r="CE689" s="7"/>
      <c r="CF689" s="7"/>
      <c r="FE689" s="7"/>
      <c r="FF689" s="7"/>
    </row>
    <row r="690" spans="2:162">
      <c r="CE690" s="7"/>
      <c r="CF690" s="7"/>
      <c r="FE690" s="7"/>
      <c r="FF690" s="7"/>
    </row>
    <row r="691" spans="2:162">
      <c r="CE691" s="7"/>
      <c r="CF691" s="7"/>
      <c r="FE691" s="7"/>
      <c r="FF691" s="7"/>
    </row>
    <row r="692" spans="2:162">
      <c r="AX692" s="46"/>
      <c r="AY692" s="46"/>
      <c r="AZ692" s="46"/>
      <c r="BA692" s="44"/>
      <c r="BB692" s="44"/>
      <c r="BC692" s="44"/>
      <c r="BD692" s="44"/>
      <c r="BE692" s="44"/>
      <c r="BF692" s="44"/>
      <c r="BG692" s="44"/>
      <c r="BH692" s="44"/>
      <c r="BI692" s="44"/>
      <c r="BJ692" s="44"/>
      <c r="BK692" s="12"/>
      <c r="BL692" s="12"/>
      <c r="BM692" s="12"/>
      <c r="BN692" s="12"/>
      <c r="BO692" s="12"/>
      <c r="BP692" s="12"/>
      <c r="BQ692" s="12"/>
      <c r="BR692" s="12"/>
      <c r="BS692" s="12"/>
      <c r="BT692" s="13"/>
      <c r="BU692" s="12"/>
      <c r="BV692" s="12"/>
      <c r="BW692" s="12"/>
      <c r="BX692" s="12"/>
      <c r="BY692" s="12"/>
      <c r="BZ692" s="12"/>
      <c r="CA692" s="12"/>
      <c r="CB692" s="12"/>
      <c r="CC692" s="12"/>
      <c r="CD692" s="12"/>
      <c r="CE692" s="14"/>
      <c r="CF692" s="14"/>
      <c r="DX692" s="46"/>
      <c r="DY692" s="46"/>
      <c r="DZ692" s="46"/>
      <c r="EA692" s="44"/>
      <c r="EB692" s="44"/>
      <c r="EC692" s="44"/>
      <c r="ED692" s="44"/>
      <c r="EE692" s="44"/>
      <c r="EF692" s="44"/>
      <c r="EG692" s="44"/>
      <c r="EH692" s="44"/>
      <c r="EI692" s="44"/>
      <c r="EJ692" s="44"/>
      <c r="EK692" s="12"/>
      <c r="EL692" s="12"/>
      <c r="EM692" s="12"/>
      <c r="EN692" s="12"/>
      <c r="EO692" s="12"/>
      <c r="EP692" s="12"/>
      <c r="EQ692" s="12"/>
      <c r="ER692" s="12"/>
      <c r="ES692" s="12"/>
      <c r="ET692" s="12"/>
      <c r="EU692" s="12"/>
      <c r="EV692" s="12"/>
      <c r="EW692" s="12"/>
      <c r="EX692" s="12"/>
      <c r="EY692" s="12"/>
      <c r="EZ692" s="12"/>
      <c r="FA692" s="12"/>
      <c r="FB692" s="12"/>
      <c r="FC692" s="12"/>
      <c r="FD692" s="12"/>
      <c r="FE692" s="14"/>
      <c r="FF692" s="14"/>
    </row>
    <row r="700" spans="2:162" ht="15">
      <c r="B700"/>
      <c r="C700"/>
      <c r="D700"/>
    </row>
    <row r="701" spans="2:162" ht="15">
      <c r="B701"/>
      <c r="C701"/>
      <c r="D701"/>
    </row>
    <row r="702" spans="2:162" ht="15">
      <c r="B702"/>
      <c r="C702"/>
      <c r="D702"/>
    </row>
    <row r="703" spans="2:162" ht="15">
      <c r="B703"/>
      <c r="C703"/>
      <c r="D703"/>
    </row>
  </sheetData>
  <mergeCells count="58">
    <mergeCell ref="H63:J63"/>
    <mergeCell ref="H11:P12"/>
    <mergeCell ref="Q11:S12"/>
    <mergeCell ref="H13:J13"/>
    <mergeCell ref="B11:F11"/>
    <mergeCell ref="B22:C22"/>
    <mergeCell ref="L52:N53"/>
    <mergeCell ref="B40:E40"/>
    <mergeCell ref="H99:J99"/>
    <mergeCell ref="H100:J100"/>
    <mergeCell ref="H101:J101"/>
    <mergeCell ref="H98:J98"/>
    <mergeCell ref="R98:S101"/>
    <mergeCell ref="BA19:BG20"/>
    <mergeCell ref="BH19:BJ20"/>
    <mergeCell ref="AN21:AO21"/>
    <mergeCell ref="AQ21:AQ22"/>
    <mergeCell ref="AQ19:AW20"/>
    <mergeCell ref="BK19:BN20"/>
    <mergeCell ref="BO19:BS20"/>
    <mergeCell ref="BT19:BU20"/>
    <mergeCell ref="DP21:DP22"/>
    <mergeCell ref="CE21:CE22"/>
    <mergeCell ref="DK19:DP20"/>
    <mergeCell ref="BV19:CF20"/>
    <mergeCell ref="BR21:BR22"/>
    <mergeCell ref="BM21:BM22"/>
    <mergeCell ref="BN21:BN22"/>
    <mergeCell ref="BS21:BS22"/>
    <mergeCell ref="BU21:BU22"/>
    <mergeCell ref="CF21:CF22"/>
    <mergeCell ref="BT21:BT22"/>
    <mergeCell ref="DA19:DJ20"/>
    <mergeCell ref="AE19:AJ20"/>
    <mergeCell ref="AJ21:AJ22"/>
    <mergeCell ref="T11:V12"/>
    <mergeCell ref="AK19:AP20"/>
    <mergeCell ref="AP21:AP22"/>
    <mergeCell ref="AB21:AC21"/>
    <mergeCell ref="EK19:EN20"/>
    <mergeCell ref="EO19:ES20"/>
    <mergeCell ref="ET19:EU20"/>
    <mergeCell ref="EV19:FF20"/>
    <mergeCell ref="DQ19:DW20"/>
    <mergeCell ref="EA19:EG20"/>
    <mergeCell ref="EH19:EJ20"/>
    <mergeCell ref="FE21:FE22"/>
    <mergeCell ref="FF21:FF22"/>
    <mergeCell ref="DB21:DC21"/>
    <mergeCell ref="DJ21:DJ22"/>
    <mergeCell ref="DN21:DO21"/>
    <mergeCell ref="DQ21:DQ22"/>
    <mergeCell ref="ER21:ER22"/>
    <mergeCell ref="ES21:ES22"/>
    <mergeCell ref="ET21:ET22"/>
    <mergeCell ref="EU21:EU22"/>
    <mergeCell ref="EM21:EM22"/>
    <mergeCell ref="EN21:EN22"/>
  </mergeCells>
  <conditionalFormatting sqref="L96:L97">
    <cfRule type="containsText" dxfId="25" priority="68" operator="containsText" text="OK">
      <formula>NOT(ISERROR(SEARCH("OK",L96)))</formula>
    </cfRule>
  </conditionalFormatting>
  <conditionalFormatting sqref="S72 S95 S85 S87 S89 S75:S80">
    <cfRule type="containsText" dxfId="24" priority="64" operator="containsText" text="Check">
      <formula>NOT(ISERROR(SEARCH("Check",S72)))</formula>
    </cfRule>
    <cfRule type="containsText" dxfId="23" priority="65" operator="containsText" text="OK">
      <formula>NOT(ISERROR(SEARCH("OK",S72)))</formula>
    </cfRule>
  </conditionalFormatting>
  <conditionalFormatting sqref="S53">
    <cfRule type="cellIs" dxfId="22" priority="48" operator="lessThan">
      <formula>$R$53</formula>
    </cfRule>
    <cfRule type="cellIs" dxfId="21" priority="49" operator="lessThan">
      <formula>0</formula>
    </cfRule>
  </conditionalFormatting>
  <conditionalFormatting sqref="BM1:BN18 BM21:BN22 BM24:BN1048576">
    <cfRule type="top10" dxfId="20" priority="28" rank="1"/>
  </conditionalFormatting>
  <conditionalFormatting sqref="BR1:BU18 BR21:BR22 BT21 BT19 BR131:BU1048576 BR24:BS130 BU24:BU130">
    <cfRule type="top10" dxfId="19" priority="27" rank="1"/>
  </conditionalFormatting>
  <conditionalFormatting sqref="CE1:CE18 CE21:CE22 CE239:CE1048576">
    <cfRule type="top10" dxfId="18" priority="26" rank="1"/>
  </conditionalFormatting>
  <conditionalFormatting sqref="B13:F21">
    <cfRule type="expression" dxfId="17" priority="25">
      <formula>$B13=$R$20</formula>
    </cfRule>
  </conditionalFormatting>
  <conditionalFormatting sqref="B42:F53">
    <cfRule type="expression" dxfId="16" priority="23">
      <formula>$B42=$F$40</formula>
    </cfRule>
  </conditionalFormatting>
  <conditionalFormatting sqref="R76">
    <cfRule type="containsText" dxfId="15" priority="21" operator="containsText" text="Check">
      <formula>NOT(ISERROR(SEARCH("Check",R76)))</formula>
    </cfRule>
    <cfRule type="containsText" dxfId="14" priority="22" operator="containsText" text="OK">
      <formula>NOT(ISERROR(SEARCH("OK",R76)))</formula>
    </cfRule>
  </conditionalFormatting>
  <conditionalFormatting sqref="B24:C31">
    <cfRule type="expression" dxfId="13" priority="72">
      <formula>$B24=$R$50</formula>
    </cfRule>
  </conditionalFormatting>
  <conditionalFormatting sqref="BS21:BS22">
    <cfRule type="top10" dxfId="12" priority="14" rank="1"/>
  </conditionalFormatting>
  <conditionalFormatting sqref="BU21:BU22">
    <cfRule type="top10" dxfId="11" priority="13" rank="1"/>
  </conditionalFormatting>
  <conditionalFormatting sqref="CF1:CF18 CF24:CF1048576">
    <cfRule type="top10" dxfId="10" priority="12" rank="1"/>
  </conditionalFormatting>
  <conditionalFormatting sqref="CF21:CF22">
    <cfRule type="top10" dxfId="9" priority="11" rank="1"/>
  </conditionalFormatting>
  <conditionalFormatting sqref="EM1:EN18 EM21:EN22 EM64:EN1048576">
    <cfRule type="top10" dxfId="8" priority="10" rank="1"/>
  </conditionalFormatting>
  <conditionalFormatting sqref="ER1:EU18 ER64:EU1048576 ER21:ER22 ET19 ET21:ET22">
    <cfRule type="top10" dxfId="7" priority="9" rank="1"/>
  </conditionalFormatting>
  <conditionalFormatting sqref="FE1:FE18 FE21:FE22 FE64:FE1048576">
    <cfRule type="top10" dxfId="6" priority="8" rank="1"/>
  </conditionalFormatting>
  <conditionalFormatting sqref="ES21:ES22">
    <cfRule type="top10" dxfId="5" priority="7" rank="1"/>
  </conditionalFormatting>
  <conditionalFormatting sqref="FF1:FF18 FF64:FF1048576">
    <cfRule type="top10" dxfId="4" priority="5" rank="1"/>
  </conditionalFormatting>
  <conditionalFormatting sqref="FF21:FF22">
    <cfRule type="top10" dxfId="3" priority="4" rank="1"/>
  </conditionalFormatting>
  <conditionalFormatting sqref="EU21:EU22">
    <cfRule type="top10" dxfId="2" priority="3" rank="1"/>
  </conditionalFormatting>
  <conditionalFormatting sqref="B54:F54">
    <cfRule type="expression" dxfId="1" priority="2">
      <formula>$B54=$F$40</formula>
    </cfRule>
  </conditionalFormatting>
  <conditionalFormatting sqref="B55:F55">
    <cfRule type="expression" dxfId="0" priority="1">
      <formula>$B55=$F$40</formula>
    </cfRule>
  </conditionalFormatting>
  <dataValidations count="4">
    <dataValidation type="list" allowBlank="1" showInputMessage="1" showErrorMessage="1" sqref="S16" xr:uid="{00000000-0002-0000-0100-000000000000}">
      <formula1>"A,B"</formula1>
    </dataValidation>
    <dataValidation type="list" allowBlank="1" showInputMessage="1" showErrorMessage="1" sqref="R47" xr:uid="{00000000-0002-0000-0100-000001000000}">
      <formula1>"4,6,8,10,12,14,16,18"</formula1>
    </dataValidation>
    <dataValidation type="list" allowBlank="1" showInputMessage="1" showErrorMessage="1" sqref="V14" xr:uid="{C84B71FF-A6C7-4D99-AEC6-323A9571A18D}">
      <formula1>"H Tổng,H Bụng"</formula1>
    </dataValidation>
    <dataValidation type="list" allowBlank="1" showInputMessage="1" showErrorMessage="1" sqref="T11" xr:uid="{22AC46FB-42AB-46D8-B460-5171616B0773}">
      <formula1>$T$13:$T$15</formula1>
    </dataValidation>
  </dataValidations>
  <printOptions horizontalCentered="1"/>
  <pageMargins left="0.5" right="0.5" top="0.5" bottom="0.5" header="0.31496062992125984" footer="0.31496062992125984"/>
  <pageSetup fitToHeight="0" orientation="portrait" r:id="rId1"/>
  <ignoredErrors>
    <ignoredError sqref="I61 R86 R88 H88" formula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2000000}">
          <x14:formula1>
            <xm:f>Data!$K$4:$K$99</xm:f>
          </x14:formula1>
          <xm:sqref>R16</xm:sqref>
        </x14:dataValidation>
        <x14:dataValidation type="list" allowBlank="1" showInputMessage="1" showErrorMessage="1" xr:uid="{00000000-0002-0000-0100-000003000000}">
          <x14:formula1>
            <xm:f>Data!$V$4:$V$15</xm:f>
          </x14:formula1>
          <xm:sqref>R20</xm:sqref>
        </x14:dataValidation>
        <x14:dataValidation type="list" allowBlank="1" showInputMessage="1" showErrorMessage="1" xr:uid="{00000000-0002-0000-0100-000004000000}">
          <x14:formula1>
            <xm:f>Data!$A$3:$A$99</xm:f>
          </x14:formula1>
          <xm:sqref>R27</xm:sqref>
        </x14:dataValidation>
        <x14:dataValidation type="list" allowBlank="1" showInputMessage="1" showErrorMessage="1" xr:uid="{00000000-0002-0000-0100-000005000000}">
          <x14:formula1>
            <xm:f>Data!$AZ$3:$AZ$7</xm:f>
          </x14:formula1>
          <xm:sqref>R34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cp:lastPrinted>2026-09-20T14:18:28Z</cp:lastPrinted>
  <dcterms:created xsi:type="dcterms:W3CDTF">2015-06-05T18:17:20Z</dcterms:created>
  <dcterms:modified xsi:type="dcterms:W3CDTF">2026-09-21T13:56:50Z</dcterms:modified>
</cp:coreProperties>
</file>